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B46E143-726E-4E2A-B013-F28561021B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" i="1" l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6" i="1"/>
  <c r="U7" i="1" l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4" i="1"/>
  <c r="V44" i="1"/>
  <c r="U45" i="1"/>
  <c r="V45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U54" i="1"/>
  <c r="V54" i="1"/>
  <c r="U55" i="1"/>
  <c r="V55" i="1"/>
  <c r="U56" i="1"/>
  <c r="V56" i="1"/>
  <c r="U57" i="1"/>
  <c r="V57" i="1"/>
  <c r="U58" i="1"/>
  <c r="V58" i="1"/>
  <c r="U59" i="1"/>
  <c r="V59" i="1"/>
  <c r="U60" i="1"/>
  <c r="V60" i="1"/>
  <c r="U61" i="1"/>
  <c r="V61" i="1"/>
  <c r="U62" i="1"/>
  <c r="V62" i="1"/>
  <c r="U63" i="1"/>
  <c r="V63" i="1"/>
  <c r="U64" i="1"/>
  <c r="V64" i="1"/>
  <c r="U65" i="1"/>
  <c r="V65" i="1"/>
  <c r="U66" i="1"/>
  <c r="V66" i="1"/>
  <c r="U67" i="1"/>
  <c r="V67" i="1"/>
  <c r="U68" i="1"/>
  <c r="V68" i="1"/>
  <c r="U69" i="1"/>
  <c r="V69" i="1"/>
  <c r="U70" i="1"/>
  <c r="V70" i="1"/>
  <c r="U71" i="1"/>
  <c r="V71" i="1"/>
  <c r="U72" i="1"/>
  <c r="V72" i="1"/>
  <c r="U73" i="1"/>
  <c r="V73" i="1"/>
  <c r="U74" i="1"/>
  <c r="V74" i="1"/>
  <c r="U75" i="1"/>
  <c r="V75" i="1"/>
  <c r="U76" i="1"/>
  <c r="V76" i="1"/>
  <c r="U77" i="1"/>
  <c r="V77" i="1"/>
  <c r="U78" i="1"/>
  <c r="V78" i="1"/>
  <c r="U79" i="1"/>
  <c r="V79" i="1"/>
  <c r="U80" i="1"/>
  <c r="V80" i="1"/>
  <c r="U81" i="1"/>
  <c r="V81" i="1"/>
  <c r="U82" i="1"/>
  <c r="V82" i="1"/>
  <c r="U83" i="1"/>
  <c r="V83" i="1"/>
  <c r="U84" i="1"/>
  <c r="V84" i="1"/>
  <c r="U85" i="1"/>
  <c r="V85" i="1"/>
  <c r="U86" i="1"/>
  <c r="V86" i="1"/>
  <c r="U87" i="1"/>
  <c r="V87" i="1"/>
  <c r="U88" i="1"/>
  <c r="V88" i="1"/>
  <c r="U89" i="1"/>
  <c r="V89" i="1"/>
  <c r="U90" i="1"/>
  <c r="V90" i="1"/>
  <c r="U91" i="1"/>
  <c r="V91" i="1"/>
  <c r="U92" i="1"/>
  <c r="V92" i="1"/>
  <c r="U93" i="1"/>
  <c r="V93" i="1"/>
  <c r="U94" i="1"/>
  <c r="V94" i="1"/>
  <c r="U95" i="1"/>
  <c r="V95" i="1"/>
  <c r="U96" i="1"/>
  <c r="V96" i="1"/>
  <c r="U97" i="1"/>
  <c r="V97" i="1"/>
  <c r="U98" i="1"/>
  <c r="V98" i="1"/>
  <c r="U99" i="1"/>
  <c r="V99" i="1"/>
  <c r="U100" i="1"/>
  <c r="V100" i="1"/>
  <c r="U101" i="1"/>
  <c r="V101" i="1"/>
  <c r="U102" i="1"/>
  <c r="V102" i="1"/>
  <c r="U103" i="1"/>
  <c r="V103" i="1"/>
  <c r="U104" i="1"/>
  <c r="V104" i="1"/>
  <c r="U105" i="1"/>
  <c r="V105" i="1"/>
  <c r="U106" i="1"/>
  <c r="V106" i="1"/>
  <c r="U107" i="1"/>
  <c r="V107" i="1"/>
  <c r="U108" i="1"/>
  <c r="V108" i="1"/>
  <c r="U109" i="1"/>
  <c r="V109" i="1"/>
  <c r="U110" i="1"/>
  <c r="V110" i="1"/>
  <c r="U111" i="1"/>
  <c r="V111" i="1"/>
  <c r="U112" i="1"/>
  <c r="V112" i="1"/>
  <c r="V6" i="1"/>
  <c r="U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6" i="1"/>
  <c r="AI112" i="1"/>
  <c r="L112" i="1"/>
  <c r="AI111" i="1"/>
  <c r="L111" i="1"/>
  <c r="AI110" i="1"/>
  <c r="L110" i="1"/>
  <c r="AI109" i="1"/>
  <c r="L109" i="1"/>
  <c r="AI108" i="1"/>
  <c r="L108" i="1"/>
  <c r="AI107" i="1"/>
  <c r="L107" i="1"/>
  <c r="AI106" i="1"/>
  <c r="L106" i="1"/>
  <c r="AI105" i="1"/>
  <c r="L105" i="1"/>
  <c r="AI104" i="1"/>
  <c r="L104" i="1"/>
  <c r="AI103" i="1"/>
  <c r="L103" i="1"/>
  <c r="AI102" i="1"/>
  <c r="L102" i="1"/>
  <c r="AI101" i="1"/>
  <c r="L101" i="1"/>
  <c r="AI100" i="1"/>
  <c r="L100" i="1"/>
  <c r="AI99" i="1"/>
  <c r="L99" i="1"/>
  <c r="AI98" i="1"/>
  <c r="L98" i="1"/>
  <c r="AI97" i="1"/>
  <c r="L97" i="1"/>
  <c r="AI96" i="1"/>
  <c r="L96" i="1"/>
  <c r="AI95" i="1"/>
  <c r="L95" i="1"/>
  <c r="AI94" i="1"/>
  <c r="AI5" i="1" s="1"/>
  <c r="L94" i="1"/>
  <c r="L93" i="1"/>
  <c r="AI92" i="1"/>
  <c r="L92" i="1"/>
  <c r="AI91" i="1"/>
  <c r="L91" i="1"/>
  <c r="AI90" i="1"/>
  <c r="L90" i="1"/>
  <c r="AI89" i="1"/>
  <c r="L89" i="1"/>
  <c r="AI88" i="1"/>
  <c r="L88" i="1"/>
  <c r="AI87" i="1"/>
  <c r="L87" i="1"/>
  <c r="AI86" i="1"/>
  <c r="L86" i="1"/>
  <c r="AI85" i="1"/>
  <c r="L85" i="1"/>
  <c r="AI84" i="1"/>
  <c r="L84" i="1"/>
  <c r="AI83" i="1"/>
  <c r="L83" i="1"/>
  <c r="AI82" i="1"/>
  <c r="L82" i="1"/>
  <c r="AI81" i="1"/>
  <c r="L81" i="1"/>
  <c r="AI80" i="1"/>
  <c r="L80" i="1"/>
  <c r="AI79" i="1"/>
  <c r="L79" i="1"/>
  <c r="AI78" i="1"/>
  <c r="L78" i="1"/>
  <c r="AI77" i="1"/>
  <c r="L77" i="1"/>
  <c r="AI76" i="1"/>
  <c r="L76" i="1"/>
  <c r="AI75" i="1"/>
  <c r="L75" i="1"/>
  <c r="AI74" i="1"/>
  <c r="L74" i="1"/>
  <c r="AI73" i="1"/>
  <c r="L73" i="1"/>
  <c r="AI72" i="1"/>
  <c r="L72" i="1"/>
  <c r="AI71" i="1"/>
  <c r="L71" i="1"/>
  <c r="AI70" i="1"/>
  <c r="L70" i="1"/>
  <c r="AI69" i="1"/>
  <c r="L69" i="1"/>
  <c r="AI68" i="1"/>
  <c r="L68" i="1"/>
  <c r="AI67" i="1"/>
  <c r="L67" i="1"/>
  <c r="AI66" i="1"/>
  <c r="L66" i="1"/>
  <c r="AI65" i="1"/>
  <c r="L65" i="1"/>
  <c r="AI64" i="1"/>
  <c r="L64" i="1"/>
  <c r="AI63" i="1"/>
  <c r="L63" i="1"/>
  <c r="AI62" i="1"/>
  <c r="L62" i="1"/>
  <c r="AI61" i="1"/>
  <c r="L61" i="1"/>
  <c r="AI60" i="1"/>
  <c r="L60" i="1"/>
  <c r="AI59" i="1"/>
  <c r="L59" i="1"/>
  <c r="AI58" i="1"/>
  <c r="L58" i="1"/>
  <c r="AI57" i="1"/>
  <c r="L57" i="1"/>
  <c r="AI56" i="1"/>
  <c r="L56" i="1"/>
  <c r="AI55" i="1"/>
  <c r="L55" i="1"/>
  <c r="AI54" i="1"/>
  <c r="L54" i="1"/>
  <c r="AI53" i="1"/>
  <c r="L53" i="1"/>
  <c r="AI52" i="1"/>
  <c r="L52" i="1"/>
  <c r="AI51" i="1"/>
  <c r="L51" i="1"/>
  <c r="AI50" i="1"/>
  <c r="L50" i="1"/>
  <c r="AI49" i="1"/>
  <c r="L49" i="1"/>
  <c r="AI48" i="1"/>
  <c r="L48" i="1"/>
  <c r="AI47" i="1"/>
  <c r="L47" i="1"/>
  <c r="AI46" i="1"/>
  <c r="L46" i="1"/>
  <c r="AI45" i="1"/>
  <c r="L45" i="1"/>
  <c r="AI44" i="1"/>
  <c r="L44" i="1"/>
  <c r="AI43" i="1"/>
  <c r="L43" i="1"/>
  <c r="AI42" i="1"/>
  <c r="L42" i="1"/>
  <c r="AI41" i="1"/>
  <c r="L41" i="1"/>
  <c r="AI40" i="1"/>
  <c r="L40" i="1"/>
  <c r="AI39" i="1"/>
  <c r="L39" i="1"/>
  <c r="AI38" i="1"/>
  <c r="L38" i="1"/>
  <c r="AI37" i="1"/>
  <c r="L37" i="1"/>
  <c r="AI36" i="1"/>
  <c r="L36" i="1"/>
  <c r="AI35" i="1"/>
  <c r="L35" i="1"/>
  <c r="AI34" i="1"/>
  <c r="L34" i="1"/>
  <c r="AI33" i="1"/>
  <c r="L33" i="1"/>
  <c r="AI32" i="1"/>
  <c r="L32" i="1"/>
  <c r="AI31" i="1"/>
  <c r="L31" i="1"/>
  <c r="AI30" i="1"/>
  <c r="L30" i="1"/>
  <c r="AI29" i="1"/>
  <c r="L29" i="1"/>
  <c r="AI28" i="1"/>
  <c r="L28" i="1"/>
  <c r="AI27" i="1"/>
  <c r="L27" i="1"/>
  <c r="AI26" i="1"/>
  <c r="L26" i="1"/>
  <c r="AI25" i="1"/>
  <c r="L25" i="1"/>
  <c r="AI24" i="1"/>
  <c r="L24" i="1"/>
  <c r="AI23" i="1"/>
  <c r="L23" i="1"/>
  <c r="AI22" i="1"/>
  <c r="L22" i="1"/>
  <c r="AI21" i="1"/>
  <c r="L21" i="1"/>
  <c r="AI20" i="1"/>
  <c r="L20" i="1"/>
  <c r="AI19" i="1"/>
  <c r="L19" i="1"/>
  <c r="AI18" i="1"/>
  <c r="L18" i="1"/>
  <c r="AI17" i="1"/>
  <c r="L17" i="1"/>
  <c r="AI16" i="1"/>
  <c r="L16" i="1"/>
  <c r="AI15" i="1"/>
  <c r="L15" i="1"/>
  <c r="AI14" i="1"/>
  <c r="L14" i="1"/>
  <c r="AI13" i="1"/>
  <c r="L13" i="1"/>
  <c r="AI12" i="1"/>
  <c r="L12" i="1"/>
  <c r="AI11" i="1"/>
  <c r="L11" i="1"/>
  <c r="AI10" i="1"/>
  <c r="L10" i="1"/>
  <c r="AI9" i="1"/>
  <c r="L9" i="1"/>
  <c r="AI8" i="1"/>
  <c r="L8" i="1"/>
  <c r="AI7" i="1"/>
  <c r="L7" i="1"/>
  <c r="AI6" i="1"/>
  <c r="L6" i="1"/>
  <c r="AG5" i="1"/>
  <c r="AF5" i="1"/>
  <c r="AE5" i="1"/>
  <c r="AD5" i="1"/>
  <c r="AC5" i="1"/>
  <c r="AB5" i="1"/>
  <c r="AA5" i="1"/>
  <c r="Z5" i="1"/>
  <c r="Y5" i="1"/>
  <c r="X5" i="1"/>
  <c r="W5" i="1"/>
  <c r="T5" i="1"/>
  <c r="R5" i="1"/>
  <c r="Q5" i="1"/>
  <c r="P5" i="1"/>
  <c r="O5" i="1"/>
  <c r="N5" i="1"/>
  <c r="M5" i="1"/>
  <c r="K5" i="1"/>
  <c r="F5" i="1"/>
  <c r="E5" i="1"/>
  <c r="L5" i="1" l="1"/>
  <c r="S5" i="1"/>
</calcChain>
</file>

<file path=xl/sharedStrings.xml><?xml version="1.0" encoding="utf-8"?>
<sst xmlns="http://schemas.openxmlformats.org/spreadsheetml/2006/main" count="377" uniqueCount="256">
  <si>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</si>
  <si>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</si>
  <si>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</si>
  <si>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</si>
  <si>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</si>
  <si>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</si>
  <si>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</si>
  <si>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</si>
  <si>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</si>
  <si>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</si>
  <si>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</si>
  <si>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</si>
  <si>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</si>
  <si>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</si>
  <si>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</si>
  <si>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</si>
  <si>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</si>
  <si>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</si>
  <si>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</si>
  <si>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</si>
  <si>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</si>
  <si>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</si>
  <si>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14,07,</t>
  </si>
  <si>
    <t>18,07,</t>
  </si>
  <si>
    <t>18,07,(дозаказ)</t>
  </si>
  <si>
    <t>20,07,(дозаказ)</t>
  </si>
  <si>
    <t>20,07,</t>
  </si>
  <si>
    <t>21,07,</t>
  </si>
  <si>
    <t>16,07,</t>
  </si>
  <si>
    <t>09,07,</t>
  </si>
  <si>
    <t>07,07,</t>
  </si>
  <si>
    <t>02,07,</t>
  </si>
  <si>
    <t>30,06,</t>
  </si>
  <si>
    <t>25,06,</t>
  </si>
  <si>
    <t>23,06,</t>
  </si>
  <si>
    <t>16,06,</t>
  </si>
  <si>
    <t>09,06,</t>
  </si>
  <si>
    <t>02,06,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</si>
  <si>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</si>
  <si>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</si>
  <si>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</si>
  <si>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</si>
  <si>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</si>
  <si>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</si>
  <si>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</si>
  <si>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</si>
  <si>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</si>
  <si>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</si>
  <si>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</si>
  <si>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>P003985</t>
  </si>
  <si>
    <t xml:space="preserve"> 032  Сосиски Вязанка Сливочные, Вязанка амицел МГС, 0.45кг, ПОКОМ</t>
  </si>
  <si>
    <t>P003989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</si>
  <si>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</si>
  <si>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</si>
  <si>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</si>
  <si>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</si>
  <si>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>нужно увеличить продажи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</si>
  <si>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</si>
  <si>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</si>
  <si>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</si>
  <si>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</si>
  <si>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</si>
  <si>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</si>
  <si>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</si>
  <si>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</si>
  <si>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</si>
  <si>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</si>
  <si>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</si>
  <si>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</si>
  <si>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</si>
  <si>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</si>
  <si>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</si>
  <si>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</si>
  <si>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</si>
  <si>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</si>
  <si>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</si>
  <si>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</si>
  <si>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</si>
  <si>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</si>
  <si>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</si>
  <si>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</si>
  <si>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</si>
  <si>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</si>
  <si>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</si>
  <si>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</si>
  <si>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</si>
  <si>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</si>
  <si>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</si>
  <si>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</si>
  <si>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</si>
  <si>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</si>
  <si>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</si>
  <si>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</si>
  <si>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</si>
  <si>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</si>
  <si>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</si>
  <si>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</si>
  <si>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</si>
  <si>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</si>
  <si>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</si>
  <si>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</si>
  <si>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</si>
  <si>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</si>
  <si>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</si>
  <si>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</si>
  <si>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</si>
  <si>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</si>
  <si>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</si>
  <si>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</si>
  <si>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</si>
  <si>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</si>
  <si>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</si>
  <si>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</si>
  <si>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</si>
  <si>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</si>
  <si>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</si>
  <si>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</si>
  <si>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</si>
  <si>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</si>
  <si>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</si>
  <si>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</si>
  <si>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</si>
  <si>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</si>
  <si>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</si>
  <si>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</si>
  <si>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</si>
  <si>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</si>
  <si>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</si>
  <si>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</si>
  <si>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</si>
  <si>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</si>
  <si>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</si>
  <si>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</si>
  <si>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</si>
  <si>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</si>
  <si>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</si>
  <si>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</si>
  <si>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</si>
  <si>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</si>
  <si>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</si>
  <si>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</si>
  <si>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</si>
  <si>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</si>
  <si>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</si>
  <si>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</si>
  <si>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</si>
  <si>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</si>
  <si>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</si>
  <si>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</si>
  <si>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</si>
  <si>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</si>
  <si>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</si>
  <si>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</si>
  <si>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</si>
  <si>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</si>
  <si>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</si>
  <si>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</si>
  <si>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</si>
  <si>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</si>
  <si>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</si>
  <si>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</si>
  <si>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</si>
  <si>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</si>
  <si>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</si>
  <si>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</si>
  <si>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</si>
  <si>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</si>
  <si>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</si>
  <si>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</si>
  <si>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</si>
  <si>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</si>
  <si>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</si>
  <si>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</si>
  <si>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</si>
  <si>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</si>
  <si>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</si>
  <si>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</si>
  <si>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</si>
  <si>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</si>
  <si>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</si>
  <si>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</si>
  <si>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</si>
  <si>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</si>
  <si>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</si>
  <si>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</si>
  <si>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</si>
  <si>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</si>
  <si>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</si>
  <si>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</si>
  <si>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</si>
  <si>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</si>
  <si>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</si>
  <si>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</si>
  <si>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>нужно увеличить продажи!!!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</si>
  <si>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</si>
  <si>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</si>
  <si>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</si>
  <si>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</si>
  <si>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</si>
  <si>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</si>
  <si>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</si>
  <si>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</si>
  <si>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</si>
  <si>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</si>
  <si>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</si>
  <si>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</si>
  <si>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</si>
  <si>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</si>
  <si>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</si>
  <si>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</si>
  <si>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</si>
  <si>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</si>
  <si>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</si>
  <si>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</si>
  <si>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</si>
  <si>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</si>
  <si>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</si>
  <si>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</si>
  <si>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</si>
  <si>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</si>
  <si>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</si>
  <si>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</si>
  <si>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</si>
  <si>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</si>
  <si>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</si>
  <si>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</si>
  <si>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</si>
  <si>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</si>
  <si>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</si>
  <si>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</si>
  <si>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</si>
  <si>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</si>
  <si>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</si>
  <si>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</si>
  <si>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</si>
  <si>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</si>
  <si>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</si>
  <si>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</si>
  <si>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</si>
  <si>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</si>
  <si>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</si>
  <si>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</si>
  <si>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</si>
  <si>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</si>
  <si>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</si>
  <si>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</si>
  <si>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</si>
  <si>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</si>
  <si>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</si>
  <si>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159 шт списание (04,07,26 - инвентаризация)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</si>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</sst>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2;&#1072;&#1090;&#1088;&#1080;&#1094;&#1072;%20&#1055;&#1054;&#1050;&#1054;&#1052;%20&#1050;&#1048;%20(3)%20&#1053;&#104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C1" t="str">
            <v>Бердянск</v>
          </cell>
          <cell r="F1" t="str">
            <v>Донецк</v>
          </cell>
          <cell r="H1" t="str">
            <v>Луганск</v>
          </cell>
          <cell r="J1" t="str">
            <v>Мелитополь</v>
          </cell>
          <cell r="L1" t="str">
            <v>Итого</v>
          </cell>
        </row>
        <row r="2">
          <cell r="B2" t="str">
            <v>Номенклатура</v>
          </cell>
          <cell r="C2" t="str">
            <v>комм</v>
          </cell>
          <cell r="E2" t="str">
            <v>кг/дн</v>
          </cell>
          <cell r="F2" t="str">
            <v>комм</v>
          </cell>
          <cell r="G2" t="str">
            <v>кг/дн</v>
          </cell>
          <cell r="H2" t="str">
            <v>комм</v>
          </cell>
          <cell r="I2" t="str">
            <v>кг/дн</v>
          </cell>
          <cell r="J2" t="str">
            <v>комм</v>
          </cell>
          <cell r="K2" t="str">
            <v>кг/дн</v>
          </cell>
          <cell r="L2" t="str">
            <v>кг/дн</v>
          </cell>
          <cell r="M2" t="str">
            <v>МАТРИЦА</v>
          </cell>
          <cell r="N2" t="str">
            <v>ТК</v>
          </cell>
        </row>
        <row r="3">
          <cell r="B3" t="str">
            <v xml:space="preserve"> 457  Колбаса Молочная ТМ Особый рецепт ВЕС большой батон  ПОКОМ</v>
          </cell>
          <cell r="E3">
            <v>413.30754545454545</v>
          </cell>
          <cell r="G3">
            <v>760.6100909090909</v>
          </cell>
          <cell r="I3">
            <v>562.8811454545455</v>
          </cell>
          <cell r="K3">
            <v>541.6260727272728</v>
          </cell>
          <cell r="L3">
            <v>2278.4248545454548</v>
          </cell>
          <cell r="M3" t="str">
            <v>ДА</v>
          </cell>
          <cell r="O3" t="str">
            <v>матрица</v>
          </cell>
        </row>
        <row r="4">
          <cell r="B4" t="str">
            <v xml:space="preserve"> 201  Ветчина Нежная ТМ Особый рецепт, (2,5кг), ПОКОМ</v>
          </cell>
          <cell r="E4">
            <v>431.4899636363636</v>
          </cell>
          <cell r="G4">
            <v>708.30132727272746</v>
          </cell>
          <cell r="I4">
            <v>675.39320000000009</v>
          </cell>
          <cell r="K4">
            <v>348.8716</v>
          </cell>
          <cell r="L4">
            <v>2164.0560909090909</v>
          </cell>
          <cell r="M4" t="str">
            <v>ДА</v>
          </cell>
          <cell r="O4" t="str">
            <v>матрица</v>
          </cell>
        </row>
        <row r="5">
          <cell r="B5" t="str">
            <v xml:space="preserve"> 255  Сосиски Молочные для завтрака ТМ Особый рецепт, п/а МГС, ВЕС, ТМ Стародворье  ПОКОМ</v>
          </cell>
          <cell r="E5">
            <v>169.65543636363637</v>
          </cell>
          <cell r="G5">
            <v>1375.1720181818182</v>
          </cell>
          <cell r="I5">
            <v>464.52832727272727</v>
          </cell>
          <cell r="K5">
            <v>121.91812727272728</v>
          </cell>
          <cell r="L5">
            <v>2131.273909090909</v>
          </cell>
          <cell r="M5" t="str">
            <v>ДА</v>
          </cell>
          <cell r="O5" t="str">
            <v>матрица</v>
          </cell>
        </row>
        <row r="6">
          <cell r="B6" t="str">
            <v xml:space="preserve"> 456  Колбаса Филейная ТМ Особый рецепт ВЕС большой батон  ПОКОМ</v>
          </cell>
          <cell r="E6">
            <v>230.40876363636363</v>
          </cell>
          <cell r="G6">
            <v>729.25356363636365</v>
          </cell>
          <cell r="I6">
            <v>482.1989272727273</v>
          </cell>
          <cell r="K6">
            <v>301.32869090909094</v>
          </cell>
          <cell r="L6">
            <v>1743.1899454545455</v>
          </cell>
          <cell r="M6" t="str">
            <v>ДА</v>
          </cell>
          <cell r="O6" t="str">
            <v>матрица</v>
          </cell>
        </row>
        <row r="7">
          <cell r="B7" t="str">
            <v xml:space="preserve"> 273  Сосиски Сочинки с сочной грудинкой, МГС 0.4кг,   ПОКОМ</v>
          </cell>
          <cell r="E7">
            <v>127.79658181818182</v>
          </cell>
          <cell r="G7">
            <v>362.99636363636364</v>
          </cell>
          <cell r="I7">
            <v>863.34545454545446</v>
          </cell>
          <cell r="K7">
            <v>78.688000000000002</v>
          </cell>
          <cell r="L7">
            <v>1432.8263999999999</v>
          </cell>
          <cell r="M7" t="str">
            <v>ДА</v>
          </cell>
          <cell r="O7" t="str">
            <v>матрица</v>
          </cell>
        </row>
        <row r="8">
          <cell r="B8" t="str">
            <v xml:space="preserve"> 229  Колбаса Молочная Дугушка, в/у, ВЕС, ТМ Стародворье   ПОКОМ</v>
          </cell>
          <cell r="E8">
            <v>79.427999999999997</v>
          </cell>
          <cell r="G8">
            <v>918.72941818181835</v>
          </cell>
          <cell r="I8">
            <v>302.81472727272728</v>
          </cell>
          <cell r="K8">
            <v>103.0102</v>
          </cell>
          <cell r="L8">
            <v>1403.9823454545456</v>
          </cell>
          <cell r="M8" t="str">
            <v>ДА</v>
          </cell>
          <cell r="O8" t="str">
            <v>матрица</v>
          </cell>
        </row>
        <row r="9">
          <cell r="B9" t="str">
            <v xml:space="preserve"> 452  Колбаса Со шпиком ВЕС большой батон ТМ Особый рецепт  ПОКОМ</v>
          </cell>
          <cell r="E9">
            <v>302.98260000000005</v>
          </cell>
          <cell r="G9">
            <v>291.56718181818184</v>
          </cell>
          <cell r="I9">
            <v>382.6606727272727</v>
          </cell>
          <cell r="K9">
            <v>307.80638181818182</v>
          </cell>
          <cell r="L9">
            <v>1285.0168363636362</v>
          </cell>
          <cell r="M9" t="str">
            <v>ДА</v>
          </cell>
          <cell r="O9" t="str">
            <v>матрица</v>
          </cell>
        </row>
        <row r="10">
          <cell r="B10" t="str">
            <v xml:space="preserve"> 005  Колбаса Докторская ГОСТ, Вязанка вектор,ВЕС. ПОКОМ</v>
          </cell>
          <cell r="E10">
            <v>53.057090909090903</v>
          </cell>
          <cell r="G10">
            <v>527.26167272727275</v>
          </cell>
          <cell r="I10">
            <v>573.32132727272722</v>
          </cell>
          <cell r="K10">
            <v>63.411036363636363</v>
          </cell>
          <cell r="L10">
            <v>1217.0511272727272</v>
          </cell>
          <cell r="M10" t="str">
            <v>ДА</v>
          </cell>
          <cell r="O10" t="str">
            <v>матрица</v>
          </cell>
        </row>
        <row r="11">
          <cell r="B11" t="str">
            <v xml:space="preserve"> 200  Ветчина Дугушка ТМ Стародворье, вектор в/у    ПОКОМ</v>
          </cell>
          <cell r="E11">
            <v>91.524999999999991</v>
          </cell>
          <cell r="G11">
            <v>764.16267272727271</v>
          </cell>
          <cell r="I11">
            <v>223.01343636363637</v>
          </cell>
          <cell r="K11">
            <v>69.916563636363648</v>
          </cell>
          <cell r="L11">
            <v>1148.6176727272727</v>
          </cell>
          <cell r="M11" t="str">
            <v>ДА</v>
          </cell>
          <cell r="O11" t="str">
            <v>матрица</v>
          </cell>
        </row>
        <row r="12">
          <cell r="B12" t="str">
            <v xml:space="preserve"> 449  Колбаса Дугушка Стародворская ВЕС ТС Дугушка ПОКОМ</v>
          </cell>
          <cell r="E12">
            <v>39.826636363636361</v>
          </cell>
          <cell r="G12">
            <v>729.7763636363635</v>
          </cell>
          <cell r="I12">
            <v>184.59687272727271</v>
          </cell>
          <cell r="K12">
            <v>51.667200000000008</v>
          </cell>
          <cell r="L12">
            <v>1005.8670727272726</v>
          </cell>
          <cell r="M12" t="str">
            <v>ДА</v>
          </cell>
          <cell r="O12" t="str">
            <v>матрица</v>
          </cell>
        </row>
        <row r="13">
          <cell r="B13" t="str">
            <v xml:space="preserve"> 017  Сосиски Вязанка Сливочные, Вязанка амицел ВЕС.ПОКОМ</v>
          </cell>
          <cell r="E13">
            <v>53.483872727272725</v>
          </cell>
          <cell r="G13">
            <v>592.45045454545459</v>
          </cell>
          <cell r="I13">
            <v>210.54010909090906</v>
          </cell>
          <cell r="K13">
            <v>117.65187272727272</v>
          </cell>
          <cell r="L13">
            <v>974.12630909090899</v>
          </cell>
          <cell r="M13" t="str">
            <v>ДА</v>
          </cell>
          <cell r="O13" t="str">
            <v>матрица</v>
          </cell>
        </row>
        <row r="14">
          <cell r="B14" t="str">
            <v xml:space="preserve"> 250  Сардельки стародворские с говядиной в обол. NDX, ВЕС. ПОКОМ</v>
          </cell>
          <cell r="E14">
            <v>37.439636363636367</v>
          </cell>
          <cell r="G14">
            <v>315.04670909090902</v>
          </cell>
          <cell r="I14">
            <v>387.73969090909088</v>
          </cell>
          <cell r="K14">
            <v>64.908690909090922</v>
          </cell>
          <cell r="L14">
            <v>805.1347272727271</v>
          </cell>
          <cell r="M14" t="str">
            <v>ДА</v>
          </cell>
          <cell r="O14" t="str">
            <v>матрица</v>
          </cell>
        </row>
        <row r="15">
          <cell r="B15" t="str">
            <v xml:space="preserve"> 242  Колбаса Сервелат ЗАПЕЧ.Дугушка ТМ Стародворье, вектор, в/к     ПОКОМ</v>
          </cell>
          <cell r="E15">
            <v>43.75481818181818</v>
          </cell>
          <cell r="G15">
            <v>426.37030909090902</v>
          </cell>
          <cell r="I15">
            <v>126.78061818181818</v>
          </cell>
          <cell r="K15">
            <v>51.175581818181826</v>
          </cell>
          <cell r="L15">
            <v>648.08132727272721</v>
          </cell>
          <cell r="M15" t="str">
            <v>ДА</v>
          </cell>
          <cell r="O15" t="str">
            <v>матрица</v>
          </cell>
        </row>
        <row r="16">
          <cell r="B16" t="str">
            <v xml:space="preserve"> 016  Сосиски Вязанка Молочные, Вязанка вискофан  ВЕС.ПОКОМ</v>
          </cell>
          <cell r="E16">
            <v>53.885309090909097</v>
          </cell>
          <cell r="G16">
            <v>180.80540000000002</v>
          </cell>
          <cell r="I16">
            <v>219.56869090909095</v>
          </cell>
          <cell r="K16">
            <v>123.18503636363636</v>
          </cell>
          <cell r="L16">
            <v>577.44443636363644</v>
          </cell>
          <cell r="M16" t="str">
            <v>ДА</v>
          </cell>
          <cell r="O16" t="str">
            <v>матрица</v>
          </cell>
        </row>
        <row r="17">
          <cell r="B17" t="str">
            <v xml:space="preserve"> 032  Сосиски Вязанка Сливочные, Вязанка амицел МГС, 0.45кг, ПОКОМ</v>
          </cell>
          <cell r="E17">
            <v>55.014545454545456</v>
          </cell>
          <cell r="G17">
            <v>275.28174000000001</v>
          </cell>
          <cell r="I17">
            <v>210.72727272727272</v>
          </cell>
          <cell r="K17">
            <v>32.440909090909095</v>
          </cell>
          <cell r="L17">
            <v>573.46446727272735</v>
          </cell>
          <cell r="M17" t="str">
            <v>ДА</v>
          </cell>
          <cell r="O17" t="str">
            <v>матрица</v>
          </cell>
        </row>
        <row r="18">
          <cell r="B18" t="str">
            <v xml:space="preserve"> 346  Колбаса Сочинка зернистая с сочной грудинкой ТМ Стародворье.ВЕС ПОКОМ</v>
          </cell>
          <cell r="E18">
            <v>80.423381818181824</v>
          </cell>
          <cell r="G18">
            <v>141.19532727272733</v>
          </cell>
          <cell r="I18">
            <v>162.78109090909089</v>
          </cell>
          <cell r="K18">
            <v>85.183327272727269</v>
          </cell>
          <cell r="L18">
            <v>469.58312727272732</v>
          </cell>
          <cell r="M18" t="str">
            <v>ДА</v>
          </cell>
          <cell r="O18" t="str">
            <v>матрица</v>
          </cell>
        </row>
        <row r="19">
          <cell r="B19" t="str">
            <v xml:space="preserve"> 307  Колбаса Сервелат Мясорубский с мелкорубленным окороком 0,35 кг срез ТМ Стародворье   Поком</v>
          </cell>
          <cell r="E19">
            <v>18.409999999999997</v>
          </cell>
          <cell r="G19">
            <v>76.872727272727261</v>
          </cell>
          <cell r="I19">
            <v>338.43636363636364</v>
          </cell>
          <cell r="K19">
            <v>23.817818181818179</v>
          </cell>
          <cell r="L19">
            <v>457.53690909090903</v>
          </cell>
          <cell r="M19" t="str">
            <v>ДА</v>
          </cell>
          <cell r="O19" t="str">
            <v>матрица</v>
          </cell>
        </row>
        <row r="20">
          <cell r="B20" t="str">
            <v xml:space="preserve"> 239  Колбаса Салями запеч Дугушка, оболочка вектор, ВЕС, ТМ Стародворье  ПОКОМ</v>
          </cell>
          <cell r="E20">
            <v>35.372963636363629</v>
          </cell>
          <cell r="G20">
            <v>251.85776363636361</v>
          </cell>
          <cell r="I20">
            <v>96.607454545454544</v>
          </cell>
          <cell r="K20">
            <v>44.463963636363637</v>
          </cell>
          <cell r="L20">
            <v>428.30214545454538</v>
          </cell>
          <cell r="M20" t="str">
            <v>ДА</v>
          </cell>
          <cell r="O20" t="str">
            <v>матрица</v>
          </cell>
        </row>
        <row r="21">
          <cell r="B21" t="str">
            <v xml:space="preserve"> 597  Колбаса Классическая ТМ Особый рецепт в оболочке полиамид ВЕС. ПОКОМ</v>
          </cell>
          <cell r="C21" t="str">
            <v>вместо 219 / новинка</v>
          </cell>
          <cell r="E21">
            <v>69.961836363636365</v>
          </cell>
          <cell r="F21" t="str">
            <v>вместо 219 / новинка</v>
          </cell>
          <cell r="G21">
            <v>158.5368</v>
          </cell>
          <cell r="H21" t="str">
            <v>вместо 219 / новинка</v>
          </cell>
          <cell r="I21">
            <v>167.04790909090909</v>
          </cell>
          <cell r="J21" t="str">
            <v>вместо 219 / новинка</v>
          </cell>
          <cell r="K21">
            <v>24.652127272727274</v>
          </cell>
          <cell r="L21">
            <v>420.19867272727276</v>
          </cell>
          <cell r="M21" t="str">
            <v>ДА</v>
          </cell>
          <cell r="O21" t="str">
            <v>матрица</v>
          </cell>
        </row>
        <row r="22">
          <cell r="B22" t="str">
            <v xml:space="preserve"> 278  Сосиски Сочинки с сочным окороком, МГС 0.4кг,   ПОКОМ</v>
          </cell>
          <cell r="E22">
            <v>49.570909090909097</v>
          </cell>
          <cell r="G22">
            <v>80.25454545454545</v>
          </cell>
          <cell r="I22">
            <v>226.09090909090904</v>
          </cell>
          <cell r="K22">
            <v>21.36</v>
          </cell>
          <cell r="L22">
            <v>377.27636363636361</v>
          </cell>
          <cell r="M22" t="str">
            <v>ДА</v>
          </cell>
          <cell r="O22" t="str">
            <v>матрица</v>
          </cell>
        </row>
        <row r="23">
          <cell r="B23" t="str">
            <v xml:space="preserve"> 030  Сосиски Вязанка Молочные, Вязанка вискофан МГС, 0.45кг, ПОКОМ</v>
          </cell>
          <cell r="E23">
            <v>46.718181818181819</v>
          </cell>
          <cell r="G23">
            <v>167.58818181818179</v>
          </cell>
          <cell r="I23">
            <v>112.05454545454545</v>
          </cell>
          <cell r="K23">
            <v>22.47545454545455</v>
          </cell>
          <cell r="L23">
            <v>348.83636363636361</v>
          </cell>
          <cell r="M23" t="str">
            <v>ДА</v>
          </cell>
          <cell r="O23" t="str">
            <v>матрица</v>
          </cell>
        </row>
        <row r="24">
          <cell r="B24" t="str">
            <v xml:space="preserve"> 335  Колбаса Сливушка ТМ Вязанка. ВЕС.  ПОКОМ </v>
          </cell>
          <cell r="E24">
            <v>30.843672727272725</v>
          </cell>
          <cell r="G24">
            <v>102.65485454545454</v>
          </cell>
          <cell r="I24">
            <v>158.35945454545455</v>
          </cell>
          <cell r="K24">
            <v>15.658036363636363</v>
          </cell>
          <cell r="L24">
            <v>307.5160181818182</v>
          </cell>
          <cell r="M24" t="str">
            <v>ДА</v>
          </cell>
          <cell r="O24" t="str">
            <v>матрица</v>
          </cell>
        </row>
        <row r="25">
          <cell r="B25" t="str">
            <v xml:space="preserve"> 330  Колбаса вареная Филейская ТМ Вязанка ТС Классическая ВЕС  ПОКОМ</v>
          </cell>
          <cell r="E25">
            <v>13.728272727272726</v>
          </cell>
          <cell r="G25">
            <v>100.97541818181817</v>
          </cell>
          <cell r="I25">
            <v>146.8341818181818</v>
          </cell>
          <cell r="K25">
            <v>19.546963636363635</v>
          </cell>
          <cell r="L25">
            <v>281.08483636363633</v>
          </cell>
          <cell r="M25" t="str">
            <v>ДА</v>
          </cell>
          <cell r="O25" t="str">
            <v>матрица</v>
          </cell>
        </row>
        <row r="26">
          <cell r="B26" t="str">
            <v xml:space="preserve"> 364  Сардельки Филейские Вязанка ВЕС NDX ТМ Вязанка  ПОКОМ</v>
          </cell>
          <cell r="E26">
            <v>43.509363636363638</v>
          </cell>
          <cell r="G26">
            <v>99.154109090909074</v>
          </cell>
          <cell r="I26">
            <v>81.312854545454556</v>
          </cell>
          <cell r="K26">
            <v>46.307563636363632</v>
          </cell>
          <cell r="L26">
            <v>270.28389090909087</v>
          </cell>
          <cell r="M26" t="str">
            <v>ДА</v>
          </cell>
          <cell r="O26" t="str">
            <v>матрица</v>
          </cell>
        </row>
        <row r="27">
          <cell r="B27" t="str">
            <v xml:space="preserve"> 315  Колбаса вареная Молокуша ТМ Вязанка ВЕС, ПОКОМ</v>
          </cell>
          <cell r="E27">
            <v>28.66174545454545</v>
          </cell>
          <cell r="G27">
            <v>93.569636363636349</v>
          </cell>
          <cell r="I27">
            <v>117.37136363636364</v>
          </cell>
          <cell r="K27">
            <v>20.620345454545454</v>
          </cell>
          <cell r="L27">
            <v>260.2230909090909</v>
          </cell>
          <cell r="M27" t="str">
            <v>ДА</v>
          </cell>
          <cell r="O27" t="str">
            <v>матрица</v>
          </cell>
        </row>
        <row r="28">
          <cell r="B28" t="str">
            <v xml:space="preserve"> 342 Сосиски Сочинки Молочные ТМ Стародворье 0,4 кг ПОКОМ</v>
          </cell>
          <cell r="E28">
            <v>26.167272727272724</v>
          </cell>
          <cell r="G28">
            <v>41.345454545454544</v>
          </cell>
          <cell r="I28">
            <v>135.81818181818181</v>
          </cell>
          <cell r="K28">
            <v>31.498181818181816</v>
          </cell>
          <cell r="L28">
            <v>234.82909090909089</v>
          </cell>
          <cell r="M28" t="str">
            <v>ДА</v>
          </cell>
          <cell r="O28" t="str">
            <v>матрица</v>
          </cell>
        </row>
        <row r="29">
          <cell r="B29" t="str">
            <v xml:space="preserve"> 586  Колбаса Мясная ТМ Стародворье в оболочке вектор НД ВЕС.  ПОКОМ</v>
          </cell>
          <cell r="E29">
            <v>28.775854545454546</v>
          </cell>
          <cell r="G29">
            <v>86.942181818181822</v>
          </cell>
          <cell r="I29">
            <v>78.024363636363645</v>
          </cell>
          <cell r="K29">
            <v>25.494345454545456</v>
          </cell>
          <cell r="L29">
            <v>219.23674545454548</v>
          </cell>
          <cell r="M29" t="str">
            <v>ДА</v>
          </cell>
          <cell r="O29" t="str">
            <v>матрица</v>
          </cell>
        </row>
        <row r="30">
          <cell r="B30" t="str">
            <v xml:space="preserve"> 276  Колбаса Сливушка ТМ Вязанка в оболочке полиамид 0,45 кг  ПОКОМ</v>
          </cell>
          <cell r="E30">
            <v>24.488181818181822</v>
          </cell>
          <cell r="G30">
            <v>72.335454545454553</v>
          </cell>
          <cell r="I30">
            <v>91.472727272727283</v>
          </cell>
          <cell r="K30">
            <v>21.428181818181823</v>
          </cell>
          <cell r="L30">
            <v>209.72454545454548</v>
          </cell>
          <cell r="M30" t="str">
            <v>ДА</v>
          </cell>
          <cell r="O30" t="str">
            <v>матрица</v>
          </cell>
        </row>
        <row r="31">
          <cell r="B31" t="str">
            <v xml:space="preserve"> 309  Сосиски Сочинки с сыром 0,4 кг ТМ Стародворье  ПОКОМ</v>
          </cell>
          <cell r="E31">
            <v>28.552930909090907</v>
          </cell>
          <cell r="G31">
            <v>31.985454545454555</v>
          </cell>
          <cell r="I31">
            <v>117.38181818181819</v>
          </cell>
          <cell r="K31">
            <v>21.396363636363638</v>
          </cell>
          <cell r="L31">
            <v>199.3165672727273</v>
          </cell>
          <cell r="M31" t="str">
            <v>ДА</v>
          </cell>
          <cell r="O31" t="str">
            <v>матрица</v>
          </cell>
        </row>
        <row r="32">
          <cell r="B32" t="str">
            <v xml:space="preserve"> 343 Сосиски Сочинки Сливочные ТМ Стародворье  0,4 кг ПОКОМ</v>
          </cell>
          <cell r="E32">
            <v>25.025454545454551</v>
          </cell>
          <cell r="G32">
            <v>36.669090909090912</v>
          </cell>
          <cell r="I32">
            <v>115.36363636363639</v>
          </cell>
          <cell r="K32">
            <v>21.12</v>
          </cell>
          <cell r="L32">
            <v>198.17818181818186</v>
          </cell>
          <cell r="M32" t="str">
            <v>ДА</v>
          </cell>
          <cell r="O32" t="str">
            <v>матрица</v>
          </cell>
        </row>
        <row r="33">
          <cell r="B33" t="str">
            <v xml:space="preserve"> 556  Колбаса Сервелат Ореховый ТМ Вязанка в оболочке фиброуз в вакуумной упаковке, ВЕС  ПОКОМ</v>
          </cell>
          <cell r="E33">
            <v>31.384454545454549</v>
          </cell>
          <cell r="G33">
            <v>49.203490909090903</v>
          </cell>
          <cell r="I33">
            <v>66.371418181818186</v>
          </cell>
          <cell r="K33">
            <v>39.45614545454545</v>
          </cell>
          <cell r="L33">
            <v>186.4155090909091</v>
          </cell>
          <cell r="M33" t="str">
            <v>ДА</v>
          </cell>
          <cell r="O33" t="str">
            <v>матрица</v>
          </cell>
        </row>
        <row r="34">
          <cell r="B34" t="str">
            <v xml:space="preserve"> 558  Колбаса Балыковая НОВАЯ ВЕС Вязанка фиброуз в/у ПОКОМ</v>
          </cell>
          <cell r="E34">
            <v>6.6916909090909096</v>
          </cell>
          <cell r="G34">
            <v>39.808509090909091</v>
          </cell>
          <cell r="I34">
            <v>85.018854545454559</v>
          </cell>
          <cell r="K34">
            <v>51.001200000000011</v>
          </cell>
          <cell r="L34">
            <v>182.52025454545458</v>
          </cell>
          <cell r="M34" t="str">
            <v>ДА</v>
          </cell>
          <cell r="O34" t="str">
            <v>матрица</v>
          </cell>
        </row>
        <row r="35">
          <cell r="B35" t="str">
            <v xml:space="preserve"> 322  Колбаса вареная Молокуша 0,45кг ТМ Вязанка  ПОКОМ</v>
          </cell>
          <cell r="E35">
            <v>24.12</v>
          </cell>
          <cell r="G35">
            <v>43.011818181818185</v>
          </cell>
          <cell r="I35">
            <v>96.854545454545459</v>
          </cell>
          <cell r="K35">
            <v>17.509090909090908</v>
          </cell>
          <cell r="L35">
            <v>181.49545454545455</v>
          </cell>
          <cell r="M35" t="str">
            <v>ДА</v>
          </cell>
          <cell r="O35" t="str">
            <v>матрица</v>
          </cell>
        </row>
        <row r="36">
          <cell r="B36" t="str">
            <v xml:space="preserve"> 236  Колбаса Рубленая ЗАПЕЧ. Дугушка ТМ Стародворье, вектор, в/к    ПОКОМ</v>
          </cell>
          <cell r="E36">
            <v>23.212618181818183</v>
          </cell>
          <cell r="G36">
            <v>93.365181818181824</v>
          </cell>
          <cell r="I36">
            <v>37.486145454545458</v>
          </cell>
          <cell r="K36">
            <v>15.872727272727275</v>
          </cell>
          <cell r="L36">
            <v>169.93667272727274</v>
          </cell>
          <cell r="M36" t="str">
            <v>ДА</v>
          </cell>
          <cell r="O36" t="str">
            <v>матрица</v>
          </cell>
        </row>
        <row r="37">
          <cell r="B37" t="str">
            <v xml:space="preserve"> 312  Ветчина Филейская ВЕС ТМ  Вязанка ТС Столичная  ПОКОМ</v>
          </cell>
          <cell r="E37">
            <v>16.771872727272729</v>
          </cell>
          <cell r="G37">
            <v>24.232963636363639</v>
          </cell>
          <cell r="I37">
            <v>95.739527272727273</v>
          </cell>
          <cell r="K37">
            <v>6.616818181818183</v>
          </cell>
          <cell r="L37">
            <v>143.36118181818182</v>
          </cell>
          <cell r="M37" t="str">
            <v>ДА</v>
          </cell>
          <cell r="O37" t="str">
            <v>матрица</v>
          </cell>
        </row>
        <row r="38">
          <cell r="B38" t="str">
            <v xml:space="preserve"> 248  Сардельки Сочные ТМ Особый рецепт,   ПОКОМ</v>
          </cell>
          <cell r="E38">
            <v>40.403636363636366</v>
          </cell>
          <cell r="F38" t="str">
            <v>нет</v>
          </cell>
          <cell r="I38">
            <v>39.080327272727267</v>
          </cell>
          <cell r="K38">
            <v>55.379236363636366</v>
          </cell>
          <cell r="L38">
            <v>134.86320000000001</v>
          </cell>
          <cell r="M38" t="str">
            <v>ДА</v>
          </cell>
          <cell r="O38" t="str">
            <v>матрица</v>
          </cell>
        </row>
        <row r="39">
          <cell r="B39" t="str">
            <v xml:space="preserve"> 395  Колбаса Докторская ГОСТ ТМ Вязанка в оболочке полиамид 0,37 кг. ПОКОМ</v>
          </cell>
          <cell r="C39" t="str">
            <v>нет</v>
          </cell>
          <cell r="G39">
            <v>8.9876363636363656</v>
          </cell>
          <cell r="I39">
            <v>111.1090909090909</v>
          </cell>
          <cell r="K39">
            <v>12.102363636363636</v>
          </cell>
          <cell r="L39">
            <v>132.1990909090909</v>
          </cell>
          <cell r="M39" t="str">
            <v>ДА</v>
          </cell>
          <cell r="O39" t="str">
            <v>матрица</v>
          </cell>
        </row>
        <row r="40">
          <cell r="B40" t="str">
            <v xml:space="preserve"> 319  Колбаса вареная Филейская ТМ Вязанка ТС Классическая, 0,45 кг. ПОКОМ</v>
          </cell>
          <cell r="E40">
            <v>13.328181818181816</v>
          </cell>
          <cell r="G40">
            <v>42.015346363636361</v>
          </cell>
          <cell r="I40">
            <v>61.763636363636358</v>
          </cell>
          <cell r="K40">
            <v>11.479090909090907</v>
          </cell>
          <cell r="L40">
            <v>128.58625545454544</v>
          </cell>
          <cell r="M40" t="str">
            <v>ДА</v>
          </cell>
          <cell r="O40" t="str">
            <v>матрица</v>
          </cell>
        </row>
        <row r="41">
          <cell r="B41" t="str">
            <v xml:space="preserve"> 345  Колбаса Сочинка по-фински с сочным окроком ТМ Стародворье ВЕС ПОКОМ</v>
          </cell>
          <cell r="E41">
            <v>28.186163636363634</v>
          </cell>
          <cell r="G41">
            <v>12.168309090909089</v>
          </cell>
          <cell r="I41">
            <v>58.673200000000001</v>
          </cell>
          <cell r="K41">
            <v>26.178872727272729</v>
          </cell>
          <cell r="L41">
            <v>125.20654545454545</v>
          </cell>
          <cell r="M41" t="str">
            <v>ДА</v>
          </cell>
          <cell r="O41" t="str">
            <v>матрица</v>
          </cell>
        </row>
        <row r="42">
          <cell r="B42" t="str">
            <v xml:space="preserve"> 344  Колбаса Сочинка по-европейски с сочной грудинкой ТМ Стародворье, ВЕС ПОКОМ</v>
          </cell>
          <cell r="E42">
            <v>29.14381818181818</v>
          </cell>
          <cell r="G42">
            <v>9.5771636363636343</v>
          </cell>
          <cell r="I42">
            <v>54.898672727272725</v>
          </cell>
          <cell r="K42">
            <v>25.922581818181822</v>
          </cell>
          <cell r="L42">
            <v>119.54223636363636</v>
          </cell>
          <cell r="M42" t="str">
            <v>ДА</v>
          </cell>
          <cell r="O42" t="str">
            <v>матрица</v>
          </cell>
        </row>
        <row r="43">
          <cell r="B43" t="str">
            <v xml:space="preserve"> 376  Колбаса Докторская Дугушка 0,6кг ГОСТ ТМ Стародворье  ПОКОМ </v>
          </cell>
          <cell r="E43">
            <v>10.767272727272724</v>
          </cell>
          <cell r="G43">
            <v>85.756363636363616</v>
          </cell>
          <cell r="I43">
            <v>22.854545454545455</v>
          </cell>
          <cell r="J43" t="str">
            <v>нет</v>
          </cell>
          <cell r="L43">
            <v>119.3781818181818</v>
          </cell>
          <cell r="M43" t="str">
            <v>ДА</v>
          </cell>
          <cell r="O43" t="str">
            <v>матрица</v>
          </cell>
        </row>
        <row r="44">
          <cell r="B44" t="str">
            <v xml:space="preserve"> 347  Колбаса Сочинка рубленая с сочным окороком ТМ Стародворье ВЕС ПОКОМ</v>
          </cell>
          <cell r="E44">
            <v>33.89801818181818</v>
          </cell>
          <cell r="G44">
            <v>10.838545454545455</v>
          </cell>
          <cell r="I44">
            <v>46.446218181818182</v>
          </cell>
          <cell r="K44">
            <v>26.906745454545455</v>
          </cell>
          <cell r="L44">
            <v>118.08952727272727</v>
          </cell>
          <cell r="M44" t="str">
            <v>ДА</v>
          </cell>
          <cell r="O44" t="str">
            <v>матрица</v>
          </cell>
        </row>
        <row r="45">
          <cell r="B45" t="str">
            <v xml:space="preserve"> 571  Колбаса Сервелат Ореховый ТМ Вязанка в оболочке фиброуз в вак. упаковке 0,28 кг срез  ПОКОМ</v>
          </cell>
          <cell r="E45">
            <v>10.975999999999999</v>
          </cell>
          <cell r="G45">
            <v>25.077818181818184</v>
          </cell>
          <cell r="I45">
            <v>66.090909090909093</v>
          </cell>
          <cell r="K45">
            <v>9.8865454545454572</v>
          </cell>
          <cell r="L45">
            <v>112.03127272727274</v>
          </cell>
          <cell r="M45" t="str">
            <v>ДА</v>
          </cell>
          <cell r="O45" t="str">
            <v>матрица</v>
          </cell>
        </row>
        <row r="46">
          <cell r="B46" t="str">
            <v xml:space="preserve"> 569  Колбаса Балыковая ТМ Вязанка в оболочке фиброуз в вакуумной упаковке 0,28 кг срез.  ПОКОМ</v>
          </cell>
          <cell r="E46">
            <v>12.304727272727273</v>
          </cell>
          <cell r="G46">
            <v>21.463272727272731</v>
          </cell>
          <cell r="I46">
            <v>68.018181818181816</v>
          </cell>
          <cell r="K46">
            <v>7.0000000000000009</v>
          </cell>
          <cell r="L46">
            <v>108.78618181818182</v>
          </cell>
          <cell r="M46" t="str">
            <v>ДА</v>
          </cell>
          <cell r="O46" t="str">
            <v>матрица</v>
          </cell>
        </row>
        <row r="47">
          <cell r="B47" t="str">
            <v xml:space="preserve"> 215  Колбаса Докторская ГОСТ Дугушка, ВЕС, ТМ Стародворье ПОКОМ</v>
          </cell>
          <cell r="E47">
            <v>13.842654545454547</v>
          </cell>
          <cell r="G47">
            <v>56.925399999999996</v>
          </cell>
          <cell r="I47">
            <v>19.515854545454545</v>
          </cell>
          <cell r="K47">
            <v>17.722309090909089</v>
          </cell>
          <cell r="L47">
            <v>108.00621818181818</v>
          </cell>
          <cell r="M47" t="str">
            <v>ДА</v>
          </cell>
          <cell r="O47" t="str">
            <v>матрица</v>
          </cell>
        </row>
        <row r="48">
          <cell r="B48" t="str">
            <v xml:space="preserve"> 557  Колбаса Сервелат Финский ТМ Вязанка в оболочке фиброуз в вакуумной упаковке, ВЕС  ПОКОМ</v>
          </cell>
          <cell r="E48">
            <v>20.928963636363637</v>
          </cell>
          <cell r="G48">
            <v>10.168090909090909</v>
          </cell>
          <cell r="I48">
            <v>30.683054545454546</v>
          </cell>
          <cell r="K48">
            <v>42.063218181818179</v>
          </cell>
          <cell r="L48">
            <v>103.84332727272727</v>
          </cell>
          <cell r="M48" t="str">
            <v>ДА</v>
          </cell>
          <cell r="O48" t="str">
            <v>матрица</v>
          </cell>
        </row>
        <row r="49">
          <cell r="B49" t="str">
            <v>495  Колбаса Сочинка по-европейски с сочной грудинкой 0,3кг ТМ Стародворье  ПОКОМ</v>
          </cell>
          <cell r="E49">
            <v>11.285454545454545</v>
          </cell>
          <cell r="G49">
            <v>10.06909090909091</v>
          </cell>
          <cell r="I49">
            <v>61.018181818181809</v>
          </cell>
          <cell r="K49">
            <v>11.934545454545454</v>
          </cell>
          <cell r="L49">
            <v>94.307272727272718</v>
          </cell>
          <cell r="M49" t="str">
            <v>ДА</v>
          </cell>
          <cell r="O49" t="str">
            <v>матрица</v>
          </cell>
        </row>
        <row r="50">
          <cell r="B50" t="str">
            <v xml:space="preserve"> 412  Сосиски Баварские ТМ Стародворье 0,35 кг ПОКОМ</v>
          </cell>
          <cell r="E50">
            <v>9.3863636363636385</v>
          </cell>
          <cell r="G50">
            <v>30.997272727272726</v>
          </cell>
          <cell r="I50">
            <v>46.800000000000004</v>
          </cell>
          <cell r="K50">
            <v>1.9090909090909087</v>
          </cell>
          <cell r="L50">
            <v>89.092727272727274</v>
          </cell>
          <cell r="M50" t="str">
            <v>ДА</v>
          </cell>
          <cell r="O50" t="str">
            <v>матрица</v>
          </cell>
        </row>
        <row r="51">
          <cell r="B51" t="str">
            <v xml:space="preserve"> 377  Колбаса Молочная Дугушка 0,6кг ТМ Стародворье  ПОКОМ</v>
          </cell>
          <cell r="E51">
            <v>19.134545454545453</v>
          </cell>
          <cell r="G51">
            <v>55.330909090909095</v>
          </cell>
          <cell r="I51">
            <v>5.745454545454546</v>
          </cell>
          <cell r="K51">
            <v>6.545454545454545</v>
          </cell>
          <cell r="L51">
            <v>86.756363636363645</v>
          </cell>
          <cell r="M51" t="str">
            <v>ДА</v>
          </cell>
          <cell r="O51" t="str">
            <v>матрица</v>
          </cell>
        </row>
        <row r="52">
          <cell r="B52" t="str">
            <v xml:space="preserve"> 579  Колбаса Ветчинно-рубленая ТМ Особый рецепт в оболочке полиамид.ВЕС  ПОКОМ</v>
          </cell>
          <cell r="E52">
            <v>13.596836363636363</v>
          </cell>
          <cell r="G52">
            <v>12.790127272727272</v>
          </cell>
          <cell r="I52">
            <v>42.729054545454552</v>
          </cell>
          <cell r="K52">
            <v>16.525109090909094</v>
          </cell>
          <cell r="L52">
            <v>85.641127272727289</v>
          </cell>
          <cell r="M52" t="str">
            <v>ДА</v>
          </cell>
          <cell r="O52" t="str">
            <v>матрица</v>
          </cell>
        </row>
        <row r="53">
          <cell r="B53" t="str">
            <v xml:space="preserve"> 585  Колбаса Молочная ТМ Стародворье в оболочке вектор НД ВЕС.  ПОКОМ</v>
          </cell>
          <cell r="E53">
            <v>14.898945454545453</v>
          </cell>
          <cell r="G53">
            <v>5.2616181818181822</v>
          </cell>
          <cell r="I53">
            <v>55.263527272727266</v>
          </cell>
          <cell r="K53">
            <v>7.2331636363636367</v>
          </cell>
          <cell r="L53">
            <v>82.657254545454535</v>
          </cell>
          <cell r="M53" t="str">
            <v>ДА</v>
          </cell>
          <cell r="O53" t="str">
            <v>матрица</v>
          </cell>
        </row>
        <row r="54">
          <cell r="B54" t="str">
            <v xml:space="preserve"> 302  Сосиски Сочинки по-баварски,  0.4кг, ТМ Стародворье  ПОКОМ</v>
          </cell>
          <cell r="E54">
            <v>12.981818181818182</v>
          </cell>
          <cell r="G54">
            <v>17.127272727272729</v>
          </cell>
          <cell r="I54">
            <v>39.56363636363637</v>
          </cell>
          <cell r="K54">
            <v>9.8763636363636351</v>
          </cell>
          <cell r="L54">
            <v>79.549090909090921</v>
          </cell>
          <cell r="M54" t="str">
            <v>ДА</v>
          </cell>
          <cell r="O54" t="str">
            <v>матрица</v>
          </cell>
        </row>
        <row r="55">
          <cell r="B55" t="str">
            <v xml:space="preserve"> 301  Сосиски Сочинки по-баварски с сыром,  0.4кг, ТМ Стародворье  ПОКОМ</v>
          </cell>
          <cell r="E55">
            <v>9.8545454545454572</v>
          </cell>
          <cell r="G55">
            <v>17.861818181818183</v>
          </cell>
          <cell r="I55">
            <v>42.290909090909089</v>
          </cell>
          <cell r="K55">
            <v>9.286545454545454</v>
          </cell>
          <cell r="L55">
            <v>79.293818181818182</v>
          </cell>
          <cell r="M55" t="str">
            <v>ДА</v>
          </cell>
          <cell r="O55" t="str">
            <v>матрица</v>
          </cell>
        </row>
        <row r="56">
          <cell r="B56" t="str">
            <v xml:space="preserve"> 296  Колбаса Мясорубская с рубленой грудинкой 0,35кг срез ТМ Стародворье  ПОКОМ</v>
          </cell>
          <cell r="E56">
            <v>5.2818181818181822</v>
          </cell>
          <cell r="G56">
            <v>7.1781818181818169</v>
          </cell>
          <cell r="I56">
            <v>50.800000000000004</v>
          </cell>
          <cell r="K56">
            <v>8.7754545454545436</v>
          </cell>
          <cell r="L56">
            <v>72.035454545454542</v>
          </cell>
          <cell r="M56" t="str">
            <v>ДА</v>
          </cell>
          <cell r="O56" t="str">
            <v>матрица</v>
          </cell>
        </row>
        <row r="57">
          <cell r="B57" t="str">
            <v xml:space="preserve"> 263  Шпикачки Стародворские, ВЕС.  ПОКОМ</v>
          </cell>
          <cell r="E57">
            <v>15.403563636363636</v>
          </cell>
          <cell r="F57" t="str">
            <v>нет</v>
          </cell>
          <cell r="I57">
            <v>46.609618181818185</v>
          </cell>
          <cell r="K57">
            <v>9.9349636363636353</v>
          </cell>
          <cell r="L57">
            <v>71.948145454545454</v>
          </cell>
          <cell r="M57" t="str">
            <v>ДА</v>
          </cell>
          <cell r="O57" t="str">
            <v>матрица</v>
          </cell>
        </row>
        <row r="58">
          <cell r="B58" t="str">
            <v>503 Колбаса Филейская со шпиком ТМ Вязанка в оболочке полиамид.ПОКОМ</v>
          </cell>
          <cell r="E58">
            <v>2.4119999999999999</v>
          </cell>
          <cell r="G58">
            <v>10.486818181818183</v>
          </cell>
          <cell r="I58">
            <v>55.605672727272719</v>
          </cell>
          <cell r="K58">
            <v>1.6481636363636363</v>
          </cell>
          <cell r="L58">
            <v>70.152654545454538</v>
          </cell>
          <cell r="M58" t="str">
            <v>ДА</v>
          </cell>
          <cell r="O58" t="str">
            <v>матрица</v>
          </cell>
        </row>
        <row r="59">
          <cell r="B59" t="str">
            <v xml:space="preserve"> 305  Колбаса Сервелат Мясорубский с мелкорубленным окороком в/у  ТМ Стародворье ВЕС   ПОКОМ</v>
          </cell>
          <cell r="E59">
            <v>18.893236363636365</v>
          </cell>
          <cell r="G59">
            <v>7.0209090909090914</v>
          </cell>
          <cell r="I59">
            <v>25.60065454545455</v>
          </cell>
          <cell r="K59">
            <v>18.584599999999998</v>
          </cell>
          <cell r="L59">
            <v>70.099400000000003</v>
          </cell>
          <cell r="M59" t="str">
            <v>ДА</v>
          </cell>
          <cell r="O59" t="str">
            <v>матрица</v>
          </cell>
        </row>
        <row r="60">
          <cell r="B60" t="str">
            <v xml:space="preserve"> 580  Ветчина Нежная с индейкой ТМ Особый рецепт в оболочке полиамид.ВЕС  ПОКОМ</v>
          </cell>
          <cell r="E60">
            <v>20.03325454545454</v>
          </cell>
          <cell r="G60">
            <v>13.829254545454546</v>
          </cell>
          <cell r="I60">
            <v>20.899218181818181</v>
          </cell>
          <cell r="K60">
            <v>13.476745454545455</v>
          </cell>
          <cell r="L60">
            <v>68.238472727272722</v>
          </cell>
          <cell r="M60" t="str">
            <v>ДА</v>
          </cell>
          <cell r="O60" t="str">
            <v>матрица</v>
          </cell>
        </row>
        <row r="61">
          <cell r="B61" t="str">
            <v>515  Колбаса Сервелат Мясорубский Делюкс 0,3кг ТМ Стародворье  ПОКОМ</v>
          </cell>
          <cell r="E61">
            <v>4.3854545454545457</v>
          </cell>
          <cell r="G61">
            <v>2.9236363636363634</v>
          </cell>
          <cell r="I61">
            <v>52.127272727272725</v>
          </cell>
          <cell r="K61">
            <v>5.94</v>
          </cell>
          <cell r="L61">
            <v>65.376363636363635</v>
          </cell>
          <cell r="M61" t="str">
            <v>ДА</v>
          </cell>
          <cell r="O61" t="str">
            <v>матрица</v>
          </cell>
        </row>
        <row r="62">
          <cell r="B62" t="str">
            <v xml:space="preserve"> 408  Ветчина Сливушка с индейкой ТМ Вязанка, 0,4кг  ПОКОМ</v>
          </cell>
          <cell r="E62">
            <v>2.4800000000000004</v>
          </cell>
          <cell r="G62">
            <v>4.4199272727272723</v>
          </cell>
          <cell r="I62">
            <v>52.018181818181809</v>
          </cell>
          <cell r="K62">
            <v>5.3963636363636374</v>
          </cell>
          <cell r="L62">
            <v>64.314472727272715</v>
          </cell>
          <cell r="M62" t="str">
            <v>ДА</v>
          </cell>
          <cell r="O62" t="str">
            <v>матрица</v>
          </cell>
        </row>
        <row r="63">
          <cell r="B63" t="str">
            <v xml:space="preserve"> 247  Сардельки Нежные, ВЕС.  ПОКОМ</v>
          </cell>
          <cell r="C63" t="str">
            <v>нет</v>
          </cell>
          <cell r="F63" t="str">
            <v>нет</v>
          </cell>
          <cell r="I63">
            <v>44.749509090909093</v>
          </cell>
          <cell r="K63">
            <v>18.948563636363637</v>
          </cell>
          <cell r="L63">
            <v>63.698072727272731</v>
          </cell>
          <cell r="M63" t="str">
            <v>ДА</v>
          </cell>
          <cell r="O63" t="str">
            <v>матрица</v>
          </cell>
        </row>
        <row r="64">
          <cell r="B64" t="str">
            <v xml:space="preserve"> 285  Паштет печеночный со слив.маслом ТМ Стародворье ламистер 0,1 кг  ПОКОМ</v>
          </cell>
          <cell r="E64">
            <v>1.1472727272727272</v>
          </cell>
          <cell r="G64">
            <v>4.1745454545454548</v>
          </cell>
          <cell r="I64">
            <v>53.109090909090916</v>
          </cell>
          <cell r="K64">
            <v>4.9109090909090902</v>
          </cell>
          <cell r="L64">
            <v>63.341818181818184</v>
          </cell>
          <cell r="M64" t="str">
            <v>ДА</v>
          </cell>
          <cell r="O64" t="str">
            <v>матрица</v>
          </cell>
        </row>
        <row r="65">
          <cell r="B65" t="str">
            <v>496  Колбаса Сочинка по-фински с сочным окроком 0,3кг ТМ Стародворье  ПОКОМ</v>
          </cell>
          <cell r="E65">
            <v>6.78</v>
          </cell>
          <cell r="G65">
            <v>5.9290909090909096</v>
          </cell>
          <cell r="I65">
            <v>47.81818181818182</v>
          </cell>
          <cell r="K65">
            <v>2.5581818181818186</v>
          </cell>
          <cell r="L65">
            <v>63.085454545454553</v>
          </cell>
          <cell r="M65" t="str">
            <v>ДА</v>
          </cell>
          <cell r="O65" t="str">
            <v>матрица</v>
          </cell>
        </row>
        <row r="66">
          <cell r="B66" t="str">
            <v xml:space="preserve"> 083  Колбаса Швейцарская 0,17 кг., ШТ., сырокопченая   ПОКОМ</v>
          </cell>
          <cell r="E66">
            <v>3.6812727272727277</v>
          </cell>
          <cell r="G66">
            <v>8.3207272727272734</v>
          </cell>
          <cell r="I66">
            <v>46.018181818181809</v>
          </cell>
          <cell r="K66">
            <v>3.6070909090909096</v>
          </cell>
          <cell r="L66">
            <v>61.627272727272718</v>
          </cell>
          <cell r="M66" t="str">
            <v>ДА</v>
          </cell>
          <cell r="O66" t="str">
            <v>матрица</v>
          </cell>
        </row>
        <row r="67">
          <cell r="B67" t="str">
            <v xml:space="preserve"> 283  Сосиски Сочинки, ВЕС, ТМ Стародворье ПОКОМ</v>
          </cell>
          <cell r="E67">
            <v>2.9831818181818179</v>
          </cell>
          <cell r="F67" t="str">
            <v>нет</v>
          </cell>
          <cell r="I67">
            <v>54.889054545454542</v>
          </cell>
          <cell r="K67">
            <v>2.5205272727272732</v>
          </cell>
          <cell r="L67">
            <v>60.392763636363632</v>
          </cell>
          <cell r="M67" t="str">
            <v>ДА</v>
          </cell>
          <cell r="O67" t="str">
            <v>матрица</v>
          </cell>
        </row>
        <row r="68">
          <cell r="B68" t="str">
            <v xml:space="preserve"> 397  Ветчина Дугушка ТМ Стародворье ТС Дугушка в полиамидной оболочке 0,6 кг. ПОКОМ</v>
          </cell>
          <cell r="E68">
            <v>7.2436363636363641</v>
          </cell>
          <cell r="G68">
            <v>28.859934545454543</v>
          </cell>
          <cell r="I68">
            <v>23.563636363636363</v>
          </cell>
          <cell r="J68" t="str">
            <v>нет</v>
          </cell>
          <cell r="L68">
            <v>59.667207272727268</v>
          </cell>
          <cell r="M68" t="str">
            <v>ДА</v>
          </cell>
          <cell r="O68" t="str">
            <v>матрица</v>
          </cell>
        </row>
        <row r="69">
          <cell r="B69" t="str">
            <v xml:space="preserve"> 498  Колбаса Сочинка рубленая с сочным окороком 0,3кг ТМ Стародворье  ПОКОМ</v>
          </cell>
          <cell r="E69">
            <v>6.1199999999999992</v>
          </cell>
          <cell r="G69">
            <v>5.9836363636363625</v>
          </cell>
          <cell r="I69">
            <v>36.054545454545455</v>
          </cell>
          <cell r="K69">
            <v>6.6981818181818182</v>
          </cell>
          <cell r="L69">
            <v>54.856363636363632</v>
          </cell>
          <cell r="M69" t="str">
            <v>ДА</v>
          </cell>
          <cell r="O69" t="str">
            <v>матрица</v>
          </cell>
        </row>
        <row r="70">
          <cell r="B70" t="str">
            <v xml:space="preserve"> 339  Колбаса вареная Филейская ТМ Вязанка ТС Классическая, 0,40 кг.  ПОКОМ</v>
          </cell>
          <cell r="E70">
            <v>1.1636363636363636</v>
          </cell>
          <cell r="G70">
            <v>0.2690909090909091</v>
          </cell>
          <cell r="I70">
            <v>48.690909090909095</v>
          </cell>
          <cell r="K70">
            <v>1.8545454545454547</v>
          </cell>
          <cell r="L70">
            <v>51.978181818181817</v>
          </cell>
          <cell r="M70" t="str">
            <v>ДА</v>
          </cell>
          <cell r="O70" t="str">
            <v>матрица</v>
          </cell>
        </row>
        <row r="71">
          <cell r="B71" t="str">
            <v xml:space="preserve"> 436  Колбаса Молочная стародворская с молоком, ВЕС, ТМ Стародворье  ПОКОМ</v>
          </cell>
          <cell r="C71" t="str">
            <v>нет</v>
          </cell>
          <cell r="F71" t="str">
            <v>нет</v>
          </cell>
          <cell r="I71">
            <v>48.12792727272727</v>
          </cell>
          <cell r="K71">
            <v>1.7884000000000002</v>
          </cell>
          <cell r="L71">
            <v>49.916327272727273</v>
          </cell>
          <cell r="M71" t="str">
            <v>ДА</v>
          </cell>
          <cell r="O71" t="str">
            <v>матрица</v>
          </cell>
        </row>
        <row r="72">
          <cell r="B72" t="str">
            <v xml:space="preserve"> 553  Ассорти колбас Мясорубская коллекция: Сервелат Делюкс, С балыком 0,08 кг нарезка  ПОКОМ</v>
          </cell>
          <cell r="E72">
            <v>1.6218181818181823</v>
          </cell>
          <cell r="G72">
            <v>2.7330909090909086</v>
          </cell>
          <cell r="I72">
            <v>42.836363636363636</v>
          </cell>
          <cell r="K72">
            <v>0.82036363636363629</v>
          </cell>
          <cell r="L72">
            <v>48.011636363636363</v>
          </cell>
          <cell r="M72" t="str">
            <v>ДА</v>
          </cell>
          <cell r="O72" t="str">
            <v>матрица</v>
          </cell>
        </row>
        <row r="73">
          <cell r="B73" t="str">
            <v xml:space="preserve"> 588 Колбаса Со шпиком ТМ Стародворье в оболочке вектор ВЕС  ПОКОМ</v>
          </cell>
          <cell r="E73">
            <v>5.364218181818182</v>
          </cell>
          <cell r="G73">
            <v>2.7276363636363636</v>
          </cell>
          <cell r="I73">
            <v>28.78221818181818</v>
          </cell>
          <cell r="K73">
            <v>8.5634181818181805</v>
          </cell>
          <cell r="L73">
            <v>45.437490909090904</v>
          </cell>
          <cell r="M73" t="str">
            <v>ДА</v>
          </cell>
          <cell r="O73" t="str">
            <v>матрица</v>
          </cell>
        </row>
        <row r="74">
          <cell r="B74" t="str">
            <v xml:space="preserve"> 281  Сосиски Молочные для завтрака ТМ Особый рецепт, 0,4кг  ПОКОМ</v>
          </cell>
          <cell r="E74">
            <v>6.3927272727272735</v>
          </cell>
          <cell r="G74">
            <v>34.238290909090914</v>
          </cell>
          <cell r="I74">
            <v>1.4727272727272727</v>
          </cell>
          <cell r="K74">
            <v>2.4290909090909092</v>
          </cell>
          <cell r="L74">
            <v>44.53283636363637</v>
          </cell>
          <cell r="M74" t="str">
            <v>ДА</v>
          </cell>
          <cell r="O74" t="str">
            <v>матрица</v>
          </cell>
        </row>
        <row r="75">
          <cell r="B75" t="str">
            <v xml:space="preserve"> 547  Колбаса Мясная Классическая ТМ Вязанка в оболочке полиамид. ВЕС  ПОКОМ</v>
          </cell>
          <cell r="E75">
            <v>20.588854545454545</v>
          </cell>
          <cell r="G75">
            <v>2.8081818181818181</v>
          </cell>
          <cell r="I75">
            <v>20.765981818181817</v>
          </cell>
          <cell r="J75" t="str">
            <v>нет</v>
          </cell>
          <cell r="L75">
            <v>44.163018181818181</v>
          </cell>
          <cell r="M75" t="str">
            <v>ДА</v>
          </cell>
          <cell r="O75" t="str">
            <v>матрица</v>
          </cell>
        </row>
        <row r="76">
          <cell r="B76" t="str">
            <v xml:space="preserve"> 334  Паштет Любительский ТМ Стародворье ламистер 0,1 кг  ПОКОМ</v>
          </cell>
          <cell r="E76">
            <v>1.1836363636363636</v>
          </cell>
          <cell r="G76">
            <v>2.6927272727272729</v>
          </cell>
          <cell r="I76">
            <v>32.545454545454547</v>
          </cell>
          <cell r="K76">
            <v>3.7345454545454544</v>
          </cell>
          <cell r="L76">
            <v>40.156363636363636</v>
          </cell>
          <cell r="M76" t="str">
            <v>ДА</v>
          </cell>
          <cell r="O76" t="str">
            <v>матрица</v>
          </cell>
        </row>
        <row r="77">
          <cell r="B77" t="str">
            <v xml:space="preserve"> 388  Сосиски Восточные Халяль ТМ Вязанка 0,33 кг АК. ПОКОМ</v>
          </cell>
          <cell r="E77">
            <v>8.8020000000000014</v>
          </cell>
          <cell r="F77" t="str">
            <v>нет</v>
          </cell>
          <cell r="I77">
            <v>24.327272727272728</v>
          </cell>
          <cell r="K77">
            <v>6.9119999999999999</v>
          </cell>
          <cell r="L77">
            <v>40.041272727272727</v>
          </cell>
          <cell r="M77" t="str">
            <v>ДА</v>
          </cell>
          <cell r="O77" t="str">
            <v>матрица</v>
          </cell>
        </row>
        <row r="78">
          <cell r="B78" t="str">
            <v xml:space="preserve"> 410  Сосиски Баварские с сыром ТМ Стародворье 0,35 кг. ПОКОМ</v>
          </cell>
          <cell r="E78">
            <v>2.335454545454545</v>
          </cell>
          <cell r="G78">
            <v>11.721818181818181</v>
          </cell>
          <cell r="I78">
            <v>22.327272727272728</v>
          </cell>
          <cell r="K78">
            <v>2.2399999999999998</v>
          </cell>
          <cell r="L78">
            <v>38.624545454545455</v>
          </cell>
          <cell r="M78" t="str">
            <v>ДА</v>
          </cell>
          <cell r="O78" t="str">
            <v>матрица</v>
          </cell>
        </row>
        <row r="79">
          <cell r="B79" t="str">
            <v xml:space="preserve"> 336  Ветчина Сливушка с индейкой ТМ Вязанка. ВЕС  ПОКОМ</v>
          </cell>
          <cell r="E79">
            <v>6.2771636363636363</v>
          </cell>
          <cell r="G79">
            <v>6.6405818181818184</v>
          </cell>
          <cell r="I79">
            <v>20.277799999999999</v>
          </cell>
          <cell r="K79">
            <v>3.9338363636363636</v>
          </cell>
          <cell r="L79">
            <v>37.12938181818182</v>
          </cell>
          <cell r="M79" t="str">
            <v>ДА</v>
          </cell>
          <cell r="O79" t="str">
            <v>матрица</v>
          </cell>
        </row>
        <row r="80">
          <cell r="B80" t="str">
            <v xml:space="preserve"> 338  Паштет печеночный с морковью ТМ Стародворье ламистер 0,1 кг.  ПОКОМ</v>
          </cell>
          <cell r="E80">
            <v>1.0290909090909091</v>
          </cell>
          <cell r="G80">
            <v>2.3672727272727272</v>
          </cell>
          <cell r="I80">
            <v>30.16363636363636</v>
          </cell>
          <cell r="K80">
            <v>3.5672727272727274</v>
          </cell>
          <cell r="L80">
            <v>37.127272727272725</v>
          </cell>
          <cell r="M80" t="str">
            <v>ДА</v>
          </cell>
          <cell r="O80" t="str">
            <v>матрица</v>
          </cell>
        </row>
        <row r="81">
          <cell r="B81" t="str">
            <v xml:space="preserve"> 318  Сосиски Датские ТМ Зареченские, ВЕС  ПОКОМ</v>
          </cell>
          <cell r="E81">
            <v>22.496527272727274</v>
          </cell>
          <cell r="F81" t="str">
            <v>нет</v>
          </cell>
          <cell r="I81">
            <v>6.2112545454545458</v>
          </cell>
          <cell r="K81">
            <v>7.9407272727272726</v>
          </cell>
          <cell r="L81">
            <v>36.648509090909094</v>
          </cell>
          <cell r="M81" t="str">
            <v>ДА</v>
          </cell>
          <cell r="O81" t="str">
            <v>матрица</v>
          </cell>
        </row>
        <row r="82">
          <cell r="B82" t="str">
            <v xml:space="preserve"> 265  Колбаса Балыкбургская, ВЕС, ТМ Баварушка  ПОКОМ</v>
          </cell>
          <cell r="E82">
            <v>22.06796363636364</v>
          </cell>
          <cell r="F82" t="str">
            <v>нет</v>
          </cell>
          <cell r="H82" t="str">
            <v>нет</v>
          </cell>
          <cell r="K82">
            <v>14.052490909090913</v>
          </cell>
          <cell r="L82">
            <v>36.12045454545455</v>
          </cell>
          <cell r="M82" t="str">
            <v>ДА</v>
          </cell>
          <cell r="O82" t="str">
            <v>матрица</v>
          </cell>
        </row>
        <row r="83">
          <cell r="B83" t="str">
            <v xml:space="preserve"> 387  Колбаса вареная Мусульманская Халяль ТМ Вязанка, 0,4 кг ПОКОМ</v>
          </cell>
          <cell r="E83">
            <v>8.581818181818182</v>
          </cell>
          <cell r="F83" t="str">
            <v>нет</v>
          </cell>
          <cell r="I83">
            <v>20.909090909090907</v>
          </cell>
          <cell r="K83">
            <v>6.6181818181818191</v>
          </cell>
          <cell r="L83">
            <v>36.109090909090909</v>
          </cell>
          <cell r="M83" t="str">
            <v>ДА</v>
          </cell>
          <cell r="O83" t="str">
            <v>матрица</v>
          </cell>
        </row>
        <row r="84">
          <cell r="B84" t="str">
            <v xml:space="preserve"> 524  Колбаса Сервелат Ореховый нарезка 0,07кг ТМ Стародворье  ПОКОМ</v>
          </cell>
          <cell r="E84">
            <v>0.90618181818181831</v>
          </cell>
          <cell r="G84">
            <v>1.4534545454545456</v>
          </cell>
          <cell r="I84">
            <v>33.199999999999996</v>
          </cell>
          <cell r="K84">
            <v>0.32454545454545458</v>
          </cell>
          <cell r="L84">
            <v>35.884181818181816</v>
          </cell>
          <cell r="M84" t="str">
            <v>ДА</v>
          </cell>
          <cell r="O84" t="str">
            <v>матрица</v>
          </cell>
        </row>
        <row r="85">
          <cell r="B85" t="str">
            <v xml:space="preserve"> 297  Колбаса Мясорубская с рубленой грудинкой ВЕС ТМ Стародворье  ПОКОМ</v>
          </cell>
          <cell r="E85">
            <v>6.4224181818181822</v>
          </cell>
          <cell r="G85">
            <v>3.8321454545454547</v>
          </cell>
          <cell r="I85">
            <v>9.6667454545454561</v>
          </cell>
          <cell r="K85">
            <v>15.432581818181818</v>
          </cell>
          <cell r="L85">
            <v>35.353890909090907</v>
          </cell>
          <cell r="M85" t="str">
            <v>ДА</v>
          </cell>
          <cell r="O85" t="str">
            <v>матрица</v>
          </cell>
        </row>
        <row r="86">
          <cell r="B86" t="str">
            <v xml:space="preserve"> 340  Сосиски Сочинки Молочные ТМ Стародворье, ВЕС ПОКОМ</v>
          </cell>
          <cell r="E86">
            <v>11.247509090909089</v>
          </cell>
          <cell r="G86">
            <v>12.500399999999997</v>
          </cell>
          <cell r="I86">
            <v>8.2900363636363643</v>
          </cell>
          <cell r="K86">
            <v>1.8752909090909091</v>
          </cell>
          <cell r="L86">
            <v>33.913236363636358</v>
          </cell>
          <cell r="M86" t="str">
            <v>ДА</v>
          </cell>
          <cell r="O86" t="str">
            <v>матрица</v>
          </cell>
        </row>
        <row r="87">
          <cell r="B87" t="str">
            <v xml:space="preserve"> 328  Сардельки Сочинки Стародворье ТМ  0,4 кг ПОКОМ</v>
          </cell>
          <cell r="E87">
            <v>0.60363636363636353</v>
          </cell>
          <cell r="F87" t="str">
            <v>нет</v>
          </cell>
          <cell r="I87">
            <v>24.309090909090909</v>
          </cell>
          <cell r="K87">
            <v>6.5963636363636358</v>
          </cell>
          <cell r="L87">
            <v>31.509090909090908</v>
          </cell>
          <cell r="M87" t="str">
            <v>ДА</v>
          </cell>
          <cell r="O87" t="str">
            <v>матрица</v>
          </cell>
        </row>
        <row r="88">
          <cell r="B88" t="str">
            <v xml:space="preserve"> 554  Колбаса Сервелат Мясорубский ТМ Стародворье в упаковке скин 0,08 кг нарезка  ПОКОМ</v>
          </cell>
          <cell r="E88">
            <v>1.2276363636363636</v>
          </cell>
          <cell r="G88">
            <v>1.9825454545454548</v>
          </cell>
          <cell r="I88">
            <v>27.036363636363639</v>
          </cell>
          <cell r="K88">
            <v>1.2523636363636363</v>
          </cell>
          <cell r="L88">
            <v>31.498909090909095</v>
          </cell>
          <cell r="M88" t="str">
            <v>ДА</v>
          </cell>
          <cell r="O88" t="str">
            <v>матрица</v>
          </cell>
        </row>
        <row r="89">
          <cell r="B89" t="str">
            <v xml:space="preserve"> 544  Сосиски Мясные для гриля ТС Ядрена копоть 0,3 кг  ПОКОМ</v>
          </cell>
          <cell r="C89" t="str">
            <v>нет</v>
          </cell>
          <cell r="G89">
            <v>1.4563636363636365</v>
          </cell>
          <cell r="I89">
            <v>28.45454545454545</v>
          </cell>
          <cell r="J89" t="str">
            <v>нет</v>
          </cell>
          <cell r="L89">
            <v>29.910909090909087</v>
          </cell>
          <cell r="M89" t="str">
            <v>ДА</v>
          </cell>
          <cell r="O89" t="str">
            <v>матрица</v>
          </cell>
        </row>
        <row r="90">
          <cell r="B90" t="str">
            <v xml:space="preserve"> 394 Колбаса полукопченая Аль-Ислами халяль ТМ Вязанка оболочка фиброуз в в/у 0,35 кг  ПОКОМ</v>
          </cell>
          <cell r="E90">
            <v>9.4754545454545447</v>
          </cell>
          <cell r="G90">
            <v>3.5318181818181817</v>
          </cell>
          <cell r="I90">
            <v>11.09090909090909</v>
          </cell>
          <cell r="K90">
            <v>4.8490909090909087</v>
          </cell>
          <cell r="L90">
            <v>28.947272727272722</v>
          </cell>
          <cell r="M90" t="str">
            <v>ДА</v>
          </cell>
          <cell r="O90" t="str">
            <v>матрица</v>
          </cell>
        </row>
        <row r="91">
          <cell r="B91" t="str">
            <v xml:space="preserve"> 225  Колбаса Дугушка со шпиком, ВЕС, ТМ Стародворье   ПОКОМ</v>
          </cell>
          <cell r="E91">
            <v>8.4817999999999998</v>
          </cell>
          <cell r="F91" t="str">
            <v>нет</v>
          </cell>
          <cell r="I91">
            <v>15.038636363636368</v>
          </cell>
          <cell r="K91">
            <v>5.3226363636363638</v>
          </cell>
          <cell r="L91">
            <v>28.84307272727273</v>
          </cell>
          <cell r="M91" t="str">
            <v>ДА</v>
          </cell>
          <cell r="O91" t="str">
            <v>матрица</v>
          </cell>
        </row>
        <row r="92">
          <cell r="B92" t="str">
            <v xml:space="preserve"> 525  Колбаса Фуэт нарезка 0,07кг ТМ Стародворье  ПОКОМ</v>
          </cell>
          <cell r="E92">
            <v>0.59309090909090911</v>
          </cell>
          <cell r="G92">
            <v>1.05</v>
          </cell>
          <cell r="I92">
            <v>24.418181818181814</v>
          </cell>
          <cell r="K92">
            <v>0.53581818181818186</v>
          </cell>
          <cell r="L92">
            <v>26.597090909090905</v>
          </cell>
          <cell r="M92" t="str">
            <v>ДА</v>
          </cell>
          <cell r="O92" t="str">
            <v>матрица</v>
          </cell>
        </row>
        <row r="93">
          <cell r="B93" t="str">
            <v xml:space="preserve"> 062  Колбаса Кракушка пряная с сальцем, 0.3кг в/у п/к, БАВАРУШКА ПОКОМ</v>
          </cell>
          <cell r="E93">
            <v>6.660000000000001</v>
          </cell>
          <cell r="G93">
            <v>1.6145454545454545</v>
          </cell>
          <cell r="I93">
            <v>13.58181818181818</v>
          </cell>
          <cell r="K93">
            <v>4.5981818181818177</v>
          </cell>
          <cell r="L93">
            <v>26.454545454545453</v>
          </cell>
          <cell r="M93" t="str">
            <v>ДА</v>
          </cell>
          <cell r="O93" t="str">
            <v>матрица</v>
          </cell>
        </row>
        <row r="94">
          <cell r="B94" t="str">
            <v xml:space="preserve"> 517  Сосиски С сыром ТМ Ядрена копоть 0,3кг  ПОКОМ</v>
          </cell>
          <cell r="C94" t="str">
            <v>нет</v>
          </cell>
          <cell r="G94">
            <v>2.0018181818181819</v>
          </cell>
          <cell r="I94">
            <v>24.345454545454547</v>
          </cell>
          <cell r="J94" t="str">
            <v>нет</v>
          </cell>
          <cell r="L94">
            <v>26.347272727272731</v>
          </cell>
          <cell r="M94" t="str">
            <v>ДА</v>
          </cell>
          <cell r="O94" t="str">
            <v>матрица</v>
          </cell>
        </row>
        <row r="95">
          <cell r="B95" t="str">
            <v xml:space="preserve"> 329  Сардельки Сочинки с сыром Стародворье ТМ, 0,4 кг. ПОКОМ</v>
          </cell>
          <cell r="E95">
            <v>4.2618181818181817</v>
          </cell>
          <cell r="G95">
            <v>2.5890909090909089</v>
          </cell>
          <cell r="I95">
            <v>10.890909090909091</v>
          </cell>
          <cell r="K95">
            <v>5.8981818181818193</v>
          </cell>
          <cell r="L95">
            <v>23.64</v>
          </cell>
          <cell r="M95" t="str">
            <v>ДА</v>
          </cell>
          <cell r="O95" t="str">
            <v>матрица</v>
          </cell>
        </row>
        <row r="96">
          <cell r="B96" t="str">
            <v xml:space="preserve"> 267  Колбаса Салями Филейбургская зернистая, оболочка фиброуз, ВЕС, ТМ Баварушка  ПОКОМ</v>
          </cell>
          <cell r="E96">
            <v>13.189399999999999</v>
          </cell>
          <cell r="F96" t="str">
            <v>нет</v>
          </cell>
          <cell r="H96" t="str">
            <v>нет</v>
          </cell>
          <cell r="K96">
            <v>7.5320909090909085</v>
          </cell>
          <cell r="L96">
            <v>20.721490909090907</v>
          </cell>
          <cell r="M96" t="str">
            <v>ДА</v>
          </cell>
          <cell r="O96" t="str">
            <v>матрица</v>
          </cell>
        </row>
        <row r="97">
          <cell r="B97" t="str">
            <v xml:space="preserve"> 047  Кол Баварская, белков.обол. в термоусад. пакете 0.17 кг, ТМ Стародворье  ПОКОМ</v>
          </cell>
          <cell r="E97">
            <v>2.6921818181818185</v>
          </cell>
          <cell r="G97">
            <v>3.0167272727272731</v>
          </cell>
          <cell r="I97">
            <v>14.181818181818185</v>
          </cell>
          <cell r="J97" t="str">
            <v>нет</v>
          </cell>
          <cell r="L97">
            <v>19.890727272727275</v>
          </cell>
          <cell r="M97" t="str">
            <v>ДА</v>
          </cell>
          <cell r="O97" t="str">
            <v>матрица</v>
          </cell>
        </row>
        <row r="98">
          <cell r="B98" t="str">
            <v xml:space="preserve"> 526  Корейка вяленая выдержанная нарезка 0,05кг ТМ Стародворье  ПОКОМ</v>
          </cell>
          <cell r="E98">
            <v>0.61545454545454559</v>
          </cell>
          <cell r="G98">
            <v>0.45</v>
          </cell>
          <cell r="I98">
            <v>17.2</v>
          </cell>
          <cell r="K98">
            <v>0.49454545454545462</v>
          </cell>
          <cell r="L98">
            <v>18.760000000000002</v>
          </cell>
          <cell r="M98" t="str">
            <v>НЕТ</v>
          </cell>
          <cell r="N98" t="str">
            <v>Удаляем</v>
          </cell>
          <cell r="O98" t="str">
            <v>не в матрице</v>
          </cell>
        </row>
        <row r="99">
          <cell r="B99" t="str">
            <v xml:space="preserve"> 244  Колбаса Сервелат Кремлевский, ВЕС. ПОКОМ</v>
          </cell>
          <cell r="C99" t="str">
            <v>нет</v>
          </cell>
          <cell r="G99">
            <v>5.7843818181818172</v>
          </cell>
          <cell r="I99">
            <v>12.154436363636364</v>
          </cell>
          <cell r="J99" t="str">
            <v>нет</v>
          </cell>
          <cell r="L99">
            <v>17.938818181818181</v>
          </cell>
          <cell r="M99" t="str">
            <v>ДА</v>
          </cell>
          <cell r="N99" t="str">
            <v>Оставляем</v>
          </cell>
          <cell r="O99" t="str">
            <v>матрица</v>
          </cell>
        </row>
        <row r="100">
          <cell r="B100" t="str">
            <v xml:space="preserve"> 405  Сардельки Сливушки ТМ Вязанка в оболочке айпил 0,33 кг. ПОКОМ</v>
          </cell>
          <cell r="E100">
            <v>2.5679999999999996</v>
          </cell>
          <cell r="G100">
            <v>4.6860000000000008</v>
          </cell>
          <cell r="I100">
            <v>7.9636363636363647</v>
          </cell>
          <cell r="K100">
            <v>2.5799999999999996</v>
          </cell>
          <cell r="L100">
            <v>17.797636363636364</v>
          </cell>
          <cell r="M100" t="str">
            <v>ДА</v>
          </cell>
          <cell r="N100" t="str">
            <v>Сети, оставляем.</v>
          </cell>
          <cell r="O100" t="str">
            <v>матрица</v>
          </cell>
        </row>
        <row r="101">
          <cell r="B101" t="str">
            <v xml:space="preserve"> 430  Колбаса Стародворская с окороком 0,4 кг. ТМ Стародворье в оболочке полиамид  ПОКОМ</v>
          </cell>
          <cell r="C101" t="str">
            <v>нет</v>
          </cell>
          <cell r="G101">
            <v>0.7781818181818182</v>
          </cell>
          <cell r="I101">
            <v>16.309090909090909</v>
          </cell>
          <cell r="J101" t="str">
            <v>нет</v>
          </cell>
          <cell r="L101">
            <v>17.087272727272726</v>
          </cell>
          <cell r="M101" t="str">
            <v>ДА</v>
          </cell>
          <cell r="N101" t="str">
            <v>Сети, оставляем.</v>
          </cell>
          <cell r="O101" t="str">
            <v>матрица</v>
          </cell>
        </row>
        <row r="102">
          <cell r="B102" t="str">
            <v xml:space="preserve"> 460  Колбаса Стародворская Традиционная ВЕС ТМ Стародворье в оболочке полиамид. ПОКОМ</v>
          </cell>
          <cell r="C102" t="str">
            <v>нет</v>
          </cell>
          <cell r="G102">
            <v>8.5308727272727261</v>
          </cell>
          <cell r="I102">
            <v>8.0999636363636363</v>
          </cell>
          <cell r="J102" t="str">
            <v>нет</v>
          </cell>
          <cell r="L102">
            <v>16.630836363636362</v>
          </cell>
          <cell r="M102" t="str">
            <v>ДА</v>
          </cell>
          <cell r="N102" t="str">
            <v>Сети, оставляем.</v>
          </cell>
          <cell r="O102" t="str">
            <v>матрица</v>
          </cell>
        </row>
        <row r="103">
          <cell r="B103" t="str">
            <v xml:space="preserve"> 253  Сосиски Ганноверские   ПОКОМ</v>
          </cell>
          <cell r="C103" t="str">
            <v>нет</v>
          </cell>
          <cell r="G103">
            <v>7.1300727272727276</v>
          </cell>
          <cell r="I103">
            <v>8.2716545454545454</v>
          </cell>
          <cell r="J103" t="str">
            <v>нет</v>
          </cell>
          <cell r="L103">
            <v>15.401727272727273</v>
          </cell>
          <cell r="M103" t="str">
            <v>НЕТ</v>
          </cell>
          <cell r="N103" t="str">
            <v>Удаляем</v>
          </cell>
          <cell r="O103" t="str">
            <v>не в матрице</v>
          </cell>
        </row>
        <row r="104">
          <cell r="B104" t="str">
            <v xml:space="preserve"> 341 Сосиски Сочинки Сливочные ТМ Стародворье ВЕС ПОКОМ</v>
          </cell>
          <cell r="E104">
            <v>3.0386545454545453</v>
          </cell>
          <cell r="G104">
            <v>3.4319636363636365</v>
          </cell>
          <cell r="I104">
            <v>0.24363636363636365</v>
          </cell>
          <cell r="K104">
            <v>6.9993999999999996</v>
          </cell>
          <cell r="L104">
            <v>13.713654545454546</v>
          </cell>
          <cell r="M104" t="str">
            <v>ДА</v>
          </cell>
          <cell r="N104" t="str">
            <v>Сети, оставляем.</v>
          </cell>
          <cell r="O104" t="str">
            <v>матрица</v>
          </cell>
        </row>
        <row r="105">
          <cell r="B105" t="str">
            <v xml:space="preserve"> 530  Окорок Хамон выдержанный нарезка 0,055кг ТМ Стародворье  ПОКОМ</v>
          </cell>
          <cell r="C105" t="str">
            <v>нет в бланке</v>
          </cell>
          <cell r="E105">
            <v>0.57799999999999996</v>
          </cell>
          <cell r="F105" t="str">
            <v>нет в бланке</v>
          </cell>
          <cell r="G105">
            <v>0.53799999999999992</v>
          </cell>
          <cell r="H105" t="str">
            <v>нет в бланке</v>
          </cell>
          <cell r="I105">
            <v>11.345454545454544</v>
          </cell>
          <cell r="J105" t="str">
            <v>нет в бланке</v>
          </cell>
          <cell r="K105">
            <v>0.49099999999999994</v>
          </cell>
          <cell r="L105">
            <v>12.952454545454543</v>
          </cell>
          <cell r="M105" t="str">
            <v>НЕТ</v>
          </cell>
          <cell r="N105" t="str">
            <v>Делали ротацию на новинки по данной позиции, удаляем</v>
          </cell>
          <cell r="O105" t="str">
            <v>не в матрице</v>
          </cell>
        </row>
        <row r="106">
          <cell r="B106" t="str">
            <v xml:space="preserve"> 570  Колбаса Сервелат Финский ТМ Вязанка в оболочке фиброуз в вак. упаковке 0,28 кг срез  ПОКОМ</v>
          </cell>
          <cell r="E106">
            <v>2.4487272727272731</v>
          </cell>
          <cell r="G106">
            <v>6.0836363636363648</v>
          </cell>
          <cell r="H106" t="str">
            <v>нет</v>
          </cell>
          <cell r="K106">
            <v>3.08</v>
          </cell>
          <cell r="L106">
            <v>11.612363636363638</v>
          </cell>
          <cell r="M106" t="str">
            <v>ДА</v>
          </cell>
          <cell r="N106" t="str">
            <v>Сети, оставляем.</v>
          </cell>
          <cell r="O106" t="str">
            <v>матрица</v>
          </cell>
        </row>
        <row r="107">
          <cell r="B107" t="str">
            <v xml:space="preserve"> 451 Сосиски Филейские ТМ Вязанка в оболочке целлофан 0,3 кг. ПОКОМ</v>
          </cell>
          <cell r="C107" t="str">
            <v>нет</v>
          </cell>
          <cell r="G107">
            <v>10.238181818181816</v>
          </cell>
          <cell r="H107" t="str">
            <v>нет</v>
          </cell>
          <cell r="J107" t="str">
            <v>нет</v>
          </cell>
          <cell r="L107">
            <v>10.238181818181816</v>
          </cell>
          <cell r="M107" t="str">
            <v>ДА</v>
          </cell>
          <cell r="N107" t="str">
            <v>Сети, оставляем.</v>
          </cell>
          <cell r="O107" t="str">
            <v>матрица</v>
          </cell>
        </row>
        <row r="108">
          <cell r="B108" t="str">
            <v xml:space="preserve"> 433 Колбаса Стародворская со шпиком  в оболочке полиамид. ТМ Стародворье ВЕС ПОКОМ</v>
          </cell>
          <cell r="C108" t="str">
            <v>нет</v>
          </cell>
          <cell r="G108">
            <v>3.2450545454545447</v>
          </cell>
          <cell r="I108">
            <v>6.6953454545454543</v>
          </cell>
          <cell r="J108" t="str">
            <v>нет</v>
          </cell>
          <cell r="L108">
            <v>9.9403999999999986</v>
          </cell>
          <cell r="M108" t="str">
            <v>ДА</v>
          </cell>
          <cell r="N108" t="str">
            <v>Сети, оставляем.</v>
          </cell>
          <cell r="O108" t="str">
            <v>матрица</v>
          </cell>
        </row>
        <row r="109">
          <cell r="B109" t="str">
            <v xml:space="preserve"> 527  Окорок Прошутто выдержанный нарезка 0,055кг ТМ Стародворье  ПОКОМ</v>
          </cell>
          <cell r="C109" t="str">
            <v>нет в бланке</v>
          </cell>
          <cell r="E109">
            <v>0.36199999999999999</v>
          </cell>
          <cell r="F109" t="str">
            <v>нет в бланке</v>
          </cell>
          <cell r="G109">
            <v>0.4172727272727273</v>
          </cell>
          <cell r="H109" t="str">
            <v>нет в бланке</v>
          </cell>
          <cell r="I109">
            <v>8.7272727272727266</v>
          </cell>
          <cell r="J109" t="str">
            <v>нет в бланке</v>
          </cell>
          <cell r="K109">
            <v>0.36399999999999988</v>
          </cell>
          <cell r="L109">
            <v>9.8705454545454536</v>
          </cell>
          <cell r="M109" t="str">
            <v>НЕТ</v>
          </cell>
          <cell r="N109" t="str">
            <v>Делали ротацию на новинки по данной позиции, удаляем</v>
          </cell>
          <cell r="O109" t="str">
            <v>не в матрице</v>
          </cell>
        </row>
        <row r="110">
          <cell r="B110" t="str">
            <v xml:space="preserve"> 266  Колбаса Филейбургская с сочным окороком, ВЕС, ТМ Баварушка  ПОКОМ</v>
          </cell>
          <cell r="C110" t="str">
            <v>нет</v>
          </cell>
          <cell r="F110" t="str">
            <v>нет</v>
          </cell>
          <cell r="H110" t="str">
            <v>нет</v>
          </cell>
          <cell r="K110">
            <v>9.4192727272727268</v>
          </cell>
          <cell r="L110">
            <v>9.4192727272727268</v>
          </cell>
          <cell r="M110" t="str">
            <v>НЕТ</v>
          </cell>
          <cell r="N110" t="str">
            <v>Удаляем</v>
          </cell>
          <cell r="O110" t="str">
            <v>не в матрице</v>
          </cell>
        </row>
        <row r="111">
          <cell r="B111" t="str">
            <v xml:space="preserve"> 304  Колбаса Салями Мясорубская с рубленным шпиком ВЕС ТМ Стародворье  ПОКОМ</v>
          </cell>
          <cell r="C111" t="str">
            <v>нет</v>
          </cell>
          <cell r="F111" t="str">
            <v>нет</v>
          </cell>
          <cell r="H111" t="str">
            <v>нет</v>
          </cell>
          <cell r="K111">
            <v>8.4713818181818183</v>
          </cell>
          <cell r="L111">
            <v>8.4713818181818183</v>
          </cell>
          <cell r="M111" t="str">
            <v>НЕТ</v>
          </cell>
          <cell r="N111" t="str">
            <v>Удаляем</v>
          </cell>
          <cell r="O111" t="str">
            <v>не в матрице</v>
          </cell>
        </row>
        <row r="112">
          <cell r="B112" t="str">
            <v xml:space="preserve"> 435  Колбаса Молочная Стародворская  с молоком в оболочке полиамид 0,4 кг.ТМ Стародворье ПОКОМ</v>
          </cell>
          <cell r="C112" t="str">
            <v>нет</v>
          </cell>
          <cell r="F112" t="str">
            <v>нет</v>
          </cell>
          <cell r="I112">
            <v>3.1999999999999997</v>
          </cell>
          <cell r="K112">
            <v>5.2145454545454548</v>
          </cell>
          <cell r="L112">
            <v>8.4145454545454541</v>
          </cell>
          <cell r="M112" t="str">
            <v>НЕТ</v>
          </cell>
          <cell r="N112" t="str">
            <v>Удаляем</v>
          </cell>
          <cell r="O112" t="str">
            <v>не в матрице</v>
          </cell>
        </row>
        <row r="113">
          <cell r="B113" t="str">
            <v xml:space="preserve"> 257  Сосиски Молочные оригинальные ТМ Особый рецепт, ВЕС.   ПОКОМ</v>
          </cell>
          <cell r="E113">
            <v>1.2194727272727273</v>
          </cell>
          <cell r="F113" t="str">
            <v>нет</v>
          </cell>
          <cell r="H113" t="str">
            <v>нет</v>
          </cell>
          <cell r="K113">
            <v>7.0756363636363631</v>
          </cell>
          <cell r="L113">
            <v>8.2951090909090901</v>
          </cell>
          <cell r="M113" t="str">
            <v>ДА</v>
          </cell>
          <cell r="N113" t="str">
            <v>Оставляем</v>
          </cell>
          <cell r="O113" t="str">
            <v>матрица</v>
          </cell>
        </row>
        <row r="114">
          <cell r="B114" t="str">
            <v xml:space="preserve"> 520  Колбаса Мраморная ТМ Стародворье в вакуумной упаковке 0,07 кг нарезка  ПОКОМ</v>
          </cell>
          <cell r="C114" t="str">
            <v>нет</v>
          </cell>
          <cell r="F114" t="str">
            <v>нет</v>
          </cell>
          <cell r="I114">
            <v>8.2000000000000011</v>
          </cell>
          <cell r="J114" t="str">
            <v>нет</v>
          </cell>
          <cell r="L114">
            <v>8.2000000000000011</v>
          </cell>
          <cell r="M114" t="str">
            <v>НЕТ</v>
          </cell>
          <cell r="N114" t="str">
            <v>Удаляем</v>
          </cell>
          <cell r="O114" t="str">
            <v>не в матрице</v>
          </cell>
        </row>
        <row r="115">
          <cell r="B115" t="str">
            <v xml:space="preserve"> 226  Колбаса Княжеская, с/к белков.обол в термоусад. пакете, ВЕС, ТМ Стародворье ПОКОМ</v>
          </cell>
          <cell r="E115">
            <v>2.5269818181818184</v>
          </cell>
          <cell r="G115">
            <v>0.69958181818181808</v>
          </cell>
          <cell r="I115">
            <v>1.3069818181818185</v>
          </cell>
          <cell r="K115">
            <v>3.4008181818181824</v>
          </cell>
          <cell r="L115">
            <v>7.9343636363636367</v>
          </cell>
          <cell r="M115" t="str">
            <v>ДА</v>
          </cell>
          <cell r="N115" t="str">
            <v>Оставляем</v>
          </cell>
          <cell r="O115" t="str">
            <v>матрица</v>
          </cell>
        </row>
        <row r="116">
          <cell r="B116" t="str">
            <v>519  Грудинка 0,12 кг нарезка ТМ Стародворье  ПОКОМ</v>
          </cell>
          <cell r="E116">
            <v>0.92072727272727273</v>
          </cell>
          <cell r="G116">
            <v>0.58909090909090911</v>
          </cell>
          <cell r="I116">
            <v>4.745454545454546</v>
          </cell>
          <cell r="K116">
            <v>0.65890909090909089</v>
          </cell>
          <cell r="L116">
            <v>6.9141818181818184</v>
          </cell>
          <cell r="M116" t="str">
            <v>ДА</v>
          </cell>
          <cell r="N116" t="str">
            <v>Сети, оставляем.</v>
          </cell>
          <cell r="O116" t="str">
            <v>матрица</v>
          </cell>
        </row>
        <row r="117">
          <cell r="B117" t="str">
            <v xml:space="preserve"> 240  Колбаса Салями охотничья, ВЕС. ПОКОМ</v>
          </cell>
          <cell r="E117">
            <v>3.5374909090909088</v>
          </cell>
          <cell r="F117" t="str">
            <v>нет</v>
          </cell>
          <cell r="H117" t="str">
            <v>нет</v>
          </cell>
          <cell r="K117">
            <v>3.3305272727272723</v>
          </cell>
          <cell r="L117">
            <v>6.8680181818181811</v>
          </cell>
          <cell r="M117" t="str">
            <v>ДА</v>
          </cell>
          <cell r="N117" t="str">
            <v>Оставляем</v>
          </cell>
          <cell r="O117" t="str">
            <v>матрица</v>
          </cell>
        </row>
        <row r="118">
          <cell r="B118" t="str">
            <v xml:space="preserve"> 469  Колбаса Филедворская по-стародворски ТМ Стародворье в оболочке полиамид.ВЕС  ПОКОМ </v>
          </cell>
          <cell r="C118" t="str">
            <v>нет</v>
          </cell>
          <cell r="F118" t="str">
            <v>нет</v>
          </cell>
          <cell r="I118">
            <v>4.9149090909090907</v>
          </cell>
          <cell r="J118" t="str">
            <v>нет</v>
          </cell>
          <cell r="L118">
            <v>4.9149090909090907</v>
          </cell>
          <cell r="M118" t="str">
            <v>НЕТ</v>
          </cell>
          <cell r="N118" t="str">
            <v>Удаляем</v>
          </cell>
          <cell r="O118" t="str">
            <v>не в матрице</v>
          </cell>
        </row>
        <row r="119">
          <cell r="B119" t="str">
            <v xml:space="preserve"> 243  Колбаса Сервелат Зернистый, ВЕС.  ПОКОМ</v>
          </cell>
          <cell r="C119" t="str">
            <v>нет</v>
          </cell>
          <cell r="F119" t="str">
            <v>нет</v>
          </cell>
          <cell r="H119" t="str">
            <v>нет</v>
          </cell>
          <cell r="K119">
            <v>4.8321272727272726</v>
          </cell>
          <cell r="L119">
            <v>4.8321272727272726</v>
          </cell>
          <cell r="M119" t="str">
            <v>НЕТ</v>
          </cell>
          <cell r="N119" t="str">
            <v>Удаляем</v>
          </cell>
          <cell r="O119" t="str">
            <v>не в матрице</v>
          </cell>
        </row>
        <row r="120">
          <cell r="B120" t="str">
            <v xml:space="preserve"> 251  Сосиски Баварские, ВЕС.  ПОКОМ</v>
          </cell>
          <cell r="C120" t="str">
            <v>нет</v>
          </cell>
          <cell r="F120" t="str">
            <v>нет</v>
          </cell>
          <cell r="I120">
            <v>4.4079636363636361</v>
          </cell>
          <cell r="J120" t="str">
            <v>нет</v>
          </cell>
          <cell r="L120">
            <v>4.4079636363636361</v>
          </cell>
          <cell r="M120" t="str">
            <v>НЕТ</v>
          </cell>
          <cell r="N120" t="str">
            <v>Сети, оставляем. / РОТАЦИЯ</v>
          </cell>
          <cell r="O120" t="str">
            <v>не в матрице</v>
          </cell>
        </row>
        <row r="121">
          <cell r="B121" t="str">
            <v xml:space="preserve"> 355  Колбаса Сервелат запеченный ТМ Стародворье ТС Дугушка. 0,6 кг. ПОКОМ</v>
          </cell>
          <cell r="C121" t="str">
            <v>нет</v>
          </cell>
          <cell r="F121" t="str">
            <v>нет</v>
          </cell>
          <cell r="I121">
            <v>1.5636363636363635</v>
          </cell>
          <cell r="K121">
            <v>1.9090909090909089</v>
          </cell>
          <cell r="L121">
            <v>3.4727272727272727</v>
          </cell>
          <cell r="M121" t="str">
            <v>ДА</v>
          </cell>
          <cell r="N121" t="str">
            <v>Сети, оставляем.</v>
          </cell>
          <cell r="O121" t="str">
            <v>матрица</v>
          </cell>
        </row>
        <row r="122">
          <cell r="B122" t="str">
            <v xml:space="preserve"> 523  Колбаса Сальчичон нарезка 0,07кг ТМ Стародворье  ПОКОМ </v>
          </cell>
          <cell r="E122">
            <v>0.88836363636363624</v>
          </cell>
          <cell r="G122">
            <v>1.3478181818181818</v>
          </cell>
          <cell r="H122" t="str">
            <v>нет</v>
          </cell>
          <cell r="K122">
            <v>0.74072727272727279</v>
          </cell>
          <cell r="L122">
            <v>2.9769090909090909</v>
          </cell>
          <cell r="M122" t="str">
            <v>ДА</v>
          </cell>
          <cell r="N122" t="str">
            <v>Сети, оставляем.</v>
          </cell>
          <cell r="O122" t="str">
            <v>матрица</v>
          </cell>
        </row>
        <row r="123">
          <cell r="B123" t="str">
            <v xml:space="preserve"> 564  Сосиски Сочные 0,3 кг ТМ Вязанка  ПОКОМ</v>
          </cell>
          <cell r="C123" t="str">
            <v>нет</v>
          </cell>
          <cell r="G123">
            <v>2.6890909090909094</v>
          </cell>
          <cell r="H123" t="str">
            <v>нет</v>
          </cell>
          <cell r="J123" t="str">
            <v>нет</v>
          </cell>
          <cell r="L123">
            <v>2.6890909090909094</v>
          </cell>
          <cell r="M123" t="str">
            <v>ДА</v>
          </cell>
          <cell r="N123" t="str">
            <v>Сети, оставляем.</v>
          </cell>
          <cell r="O123" t="str">
            <v>матрица</v>
          </cell>
        </row>
        <row r="124">
          <cell r="B124" t="str">
            <v xml:space="preserve"> 298  Колбаса Сливушка ТМ Вязанка, 0,375кг,  ПОКОМ</v>
          </cell>
          <cell r="E124">
            <v>2.290909090909091</v>
          </cell>
          <cell r="F124" t="str">
            <v>нет</v>
          </cell>
          <cell r="H124" t="str">
            <v>нет</v>
          </cell>
          <cell r="J124" t="str">
            <v>нет</v>
          </cell>
          <cell r="L124">
            <v>2.290909090909091</v>
          </cell>
          <cell r="M124" t="str">
            <v>НЕТ</v>
          </cell>
          <cell r="N124" t="str">
            <v>Удаляем, пересорт был.</v>
          </cell>
          <cell r="O124" t="str">
            <v>не в матрице</v>
          </cell>
        </row>
        <row r="125">
          <cell r="B125" t="str">
            <v xml:space="preserve"> 555  Колбаса Молокуша ТМ Вязанка в модифицированной газовой среде 0,17 кг нарезка  ПОКОМ</v>
          </cell>
          <cell r="E125">
            <v>-2.7818181818181815E-2</v>
          </cell>
          <cell r="G125">
            <v>0.63363636363636378</v>
          </cell>
          <cell r="I125">
            <v>1.4181818181818182</v>
          </cell>
          <cell r="J125" t="str">
            <v>нет</v>
          </cell>
          <cell r="L125">
            <v>2.024</v>
          </cell>
          <cell r="M125" t="str">
            <v>ДА</v>
          </cell>
          <cell r="N125" t="str">
            <v>Сети, оставляем.</v>
          </cell>
          <cell r="O125" t="str">
            <v>матрица</v>
          </cell>
        </row>
        <row r="126">
          <cell r="B126" t="str">
            <v xml:space="preserve"> 552  Ветчина Сливушка с индейкой ТМ Вязанка в модифицированной газовой среде 0,1 кг нарезка  ПОКОМ</v>
          </cell>
          <cell r="C126" t="str">
            <v>нет</v>
          </cell>
          <cell r="F126" t="str">
            <v>нет</v>
          </cell>
          <cell r="I126">
            <v>1.6</v>
          </cell>
          <cell r="J126" t="str">
            <v>нет</v>
          </cell>
          <cell r="L126">
            <v>1.6</v>
          </cell>
          <cell r="M126" t="str">
            <v>ДА</v>
          </cell>
          <cell r="N126" t="str">
            <v>Сети, оставляем.</v>
          </cell>
          <cell r="O126" t="str">
            <v>матрица</v>
          </cell>
        </row>
        <row r="127">
          <cell r="B127" t="str">
            <v xml:space="preserve"> 567 Колбаса Со шпиком Стародворская ТМ Стародворье в оболочке полиамид ВЕС  ПОКОМ</v>
          </cell>
          <cell r="C127" t="str">
            <v>нет</v>
          </cell>
          <cell r="G127">
            <v>0.19996363636363637</v>
          </cell>
          <cell r="I127">
            <v>1.1970181818181818</v>
          </cell>
          <cell r="J127" t="str">
            <v>нет</v>
          </cell>
          <cell r="L127">
            <v>1.3969818181818181</v>
          </cell>
          <cell r="M127" t="str">
            <v>ДА</v>
          </cell>
          <cell r="N127" t="str">
            <v>Сети, оставляем.</v>
          </cell>
          <cell r="O127" t="str">
            <v>матрица</v>
          </cell>
        </row>
        <row r="128">
          <cell r="B128" t="str">
            <v xml:space="preserve"> 023  Колбаса Докторская ГОСТ, Вязанка вектор, 0,4 кг, ПОКОМ</v>
          </cell>
          <cell r="C128" t="str">
            <v>нет</v>
          </cell>
          <cell r="G128">
            <v>0.9236363636363637</v>
          </cell>
          <cell r="H128" t="str">
            <v>нет</v>
          </cell>
          <cell r="K128">
            <v>0.29818181818181816</v>
          </cell>
          <cell r="L128">
            <v>1.2218181818181819</v>
          </cell>
          <cell r="M128" t="str">
            <v>ДА</v>
          </cell>
          <cell r="N128" t="str">
            <v>Сети, оставляем.</v>
          </cell>
          <cell r="O128" t="str">
            <v>матрица</v>
          </cell>
        </row>
        <row r="129">
          <cell r="B129" t="str">
            <v xml:space="preserve"> 537  Колбаса Докторская ТМ Стародворье ТС Дугушка в оболочке полиамид 0,4 кг  ПОКОМ</v>
          </cell>
          <cell r="C129" t="str">
            <v>нет</v>
          </cell>
          <cell r="F129" t="str">
            <v>нет</v>
          </cell>
          <cell r="I129">
            <v>0.92727272727272725</v>
          </cell>
          <cell r="J129" t="str">
            <v>нет</v>
          </cell>
          <cell r="L129">
            <v>0.92727272727272725</v>
          </cell>
          <cell r="M129" t="str">
            <v>НЕТ</v>
          </cell>
          <cell r="N129" t="str">
            <v>Удаляем</v>
          </cell>
          <cell r="O129" t="str">
            <v>не в матрице</v>
          </cell>
        </row>
        <row r="130">
          <cell r="B130" t="str">
            <v xml:space="preserve"> 574  Колбаса Сервелат Финский ТМ Вязанка в упаковке скин 0,09 кг нарезка  ПОКОМ</v>
          </cell>
          <cell r="C130" t="str">
            <v>новинка</v>
          </cell>
          <cell r="E130">
            <v>0.17836363636363634</v>
          </cell>
          <cell r="G130">
            <v>0.27981818181818185</v>
          </cell>
          <cell r="H130" t="str">
            <v>нет</v>
          </cell>
          <cell r="J130" t="str">
            <v>нет</v>
          </cell>
          <cell r="L130">
            <v>0.45818181818181819</v>
          </cell>
          <cell r="M130" t="str">
            <v>ДА</v>
          </cell>
          <cell r="O130" t="str">
            <v>матрица</v>
          </cell>
        </row>
        <row r="131">
          <cell r="B131" t="str">
            <v xml:space="preserve"> 583  Колбаса Балыковая ТМ Вязанка в упаковке скин 0,09 кг нарезка  ПОКОМ</v>
          </cell>
          <cell r="C131" t="str">
            <v>новинка</v>
          </cell>
          <cell r="E131">
            <v>0.14727272727272728</v>
          </cell>
          <cell r="G131">
            <v>0.252</v>
          </cell>
          <cell r="H131" t="str">
            <v>нет</v>
          </cell>
          <cell r="J131" t="str">
            <v>нет</v>
          </cell>
          <cell r="L131">
            <v>0.39927272727272728</v>
          </cell>
          <cell r="M131" t="str">
            <v>ДА</v>
          </cell>
          <cell r="O131" t="str">
            <v>матрица</v>
          </cell>
        </row>
        <row r="132">
          <cell r="B132" t="str">
            <v xml:space="preserve"> 551  Колбаса Сливушка ТМ Вязанка в модифицированной газовой среде 0,11 кг нарезка  ПОКОМ</v>
          </cell>
          <cell r="E132">
            <v>-1.5999999999999997E-2</v>
          </cell>
          <cell r="G132">
            <v>0.38600000000000001</v>
          </cell>
          <cell r="H132" t="str">
            <v>нет</v>
          </cell>
          <cell r="J132" t="str">
            <v>нет</v>
          </cell>
          <cell r="L132">
            <v>0.37</v>
          </cell>
          <cell r="M132" t="str">
            <v>ДА</v>
          </cell>
          <cell r="N132" t="str">
            <v>Сети, оставляем.</v>
          </cell>
          <cell r="O132" t="str">
            <v>матрица</v>
          </cell>
        </row>
        <row r="133">
          <cell r="B133" t="str">
            <v xml:space="preserve"> 584  Колбаса Сервелат Ореховый ТМ Вязанка в упаковке скин 0,09 кг нарезка  ПОКОМ</v>
          </cell>
          <cell r="C133" t="str">
            <v>новинка</v>
          </cell>
          <cell r="E133">
            <v>0.14399999999999999</v>
          </cell>
          <cell r="G133">
            <v>0.2176363636363636</v>
          </cell>
          <cell r="H133" t="str">
            <v>нет</v>
          </cell>
          <cell r="J133" t="str">
            <v>нет</v>
          </cell>
          <cell r="L133">
            <v>0.36163636363636359</v>
          </cell>
          <cell r="M133" t="str">
            <v>ДА</v>
          </cell>
          <cell r="O133" t="str">
            <v>матрица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7" sqref="AK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7109375" customWidth="1"/>
    <col min="15" max="20" width="7" customWidth="1"/>
    <col min="21" max="22" width="5" customWidth="1"/>
    <col min="23" max="33" width="6" customWidth="1"/>
    <col min="34" max="34" width="36.28515625" customWidth="1"/>
    <col min="35" max="35" width="8.5703125" customWidth="1"/>
    <col min="3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/>
      <c r="U4" s="1"/>
      <c r="V4" s="1"/>
      <c r="W4" s="1" t="s">
        <v>28</v>
      </c>
      <c r="X4" s="1" t="s">
        <v>22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26558.594000000005</v>
      </c>
      <c r="F5" s="4">
        <f>SUM(F6:F500)</f>
        <v>19313.231000000003</v>
      </c>
      <c r="G5" s="7"/>
      <c r="H5" s="1"/>
      <c r="I5" s="1"/>
      <c r="J5" s="1"/>
      <c r="K5" s="4">
        <f t="shared" ref="K5:T5" si="0">SUM(K6:K500)</f>
        <v>27229.258999999998</v>
      </c>
      <c r="L5" s="4">
        <f t="shared" si="0"/>
        <v>-670.66500000000042</v>
      </c>
      <c r="M5" s="4">
        <f t="shared" si="0"/>
        <v>0</v>
      </c>
      <c r="N5" s="4">
        <f t="shared" si="0"/>
        <v>0</v>
      </c>
      <c r="O5" s="4">
        <f t="shared" si="0"/>
        <v>14044.124733999997</v>
      </c>
      <c r="P5" s="4">
        <f t="shared" si="0"/>
        <v>1000</v>
      </c>
      <c r="Q5" s="4">
        <f t="shared" si="0"/>
        <v>1500</v>
      </c>
      <c r="R5" s="4">
        <f t="shared" si="0"/>
        <v>9305.531376560004</v>
      </c>
      <c r="S5" s="4">
        <f t="shared" si="0"/>
        <v>5311.7188000000015</v>
      </c>
      <c r="T5" s="4">
        <f t="shared" si="0"/>
        <v>0</v>
      </c>
      <c r="U5" s="1"/>
      <c r="V5" s="1"/>
      <c r="W5" s="4">
        <f t="shared" ref="W5:AG5" si="1">SUM(W6:W500)</f>
        <v>4949.0583999999999</v>
      </c>
      <c r="X5" s="4">
        <f t="shared" si="1"/>
        <v>5681.1398000000008</v>
      </c>
      <c r="Y5" s="4">
        <f t="shared" si="1"/>
        <v>4551.0276000000013</v>
      </c>
      <c r="Z5" s="4">
        <f t="shared" si="1"/>
        <v>4055.5027999999998</v>
      </c>
      <c r="AA5" s="4">
        <f t="shared" si="1"/>
        <v>4899.2521999999981</v>
      </c>
      <c r="AB5" s="4">
        <f t="shared" si="1"/>
        <v>4551.299799999997</v>
      </c>
      <c r="AC5" s="4">
        <f t="shared" si="1"/>
        <v>4262.4295999999977</v>
      </c>
      <c r="AD5" s="4">
        <f t="shared" si="1"/>
        <v>4449.9754000000012</v>
      </c>
      <c r="AE5" s="4">
        <f t="shared" si="1"/>
        <v>4569.6715999999988</v>
      </c>
      <c r="AF5" s="4">
        <f t="shared" si="1"/>
        <v>3542.7732000000005</v>
      </c>
      <c r="AG5" s="4">
        <f t="shared" si="1"/>
        <v>4222.9649999999992</v>
      </c>
      <c r="AH5" s="1"/>
      <c r="AI5" s="4">
        <f>SUM(AI6:AI500)</f>
        <v>0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38</v>
      </c>
      <c r="B6" s="1" t="s">
        <v>39</v>
      </c>
      <c r="C6" s="1">
        <v>899.48</v>
      </c>
      <c r="D6" s="1">
        <v>5.4080000000000004</v>
      </c>
      <c r="E6" s="1">
        <v>311.28300000000002</v>
      </c>
      <c r="F6" s="1">
        <v>569.57399999999996</v>
      </c>
      <c r="G6" s="7">
        <v>1</v>
      </c>
      <c r="H6" s="1">
        <v>50</v>
      </c>
      <c r="I6" s="1" t="s">
        <v>40</v>
      </c>
      <c r="J6" s="1"/>
      <c r="K6" s="1">
        <v>282.74</v>
      </c>
      <c r="L6" s="1">
        <f t="shared" ref="L6:L37" si="2">E6-K6</f>
        <v>28.543000000000006</v>
      </c>
      <c r="M6" s="1"/>
      <c r="N6" s="1"/>
      <c r="O6" s="1">
        <v>0</v>
      </c>
      <c r="P6" s="1"/>
      <c r="Q6" s="1"/>
      <c r="R6" s="1">
        <v>89.779499999999871</v>
      </c>
      <c r="S6" s="1">
        <f>E6/5</f>
        <v>62.256600000000006</v>
      </c>
      <c r="T6" s="5"/>
      <c r="U6" s="1">
        <f>(F6+O6+P6+Q6+R6+T6)/S6</f>
        <v>10.5909012056553</v>
      </c>
      <c r="V6" s="1">
        <f>(F6+O6+P6+Q6+R6)/S6</f>
        <v>10.5909012056553</v>
      </c>
      <c r="W6" s="1">
        <v>66.852599999999995</v>
      </c>
      <c r="X6" s="1">
        <v>82.294000000000011</v>
      </c>
      <c r="Y6" s="1">
        <v>60.082000000000008</v>
      </c>
      <c r="Z6" s="1">
        <v>55.816999999999993</v>
      </c>
      <c r="AA6" s="1">
        <v>53.811199999999999</v>
      </c>
      <c r="AB6" s="1">
        <v>54.4542</v>
      </c>
      <c r="AC6" s="1">
        <v>78.643600000000006</v>
      </c>
      <c r="AD6" s="1">
        <v>81.141999999999996</v>
      </c>
      <c r="AE6" s="1">
        <v>56.725999999999999</v>
      </c>
      <c r="AF6" s="1">
        <v>56.728200000000001</v>
      </c>
      <c r="AG6" s="1">
        <v>58.592599999999997</v>
      </c>
      <c r="AH6" s="1"/>
      <c r="AI6" s="1">
        <f>G6*T6</f>
        <v>0</v>
      </c>
      <c r="AJ6" s="1" t="str">
        <f>VLOOKUP(A6,[1]Лист1!$B:$O,14,0)</f>
        <v>матрица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41</v>
      </c>
      <c r="B7" s="1" t="s">
        <v>39</v>
      </c>
      <c r="C7" s="1">
        <v>1178.768</v>
      </c>
      <c r="D7" s="1">
        <v>347.24599999999998</v>
      </c>
      <c r="E7" s="1">
        <v>806.83399999999995</v>
      </c>
      <c r="F7" s="1">
        <v>579.577</v>
      </c>
      <c r="G7" s="7">
        <v>1</v>
      </c>
      <c r="H7" s="1">
        <v>45</v>
      </c>
      <c r="I7" s="1" t="s">
        <v>42</v>
      </c>
      <c r="J7" s="1"/>
      <c r="K7" s="1">
        <v>760.25</v>
      </c>
      <c r="L7" s="1">
        <f t="shared" si="2"/>
        <v>46.583999999999946</v>
      </c>
      <c r="M7" s="1"/>
      <c r="N7" s="1"/>
      <c r="O7" s="1">
        <v>332.08991999999961</v>
      </c>
      <c r="P7" s="1"/>
      <c r="Q7" s="1"/>
      <c r="R7" s="1">
        <v>276.68529999999993</v>
      </c>
      <c r="S7" s="1">
        <f t="shared" ref="S7:S70" si="3">E7/5</f>
        <v>161.36679999999998</v>
      </c>
      <c r="T7" s="5"/>
      <c r="U7" s="1">
        <f t="shared" ref="U7:U70" si="4">(F7+O7+P7+Q7+R7+T7)/S7</f>
        <v>7.3642919113473138</v>
      </c>
      <c r="V7" s="1">
        <f t="shared" ref="V7:V70" si="5">(F7+O7+P7+Q7+R7)/S7</f>
        <v>7.3642919113473138</v>
      </c>
      <c r="W7" s="1">
        <v>149.6454</v>
      </c>
      <c r="X7" s="1">
        <v>178.84819999999999</v>
      </c>
      <c r="Y7" s="1">
        <v>149.67179999999999</v>
      </c>
      <c r="Z7" s="1">
        <v>148.21080000000001</v>
      </c>
      <c r="AA7" s="1">
        <v>187.27260000000001</v>
      </c>
      <c r="AB7" s="1">
        <v>139.0446</v>
      </c>
      <c r="AC7" s="1">
        <v>77.631399999999999</v>
      </c>
      <c r="AD7" s="1">
        <v>85.131200000000007</v>
      </c>
      <c r="AE7" s="1">
        <v>120.83459999999999</v>
      </c>
      <c r="AF7" s="1">
        <v>53.919400000000003</v>
      </c>
      <c r="AG7" s="1">
        <v>103.55159999999999</v>
      </c>
      <c r="AH7" s="1"/>
      <c r="AI7" s="1">
        <f>G7*T7</f>
        <v>0</v>
      </c>
      <c r="AJ7" s="1" t="str">
        <f>VLOOKUP(A7,[1]Лист1!$B:$O,14,0)</f>
        <v>матрица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43</v>
      </c>
      <c r="B8" s="1" t="s">
        <v>39</v>
      </c>
      <c r="C8" s="1">
        <v>1111.8869999999999</v>
      </c>
      <c r="D8" s="1">
        <v>485.18</v>
      </c>
      <c r="E8" s="1">
        <v>842.81399999999996</v>
      </c>
      <c r="F8" s="1">
        <v>621.62</v>
      </c>
      <c r="G8" s="7">
        <v>1</v>
      </c>
      <c r="H8" s="1">
        <v>45</v>
      </c>
      <c r="I8" s="1" t="s">
        <v>44</v>
      </c>
      <c r="J8" s="1"/>
      <c r="K8" s="1">
        <v>793.34</v>
      </c>
      <c r="L8" s="1">
        <f t="shared" si="2"/>
        <v>49.473999999999933</v>
      </c>
      <c r="M8" s="1"/>
      <c r="N8" s="1"/>
      <c r="O8" s="1">
        <v>362.17072000000007</v>
      </c>
      <c r="P8" s="1"/>
      <c r="Q8" s="1"/>
      <c r="R8" s="1">
        <v>185.8289199999997</v>
      </c>
      <c r="S8" s="1">
        <f t="shared" si="3"/>
        <v>168.56279999999998</v>
      </c>
      <c r="T8" s="5"/>
      <c r="U8" s="1">
        <f t="shared" si="4"/>
        <v>6.9387767645055733</v>
      </c>
      <c r="V8" s="1">
        <f t="shared" si="5"/>
        <v>6.9387767645055733</v>
      </c>
      <c r="W8" s="1">
        <v>152.89080000000001</v>
      </c>
      <c r="X8" s="1">
        <v>189.7098</v>
      </c>
      <c r="Y8" s="1">
        <v>156.5736</v>
      </c>
      <c r="Z8" s="1">
        <v>142.0624</v>
      </c>
      <c r="AA8" s="1">
        <v>183.81639999999999</v>
      </c>
      <c r="AB8" s="1">
        <v>143.90119999999999</v>
      </c>
      <c r="AC8" s="1">
        <v>28.558599999999998</v>
      </c>
      <c r="AD8" s="1">
        <v>19.2348</v>
      </c>
      <c r="AE8" s="1">
        <v>136.8586</v>
      </c>
      <c r="AF8" s="1">
        <v>61.915200000000013</v>
      </c>
      <c r="AG8" s="1">
        <v>120.94499999999999</v>
      </c>
      <c r="AH8" s="1"/>
      <c r="AI8" s="1">
        <f>G8*T8</f>
        <v>0</v>
      </c>
      <c r="AJ8" s="1" t="str">
        <f>VLOOKUP(A8,[1]Лист1!$B:$O,14,0)</f>
        <v>матрица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45</v>
      </c>
      <c r="B9" s="1" t="s">
        <v>46</v>
      </c>
      <c r="C9" s="1"/>
      <c r="D9" s="1">
        <v>20</v>
      </c>
      <c r="E9" s="1">
        <v>2</v>
      </c>
      <c r="F9" s="1">
        <v>17</v>
      </c>
      <c r="G9" s="7">
        <v>0.4</v>
      </c>
      <c r="H9" s="1">
        <v>50</v>
      </c>
      <c r="I9" s="1"/>
      <c r="J9" s="1"/>
      <c r="K9" s="1">
        <v>11</v>
      </c>
      <c r="L9" s="1">
        <f t="shared" si="2"/>
        <v>-9</v>
      </c>
      <c r="M9" s="1"/>
      <c r="N9" s="1"/>
      <c r="O9" s="1">
        <v>0</v>
      </c>
      <c r="P9" s="1"/>
      <c r="Q9" s="1"/>
      <c r="R9" s="1">
        <v>0</v>
      </c>
      <c r="S9" s="1">
        <f t="shared" si="3"/>
        <v>0.4</v>
      </c>
      <c r="T9" s="5"/>
      <c r="U9" s="1">
        <f t="shared" si="4"/>
        <v>42.5</v>
      </c>
      <c r="V9" s="1">
        <f t="shared" si="5"/>
        <v>42.5</v>
      </c>
      <c r="W9" s="1">
        <v>0</v>
      </c>
      <c r="X9" s="1">
        <v>0</v>
      </c>
      <c r="Y9" s="1">
        <v>0</v>
      </c>
      <c r="Z9" s="1">
        <v>0.4</v>
      </c>
      <c r="AA9" s="1">
        <v>1.4</v>
      </c>
      <c r="AB9" s="1">
        <v>2</v>
      </c>
      <c r="AC9" s="1">
        <v>2.2000000000000002</v>
      </c>
      <c r="AD9" s="1">
        <v>1.2</v>
      </c>
      <c r="AE9" s="1">
        <v>1</v>
      </c>
      <c r="AF9" s="1">
        <v>0</v>
      </c>
      <c r="AG9" s="1">
        <v>0</v>
      </c>
      <c r="AH9" s="1" t="s">
        <v>47</v>
      </c>
      <c r="AI9" s="1">
        <f>G9*T9</f>
        <v>0</v>
      </c>
      <c r="AJ9" s="1" t="str">
        <f>VLOOKUP(A9,[1]Лист1!$B:$O,14,0)</f>
        <v>матрица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48</v>
      </c>
      <c r="B10" s="1" t="s">
        <v>46</v>
      </c>
      <c r="C10" s="1">
        <v>455</v>
      </c>
      <c r="D10" s="1">
        <v>51</v>
      </c>
      <c r="E10" s="1">
        <v>343</v>
      </c>
      <c r="F10" s="1">
        <v>140</v>
      </c>
      <c r="G10" s="7">
        <v>0.45</v>
      </c>
      <c r="H10" s="1">
        <v>45</v>
      </c>
      <c r="I10" s="1" t="s">
        <v>49</v>
      </c>
      <c r="J10" s="1"/>
      <c r="K10" s="1">
        <v>348</v>
      </c>
      <c r="L10" s="1">
        <f t="shared" si="2"/>
        <v>-5</v>
      </c>
      <c r="M10" s="1"/>
      <c r="N10" s="1"/>
      <c r="O10" s="1">
        <v>214.00000000000011</v>
      </c>
      <c r="P10" s="1"/>
      <c r="Q10" s="1"/>
      <c r="R10" s="1">
        <v>62.299999999999862</v>
      </c>
      <c r="S10" s="1">
        <f t="shared" si="3"/>
        <v>68.599999999999994</v>
      </c>
      <c r="T10" s="5"/>
      <c r="U10" s="1">
        <f t="shared" si="4"/>
        <v>6.0685131195335273</v>
      </c>
      <c r="V10" s="1">
        <f t="shared" si="5"/>
        <v>6.0685131195335273</v>
      </c>
      <c r="W10" s="1">
        <v>57</v>
      </c>
      <c r="X10" s="1">
        <v>64.400000000000006</v>
      </c>
      <c r="Y10" s="1">
        <v>51.8</v>
      </c>
      <c r="Z10" s="1">
        <v>54</v>
      </c>
      <c r="AA10" s="1">
        <v>66.599999999999994</v>
      </c>
      <c r="AB10" s="1">
        <v>69</v>
      </c>
      <c r="AC10" s="1">
        <v>72.599999999999994</v>
      </c>
      <c r="AD10" s="1">
        <v>51</v>
      </c>
      <c r="AE10" s="1">
        <v>59.6</v>
      </c>
      <c r="AF10" s="1">
        <v>-0.4</v>
      </c>
      <c r="AG10" s="1">
        <v>12.8</v>
      </c>
      <c r="AH10" s="1"/>
      <c r="AI10" s="1">
        <f>G10*T10</f>
        <v>0</v>
      </c>
      <c r="AJ10" s="1" t="str">
        <f>VLOOKUP(A10,[1]Лист1!$B:$O,14,0)</f>
        <v>матрица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50</v>
      </c>
      <c r="B11" s="1" t="s">
        <v>46</v>
      </c>
      <c r="C11" s="1">
        <v>435</v>
      </c>
      <c r="D11" s="1">
        <v>252</v>
      </c>
      <c r="E11" s="1">
        <v>443</v>
      </c>
      <c r="F11" s="1">
        <v>187</v>
      </c>
      <c r="G11" s="7">
        <v>0.45</v>
      </c>
      <c r="H11" s="1">
        <v>45</v>
      </c>
      <c r="I11" s="1" t="s">
        <v>51</v>
      </c>
      <c r="J11" s="1"/>
      <c r="K11" s="1">
        <v>467</v>
      </c>
      <c r="L11" s="1">
        <f t="shared" si="2"/>
        <v>-24</v>
      </c>
      <c r="M11" s="1"/>
      <c r="N11" s="1"/>
      <c r="O11" s="1">
        <v>269.31999999999982</v>
      </c>
      <c r="P11" s="1"/>
      <c r="Q11" s="1"/>
      <c r="R11" s="1">
        <v>225.54000000000019</v>
      </c>
      <c r="S11" s="1">
        <f t="shared" si="3"/>
        <v>88.6</v>
      </c>
      <c r="T11" s="5"/>
      <c r="U11" s="1">
        <f t="shared" si="4"/>
        <v>7.6959367945823933</v>
      </c>
      <c r="V11" s="1">
        <f t="shared" si="5"/>
        <v>7.6959367945823933</v>
      </c>
      <c r="W11" s="1">
        <v>85.2</v>
      </c>
      <c r="X11" s="1">
        <v>90.6</v>
      </c>
      <c r="Y11" s="1">
        <v>71.400000000000006</v>
      </c>
      <c r="Z11" s="1">
        <v>71.8</v>
      </c>
      <c r="AA11" s="1">
        <v>78</v>
      </c>
      <c r="AB11" s="1">
        <v>73.2</v>
      </c>
      <c r="AC11" s="1">
        <v>69</v>
      </c>
      <c r="AD11" s="1">
        <v>81.8</v>
      </c>
      <c r="AE11" s="1">
        <v>64.8</v>
      </c>
      <c r="AF11" s="1">
        <v>39.799999999999997</v>
      </c>
      <c r="AG11" s="1">
        <v>75.599999999999994</v>
      </c>
      <c r="AH11" s="1"/>
      <c r="AI11" s="1">
        <f>G11*T11</f>
        <v>0</v>
      </c>
      <c r="AJ11" s="1" t="str">
        <f>VLOOKUP(A11,[1]Лист1!$B:$O,14,0)</f>
        <v>матрица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52</v>
      </c>
      <c r="B12" s="1" t="s">
        <v>46</v>
      </c>
      <c r="C12" s="1">
        <v>114</v>
      </c>
      <c r="D12" s="1">
        <v>119</v>
      </c>
      <c r="E12" s="1">
        <v>99</v>
      </c>
      <c r="F12" s="1">
        <v>102</v>
      </c>
      <c r="G12" s="7">
        <v>0.3</v>
      </c>
      <c r="H12" s="1">
        <v>40</v>
      </c>
      <c r="I12" s="1" t="s">
        <v>53</v>
      </c>
      <c r="J12" s="1"/>
      <c r="K12" s="1">
        <v>97</v>
      </c>
      <c r="L12" s="1">
        <f t="shared" si="2"/>
        <v>2</v>
      </c>
      <c r="M12" s="1"/>
      <c r="N12" s="1"/>
      <c r="O12" s="1">
        <v>53.800000000000011</v>
      </c>
      <c r="P12" s="1"/>
      <c r="Q12" s="1"/>
      <c r="R12" s="1">
        <v>0</v>
      </c>
      <c r="S12" s="1">
        <f t="shared" si="3"/>
        <v>19.8</v>
      </c>
      <c r="T12" s="5"/>
      <c r="U12" s="1">
        <f t="shared" si="4"/>
        <v>7.8686868686868694</v>
      </c>
      <c r="V12" s="1">
        <f t="shared" si="5"/>
        <v>7.8686868686868694</v>
      </c>
      <c r="W12" s="1">
        <v>18</v>
      </c>
      <c r="X12" s="1">
        <v>25.6</v>
      </c>
      <c r="Y12" s="1">
        <v>22.4</v>
      </c>
      <c r="Z12" s="1">
        <v>14</v>
      </c>
      <c r="AA12" s="1">
        <v>18</v>
      </c>
      <c r="AB12" s="1">
        <v>14.4</v>
      </c>
      <c r="AC12" s="1">
        <v>9.4</v>
      </c>
      <c r="AD12" s="1">
        <v>11.6</v>
      </c>
      <c r="AE12" s="1">
        <v>16</v>
      </c>
      <c r="AF12" s="1">
        <v>8.6</v>
      </c>
      <c r="AG12" s="1">
        <v>17.2</v>
      </c>
      <c r="AH12" s="1"/>
      <c r="AI12" s="1">
        <f>G12*T12</f>
        <v>0</v>
      </c>
      <c r="AJ12" s="1" t="str">
        <f>VLOOKUP(A12,[1]Лист1!$B:$O,14,0)</f>
        <v>матрица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54</v>
      </c>
      <c r="B13" s="1" t="s">
        <v>46</v>
      </c>
      <c r="C13" s="1">
        <v>338</v>
      </c>
      <c r="D13" s="1">
        <v>3</v>
      </c>
      <c r="E13" s="1">
        <v>99</v>
      </c>
      <c r="F13" s="1">
        <v>231</v>
      </c>
      <c r="G13" s="7">
        <v>0.17</v>
      </c>
      <c r="H13" s="1">
        <v>180</v>
      </c>
      <c r="I13" s="1" t="s">
        <v>55</v>
      </c>
      <c r="J13" s="1"/>
      <c r="K13" s="1">
        <v>92</v>
      </c>
      <c r="L13" s="1">
        <f t="shared" si="2"/>
        <v>7</v>
      </c>
      <c r="M13" s="1"/>
      <c r="N13" s="1"/>
      <c r="O13" s="1">
        <v>0</v>
      </c>
      <c r="P13" s="1"/>
      <c r="Q13" s="1"/>
      <c r="R13" s="1">
        <v>0</v>
      </c>
      <c r="S13" s="1">
        <f t="shared" si="3"/>
        <v>19.8</v>
      </c>
      <c r="T13" s="5"/>
      <c r="U13" s="1">
        <f t="shared" si="4"/>
        <v>11.666666666666666</v>
      </c>
      <c r="V13" s="1">
        <f t="shared" si="5"/>
        <v>11.666666666666666</v>
      </c>
      <c r="W13" s="1">
        <v>14.8</v>
      </c>
      <c r="X13" s="1">
        <v>20.6</v>
      </c>
      <c r="Y13" s="1">
        <v>21.8</v>
      </c>
      <c r="Z13" s="1">
        <v>18.2</v>
      </c>
      <c r="AA13" s="1">
        <v>30.6</v>
      </c>
      <c r="AB13" s="1">
        <v>32.799999999999997</v>
      </c>
      <c r="AC13" s="1">
        <v>24.6</v>
      </c>
      <c r="AD13" s="1">
        <v>22.6</v>
      </c>
      <c r="AE13" s="1">
        <v>25</v>
      </c>
      <c r="AF13" s="1">
        <v>14.8</v>
      </c>
      <c r="AG13" s="1">
        <v>12</v>
      </c>
      <c r="AH13" s="1" t="s">
        <v>56</v>
      </c>
      <c r="AI13" s="1">
        <f>G13*T13</f>
        <v>0</v>
      </c>
      <c r="AJ13" s="1" t="str">
        <f>VLOOKUP(A13,[1]Лист1!$B:$O,14,0)</f>
        <v>матрица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57</v>
      </c>
      <c r="B14" s="1" t="s">
        <v>39</v>
      </c>
      <c r="C14" s="1">
        <v>290.08600000000001</v>
      </c>
      <c r="D14" s="1">
        <v>711.01400000000001</v>
      </c>
      <c r="E14" s="1">
        <v>477.67099999999999</v>
      </c>
      <c r="F14" s="1">
        <v>465.91899999999998</v>
      </c>
      <c r="G14" s="7">
        <v>1</v>
      </c>
      <c r="H14" s="1">
        <v>70</v>
      </c>
      <c r="I14" s="1" t="s">
        <v>58</v>
      </c>
      <c r="J14" s="1"/>
      <c r="K14" s="1">
        <v>451.3</v>
      </c>
      <c r="L14" s="1">
        <f t="shared" si="2"/>
        <v>26.370999999999981</v>
      </c>
      <c r="M14" s="1"/>
      <c r="N14" s="1"/>
      <c r="O14" s="1">
        <v>0</v>
      </c>
      <c r="P14" s="1"/>
      <c r="Q14" s="1"/>
      <c r="R14" s="1">
        <v>0</v>
      </c>
      <c r="S14" s="1">
        <f t="shared" si="3"/>
        <v>95.534199999999998</v>
      </c>
      <c r="T14" s="5"/>
      <c r="U14" s="1">
        <f t="shared" si="4"/>
        <v>4.8769864613928835</v>
      </c>
      <c r="V14" s="1">
        <f t="shared" si="5"/>
        <v>4.8769864613928835</v>
      </c>
      <c r="W14" s="1">
        <v>52.246799999999993</v>
      </c>
      <c r="X14" s="1">
        <v>66.222200000000001</v>
      </c>
      <c r="Y14" s="1">
        <v>84.409000000000006</v>
      </c>
      <c r="Z14" s="1">
        <v>85.927999999999997</v>
      </c>
      <c r="AA14" s="1">
        <v>52.177999999999997</v>
      </c>
      <c r="AB14" s="1">
        <v>15.4452</v>
      </c>
      <c r="AC14" s="1">
        <v>54.483400000000003</v>
      </c>
      <c r="AD14" s="1">
        <v>91.662400000000005</v>
      </c>
      <c r="AE14" s="1">
        <v>84.409599999999998</v>
      </c>
      <c r="AF14" s="1">
        <v>76.513199999999998</v>
      </c>
      <c r="AG14" s="1">
        <v>84.661199999999994</v>
      </c>
      <c r="AH14" s="1"/>
      <c r="AI14" s="1">
        <f>G14*T14</f>
        <v>0</v>
      </c>
      <c r="AJ14" s="1" t="str">
        <f>VLOOKUP(A14,[1]Лист1!$B:$O,14,0)</f>
        <v>матрица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59</v>
      </c>
      <c r="B15" s="1" t="s">
        <v>39</v>
      </c>
      <c r="C15" s="1">
        <v>1714.635</v>
      </c>
      <c r="D15" s="1">
        <v>2238.902</v>
      </c>
      <c r="E15" s="1">
        <v>1844.558</v>
      </c>
      <c r="F15" s="1">
        <v>1549.3710000000001</v>
      </c>
      <c r="G15" s="7">
        <v>1</v>
      </c>
      <c r="H15" s="1">
        <v>50</v>
      </c>
      <c r="I15" s="1" t="s">
        <v>60</v>
      </c>
      <c r="J15" s="1"/>
      <c r="K15" s="1">
        <v>1870.0170000000001</v>
      </c>
      <c r="L15" s="1">
        <f t="shared" si="2"/>
        <v>-25.45900000000006</v>
      </c>
      <c r="M15" s="1"/>
      <c r="N15" s="1"/>
      <c r="O15" s="1">
        <v>306.30567999999948</v>
      </c>
      <c r="P15" s="1"/>
      <c r="Q15" s="1"/>
      <c r="R15" s="1">
        <v>575.88681999999972</v>
      </c>
      <c r="S15" s="1">
        <f t="shared" si="3"/>
        <v>368.91160000000002</v>
      </c>
      <c r="T15" s="5"/>
      <c r="U15" s="1">
        <f t="shared" si="4"/>
        <v>6.5911820067463296</v>
      </c>
      <c r="V15" s="1">
        <f t="shared" si="5"/>
        <v>6.5911820067463296</v>
      </c>
      <c r="W15" s="1">
        <v>333.24779999999998</v>
      </c>
      <c r="X15" s="1">
        <v>396.964</v>
      </c>
      <c r="Y15" s="1">
        <v>364.63580000000002</v>
      </c>
      <c r="Z15" s="1">
        <v>341.27480000000003</v>
      </c>
      <c r="AA15" s="1">
        <v>267.3186</v>
      </c>
      <c r="AB15" s="1">
        <v>211.0538</v>
      </c>
      <c r="AC15" s="1">
        <v>419.64319999999998</v>
      </c>
      <c r="AD15" s="1">
        <v>440.71100000000001</v>
      </c>
      <c r="AE15" s="1">
        <v>273.9434</v>
      </c>
      <c r="AF15" s="1">
        <v>349.3664</v>
      </c>
      <c r="AG15" s="1">
        <v>403.61200000000002</v>
      </c>
      <c r="AH15" s="1"/>
      <c r="AI15" s="1">
        <f>G15*T15</f>
        <v>0</v>
      </c>
      <c r="AJ15" s="1" t="str">
        <f>VLOOKUP(A15,[1]Лист1!$B:$O,14,0)</f>
        <v>матрица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61</v>
      </c>
      <c r="B16" s="1" t="s">
        <v>39</v>
      </c>
      <c r="C16" s="1">
        <v>150.71100000000001</v>
      </c>
      <c r="D16" s="1">
        <v>10.635999999999999</v>
      </c>
      <c r="E16" s="1">
        <v>83.010999999999996</v>
      </c>
      <c r="F16" s="1">
        <v>34.256</v>
      </c>
      <c r="G16" s="7">
        <v>1</v>
      </c>
      <c r="H16" s="1">
        <v>60</v>
      </c>
      <c r="I16" s="1" t="s">
        <v>62</v>
      </c>
      <c r="J16" s="1"/>
      <c r="K16" s="1">
        <v>86.1</v>
      </c>
      <c r="L16" s="1">
        <f t="shared" si="2"/>
        <v>-3.0889999999999986</v>
      </c>
      <c r="M16" s="1"/>
      <c r="N16" s="1"/>
      <c r="O16" s="1">
        <v>70.382600000000025</v>
      </c>
      <c r="P16" s="1"/>
      <c r="Q16" s="1"/>
      <c r="R16" s="1">
        <v>62.45389999999999</v>
      </c>
      <c r="S16" s="1">
        <f t="shared" si="3"/>
        <v>16.6022</v>
      </c>
      <c r="T16" s="5"/>
      <c r="U16" s="1">
        <f t="shared" si="4"/>
        <v>10.064479406343739</v>
      </c>
      <c r="V16" s="1">
        <f t="shared" si="5"/>
        <v>10.064479406343739</v>
      </c>
      <c r="W16" s="1">
        <v>18.7286</v>
      </c>
      <c r="X16" s="1">
        <v>18.415600000000001</v>
      </c>
      <c r="Y16" s="1">
        <v>10.8032</v>
      </c>
      <c r="Z16" s="1">
        <v>8.2970000000000006</v>
      </c>
      <c r="AA16" s="1">
        <v>16.942399999999999</v>
      </c>
      <c r="AB16" s="1">
        <v>19.0762</v>
      </c>
      <c r="AC16" s="1">
        <v>18.809999999999999</v>
      </c>
      <c r="AD16" s="1">
        <v>20.7744</v>
      </c>
      <c r="AE16" s="1">
        <v>21.4712</v>
      </c>
      <c r="AF16" s="1">
        <v>20.5778</v>
      </c>
      <c r="AG16" s="1">
        <v>18.390999999999998</v>
      </c>
      <c r="AH16" s="1"/>
      <c r="AI16" s="1">
        <f>G16*T16</f>
        <v>0</v>
      </c>
      <c r="AJ16" s="1" t="str">
        <f>VLOOKUP(A16,[1]Лист1!$B:$O,14,0)</f>
        <v>матрица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63</v>
      </c>
      <c r="B17" s="1" t="s">
        <v>39</v>
      </c>
      <c r="C17" s="1">
        <v>95.338999999999999</v>
      </c>
      <c r="D17" s="1">
        <v>33.526000000000003</v>
      </c>
      <c r="E17" s="1">
        <v>53.5</v>
      </c>
      <c r="F17" s="1">
        <v>56.085000000000001</v>
      </c>
      <c r="G17" s="7">
        <v>1</v>
      </c>
      <c r="H17" s="1">
        <v>60</v>
      </c>
      <c r="I17" s="1" t="s">
        <v>64</v>
      </c>
      <c r="J17" s="1"/>
      <c r="K17" s="1">
        <v>47.3</v>
      </c>
      <c r="L17" s="1">
        <f t="shared" si="2"/>
        <v>6.2000000000000028</v>
      </c>
      <c r="M17" s="1"/>
      <c r="N17" s="1"/>
      <c r="O17" s="1">
        <v>0</v>
      </c>
      <c r="P17" s="1"/>
      <c r="Q17" s="1"/>
      <c r="R17" s="1">
        <v>26.545000000000002</v>
      </c>
      <c r="S17" s="1">
        <f t="shared" si="3"/>
        <v>10.7</v>
      </c>
      <c r="T17" s="5"/>
      <c r="U17" s="1">
        <f t="shared" si="4"/>
        <v>7.7224299065420565</v>
      </c>
      <c r="V17" s="1">
        <f t="shared" si="5"/>
        <v>7.7224299065420565</v>
      </c>
      <c r="W17" s="1">
        <v>9.6920000000000002</v>
      </c>
      <c r="X17" s="1">
        <v>6.7256</v>
      </c>
      <c r="Y17" s="1">
        <v>4.0734000000000004</v>
      </c>
      <c r="Z17" s="1">
        <v>4.6054000000000004</v>
      </c>
      <c r="AA17" s="1">
        <v>12.081200000000001</v>
      </c>
      <c r="AB17" s="1">
        <v>12.433199999999999</v>
      </c>
      <c r="AC17" s="1">
        <v>2.8418000000000001</v>
      </c>
      <c r="AD17" s="1">
        <v>0</v>
      </c>
      <c r="AE17" s="1">
        <v>7.9376000000000007</v>
      </c>
      <c r="AF17" s="1">
        <v>1.6040000000000001</v>
      </c>
      <c r="AG17" s="1">
        <v>3.9266000000000001</v>
      </c>
      <c r="AH17" s="1"/>
      <c r="AI17" s="1">
        <f>G17*T17</f>
        <v>0</v>
      </c>
      <c r="AJ17" s="1" t="str">
        <f>VLOOKUP(A17,[1]Лист1!$B:$O,14,0)</f>
        <v>матрица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65</v>
      </c>
      <c r="B18" s="1" t="s">
        <v>39</v>
      </c>
      <c r="C18" s="1">
        <v>54.755000000000003</v>
      </c>
      <c r="D18" s="1">
        <v>9.9459999999999997</v>
      </c>
      <c r="E18" s="1">
        <v>13.398</v>
      </c>
      <c r="F18" s="1">
        <v>49.881</v>
      </c>
      <c r="G18" s="7">
        <v>1</v>
      </c>
      <c r="H18" s="1">
        <v>180</v>
      </c>
      <c r="I18" s="1" t="s">
        <v>66</v>
      </c>
      <c r="J18" s="1"/>
      <c r="K18" s="1">
        <v>14.85</v>
      </c>
      <c r="L18" s="1">
        <f t="shared" si="2"/>
        <v>-1.452</v>
      </c>
      <c r="M18" s="1"/>
      <c r="N18" s="1"/>
      <c r="O18" s="1">
        <v>4</v>
      </c>
      <c r="P18" s="1"/>
      <c r="Q18" s="1"/>
      <c r="R18" s="1">
        <v>7.2445000000000022</v>
      </c>
      <c r="S18" s="1">
        <f t="shared" si="3"/>
        <v>2.6795999999999998</v>
      </c>
      <c r="T18" s="5"/>
      <c r="U18" s="1">
        <f t="shared" si="4"/>
        <v>22.811427078668462</v>
      </c>
      <c r="V18" s="1">
        <f t="shared" si="5"/>
        <v>22.811427078668462</v>
      </c>
      <c r="W18" s="1">
        <v>5.3262</v>
      </c>
      <c r="X18" s="1">
        <v>5.8662000000000001</v>
      </c>
      <c r="Y18" s="1">
        <v>3.2307999999999999</v>
      </c>
      <c r="Z18" s="1">
        <v>3.8264</v>
      </c>
      <c r="AA18" s="1">
        <v>6.4126000000000003</v>
      </c>
      <c r="AB18" s="1">
        <v>4.5920000000000014</v>
      </c>
      <c r="AC18" s="1">
        <v>0.43180000000000002</v>
      </c>
      <c r="AD18" s="1">
        <v>1.2968</v>
      </c>
      <c r="AE18" s="1">
        <v>3.1156000000000001</v>
      </c>
      <c r="AF18" s="1">
        <v>1.7052</v>
      </c>
      <c r="AG18" s="1">
        <v>3.2547999999999999</v>
      </c>
      <c r="AH18" s="1"/>
      <c r="AI18" s="1">
        <f>G18*T18</f>
        <v>0</v>
      </c>
      <c r="AJ18" s="1" t="str">
        <f>VLOOKUP(A18,[1]Лист1!$B:$O,14,0)</f>
        <v>матрица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67</v>
      </c>
      <c r="B19" s="1" t="s">
        <v>39</v>
      </c>
      <c r="C19" s="1">
        <v>678.53399999999999</v>
      </c>
      <c r="D19" s="1">
        <v>200.94800000000001</v>
      </c>
      <c r="E19" s="1">
        <v>548.47400000000005</v>
      </c>
      <c r="F19" s="1">
        <v>259.67200000000003</v>
      </c>
      <c r="G19" s="7">
        <v>1</v>
      </c>
      <c r="H19" s="1">
        <v>60</v>
      </c>
      <c r="I19" s="1" t="s">
        <v>68</v>
      </c>
      <c r="J19" s="1"/>
      <c r="K19" s="1">
        <v>499.56</v>
      </c>
      <c r="L19" s="1">
        <f t="shared" si="2"/>
        <v>48.914000000000044</v>
      </c>
      <c r="M19" s="1"/>
      <c r="N19" s="1"/>
      <c r="O19" s="1">
        <v>475.11948000000012</v>
      </c>
      <c r="P19" s="1"/>
      <c r="Q19" s="1"/>
      <c r="R19" s="1">
        <v>136.2945599999999</v>
      </c>
      <c r="S19" s="1">
        <f t="shared" si="3"/>
        <v>109.69480000000001</v>
      </c>
      <c r="T19" s="5"/>
      <c r="U19" s="1">
        <f t="shared" si="4"/>
        <v>7.9409966561769556</v>
      </c>
      <c r="V19" s="1">
        <f t="shared" si="5"/>
        <v>7.9409966561769556</v>
      </c>
      <c r="W19" s="1">
        <v>108.2616</v>
      </c>
      <c r="X19" s="1">
        <v>128.46600000000001</v>
      </c>
      <c r="Y19" s="1">
        <v>94.878799999999998</v>
      </c>
      <c r="Z19" s="1">
        <v>92.316800000000001</v>
      </c>
      <c r="AA19" s="1">
        <v>112.2612</v>
      </c>
      <c r="AB19" s="1">
        <v>109.2184</v>
      </c>
      <c r="AC19" s="1">
        <v>102.24079999999999</v>
      </c>
      <c r="AD19" s="1">
        <v>114.7664</v>
      </c>
      <c r="AE19" s="1">
        <v>94.618399999999994</v>
      </c>
      <c r="AF19" s="1">
        <v>100.66679999999999</v>
      </c>
      <c r="AG19" s="1">
        <v>104.90519999999999</v>
      </c>
      <c r="AH19" s="1"/>
      <c r="AI19" s="1">
        <f>G19*T19</f>
        <v>0</v>
      </c>
      <c r="AJ19" s="1" t="str">
        <f>VLOOKUP(A19,[1]Лист1!$B:$O,14,0)</f>
        <v>матрица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69</v>
      </c>
      <c r="B20" s="1" t="s">
        <v>39</v>
      </c>
      <c r="C20" s="1">
        <v>73.486000000000004</v>
      </c>
      <c r="D20" s="1">
        <v>93.831000000000003</v>
      </c>
      <c r="E20" s="1">
        <v>82.912000000000006</v>
      </c>
      <c r="F20" s="1">
        <v>61.625</v>
      </c>
      <c r="G20" s="7">
        <v>1</v>
      </c>
      <c r="H20" s="1">
        <v>70</v>
      </c>
      <c r="I20" s="1" t="s">
        <v>70</v>
      </c>
      <c r="J20" s="1"/>
      <c r="K20" s="1">
        <v>117.2</v>
      </c>
      <c r="L20" s="1">
        <f t="shared" si="2"/>
        <v>-34.287999999999997</v>
      </c>
      <c r="M20" s="1"/>
      <c r="N20" s="1"/>
      <c r="O20" s="1">
        <v>131.87780000000001</v>
      </c>
      <c r="P20" s="1"/>
      <c r="Q20" s="1"/>
      <c r="R20" s="1">
        <v>34.102099999999993</v>
      </c>
      <c r="S20" s="1">
        <f t="shared" si="3"/>
        <v>16.5824</v>
      </c>
      <c r="T20" s="5"/>
      <c r="U20" s="1">
        <f t="shared" si="4"/>
        <v>13.725691094172134</v>
      </c>
      <c r="V20" s="1">
        <f t="shared" si="5"/>
        <v>13.725691094172134</v>
      </c>
      <c r="W20" s="1">
        <v>21.981400000000001</v>
      </c>
      <c r="X20" s="1">
        <v>25.205400000000001</v>
      </c>
      <c r="Y20" s="1">
        <v>18.808800000000002</v>
      </c>
      <c r="Z20" s="1">
        <v>8.6364000000000001</v>
      </c>
      <c r="AA20" s="1">
        <v>5.4560000000000004</v>
      </c>
      <c r="AB20" s="1">
        <v>17.258400000000002</v>
      </c>
      <c r="AC20" s="1">
        <v>23.96</v>
      </c>
      <c r="AD20" s="1">
        <v>16.3932</v>
      </c>
      <c r="AE20" s="1">
        <v>14.417999999999999</v>
      </c>
      <c r="AF20" s="1">
        <v>13.342599999999999</v>
      </c>
      <c r="AG20" s="1">
        <v>12.1364</v>
      </c>
      <c r="AH20" s="1"/>
      <c r="AI20" s="1">
        <f>G20*T20</f>
        <v>0</v>
      </c>
      <c r="AJ20" s="1" t="str">
        <f>VLOOKUP(A20,[1]Лист1!$B:$O,14,0)</f>
        <v>матрица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71</v>
      </c>
      <c r="B21" s="1" t="s">
        <v>39</v>
      </c>
      <c r="C21" s="1">
        <v>416.74099999999999</v>
      </c>
      <c r="D21" s="1">
        <v>8.7919999999999998</v>
      </c>
      <c r="E21" s="1">
        <v>305.26100000000002</v>
      </c>
      <c r="F21" s="1">
        <v>71.617999999999995</v>
      </c>
      <c r="G21" s="7">
        <v>1</v>
      </c>
      <c r="H21" s="1">
        <v>70</v>
      </c>
      <c r="I21" s="1" t="s">
        <v>72</v>
      </c>
      <c r="J21" s="1"/>
      <c r="K21" s="1">
        <v>295.38</v>
      </c>
      <c r="L21" s="1">
        <f t="shared" si="2"/>
        <v>9.8810000000000286</v>
      </c>
      <c r="M21" s="1"/>
      <c r="N21" s="1"/>
      <c r="O21" s="1">
        <v>163.11019999999999</v>
      </c>
      <c r="P21" s="1"/>
      <c r="Q21" s="1"/>
      <c r="R21" s="1">
        <v>165.4927800000001</v>
      </c>
      <c r="S21" s="1">
        <f t="shared" si="3"/>
        <v>61.052200000000006</v>
      </c>
      <c r="T21" s="5"/>
      <c r="U21" s="1">
        <f t="shared" si="4"/>
        <v>6.5553899777567395</v>
      </c>
      <c r="V21" s="1">
        <f t="shared" si="5"/>
        <v>6.5553899777567395</v>
      </c>
      <c r="W21" s="1">
        <v>53.941800000000001</v>
      </c>
      <c r="X21" s="1">
        <v>51.120199999999997</v>
      </c>
      <c r="Y21" s="1">
        <v>36.6006</v>
      </c>
      <c r="Z21" s="1">
        <v>37.357199999999999</v>
      </c>
      <c r="AA21" s="1">
        <v>53.085400000000007</v>
      </c>
      <c r="AB21" s="1">
        <v>53.475800000000007</v>
      </c>
      <c r="AC21" s="1">
        <v>57.174599999999998</v>
      </c>
      <c r="AD21" s="1">
        <v>54.511600000000001</v>
      </c>
      <c r="AE21" s="1">
        <v>38.178800000000003</v>
      </c>
      <c r="AF21" s="1">
        <v>33.288400000000003</v>
      </c>
      <c r="AG21" s="1">
        <v>42.434199999999997</v>
      </c>
      <c r="AH21" s="1"/>
      <c r="AI21" s="1">
        <f>G21*T21</f>
        <v>0</v>
      </c>
      <c r="AJ21" s="1" t="str">
        <f>VLOOKUP(A21,[1]Лист1!$B:$O,14,0)</f>
        <v>матрица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73</v>
      </c>
      <c r="B22" s="1" t="s">
        <v>39</v>
      </c>
      <c r="C22" s="1">
        <v>23.864999999999998</v>
      </c>
      <c r="D22" s="1">
        <v>2.359</v>
      </c>
      <c r="E22" s="1">
        <v>8.4390000000000001</v>
      </c>
      <c r="F22" s="1">
        <v>15.144</v>
      </c>
      <c r="G22" s="7">
        <v>1</v>
      </c>
      <c r="H22" s="1">
        <v>180</v>
      </c>
      <c r="I22" s="1" t="s">
        <v>74</v>
      </c>
      <c r="J22" s="1"/>
      <c r="K22" s="1">
        <v>10.74</v>
      </c>
      <c r="L22" s="1">
        <f t="shared" si="2"/>
        <v>-2.3010000000000002</v>
      </c>
      <c r="M22" s="1"/>
      <c r="N22" s="1"/>
      <c r="O22" s="1">
        <v>25.749400000000001</v>
      </c>
      <c r="P22" s="1"/>
      <c r="Q22" s="1"/>
      <c r="R22" s="1">
        <v>0</v>
      </c>
      <c r="S22" s="1">
        <f t="shared" si="3"/>
        <v>1.6878</v>
      </c>
      <c r="T22" s="5"/>
      <c r="U22" s="1">
        <f t="shared" si="4"/>
        <v>24.228818580400521</v>
      </c>
      <c r="V22" s="1">
        <f t="shared" si="5"/>
        <v>24.228818580400521</v>
      </c>
      <c r="W22" s="1">
        <v>2.2938000000000001</v>
      </c>
      <c r="X22" s="1">
        <v>4.5103999999999997</v>
      </c>
      <c r="Y22" s="1">
        <v>4.2845999999999993</v>
      </c>
      <c r="Z22" s="1">
        <v>3.5438000000000001</v>
      </c>
      <c r="AA22" s="1">
        <v>6.9477999999999991</v>
      </c>
      <c r="AB22" s="1">
        <v>5.1381999999999994</v>
      </c>
      <c r="AC22" s="1">
        <v>0.43819999999999998</v>
      </c>
      <c r="AD22" s="1">
        <v>0.87339999999999995</v>
      </c>
      <c r="AE22" s="1">
        <v>3.0621999999999998</v>
      </c>
      <c r="AF22" s="1">
        <v>3.3464</v>
      </c>
      <c r="AG22" s="1">
        <v>1.7766</v>
      </c>
      <c r="AH22" s="1"/>
      <c r="AI22" s="1">
        <f>G22*T22</f>
        <v>0</v>
      </c>
      <c r="AJ22" s="1" t="str">
        <f>VLOOKUP(A22,[1]Лист1!$B:$O,14,0)</f>
        <v>матрица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75</v>
      </c>
      <c r="B23" s="1" t="s">
        <v>39</v>
      </c>
      <c r="C23" s="1">
        <v>551.63199999999995</v>
      </c>
      <c r="D23" s="1">
        <v>5.2510000000000003</v>
      </c>
      <c r="E23" s="1">
        <v>266.71300000000002</v>
      </c>
      <c r="F23" s="1">
        <v>240.99299999999999</v>
      </c>
      <c r="G23" s="7">
        <v>1</v>
      </c>
      <c r="H23" s="1">
        <v>70</v>
      </c>
      <c r="I23" s="1" t="s">
        <v>76</v>
      </c>
      <c r="J23" s="1"/>
      <c r="K23" s="1">
        <v>249.86</v>
      </c>
      <c r="L23" s="1">
        <f t="shared" si="2"/>
        <v>16.853000000000009</v>
      </c>
      <c r="M23" s="1"/>
      <c r="N23" s="1"/>
      <c r="O23" s="1">
        <v>114.91799999999991</v>
      </c>
      <c r="P23" s="1"/>
      <c r="Q23" s="1"/>
      <c r="R23" s="1">
        <v>42.288380000000117</v>
      </c>
      <c r="S23" s="1">
        <f t="shared" si="3"/>
        <v>53.342600000000004</v>
      </c>
      <c r="T23" s="5"/>
      <c r="U23" s="1">
        <f t="shared" si="4"/>
        <v>7.4649413414419241</v>
      </c>
      <c r="V23" s="1">
        <f t="shared" si="5"/>
        <v>7.4649413414419241</v>
      </c>
      <c r="W23" s="1">
        <v>51.205800000000004</v>
      </c>
      <c r="X23" s="1">
        <v>58.679999999999993</v>
      </c>
      <c r="Y23" s="1">
        <v>46.426400000000001</v>
      </c>
      <c r="Z23" s="1">
        <v>46.136600000000001</v>
      </c>
      <c r="AA23" s="1">
        <v>69.900199999999998</v>
      </c>
      <c r="AB23" s="1">
        <v>60.441600000000008</v>
      </c>
      <c r="AC23" s="1">
        <v>43.510000000000012</v>
      </c>
      <c r="AD23" s="1">
        <v>49.888800000000003</v>
      </c>
      <c r="AE23" s="1">
        <v>52.990400000000001</v>
      </c>
      <c r="AF23" s="1">
        <v>39.368600000000001</v>
      </c>
      <c r="AG23" s="1">
        <v>52.986800000000002</v>
      </c>
      <c r="AH23" s="1"/>
      <c r="AI23" s="1">
        <f>G23*T23</f>
        <v>0</v>
      </c>
      <c r="AJ23" s="1" t="str">
        <f>VLOOKUP(A23,[1]Лист1!$B:$O,14,0)</f>
        <v>матрица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77</v>
      </c>
      <c r="B24" s="1" t="s">
        <v>39</v>
      </c>
      <c r="C24" s="1">
        <v>27.827999999999999</v>
      </c>
      <c r="D24" s="1">
        <v>25.16</v>
      </c>
      <c r="E24" s="1">
        <v>14.739000000000001</v>
      </c>
      <c r="F24" s="1">
        <v>34.731999999999999</v>
      </c>
      <c r="G24" s="7">
        <v>1</v>
      </c>
      <c r="H24" s="1">
        <v>35</v>
      </c>
      <c r="I24" s="1" t="s">
        <v>78</v>
      </c>
      <c r="J24" s="1"/>
      <c r="K24" s="1">
        <v>17.2</v>
      </c>
      <c r="L24" s="1">
        <f t="shared" si="2"/>
        <v>-2.4609999999999985</v>
      </c>
      <c r="M24" s="1"/>
      <c r="N24" s="1"/>
      <c r="O24" s="1">
        <v>25.405280000000008</v>
      </c>
      <c r="P24" s="1"/>
      <c r="Q24" s="1"/>
      <c r="R24" s="1">
        <v>0</v>
      </c>
      <c r="S24" s="1">
        <f t="shared" si="3"/>
        <v>2.9478</v>
      </c>
      <c r="T24" s="5"/>
      <c r="U24" s="1">
        <f t="shared" si="4"/>
        <v>20.400732749847347</v>
      </c>
      <c r="V24" s="1">
        <f t="shared" si="5"/>
        <v>20.400732749847347</v>
      </c>
      <c r="W24" s="1">
        <v>4.7827999999999999</v>
      </c>
      <c r="X24" s="1">
        <v>7.0242000000000004</v>
      </c>
      <c r="Y24" s="1">
        <v>5.6067999999999998</v>
      </c>
      <c r="Z24" s="1">
        <v>2.6564000000000001</v>
      </c>
      <c r="AA24" s="1">
        <v>4.1875999999999998</v>
      </c>
      <c r="AB24" s="1">
        <v>4.7523999999999997</v>
      </c>
      <c r="AC24" s="1">
        <v>1.1226</v>
      </c>
      <c r="AD24" s="1">
        <v>4.2080000000000002</v>
      </c>
      <c r="AE24" s="1">
        <v>8.168000000000001</v>
      </c>
      <c r="AF24" s="1">
        <v>2.4500000000000002</v>
      </c>
      <c r="AG24" s="1">
        <v>3.4954000000000001</v>
      </c>
      <c r="AH24" s="1"/>
      <c r="AI24" s="1">
        <f>G24*T24</f>
        <v>0</v>
      </c>
      <c r="AJ24" s="1" t="str">
        <f>VLOOKUP(A24,[1]Лист1!$B:$O,14,0)</f>
        <v>не в матрице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79</v>
      </c>
      <c r="B25" s="1" t="s">
        <v>39</v>
      </c>
      <c r="C25" s="1">
        <v>236.143</v>
      </c>
      <c r="D25" s="1">
        <v>11.090999999999999</v>
      </c>
      <c r="E25" s="1">
        <v>198.553</v>
      </c>
      <c r="F25" s="1">
        <v>5.6689999999999996</v>
      </c>
      <c r="G25" s="7">
        <v>1</v>
      </c>
      <c r="H25" s="1">
        <v>30</v>
      </c>
      <c r="I25" s="1" t="s">
        <v>80</v>
      </c>
      <c r="J25" s="1"/>
      <c r="K25" s="1">
        <v>195.1</v>
      </c>
      <c r="L25" s="1">
        <f t="shared" si="2"/>
        <v>3.453000000000003</v>
      </c>
      <c r="M25" s="1"/>
      <c r="N25" s="1"/>
      <c r="O25" s="1">
        <v>209.71440000000001</v>
      </c>
      <c r="P25" s="1"/>
      <c r="Q25" s="1"/>
      <c r="R25" s="1">
        <v>59.47909999999996</v>
      </c>
      <c r="S25" s="1">
        <f t="shared" si="3"/>
        <v>39.710599999999999</v>
      </c>
      <c r="T25" s="5"/>
      <c r="U25" s="1">
        <f t="shared" si="4"/>
        <v>6.9216405695204797</v>
      </c>
      <c r="V25" s="1">
        <f t="shared" si="5"/>
        <v>6.9216405695204797</v>
      </c>
      <c r="W25" s="1">
        <v>34.586599999999997</v>
      </c>
      <c r="X25" s="1">
        <v>40.651400000000002</v>
      </c>
      <c r="Y25" s="1">
        <v>18.385000000000002</v>
      </c>
      <c r="Z25" s="1">
        <v>6.2451999999999996</v>
      </c>
      <c r="AA25" s="1">
        <v>23.9664</v>
      </c>
      <c r="AB25" s="1">
        <v>38.5518</v>
      </c>
      <c r="AC25" s="1">
        <v>15.353400000000001</v>
      </c>
      <c r="AD25" s="1">
        <v>1.7964</v>
      </c>
      <c r="AE25" s="1">
        <v>17.0366</v>
      </c>
      <c r="AF25" s="1">
        <v>5.8121999999999998</v>
      </c>
      <c r="AG25" s="1">
        <v>19.634599999999999</v>
      </c>
      <c r="AH25" s="1"/>
      <c r="AI25" s="1">
        <f>G25*T25</f>
        <v>0</v>
      </c>
      <c r="AJ25" s="1" t="str">
        <f>VLOOKUP(A25,[1]Лист1!$B:$O,14,0)</f>
        <v>матрица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81</v>
      </c>
      <c r="B26" s="1" t="s">
        <v>39</v>
      </c>
      <c r="C26" s="1">
        <v>424.15600000000001</v>
      </c>
      <c r="D26" s="1">
        <v>78.316000000000003</v>
      </c>
      <c r="E26" s="1">
        <v>449.54899999999998</v>
      </c>
      <c r="F26" s="1">
        <v>-9.2439999999999998</v>
      </c>
      <c r="G26" s="7">
        <v>1</v>
      </c>
      <c r="H26" s="1">
        <v>40</v>
      </c>
      <c r="I26" s="1" t="s">
        <v>82</v>
      </c>
      <c r="J26" s="1"/>
      <c r="K26" s="1">
        <v>414.7</v>
      </c>
      <c r="L26" s="1">
        <f t="shared" si="2"/>
        <v>34.84899999999999</v>
      </c>
      <c r="M26" s="1"/>
      <c r="N26" s="1"/>
      <c r="O26" s="1">
        <v>448.23163999999969</v>
      </c>
      <c r="P26" s="1"/>
      <c r="Q26" s="1"/>
      <c r="R26" s="1">
        <v>85.115880000000189</v>
      </c>
      <c r="S26" s="1">
        <f t="shared" si="3"/>
        <v>89.90979999999999</v>
      </c>
      <c r="T26" s="5"/>
      <c r="U26" s="1">
        <f t="shared" si="4"/>
        <v>5.8292146128675624</v>
      </c>
      <c r="V26" s="1">
        <f t="shared" si="5"/>
        <v>5.8292146128675624</v>
      </c>
      <c r="W26" s="1">
        <v>73.314800000000005</v>
      </c>
      <c r="X26" s="1">
        <v>79.865399999999994</v>
      </c>
      <c r="Y26" s="1">
        <v>55.552999999999997</v>
      </c>
      <c r="Z26" s="1">
        <v>47.498399999999997</v>
      </c>
      <c r="AA26" s="1">
        <v>64.634600000000006</v>
      </c>
      <c r="AB26" s="1">
        <v>63.067999999999998</v>
      </c>
      <c r="AC26" s="1">
        <v>57.167600000000007</v>
      </c>
      <c r="AD26" s="1">
        <v>56.127000000000002</v>
      </c>
      <c r="AE26" s="1">
        <v>46.794800000000002</v>
      </c>
      <c r="AF26" s="1">
        <v>46.891800000000003</v>
      </c>
      <c r="AG26" s="1">
        <v>38.828800000000001</v>
      </c>
      <c r="AH26" s="1"/>
      <c r="AI26" s="1">
        <f>G26*T26</f>
        <v>0</v>
      </c>
      <c r="AJ26" s="1" t="str">
        <f>VLOOKUP(A26,[1]Лист1!$B:$O,14,0)</f>
        <v>матрица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83</v>
      </c>
      <c r="B27" s="1" t="s">
        <v>39</v>
      </c>
      <c r="C27" s="1">
        <v>473.51499999999999</v>
      </c>
      <c r="D27" s="1">
        <v>133.852</v>
      </c>
      <c r="E27" s="1">
        <v>532.851</v>
      </c>
      <c r="F27" s="1">
        <v>-5.1050000000000004</v>
      </c>
      <c r="G27" s="7">
        <v>1</v>
      </c>
      <c r="H27" s="1">
        <v>30</v>
      </c>
      <c r="I27" s="1" t="s">
        <v>84</v>
      </c>
      <c r="J27" s="1"/>
      <c r="K27" s="1">
        <v>522.53</v>
      </c>
      <c r="L27" s="1">
        <f t="shared" si="2"/>
        <v>10.321000000000026</v>
      </c>
      <c r="M27" s="1"/>
      <c r="N27" s="1"/>
      <c r="O27" s="1">
        <v>199.46140000000011</v>
      </c>
      <c r="P27" s="1"/>
      <c r="Q27" s="1"/>
      <c r="R27" s="1">
        <v>477.05939999999998</v>
      </c>
      <c r="S27" s="1">
        <f t="shared" si="3"/>
        <v>106.5702</v>
      </c>
      <c r="T27" s="5"/>
      <c r="U27" s="1">
        <f t="shared" si="4"/>
        <v>6.3002208872649215</v>
      </c>
      <c r="V27" s="1">
        <f t="shared" si="5"/>
        <v>6.3002208872649215</v>
      </c>
      <c r="W27" s="1">
        <v>91.686000000000007</v>
      </c>
      <c r="X27" s="1">
        <v>71.770200000000003</v>
      </c>
      <c r="Y27" s="1">
        <v>57.282799999999988</v>
      </c>
      <c r="Z27" s="1">
        <v>54.650399999999998</v>
      </c>
      <c r="AA27" s="1">
        <v>63.486400000000003</v>
      </c>
      <c r="AB27" s="1">
        <v>25.735800000000001</v>
      </c>
      <c r="AC27" s="1">
        <v>17.547999999999998</v>
      </c>
      <c r="AD27" s="1">
        <v>63.722400000000007</v>
      </c>
      <c r="AE27" s="1">
        <v>111.14619999999999</v>
      </c>
      <c r="AF27" s="1">
        <v>73.176400000000001</v>
      </c>
      <c r="AG27" s="1">
        <v>86.483800000000002</v>
      </c>
      <c r="AH27" s="1"/>
      <c r="AI27" s="1">
        <f>G27*T27</f>
        <v>0</v>
      </c>
      <c r="AJ27" s="1" t="str">
        <f>VLOOKUP(A27,[1]Лист1!$B:$O,14,0)</f>
        <v>матрица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85</v>
      </c>
      <c r="B28" s="1" t="s">
        <v>39</v>
      </c>
      <c r="C28" s="1">
        <v>1335.414</v>
      </c>
      <c r="D28" s="1">
        <v>25.85</v>
      </c>
      <c r="E28" s="1">
        <v>886.13099999999997</v>
      </c>
      <c r="F28" s="1">
        <v>256.03199999999998</v>
      </c>
      <c r="G28" s="7">
        <v>1</v>
      </c>
      <c r="H28" s="1">
        <v>40</v>
      </c>
      <c r="I28" s="1" t="s">
        <v>86</v>
      </c>
      <c r="J28" s="1"/>
      <c r="K28" s="1">
        <v>920.52800000000002</v>
      </c>
      <c r="L28" s="1">
        <f t="shared" si="2"/>
        <v>-34.397000000000048</v>
      </c>
      <c r="M28" s="1"/>
      <c r="N28" s="1"/>
      <c r="O28" s="1">
        <v>662.78511999999989</v>
      </c>
      <c r="P28" s="1"/>
      <c r="Q28" s="1"/>
      <c r="R28" s="1">
        <v>784.03268000000025</v>
      </c>
      <c r="S28" s="1">
        <f t="shared" si="3"/>
        <v>177.22620000000001</v>
      </c>
      <c r="T28" s="5"/>
      <c r="U28" s="1">
        <f t="shared" si="4"/>
        <v>9.6083412046300154</v>
      </c>
      <c r="V28" s="1">
        <f t="shared" si="5"/>
        <v>9.6083412046300154</v>
      </c>
      <c r="W28" s="1">
        <v>205.678</v>
      </c>
      <c r="X28" s="1">
        <v>192.21559999999999</v>
      </c>
      <c r="Y28" s="1">
        <v>70.557199999999995</v>
      </c>
      <c r="Z28" s="1">
        <v>-0.49800000000000011</v>
      </c>
      <c r="AA28" s="1">
        <v>74.856799999999993</v>
      </c>
      <c r="AB28" s="1">
        <v>185.2568</v>
      </c>
      <c r="AC28" s="1">
        <v>162.31219999999999</v>
      </c>
      <c r="AD28" s="1">
        <v>71.218600000000009</v>
      </c>
      <c r="AE28" s="1">
        <v>218.88560000000001</v>
      </c>
      <c r="AF28" s="1">
        <v>80.849599999999995</v>
      </c>
      <c r="AG28" s="1">
        <v>144.97579999999999</v>
      </c>
      <c r="AH28" s="1"/>
      <c r="AI28" s="1">
        <f>G28*T28</f>
        <v>0</v>
      </c>
      <c r="AJ28" s="1" t="str">
        <f>VLOOKUP(A28,[1]Лист1!$B:$O,14,0)</f>
        <v>матрица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87</v>
      </c>
      <c r="B29" s="1" t="s">
        <v>39</v>
      </c>
      <c r="C29" s="1">
        <v>43.122</v>
      </c>
      <c r="D29" s="1">
        <v>2.9860000000000002</v>
      </c>
      <c r="E29" s="1">
        <v>43.107999999999997</v>
      </c>
      <c r="F29" s="1">
        <v>1.4E-2</v>
      </c>
      <c r="G29" s="7">
        <v>1</v>
      </c>
      <c r="H29" s="1">
        <v>40</v>
      </c>
      <c r="I29" s="1" t="s">
        <v>88</v>
      </c>
      <c r="J29" s="1"/>
      <c r="K29" s="1">
        <v>45.9</v>
      </c>
      <c r="L29" s="1">
        <f t="shared" si="2"/>
        <v>-2.7920000000000016</v>
      </c>
      <c r="M29" s="1"/>
      <c r="N29" s="1"/>
      <c r="O29" s="1">
        <v>0</v>
      </c>
      <c r="P29" s="1"/>
      <c r="Q29" s="1"/>
      <c r="R29" s="1">
        <v>80</v>
      </c>
      <c r="S29" s="1">
        <f t="shared" si="3"/>
        <v>8.621599999999999</v>
      </c>
      <c r="T29" s="5"/>
      <c r="U29" s="1">
        <f t="shared" si="4"/>
        <v>9.2806439639974023</v>
      </c>
      <c r="V29" s="1">
        <f t="shared" si="5"/>
        <v>9.2806439639974023</v>
      </c>
      <c r="W29" s="1">
        <v>7.7488000000000001</v>
      </c>
      <c r="X29" s="1">
        <v>-0.42280000000000001</v>
      </c>
      <c r="Y29" s="1">
        <v>-0.42280000000000001</v>
      </c>
      <c r="Z29" s="1">
        <v>0</v>
      </c>
      <c r="AA29" s="1">
        <v>0</v>
      </c>
      <c r="AB29" s="1">
        <v>0.64379999999999993</v>
      </c>
      <c r="AC29" s="1">
        <v>5.3945999999999996</v>
      </c>
      <c r="AD29" s="1">
        <v>16.281400000000001</v>
      </c>
      <c r="AE29" s="1">
        <v>15.133800000000001</v>
      </c>
      <c r="AF29" s="1">
        <v>11.8508</v>
      </c>
      <c r="AG29" s="1">
        <v>11.727399999999999</v>
      </c>
      <c r="AH29" s="1"/>
      <c r="AI29" s="1">
        <f>G29*T29</f>
        <v>0</v>
      </c>
      <c r="AJ29" s="1" t="str">
        <f>VLOOKUP(A29,[1]Лист1!$B:$O,14,0)</f>
        <v>матрица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89</v>
      </c>
      <c r="B30" s="1" t="s">
        <v>39</v>
      </c>
      <c r="C30" s="1">
        <v>53.817999999999998</v>
      </c>
      <c r="D30" s="1">
        <v>37.19</v>
      </c>
      <c r="E30" s="1">
        <v>59.738</v>
      </c>
      <c r="F30" s="1">
        <v>17.937999999999999</v>
      </c>
      <c r="G30" s="7">
        <v>1</v>
      </c>
      <c r="H30" s="1">
        <v>30</v>
      </c>
      <c r="I30" s="1" t="s">
        <v>90</v>
      </c>
      <c r="J30" s="1"/>
      <c r="K30" s="1">
        <v>60.5</v>
      </c>
      <c r="L30" s="1">
        <f t="shared" si="2"/>
        <v>-0.76200000000000045</v>
      </c>
      <c r="M30" s="1"/>
      <c r="N30" s="1"/>
      <c r="O30" s="1">
        <v>0</v>
      </c>
      <c r="P30" s="1"/>
      <c r="Q30" s="1"/>
      <c r="R30" s="1">
        <v>0</v>
      </c>
      <c r="S30" s="1">
        <f t="shared" si="3"/>
        <v>11.9476</v>
      </c>
      <c r="T30" s="5"/>
      <c r="U30" s="1">
        <f t="shared" si="4"/>
        <v>1.5013894003816666</v>
      </c>
      <c r="V30" s="1">
        <f t="shared" si="5"/>
        <v>1.5013894003816666</v>
      </c>
      <c r="W30" s="1">
        <v>7.6019999999999994</v>
      </c>
      <c r="X30" s="1">
        <v>9.0299999999999994</v>
      </c>
      <c r="Y30" s="1">
        <v>13.668799999999999</v>
      </c>
      <c r="Z30" s="1">
        <v>10.4878</v>
      </c>
      <c r="AA30" s="1">
        <v>6.930200000000001</v>
      </c>
      <c r="AB30" s="1">
        <v>4.702</v>
      </c>
      <c r="AC30" s="1">
        <v>11.2216</v>
      </c>
      <c r="AD30" s="1">
        <v>18.107199999999999</v>
      </c>
      <c r="AE30" s="1">
        <v>2.2928000000000002</v>
      </c>
      <c r="AF30" s="1">
        <v>11.4916</v>
      </c>
      <c r="AG30" s="1">
        <v>10.300800000000001</v>
      </c>
      <c r="AH30" s="1"/>
      <c r="AI30" s="1">
        <f>G30*T30</f>
        <v>0</v>
      </c>
      <c r="AJ30" s="1" t="str">
        <f>VLOOKUP(A30,[1]Лист1!$B:$O,14,0)</f>
        <v>матрица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91</v>
      </c>
      <c r="B31" s="1" t="s">
        <v>39</v>
      </c>
      <c r="C31" s="1">
        <v>241.678</v>
      </c>
      <c r="D31" s="1">
        <v>6.4139999999999997</v>
      </c>
      <c r="E31" s="1">
        <v>78.543000000000006</v>
      </c>
      <c r="F31" s="1">
        <v>155.9</v>
      </c>
      <c r="G31" s="7">
        <v>1</v>
      </c>
      <c r="H31" s="1">
        <v>50</v>
      </c>
      <c r="I31" s="1" t="s">
        <v>92</v>
      </c>
      <c r="J31" s="1"/>
      <c r="K31" s="1">
        <v>68.599999999999994</v>
      </c>
      <c r="L31" s="1">
        <f t="shared" si="2"/>
        <v>9.9430000000000121</v>
      </c>
      <c r="M31" s="1"/>
      <c r="N31" s="1"/>
      <c r="O31" s="1">
        <v>0</v>
      </c>
      <c r="P31" s="1"/>
      <c r="Q31" s="1"/>
      <c r="R31" s="1">
        <v>0</v>
      </c>
      <c r="S31" s="1">
        <f t="shared" si="3"/>
        <v>15.708600000000001</v>
      </c>
      <c r="T31" s="5"/>
      <c r="U31" s="1">
        <f t="shared" si="4"/>
        <v>9.9244999554384226</v>
      </c>
      <c r="V31" s="1">
        <f t="shared" si="5"/>
        <v>9.9244999554384226</v>
      </c>
      <c r="W31" s="1">
        <v>12.254200000000001</v>
      </c>
      <c r="X31" s="1">
        <v>11.743399999999999</v>
      </c>
      <c r="Y31" s="1">
        <v>12.266</v>
      </c>
      <c r="Z31" s="1">
        <v>12.967599999999999</v>
      </c>
      <c r="AA31" s="1">
        <v>22.8354</v>
      </c>
      <c r="AB31" s="1">
        <v>18.087</v>
      </c>
      <c r="AC31" s="1">
        <v>8.8298000000000005</v>
      </c>
      <c r="AD31" s="1">
        <v>14.561199999999999</v>
      </c>
      <c r="AE31" s="1">
        <v>13.348000000000001</v>
      </c>
      <c r="AF31" s="1">
        <v>11</v>
      </c>
      <c r="AG31" s="1">
        <v>17.146799999999999</v>
      </c>
      <c r="AH31" s="1"/>
      <c r="AI31" s="1">
        <f>G31*T31</f>
        <v>0</v>
      </c>
      <c r="AJ31" s="1" t="str">
        <f>VLOOKUP(A31,[1]Лист1!$B:$O,14,0)</f>
        <v>матрица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93</v>
      </c>
      <c r="B32" s="1" t="s">
        <v>39</v>
      </c>
      <c r="C32" s="1">
        <v>205.05699999999999</v>
      </c>
      <c r="D32" s="1">
        <v>5.5030000000000001</v>
      </c>
      <c r="E32" s="1">
        <v>45.405999999999999</v>
      </c>
      <c r="F32" s="1">
        <v>154.245</v>
      </c>
      <c r="G32" s="7">
        <v>1</v>
      </c>
      <c r="H32" s="1">
        <v>50</v>
      </c>
      <c r="I32" s="1" t="s">
        <v>94</v>
      </c>
      <c r="J32" s="1"/>
      <c r="K32" s="1">
        <v>42.2</v>
      </c>
      <c r="L32" s="1">
        <f t="shared" si="2"/>
        <v>3.205999999999996</v>
      </c>
      <c r="M32" s="1"/>
      <c r="N32" s="1"/>
      <c r="O32" s="1">
        <v>0</v>
      </c>
      <c r="P32" s="1"/>
      <c r="Q32" s="1"/>
      <c r="R32" s="1">
        <v>0</v>
      </c>
      <c r="S32" s="1">
        <f t="shared" si="3"/>
        <v>9.0811999999999991</v>
      </c>
      <c r="T32" s="5"/>
      <c r="U32" s="1">
        <f t="shared" si="4"/>
        <v>16.985090076201384</v>
      </c>
      <c r="V32" s="1">
        <f t="shared" si="5"/>
        <v>16.985090076201384</v>
      </c>
      <c r="W32" s="1">
        <v>5.2960000000000003</v>
      </c>
      <c r="X32" s="1">
        <v>9.1239999999999988</v>
      </c>
      <c r="Y32" s="1">
        <v>9.2742000000000004</v>
      </c>
      <c r="Z32" s="1">
        <v>7.9944000000000006</v>
      </c>
      <c r="AA32" s="1">
        <v>17.6374</v>
      </c>
      <c r="AB32" s="1">
        <v>15.8256</v>
      </c>
      <c r="AC32" s="1">
        <v>2.5464000000000002</v>
      </c>
      <c r="AD32" s="1">
        <v>3.4506000000000001</v>
      </c>
      <c r="AE32" s="1">
        <v>11.9902</v>
      </c>
      <c r="AF32" s="1">
        <v>6.7331999999999992</v>
      </c>
      <c r="AG32" s="1">
        <v>7.7528000000000006</v>
      </c>
      <c r="AH32" s="1"/>
      <c r="AI32" s="1">
        <f>G32*T32</f>
        <v>0</v>
      </c>
      <c r="AJ32" s="1" t="str">
        <f>VLOOKUP(A32,[1]Лист1!$B:$O,14,0)</f>
        <v>не в матрице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95</v>
      </c>
      <c r="B33" s="1" t="s">
        <v>39</v>
      </c>
      <c r="C33" s="1">
        <v>146.05500000000001</v>
      </c>
      <c r="D33" s="1">
        <v>6.444</v>
      </c>
      <c r="E33" s="1">
        <v>49.447000000000003</v>
      </c>
      <c r="F33" s="1">
        <v>75.605000000000004</v>
      </c>
      <c r="G33" s="7">
        <v>1</v>
      </c>
      <c r="H33" s="1">
        <v>50</v>
      </c>
      <c r="I33" s="1" t="s">
        <v>96</v>
      </c>
      <c r="J33" s="1"/>
      <c r="K33" s="1">
        <v>42.5</v>
      </c>
      <c r="L33" s="1">
        <f t="shared" si="2"/>
        <v>6.9470000000000027</v>
      </c>
      <c r="M33" s="1"/>
      <c r="N33" s="1"/>
      <c r="O33" s="1">
        <v>0</v>
      </c>
      <c r="P33" s="1"/>
      <c r="Q33" s="1"/>
      <c r="R33" s="1">
        <v>0</v>
      </c>
      <c r="S33" s="1">
        <f t="shared" si="3"/>
        <v>9.8894000000000002</v>
      </c>
      <c r="T33" s="5"/>
      <c r="U33" s="1">
        <f t="shared" si="4"/>
        <v>7.6450543005642411</v>
      </c>
      <c r="V33" s="1">
        <f t="shared" si="5"/>
        <v>7.6450543005642411</v>
      </c>
      <c r="W33" s="1">
        <v>6.7754000000000003</v>
      </c>
      <c r="X33" s="1">
        <v>9.1257999999999999</v>
      </c>
      <c r="Y33" s="1">
        <v>9.4567999999999994</v>
      </c>
      <c r="Z33" s="1">
        <v>7.2782</v>
      </c>
      <c r="AA33" s="1">
        <v>13.0936</v>
      </c>
      <c r="AB33" s="1">
        <v>11.2852</v>
      </c>
      <c r="AC33" s="1">
        <v>0.90340000000000009</v>
      </c>
      <c r="AD33" s="1">
        <v>1.6257999999999999</v>
      </c>
      <c r="AE33" s="1">
        <v>9.5920000000000005</v>
      </c>
      <c r="AF33" s="1">
        <v>4.7031999999999998</v>
      </c>
      <c r="AG33" s="1">
        <v>8.8510000000000009</v>
      </c>
      <c r="AH33" s="1"/>
      <c r="AI33" s="1">
        <f>G33*T33</f>
        <v>0</v>
      </c>
      <c r="AJ33" s="1" t="str">
        <f>VLOOKUP(A33,[1]Лист1!$B:$O,14,0)</f>
        <v>матрица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97</v>
      </c>
      <c r="B34" s="1" t="s">
        <v>46</v>
      </c>
      <c r="C34" s="1">
        <v>1647</v>
      </c>
      <c r="D34" s="1">
        <v>750</v>
      </c>
      <c r="E34" s="1">
        <v>1191</v>
      </c>
      <c r="F34" s="1">
        <v>1039</v>
      </c>
      <c r="G34" s="7">
        <v>0.4</v>
      </c>
      <c r="H34" s="1">
        <v>45</v>
      </c>
      <c r="I34" s="1" t="s">
        <v>98</v>
      </c>
      <c r="J34" s="1"/>
      <c r="K34" s="1">
        <v>1216</v>
      </c>
      <c r="L34" s="1">
        <f t="shared" si="2"/>
        <v>-25</v>
      </c>
      <c r="M34" s="1"/>
      <c r="N34" s="1"/>
      <c r="O34" s="1">
        <v>374.60799999999961</v>
      </c>
      <c r="P34" s="1"/>
      <c r="Q34" s="1"/>
      <c r="R34" s="1">
        <v>353.24800000000027</v>
      </c>
      <c r="S34" s="1">
        <f t="shared" si="3"/>
        <v>238.2</v>
      </c>
      <c r="T34" s="5"/>
      <c r="U34" s="1">
        <f t="shared" si="4"/>
        <v>7.4175314861460961</v>
      </c>
      <c r="V34" s="1">
        <f t="shared" si="5"/>
        <v>7.4175314861460961</v>
      </c>
      <c r="W34" s="1">
        <v>222</v>
      </c>
      <c r="X34" s="1">
        <v>266.76</v>
      </c>
      <c r="Y34" s="1">
        <v>234.56</v>
      </c>
      <c r="Z34" s="1">
        <v>209.4</v>
      </c>
      <c r="AA34" s="1">
        <v>257.60000000000002</v>
      </c>
      <c r="AB34" s="1">
        <v>219.4</v>
      </c>
      <c r="AC34" s="1">
        <v>128</v>
      </c>
      <c r="AD34" s="1">
        <v>182.4</v>
      </c>
      <c r="AE34" s="1">
        <v>197.2</v>
      </c>
      <c r="AF34" s="1">
        <v>91.4</v>
      </c>
      <c r="AG34" s="1">
        <v>215.4</v>
      </c>
      <c r="AH34" s="1"/>
      <c r="AI34" s="1">
        <f>G34*T34</f>
        <v>0</v>
      </c>
      <c r="AJ34" s="1" t="str">
        <f>VLOOKUP(A34,[1]Лист1!$B:$O,14,0)</f>
        <v>матрица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99</v>
      </c>
      <c r="B35" s="1" t="s">
        <v>46</v>
      </c>
      <c r="C35" s="1">
        <v>496</v>
      </c>
      <c r="D35" s="1">
        <v>23</v>
      </c>
      <c r="E35" s="1">
        <v>223</v>
      </c>
      <c r="F35" s="1">
        <v>289</v>
      </c>
      <c r="G35" s="7">
        <v>0.45</v>
      </c>
      <c r="H35" s="1">
        <v>50</v>
      </c>
      <c r="I35" s="1" t="s">
        <v>100</v>
      </c>
      <c r="J35" s="1"/>
      <c r="K35" s="1">
        <v>221</v>
      </c>
      <c r="L35" s="1">
        <f t="shared" si="2"/>
        <v>2</v>
      </c>
      <c r="M35" s="1"/>
      <c r="N35" s="1"/>
      <c r="O35" s="1">
        <v>0</v>
      </c>
      <c r="P35" s="1"/>
      <c r="Q35" s="1"/>
      <c r="R35" s="1">
        <v>0</v>
      </c>
      <c r="S35" s="1">
        <f t="shared" si="3"/>
        <v>44.6</v>
      </c>
      <c r="T35" s="5"/>
      <c r="U35" s="1">
        <f t="shared" si="4"/>
        <v>6.47982062780269</v>
      </c>
      <c r="V35" s="1">
        <f t="shared" si="5"/>
        <v>6.47982062780269</v>
      </c>
      <c r="W35" s="1">
        <v>24</v>
      </c>
      <c r="X35" s="1">
        <v>40.4</v>
      </c>
      <c r="Y35" s="1">
        <v>47.8</v>
      </c>
      <c r="Z35" s="1">
        <v>42.4</v>
      </c>
      <c r="AA35" s="1">
        <v>58.6</v>
      </c>
      <c r="AB35" s="1">
        <v>62.8</v>
      </c>
      <c r="AC35" s="1">
        <v>53</v>
      </c>
      <c r="AD35" s="1">
        <v>51.6</v>
      </c>
      <c r="AE35" s="1">
        <v>32.6</v>
      </c>
      <c r="AF35" s="1">
        <v>47</v>
      </c>
      <c r="AG35" s="1">
        <v>33</v>
      </c>
      <c r="AH35" s="1"/>
      <c r="AI35" s="1">
        <f>G35*T35</f>
        <v>0</v>
      </c>
      <c r="AJ35" s="1" t="str">
        <f>VLOOKUP(A35,[1]Лист1!$B:$O,14,0)</f>
        <v>матрица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101</v>
      </c>
      <c r="B36" s="1" t="s">
        <v>46</v>
      </c>
      <c r="C36" s="1">
        <v>476</v>
      </c>
      <c r="D36" s="1">
        <v>15</v>
      </c>
      <c r="E36" s="1">
        <v>352</v>
      </c>
      <c r="F36" s="1">
        <v>106</v>
      </c>
      <c r="G36" s="7">
        <v>0.4</v>
      </c>
      <c r="H36" s="1">
        <v>45</v>
      </c>
      <c r="I36" s="1" t="s">
        <v>102</v>
      </c>
      <c r="J36" s="1"/>
      <c r="K36" s="1">
        <v>371</v>
      </c>
      <c r="L36" s="1">
        <f t="shared" si="2"/>
        <v>-19</v>
      </c>
      <c r="M36" s="1"/>
      <c r="N36" s="1"/>
      <c r="O36" s="1">
        <v>407.31999999999988</v>
      </c>
      <c r="P36" s="1"/>
      <c r="Q36" s="1"/>
      <c r="R36" s="1">
        <v>67.460000000000136</v>
      </c>
      <c r="S36" s="1">
        <f t="shared" si="3"/>
        <v>70.400000000000006</v>
      </c>
      <c r="T36" s="5"/>
      <c r="U36" s="1">
        <f t="shared" si="4"/>
        <v>8.2497159090909093</v>
      </c>
      <c r="V36" s="1">
        <f t="shared" si="5"/>
        <v>8.2497159090909093</v>
      </c>
      <c r="W36" s="1">
        <v>69.8</v>
      </c>
      <c r="X36" s="1">
        <v>86.6</v>
      </c>
      <c r="Y36" s="1">
        <v>51.2</v>
      </c>
      <c r="Z36" s="1">
        <v>34.200000000000003</v>
      </c>
      <c r="AA36" s="1">
        <v>69.8</v>
      </c>
      <c r="AB36" s="1">
        <v>72.599999999999994</v>
      </c>
      <c r="AC36" s="1">
        <v>49.8</v>
      </c>
      <c r="AD36" s="1">
        <v>42.2</v>
      </c>
      <c r="AE36" s="1">
        <v>54.6</v>
      </c>
      <c r="AF36" s="1">
        <v>24.8</v>
      </c>
      <c r="AG36" s="1">
        <v>36.6</v>
      </c>
      <c r="AH36" s="1"/>
      <c r="AI36" s="1">
        <f>G36*T36</f>
        <v>0</v>
      </c>
      <c r="AJ36" s="1" t="str">
        <f>VLOOKUP(A36,[1]Лист1!$B:$O,14,0)</f>
        <v>матрица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103</v>
      </c>
      <c r="B37" s="1" t="s">
        <v>46</v>
      </c>
      <c r="C37" s="1">
        <v>128</v>
      </c>
      <c r="D37" s="1">
        <v>1</v>
      </c>
      <c r="E37" s="1">
        <v>77</v>
      </c>
      <c r="F37" s="1">
        <v>46</v>
      </c>
      <c r="G37" s="7">
        <v>0.4</v>
      </c>
      <c r="H37" s="1">
        <v>40</v>
      </c>
      <c r="I37" s="1" t="s">
        <v>104</v>
      </c>
      <c r="J37" s="1"/>
      <c r="K37" s="1">
        <v>79</v>
      </c>
      <c r="L37" s="1">
        <f t="shared" si="2"/>
        <v>-2</v>
      </c>
      <c r="M37" s="1"/>
      <c r="N37" s="1"/>
      <c r="O37" s="1">
        <v>0</v>
      </c>
      <c r="P37" s="1"/>
      <c r="Q37" s="1"/>
      <c r="R37" s="1">
        <v>6</v>
      </c>
      <c r="S37" s="1">
        <f t="shared" si="3"/>
        <v>15.4</v>
      </c>
      <c r="T37" s="5"/>
      <c r="U37" s="1">
        <f t="shared" si="4"/>
        <v>3.3766233766233764</v>
      </c>
      <c r="V37" s="1">
        <f t="shared" si="5"/>
        <v>3.3766233766233764</v>
      </c>
      <c r="W37" s="1">
        <v>8.1999999999999993</v>
      </c>
      <c r="X37" s="1">
        <v>4.5999999999999996</v>
      </c>
      <c r="Y37" s="1">
        <v>2.4</v>
      </c>
      <c r="Z37" s="1">
        <v>0.6</v>
      </c>
      <c r="AA37" s="1">
        <v>9.8000000000000007</v>
      </c>
      <c r="AB37" s="1">
        <v>11.2</v>
      </c>
      <c r="AC37" s="1">
        <v>12.6</v>
      </c>
      <c r="AD37" s="1">
        <v>11.2</v>
      </c>
      <c r="AE37" s="1">
        <v>2.8</v>
      </c>
      <c r="AF37" s="1">
        <v>3.2</v>
      </c>
      <c r="AG37" s="1">
        <v>3</v>
      </c>
      <c r="AH37" s="1"/>
      <c r="AI37" s="1">
        <f>G37*T37</f>
        <v>0</v>
      </c>
      <c r="AJ37" s="1" t="str">
        <f>VLOOKUP(A37,[1]Лист1!$B:$O,14,0)</f>
        <v>матрица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105</v>
      </c>
      <c r="B38" s="1" t="s">
        <v>39</v>
      </c>
      <c r="C38" s="1">
        <v>59.265000000000001</v>
      </c>
      <c r="D38" s="1"/>
      <c r="E38" s="1">
        <v>11.484</v>
      </c>
      <c r="F38" s="1">
        <v>40.569000000000003</v>
      </c>
      <c r="G38" s="7">
        <v>1</v>
      </c>
      <c r="H38" s="1">
        <v>45</v>
      </c>
      <c r="I38" s="1" t="s">
        <v>106</v>
      </c>
      <c r="J38" s="1"/>
      <c r="K38" s="1">
        <v>14.6</v>
      </c>
      <c r="L38" s="1">
        <f t="shared" ref="L38:L69" si="6">E38-K38</f>
        <v>-3.1159999999999997</v>
      </c>
      <c r="M38" s="1"/>
      <c r="N38" s="1"/>
      <c r="O38" s="1">
        <v>0</v>
      </c>
      <c r="P38" s="1"/>
      <c r="Q38" s="1"/>
      <c r="R38" s="1">
        <v>0</v>
      </c>
      <c r="S38" s="1">
        <f t="shared" si="3"/>
        <v>2.2968000000000002</v>
      </c>
      <c r="T38" s="5"/>
      <c r="U38" s="1">
        <f t="shared" si="4"/>
        <v>17.663270637408569</v>
      </c>
      <c r="V38" s="1">
        <f t="shared" si="5"/>
        <v>17.663270637408569</v>
      </c>
      <c r="W38" s="1">
        <v>2.3052000000000001</v>
      </c>
      <c r="X38" s="1">
        <v>2.8776000000000002</v>
      </c>
      <c r="Y38" s="1">
        <v>1.722</v>
      </c>
      <c r="Z38" s="1">
        <v>0</v>
      </c>
      <c r="AA38" s="1">
        <v>1.1624000000000001</v>
      </c>
      <c r="AB38" s="1">
        <v>4.9401999999999999</v>
      </c>
      <c r="AC38" s="1">
        <v>3.7778</v>
      </c>
      <c r="AD38" s="1">
        <v>0</v>
      </c>
      <c r="AE38" s="1">
        <v>1.9923999999999999</v>
      </c>
      <c r="AF38" s="1">
        <v>5.5179999999999998</v>
      </c>
      <c r="AG38" s="1">
        <v>3.1657999999999999</v>
      </c>
      <c r="AH38" s="1"/>
      <c r="AI38" s="1">
        <f>G38*T38</f>
        <v>0</v>
      </c>
      <c r="AJ38" s="1" t="str">
        <f>VLOOKUP(A38,[1]Лист1!$B:$O,14,0)</f>
        <v>матрица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107</v>
      </c>
      <c r="B39" s="1" t="s">
        <v>46</v>
      </c>
      <c r="C39" s="1">
        <v>764</v>
      </c>
      <c r="D39" s="1">
        <v>52</v>
      </c>
      <c r="E39" s="1">
        <v>327</v>
      </c>
      <c r="F39" s="1">
        <v>432</v>
      </c>
      <c r="G39" s="7">
        <v>0.1</v>
      </c>
      <c r="H39" s="1">
        <v>731</v>
      </c>
      <c r="I39" s="1" t="s">
        <v>108</v>
      </c>
      <c r="J39" s="1"/>
      <c r="K39" s="1">
        <v>245</v>
      </c>
      <c r="L39" s="1">
        <f t="shared" si="6"/>
        <v>82</v>
      </c>
      <c r="M39" s="1"/>
      <c r="N39" s="1"/>
      <c r="O39" s="1">
        <v>0</v>
      </c>
      <c r="P39" s="1"/>
      <c r="Q39" s="1"/>
      <c r="R39" s="1">
        <v>0</v>
      </c>
      <c r="S39" s="1">
        <f t="shared" si="3"/>
        <v>65.400000000000006</v>
      </c>
      <c r="T39" s="5"/>
      <c r="U39" s="1">
        <f t="shared" si="4"/>
        <v>6.6055045871559628</v>
      </c>
      <c r="V39" s="1">
        <f t="shared" si="5"/>
        <v>6.6055045871559628</v>
      </c>
      <c r="W39" s="1">
        <v>37.6</v>
      </c>
      <c r="X39" s="1">
        <v>47</v>
      </c>
      <c r="Y39" s="1">
        <v>61</v>
      </c>
      <c r="Z39" s="1">
        <v>70.8</v>
      </c>
      <c r="AA39" s="1">
        <v>84.6</v>
      </c>
      <c r="AB39" s="1">
        <v>73.8</v>
      </c>
      <c r="AC39" s="1">
        <v>21.4</v>
      </c>
      <c r="AD39" s="1">
        <v>7.4</v>
      </c>
      <c r="AE39" s="1">
        <v>77.599999999999994</v>
      </c>
      <c r="AF39" s="1">
        <v>32.4</v>
      </c>
      <c r="AG39" s="1">
        <v>20.8</v>
      </c>
      <c r="AH39" s="1"/>
      <c r="AI39" s="1">
        <f>G39*T39</f>
        <v>0</v>
      </c>
      <c r="AJ39" s="1" t="str">
        <f>VLOOKUP(A39,[1]Лист1!$B:$O,14,0)</f>
        <v>матрица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109</v>
      </c>
      <c r="B40" s="1" t="s">
        <v>46</v>
      </c>
      <c r="C40" s="1">
        <v>220</v>
      </c>
      <c r="D40" s="1">
        <v>177</v>
      </c>
      <c r="E40" s="1">
        <v>240</v>
      </c>
      <c r="F40" s="1">
        <v>130</v>
      </c>
      <c r="G40" s="7">
        <v>0.35</v>
      </c>
      <c r="H40" s="1">
        <v>40</v>
      </c>
      <c r="I40" s="1" t="s">
        <v>110</v>
      </c>
      <c r="J40" s="1"/>
      <c r="K40" s="1">
        <v>270</v>
      </c>
      <c r="L40" s="1">
        <f t="shared" si="6"/>
        <v>-30</v>
      </c>
      <c r="M40" s="1"/>
      <c r="N40" s="1"/>
      <c r="O40" s="1">
        <v>0</v>
      </c>
      <c r="P40" s="1"/>
      <c r="Q40" s="1"/>
      <c r="R40" s="1">
        <v>80.599999999999994</v>
      </c>
      <c r="S40" s="1">
        <f t="shared" si="3"/>
        <v>48</v>
      </c>
      <c r="T40" s="5"/>
      <c r="U40" s="1">
        <f t="shared" si="4"/>
        <v>4.3875000000000002</v>
      </c>
      <c r="V40" s="1">
        <f t="shared" si="5"/>
        <v>4.3875000000000002</v>
      </c>
      <c r="W40" s="1">
        <v>28</v>
      </c>
      <c r="X40" s="1">
        <v>33.799999999999997</v>
      </c>
      <c r="Y40" s="1">
        <v>35.200000000000003</v>
      </c>
      <c r="Z40" s="1">
        <v>30.4</v>
      </c>
      <c r="AA40" s="1">
        <v>34</v>
      </c>
      <c r="AB40" s="1">
        <v>27.4</v>
      </c>
      <c r="AC40" s="1">
        <v>7.6</v>
      </c>
      <c r="AD40" s="1">
        <v>13.6</v>
      </c>
      <c r="AE40" s="1">
        <v>27.2</v>
      </c>
      <c r="AF40" s="1">
        <v>18.2</v>
      </c>
      <c r="AG40" s="1">
        <v>25.4</v>
      </c>
      <c r="AH40" s="1"/>
      <c r="AI40" s="1">
        <f>G40*T40</f>
        <v>0</v>
      </c>
      <c r="AJ40" s="1" t="str">
        <f>VLOOKUP(A40,[1]Лист1!$B:$O,14,0)</f>
        <v>матрица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111</v>
      </c>
      <c r="B41" s="1" t="s">
        <v>39</v>
      </c>
      <c r="C41" s="1">
        <v>153.32499999999999</v>
      </c>
      <c r="D41" s="1">
        <v>7.2869999999999999</v>
      </c>
      <c r="E41" s="1">
        <v>106.548</v>
      </c>
      <c r="F41" s="1">
        <v>21.8</v>
      </c>
      <c r="G41" s="7">
        <v>1</v>
      </c>
      <c r="H41" s="1">
        <v>40</v>
      </c>
      <c r="I41" s="1" t="s">
        <v>112</v>
      </c>
      <c r="J41" s="1"/>
      <c r="K41" s="1">
        <v>108.8</v>
      </c>
      <c r="L41" s="1">
        <f t="shared" si="6"/>
        <v>-2.2519999999999953</v>
      </c>
      <c r="M41" s="1"/>
      <c r="N41" s="1"/>
      <c r="O41" s="1">
        <v>153.0966</v>
      </c>
      <c r="P41" s="1"/>
      <c r="Q41" s="1"/>
      <c r="R41" s="1">
        <v>0</v>
      </c>
      <c r="S41" s="1">
        <f t="shared" si="3"/>
        <v>21.3096</v>
      </c>
      <c r="T41" s="5"/>
      <c r="U41" s="1">
        <f t="shared" si="4"/>
        <v>8.2074088673649435</v>
      </c>
      <c r="V41" s="1">
        <f t="shared" si="5"/>
        <v>8.2074088673649435</v>
      </c>
      <c r="W41" s="1">
        <v>20.192399999999999</v>
      </c>
      <c r="X41" s="1">
        <v>27.465599999999998</v>
      </c>
      <c r="Y41" s="1">
        <v>16.9666</v>
      </c>
      <c r="Z41" s="1">
        <v>11.3088</v>
      </c>
      <c r="AA41" s="1">
        <v>21.493200000000002</v>
      </c>
      <c r="AB41" s="1">
        <v>20.497599999999998</v>
      </c>
      <c r="AC41" s="1">
        <v>6.5640000000000001</v>
      </c>
      <c r="AD41" s="1">
        <v>8.2590000000000003</v>
      </c>
      <c r="AE41" s="1">
        <v>17.3644</v>
      </c>
      <c r="AF41" s="1">
        <v>10.4474</v>
      </c>
      <c r="AG41" s="1">
        <v>16.349599999999999</v>
      </c>
      <c r="AH41" s="1"/>
      <c r="AI41" s="1">
        <f>G41*T41</f>
        <v>0</v>
      </c>
      <c r="AJ41" s="1" t="str">
        <f>VLOOKUP(A41,[1]Лист1!$B:$O,14,0)</f>
        <v>матрица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113</v>
      </c>
      <c r="B42" s="1" t="s">
        <v>46</v>
      </c>
      <c r="C42" s="1">
        <v>82</v>
      </c>
      <c r="D42" s="1">
        <v>6</v>
      </c>
      <c r="E42" s="1">
        <v>77</v>
      </c>
      <c r="F42" s="1">
        <v>1</v>
      </c>
      <c r="G42" s="7">
        <v>0.4</v>
      </c>
      <c r="H42" s="1">
        <v>40</v>
      </c>
      <c r="I42" s="1" t="s">
        <v>114</v>
      </c>
      <c r="J42" s="1"/>
      <c r="K42" s="1">
        <v>157</v>
      </c>
      <c r="L42" s="1">
        <f t="shared" si="6"/>
        <v>-80</v>
      </c>
      <c r="M42" s="1"/>
      <c r="N42" s="1"/>
      <c r="O42" s="1">
        <v>164.6</v>
      </c>
      <c r="P42" s="1"/>
      <c r="Q42" s="1"/>
      <c r="R42" s="1">
        <v>120.88</v>
      </c>
      <c r="S42" s="1">
        <f t="shared" si="3"/>
        <v>15.4</v>
      </c>
      <c r="T42" s="5"/>
      <c r="U42" s="1">
        <f t="shared" si="4"/>
        <v>18.602597402597404</v>
      </c>
      <c r="V42" s="1">
        <f t="shared" si="5"/>
        <v>18.602597402597404</v>
      </c>
      <c r="W42" s="1">
        <v>26.8</v>
      </c>
      <c r="X42" s="1">
        <v>22.6</v>
      </c>
      <c r="Y42" s="1">
        <v>12.6</v>
      </c>
      <c r="Z42" s="1">
        <v>16.8</v>
      </c>
      <c r="AA42" s="1">
        <v>27.2</v>
      </c>
      <c r="AB42" s="1">
        <v>28.8</v>
      </c>
      <c r="AC42" s="1">
        <v>33</v>
      </c>
      <c r="AD42" s="1">
        <v>28.78</v>
      </c>
      <c r="AE42" s="1">
        <v>18</v>
      </c>
      <c r="AF42" s="1">
        <v>15.6</v>
      </c>
      <c r="AG42" s="1">
        <v>21.8</v>
      </c>
      <c r="AH42" s="1"/>
      <c r="AI42" s="1">
        <f>G42*T42</f>
        <v>0</v>
      </c>
      <c r="AJ42" s="1" t="str">
        <f>VLOOKUP(A42,[1]Лист1!$B:$O,14,0)</f>
        <v>матрица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115</v>
      </c>
      <c r="B43" s="1" t="s">
        <v>46</v>
      </c>
      <c r="C43" s="1">
        <v>245</v>
      </c>
      <c r="D43" s="1">
        <v>16</v>
      </c>
      <c r="E43" s="1">
        <v>151</v>
      </c>
      <c r="F43" s="1">
        <v>102</v>
      </c>
      <c r="G43" s="7">
        <v>0.4</v>
      </c>
      <c r="H43" s="1">
        <v>45</v>
      </c>
      <c r="I43" s="1" t="s">
        <v>116</v>
      </c>
      <c r="J43" s="1"/>
      <c r="K43" s="1">
        <v>154</v>
      </c>
      <c r="L43" s="1">
        <f t="shared" si="6"/>
        <v>-3</v>
      </c>
      <c r="M43" s="1"/>
      <c r="N43" s="1"/>
      <c r="O43" s="1">
        <v>0</v>
      </c>
      <c r="P43" s="1"/>
      <c r="Q43" s="1"/>
      <c r="R43" s="1">
        <v>83</v>
      </c>
      <c r="S43" s="1">
        <f t="shared" si="3"/>
        <v>30.2</v>
      </c>
      <c r="T43" s="5"/>
      <c r="U43" s="1">
        <f t="shared" si="4"/>
        <v>6.1258278145695364</v>
      </c>
      <c r="V43" s="1">
        <f t="shared" si="5"/>
        <v>6.1258278145695364</v>
      </c>
      <c r="W43" s="1">
        <v>22.4</v>
      </c>
      <c r="X43" s="1">
        <v>21.8</v>
      </c>
      <c r="Y43" s="1">
        <v>19.600000000000001</v>
      </c>
      <c r="Z43" s="1">
        <v>21.4</v>
      </c>
      <c r="AA43" s="1">
        <v>24.4</v>
      </c>
      <c r="AB43" s="1">
        <v>27.8</v>
      </c>
      <c r="AC43" s="1">
        <v>42</v>
      </c>
      <c r="AD43" s="1">
        <v>32</v>
      </c>
      <c r="AE43" s="1">
        <v>16.8</v>
      </c>
      <c r="AF43" s="1">
        <v>16</v>
      </c>
      <c r="AG43" s="1">
        <v>12.2</v>
      </c>
      <c r="AH43" s="1"/>
      <c r="AI43" s="1">
        <f>G43*T43</f>
        <v>0</v>
      </c>
      <c r="AJ43" s="1" t="str">
        <f>VLOOKUP(A43,[1]Лист1!$B:$O,14,0)</f>
        <v>матрица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117</v>
      </c>
      <c r="B44" s="1" t="s">
        <v>39</v>
      </c>
      <c r="C44" s="1">
        <v>141.44200000000001</v>
      </c>
      <c r="D44" s="1">
        <v>1.423</v>
      </c>
      <c r="E44" s="1">
        <v>63.552999999999997</v>
      </c>
      <c r="F44" s="1">
        <v>67.688000000000002</v>
      </c>
      <c r="G44" s="7">
        <v>1</v>
      </c>
      <c r="H44" s="1">
        <v>40</v>
      </c>
      <c r="I44" s="1" t="s">
        <v>118</v>
      </c>
      <c r="J44" s="1"/>
      <c r="K44" s="1">
        <v>67.8</v>
      </c>
      <c r="L44" s="1">
        <f t="shared" si="6"/>
        <v>-4.2469999999999999</v>
      </c>
      <c r="M44" s="1"/>
      <c r="N44" s="1"/>
      <c r="O44" s="1">
        <v>0</v>
      </c>
      <c r="P44" s="1"/>
      <c r="Q44" s="1"/>
      <c r="R44" s="1">
        <v>0</v>
      </c>
      <c r="S44" s="1">
        <f t="shared" si="3"/>
        <v>12.710599999999999</v>
      </c>
      <c r="T44" s="5"/>
      <c r="U44" s="1">
        <f t="shared" si="4"/>
        <v>5.3253190250656939</v>
      </c>
      <c r="V44" s="1">
        <f t="shared" si="5"/>
        <v>5.3253190250656939</v>
      </c>
      <c r="W44" s="1">
        <v>6.6037999999999997</v>
      </c>
      <c r="X44" s="1">
        <v>9.2596000000000007</v>
      </c>
      <c r="Y44" s="1">
        <v>9.5682000000000009</v>
      </c>
      <c r="Z44" s="1">
        <v>11.018000000000001</v>
      </c>
      <c r="AA44" s="1">
        <v>14.236800000000001</v>
      </c>
      <c r="AB44" s="1">
        <v>11.3324</v>
      </c>
      <c r="AC44" s="1">
        <v>1.7376</v>
      </c>
      <c r="AD44" s="1">
        <v>1.3106</v>
      </c>
      <c r="AE44" s="1">
        <v>10.1592</v>
      </c>
      <c r="AF44" s="1">
        <v>6.6159999999999997</v>
      </c>
      <c r="AG44" s="1">
        <v>7.5105999999999993</v>
      </c>
      <c r="AH44" s="1"/>
      <c r="AI44" s="1">
        <f>G44*T44</f>
        <v>0</v>
      </c>
      <c r="AJ44" s="1" t="str">
        <f>VLOOKUP(A44,[1]Лист1!$B:$O,14,0)</f>
        <v>не в матрице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119</v>
      </c>
      <c r="B45" s="1" t="s">
        <v>39</v>
      </c>
      <c r="C45" s="1">
        <v>185.24600000000001</v>
      </c>
      <c r="D45" s="1">
        <v>5.835</v>
      </c>
      <c r="E45" s="1">
        <v>127.553</v>
      </c>
      <c r="F45" s="1">
        <v>25.798999999999999</v>
      </c>
      <c r="G45" s="7">
        <v>1</v>
      </c>
      <c r="H45" s="1">
        <v>40</v>
      </c>
      <c r="I45" s="1" t="s">
        <v>120</v>
      </c>
      <c r="J45" s="1"/>
      <c r="K45" s="1">
        <v>124.3</v>
      </c>
      <c r="L45" s="1">
        <f t="shared" si="6"/>
        <v>3.2530000000000001</v>
      </c>
      <c r="M45" s="1"/>
      <c r="N45" s="1"/>
      <c r="O45" s="1">
        <v>134.91399999999999</v>
      </c>
      <c r="P45" s="1"/>
      <c r="Q45" s="1"/>
      <c r="R45" s="1">
        <v>0</v>
      </c>
      <c r="S45" s="1">
        <f t="shared" si="3"/>
        <v>25.5106</v>
      </c>
      <c r="T45" s="5"/>
      <c r="U45" s="1">
        <f t="shared" si="4"/>
        <v>6.2998518262996557</v>
      </c>
      <c r="V45" s="1">
        <f t="shared" si="5"/>
        <v>6.2998518262996557</v>
      </c>
      <c r="W45" s="1">
        <v>21.378599999999999</v>
      </c>
      <c r="X45" s="1">
        <v>28.646000000000001</v>
      </c>
      <c r="Y45" s="1">
        <v>20.747199999999999</v>
      </c>
      <c r="Z45" s="1">
        <v>18.888000000000002</v>
      </c>
      <c r="AA45" s="1">
        <v>24.991</v>
      </c>
      <c r="AB45" s="1">
        <v>20.183199999999999</v>
      </c>
      <c r="AC45" s="1">
        <v>12.035600000000001</v>
      </c>
      <c r="AD45" s="1">
        <v>17.441600000000001</v>
      </c>
      <c r="AE45" s="1">
        <v>20.315000000000001</v>
      </c>
      <c r="AF45" s="1">
        <v>4.5293999999999999</v>
      </c>
      <c r="AG45" s="1">
        <v>18.5532</v>
      </c>
      <c r="AH45" s="1"/>
      <c r="AI45" s="1">
        <f>G45*T45</f>
        <v>0</v>
      </c>
      <c r="AJ45" s="1" t="str">
        <f>VLOOKUP(A45,[1]Лист1!$B:$O,14,0)</f>
        <v>матрица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121</v>
      </c>
      <c r="B46" s="1" t="s">
        <v>46</v>
      </c>
      <c r="C46" s="1">
        <v>421</v>
      </c>
      <c r="D46" s="1">
        <v>430</v>
      </c>
      <c r="E46" s="1">
        <v>444</v>
      </c>
      <c r="F46" s="1">
        <v>338</v>
      </c>
      <c r="G46" s="7">
        <v>0.35</v>
      </c>
      <c r="H46" s="1">
        <v>40</v>
      </c>
      <c r="I46" s="1" t="s">
        <v>122</v>
      </c>
      <c r="J46" s="1"/>
      <c r="K46" s="1">
        <v>444</v>
      </c>
      <c r="L46" s="1">
        <f t="shared" si="6"/>
        <v>0</v>
      </c>
      <c r="M46" s="1"/>
      <c r="N46" s="1"/>
      <c r="O46" s="1">
        <v>156.31999999999991</v>
      </c>
      <c r="P46" s="1"/>
      <c r="Q46" s="1"/>
      <c r="R46" s="1">
        <v>2.2799999999999732</v>
      </c>
      <c r="S46" s="1">
        <f t="shared" si="3"/>
        <v>88.8</v>
      </c>
      <c r="T46" s="5"/>
      <c r="U46" s="1">
        <f t="shared" si="4"/>
        <v>5.5923423423423415</v>
      </c>
      <c r="V46" s="1">
        <f t="shared" si="5"/>
        <v>5.5923423423423415</v>
      </c>
      <c r="W46" s="1">
        <v>72.599999999999994</v>
      </c>
      <c r="X46" s="1">
        <v>95.6</v>
      </c>
      <c r="Y46" s="1">
        <v>83</v>
      </c>
      <c r="Z46" s="1">
        <v>71.8</v>
      </c>
      <c r="AA46" s="1">
        <v>77.2</v>
      </c>
      <c r="AB46" s="1">
        <v>67.97999999999999</v>
      </c>
      <c r="AC46" s="1">
        <v>25.58</v>
      </c>
      <c r="AD46" s="1">
        <v>37.4</v>
      </c>
      <c r="AE46" s="1">
        <v>78</v>
      </c>
      <c r="AF46" s="1">
        <v>40</v>
      </c>
      <c r="AG46" s="1">
        <v>84.2</v>
      </c>
      <c r="AH46" s="1"/>
      <c r="AI46" s="1">
        <f>G46*T46</f>
        <v>0</v>
      </c>
      <c r="AJ46" s="1" t="str">
        <f>VLOOKUP(A46,[1]Лист1!$B:$O,14,0)</f>
        <v>матрица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123</v>
      </c>
      <c r="B47" s="1" t="s">
        <v>46</v>
      </c>
      <c r="C47" s="1">
        <v>68</v>
      </c>
      <c r="D47" s="1">
        <v>409</v>
      </c>
      <c r="E47" s="1">
        <v>155</v>
      </c>
      <c r="F47" s="1">
        <v>298</v>
      </c>
      <c r="G47" s="7">
        <v>0.4</v>
      </c>
      <c r="H47" s="1">
        <v>40</v>
      </c>
      <c r="I47" s="1" t="s">
        <v>124</v>
      </c>
      <c r="J47" s="1"/>
      <c r="K47" s="1">
        <v>328</v>
      </c>
      <c r="L47" s="1">
        <f t="shared" si="6"/>
        <v>-173</v>
      </c>
      <c r="M47" s="1"/>
      <c r="N47" s="1"/>
      <c r="O47" s="1">
        <v>319.59999999999991</v>
      </c>
      <c r="P47" s="1"/>
      <c r="Q47" s="1"/>
      <c r="R47" s="1">
        <v>0</v>
      </c>
      <c r="S47" s="1">
        <f t="shared" si="3"/>
        <v>31</v>
      </c>
      <c r="T47" s="5"/>
      <c r="U47" s="1">
        <f t="shared" si="4"/>
        <v>19.922580645161286</v>
      </c>
      <c r="V47" s="1">
        <f t="shared" si="5"/>
        <v>19.922580645161286</v>
      </c>
      <c r="W47" s="1">
        <v>47</v>
      </c>
      <c r="X47" s="1">
        <v>79.599999999999994</v>
      </c>
      <c r="Y47" s="1">
        <v>60</v>
      </c>
      <c r="Z47" s="1">
        <v>42</v>
      </c>
      <c r="AA47" s="1">
        <v>28.6</v>
      </c>
      <c r="AB47" s="1">
        <v>26.6</v>
      </c>
      <c r="AC47" s="1">
        <v>50.2</v>
      </c>
      <c r="AD47" s="1">
        <v>51.4</v>
      </c>
      <c r="AE47" s="1">
        <v>73.400000000000006</v>
      </c>
      <c r="AF47" s="1">
        <v>46.6</v>
      </c>
      <c r="AG47" s="1">
        <v>53</v>
      </c>
      <c r="AH47" s="1"/>
      <c r="AI47" s="1">
        <f>G47*T47</f>
        <v>0</v>
      </c>
      <c r="AJ47" s="1" t="str">
        <f>VLOOKUP(A47,[1]Лист1!$B:$O,14,0)</f>
        <v>матрица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125</v>
      </c>
      <c r="B48" s="1" t="s">
        <v>39</v>
      </c>
      <c r="C48" s="1">
        <v>63.414000000000001</v>
      </c>
      <c r="D48" s="1"/>
      <c r="E48" s="1">
        <v>27.971</v>
      </c>
      <c r="F48" s="1">
        <v>35.057000000000002</v>
      </c>
      <c r="G48" s="7">
        <v>1</v>
      </c>
      <c r="H48" s="1">
        <v>50</v>
      </c>
      <c r="I48" s="1" t="s">
        <v>126</v>
      </c>
      <c r="J48" s="1"/>
      <c r="K48" s="1">
        <v>25.9</v>
      </c>
      <c r="L48" s="1">
        <f t="shared" si="6"/>
        <v>2.0710000000000015</v>
      </c>
      <c r="M48" s="1"/>
      <c r="N48" s="1"/>
      <c r="O48" s="1">
        <v>62.085000000000008</v>
      </c>
      <c r="P48" s="1"/>
      <c r="Q48" s="1"/>
      <c r="R48" s="1">
        <v>0</v>
      </c>
      <c r="S48" s="1">
        <f t="shared" si="3"/>
        <v>5.5941999999999998</v>
      </c>
      <c r="T48" s="5"/>
      <c r="U48" s="1">
        <f t="shared" si="4"/>
        <v>17.364770655321585</v>
      </c>
      <c r="V48" s="1">
        <f t="shared" si="5"/>
        <v>17.364770655321585</v>
      </c>
      <c r="W48" s="1">
        <v>8.6849999999999987</v>
      </c>
      <c r="X48" s="1">
        <v>11.409000000000001</v>
      </c>
      <c r="Y48" s="1">
        <v>5.1622000000000003</v>
      </c>
      <c r="Z48" s="1">
        <v>2.6922000000000001</v>
      </c>
      <c r="AA48" s="1">
        <v>6.4640000000000004</v>
      </c>
      <c r="AB48" s="1">
        <v>7.74</v>
      </c>
      <c r="AC48" s="1">
        <v>4.5076000000000001</v>
      </c>
      <c r="AD48" s="1">
        <v>6.4640000000000004</v>
      </c>
      <c r="AE48" s="1">
        <v>6.4567999999999994</v>
      </c>
      <c r="AF48" s="1">
        <v>6.7715999999999994</v>
      </c>
      <c r="AG48" s="1">
        <v>7.5808000000000009</v>
      </c>
      <c r="AH48" s="1"/>
      <c r="AI48" s="1">
        <f>G48*T48</f>
        <v>0</v>
      </c>
      <c r="AJ48" s="1" t="str">
        <f>VLOOKUP(A48,[1]Лист1!$B:$O,14,0)</f>
        <v>матрица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127</v>
      </c>
      <c r="B49" s="1" t="s">
        <v>39</v>
      </c>
      <c r="C49" s="1">
        <v>232.9</v>
      </c>
      <c r="D49" s="1">
        <v>4.0819999999999999</v>
      </c>
      <c r="E49" s="1">
        <v>101.143</v>
      </c>
      <c r="F49" s="1">
        <v>121.38800000000001</v>
      </c>
      <c r="G49" s="7">
        <v>1</v>
      </c>
      <c r="H49" s="1">
        <v>50</v>
      </c>
      <c r="I49" s="1" t="s">
        <v>128</v>
      </c>
      <c r="J49" s="1"/>
      <c r="K49" s="1">
        <v>91.25</v>
      </c>
      <c r="L49" s="1">
        <f t="shared" si="6"/>
        <v>9.8930000000000007</v>
      </c>
      <c r="M49" s="1"/>
      <c r="N49" s="1"/>
      <c r="O49" s="1">
        <v>124.3558</v>
      </c>
      <c r="P49" s="1"/>
      <c r="Q49" s="1">
        <v>150</v>
      </c>
      <c r="R49" s="1">
        <v>90.47920000000002</v>
      </c>
      <c r="S49" s="1">
        <f t="shared" si="3"/>
        <v>20.2286</v>
      </c>
      <c r="T49" s="5"/>
      <c r="U49" s="1">
        <f t="shared" si="4"/>
        <v>24.036413790376006</v>
      </c>
      <c r="V49" s="1">
        <f t="shared" si="5"/>
        <v>24.036413790376006</v>
      </c>
      <c r="W49" s="1">
        <v>30.904399999999999</v>
      </c>
      <c r="X49" s="1">
        <v>32.477800000000002</v>
      </c>
      <c r="Y49" s="1">
        <v>18.959</v>
      </c>
      <c r="Z49" s="1">
        <v>17.484999999999999</v>
      </c>
      <c r="AA49" s="1">
        <v>29.415600000000001</v>
      </c>
      <c r="AB49" s="1">
        <v>25.074000000000002</v>
      </c>
      <c r="AC49" s="1">
        <v>17.300999999999998</v>
      </c>
      <c r="AD49" s="1">
        <v>22.004999999999999</v>
      </c>
      <c r="AE49" s="1">
        <v>25.757400000000001</v>
      </c>
      <c r="AF49" s="1">
        <v>6.9251999999999994</v>
      </c>
      <c r="AG49" s="1">
        <v>16.209599999999998</v>
      </c>
      <c r="AH49" s="1"/>
      <c r="AI49" s="1">
        <f>G49*T49</f>
        <v>0</v>
      </c>
      <c r="AJ49" s="1" t="str">
        <f>VLOOKUP(A49,[1]Лист1!$B:$O,14,0)</f>
        <v>матрица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129</v>
      </c>
      <c r="B50" s="1" t="s">
        <v>39</v>
      </c>
      <c r="C50" s="1">
        <v>-0.17100000000000001</v>
      </c>
      <c r="D50" s="1">
        <v>89.03</v>
      </c>
      <c r="E50" s="1">
        <v>1.53</v>
      </c>
      <c r="F50" s="1">
        <v>-0.189</v>
      </c>
      <c r="G50" s="7">
        <v>1</v>
      </c>
      <c r="H50" s="1">
        <v>45</v>
      </c>
      <c r="I50" s="1" t="s">
        <v>130</v>
      </c>
      <c r="J50" s="1"/>
      <c r="K50" s="1">
        <v>54.9</v>
      </c>
      <c r="L50" s="1">
        <f t="shared" si="6"/>
        <v>-53.37</v>
      </c>
      <c r="M50" s="1"/>
      <c r="N50" s="1"/>
      <c r="O50" s="1">
        <v>38.280799999999992</v>
      </c>
      <c r="P50" s="1"/>
      <c r="Q50" s="1"/>
      <c r="R50" s="1">
        <v>0</v>
      </c>
      <c r="S50" s="1">
        <f t="shared" si="3"/>
        <v>0.30599999999999999</v>
      </c>
      <c r="T50" s="5"/>
      <c r="U50" s="1">
        <f t="shared" si="4"/>
        <v>124.48300653594769</v>
      </c>
      <c r="V50" s="1">
        <f t="shared" si="5"/>
        <v>124.48300653594769</v>
      </c>
      <c r="W50" s="1">
        <v>1.5204</v>
      </c>
      <c r="X50" s="1">
        <v>10.6396</v>
      </c>
      <c r="Y50" s="1">
        <v>9.4252000000000002</v>
      </c>
      <c r="Z50" s="1">
        <v>0</v>
      </c>
      <c r="AA50" s="1">
        <v>0</v>
      </c>
      <c r="AB50" s="1">
        <v>0</v>
      </c>
      <c r="AC50" s="1">
        <v>-0.30359999999999998</v>
      </c>
      <c r="AD50" s="1">
        <v>2.0486</v>
      </c>
      <c r="AE50" s="1">
        <v>29.5078</v>
      </c>
      <c r="AF50" s="1">
        <v>3.2395999999999998</v>
      </c>
      <c r="AG50" s="1">
        <v>14.295199999999999</v>
      </c>
      <c r="AH50" s="1"/>
      <c r="AI50" s="1">
        <f>G50*T50</f>
        <v>0</v>
      </c>
      <c r="AJ50" s="1" t="str">
        <f>VLOOKUP(A50,[1]Лист1!$B:$O,14,0)</f>
        <v>матрица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131</v>
      </c>
      <c r="B51" s="1" t="s">
        <v>46</v>
      </c>
      <c r="C51" s="1">
        <v>149</v>
      </c>
      <c r="D51" s="1">
        <v>71</v>
      </c>
      <c r="E51" s="1">
        <v>159</v>
      </c>
      <c r="F51" s="1">
        <v>59</v>
      </c>
      <c r="G51" s="7">
        <v>0.45</v>
      </c>
      <c r="H51" s="1">
        <v>50</v>
      </c>
      <c r="I51" s="1" t="s">
        <v>132</v>
      </c>
      <c r="J51" s="1"/>
      <c r="K51" s="1">
        <v>178</v>
      </c>
      <c r="L51" s="1">
        <f t="shared" si="6"/>
        <v>-19</v>
      </c>
      <c r="M51" s="1"/>
      <c r="N51" s="1"/>
      <c r="O51" s="1">
        <v>25.199999999999989</v>
      </c>
      <c r="P51" s="1"/>
      <c r="Q51" s="1"/>
      <c r="R51" s="1">
        <v>72.61999999999999</v>
      </c>
      <c r="S51" s="1">
        <f t="shared" si="3"/>
        <v>31.8</v>
      </c>
      <c r="T51" s="5"/>
      <c r="U51" s="1">
        <f t="shared" si="4"/>
        <v>4.9314465408805024</v>
      </c>
      <c r="V51" s="1">
        <f t="shared" si="5"/>
        <v>4.9314465408805024</v>
      </c>
      <c r="W51" s="1">
        <v>22.2</v>
      </c>
      <c r="X51" s="1">
        <v>21.8</v>
      </c>
      <c r="Y51" s="1">
        <v>22.8</v>
      </c>
      <c r="Z51" s="1">
        <v>20.8</v>
      </c>
      <c r="AA51" s="1">
        <v>17.399999999999999</v>
      </c>
      <c r="AB51" s="1">
        <v>23</v>
      </c>
      <c r="AC51" s="1">
        <v>36</v>
      </c>
      <c r="AD51" s="1">
        <v>29</v>
      </c>
      <c r="AE51" s="1">
        <v>28</v>
      </c>
      <c r="AF51" s="1">
        <v>7.2</v>
      </c>
      <c r="AG51" s="1">
        <v>42.6</v>
      </c>
      <c r="AH51" s="1"/>
      <c r="AI51" s="1">
        <f>G51*T51</f>
        <v>0</v>
      </c>
      <c r="AJ51" s="1" t="str">
        <f>VLOOKUP(A51,[1]Лист1!$B:$O,14,0)</f>
        <v>матрица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133</v>
      </c>
      <c r="B52" s="1" t="s">
        <v>46</v>
      </c>
      <c r="C52" s="1">
        <v>251</v>
      </c>
      <c r="D52" s="1">
        <v>124</v>
      </c>
      <c r="E52" s="1">
        <v>133</v>
      </c>
      <c r="F52" s="1">
        <v>233</v>
      </c>
      <c r="G52" s="7">
        <v>0.45</v>
      </c>
      <c r="H52" s="1">
        <v>50</v>
      </c>
      <c r="I52" s="1" t="s">
        <v>134</v>
      </c>
      <c r="J52" s="1"/>
      <c r="K52" s="1">
        <v>132</v>
      </c>
      <c r="L52" s="1">
        <f t="shared" si="6"/>
        <v>1</v>
      </c>
      <c r="M52" s="1"/>
      <c r="N52" s="1"/>
      <c r="O52" s="1">
        <v>163.6</v>
      </c>
      <c r="P52" s="1"/>
      <c r="Q52" s="1"/>
      <c r="R52" s="1">
        <v>0</v>
      </c>
      <c r="S52" s="1">
        <f t="shared" si="3"/>
        <v>26.6</v>
      </c>
      <c r="T52" s="5"/>
      <c r="U52" s="1">
        <f t="shared" si="4"/>
        <v>14.909774436090226</v>
      </c>
      <c r="V52" s="1">
        <f t="shared" si="5"/>
        <v>14.909774436090226</v>
      </c>
      <c r="W52" s="1">
        <v>33.4</v>
      </c>
      <c r="X52" s="1">
        <v>48.6</v>
      </c>
      <c r="Y52" s="1">
        <v>40.6</v>
      </c>
      <c r="Z52" s="1">
        <v>35.6</v>
      </c>
      <c r="AA52" s="1">
        <v>40.6</v>
      </c>
      <c r="AB52" s="1">
        <v>40.4</v>
      </c>
      <c r="AC52" s="1">
        <v>42.6</v>
      </c>
      <c r="AD52" s="1">
        <v>49.2</v>
      </c>
      <c r="AE52" s="1">
        <v>37</v>
      </c>
      <c r="AF52" s="1">
        <v>23.4</v>
      </c>
      <c r="AG52" s="1">
        <v>35.200000000000003</v>
      </c>
      <c r="AH52" s="1"/>
      <c r="AI52" s="1">
        <f>G52*T52</f>
        <v>0</v>
      </c>
      <c r="AJ52" s="1" t="str">
        <f>VLOOKUP(A52,[1]Лист1!$B:$O,14,0)</f>
        <v>матрица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135</v>
      </c>
      <c r="B53" s="1" t="s">
        <v>46</v>
      </c>
      <c r="C53" s="1">
        <v>222</v>
      </c>
      <c r="D53" s="1">
        <v>4</v>
      </c>
      <c r="E53" s="1">
        <v>139</v>
      </c>
      <c r="F53" s="1">
        <v>75</v>
      </c>
      <c r="G53" s="7">
        <v>0.4</v>
      </c>
      <c r="H53" s="1">
        <v>40</v>
      </c>
      <c r="I53" s="1" t="s">
        <v>136</v>
      </c>
      <c r="J53" s="1"/>
      <c r="K53" s="1">
        <v>143</v>
      </c>
      <c r="L53" s="1">
        <f t="shared" si="6"/>
        <v>-4</v>
      </c>
      <c r="M53" s="1"/>
      <c r="N53" s="1"/>
      <c r="O53" s="1">
        <v>0</v>
      </c>
      <c r="P53" s="1"/>
      <c r="Q53" s="1"/>
      <c r="R53" s="1">
        <v>62.5</v>
      </c>
      <c r="S53" s="1">
        <f t="shared" si="3"/>
        <v>27.8</v>
      </c>
      <c r="T53" s="5"/>
      <c r="U53" s="1">
        <f t="shared" si="4"/>
        <v>4.9460431654676258</v>
      </c>
      <c r="V53" s="1">
        <f t="shared" si="5"/>
        <v>4.9460431654676258</v>
      </c>
      <c r="W53" s="1">
        <v>19</v>
      </c>
      <c r="X53" s="1">
        <v>19</v>
      </c>
      <c r="Y53" s="1">
        <v>9.1999999999999993</v>
      </c>
      <c r="Z53" s="1">
        <v>1.2</v>
      </c>
      <c r="AA53" s="1">
        <v>11.8</v>
      </c>
      <c r="AB53" s="1">
        <v>23</v>
      </c>
      <c r="AC53" s="1">
        <v>16.399999999999999</v>
      </c>
      <c r="AD53" s="1">
        <v>12.2</v>
      </c>
      <c r="AE53" s="1">
        <v>18.399999999999999</v>
      </c>
      <c r="AF53" s="1">
        <v>16.2</v>
      </c>
      <c r="AG53" s="1">
        <v>23.8</v>
      </c>
      <c r="AH53" s="1"/>
      <c r="AI53" s="1">
        <f>G53*T53</f>
        <v>0</v>
      </c>
      <c r="AJ53" s="1" t="str">
        <f>VLOOKUP(A53,[1]Лист1!$B:$O,14,0)</f>
        <v>матрица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137</v>
      </c>
      <c r="B54" s="1" t="s">
        <v>46</v>
      </c>
      <c r="C54" s="1"/>
      <c r="D54" s="1">
        <v>186</v>
      </c>
      <c r="E54" s="1">
        <v>91</v>
      </c>
      <c r="F54" s="1">
        <v>90</v>
      </c>
      <c r="G54" s="7">
        <v>0.4</v>
      </c>
      <c r="H54" s="1">
        <v>40</v>
      </c>
      <c r="I54" s="1" t="s">
        <v>138</v>
      </c>
      <c r="J54" s="1"/>
      <c r="K54" s="1">
        <v>98</v>
      </c>
      <c r="L54" s="1">
        <f t="shared" si="6"/>
        <v>-7</v>
      </c>
      <c r="M54" s="1"/>
      <c r="N54" s="1"/>
      <c r="O54" s="1">
        <v>0</v>
      </c>
      <c r="P54" s="1"/>
      <c r="Q54" s="1"/>
      <c r="R54" s="1">
        <v>0</v>
      </c>
      <c r="S54" s="1">
        <f t="shared" si="3"/>
        <v>18.2</v>
      </c>
      <c r="T54" s="5"/>
      <c r="U54" s="1">
        <f t="shared" si="4"/>
        <v>4.9450549450549453</v>
      </c>
      <c r="V54" s="1">
        <f t="shared" si="5"/>
        <v>4.9450549450549453</v>
      </c>
      <c r="W54" s="1">
        <v>-0.8</v>
      </c>
      <c r="X54" s="1">
        <v>8.8000000000000007</v>
      </c>
      <c r="Y54" s="1">
        <v>15.6</v>
      </c>
      <c r="Z54" s="1">
        <v>14.2</v>
      </c>
      <c r="AA54" s="1">
        <v>6</v>
      </c>
      <c r="AB54" s="1">
        <v>0.4</v>
      </c>
      <c r="AC54" s="1">
        <v>11</v>
      </c>
      <c r="AD54" s="1">
        <v>18.8</v>
      </c>
      <c r="AE54" s="1">
        <v>16.600000000000001</v>
      </c>
      <c r="AF54" s="1">
        <v>18</v>
      </c>
      <c r="AG54" s="1">
        <v>25.2</v>
      </c>
      <c r="AH54" s="1"/>
      <c r="AI54" s="1">
        <f>G54*T54</f>
        <v>0</v>
      </c>
      <c r="AJ54" s="1" t="str">
        <f>VLOOKUP(A54,[1]Лист1!$B:$O,14,0)</f>
        <v>матрица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139</v>
      </c>
      <c r="B55" s="1" t="s">
        <v>39</v>
      </c>
      <c r="C55" s="1">
        <v>295.69299999999998</v>
      </c>
      <c r="D55" s="1">
        <v>4.0599999999999996</v>
      </c>
      <c r="E55" s="1">
        <v>93.114000000000004</v>
      </c>
      <c r="F55" s="1">
        <v>197.20500000000001</v>
      </c>
      <c r="G55" s="7">
        <v>1</v>
      </c>
      <c r="H55" s="1">
        <v>50</v>
      </c>
      <c r="I55" s="1" t="s">
        <v>140</v>
      </c>
      <c r="J55" s="1"/>
      <c r="K55" s="1">
        <v>90.85</v>
      </c>
      <c r="L55" s="1">
        <f t="shared" si="6"/>
        <v>2.26400000000001</v>
      </c>
      <c r="M55" s="1"/>
      <c r="N55" s="1"/>
      <c r="O55" s="1">
        <v>0</v>
      </c>
      <c r="P55" s="1"/>
      <c r="Q55" s="1">
        <v>50</v>
      </c>
      <c r="R55" s="1">
        <v>0</v>
      </c>
      <c r="S55" s="1">
        <f t="shared" si="3"/>
        <v>18.622800000000002</v>
      </c>
      <c r="T55" s="5"/>
      <c r="U55" s="1">
        <f t="shared" si="4"/>
        <v>13.274319651180273</v>
      </c>
      <c r="V55" s="1">
        <f t="shared" si="5"/>
        <v>13.274319651180273</v>
      </c>
      <c r="W55" s="1">
        <v>15.298999999999999</v>
      </c>
      <c r="X55" s="1">
        <v>19.466200000000001</v>
      </c>
      <c r="Y55" s="1">
        <v>19.613600000000002</v>
      </c>
      <c r="Z55" s="1">
        <v>23.474799999999998</v>
      </c>
      <c r="AA55" s="1">
        <v>30.131599999999999</v>
      </c>
      <c r="AB55" s="1">
        <v>27.6572</v>
      </c>
      <c r="AC55" s="1">
        <v>10.188000000000001</v>
      </c>
      <c r="AD55" s="1">
        <v>11.5906</v>
      </c>
      <c r="AE55" s="1">
        <v>24.2422</v>
      </c>
      <c r="AF55" s="1">
        <v>12.941000000000001</v>
      </c>
      <c r="AG55" s="1">
        <v>20.411799999999999</v>
      </c>
      <c r="AH55" s="1"/>
      <c r="AI55" s="1">
        <f>G55*T55</f>
        <v>0</v>
      </c>
      <c r="AJ55" s="1" t="str">
        <f>VLOOKUP(A55,[1]Лист1!$B:$O,14,0)</f>
        <v>матрица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141</v>
      </c>
      <c r="B56" s="1" t="s">
        <v>46</v>
      </c>
      <c r="C56" s="1">
        <v>471</v>
      </c>
      <c r="D56" s="1">
        <v>12</v>
      </c>
      <c r="E56" s="1">
        <v>165</v>
      </c>
      <c r="F56" s="1">
        <v>287</v>
      </c>
      <c r="G56" s="7">
        <v>0.1</v>
      </c>
      <c r="H56" s="1">
        <v>731</v>
      </c>
      <c r="I56" s="1" t="s">
        <v>142</v>
      </c>
      <c r="J56" s="1"/>
      <c r="K56" s="1">
        <v>167</v>
      </c>
      <c r="L56" s="1">
        <f t="shared" si="6"/>
        <v>-2</v>
      </c>
      <c r="M56" s="1"/>
      <c r="N56" s="1"/>
      <c r="O56" s="1">
        <v>32.799999999999947</v>
      </c>
      <c r="P56" s="1"/>
      <c r="Q56" s="1"/>
      <c r="R56" s="1">
        <v>139.8000000000001</v>
      </c>
      <c r="S56" s="1">
        <f t="shared" si="3"/>
        <v>33</v>
      </c>
      <c r="T56" s="5"/>
      <c r="U56" s="1">
        <f t="shared" si="4"/>
        <v>13.927272727272728</v>
      </c>
      <c r="V56" s="1">
        <f t="shared" si="5"/>
        <v>13.927272727272728</v>
      </c>
      <c r="W56" s="1">
        <v>46</v>
      </c>
      <c r="X56" s="1">
        <v>45.8</v>
      </c>
      <c r="Y56" s="1">
        <v>44</v>
      </c>
      <c r="Z56" s="1">
        <v>22</v>
      </c>
      <c r="AA56" s="1">
        <v>45</v>
      </c>
      <c r="AB56" s="1">
        <v>59.4</v>
      </c>
      <c r="AC56" s="1">
        <v>43.8</v>
      </c>
      <c r="AD56" s="1">
        <v>44</v>
      </c>
      <c r="AE56" s="1">
        <v>24.6</v>
      </c>
      <c r="AF56" s="1">
        <v>34.6</v>
      </c>
      <c r="AG56" s="1">
        <v>19.2</v>
      </c>
      <c r="AH56" s="1"/>
      <c r="AI56" s="1">
        <f>G56*T56</f>
        <v>0</v>
      </c>
      <c r="AJ56" s="1" t="str">
        <f>VLOOKUP(A56,[1]Лист1!$B:$O,14,0)</f>
        <v>матрица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143</v>
      </c>
      <c r="B57" s="1" t="s">
        <v>39</v>
      </c>
      <c r="C57" s="1">
        <v>165.59100000000001</v>
      </c>
      <c r="D57" s="1"/>
      <c r="E57" s="1">
        <v>72.314999999999998</v>
      </c>
      <c r="F57" s="1">
        <v>79.900000000000006</v>
      </c>
      <c r="G57" s="7">
        <v>1</v>
      </c>
      <c r="H57" s="1">
        <v>50</v>
      </c>
      <c r="I57" s="1" t="s">
        <v>144</v>
      </c>
      <c r="J57" s="1"/>
      <c r="K57" s="1">
        <v>65.150000000000006</v>
      </c>
      <c r="L57" s="1">
        <f t="shared" si="6"/>
        <v>7.164999999999992</v>
      </c>
      <c r="M57" s="1"/>
      <c r="N57" s="1"/>
      <c r="O57" s="1">
        <v>73.28279999999998</v>
      </c>
      <c r="P57" s="1"/>
      <c r="Q57" s="1"/>
      <c r="R57" s="1">
        <v>43.134700000000016</v>
      </c>
      <c r="S57" s="1">
        <f t="shared" si="3"/>
        <v>14.462999999999999</v>
      </c>
      <c r="T57" s="5"/>
      <c r="U57" s="1">
        <f t="shared" si="4"/>
        <v>13.573774458964253</v>
      </c>
      <c r="V57" s="1">
        <f t="shared" si="5"/>
        <v>13.573774458964253</v>
      </c>
      <c r="W57" s="1">
        <v>19.234200000000001</v>
      </c>
      <c r="X57" s="1">
        <v>21.715800000000002</v>
      </c>
      <c r="Y57" s="1">
        <v>16.465399999999999</v>
      </c>
      <c r="Z57" s="1">
        <v>16.174800000000001</v>
      </c>
      <c r="AA57" s="1">
        <v>20.6662</v>
      </c>
      <c r="AB57" s="1">
        <v>20.6676</v>
      </c>
      <c r="AC57" s="1">
        <v>20.402799999999999</v>
      </c>
      <c r="AD57" s="1">
        <v>18.515999999999998</v>
      </c>
      <c r="AE57" s="1">
        <v>5.1243999999999996</v>
      </c>
      <c r="AF57" s="1">
        <v>12.113200000000001</v>
      </c>
      <c r="AG57" s="1">
        <v>9.4244000000000003</v>
      </c>
      <c r="AH57" s="1"/>
      <c r="AI57" s="1">
        <f>G57*T57</f>
        <v>0</v>
      </c>
      <c r="AJ57" s="1" t="str">
        <f>VLOOKUP(A57,[1]Лист1!$B:$O,14,0)</f>
        <v>матрица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145</v>
      </c>
      <c r="B58" s="1" t="s">
        <v>39</v>
      </c>
      <c r="C58" s="1">
        <v>33.723999999999997</v>
      </c>
      <c r="D58" s="1">
        <v>5.407</v>
      </c>
      <c r="E58" s="1">
        <v>25.716999999999999</v>
      </c>
      <c r="F58" s="1">
        <v>13.414</v>
      </c>
      <c r="G58" s="7">
        <v>1</v>
      </c>
      <c r="H58" s="1">
        <v>55</v>
      </c>
      <c r="I58" s="1" t="s">
        <v>146</v>
      </c>
      <c r="J58" s="1"/>
      <c r="K58" s="1">
        <v>24.95</v>
      </c>
      <c r="L58" s="1">
        <f t="shared" si="6"/>
        <v>0.76699999999999946</v>
      </c>
      <c r="M58" s="1"/>
      <c r="N58" s="1"/>
      <c r="O58" s="1">
        <v>22.125</v>
      </c>
      <c r="P58" s="1"/>
      <c r="Q58" s="1"/>
      <c r="R58" s="1">
        <v>18.481200000000001</v>
      </c>
      <c r="S58" s="1">
        <f t="shared" si="3"/>
        <v>5.1433999999999997</v>
      </c>
      <c r="T58" s="5"/>
      <c r="U58" s="1">
        <f t="shared" si="4"/>
        <v>10.502819146867832</v>
      </c>
      <c r="V58" s="1">
        <f t="shared" si="5"/>
        <v>10.502819146867832</v>
      </c>
      <c r="W58" s="1">
        <v>5.1475999999999997</v>
      </c>
      <c r="X58" s="1">
        <v>5.4037999999999986</v>
      </c>
      <c r="Y58" s="1">
        <v>4.0573999999999986</v>
      </c>
      <c r="Z58" s="1">
        <v>2.7052</v>
      </c>
      <c r="AA58" s="1">
        <v>1.0808</v>
      </c>
      <c r="AB58" s="1">
        <v>2.1631999999999998</v>
      </c>
      <c r="AC58" s="1">
        <v>5.6636000000000006</v>
      </c>
      <c r="AD58" s="1">
        <v>6.7619999999999996</v>
      </c>
      <c r="AE58" s="1">
        <v>3.774</v>
      </c>
      <c r="AF58" s="1">
        <v>3.25</v>
      </c>
      <c r="AG58" s="1">
        <v>3.2517999999999998</v>
      </c>
      <c r="AH58" s="1"/>
      <c r="AI58" s="1">
        <f>G58*T58</f>
        <v>0</v>
      </c>
      <c r="AJ58" s="1" t="str">
        <f>VLOOKUP(A58,[1]Лист1!$B:$O,14,0)</f>
        <v>матрица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147</v>
      </c>
      <c r="B59" s="1" t="s">
        <v>46</v>
      </c>
      <c r="C59" s="1">
        <v>411</v>
      </c>
      <c r="D59" s="1">
        <v>12</v>
      </c>
      <c r="E59" s="1">
        <v>135</v>
      </c>
      <c r="F59" s="1">
        <v>257</v>
      </c>
      <c r="G59" s="7">
        <v>0.1</v>
      </c>
      <c r="H59" s="1">
        <v>731</v>
      </c>
      <c r="I59" s="1" t="s">
        <v>148</v>
      </c>
      <c r="J59" s="1"/>
      <c r="K59" s="1">
        <v>175</v>
      </c>
      <c r="L59" s="1">
        <f t="shared" si="6"/>
        <v>-40</v>
      </c>
      <c r="M59" s="1"/>
      <c r="N59" s="1"/>
      <c r="O59" s="1">
        <v>15.799999999999949</v>
      </c>
      <c r="P59" s="1"/>
      <c r="Q59" s="1"/>
      <c r="R59" s="1">
        <v>159.52000000000001</v>
      </c>
      <c r="S59" s="1">
        <f t="shared" si="3"/>
        <v>27</v>
      </c>
      <c r="T59" s="5"/>
      <c r="U59" s="1">
        <f t="shared" si="4"/>
        <v>16.011851851851848</v>
      </c>
      <c r="V59" s="1">
        <f t="shared" si="5"/>
        <v>16.011851851851848</v>
      </c>
      <c r="W59" s="1">
        <v>41.2</v>
      </c>
      <c r="X59" s="1">
        <v>38.799999999999997</v>
      </c>
      <c r="Y59" s="1">
        <v>36</v>
      </c>
      <c r="Z59" s="1">
        <v>32.6</v>
      </c>
      <c r="AA59" s="1">
        <v>50.2</v>
      </c>
      <c r="AB59" s="1">
        <v>53</v>
      </c>
      <c r="AC59" s="1">
        <v>35.6</v>
      </c>
      <c r="AD59" s="1">
        <v>34</v>
      </c>
      <c r="AE59" s="1">
        <v>33</v>
      </c>
      <c r="AF59" s="1">
        <v>26.2</v>
      </c>
      <c r="AG59" s="1">
        <v>19.600000000000001</v>
      </c>
      <c r="AH59" s="1"/>
      <c r="AI59" s="1">
        <f>G59*T59</f>
        <v>0</v>
      </c>
      <c r="AJ59" s="1" t="str">
        <f>VLOOKUP(A59,[1]Лист1!$B:$O,14,0)</f>
        <v>матрица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149</v>
      </c>
      <c r="B60" s="1" t="s">
        <v>46</v>
      </c>
      <c r="C60" s="1">
        <v>4</v>
      </c>
      <c r="D60" s="1">
        <v>40</v>
      </c>
      <c r="E60" s="1">
        <v>6</v>
      </c>
      <c r="F60" s="1">
        <v>36</v>
      </c>
      <c r="G60" s="7">
        <v>0.4</v>
      </c>
      <c r="H60" s="1">
        <v>50</v>
      </c>
      <c r="I60" s="1" t="s">
        <v>150</v>
      </c>
      <c r="J60" s="1"/>
      <c r="K60" s="1">
        <v>10</v>
      </c>
      <c r="L60" s="1">
        <f t="shared" si="6"/>
        <v>-4</v>
      </c>
      <c r="M60" s="1"/>
      <c r="N60" s="1"/>
      <c r="O60" s="1">
        <v>47.000000000000007</v>
      </c>
      <c r="P60" s="1"/>
      <c r="Q60" s="1"/>
      <c r="R60" s="1">
        <v>0</v>
      </c>
      <c r="S60" s="1">
        <f t="shared" si="3"/>
        <v>1.2</v>
      </c>
      <c r="T60" s="5"/>
      <c r="U60" s="1">
        <f t="shared" si="4"/>
        <v>69.166666666666671</v>
      </c>
      <c r="V60" s="1">
        <f t="shared" si="5"/>
        <v>69.166666666666671</v>
      </c>
      <c r="W60" s="1">
        <v>5</v>
      </c>
      <c r="X60" s="1">
        <v>7.6</v>
      </c>
      <c r="Y60" s="1">
        <v>4.8</v>
      </c>
      <c r="Z60" s="1">
        <v>3.6</v>
      </c>
      <c r="AA60" s="1">
        <v>3</v>
      </c>
      <c r="AB60" s="1">
        <v>2.2000000000000002</v>
      </c>
      <c r="AC60" s="1">
        <v>5.2</v>
      </c>
      <c r="AD60" s="1">
        <v>5.4</v>
      </c>
      <c r="AE60" s="1">
        <v>4.2</v>
      </c>
      <c r="AF60" s="1">
        <v>4.4000000000000004</v>
      </c>
      <c r="AG60" s="1">
        <v>6.6</v>
      </c>
      <c r="AH60" s="1"/>
      <c r="AI60" s="1">
        <f>G60*T60</f>
        <v>0</v>
      </c>
      <c r="AJ60" s="1" t="str">
        <f>VLOOKUP(A60,[1]Лист1!$B:$O,14,0)</f>
        <v>матрица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151</v>
      </c>
      <c r="B61" s="1" t="s">
        <v>39</v>
      </c>
      <c r="C61" s="1">
        <v>25.97</v>
      </c>
      <c r="D61" s="1"/>
      <c r="E61" s="1">
        <v>7.9459999999999997</v>
      </c>
      <c r="F61" s="1">
        <v>15.279</v>
      </c>
      <c r="G61" s="7">
        <v>1</v>
      </c>
      <c r="H61" s="1">
        <v>40</v>
      </c>
      <c r="I61" s="1" t="s">
        <v>152</v>
      </c>
      <c r="J61" s="1"/>
      <c r="K61" s="1">
        <v>10.199999999999999</v>
      </c>
      <c r="L61" s="1">
        <f t="shared" si="6"/>
        <v>-2.2539999999999996</v>
      </c>
      <c r="M61" s="1"/>
      <c r="N61" s="1"/>
      <c r="O61" s="1">
        <v>7.7032000000000016</v>
      </c>
      <c r="P61" s="1"/>
      <c r="Q61" s="1"/>
      <c r="R61" s="1">
        <v>12.0678</v>
      </c>
      <c r="S61" s="1">
        <f t="shared" si="3"/>
        <v>1.5891999999999999</v>
      </c>
      <c r="T61" s="5"/>
      <c r="U61" s="1">
        <f t="shared" si="4"/>
        <v>22.055122073999499</v>
      </c>
      <c r="V61" s="1">
        <f t="shared" si="5"/>
        <v>22.055122073999499</v>
      </c>
      <c r="W61" s="1">
        <v>3.0236000000000001</v>
      </c>
      <c r="X61" s="1">
        <v>3.0611999999999999</v>
      </c>
      <c r="Y61" s="1">
        <v>0.83219999999999994</v>
      </c>
      <c r="Z61" s="1">
        <v>0</v>
      </c>
      <c r="AA61" s="1">
        <v>0</v>
      </c>
      <c r="AB61" s="1">
        <v>0</v>
      </c>
      <c r="AC61" s="1">
        <v>3.2136</v>
      </c>
      <c r="AD61" s="1">
        <v>3.2136</v>
      </c>
      <c r="AE61" s="1">
        <v>1.5266</v>
      </c>
      <c r="AF61" s="1">
        <v>2.9758</v>
      </c>
      <c r="AG61" s="1">
        <v>3.5434000000000001</v>
      </c>
      <c r="AH61" s="1"/>
      <c r="AI61" s="1">
        <f>G61*T61</f>
        <v>0</v>
      </c>
      <c r="AJ61" s="1" t="str">
        <f>VLOOKUP(A61,[1]Лист1!$B:$O,14,0)</f>
        <v>матрица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153</v>
      </c>
      <c r="B62" s="1" t="s">
        <v>39</v>
      </c>
      <c r="C62" s="1">
        <v>143.94900000000001</v>
      </c>
      <c r="D62" s="1">
        <v>1.345</v>
      </c>
      <c r="E62" s="1">
        <v>18.257999999999999</v>
      </c>
      <c r="F62" s="1">
        <v>123.623</v>
      </c>
      <c r="G62" s="7">
        <v>1</v>
      </c>
      <c r="H62" s="1">
        <v>40</v>
      </c>
      <c r="I62" s="1" t="s">
        <v>154</v>
      </c>
      <c r="J62" s="1"/>
      <c r="K62" s="1">
        <v>21.9</v>
      </c>
      <c r="L62" s="1">
        <f t="shared" si="6"/>
        <v>-3.6419999999999995</v>
      </c>
      <c r="M62" s="1"/>
      <c r="N62" s="1"/>
      <c r="O62" s="1">
        <v>0</v>
      </c>
      <c r="P62" s="1"/>
      <c r="Q62" s="1"/>
      <c r="R62" s="1">
        <v>0</v>
      </c>
      <c r="S62" s="1">
        <f t="shared" si="3"/>
        <v>3.6515999999999997</v>
      </c>
      <c r="T62" s="5"/>
      <c r="U62" s="1">
        <f t="shared" si="4"/>
        <v>33.854474750794175</v>
      </c>
      <c r="V62" s="1">
        <f t="shared" si="5"/>
        <v>33.854474750794175</v>
      </c>
      <c r="W62" s="1">
        <v>5.5808</v>
      </c>
      <c r="X62" s="1">
        <v>9.1449999999999996</v>
      </c>
      <c r="Y62" s="1">
        <v>8.0937999999999999</v>
      </c>
      <c r="Z62" s="1">
        <v>4.8628</v>
      </c>
      <c r="AA62" s="1">
        <v>0</v>
      </c>
      <c r="AB62" s="1">
        <v>1.8466</v>
      </c>
      <c r="AC62" s="1">
        <v>17.136600000000001</v>
      </c>
      <c r="AD62" s="1">
        <v>19.513000000000002</v>
      </c>
      <c r="AE62" s="1">
        <v>-6.1999999999999998E-3</v>
      </c>
      <c r="AF62" s="1">
        <v>10.728199999999999</v>
      </c>
      <c r="AG62" s="1">
        <v>2.1617999999999999</v>
      </c>
      <c r="AH62" s="1" t="s">
        <v>56</v>
      </c>
      <c r="AI62" s="1">
        <f>G62*T62</f>
        <v>0</v>
      </c>
      <c r="AJ62" s="1" t="str">
        <f>VLOOKUP(A62,[1]Лист1!$B:$O,14,0)</f>
        <v>матрица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155</v>
      </c>
      <c r="B63" s="1" t="s">
        <v>46</v>
      </c>
      <c r="C63" s="1">
        <v>712</v>
      </c>
      <c r="D63" s="1">
        <v>152</v>
      </c>
      <c r="E63" s="1">
        <v>406</v>
      </c>
      <c r="F63" s="1">
        <v>398</v>
      </c>
      <c r="G63" s="7">
        <v>0.4</v>
      </c>
      <c r="H63" s="1">
        <v>40</v>
      </c>
      <c r="I63" s="1" t="s">
        <v>156</v>
      </c>
      <c r="J63" s="1"/>
      <c r="K63" s="1">
        <v>426</v>
      </c>
      <c r="L63" s="1">
        <f t="shared" si="6"/>
        <v>-20</v>
      </c>
      <c r="M63" s="1"/>
      <c r="N63" s="1"/>
      <c r="O63" s="1">
        <v>310.67999999999978</v>
      </c>
      <c r="P63" s="1"/>
      <c r="Q63" s="1"/>
      <c r="R63" s="1">
        <v>20.300000000000029</v>
      </c>
      <c r="S63" s="1">
        <f t="shared" si="3"/>
        <v>81.2</v>
      </c>
      <c r="T63" s="5"/>
      <c r="U63" s="1">
        <f t="shared" si="4"/>
        <v>8.9775862068965502</v>
      </c>
      <c r="V63" s="1">
        <f t="shared" si="5"/>
        <v>8.9775862068965502</v>
      </c>
      <c r="W63" s="1">
        <v>86.2</v>
      </c>
      <c r="X63" s="1">
        <v>112.6</v>
      </c>
      <c r="Y63" s="1">
        <v>85.6</v>
      </c>
      <c r="Z63" s="1">
        <v>71.599999999999994</v>
      </c>
      <c r="AA63" s="1">
        <v>109.6</v>
      </c>
      <c r="AB63" s="1">
        <v>96.8</v>
      </c>
      <c r="AC63" s="1">
        <v>28.4</v>
      </c>
      <c r="AD63" s="1">
        <v>40</v>
      </c>
      <c r="AE63" s="1">
        <v>106.4</v>
      </c>
      <c r="AF63" s="1">
        <v>50.4</v>
      </c>
      <c r="AG63" s="1">
        <v>89</v>
      </c>
      <c r="AH63" s="1"/>
      <c r="AI63" s="1">
        <f>G63*T63</f>
        <v>0</v>
      </c>
      <c r="AJ63" s="1" t="str">
        <f>VLOOKUP(A63,[1]Лист1!$B:$O,14,0)</f>
        <v>матрица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157</v>
      </c>
      <c r="B64" s="1" t="s">
        <v>46</v>
      </c>
      <c r="C64" s="1">
        <v>574</v>
      </c>
      <c r="D64" s="1">
        <v>12</v>
      </c>
      <c r="E64" s="1">
        <v>345</v>
      </c>
      <c r="F64" s="1">
        <v>214</v>
      </c>
      <c r="G64" s="7">
        <v>0.4</v>
      </c>
      <c r="H64" s="1">
        <v>40</v>
      </c>
      <c r="I64" s="1" t="s">
        <v>158</v>
      </c>
      <c r="J64" s="1"/>
      <c r="K64" s="1">
        <v>356</v>
      </c>
      <c r="L64" s="1">
        <f t="shared" si="6"/>
        <v>-11</v>
      </c>
      <c r="M64" s="1"/>
      <c r="N64" s="1"/>
      <c r="O64" s="1">
        <v>218.40000000000009</v>
      </c>
      <c r="P64" s="1"/>
      <c r="Q64" s="1"/>
      <c r="R64" s="1">
        <v>76.099999999999909</v>
      </c>
      <c r="S64" s="1">
        <f t="shared" si="3"/>
        <v>69</v>
      </c>
      <c r="T64" s="5"/>
      <c r="U64" s="1">
        <f t="shared" si="4"/>
        <v>7.3695652173913047</v>
      </c>
      <c r="V64" s="1">
        <f t="shared" si="5"/>
        <v>7.3695652173913047</v>
      </c>
      <c r="W64" s="1">
        <v>57.4</v>
      </c>
      <c r="X64" s="1">
        <v>72.400000000000006</v>
      </c>
      <c r="Y64" s="1">
        <v>47.8</v>
      </c>
      <c r="Z64" s="1">
        <v>37.4</v>
      </c>
      <c r="AA64" s="1">
        <v>71.599999999999994</v>
      </c>
      <c r="AB64" s="1">
        <v>76.599999999999994</v>
      </c>
      <c r="AC64" s="1">
        <v>54.2</v>
      </c>
      <c r="AD64" s="1">
        <v>24</v>
      </c>
      <c r="AE64" s="1">
        <v>59.8</v>
      </c>
      <c r="AF64" s="1">
        <v>28.2</v>
      </c>
      <c r="AG64" s="1">
        <v>41</v>
      </c>
      <c r="AH64" s="1"/>
      <c r="AI64" s="1">
        <f>G64*T64</f>
        <v>0</v>
      </c>
      <c r="AJ64" s="1" t="str">
        <f>VLOOKUP(A64,[1]Лист1!$B:$O,14,0)</f>
        <v>матрица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159</v>
      </c>
      <c r="B65" s="1" t="s">
        <v>39</v>
      </c>
      <c r="C65" s="1">
        <v>43.634999999999998</v>
      </c>
      <c r="D65" s="1">
        <v>221.685</v>
      </c>
      <c r="E65" s="1">
        <v>62.822000000000003</v>
      </c>
      <c r="F65" s="1">
        <v>168.77199999999999</v>
      </c>
      <c r="G65" s="7">
        <v>1</v>
      </c>
      <c r="H65" s="1">
        <v>40</v>
      </c>
      <c r="I65" s="1" t="s">
        <v>160</v>
      </c>
      <c r="J65" s="1"/>
      <c r="K65" s="1">
        <v>95.4</v>
      </c>
      <c r="L65" s="1">
        <f t="shared" si="6"/>
        <v>-32.578000000000003</v>
      </c>
      <c r="M65" s="1"/>
      <c r="N65" s="1"/>
      <c r="O65" s="1">
        <v>198.11680000000001</v>
      </c>
      <c r="P65" s="1"/>
      <c r="Q65" s="1"/>
      <c r="R65" s="1">
        <v>0</v>
      </c>
      <c r="S65" s="1">
        <f t="shared" si="3"/>
        <v>12.564400000000001</v>
      </c>
      <c r="T65" s="5"/>
      <c r="U65" s="1">
        <f t="shared" si="4"/>
        <v>29.200662188405335</v>
      </c>
      <c r="V65" s="1">
        <f t="shared" si="5"/>
        <v>29.200662188405335</v>
      </c>
      <c r="W65" s="1">
        <v>29.346399999999999</v>
      </c>
      <c r="X65" s="1">
        <v>40.2258</v>
      </c>
      <c r="Y65" s="1">
        <v>30.734999999999999</v>
      </c>
      <c r="Z65" s="1">
        <v>15.739000000000001</v>
      </c>
      <c r="AA65" s="1">
        <v>10.629</v>
      </c>
      <c r="AB65" s="1">
        <v>20.083200000000001</v>
      </c>
      <c r="AC65" s="1">
        <v>31.709599999999998</v>
      </c>
      <c r="AD65" s="1">
        <v>30.7652</v>
      </c>
      <c r="AE65" s="1">
        <v>27.3794</v>
      </c>
      <c r="AF65" s="1">
        <v>29.851400000000002</v>
      </c>
      <c r="AG65" s="1">
        <v>27.0808</v>
      </c>
      <c r="AH65" s="1"/>
      <c r="AI65" s="1">
        <f>G65*T65</f>
        <v>0</v>
      </c>
      <c r="AJ65" s="1" t="str">
        <f>VLOOKUP(A65,[1]Лист1!$B:$O,14,0)</f>
        <v>матрица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161</v>
      </c>
      <c r="B66" s="1" t="s">
        <v>39</v>
      </c>
      <c r="C66" s="1">
        <v>207.125</v>
      </c>
      <c r="D66" s="1">
        <v>29.832999999999998</v>
      </c>
      <c r="E66" s="1">
        <v>176.417</v>
      </c>
      <c r="F66" s="1">
        <v>7.7519999999999998</v>
      </c>
      <c r="G66" s="7">
        <v>1</v>
      </c>
      <c r="H66" s="1">
        <v>40</v>
      </c>
      <c r="I66" s="1" t="s">
        <v>162</v>
      </c>
      <c r="J66" s="1"/>
      <c r="K66" s="1">
        <v>167.5</v>
      </c>
      <c r="L66" s="1">
        <f t="shared" si="6"/>
        <v>8.9170000000000016</v>
      </c>
      <c r="M66" s="1"/>
      <c r="N66" s="1"/>
      <c r="O66" s="1">
        <v>185.57831999999991</v>
      </c>
      <c r="P66" s="1"/>
      <c r="Q66" s="1"/>
      <c r="R66" s="1">
        <v>63.932800000000043</v>
      </c>
      <c r="S66" s="1">
        <f t="shared" si="3"/>
        <v>35.2834</v>
      </c>
      <c r="T66" s="5"/>
      <c r="U66" s="1">
        <f t="shared" si="4"/>
        <v>7.2913358689922161</v>
      </c>
      <c r="V66" s="1">
        <f t="shared" si="5"/>
        <v>7.2913358689922161</v>
      </c>
      <c r="W66" s="1">
        <v>31.5944</v>
      </c>
      <c r="X66" s="1">
        <v>36.930199999999999</v>
      </c>
      <c r="Y66" s="1">
        <v>26.832999999999998</v>
      </c>
      <c r="Z66" s="1">
        <v>11.881</v>
      </c>
      <c r="AA66" s="1">
        <v>23.1356</v>
      </c>
      <c r="AB66" s="1">
        <v>31.2576</v>
      </c>
      <c r="AC66" s="1">
        <v>30.326599999999999</v>
      </c>
      <c r="AD66" s="1">
        <v>27.802</v>
      </c>
      <c r="AE66" s="1">
        <v>26.757999999999999</v>
      </c>
      <c r="AF66" s="1">
        <v>25.724399999999999</v>
      </c>
      <c r="AG66" s="1">
        <v>24.2698</v>
      </c>
      <c r="AH66" s="1"/>
      <c r="AI66" s="1">
        <f>G66*T66</f>
        <v>0</v>
      </c>
      <c r="AJ66" s="1" t="str">
        <f>VLOOKUP(A66,[1]Лист1!$B:$O,14,0)</f>
        <v>матрица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163</v>
      </c>
      <c r="B67" s="1" t="s">
        <v>39</v>
      </c>
      <c r="C67" s="1">
        <v>947.95100000000002</v>
      </c>
      <c r="D67" s="1">
        <v>15.412000000000001</v>
      </c>
      <c r="E67" s="1">
        <v>424.10500000000002</v>
      </c>
      <c r="F67" s="1">
        <v>457.35700000000003</v>
      </c>
      <c r="G67" s="7">
        <v>1</v>
      </c>
      <c r="H67" s="1">
        <v>40</v>
      </c>
      <c r="I67" s="1" t="s">
        <v>164</v>
      </c>
      <c r="J67" s="1"/>
      <c r="K67" s="1">
        <v>391.214</v>
      </c>
      <c r="L67" s="1">
        <f t="shared" si="6"/>
        <v>32.89100000000002</v>
      </c>
      <c r="M67" s="1"/>
      <c r="N67" s="1"/>
      <c r="O67" s="1">
        <v>0</v>
      </c>
      <c r="P67" s="1"/>
      <c r="Q67" s="1"/>
      <c r="R67" s="1">
        <v>6.3483399999999506</v>
      </c>
      <c r="S67" s="1">
        <f t="shared" si="3"/>
        <v>84.820999999999998</v>
      </c>
      <c r="T67" s="5"/>
      <c r="U67" s="1">
        <f t="shared" si="4"/>
        <v>5.466869525235496</v>
      </c>
      <c r="V67" s="1">
        <f t="shared" si="5"/>
        <v>5.466869525235496</v>
      </c>
      <c r="W67" s="1">
        <v>67.469399999999993</v>
      </c>
      <c r="X67" s="1">
        <v>80.919799999999995</v>
      </c>
      <c r="Y67" s="1">
        <v>73.772799999999989</v>
      </c>
      <c r="Z67" s="1">
        <v>73.477000000000004</v>
      </c>
      <c r="AA67" s="1">
        <v>111.7908</v>
      </c>
      <c r="AB67" s="1">
        <v>92.128999999999991</v>
      </c>
      <c r="AC67" s="1">
        <v>74.011400000000009</v>
      </c>
      <c r="AD67" s="1">
        <v>96.486999999999995</v>
      </c>
      <c r="AE67" s="1">
        <v>88.301000000000002</v>
      </c>
      <c r="AF67" s="1">
        <v>78.686999999999998</v>
      </c>
      <c r="AG67" s="1">
        <v>85.581600000000009</v>
      </c>
      <c r="AH67" s="1"/>
      <c r="AI67" s="1">
        <f>G67*T67</f>
        <v>0</v>
      </c>
      <c r="AJ67" s="1" t="str">
        <f>VLOOKUP(A67,[1]Лист1!$B:$O,14,0)</f>
        <v>матрица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165</v>
      </c>
      <c r="B68" s="1" t="s">
        <v>39</v>
      </c>
      <c r="C68" s="1">
        <v>221.66300000000001</v>
      </c>
      <c r="D68" s="1">
        <v>22.39</v>
      </c>
      <c r="E68" s="1">
        <v>159.38800000000001</v>
      </c>
      <c r="F68" s="1">
        <v>31.113</v>
      </c>
      <c r="G68" s="7">
        <v>1</v>
      </c>
      <c r="H68" s="1">
        <v>40</v>
      </c>
      <c r="I68" s="1" t="s">
        <v>166</v>
      </c>
      <c r="J68" s="1"/>
      <c r="K68" s="1">
        <v>154.1</v>
      </c>
      <c r="L68" s="1">
        <f t="shared" si="6"/>
        <v>5.2880000000000109</v>
      </c>
      <c r="M68" s="1"/>
      <c r="N68" s="1"/>
      <c r="O68" s="1">
        <v>141.01060000000001</v>
      </c>
      <c r="P68" s="1"/>
      <c r="Q68" s="1"/>
      <c r="R68" s="1">
        <v>49.600400000000008</v>
      </c>
      <c r="S68" s="1">
        <f t="shared" si="3"/>
        <v>31.877600000000001</v>
      </c>
      <c r="T68" s="5"/>
      <c r="U68" s="1">
        <f t="shared" si="4"/>
        <v>6.9554797098903309</v>
      </c>
      <c r="V68" s="1">
        <f t="shared" si="5"/>
        <v>6.9554797098903309</v>
      </c>
      <c r="W68" s="1">
        <v>27.787199999999999</v>
      </c>
      <c r="X68" s="1">
        <v>32.726599999999998</v>
      </c>
      <c r="Y68" s="1">
        <v>26.318200000000001</v>
      </c>
      <c r="Z68" s="1">
        <v>15.6272</v>
      </c>
      <c r="AA68" s="1">
        <v>17.955400000000001</v>
      </c>
      <c r="AB68" s="1">
        <v>33.378999999999998</v>
      </c>
      <c r="AC68" s="1">
        <v>41.163799999999988</v>
      </c>
      <c r="AD68" s="1">
        <v>30.2788</v>
      </c>
      <c r="AE68" s="1">
        <v>22.077200000000001</v>
      </c>
      <c r="AF68" s="1">
        <v>26.0336</v>
      </c>
      <c r="AG68" s="1">
        <v>22.261199999999999</v>
      </c>
      <c r="AH68" s="1"/>
      <c r="AI68" s="1">
        <f>G68*T68</f>
        <v>0</v>
      </c>
      <c r="AJ68" s="1" t="str">
        <f>VLOOKUP(A68,[1]Лист1!$B:$O,14,0)</f>
        <v>матрица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167</v>
      </c>
      <c r="B69" s="1" t="s">
        <v>46</v>
      </c>
      <c r="C69" s="1">
        <v>25</v>
      </c>
      <c r="D69" s="1"/>
      <c r="E69" s="1">
        <v>8</v>
      </c>
      <c r="F69" s="1">
        <v>17</v>
      </c>
      <c r="G69" s="7">
        <v>0.6</v>
      </c>
      <c r="H69" s="1">
        <v>70</v>
      </c>
      <c r="I69" s="1" t="s">
        <v>168</v>
      </c>
      <c r="J69" s="1"/>
      <c r="K69" s="1">
        <v>8</v>
      </c>
      <c r="L69" s="1">
        <f t="shared" si="6"/>
        <v>0</v>
      </c>
      <c r="M69" s="1"/>
      <c r="N69" s="1"/>
      <c r="O69" s="1">
        <v>34.400000000000013</v>
      </c>
      <c r="P69" s="1"/>
      <c r="Q69" s="1"/>
      <c r="R69" s="1">
        <v>11.099999999999991</v>
      </c>
      <c r="S69" s="1">
        <f t="shared" si="3"/>
        <v>1.6</v>
      </c>
      <c r="T69" s="5"/>
      <c r="U69" s="1">
        <f t="shared" si="4"/>
        <v>39.0625</v>
      </c>
      <c r="V69" s="1">
        <f t="shared" si="5"/>
        <v>39.0625</v>
      </c>
      <c r="W69" s="1">
        <v>5</v>
      </c>
      <c r="X69" s="1">
        <v>5.4</v>
      </c>
      <c r="Y69" s="1">
        <v>2</v>
      </c>
      <c r="Z69" s="1">
        <v>1.8</v>
      </c>
      <c r="AA69" s="1">
        <v>2.8</v>
      </c>
      <c r="AB69" s="1">
        <v>2.2000000000000002</v>
      </c>
      <c r="AC69" s="1">
        <v>2</v>
      </c>
      <c r="AD69" s="1">
        <v>3</v>
      </c>
      <c r="AE69" s="1">
        <v>4.8</v>
      </c>
      <c r="AF69" s="1">
        <v>2.8</v>
      </c>
      <c r="AG69" s="1">
        <v>3.2</v>
      </c>
      <c r="AH69" s="1"/>
      <c r="AI69" s="1">
        <f>G69*T69</f>
        <v>0</v>
      </c>
      <c r="AJ69" s="1" t="str">
        <f>VLOOKUP(A69,[1]Лист1!$B:$O,14,0)</f>
        <v>матрица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169</v>
      </c>
      <c r="B70" s="1" t="s">
        <v>39</v>
      </c>
      <c r="C70" s="1">
        <v>237.77199999999999</v>
      </c>
      <c r="D70" s="1">
        <v>745.30799999999999</v>
      </c>
      <c r="E70" s="1">
        <v>404.68700000000001</v>
      </c>
      <c r="F70" s="1">
        <v>501.55</v>
      </c>
      <c r="G70" s="7">
        <v>1</v>
      </c>
      <c r="H70" s="1">
        <v>30</v>
      </c>
      <c r="I70" s="1" t="s">
        <v>170</v>
      </c>
      <c r="J70" s="1"/>
      <c r="K70" s="1">
        <v>432.75</v>
      </c>
      <c r="L70" s="1">
        <f t="shared" ref="L70:L101" si="7">E70-K70</f>
        <v>-28.062999999999988</v>
      </c>
      <c r="M70" s="1"/>
      <c r="N70" s="1"/>
      <c r="O70" s="1">
        <v>0</v>
      </c>
      <c r="P70" s="1"/>
      <c r="Q70" s="1"/>
      <c r="R70" s="1">
        <v>0</v>
      </c>
      <c r="S70" s="1">
        <f t="shared" si="3"/>
        <v>80.937399999999997</v>
      </c>
      <c r="T70" s="5"/>
      <c r="U70" s="1">
        <f t="shared" si="4"/>
        <v>6.1967644129907811</v>
      </c>
      <c r="V70" s="1">
        <f t="shared" si="5"/>
        <v>6.1967644129907811</v>
      </c>
      <c r="W70" s="1">
        <v>39.692799999999998</v>
      </c>
      <c r="X70" s="1">
        <v>48.635199999999998</v>
      </c>
      <c r="Y70" s="1">
        <v>81.170600000000007</v>
      </c>
      <c r="Z70" s="1">
        <v>85.153199999999998</v>
      </c>
      <c r="AA70" s="1">
        <v>45.728400000000001</v>
      </c>
      <c r="AB70" s="1">
        <v>6.1534000000000004</v>
      </c>
      <c r="AC70" s="1">
        <v>39.178400000000003</v>
      </c>
      <c r="AD70" s="1">
        <v>76.381600000000006</v>
      </c>
      <c r="AE70" s="1">
        <v>39.561799999999998</v>
      </c>
      <c r="AF70" s="1">
        <v>37.741399999999999</v>
      </c>
      <c r="AG70" s="1">
        <v>33.580399999999997</v>
      </c>
      <c r="AH70" s="1"/>
      <c r="AI70" s="1">
        <f>G70*T70</f>
        <v>0</v>
      </c>
      <c r="AJ70" s="1" t="str">
        <f>VLOOKUP(A70,[1]Лист1!$B:$O,14,0)</f>
        <v>матрица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171</v>
      </c>
      <c r="B71" s="1" t="s">
        <v>46</v>
      </c>
      <c r="C71" s="1">
        <v>136</v>
      </c>
      <c r="D71" s="1"/>
      <c r="E71" s="1">
        <v>115</v>
      </c>
      <c r="F71" s="1">
        <v>21</v>
      </c>
      <c r="G71" s="7">
        <v>0.6</v>
      </c>
      <c r="H71" s="1">
        <v>60</v>
      </c>
      <c r="I71" s="1" t="s">
        <v>172</v>
      </c>
      <c r="J71" s="1"/>
      <c r="K71" s="1">
        <v>88</v>
      </c>
      <c r="L71" s="1">
        <f t="shared" si="7"/>
        <v>27</v>
      </c>
      <c r="M71" s="1"/>
      <c r="N71" s="1"/>
      <c r="O71" s="1">
        <v>0</v>
      </c>
      <c r="P71" s="1"/>
      <c r="Q71" s="1"/>
      <c r="R71" s="1">
        <v>30</v>
      </c>
      <c r="S71" s="1">
        <f t="shared" ref="S71:S112" si="8">E71/5</f>
        <v>23</v>
      </c>
      <c r="T71" s="5"/>
      <c r="U71" s="1">
        <f t="shared" ref="U71:U112" si="9">(F71+O71+P71+Q71+R71+T71)/S71</f>
        <v>2.2173913043478262</v>
      </c>
      <c r="V71" s="1">
        <f t="shared" ref="V71:V112" si="10">(F71+O71+P71+Q71+R71)/S71</f>
        <v>2.2173913043478262</v>
      </c>
      <c r="W71" s="1">
        <v>12.4</v>
      </c>
      <c r="X71" s="1">
        <v>11.8</v>
      </c>
      <c r="Y71" s="1">
        <v>3.8</v>
      </c>
      <c r="Z71" s="1">
        <v>3.8</v>
      </c>
      <c r="AA71" s="1">
        <v>12.6</v>
      </c>
      <c r="AB71" s="1">
        <v>15.2</v>
      </c>
      <c r="AC71" s="1">
        <v>13.6</v>
      </c>
      <c r="AD71" s="1">
        <v>12.6</v>
      </c>
      <c r="AE71" s="1">
        <v>14.2</v>
      </c>
      <c r="AF71" s="1">
        <v>5.8</v>
      </c>
      <c r="AG71" s="1">
        <v>16.600000000000001</v>
      </c>
      <c r="AH71" s="1"/>
      <c r="AI71" s="1">
        <f>G71*T71</f>
        <v>0</v>
      </c>
      <c r="AJ71" s="1" t="str">
        <f>VLOOKUP(A71,[1]Лист1!$B:$O,14,0)</f>
        <v>матрица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173</v>
      </c>
      <c r="B72" s="1" t="s">
        <v>46</v>
      </c>
      <c r="C72" s="1">
        <v>244</v>
      </c>
      <c r="D72" s="1">
        <v>8</v>
      </c>
      <c r="E72" s="1">
        <v>100</v>
      </c>
      <c r="F72" s="1">
        <v>136</v>
      </c>
      <c r="G72" s="7">
        <v>0.4</v>
      </c>
      <c r="H72" s="1">
        <v>90</v>
      </c>
      <c r="I72" s="1" t="s">
        <v>174</v>
      </c>
      <c r="J72" s="1"/>
      <c r="K72" s="1">
        <v>101</v>
      </c>
      <c r="L72" s="1">
        <f t="shared" si="7"/>
        <v>-1</v>
      </c>
      <c r="M72" s="1"/>
      <c r="N72" s="1"/>
      <c r="O72" s="1">
        <v>35.399999999999977</v>
      </c>
      <c r="P72" s="1"/>
      <c r="Q72" s="1"/>
      <c r="R72" s="1">
        <v>28.100000000000019</v>
      </c>
      <c r="S72" s="1">
        <f t="shared" si="8"/>
        <v>20</v>
      </c>
      <c r="T72" s="5"/>
      <c r="U72" s="1">
        <f t="shared" si="9"/>
        <v>9.9749999999999996</v>
      </c>
      <c r="V72" s="1">
        <f t="shared" si="10"/>
        <v>9.9749999999999996</v>
      </c>
      <c r="W72" s="1">
        <v>20.6</v>
      </c>
      <c r="X72" s="1">
        <v>25.4</v>
      </c>
      <c r="Y72" s="1">
        <v>19.2</v>
      </c>
      <c r="Z72" s="1">
        <v>19.600000000000001</v>
      </c>
      <c r="AA72" s="1">
        <v>29.2</v>
      </c>
      <c r="AB72" s="1">
        <v>21</v>
      </c>
      <c r="AC72" s="1">
        <v>5.2</v>
      </c>
      <c r="AD72" s="1">
        <v>7.6</v>
      </c>
      <c r="AE72" s="1">
        <v>17.2</v>
      </c>
      <c r="AF72" s="1">
        <v>7</v>
      </c>
      <c r="AG72" s="1">
        <v>15.8</v>
      </c>
      <c r="AH72" s="1"/>
      <c r="AI72" s="1">
        <f>G72*T72</f>
        <v>0</v>
      </c>
      <c r="AJ72" s="1" t="str">
        <f>VLOOKUP(A72,[1]Лист1!$B:$O,14,0)</f>
        <v>матрица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175</v>
      </c>
      <c r="B73" s="1" t="s">
        <v>46</v>
      </c>
      <c r="C73" s="1">
        <v>376</v>
      </c>
      <c r="D73" s="1">
        <v>8</v>
      </c>
      <c r="E73" s="1">
        <v>168</v>
      </c>
      <c r="F73" s="1">
        <v>183</v>
      </c>
      <c r="G73" s="7">
        <v>0.33</v>
      </c>
      <c r="H73" s="1">
        <v>60</v>
      </c>
      <c r="I73" s="1" t="s">
        <v>176</v>
      </c>
      <c r="J73" s="1"/>
      <c r="K73" s="1">
        <v>163</v>
      </c>
      <c r="L73" s="1">
        <f t="shared" si="7"/>
        <v>5</v>
      </c>
      <c r="M73" s="1"/>
      <c r="N73" s="1"/>
      <c r="O73" s="1">
        <v>0</v>
      </c>
      <c r="P73" s="1"/>
      <c r="Q73" s="1"/>
      <c r="R73" s="1">
        <v>64</v>
      </c>
      <c r="S73" s="1">
        <f t="shared" si="8"/>
        <v>33.6</v>
      </c>
      <c r="T73" s="5"/>
      <c r="U73" s="1">
        <f t="shared" si="9"/>
        <v>7.3511904761904763</v>
      </c>
      <c r="V73" s="1">
        <f t="shared" si="10"/>
        <v>7.3511904761904763</v>
      </c>
      <c r="W73" s="1">
        <v>25.6</v>
      </c>
      <c r="X73" s="1">
        <v>14.8</v>
      </c>
      <c r="Y73" s="1">
        <v>21</v>
      </c>
      <c r="Z73" s="1">
        <v>30.8</v>
      </c>
      <c r="AA73" s="1">
        <v>40.200000000000003</v>
      </c>
      <c r="AB73" s="1">
        <v>28.2</v>
      </c>
      <c r="AC73" s="1">
        <v>8</v>
      </c>
      <c r="AD73" s="1">
        <v>14</v>
      </c>
      <c r="AE73" s="1">
        <v>18.399999999999999</v>
      </c>
      <c r="AF73" s="1">
        <v>12.4</v>
      </c>
      <c r="AG73" s="1">
        <v>21.6</v>
      </c>
      <c r="AH73" s="1"/>
      <c r="AI73" s="1">
        <f>G73*T73</f>
        <v>0</v>
      </c>
      <c r="AJ73" s="1" t="str">
        <f>VLOOKUP(A73,[1]Лист1!$B:$O,14,0)</f>
        <v>матрица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177</v>
      </c>
      <c r="B74" s="1" t="s">
        <v>46</v>
      </c>
      <c r="C74" s="1">
        <v>82</v>
      </c>
      <c r="D74" s="1">
        <v>174</v>
      </c>
      <c r="E74" s="1">
        <v>67</v>
      </c>
      <c r="F74" s="1">
        <v>175</v>
      </c>
      <c r="G74" s="7">
        <v>0.35</v>
      </c>
      <c r="H74" s="1">
        <v>90</v>
      </c>
      <c r="I74" s="1" t="s">
        <v>178</v>
      </c>
      <c r="J74" s="1"/>
      <c r="K74" s="1">
        <v>72</v>
      </c>
      <c r="L74" s="1">
        <f t="shared" si="7"/>
        <v>-5</v>
      </c>
      <c r="M74" s="1"/>
      <c r="N74" s="1"/>
      <c r="O74" s="1">
        <v>0</v>
      </c>
      <c r="P74" s="1"/>
      <c r="Q74" s="1"/>
      <c r="R74" s="1">
        <v>0</v>
      </c>
      <c r="S74" s="1">
        <f t="shared" si="8"/>
        <v>13.4</v>
      </c>
      <c r="T74" s="5"/>
      <c r="U74" s="1">
        <f t="shared" si="9"/>
        <v>13.059701492537313</v>
      </c>
      <c r="V74" s="1">
        <f t="shared" si="10"/>
        <v>13.059701492537313</v>
      </c>
      <c r="W74" s="1">
        <v>13.6</v>
      </c>
      <c r="X74" s="1">
        <v>20.8</v>
      </c>
      <c r="Y74" s="1">
        <v>21.8</v>
      </c>
      <c r="Z74" s="1">
        <v>18.2</v>
      </c>
      <c r="AA74" s="1">
        <v>15</v>
      </c>
      <c r="AB74" s="1">
        <v>7.4</v>
      </c>
      <c r="AC74" s="1">
        <v>9</v>
      </c>
      <c r="AD74" s="1">
        <v>16.2</v>
      </c>
      <c r="AE74" s="1">
        <v>9</v>
      </c>
      <c r="AF74" s="1">
        <v>5.8</v>
      </c>
      <c r="AG74" s="1">
        <v>14</v>
      </c>
      <c r="AH74" s="1"/>
      <c r="AI74" s="1">
        <f>G74*T74</f>
        <v>0</v>
      </c>
      <c r="AJ74" s="1" t="str">
        <f>VLOOKUP(A74,[1]Лист1!$B:$O,14,0)</f>
        <v>матрица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179</v>
      </c>
      <c r="B75" s="1" t="s">
        <v>46</v>
      </c>
      <c r="C75" s="1">
        <v>440</v>
      </c>
      <c r="D75" s="1">
        <v>2</v>
      </c>
      <c r="E75" s="1">
        <v>160</v>
      </c>
      <c r="F75" s="1">
        <v>280</v>
      </c>
      <c r="G75" s="7">
        <v>0.37</v>
      </c>
      <c r="H75" s="1">
        <v>50</v>
      </c>
      <c r="I75" s="1" t="s">
        <v>180</v>
      </c>
      <c r="J75" s="1"/>
      <c r="K75" s="1">
        <v>158</v>
      </c>
      <c r="L75" s="1">
        <f t="shared" si="7"/>
        <v>2</v>
      </c>
      <c r="M75" s="1"/>
      <c r="N75" s="1"/>
      <c r="O75" s="1">
        <v>0</v>
      </c>
      <c r="P75" s="1"/>
      <c r="Q75" s="1"/>
      <c r="R75" s="1">
        <v>0</v>
      </c>
      <c r="S75" s="1">
        <f t="shared" si="8"/>
        <v>32</v>
      </c>
      <c r="T75" s="5"/>
      <c r="U75" s="1">
        <f t="shared" si="9"/>
        <v>8.75</v>
      </c>
      <c r="V75" s="1">
        <f t="shared" si="10"/>
        <v>8.75</v>
      </c>
      <c r="W75" s="1">
        <v>24.8</v>
      </c>
      <c r="X75" s="1">
        <v>30.8</v>
      </c>
      <c r="Y75" s="1">
        <v>26.4</v>
      </c>
      <c r="Z75" s="1">
        <v>18.2</v>
      </c>
      <c r="AA75" s="1">
        <v>32.4</v>
      </c>
      <c r="AB75" s="1">
        <v>44</v>
      </c>
      <c r="AC75" s="1">
        <v>41.8</v>
      </c>
      <c r="AD75" s="1">
        <v>34</v>
      </c>
      <c r="AE75" s="1">
        <v>22.4</v>
      </c>
      <c r="AF75" s="1">
        <v>41.6</v>
      </c>
      <c r="AG75" s="1">
        <v>29.4</v>
      </c>
      <c r="AH75" s="1"/>
      <c r="AI75" s="1">
        <f>G75*T75</f>
        <v>0</v>
      </c>
      <c r="AJ75" s="1" t="str">
        <f>VLOOKUP(A75,[1]Лист1!$B:$O,14,0)</f>
        <v>матрица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181</v>
      </c>
      <c r="B76" s="1" t="s">
        <v>46</v>
      </c>
      <c r="C76" s="1">
        <v>118</v>
      </c>
      <c r="D76" s="1"/>
      <c r="E76" s="1">
        <v>51</v>
      </c>
      <c r="F76" s="1">
        <v>63</v>
      </c>
      <c r="G76" s="7">
        <v>0.33</v>
      </c>
      <c r="H76" s="1">
        <v>40</v>
      </c>
      <c r="I76" s="1" t="s">
        <v>182</v>
      </c>
      <c r="J76" s="1"/>
      <c r="K76" s="1">
        <v>49</v>
      </c>
      <c r="L76" s="1">
        <f t="shared" si="7"/>
        <v>2</v>
      </c>
      <c r="M76" s="1"/>
      <c r="N76" s="1"/>
      <c r="O76" s="1">
        <v>0</v>
      </c>
      <c r="P76" s="1"/>
      <c r="Q76" s="1"/>
      <c r="R76" s="1">
        <v>8.5</v>
      </c>
      <c r="S76" s="1">
        <f t="shared" si="8"/>
        <v>10.199999999999999</v>
      </c>
      <c r="T76" s="5"/>
      <c r="U76" s="1">
        <f t="shared" si="9"/>
        <v>7.0098039215686283</v>
      </c>
      <c r="V76" s="1">
        <f t="shared" si="10"/>
        <v>7.0098039215686283</v>
      </c>
      <c r="W76" s="1">
        <v>7.4</v>
      </c>
      <c r="X76" s="1">
        <v>7.6</v>
      </c>
      <c r="Y76" s="1">
        <v>6</v>
      </c>
      <c r="Z76" s="1">
        <v>0.8</v>
      </c>
      <c r="AA76" s="1">
        <v>7.4</v>
      </c>
      <c r="AB76" s="1">
        <v>11.2</v>
      </c>
      <c r="AC76" s="1">
        <v>12.2</v>
      </c>
      <c r="AD76" s="1">
        <v>8.1999999999999993</v>
      </c>
      <c r="AE76" s="1">
        <v>1</v>
      </c>
      <c r="AF76" s="1">
        <v>11.6</v>
      </c>
      <c r="AG76" s="1">
        <v>9.1999999999999993</v>
      </c>
      <c r="AH76" s="1"/>
      <c r="AI76" s="1">
        <f>G76*T76</f>
        <v>0</v>
      </c>
      <c r="AJ76" s="1" t="str">
        <f>VLOOKUP(A76,[1]Лист1!$B:$O,14,0)</f>
        <v>матрица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183</v>
      </c>
      <c r="B77" s="1" t="s">
        <v>46</v>
      </c>
      <c r="C77" s="1">
        <v>114</v>
      </c>
      <c r="D77" s="1">
        <v>121</v>
      </c>
      <c r="E77" s="1">
        <v>197</v>
      </c>
      <c r="F77" s="1">
        <v>38</v>
      </c>
      <c r="G77" s="7">
        <v>0.4</v>
      </c>
      <c r="H77" s="1">
        <v>55</v>
      </c>
      <c r="I77" s="1" t="s">
        <v>184</v>
      </c>
      <c r="J77" s="1"/>
      <c r="K77" s="1">
        <v>171</v>
      </c>
      <c r="L77" s="1">
        <f t="shared" si="7"/>
        <v>26</v>
      </c>
      <c r="M77" s="1"/>
      <c r="N77" s="1"/>
      <c r="O77" s="1">
        <v>0</v>
      </c>
      <c r="P77" s="1"/>
      <c r="Q77" s="1"/>
      <c r="R77" s="1">
        <v>0</v>
      </c>
      <c r="S77" s="1">
        <f t="shared" si="8"/>
        <v>39.4</v>
      </c>
      <c r="T77" s="5"/>
      <c r="U77" s="1">
        <f t="shared" si="9"/>
        <v>0.96446700507614214</v>
      </c>
      <c r="V77" s="1">
        <f t="shared" si="10"/>
        <v>0.96446700507614214</v>
      </c>
      <c r="W77" s="1">
        <v>4</v>
      </c>
      <c r="X77" s="1">
        <v>4.2</v>
      </c>
      <c r="Y77" s="1">
        <v>14.8</v>
      </c>
      <c r="Z77" s="1">
        <v>22.6</v>
      </c>
      <c r="AA77" s="1">
        <v>18</v>
      </c>
      <c r="AB77" s="1">
        <v>12.6</v>
      </c>
      <c r="AC77" s="1">
        <v>8.1999999999999993</v>
      </c>
      <c r="AD77" s="1">
        <v>11.4</v>
      </c>
      <c r="AE77" s="1">
        <v>16.2</v>
      </c>
      <c r="AF77" s="1">
        <v>8.4</v>
      </c>
      <c r="AG77" s="1">
        <v>13.4</v>
      </c>
      <c r="AH77" s="1"/>
      <c r="AI77" s="1">
        <f>G77*T77</f>
        <v>0</v>
      </c>
      <c r="AJ77" s="1" t="str">
        <f>VLOOKUP(A77,[1]Лист1!$B:$O,14,0)</f>
        <v>матрица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185</v>
      </c>
      <c r="B78" s="1" t="s">
        <v>46</v>
      </c>
      <c r="C78" s="1">
        <v>2</v>
      </c>
      <c r="D78" s="1">
        <v>98</v>
      </c>
      <c r="E78" s="1">
        <v>11</v>
      </c>
      <c r="F78" s="1">
        <v>87</v>
      </c>
      <c r="G78" s="7">
        <v>0.35</v>
      </c>
      <c r="H78" s="1">
        <v>40</v>
      </c>
      <c r="I78" s="1" t="s">
        <v>186</v>
      </c>
      <c r="J78" s="1"/>
      <c r="K78" s="1">
        <v>23</v>
      </c>
      <c r="L78" s="1">
        <f t="shared" si="7"/>
        <v>-12</v>
      </c>
      <c r="M78" s="1"/>
      <c r="N78" s="1"/>
      <c r="O78" s="1">
        <v>0</v>
      </c>
      <c r="P78" s="1"/>
      <c r="Q78" s="1"/>
      <c r="R78" s="1">
        <v>0</v>
      </c>
      <c r="S78" s="1">
        <f t="shared" si="8"/>
        <v>2.2000000000000002</v>
      </c>
      <c r="T78" s="5"/>
      <c r="U78" s="1">
        <f t="shared" si="9"/>
        <v>39.54545454545454</v>
      </c>
      <c r="V78" s="1">
        <f t="shared" si="10"/>
        <v>39.54545454545454</v>
      </c>
      <c r="W78" s="1">
        <v>0.6</v>
      </c>
      <c r="X78" s="1">
        <v>4.8</v>
      </c>
      <c r="Y78" s="1">
        <v>8.4</v>
      </c>
      <c r="Z78" s="1">
        <v>6.2</v>
      </c>
      <c r="AA78" s="1">
        <v>4.5999999999999996</v>
      </c>
      <c r="AB78" s="1">
        <v>7</v>
      </c>
      <c r="AC78" s="1">
        <v>11.8</v>
      </c>
      <c r="AD78" s="1">
        <v>13</v>
      </c>
      <c r="AE78" s="1">
        <v>0.6</v>
      </c>
      <c r="AF78" s="1">
        <v>5.8</v>
      </c>
      <c r="AG78" s="1">
        <v>5.4</v>
      </c>
      <c r="AH78" s="1"/>
      <c r="AI78" s="1">
        <f>G78*T78</f>
        <v>0</v>
      </c>
      <c r="AJ78" s="1" t="str">
        <f>VLOOKUP(A78,[1]Лист1!$B:$O,14,0)</f>
        <v>матрица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187</v>
      </c>
      <c r="B79" s="1" t="s">
        <v>46</v>
      </c>
      <c r="C79" s="1">
        <v>117</v>
      </c>
      <c r="D79" s="1">
        <v>5</v>
      </c>
      <c r="E79" s="1">
        <v>31</v>
      </c>
      <c r="F79" s="1">
        <v>82</v>
      </c>
      <c r="G79" s="7">
        <v>0.35</v>
      </c>
      <c r="H79" s="1">
        <v>45</v>
      </c>
      <c r="I79" s="1" t="s">
        <v>188</v>
      </c>
      <c r="J79" s="1"/>
      <c r="K79" s="1">
        <v>35</v>
      </c>
      <c r="L79" s="1">
        <f t="shared" si="7"/>
        <v>-4</v>
      </c>
      <c r="M79" s="1"/>
      <c r="N79" s="1"/>
      <c r="O79" s="1">
        <v>0</v>
      </c>
      <c r="P79" s="1"/>
      <c r="Q79" s="1"/>
      <c r="R79" s="1">
        <v>0</v>
      </c>
      <c r="S79" s="1">
        <f t="shared" si="8"/>
        <v>6.2</v>
      </c>
      <c r="T79" s="5"/>
      <c r="U79" s="1">
        <f t="shared" si="9"/>
        <v>13.225806451612902</v>
      </c>
      <c r="V79" s="1">
        <f t="shared" si="10"/>
        <v>13.225806451612902</v>
      </c>
      <c r="W79" s="1">
        <v>6.6</v>
      </c>
      <c r="X79" s="1">
        <v>4</v>
      </c>
      <c r="Y79" s="1">
        <v>2.6</v>
      </c>
      <c r="Z79" s="1">
        <v>1.2</v>
      </c>
      <c r="AA79" s="1">
        <v>0</v>
      </c>
      <c r="AB79" s="1">
        <v>6</v>
      </c>
      <c r="AC79" s="1">
        <v>13.2</v>
      </c>
      <c r="AD79" s="1">
        <v>11.8</v>
      </c>
      <c r="AE79" s="1">
        <v>4</v>
      </c>
      <c r="AF79" s="1">
        <v>-2.2000000000000002</v>
      </c>
      <c r="AG79" s="1">
        <v>10.8</v>
      </c>
      <c r="AH79" s="1"/>
      <c r="AI79" s="1">
        <f>G79*T79</f>
        <v>0</v>
      </c>
      <c r="AJ79" s="1" t="str">
        <f>VLOOKUP(A79,[1]Лист1!$B:$O,14,0)</f>
        <v>матрица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189</v>
      </c>
      <c r="B80" s="1" t="s">
        <v>46</v>
      </c>
      <c r="C80" s="1">
        <v>90</v>
      </c>
      <c r="D80" s="1">
        <v>101</v>
      </c>
      <c r="E80" s="1">
        <v>93</v>
      </c>
      <c r="F80" s="1">
        <v>96</v>
      </c>
      <c r="G80" s="7">
        <v>0.4</v>
      </c>
      <c r="H80" s="1">
        <v>55</v>
      </c>
      <c r="I80" s="1" t="s">
        <v>190</v>
      </c>
      <c r="J80" s="1"/>
      <c r="K80" s="1">
        <v>94</v>
      </c>
      <c r="L80" s="1">
        <f t="shared" si="7"/>
        <v>-1</v>
      </c>
      <c r="M80" s="1"/>
      <c r="N80" s="1"/>
      <c r="O80" s="1">
        <v>0</v>
      </c>
      <c r="P80" s="1"/>
      <c r="Q80" s="1"/>
      <c r="R80" s="1">
        <v>0</v>
      </c>
      <c r="S80" s="1">
        <f t="shared" si="8"/>
        <v>18.600000000000001</v>
      </c>
      <c r="T80" s="5"/>
      <c r="U80" s="1">
        <f t="shared" si="9"/>
        <v>5.161290322580645</v>
      </c>
      <c r="V80" s="1">
        <f t="shared" si="10"/>
        <v>5.161290322580645</v>
      </c>
      <c r="W80" s="1">
        <v>2.6</v>
      </c>
      <c r="X80" s="1">
        <v>14.4</v>
      </c>
      <c r="Y80" s="1">
        <v>16.2</v>
      </c>
      <c r="Z80" s="1">
        <v>14.4</v>
      </c>
      <c r="AA80" s="1">
        <v>13.8</v>
      </c>
      <c r="AB80" s="1">
        <v>10.6</v>
      </c>
      <c r="AC80" s="1">
        <v>13.8</v>
      </c>
      <c r="AD80" s="1">
        <v>12.8</v>
      </c>
      <c r="AE80" s="1">
        <v>11.4</v>
      </c>
      <c r="AF80" s="1">
        <v>6.6</v>
      </c>
      <c r="AG80" s="1">
        <v>11.8</v>
      </c>
      <c r="AH80" s="1"/>
      <c r="AI80" s="1">
        <f>G80*T80</f>
        <v>0</v>
      </c>
      <c r="AJ80" s="1" t="str">
        <f>VLOOKUP(A80,[1]Лист1!$B:$O,14,0)</f>
        <v>не в матрице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191</v>
      </c>
      <c r="B81" s="1" t="s">
        <v>39</v>
      </c>
      <c r="C81" s="1">
        <v>38.723999999999997</v>
      </c>
      <c r="D81" s="1"/>
      <c r="E81" s="1">
        <v>4.3319999999999999</v>
      </c>
      <c r="F81" s="1">
        <v>32.944000000000003</v>
      </c>
      <c r="G81" s="7">
        <v>1</v>
      </c>
      <c r="H81" s="1">
        <v>55</v>
      </c>
      <c r="I81" s="1" t="s">
        <v>192</v>
      </c>
      <c r="J81" s="1"/>
      <c r="K81" s="1">
        <v>3.5</v>
      </c>
      <c r="L81" s="1">
        <f t="shared" si="7"/>
        <v>0.83199999999999985</v>
      </c>
      <c r="M81" s="1"/>
      <c r="N81" s="1"/>
      <c r="O81" s="1">
        <v>0</v>
      </c>
      <c r="P81" s="1"/>
      <c r="Q81" s="1"/>
      <c r="R81" s="1">
        <v>0</v>
      </c>
      <c r="S81" s="1">
        <f t="shared" si="8"/>
        <v>0.86639999999999995</v>
      </c>
      <c r="T81" s="5"/>
      <c r="U81" s="1">
        <f t="shared" si="9"/>
        <v>38.024007386888279</v>
      </c>
      <c r="V81" s="1">
        <f t="shared" si="10"/>
        <v>38.024007386888279</v>
      </c>
      <c r="W81" s="1">
        <v>1.159</v>
      </c>
      <c r="X81" s="1">
        <v>1.4476</v>
      </c>
      <c r="Y81" s="1">
        <v>0.86639999999999995</v>
      </c>
      <c r="Z81" s="1">
        <v>0.28920000000000001</v>
      </c>
      <c r="AA81" s="1">
        <v>0.57919999999999994</v>
      </c>
      <c r="AB81" s="1">
        <v>2.3048000000000002</v>
      </c>
      <c r="AC81" s="1">
        <v>1.7256</v>
      </c>
      <c r="AD81" s="1">
        <v>2.31</v>
      </c>
      <c r="AE81" s="1">
        <v>2.3452000000000002</v>
      </c>
      <c r="AF81" s="1">
        <v>1.4443999999999999</v>
      </c>
      <c r="AG81" s="1">
        <v>2.5912000000000002</v>
      </c>
      <c r="AH81" s="1" t="s">
        <v>193</v>
      </c>
      <c r="AI81" s="1">
        <f>G81*T81</f>
        <v>0</v>
      </c>
      <c r="AJ81" s="1" t="str">
        <f>VLOOKUP(A81,[1]Лист1!$B:$O,14,0)</f>
        <v>матрица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194</v>
      </c>
      <c r="B82" s="1" t="s">
        <v>39</v>
      </c>
      <c r="C82" s="1">
        <v>435.452</v>
      </c>
      <c r="D82" s="1">
        <v>25.686</v>
      </c>
      <c r="E82" s="1">
        <v>273.26799999999997</v>
      </c>
      <c r="F82" s="1">
        <v>131.91</v>
      </c>
      <c r="G82" s="7">
        <v>1</v>
      </c>
      <c r="H82" s="1">
        <v>60</v>
      </c>
      <c r="I82" s="1" t="s">
        <v>195</v>
      </c>
      <c r="J82" s="1"/>
      <c r="K82" s="1">
        <v>270.44</v>
      </c>
      <c r="L82" s="1">
        <f t="shared" si="7"/>
        <v>2.8279999999999745</v>
      </c>
      <c r="M82" s="1"/>
      <c r="N82" s="1"/>
      <c r="O82" s="1">
        <v>322.92589199999998</v>
      </c>
      <c r="P82" s="1"/>
      <c r="Q82" s="1"/>
      <c r="R82" s="1">
        <v>0</v>
      </c>
      <c r="S82" s="1">
        <f t="shared" si="8"/>
        <v>54.653599999999997</v>
      </c>
      <c r="T82" s="5"/>
      <c r="U82" s="1">
        <f t="shared" si="9"/>
        <v>8.3221579548282261</v>
      </c>
      <c r="V82" s="1">
        <f t="shared" si="10"/>
        <v>8.3221579548282261</v>
      </c>
      <c r="W82" s="1">
        <v>52.551599999999993</v>
      </c>
      <c r="X82" s="1">
        <v>69.242800000000003</v>
      </c>
      <c r="Y82" s="1">
        <v>51.0944</v>
      </c>
      <c r="Z82" s="1">
        <v>33.292000000000002</v>
      </c>
      <c r="AA82" s="1">
        <v>50.997199999999999</v>
      </c>
      <c r="AB82" s="1">
        <v>63.35</v>
      </c>
      <c r="AC82" s="1">
        <v>57.907600000000002</v>
      </c>
      <c r="AD82" s="1">
        <v>54.795200000000001</v>
      </c>
      <c r="AE82" s="1">
        <v>50.4236</v>
      </c>
      <c r="AF82" s="1">
        <v>37.101199999999999</v>
      </c>
      <c r="AG82" s="1">
        <v>60.118399999999987</v>
      </c>
      <c r="AH82" s="1"/>
      <c r="AI82" s="1">
        <f>G82*T82</f>
        <v>0</v>
      </c>
      <c r="AJ82" s="1" t="str">
        <f>VLOOKUP(A82,[1]Лист1!$B:$O,14,0)</f>
        <v>матрица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196</v>
      </c>
      <c r="B83" s="1" t="s">
        <v>39</v>
      </c>
      <c r="C83" s="1">
        <v>1260.6780000000001</v>
      </c>
      <c r="D83" s="1">
        <v>1566.798</v>
      </c>
      <c r="E83" s="1">
        <v>1732.8109999999999</v>
      </c>
      <c r="F83" s="1">
        <v>732</v>
      </c>
      <c r="G83" s="7">
        <v>1</v>
      </c>
      <c r="H83" s="1">
        <v>60</v>
      </c>
      <c r="I83" s="1" t="s">
        <v>197</v>
      </c>
      <c r="J83" s="1"/>
      <c r="K83" s="1">
        <v>1757</v>
      </c>
      <c r="L83" s="1">
        <f t="shared" si="7"/>
        <v>-24.189000000000078</v>
      </c>
      <c r="M83" s="1"/>
      <c r="N83" s="1"/>
      <c r="O83" s="1">
        <v>1505.961248080001</v>
      </c>
      <c r="P83" s="1"/>
      <c r="Q83" s="1"/>
      <c r="R83" s="1">
        <v>961.86855191999859</v>
      </c>
      <c r="S83" s="1">
        <f t="shared" si="8"/>
        <v>346.56219999999996</v>
      </c>
      <c r="T83" s="5"/>
      <c r="U83" s="1">
        <f t="shared" si="9"/>
        <v>9.2330606165357896</v>
      </c>
      <c r="V83" s="1">
        <f t="shared" si="10"/>
        <v>9.2330606165357896</v>
      </c>
      <c r="W83" s="1">
        <v>373.70159999999998</v>
      </c>
      <c r="X83" s="1">
        <v>399.83</v>
      </c>
      <c r="Y83" s="1">
        <v>296.8424</v>
      </c>
      <c r="Z83" s="1">
        <v>287.976</v>
      </c>
      <c r="AA83" s="1">
        <v>270.93779999999998</v>
      </c>
      <c r="AB83" s="1">
        <v>197.911</v>
      </c>
      <c r="AC83" s="1">
        <v>281.72179999999997</v>
      </c>
      <c r="AD83" s="1">
        <v>365.83620000000002</v>
      </c>
      <c r="AE83" s="1">
        <v>364.94260000000003</v>
      </c>
      <c r="AF83" s="1">
        <v>298.39519999999999</v>
      </c>
      <c r="AG83" s="1">
        <v>305.68599999999998</v>
      </c>
      <c r="AH83" s="1"/>
      <c r="AI83" s="1">
        <f>G83*T83</f>
        <v>0</v>
      </c>
      <c r="AJ83" s="1" t="str">
        <f>VLOOKUP(A83,[1]Лист1!$B:$O,14,0)</f>
        <v>матрица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198</v>
      </c>
      <c r="B84" s="1" t="s">
        <v>39</v>
      </c>
      <c r="C84" s="1">
        <v>2612.7269999999999</v>
      </c>
      <c r="D84" s="1">
        <v>565.99300000000005</v>
      </c>
      <c r="E84" s="1">
        <v>1499.028</v>
      </c>
      <c r="F84" s="1">
        <v>1156.979</v>
      </c>
      <c r="G84" s="7">
        <v>1</v>
      </c>
      <c r="H84" s="1">
        <v>60</v>
      </c>
      <c r="I84" s="1" t="s">
        <v>199</v>
      </c>
      <c r="J84" s="1"/>
      <c r="K84" s="1">
        <v>1557.5</v>
      </c>
      <c r="L84" s="1">
        <f t="shared" si="7"/>
        <v>-58.47199999999998</v>
      </c>
      <c r="M84" s="1"/>
      <c r="N84" s="1"/>
      <c r="O84" s="1">
        <v>1300.0737153600001</v>
      </c>
      <c r="P84" s="1">
        <v>300</v>
      </c>
      <c r="Q84" s="1">
        <v>400</v>
      </c>
      <c r="R84" s="1">
        <v>110.5612446399999</v>
      </c>
      <c r="S84" s="1">
        <f t="shared" si="8"/>
        <v>299.80560000000003</v>
      </c>
      <c r="T84" s="5"/>
      <c r="U84" s="1">
        <f t="shared" si="9"/>
        <v>10.899109156066464</v>
      </c>
      <c r="V84" s="1">
        <f t="shared" si="10"/>
        <v>10.899109156066464</v>
      </c>
      <c r="W84" s="1">
        <v>327.33319999999998</v>
      </c>
      <c r="X84" s="1">
        <v>409.26220000000001</v>
      </c>
      <c r="Y84" s="1">
        <v>319.29379999999998</v>
      </c>
      <c r="Z84" s="1">
        <v>349.4932</v>
      </c>
      <c r="AA84" s="1">
        <v>374.82220000000001</v>
      </c>
      <c r="AB84" s="1">
        <v>291.64859999999999</v>
      </c>
      <c r="AC84" s="1">
        <v>348.50799999999998</v>
      </c>
      <c r="AD84" s="1">
        <v>351.85340000000002</v>
      </c>
      <c r="AE84" s="1">
        <v>259.17039999999997</v>
      </c>
      <c r="AF84" s="1">
        <v>199.94980000000001</v>
      </c>
      <c r="AG84" s="1">
        <v>215.18979999999999</v>
      </c>
      <c r="AH84" s="1"/>
      <c r="AI84" s="1">
        <f>G84*T84</f>
        <v>0</v>
      </c>
      <c r="AJ84" s="1" t="str">
        <f>VLOOKUP(A84,[1]Лист1!$B:$O,14,0)</f>
        <v>матрица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200</v>
      </c>
      <c r="B85" s="1" t="s">
        <v>39</v>
      </c>
      <c r="C85" s="1">
        <v>4249.4350000000004</v>
      </c>
      <c r="D85" s="1">
        <v>430.767</v>
      </c>
      <c r="E85" s="1">
        <v>2604.4569999999999</v>
      </c>
      <c r="F85" s="1">
        <v>1394.597</v>
      </c>
      <c r="G85" s="7">
        <v>1</v>
      </c>
      <c r="H85" s="1">
        <v>60</v>
      </c>
      <c r="I85" s="1" t="s">
        <v>201</v>
      </c>
      <c r="J85" s="1"/>
      <c r="K85" s="1">
        <v>2663.9</v>
      </c>
      <c r="L85" s="1">
        <f t="shared" si="7"/>
        <v>-59.443000000000211</v>
      </c>
      <c r="M85" s="1"/>
      <c r="N85" s="1"/>
      <c r="O85" s="1">
        <v>1529.418454079999</v>
      </c>
      <c r="P85" s="1">
        <v>500</v>
      </c>
      <c r="Q85" s="1">
        <v>700</v>
      </c>
      <c r="R85" s="1">
        <v>1335.8314600000019</v>
      </c>
      <c r="S85" s="1">
        <f t="shared" si="8"/>
        <v>520.89139999999998</v>
      </c>
      <c r="T85" s="5"/>
      <c r="U85" s="1">
        <f t="shared" si="9"/>
        <v>10.481737487084644</v>
      </c>
      <c r="V85" s="1">
        <f t="shared" si="10"/>
        <v>10.481737487084644</v>
      </c>
      <c r="W85" s="1">
        <v>526.52819999999997</v>
      </c>
      <c r="X85" s="1">
        <v>579.12779999999998</v>
      </c>
      <c r="Y85" s="1">
        <v>471.89260000000002</v>
      </c>
      <c r="Z85" s="1">
        <v>469.8184</v>
      </c>
      <c r="AA85" s="1">
        <v>607.09460000000001</v>
      </c>
      <c r="AB85" s="1">
        <v>618.89179999999999</v>
      </c>
      <c r="AC85" s="1">
        <v>622.35180000000003</v>
      </c>
      <c r="AD85" s="1">
        <v>606.17020000000002</v>
      </c>
      <c r="AE85" s="1">
        <v>528.50659999999993</v>
      </c>
      <c r="AF85" s="1">
        <v>517.31659999999999</v>
      </c>
      <c r="AG85" s="1">
        <v>479.43520000000001</v>
      </c>
      <c r="AH85" s="1"/>
      <c r="AI85" s="1">
        <f>G85*T85</f>
        <v>0</v>
      </c>
      <c r="AJ85" s="1" t="str">
        <f>VLOOKUP(A85,[1]Лист1!$B:$O,14,0)</f>
        <v>матрица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202</v>
      </c>
      <c r="B86" s="1" t="s">
        <v>46</v>
      </c>
      <c r="C86" s="1">
        <v>39</v>
      </c>
      <c r="D86" s="1">
        <v>204</v>
      </c>
      <c r="E86" s="1">
        <v>63</v>
      </c>
      <c r="F86" s="1">
        <v>160</v>
      </c>
      <c r="G86" s="7">
        <v>0.3</v>
      </c>
      <c r="H86" s="1">
        <v>40</v>
      </c>
      <c r="I86" s="1" t="s">
        <v>203</v>
      </c>
      <c r="J86" s="1"/>
      <c r="K86" s="1">
        <v>105</v>
      </c>
      <c r="L86" s="1">
        <f t="shared" si="7"/>
        <v>-42</v>
      </c>
      <c r="M86" s="1"/>
      <c r="N86" s="1"/>
      <c r="O86" s="1">
        <v>115.2</v>
      </c>
      <c r="P86" s="1"/>
      <c r="Q86" s="1"/>
      <c r="R86" s="1">
        <v>6</v>
      </c>
      <c r="S86" s="1">
        <f t="shared" si="8"/>
        <v>12.6</v>
      </c>
      <c r="T86" s="5"/>
      <c r="U86" s="1">
        <f t="shared" si="9"/>
        <v>22.317460317460316</v>
      </c>
      <c r="V86" s="1">
        <f t="shared" si="10"/>
        <v>22.317460317460316</v>
      </c>
      <c r="W86" s="1">
        <v>25</v>
      </c>
      <c r="X86" s="1">
        <v>32.4</v>
      </c>
      <c r="Y86" s="1">
        <v>26.6</v>
      </c>
      <c r="Z86" s="1">
        <v>8</v>
      </c>
      <c r="AA86" s="1">
        <v>5</v>
      </c>
      <c r="AB86" s="1">
        <v>21</v>
      </c>
      <c r="AC86" s="1">
        <v>27.8</v>
      </c>
      <c r="AD86" s="1">
        <v>22.8</v>
      </c>
      <c r="AE86" s="1">
        <v>24</v>
      </c>
      <c r="AF86" s="1">
        <v>24.4</v>
      </c>
      <c r="AG86" s="1">
        <v>24</v>
      </c>
      <c r="AH86" s="1"/>
      <c r="AI86" s="1">
        <f>G86*T86</f>
        <v>0</v>
      </c>
      <c r="AJ86" s="1" t="str">
        <f>VLOOKUP(A86,[1]Лист1!$B:$O,14,0)</f>
        <v>матрица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204</v>
      </c>
      <c r="B87" s="1" t="s">
        <v>46</v>
      </c>
      <c r="C87" s="1">
        <v>67</v>
      </c>
      <c r="D87" s="1">
        <v>25</v>
      </c>
      <c r="E87" s="1">
        <v>65</v>
      </c>
      <c r="F87" s="1">
        <v>9</v>
      </c>
      <c r="G87" s="7">
        <v>7.0000000000000007E-2</v>
      </c>
      <c r="H87" s="1">
        <v>90</v>
      </c>
      <c r="I87" s="1" t="s">
        <v>205</v>
      </c>
      <c r="J87" s="1"/>
      <c r="K87" s="1">
        <v>69</v>
      </c>
      <c r="L87" s="1">
        <f t="shared" si="7"/>
        <v>-4</v>
      </c>
      <c r="M87" s="1"/>
      <c r="N87" s="1"/>
      <c r="O87" s="1">
        <v>77.800000000000011</v>
      </c>
      <c r="P87" s="1"/>
      <c r="Q87" s="1"/>
      <c r="R87" s="1">
        <v>59.5</v>
      </c>
      <c r="S87" s="1">
        <f t="shared" si="8"/>
        <v>13</v>
      </c>
      <c r="T87" s="5"/>
      <c r="U87" s="1">
        <f t="shared" si="9"/>
        <v>11.253846153846155</v>
      </c>
      <c r="V87" s="1">
        <f t="shared" si="10"/>
        <v>11.253846153846155</v>
      </c>
      <c r="W87" s="1">
        <v>14.6</v>
      </c>
      <c r="X87" s="1">
        <v>15</v>
      </c>
      <c r="Y87" s="1">
        <v>10</v>
      </c>
      <c r="Z87" s="1">
        <v>9.1999999999999993</v>
      </c>
      <c r="AA87" s="1">
        <v>11.4</v>
      </c>
      <c r="AB87" s="1">
        <v>6.8</v>
      </c>
      <c r="AC87" s="1">
        <v>7.6</v>
      </c>
      <c r="AD87" s="1">
        <v>13.6</v>
      </c>
      <c r="AE87" s="1">
        <v>8.4</v>
      </c>
      <c r="AF87" s="1">
        <v>7.6</v>
      </c>
      <c r="AG87" s="1">
        <v>9.1999999999999993</v>
      </c>
      <c r="AH87" s="1"/>
      <c r="AI87" s="1">
        <f>G87*T87</f>
        <v>0</v>
      </c>
      <c r="AJ87" s="1" t="str">
        <f>VLOOKUP(A87,[1]Лист1!$B:$O,14,0)</f>
        <v>матрица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206</v>
      </c>
      <c r="B88" s="1" t="s">
        <v>46</v>
      </c>
      <c r="C88" s="1">
        <v>-2</v>
      </c>
      <c r="D88" s="1">
        <v>2</v>
      </c>
      <c r="E88" s="1"/>
      <c r="F88" s="1"/>
      <c r="G88" s="7">
        <v>7.0000000000000007E-2</v>
      </c>
      <c r="H88" s="1">
        <v>90</v>
      </c>
      <c r="I88" s="1"/>
      <c r="J88" s="1"/>
      <c r="K88" s="1">
        <v>3</v>
      </c>
      <c r="L88" s="1">
        <f t="shared" si="7"/>
        <v>-3</v>
      </c>
      <c r="M88" s="1"/>
      <c r="N88" s="1"/>
      <c r="O88" s="1">
        <v>74.8</v>
      </c>
      <c r="P88" s="1"/>
      <c r="Q88" s="1"/>
      <c r="R88" s="1">
        <v>0</v>
      </c>
      <c r="S88" s="1">
        <f t="shared" si="8"/>
        <v>0</v>
      </c>
      <c r="T88" s="5"/>
      <c r="U88" s="1" t="e">
        <f t="shared" si="9"/>
        <v>#DIV/0!</v>
      </c>
      <c r="V88" s="1" t="e">
        <f t="shared" si="10"/>
        <v>#DIV/0!</v>
      </c>
      <c r="W88" s="1">
        <v>4</v>
      </c>
      <c r="X88" s="1">
        <v>10.4</v>
      </c>
      <c r="Y88" s="1">
        <v>9.8000000000000007</v>
      </c>
      <c r="Z88" s="1">
        <v>10</v>
      </c>
      <c r="AA88" s="1">
        <v>12.4</v>
      </c>
      <c r="AB88" s="1">
        <v>6.6</v>
      </c>
      <c r="AC88" s="1">
        <v>1.8</v>
      </c>
      <c r="AD88" s="1">
        <v>0</v>
      </c>
      <c r="AE88" s="1">
        <v>0</v>
      </c>
      <c r="AF88" s="1">
        <v>0</v>
      </c>
      <c r="AG88" s="1">
        <v>0</v>
      </c>
      <c r="AH88" s="1"/>
      <c r="AI88" s="1">
        <f>G88*T88</f>
        <v>0</v>
      </c>
      <c r="AJ88" s="1" t="str">
        <f>VLOOKUP(A88,[1]Лист1!$B:$O,14,0)</f>
        <v>матрица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207</v>
      </c>
      <c r="B89" s="1" t="s">
        <v>46</v>
      </c>
      <c r="C89" s="1">
        <v>117</v>
      </c>
      <c r="D89" s="1">
        <v>2</v>
      </c>
      <c r="E89" s="1">
        <v>71</v>
      </c>
      <c r="F89" s="1">
        <v>30</v>
      </c>
      <c r="G89" s="7">
        <v>7.0000000000000007E-2</v>
      </c>
      <c r="H89" s="1">
        <v>90</v>
      </c>
      <c r="I89" s="1" t="s">
        <v>208</v>
      </c>
      <c r="J89" s="1"/>
      <c r="K89" s="1">
        <v>67</v>
      </c>
      <c r="L89" s="1">
        <f t="shared" si="7"/>
        <v>4</v>
      </c>
      <c r="M89" s="1"/>
      <c r="N89" s="1"/>
      <c r="O89" s="1">
        <v>0</v>
      </c>
      <c r="P89" s="1"/>
      <c r="Q89" s="1"/>
      <c r="R89" s="1">
        <v>39.5</v>
      </c>
      <c r="S89" s="1">
        <f t="shared" si="8"/>
        <v>14.2</v>
      </c>
      <c r="T89" s="5"/>
      <c r="U89" s="1">
        <f t="shared" si="9"/>
        <v>4.894366197183099</v>
      </c>
      <c r="V89" s="1">
        <f t="shared" si="10"/>
        <v>4.894366197183099</v>
      </c>
      <c r="W89" s="1">
        <v>10.6</v>
      </c>
      <c r="X89" s="1">
        <v>8.4</v>
      </c>
      <c r="Y89" s="1">
        <v>4.2</v>
      </c>
      <c r="Z89" s="1">
        <v>5</v>
      </c>
      <c r="AA89" s="1">
        <v>12.4</v>
      </c>
      <c r="AB89" s="1">
        <v>9</v>
      </c>
      <c r="AC89" s="1">
        <v>4.5999999999999996</v>
      </c>
      <c r="AD89" s="1">
        <v>7.2</v>
      </c>
      <c r="AE89" s="1">
        <v>6.8</v>
      </c>
      <c r="AF89" s="1">
        <v>7.4</v>
      </c>
      <c r="AG89" s="1">
        <v>7.6</v>
      </c>
      <c r="AH89" s="1"/>
      <c r="AI89" s="1">
        <f>G89*T89</f>
        <v>0</v>
      </c>
      <c r="AJ89" s="1" t="str">
        <f>VLOOKUP(A89,[1]Лист1!$B:$O,14,0)</f>
        <v>матрица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209</v>
      </c>
      <c r="B90" s="1" t="s">
        <v>46</v>
      </c>
      <c r="C90" s="1">
        <v>214</v>
      </c>
      <c r="D90" s="1">
        <v>2</v>
      </c>
      <c r="E90" s="1">
        <v>63</v>
      </c>
      <c r="F90" s="1">
        <v>142</v>
      </c>
      <c r="G90" s="7">
        <v>0.05</v>
      </c>
      <c r="H90" s="1">
        <v>90</v>
      </c>
      <c r="I90" s="1" t="s">
        <v>210</v>
      </c>
      <c r="J90" s="1"/>
      <c r="K90" s="1">
        <v>57</v>
      </c>
      <c r="L90" s="1">
        <f t="shared" si="7"/>
        <v>6</v>
      </c>
      <c r="M90" s="1"/>
      <c r="N90" s="1"/>
      <c r="O90" s="1">
        <v>0</v>
      </c>
      <c r="P90" s="1"/>
      <c r="Q90" s="1"/>
      <c r="R90" s="1">
        <v>0</v>
      </c>
      <c r="S90" s="1">
        <f t="shared" si="8"/>
        <v>12.6</v>
      </c>
      <c r="T90" s="5"/>
      <c r="U90" s="1">
        <f t="shared" si="9"/>
        <v>11.269841269841271</v>
      </c>
      <c r="V90" s="1">
        <f t="shared" si="10"/>
        <v>11.269841269841271</v>
      </c>
      <c r="W90" s="1">
        <v>7.6</v>
      </c>
      <c r="X90" s="1">
        <v>9.1999999999999993</v>
      </c>
      <c r="Y90" s="1">
        <v>8.8000000000000007</v>
      </c>
      <c r="Z90" s="1">
        <v>15.2</v>
      </c>
      <c r="AA90" s="1">
        <v>20.2</v>
      </c>
      <c r="AB90" s="1">
        <v>10</v>
      </c>
      <c r="AC90" s="1">
        <v>3.6</v>
      </c>
      <c r="AD90" s="1">
        <v>5.4</v>
      </c>
      <c r="AE90" s="1">
        <v>10.4</v>
      </c>
      <c r="AF90" s="1">
        <v>6</v>
      </c>
      <c r="AG90" s="1">
        <v>9.4</v>
      </c>
      <c r="AH90" s="1"/>
      <c r="AI90" s="1">
        <f>G90*T90</f>
        <v>0</v>
      </c>
      <c r="AJ90" s="1" t="str">
        <f>VLOOKUP(A90,[1]Лист1!$B:$O,14,0)</f>
        <v>не в матрице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211</v>
      </c>
      <c r="B91" s="1" t="s">
        <v>46</v>
      </c>
      <c r="C91" s="1">
        <v>1</v>
      </c>
      <c r="D91" s="1"/>
      <c r="E91" s="1">
        <v>-7</v>
      </c>
      <c r="F91" s="1"/>
      <c r="G91" s="7">
        <v>5.5E-2</v>
      </c>
      <c r="H91" s="1"/>
      <c r="I91" s="1" t="s">
        <v>212</v>
      </c>
      <c r="J91" s="1"/>
      <c r="K91" s="1">
        <v>17</v>
      </c>
      <c r="L91" s="1">
        <f t="shared" si="7"/>
        <v>-24</v>
      </c>
      <c r="M91" s="1"/>
      <c r="N91" s="1"/>
      <c r="O91" s="1">
        <v>0</v>
      </c>
      <c r="P91" s="1"/>
      <c r="Q91" s="1"/>
      <c r="R91" s="1">
        <v>0</v>
      </c>
      <c r="S91" s="1">
        <f t="shared" si="8"/>
        <v>-1.4</v>
      </c>
      <c r="T91" s="5"/>
      <c r="U91" s="1">
        <f t="shared" si="9"/>
        <v>0</v>
      </c>
      <c r="V91" s="1">
        <f t="shared" si="10"/>
        <v>0</v>
      </c>
      <c r="W91" s="1">
        <v>-0.6</v>
      </c>
      <c r="X91" s="1">
        <v>-0.4</v>
      </c>
      <c r="Y91" s="1">
        <v>-0.4</v>
      </c>
      <c r="Z91" s="1">
        <v>-1</v>
      </c>
      <c r="AA91" s="1">
        <v>2</v>
      </c>
      <c r="AB91" s="1">
        <v>6.4</v>
      </c>
      <c r="AC91" s="1">
        <v>11</v>
      </c>
      <c r="AD91" s="1">
        <v>12.8</v>
      </c>
      <c r="AE91" s="1">
        <v>7</v>
      </c>
      <c r="AF91" s="1">
        <v>11</v>
      </c>
      <c r="AG91" s="1">
        <v>11.8</v>
      </c>
      <c r="AH91" s="1" t="s">
        <v>213</v>
      </c>
      <c r="AI91" s="1">
        <f>G91*T91</f>
        <v>0</v>
      </c>
      <c r="AJ91" s="1" t="str">
        <f>VLOOKUP(A91,[1]Лист1!$B:$O,14,0)</f>
        <v>не в матрице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214</v>
      </c>
      <c r="B92" s="1" t="s">
        <v>46</v>
      </c>
      <c r="C92" s="1"/>
      <c r="D92" s="1">
        <v>2</v>
      </c>
      <c r="E92" s="1">
        <v>-4</v>
      </c>
      <c r="F92" s="1">
        <v>1</v>
      </c>
      <c r="G92" s="7">
        <v>5.5E-2</v>
      </c>
      <c r="H92" s="1"/>
      <c r="I92" s="1" t="s">
        <v>215</v>
      </c>
      <c r="J92" s="1"/>
      <c r="K92" s="1">
        <v>30</v>
      </c>
      <c r="L92" s="1">
        <f t="shared" si="7"/>
        <v>-34</v>
      </c>
      <c r="M92" s="1"/>
      <c r="N92" s="1"/>
      <c r="O92" s="1">
        <v>0</v>
      </c>
      <c r="P92" s="1"/>
      <c r="Q92" s="1"/>
      <c r="R92" s="1">
        <v>0</v>
      </c>
      <c r="S92" s="1">
        <f t="shared" si="8"/>
        <v>-0.8</v>
      </c>
      <c r="T92" s="5"/>
      <c r="U92" s="1">
        <f t="shared" si="9"/>
        <v>-1.25</v>
      </c>
      <c r="V92" s="1">
        <f t="shared" si="10"/>
        <v>-1.25</v>
      </c>
      <c r="W92" s="1">
        <v>2.8</v>
      </c>
      <c r="X92" s="1">
        <v>11</v>
      </c>
      <c r="Y92" s="1">
        <v>10</v>
      </c>
      <c r="Z92" s="1">
        <v>7.8</v>
      </c>
      <c r="AA92" s="1">
        <v>12.6</v>
      </c>
      <c r="AB92" s="1">
        <v>9.4</v>
      </c>
      <c r="AC92" s="1">
        <v>9.4</v>
      </c>
      <c r="AD92" s="1">
        <v>7.8</v>
      </c>
      <c r="AE92" s="1">
        <v>0.8</v>
      </c>
      <c r="AF92" s="1">
        <v>11.2</v>
      </c>
      <c r="AG92" s="1">
        <v>7.4</v>
      </c>
      <c r="AH92" s="1" t="s">
        <v>213</v>
      </c>
      <c r="AI92" s="1">
        <f>G92*T92</f>
        <v>0</v>
      </c>
      <c r="AJ92" s="1" t="str">
        <f>VLOOKUP(A92,[1]Лист1!$B:$O,14,0)</f>
        <v>не в матрице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216</v>
      </c>
      <c r="B93" s="1" t="s">
        <v>39</v>
      </c>
      <c r="C93" s="1">
        <v>100.93300000000001</v>
      </c>
      <c r="D93" s="1"/>
      <c r="E93" s="1">
        <v>17.663</v>
      </c>
      <c r="F93" s="1">
        <v>83.27</v>
      </c>
      <c r="G93" s="7">
        <v>0</v>
      </c>
      <c r="H93" s="1"/>
      <c r="I93" s="1" t="s">
        <v>217</v>
      </c>
      <c r="J93" s="1"/>
      <c r="K93" s="1">
        <v>14.1</v>
      </c>
      <c r="L93" s="1">
        <f t="shared" si="7"/>
        <v>3.5630000000000006</v>
      </c>
      <c r="M93" s="1"/>
      <c r="N93" s="1"/>
      <c r="O93" s="1">
        <v>0</v>
      </c>
      <c r="P93" s="1"/>
      <c r="Q93" s="1"/>
      <c r="R93" s="1">
        <v>0</v>
      </c>
      <c r="S93" s="1">
        <f t="shared" si="8"/>
        <v>3.5326</v>
      </c>
      <c r="T93" s="5"/>
      <c r="U93" s="1">
        <f t="shared" si="9"/>
        <v>23.571873407688386</v>
      </c>
      <c r="V93" s="1">
        <f t="shared" si="10"/>
        <v>23.571873407688386</v>
      </c>
      <c r="W93" s="1">
        <v>2.8809999999999998</v>
      </c>
      <c r="X93" s="1">
        <v>7.3634000000000004</v>
      </c>
      <c r="Y93" s="1">
        <v>8.003400000000001</v>
      </c>
      <c r="Z93" s="1">
        <v>10.226000000000001</v>
      </c>
      <c r="AA93" s="1">
        <v>11.8124</v>
      </c>
      <c r="AB93" s="1">
        <v>7.6684000000000001</v>
      </c>
      <c r="AC93" s="1">
        <v>0.9608000000000001</v>
      </c>
      <c r="AD93" s="1">
        <v>0</v>
      </c>
      <c r="AE93" s="1">
        <v>0</v>
      </c>
      <c r="AF93" s="1">
        <v>0</v>
      </c>
      <c r="AG93" s="1">
        <v>0</v>
      </c>
      <c r="AH93" s="1" t="s">
        <v>218</v>
      </c>
      <c r="AI93" s="1"/>
      <c r="AJ93" s="1" t="str">
        <f>VLOOKUP(A93,[1]Лист1!$B:$O,14,0)</f>
        <v>матрица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219</v>
      </c>
      <c r="B94" s="1" t="s">
        <v>46</v>
      </c>
      <c r="C94" s="1">
        <v>92</v>
      </c>
      <c r="D94" s="1">
        <v>2</v>
      </c>
      <c r="E94" s="1">
        <v>92</v>
      </c>
      <c r="F94" s="1">
        <v>-1</v>
      </c>
      <c r="G94" s="7">
        <v>0.08</v>
      </c>
      <c r="H94" s="1">
        <v>45</v>
      </c>
      <c r="I94" s="1" t="s">
        <v>220</v>
      </c>
      <c r="J94" s="1"/>
      <c r="K94" s="1">
        <v>97</v>
      </c>
      <c r="L94" s="1">
        <f t="shared" si="7"/>
        <v>-5</v>
      </c>
      <c r="M94" s="1"/>
      <c r="N94" s="1"/>
      <c r="O94" s="1">
        <v>97.199999999999989</v>
      </c>
      <c r="P94" s="1"/>
      <c r="Q94" s="1"/>
      <c r="R94" s="1">
        <v>89.800000000000011</v>
      </c>
      <c r="S94" s="1">
        <f t="shared" si="8"/>
        <v>18.399999999999999</v>
      </c>
      <c r="T94" s="5"/>
      <c r="U94" s="1">
        <f t="shared" si="9"/>
        <v>10.108695652173914</v>
      </c>
      <c r="V94" s="1">
        <f t="shared" si="10"/>
        <v>10.108695652173914</v>
      </c>
      <c r="W94" s="1">
        <v>18.8</v>
      </c>
      <c r="X94" s="1">
        <v>17.2</v>
      </c>
      <c r="Y94" s="1">
        <v>7.4</v>
      </c>
      <c r="Z94" s="1">
        <v>1</v>
      </c>
      <c r="AA94" s="1">
        <v>8.8000000000000007</v>
      </c>
      <c r="AB94" s="1">
        <v>14.2</v>
      </c>
      <c r="AC94" s="1">
        <v>14.6</v>
      </c>
      <c r="AD94" s="1">
        <v>11.6</v>
      </c>
      <c r="AE94" s="1">
        <v>6.2</v>
      </c>
      <c r="AF94" s="1">
        <v>13.2</v>
      </c>
      <c r="AG94" s="1">
        <v>10.8</v>
      </c>
      <c r="AH94" s="1"/>
      <c r="AI94" s="1">
        <f>G94*T94</f>
        <v>0</v>
      </c>
      <c r="AJ94" s="1" t="str">
        <f>VLOOKUP(A94,[1]Лист1!$B:$O,14,0)</f>
        <v>матрица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221</v>
      </c>
      <c r="B95" s="1" t="s">
        <v>46</v>
      </c>
      <c r="C95" s="1">
        <v>94</v>
      </c>
      <c r="D95" s="1">
        <v>16</v>
      </c>
      <c r="E95" s="1">
        <v>84</v>
      </c>
      <c r="F95" s="1">
        <v>9</v>
      </c>
      <c r="G95" s="7">
        <v>0.08</v>
      </c>
      <c r="H95" s="1">
        <v>45</v>
      </c>
      <c r="I95" s="1" t="s">
        <v>222</v>
      </c>
      <c r="J95" s="1"/>
      <c r="K95" s="1">
        <v>101</v>
      </c>
      <c r="L95" s="1">
        <f t="shared" si="7"/>
        <v>-17</v>
      </c>
      <c r="M95" s="1"/>
      <c r="N95" s="1"/>
      <c r="O95" s="1">
        <v>58.399999999999977</v>
      </c>
      <c r="P95" s="1"/>
      <c r="Q95" s="1"/>
      <c r="R95" s="1">
        <v>97.5</v>
      </c>
      <c r="S95" s="1">
        <f t="shared" si="8"/>
        <v>16.8</v>
      </c>
      <c r="T95" s="5"/>
      <c r="U95" s="1">
        <f t="shared" si="9"/>
        <v>9.815476190476188</v>
      </c>
      <c r="V95" s="1">
        <f t="shared" si="10"/>
        <v>9.815476190476188</v>
      </c>
      <c r="W95" s="1">
        <v>22.2</v>
      </c>
      <c r="X95" s="1">
        <v>22</v>
      </c>
      <c r="Y95" s="1">
        <v>19</v>
      </c>
      <c r="Z95" s="1">
        <v>16.2</v>
      </c>
      <c r="AA95" s="1">
        <v>17.2</v>
      </c>
      <c r="AB95" s="1">
        <v>13.8</v>
      </c>
      <c r="AC95" s="1">
        <v>19</v>
      </c>
      <c r="AD95" s="1">
        <v>20.8</v>
      </c>
      <c r="AE95" s="1">
        <v>6.4</v>
      </c>
      <c r="AF95" s="1">
        <v>16</v>
      </c>
      <c r="AG95" s="1">
        <v>10.6</v>
      </c>
      <c r="AH95" s="1"/>
      <c r="AI95" s="1">
        <f>G95*T95</f>
        <v>0</v>
      </c>
      <c r="AJ95" s="1" t="str">
        <f>VLOOKUP(A95,[1]Лист1!$B:$O,14,0)</f>
        <v>матрица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223</v>
      </c>
      <c r="B96" s="1" t="s">
        <v>39</v>
      </c>
      <c r="C96" s="1">
        <v>420.06400000000002</v>
      </c>
      <c r="D96" s="1">
        <v>39.058</v>
      </c>
      <c r="E96" s="1">
        <v>236.79</v>
      </c>
      <c r="F96" s="1">
        <v>199.369</v>
      </c>
      <c r="G96" s="7">
        <v>1</v>
      </c>
      <c r="H96" s="1">
        <v>40</v>
      </c>
      <c r="I96" s="1" t="s">
        <v>224</v>
      </c>
      <c r="J96" s="1"/>
      <c r="K96" s="1">
        <v>235.94</v>
      </c>
      <c r="L96" s="1">
        <f t="shared" si="7"/>
        <v>0.84999999999999432</v>
      </c>
      <c r="M96" s="1"/>
      <c r="N96" s="1"/>
      <c r="O96" s="1">
        <v>91.716800000000092</v>
      </c>
      <c r="P96" s="1"/>
      <c r="Q96" s="1"/>
      <c r="R96" s="1">
        <v>47.670600000000007</v>
      </c>
      <c r="S96" s="1">
        <f t="shared" si="8"/>
        <v>47.357999999999997</v>
      </c>
      <c r="T96" s="5"/>
      <c r="U96" s="1">
        <f t="shared" si="9"/>
        <v>7.1530976814899301</v>
      </c>
      <c r="V96" s="1">
        <f t="shared" si="10"/>
        <v>7.1530976814899301</v>
      </c>
      <c r="W96" s="1">
        <v>40.43</v>
      </c>
      <c r="X96" s="1">
        <v>48.8384</v>
      </c>
      <c r="Y96" s="1">
        <v>44.055</v>
      </c>
      <c r="Z96" s="1">
        <v>44.2652</v>
      </c>
      <c r="AA96" s="1">
        <v>54.242199999999997</v>
      </c>
      <c r="AB96" s="1">
        <v>42.4114</v>
      </c>
      <c r="AC96" s="1">
        <v>28.562200000000001</v>
      </c>
      <c r="AD96" s="1">
        <v>39.197200000000002</v>
      </c>
      <c r="AE96" s="1">
        <v>41.034799999999997</v>
      </c>
      <c r="AF96" s="1">
        <v>31.838200000000001</v>
      </c>
      <c r="AG96" s="1">
        <v>26.247199999999999</v>
      </c>
      <c r="AH96" s="1"/>
      <c r="AI96" s="1">
        <f>G96*T96</f>
        <v>0</v>
      </c>
      <c r="AJ96" s="1" t="str">
        <f>VLOOKUP(A96,[1]Лист1!$B:$O,14,0)</f>
        <v>матрица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225</v>
      </c>
      <c r="B97" s="1" t="s">
        <v>39</v>
      </c>
      <c r="C97" s="1">
        <v>391.83199999999999</v>
      </c>
      <c r="D97" s="1">
        <v>70.25</v>
      </c>
      <c r="E97" s="1">
        <v>223.185</v>
      </c>
      <c r="F97" s="1">
        <v>190.083</v>
      </c>
      <c r="G97" s="7">
        <v>1</v>
      </c>
      <c r="H97" s="1">
        <v>40</v>
      </c>
      <c r="I97" s="1" t="s">
        <v>226</v>
      </c>
      <c r="J97" s="1"/>
      <c r="K97" s="1">
        <v>211.2</v>
      </c>
      <c r="L97" s="1">
        <f t="shared" si="7"/>
        <v>11.985000000000014</v>
      </c>
      <c r="M97" s="1"/>
      <c r="N97" s="1"/>
      <c r="O97" s="1">
        <v>164.59374447999991</v>
      </c>
      <c r="P97" s="1"/>
      <c r="Q97" s="1"/>
      <c r="R97" s="1">
        <v>64.04789999999997</v>
      </c>
      <c r="S97" s="1">
        <f t="shared" si="8"/>
        <v>44.637</v>
      </c>
      <c r="T97" s="5"/>
      <c r="U97" s="1">
        <f t="shared" si="9"/>
        <v>9.3806627793086417</v>
      </c>
      <c r="V97" s="1">
        <f t="shared" si="10"/>
        <v>9.3806627793086417</v>
      </c>
      <c r="W97" s="1">
        <v>44.8142</v>
      </c>
      <c r="X97" s="1">
        <v>56.320599999999999</v>
      </c>
      <c r="Y97" s="1">
        <v>47.069200000000002</v>
      </c>
      <c r="Z97" s="1">
        <v>42.101199999999999</v>
      </c>
      <c r="AA97" s="1">
        <v>53.484000000000002</v>
      </c>
      <c r="AB97" s="1">
        <v>58.659000000000013</v>
      </c>
      <c r="AC97" s="1">
        <v>62.764200000000002</v>
      </c>
      <c r="AD97" s="1">
        <v>61.113199999999992</v>
      </c>
      <c r="AE97" s="1">
        <v>41.221800000000002</v>
      </c>
      <c r="AF97" s="1">
        <v>20.991399999999999</v>
      </c>
      <c r="AG97" s="1">
        <v>18.970800000000001</v>
      </c>
      <c r="AH97" s="1"/>
      <c r="AI97" s="1">
        <f>G97*T97</f>
        <v>0</v>
      </c>
      <c r="AJ97" s="1" t="str">
        <f>VLOOKUP(A97,[1]Лист1!$B:$O,14,0)</f>
        <v>матрица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227</v>
      </c>
      <c r="B98" s="1" t="s">
        <v>39</v>
      </c>
      <c r="C98" s="1">
        <v>304.642</v>
      </c>
      <c r="D98" s="1">
        <v>197.387</v>
      </c>
      <c r="E98" s="1">
        <v>325.82600000000002</v>
      </c>
      <c r="F98" s="1">
        <v>112.68899999999999</v>
      </c>
      <c r="G98" s="7">
        <v>1</v>
      </c>
      <c r="H98" s="1">
        <v>40</v>
      </c>
      <c r="I98" s="1" t="s">
        <v>228</v>
      </c>
      <c r="J98" s="1"/>
      <c r="K98" s="1">
        <v>320.32</v>
      </c>
      <c r="L98" s="1">
        <f t="shared" si="7"/>
        <v>5.5060000000000286</v>
      </c>
      <c r="M98" s="1"/>
      <c r="N98" s="1"/>
      <c r="O98" s="1">
        <v>163.24152000000001</v>
      </c>
      <c r="P98" s="1"/>
      <c r="Q98" s="1"/>
      <c r="R98" s="1">
        <v>87.16352000000002</v>
      </c>
      <c r="S98" s="1">
        <f t="shared" si="8"/>
        <v>65.165199999999999</v>
      </c>
      <c r="T98" s="5"/>
      <c r="U98" s="1">
        <f t="shared" si="9"/>
        <v>5.5719009532695365</v>
      </c>
      <c r="V98" s="1">
        <f t="shared" si="10"/>
        <v>5.5719009532695365</v>
      </c>
      <c r="W98" s="1">
        <v>60.9452</v>
      </c>
      <c r="X98" s="1">
        <v>70.5732</v>
      </c>
      <c r="Y98" s="1">
        <v>62.651200000000003</v>
      </c>
      <c r="Z98" s="1">
        <v>44.876600000000003</v>
      </c>
      <c r="AA98" s="1">
        <v>53.498600000000003</v>
      </c>
      <c r="AB98" s="1">
        <v>56.879600000000003</v>
      </c>
      <c r="AC98" s="1">
        <v>47.910400000000003</v>
      </c>
      <c r="AD98" s="1">
        <v>60.2986</v>
      </c>
      <c r="AE98" s="1">
        <v>44.475000000000001</v>
      </c>
      <c r="AF98" s="1">
        <v>43.321599999999997</v>
      </c>
      <c r="AG98" s="1">
        <v>38.055599999999998</v>
      </c>
      <c r="AH98" s="1"/>
      <c r="AI98" s="1">
        <f>G98*T98</f>
        <v>0</v>
      </c>
      <c r="AJ98" s="1" t="str">
        <f>VLOOKUP(A98,[1]Лист1!$B:$O,14,0)</f>
        <v>матрица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229</v>
      </c>
      <c r="B99" s="1" t="s">
        <v>46</v>
      </c>
      <c r="C99" s="1">
        <v>101</v>
      </c>
      <c r="D99" s="1">
        <v>11</v>
      </c>
      <c r="E99" s="1">
        <v>100</v>
      </c>
      <c r="F99" s="1">
        <v>5</v>
      </c>
      <c r="G99" s="7">
        <v>0.28000000000000003</v>
      </c>
      <c r="H99" s="1">
        <v>40</v>
      </c>
      <c r="I99" s="1" t="s">
        <v>230</v>
      </c>
      <c r="J99" s="1"/>
      <c r="K99" s="1">
        <v>210</v>
      </c>
      <c r="L99" s="1">
        <f t="shared" si="7"/>
        <v>-110</v>
      </c>
      <c r="M99" s="1"/>
      <c r="N99" s="1"/>
      <c r="O99" s="1">
        <v>287</v>
      </c>
      <c r="P99" s="1"/>
      <c r="Q99" s="1"/>
      <c r="R99" s="1">
        <v>164.1</v>
      </c>
      <c r="S99" s="1">
        <f t="shared" si="8"/>
        <v>20</v>
      </c>
      <c r="T99" s="5"/>
      <c r="U99" s="1">
        <f t="shared" si="9"/>
        <v>22.805</v>
      </c>
      <c r="V99" s="1">
        <f t="shared" si="10"/>
        <v>22.805</v>
      </c>
      <c r="W99" s="1">
        <v>41</v>
      </c>
      <c r="X99" s="1">
        <v>38.799999999999997</v>
      </c>
      <c r="Y99" s="1">
        <v>14.8</v>
      </c>
      <c r="Z99" s="1">
        <v>-2.6</v>
      </c>
      <c r="AA99" s="1">
        <v>-1.8</v>
      </c>
      <c r="AB99" s="1">
        <v>10.4</v>
      </c>
      <c r="AC99" s="1">
        <v>23</v>
      </c>
      <c r="AD99" s="1">
        <v>12</v>
      </c>
      <c r="AE99" s="1">
        <v>46.2</v>
      </c>
      <c r="AF99" s="1">
        <v>35.4</v>
      </c>
      <c r="AG99" s="1">
        <v>47.4</v>
      </c>
      <c r="AH99" s="1"/>
      <c r="AI99" s="1">
        <f>G99*T99</f>
        <v>0</v>
      </c>
      <c r="AJ99" s="1" t="str">
        <f>VLOOKUP(A99,[1]Лист1!$B:$O,14,0)</f>
        <v>матрица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231</v>
      </c>
      <c r="B100" s="1" t="s">
        <v>46</v>
      </c>
      <c r="C100" s="1">
        <v>434</v>
      </c>
      <c r="D100" s="1">
        <v>3</v>
      </c>
      <c r="E100" s="1">
        <v>193</v>
      </c>
      <c r="F100" s="1">
        <v>208</v>
      </c>
      <c r="G100" s="7">
        <v>0.28000000000000003</v>
      </c>
      <c r="H100" s="1">
        <v>40</v>
      </c>
      <c r="I100" s="1"/>
      <c r="J100" s="1"/>
      <c r="K100" s="1">
        <v>194</v>
      </c>
      <c r="L100" s="1">
        <f t="shared" si="7"/>
        <v>-1</v>
      </c>
      <c r="M100" s="1"/>
      <c r="N100" s="1"/>
      <c r="O100" s="1">
        <v>0</v>
      </c>
      <c r="P100" s="1"/>
      <c r="Q100" s="1"/>
      <c r="R100" s="1">
        <v>0</v>
      </c>
      <c r="S100" s="1">
        <f t="shared" si="8"/>
        <v>38.6</v>
      </c>
      <c r="T100" s="5"/>
      <c r="U100" s="1">
        <f t="shared" si="9"/>
        <v>5.3886010362694297</v>
      </c>
      <c r="V100" s="1">
        <f t="shared" si="10"/>
        <v>5.3886010362694297</v>
      </c>
      <c r="W100" s="1">
        <v>25</v>
      </c>
      <c r="X100" s="1">
        <v>12.8</v>
      </c>
      <c r="Y100" s="1">
        <v>8.6</v>
      </c>
      <c r="Z100" s="1">
        <v>24</v>
      </c>
      <c r="AA100" s="1">
        <v>42.6</v>
      </c>
      <c r="AB100" s="1">
        <v>28.8</v>
      </c>
      <c r="AC100" s="1">
        <v>4.2</v>
      </c>
      <c r="AD100" s="1">
        <v>0</v>
      </c>
      <c r="AE100" s="1">
        <v>0</v>
      </c>
      <c r="AF100" s="1">
        <v>0</v>
      </c>
      <c r="AG100" s="1">
        <v>0</v>
      </c>
      <c r="AH100" s="1"/>
      <c r="AI100" s="1">
        <f>G100*T100</f>
        <v>0</v>
      </c>
      <c r="AJ100" s="1" t="str">
        <f>VLOOKUP(A100,[1]Лист1!$B:$O,14,0)</f>
        <v>матрица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232</v>
      </c>
      <c r="B101" s="1" t="s">
        <v>46</v>
      </c>
      <c r="C101" s="1">
        <v>325</v>
      </c>
      <c r="D101" s="1">
        <v>9</v>
      </c>
      <c r="E101" s="1">
        <v>198</v>
      </c>
      <c r="F101" s="1">
        <v>97</v>
      </c>
      <c r="G101" s="7">
        <v>0.28000000000000003</v>
      </c>
      <c r="H101" s="1">
        <v>40</v>
      </c>
      <c r="I101" s="1" t="s">
        <v>233</v>
      </c>
      <c r="J101" s="1"/>
      <c r="K101" s="1">
        <v>200</v>
      </c>
      <c r="L101" s="1">
        <f t="shared" si="7"/>
        <v>-2</v>
      </c>
      <c r="M101" s="1"/>
      <c r="N101" s="1"/>
      <c r="O101" s="1">
        <v>103</v>
      </c>
      <c r="P101" s="1"/>
      <c r="Q101" s="1"/>
      <c r="R101" s="1">
        <v>70.5</v>
      </c>
      <c r="S101" s="1">
        <f t="shared" si="8"/>
        <v>39.6</v>
      </c>
      <c r="T101" s="5"/>
      <c r="U101" s="1">
        <f t="shared" si="9"/>
        <v>6.8308080808080804</v>
      </c>
      <c r="V101" s="1">
        <f t="shared" si="10"/>
        <v>6.8308080808080804</v>
      </c>
      <c r="W101" s="1">
        <v>31.8</v>
      </c>
      <c r="X101" s="1">
        <v>39</v>
      </c>
      <c r="Y101" s="1">
        <v>32.200000000000003</v>
      </c>
      <c r="Z101" s="1">
        <v>27.6</v>
      </c>
      <c r="AA101" s="1">
        <v>42.8</v>
      </c>
      <c r="AB101" s="1">
        <v>38.6</v>
      </c>
      <c r="AC101" s="1">
        <v>32.6</v>
      </c>
      <c r="AD101" s="1">
        <v>34.200000000000003</v>
      </c>
      <c r="AE101" s="1">
        <v>36.799999999999997</v>
      </c>
      <c r="AF101" s="1">
        <v>29</v>
      </c>
      <c r="AG101" s="1">
        <v>35.799999999999997</v>
      </c>
      <c r="AH101" s="1"/>
      <c r="AI101" s="1">
        <f>G101*T101</f>
        <v>0</v>
      </c>
      <c r="AJ101" s="1" t="str">
        <f>VLOOKUP(A101,[1]Лист1!$B:$O,14,0)</f>
        <v>матрица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234</v>
      </c>
      <c r="B102" s="1" t="s">
        <v>39</v>
      </c>
      <c r="C102" s="1">
        <v>263.99700000000001</v>
      </c>
      <c r="D102" s="1"/>
      <c r="E102" s="1">
        <v>92.063999999999993</v>
      </c>
      <c r="F102" s="1">
        <v>159.589</v>
      </c>
      <c r="G102" s="7">
        <v>1</v>
      </c>
      <c r="H102" s="1">
        <v>60</v>
      </c>
      <c r="I102" s="1" t="s">
        <v>235</v>
      </c>
      <c r="J102" s="1"/>
      <c r="K102" s="1">
        <v>102.5</v>
      </c>
      <c r="L102" s="1">
        <f t="shared" ref="L102:L112" si="11">E102-K102</f>
        <v>-10.436000000000007</v>
      </c>
      <c r="M102" s="1"/>
      <c r="N102" s="1"/>
      <c r="O102" s="1">
        <v>0</v>
      </c>
      <c r="P102" s="1"/>
      <c r="Q102" s="1"/>
      <c r="R102" s="1">
        <v>0</v>
      </c>
      <c r="S102" s="1">
        <f t="shared" si="8"/>
        <v>18.412799999999997</v>
      </c>
      <c r="T102" s="5"/>
      <c r="U102" s="1">
        <f t="shared" si="9"/>
        <v>8.6672858011817873</v>
      </c>
      <c r="V102" s="1">
        <f t="shared" si="10"/>
        <v>8.6672858011817873</v>
      </c>
      <c r="W102" s="1">
        <v>15.7308</v>
      </c>
      <c r="X102" s="1">
        <v>19.185199999999998</v>
      </c>
      <c r="Y102" s="1">
        <v>9.5001999999999995</v>
      </c>
      <c r="Z102" s="1">
        <v>4.1302000000000003</v>
      </c>
      <c r="AA102" s="1">
        <v>29.898199999999999</v>
      </c>
      <c r="AB102" s="1">
        <v>29.849799999999998</v>
      </c>
      <c r="AC102" s="1">
        <v>3.4443999999999999</v>
      </c>
      <c r="AD102" s="1">
        <v>3.4984000000000002</v>
      </c>
      <c r="AE102" s="1">
        <v>23.016400000000001</v>
      </c>
      <c r="AF102" s="1">
        <v>18.604199999999999</v>
      </c>
      <c r="AG102" s="1">
        <v>18.595199999999998</v>
      </c>
      <c r="AH102" s="1"/>
      <c r="AI102" s="1">
        <f>G102*T102</f>
        <v>0</v>
      </c>
      <c r="AJ102" s="1" t="str">
        <f>VLOOKUP(A102,[1]Лист1!$B:$O,14,0)</f>
        <v>матрица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236</v>
      </c>
      <c r="B103" s="1" t="s">
        <v>39</v>
      </c>
      <c r="C103" s="1">
        <v>117.82899999999999</v>
      </c>
      <c r="D103" s="1">
        <v>17.48</v>
      </c>
      <c r="E103" s="1">
        <v>82.486000000000004</v>
      </c>
      <c r="F103" s="1">
        <v>17.864000000000001</v>
      </c>
      <c r="G103" s="7">
        <v>1</v>
      </c>
      <c r="H103" s="1">
        <v>50</v>
      </c>
      <c r="I103" s="1" t="s">
        <v>237</v>
      </c>
      <c r="J103" s="1"/>
      <c r="K103" s="1">
        <v>90</v>
      </c>
      <c r="L103" s="1">
        <f t="shared" si="11"/>
        <v>-7.5139999999999958</v>
      </c>
      <c r="M103" s="1"/>
      <c r="N103" s="1"/>
      <c r="O103" s="1">
        <v>47.145999999999972</v>
      </c>
      <c r="P103" s="1"/>
      <c r="Q103" s="1"/>
      <c r="R103" s="1">
        <v>45.138999999999982</v>
      </c>
      <c r="S103" s="1">
        <f t="shared" si="8"/>
        <v>16.497199999999999</v>
      </c>
      <c r="T103" s="5"/>
      <c r="U103" s="1">
        <f t="shared" si="9"/>
        <v>6.6768300075164246</v>
      </c>
      <c r="V103" s="1">
        <f t="shared" si="10"/>
        <v>6.6768300075164246</v>
      </c>
      <c r="W103" s="1">
        <v>14.1732</v>
      </c>
      <c r="X103" s="1">
        <v>15.641999999999999</v>
      </c>
      <c r="Y103" s="1">
        <v>12.287000000000001</v>
      </c>
      <c r="Z103" s="1">
        <v>4.1159999999999997</v>
      </c>
      <c r="AA103" s="1">
        <v>7.7904</v>
      </c>
      <c r="AB103" s="1">
        <v>13.495799999999999</v>
      </c>
      <c r="AC103" s="1">
        <v>18.490400000000001</v>
      </c>
      <c r="AD103" s="1">
        <v>21.981000000000002</v>
      </c>
      <c r="AE103" s="1">
        <v>8.9923999999999999</v>
      </c>
      <c r="AF103" s="1">
        <v>14.0106</v>
      </c>
      <c r="AG103" s="1">
        <v>17.496600000000001</v>
      </c>
      <c r="AH103" s="1"/>
      <c r="AI103" s="1">
        <f>G103*T103</f>
        <v>0</v>
      </c>
      <c r="AJ103" s="1" t="str">
        <f>VLOOKUP(A103,[1]Лист1!$B:$O,14,0)</f>
        <v>матрица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238</v>
      </c>
      <c r="B104" s="1" t="s">
        <v>39</v>
      </c>
      <c r="C104" s="1">
        <v>45.04</v>
      </c>
      <c r="D104" s="1">
        <v>26.132999999999999</v>
      </c>
      <c r="E104" s="1">
        <v>56.642000000000003</v>
      </c>
      <c r="F104" s="1">
        <v>11.073</v>
      </c>
      <c r="G104" s="7">
        <v>1</v>
      </c>
      <c r="H104" s="1">
        <v>60</v>
      </c>
      <c r="I104" s="1"/>
      <c r="J104" s="1"/>
      <c r="K104" s="1">
        <v>61.3</v>
      </c>
      <c r="L104" s="1">
        <f t="shared" si="11"/>
        <v>-4.6579999999999941</v>
      </c>
      <c r="M104" s="1"/>
      <c r="N104" s="1"/>
      <c r="O104" s="1">
        <v>151.18600000000001</v>
      </c>
      <c r="P104" s="1"/>
      <c r="Q104" s="1"/>
      <c r="R104" s="1">
        <v>41.368999999999957</v>
      </c>
      <c r="S104" s="1">
        <f t="shared" si="8"/>
        <v>11.3284</v>
      </c>
      <c r="T104" s="5"/>
      <c r="U104" s="1">
        <f t="shared" si="9"/>
        <v>17.975000882737191</v>
      </c>
      <c r="V104" s="1">
        <f t="shared" si="10"/>
        <v>17.975000882737191</v>
      </c>
      <c r="W104" s="1">
        <v>16.998000000000001</v>
      </c>
      <c r="X104" s="1">
        <v>21.1784</v>
      </c>
      <c r="Y104" s="1">
        <v>9.8439999999999994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12.7134</v>
      </c>
      <c r="AF104" s="1">
        <v>23.990600000000001</v>
      </c>
      <c r="AG104" s="1">
        <v>11.8384</v>
      </c>
      <c r="AH104" s="1"/>
      <c r="AI104" s="1">
        <f>G104*T104</f>
        <v>0</v>
      </c>
      <c r="AJ104" s="1" t="str">
        <f>VLOOKUP(A104,[1]Лист1!$B:$O,14,0)</f>
        <v>матрица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239</v>
      </c>
      <c r="B105" s="1" t="s">
        <v>39</v>
      </c>
      <c r="C105" s="1">
        <v>144.34800000000001</v>
      </c>
      <c r="D105" s="1">
        <v>242.75299999999999</v>
      </c>
      <c r="E105" s="1">
        <v>203.4</v>
      </c>
      <c r="F105" s="1">
        <v>148.33000000000001</v>
      </c>
      <c r="G105" s="7">
        <v>1</v>
      </c>
      <c r="H105" s="1">
        <v>60</v>
      </c>
      <c r="I105" s="1" t="s">
        <v>240</v>
      </c>
      <c r="J105" s="1"/>
      <c r="K105" s="1">
        <v>195.9</v>
      </c>
      <c r="L105" s="1">
        <f t="shared" si="11"/>
        <v>7.5</v>
      </c>
      <c r="M105" s="1"/>
      <c r="N105" s="1"/>
      <c r="O105" s="1">
        <v>53.68960000000007</v>
      </c>
      <c r="P105" s="1"/>
      <c r="Q105" s="1"/>
      <c r="R105" s="1">
        <v>48.586099999999902</v>
      </c>
      <c r="S105" s="1">
        <f t="shared" si="8"/>
        <v>40.68</v>
      </c>
      <c r="T105" s="5"/>
      <c r="U105" s="1">
        <f t="shared" si="9"/>
        <v>6.160415437561455</v>
      </c>
      <c r="V105" s="1">
        <f t="shared" si="10"/>
        <v>6.160415437561455</v>
      </c>
      <c r="W105" s="1">
        <v>30.541399999999999</v>
      </c>
      <c r="X105" s="1">
        <v>38.330199999999998</v>
      </c>
      <c r="Y105" s="1">
        <v>36.979799999999997</v>
      </c>
      <c r="Z105" s="1">
        <v>37.952800000000003</v>
      </c>
      <c r="AA105" s="1">
        <v>20.715</v>
      </c>
      <c r="AB105" s="1">
        <v>10.0794</v>
      </c>
      <c r="AC105" s="1">
        <v>31.320399999999999</v>
      </c>
      <c r="AD105" s="1">
        <v>42.749200000000002</v>
      </c>
      <c r="AE105" s="1">
        <v>29.668399999999998</v>
      </c>
      <c r="AF105" s="1">
        <v>23.665400000000002</v>
      </c>
      <c r="AG105" s="1">
        <v>8.9771999999999998</v>
      </c>
      <c r="AH105" s="1"/>
      <c r="AI105" s="1">
        <f>G105*T105</f>
        <v>0</v>
      </c>
      <c r="AJ105" s="1" t="str">
        <f>VLOOKUP(A105,[1]Лист1!$B:$O,14,0)</f>
        <v>матрица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241</v>
      </c>
      <c r="B106" s="1" t="s">
        <v>39</v>
      </c>
      <c r="C106" s="1">
        <v>135.52699999999999</v>
      </c>
      <c r="D106" s="1">
        <v>4.1100000000000003</v>
      </c>
      <c r="E106" s="1">
        <v>93.284000000000006</v>
      </c>
      <c r="F106" s="1">
        <v>38.119</v>
      </c>
      <c r="G106" s="7">
        <v>1</v>
      </c>
      <c r="H106" s="1">
        <v>60</v>
      </c>
      <c r="I106" s="1" t="s">
        <v>242</v>
      </c>
      <c r="J106" s="1"/>
      <c r="K106" s="1">
        <v>83.1</v>
      </c>
      <c r="L106" s="1">
        <f t="shared" si="11"/>
        <v>10.184000000000012</v>
      </c>
      <c r="M106" s="1"/>
      <c r="N106" s="1"/>
      <c r="O106" s="1">
        <v>0</v>
      </c>
      <c r="P106" s="1"/>
      <c r="Q106" s="1"/>
      <c r="R106" s="1">
        <v>23.1965</v>
      </c>
      <c r="S106" s="1">
        <f t="shared" si="8"/>
        <v>18.6568</v>
      </c>
      <c r="T106" s="5"/>
      <c r="U106" s="1">
        <f t="shared" si="9"/>
        <v>3.2864960764975772</v>
      </c>
      <c r="V106" s="1">
        <f t="shared" si="10"/>
        <v>3.2864960764975772</v>
      </c>
      <c r="W106" s="1">
        <v>9.5117999999999991</v>
      </c>
      <c r="X106" s="1">
        <v>9.5025999999999993</v>
      </c>
      <c r="Y106" s="1">
        <v>9.9976000000000003</v>
      </c>
      <c r="Z106" s="1">
        <v>8.3857999999999997</v>
      </c>
      <c r="AA106" s="1">
        <v>12.8756</v>
      </c>
      <c r="AB106" s="1">
        <v>14.671799999999999</v>
      </c>
      <c r="AC106" s="1">
        <v>8.1275999999999993</v>
      </c>
      <c r="AD106" s="1">
        <v>5.9496000000000002</v>
      </c>
      <c r="AE106" s="1">
        <v>7.8940000000000001</v>
      </c>
      <c r="AF106" s="1">
        <v>7.8569999999999993</v>
      </c>
      <c r="AG106" s="1">
        <v>4.05</v>
      </c>
      <c r="AH106" s="1"/>
      <c r="AI106" s="1">
        <f>G106*T106</f>
        <v>0</v>
      </c>
      <c r="AJ106" s="1" t="str">
        <f>VLOOKUP(A106,[1]Лист1!$B:$O,14,0)</f>
        <v>матрица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243</v>
      </c>
      <c r="B107" s="1" t="s">
        <v>39</v>
      </c>
      <c r="C107" s="1">
        <v>1633.2619999999999</v>
      </c>
      <c r="D107" s="1">
        <v>17.574000000000002</v>
      </c>
      <c r="E107" s="1">
        <v>969.36900000000003</v>
      </c>
      <c r="F107" s="1">
        <v>527.69200000000001</v>
      </c>
      <c r="G107" s="7">
        <v>1</v>
      </c>
      <c r="H107" s="1">
        <v>60</v>
      </c>
      <c r="I107" s="1"/>
      <c r="J107" s="1"/>
      <c r="K107" s="1">
        <v>982.5</v>
      </c>
      <c r="L107" s="1">
        <f t="shared" si="11"/>
        <v>-13.130999999999972</v>
      </c>
      <c r="M107" s="1"/>
      <c r="N107" s="1"/>
      <c r="O107" s="1">
        <v>0</v>
      </c>
      <c r="P107" s="1">
        <v>200</v>
      </c>
      <c r="Q107" s="1">
        <v>200</v>
      </c>
      <c r="R107" s="1">
        <v>891.41624000000013</v>
      </c>
      <c r="S107" s="1">
        <f t="shared" si="8"/>
        <v>193.87380000000002</v>
      </c>
      <c r="T107" s="5"/>
      <c r="U107" s="1">
        <f t="shared" si="9"/>
        <v>9.3829503522394457</v>
      </c>
      <c r="V107" s="1">
        <f t="shared" si="10"/>
        <v>9.3829503522394457</v>
      </c>
      <c r="W107" s="1">
        <v>177.26840000000001</v>
      </c>
      <c r="X107" s="1">
        <v>143.54259999999999</v>
      </c>
      <c r="Y107" s="1">
        <v>73.318599999999989</v>
      </c>
      <c r="Z107" s="1">
        <v>37.800199999999997</v>
      </c>
      <c r="AA107" s="1">
        <v>16.512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 t="s">
        <v>244</v>
      </c>
      <c r="AI107" s="1">
        <f>G107*T107</f>
        <v>0</v>
      </c>
      <c r="AJ107" s="1" t="str">
        <f>VLOOKUP(A107,[1]Лист1!$B:$O,14,0)</f>
        <v>матрица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245</v>
      </c>
      <c r="B108" s="1" t="s">
        <v>46</v>
      </c>
      <c r="C108" s="1">
        <v>364</v>
      </c>
      <c r="D108" s="1">
        <v>28</v>
      </c>
      <c r="E108" s="1">
        <v>300</v>
      </c>
      <c r="F108" s="1">
        <v>69</v>
      </c>
      <c r="G108" s="7">
        <v>0.3</v>
      </c>
      <c r="H108" s="1">
        <v>40</v>
      </c>
      <c r="I108" s="1" t="s">
        <v>246</v>
      </c>
      <c r="J108" s="1"/>
      <c r="K108" s="1">
        <v>293.7</v>
      </c>
      <c r="L108" s="1">
        <f t="shared" si="11"/>
        <v>6.3000000000000114</v>
      </c>
      <c r="M108" s="1"/>
      <c r="N108" s="1"/>
      <c r="O108" s="1">
        <v>103.39999999999991</v>
      </c>
      <c r="P108" s="1"/>
      <c r="Q108" s="1"/>
      <c r="R108" s="1">
        <v>75.600000000000023</v>
      </c>
      <c r="S108" s="1">
        <f t="shared" si="8"/>
        <v>60</v>
      </c>
      <c r="T108" s="5"/>
      <c r="U108" s="1">
        <f t="shared" si="9"/>
        <v>4.133333333333332</v>
      </c>
      <c r="V108" s="1">
        <f t="shared" si="10"/>
        <v>4.133333333333332</v>
      </c>
      <c r="W108" s="1">
        <v>36.4</v>
      </c>
      <c r="X108" s="1">
        <v>44.4</v>
      </c>
      <c r="Y108" s="1">
        <v>39</v>
      </c>
      <c r="Z108" s="1">
        <v>37.200000000000003</v>
      </c>
      <c r="AA108" s="1">
        <v>48.4</v>
      </c>
      <c r="AB108" s="1">
        <v>47.6</v>
      </c>
      <c r="AC108" s="1">
        <v>37.4</v>
      </c>
      <c r="AD108" s="1">
        <v>29</v>
      </c>
      <c r="AE108" s="1">
        <v>50.2</v>
      </c>
      <c r="AF108" s="1">
        <v>31.6</v>
      </c>
      <c r="AG108" s="1">
        <v>36.200000000000003</v>
      </c>
      <c r="AH108" s="1"/>
      <c r="AI108" s="1">
        <f>G108*T108</f>
        <v>0</v>
      </c>
      <c r="AJ108" s="1" t="str">
        <f>VLOOKUP(A108,[1]Лист1!$B:$O,14,0)</f>
        <v>матрица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247</v>
      </c>
      <c r="B109" s="1" t="s">
        <v>46</v>
      </c>
      <c r="C109" s="1"/>
      <c r="D109" s="1">
        <v>91</v>
      </c>
      <c r="E109" s="1">
        <v>80</v>
      </c>
      <c r="F109" s="1">
        <v>1</v>
      </c>
      <c r="G109" s="7">
        <v>0.3</v>
      </c>
      <c r="H109" s="1">
        <v>40</v>
      </c>
      <c r="I109" s="1" t="s">
        <v>248</v>
      </c>
      <c r="J109" s="1"/>
      <c r="K109" s="1">
        <v>136</v>
      </c>
      <c r="L109" s="1">
        <f t="shared" si="11"/>
        <v>-56</v>
      </c>
      <c r="M109" s="1"/>
      <c r="N109" s="1"/>
      <c r="O109" s="1">
        <v>0</v>
      </c>
      <c r="P109" s="1"/>
      <c r="Q109" s="1"/>
      <c r="R109" s="1">
        <v>0</v>
      </c>
      <c r="S109" s="1">
        <f t="shared" si="8"/>
        <v>16</v>
      </c>
      <c r="T109" s="5"/>
      <c r="U109" s="1">
        <f t="shared" si="9"/>
        <v>6.25E-2</v>
      </c>
      <c r="V109" s="1">
        <f t="shared" si="10"/>
        <v>6.25E-2</v>
      </c>
      <c r="W109" s="1">
        <v>-1.2</v>
      </c>
      <c r="X109" s="1">
        <v>-0.6</v>
      </c>
      <c r="Y109" s="1">
        <v>-1.2</v>
      </c>
      <c r="Z109" s="1">
        <v>-3.6</v>
      </c>
      <c r="AA109" s="1">
        <v>-6.6</v>
      </c>
      <c r="AB109" s="1">
        <v>4.4000000000000004</v>
      </c>
      <c r="AC109" s="1">
        <v>6.8</v>
      </c>
      <c r="AD109" s="1">
        <v>2.8</v>
      </c>
      <c r="AE109" s="1">
        <v>20.399999999999999</v>
      </c>
      <c r="AF109" s="1">
        <v>27.2</v>
      </c>
      <c r="AG109" s="1">
        <v>29</v>
      </c>
      <c r="AH109" s="1" t="s">
        <v>249</v>
      </c>
      <c r="AI109" s="1">
        <f>G109*T109</f>
        <v>0</v>
      </c>
      <c r="AJ109" s="1" t="str">
        <f>VLOOKUP(A109,[1]Лист1!$B:$O,14,0)</f>
        <v>матрица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250</v>
      </c>
      <c r="B110" s="1" t="s">
        <v>39</v>
      </c>
      <c r="C110" s="1">
        <v>20.391999999999999</v>
      </c>
      <c r="D110" s="1"/>
      <c r="E110" s="1">
        <v>9.5050000000000008</v>
      </c>
      <c r="F110" s="1">
        <v>9.5250000000000004</v>
      </c>
      <c r="G110" s="7">
        <v>1</v>
      </c>
      <c r="H110" s="1">
        <v>50</v>
      </c>
      <c r="I110" s="1" t="s">
        <v>251</v>
      </c>
      <c r="J110" s="1"/>
      <c r="K110" s="1">
        <v>8.4</v>
      </c>
      <c r="L110" s="1">
        <f t="shared" si="11"/>
        <v>1.1050000000000004</v>
      </c>
      <c r="M110" s="1"/>
      <c r="N110" s="1"/>
      <c r="O110" s="1">
        <v>6.3732000000000042</v>
      </c>
      <c r="P110" s="1"/>
      <c r="Q110" s="1"/>
      <c r="R110" s="1">
        <v>0</v>
      </c>
      <c r="S110" s="1">
        <f t="shared" si="8"/>
        <v>1.9010000000000002</v>
      </c>
      <c r="T110" s="5"/>
      <c r="U110" s="1">
        <f t="shared" si="9"/>
        <v>8.3630720673329844</v>
      </c>
      <c r="V110" s="1">
        <f t="shared" si="10"/>
        <v>8.3630720673329844</v>
      </c>
      <c r="W110" s="1">
        <v>1.0864</v>
      </c>
      <c r="X110" s="1">
        <v>2.4331999999999998</v>
      </c>
      <c r="Y110" s="1">
        <v>1.623</v>
      </c>
      <c r="Z110" s="1">
        <v>0</v>
      </c>
      <c r="AA110" s="1">
        <v>0</v>
      </c>
      <c r="AB110" s="1">
        <v>-4.7E-2</v>
      </c>
      <c r="AC110" s="1">
        <v>2.073</v>
      </c>
      <c r="AD110" s="1">
        <v>2.12</v>
      </c>
      <c r="AE110" s="1">
        <v>3.0232000000000001</v>
      </c>
      <c r="AF110" s="1">
        <v>2.4927999999999999</v>
      </c>
      <c r="AG110" s="1">
        <v>1.1104000000000001</v>
      </c>
      <c r="AH110" s="1" t="s">
        <v>56</v>
      </c>
      <c r="AI110" s="1">
        <f>G110*T110</f>
        <v>0</v>
      </c>
      <c r="AJ110" s="1" t="str">
        <f>VLOOKUP(A110,[1]Лист1!$B:$O,14,0)</f>
        <v>матрица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252</v>
      </c>
      <c r="B111" s="1" t="s">
        <v>46</v>
      </c>
      <c r="C111" s="1">
        <v>56</v>
      </c>
      <c r="D111" s="1">
        <v>142</v>
      </c>
      <c r="E111" s="1">
        <v>73</v>
      </c>
      <c r="F111" s="1">
        <v>112</v>
      </c>
      <c r="G111" s="7">
        <v>0.3</v>
      </c>
      <c r="H111" s="1">
        <v>40</v>
      </c>
      <c r="I111" s="1" t="s">
        <v>253</v>
      </c>
      <c r="J111" s="1"/>
      <c r="K111" s="1">
        <v>122</v>
      </c>
      <c r="L111" s="1">
        <f t="shared" si="11"/>
        <v>-49</v>
      </c>
      <c r="M111" s="1"/>
      <c r="N111" s="1"/>
      <c r="O111" s="1">
        <v>276.27999999999992</v>
      </c>
      <c r="P111" s="1"/>
      <c r="Q111" s="1"/>
      <c r="R111" s="1">
        <v>0</v>
      </c>
      <c r="S111" s="1">
        <f t="shared" si="8"/>
        <v>14.6</v>
      </c>
      <c r="T111" s="5"/>
      <c r="U111" s="1">
        <f t="shared" si="9"/>
        <v>26.594520547945201</v>
      </c>
      <c r="V111" s="1">
        <f t="shared" si="10"/>
        <v>26.594520547945201</v>
      </c>
      <c r="W111" s="1">
        <v>30</v>
      </c>
      <c r="X111" s="1">
        <v>42.6</v>
      </c>
      <c r="Y111" s="1">
        <v>23.8</v>
      </c>
      <c r="Z111" s="1">
        <v>8</v>
      </c>
      <c r="AA111" s="1">
        <v>18.8</v>
      </c>
      <c r="AB111" s="1">
        <v>20.399999999999999</v>
      </c>
      <c r="AC111" s="1">
        <v>20.399999999999999</v>
      </c>
      <c r="AD111" s="1">
        <v>16.600000000000001</v>
      </c>
      <c r="AE111" s="1">
        <v>16</v>
      </c>
      <c r="AF111" s="1">
        <v>15.4</v>
      </c>
      <c r="AG111" s="1">
        <v>18.399999999999999</v>
      </c>
      <c r="AH111" s="1"/>
      <c r="AI111" s="1">
        <f>G111*T111</f>
        <v>0</v>
      </c>
      <c r="AJ111" s="1" t="str">
        <f>VLOOKUP(A111,[1]Лист1!$B:$O,14,0)</f>
        <v>матрица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254</v>
      </c>
      <c r="B112" s="1" t="s">
        <v>46</v>
      </c>
      <c r="C112" s="1">
        <v>150</v>
      </c>
      <c r="D112" s="1"/>
      <c r="E112" s="1">
        <v>73</v>
      </c>
      <c r="F112" s="1">
        <v>71</v>
      </c>
      <c r="G112" s="7">
        <v>0.12</v>
      </c>
      <c r="H112" s="1">
        <v>45</v>
      </c>
      <c r="I112" s="1" t="s">
        <v>255</v>
      </c>
      <c r="J112" s="1"/>
      <c r="K112" s="1">
        <v>73</v>
      </c>
      <c r="L112" s="1">
        <f t="shared" si="11"/>
        <v>0</v>
      </c>
      <c r="M112" s="1"/>
      <c r="N112" s="1"/>
      <c r="O112" s="1">
        <v>0</v>
      </c>
      <c r="P112" s="1"/>
      <c r="Q112" s="1"/>
      <c r="R112" s="1">
        <v>0</v>
      </c>
      <c r="S112" s="1">
        <f t="shared" si="8"/>
        <v>14.6</v>
      </c>
      <c r="T112" s="5"/>
      <c r="U112" s="1">
        <f t="shared" si="9"/>
        <v>4.8630136986301373</v>
      </c>
      <c r="V112" s="1">
        <f t="shared" si="10"/>
        <v>4.8630136986301373</v>
      </c>
      <c r="W112" s="1">
        <v>7.4</v>
      </c>
      <c r="X112" s="1">
        <v>3.6</v>
      </c>
      <c r="Y112" s="1">
        <v>3.2</v>
      </c>
      <c r="Z112" s="1">
        <v>6.2</v>
      </c>
      <c r="AA112" s="1">
        <v>12.2</v>
      </c>
      <c r="AB112" s="1">
        <v>7.6</v>
      </c>
      <c r="AC112" s="1">
        <v>0.4</v>
      </c>
      <c r="AD112" s="1">
        <v>1.8</v>
      </c>
      <c r="AE112" s="1">
        <v>7.6</v>
      </c>
      <c r="AF112" s="1">
        <v>2.8</v>
      </c>
      <c r="AG112" s="1">
        <v>5</v>
      </c>
      <c r="AH112" s="1"/>
      <c r="AI112" s="1">
        <f>G112*T112</f>
        <v>0</v>
      </c>
      <c r="AJ112" s="1" t="str">
        <f>VLOOKUP(A112,[1]Лист1!$B:$O,14,0)</f>
        <v>матрица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2026-07-21T13:42:57Z</dcterms:created>
  <dcterms:modified xsi:type="dcterms:W3CDTF">2026-07-21T13:49:18Z</dcterms:modified>
</cp:coreProperties>
</file>