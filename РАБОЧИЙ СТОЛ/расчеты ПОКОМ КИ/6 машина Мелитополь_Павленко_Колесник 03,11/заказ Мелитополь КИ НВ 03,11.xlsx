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BD8CB95-D187-4697-8DD3-3690B8D0F3C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P476" i="1"/>
  <c r="BO476" i="1"/>
  <c r="BN476" i="1"/>
  <c r="BM476" i="1"/>
  <c r="Z476" i="1"/>
  <c r="Y476" i="1"/>
  <c r="P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Y467" i="1" s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O455" i="1"/>
  <c r="BM455" i="1"/>
  <c r="Y455" i="1"/>
  <c r="P455" i="1"/>
  <c r="BO454" i="1"/>
  <c r="BM454" i="1"/>
  <c r="Y454" i="1"/>
  <c r="Y456" i="1" s="1"/>
  <c r="P454" i="1"/>
  <c r="BP453" i="1"/>
  <c r="BO453" i="1"/>
  <c r="BN453" i="1"/>
  <c r="BM453" i="1"/>
  <c r="Z453" i="1"/>
  <c r="Y453" i="1"/>
  <c r="P453" i="1"/>
  <c r="X451" i="1"/>
  <c r="Y450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M415" i="1"/>
  <c r="Y415" i="1"/>
  <c r="BP415" i="1" s="1"/>
  <c r="P415" i="1"/>
  <c r="BO414" i="1"/>
  <c r="BM414" i="1"/>
  <c r="Y414" i="1"/>
  <c r="P414" i="1"/>
  <c r="BO413" i="1"/>
  <c r="BM413" i="1"/>
  <c r="Y413" i="1"/>
  <c r="Y417" i="1" s="1"/>
  <c r="P413" i="1"/>
  <c r="X411" i="1"/>
  <c r="X410" i="1"/>
  <c r="BO409" i="1"/>
  <c r="BM409" i="1"/>
  <c r="Y409" i="1"/>
  <c r="BP409" i="1" s="1"/>
  <c r="P409" i="1"/>
  <c r="BO408" i="1"/>
  <c r="BM408" i="1"/>
  <c r="Z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BP403" i="1" s="1"/>
  <c r="P403" i="1"/>
  <c r="BO402" i="1"/>
  <c r="BM402" i="1"/>
  <c r="Y402" i="1"/>
  <c r="P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X398" i="1"/>
  <c r="X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X392" i="1"/>
  <c r="X391" i="1"/>
  <c r="BO390" i="1"/>
  <c r="BM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X385" i="1"/>
  <c r="X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BP371" i="1" s="1"/>
  <c r="P371" i="1"/>
  <c r="BO370" i="1"/>
  <c r="BM370" i="1"/>
  <c r="Y370" i="1"/>
  <c r="P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T572" i="1" s="1"/>
  <c r="P360" i="1"/>
  <c r="X357" i="1"/>
  <c r="X356" i="1"/>
  <c r="BO355" i="1"/>
  <c r="BM355" i="1"/>
  <c r="Y355" i="1"/>
  <c r="Y357" i="1" s="1"/>
  <c r="P355" i="1"/>
  <c r="X353" i="1"/>
  <c r="X352" i="1"/>
  <c r="BO351" i="1"/>
  <c r="BM351" i="1"/>
  <c r="Y351" i="1"/>
  <c r="S572" i="1" s="1"/>
  <c r="P351" i="1"/>
  <c r="X348" i="1"/>
  <c r="X347" i="1"/>
  <c r="BO346" i="1"/>
  <c r="BM346" i="1"/>
  <c r="Y346" i="1"/>
  <c r="BP346" i="1" s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2" i="1"/>
  <c r="X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Y342" i="1" s="1"/>
  <c r="P338" i="1"/>
  <c r="BP337" i="1"/>
  <c r="BO337" i="1"/>
  <c r="BN337" i="1"/>
  <c r="BM337" i="1"/>
  <c r="Z337" i="1"/>
  <c r="Y337" i="1"/>
  <c r="P337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Q572" i="1" s="1"/>
  <c r="P330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P572" i="1" s="1"/>
  <c r="P318" i="1"/>
  <c r="X315" i="1"/>
  <c r="X314" i="1"/>
  <c r="BO313" i="1"/>
  <c r="BM313" i="1"/>
  <c r="Y313" i="1"/>
  <c r="BP313" i="1" s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Y314" i="1" s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X289" i="1"/>
  <c r="X288" i="1"/>
  <c r="BP287" i="1"/>
  <c r="BO287" i="1"/>
  <c r="BN287" i="1"/>
  <c r="BM287" i="1"/>
  <c r="Z287" i="1"/>
  <c r="Y287" i="1"/>
  <c r="P287" i="1"/>
  <c r="BO286" i="1"/>
  <c r="BM286" i="1"/>
  <c r="Y286" i="1"/>
  <c r="Y288" i="1" s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P275" i="1"/>
  <c r="BO275" i="1"/>
  <c r="BN275" i="1"/>
  <c r="BM275" i="1"/>
  <c r="Z275" i="1"/>
  <c r="Y275" i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O255" i="1"/>
  <c r="BM255" i="1"/>
  <c r="Y255" i="1"/>
  <c r="Y257" i="1" s="1"/>
  <c r="P255" i="1"/>
  <c r="X253" i="1"/>
  <c r="X252" i="1"/>
  <c r="BP251" i="1"/>
  <c r="BO251" i="1"/>
  <c r="BN251" i="1"/>
  <c r="BM251" i="1"/>
  <c r="Z251" i="1"/>
  <c r="Y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8" i="1" s="1"/>
  <c r="P214" i="1"/>
  <c r="X212" i="1"/>
  <c r="X211" i="1"/>
  <c r="BO210" i="1"/>
  <c r="BM210" i="1"/>
  <c r="Y210" i="1"/>
  <c r="L572" i="1" s="1"/>
  <c r="P210" i="1"/>
  <c r="X207" i="1"/>
  <c r="X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Y18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Y167" i="1" s="1"/>
  <c r="P165" i="1"/>
  <c r="X163" i="1"/>
  <c r="X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Y163" i="1" s="1"/>
  <c r="P159" i="1"/>
  <c r="BP158" i="1"/>
  <c r="BO158" i="1"/>
  <c r="BN158" i="1"/>
  <c r="BM158" i="1"/>
  <c r="Z158" i="1"/>
  <c r="Y158" i="1"/>
  <c r="P158" i="1"/>
  <c r="X155" i="1"/>
  <c r="Y154" i="1"/>
  <c r="X154" i="1"/>
  <c r="BP153" i="1"/>
  <c r="BO153" i="1"/>
  <c r="BN153" i="1"/>
  <c r="BM153" i="1"/>
  <c r="Z153" i="1"/>
  <c r="Z154" i="1" s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O130" i="1"/>
  <c r="BM130" i="1"/>
  <c r="Y130" i="1"/>
  <c r="BP130" i="1" s="1"/>
  <c r="P130" i="1"/>
  <c r="X127" i="1"/>
  <c r="X126" i="1"/>
  <c r="BO125" i="1"/>
  <c r="BM125" i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Y122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G572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Y98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O74" i="1"/>
  <c r="BM74" i="1"/>
  <c r="Y74" i="1"/>
  <c r="Y76" i="1" s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Y64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P31" i="1"/>
  <c r="BO30" i="1"/>
  <c r="BM30" i="1"/>
  <c r="Y30" i="1"/>
  <c r="Y32" i="1" s="1"/>
  <c r="P30" i="1"/>
  <c r="X28" i="1"/>
  <c r="X562" i="1" s="1"/>
  <c r="X27" i="1"/>
  <c r="BP26" i="1"/>
  <c r="BO26" i="1"/>
  <c r="BN26" i="1"/>
  <c r="BM26" i="1"/>
  <c r="Z26" i="1"/>
  <c r="Y26" i="1"/>
  <c r="P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Y27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39" i="1" l="1"/>
  <c r="BN339" i="1"/>
  <c r="Z339" i="1"/>
  <c r="BP370" i="1"/>
  <c r="BN370" i="1"/>
  <c r="Z370" i="1"/>
  <c r="BP382" i="1"/>
  <c r="BN382" i="1"/>
  <c r="Z382" i="1"/>
  <c r="BP396" i="1"/>
  <c r="BN396" i="1"/>
  <c r="Z396" i="1"/>
  <c r="BP414" i="1"/>
  <c r="BN414" i="1"/>
  <c r="Z414" i="1"/>
  <c r="BP441" i="1"/>
  <c r="BN441" i="1"/>
  <c r="Z441" i="1"/>
  <c r="BP455" i="1"/>
  <c r="BN455" i="1"/>
  <c r="Z455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4" i="1"/>
  <c r="BN24" i="1"/>
  <c r="Z30" i="1"/>
  <c r="BN30" i="1"/>
  <c r="BP30" i="1"/>
  <c r="Y33" i="1"/>
  <c r="C572" i="1"/>
  <c r="Z40" i="1"/>
  <c r="BN40" i="1"/>
  <c r="D572" i="1"/>
  <c r="Z50" i="1"/>
  <c r="BN50" i="1"/>
  <c r="Z57" i="1"/>
  <c r="BN57" i="1"/>
  <c r="Z61" i="1"/>
  <c r="BN61" i="1"/>
  <c r="Y70" i="1"/>
  <c r="Z69" i="1"/>
  <c r="BN69" i="1"/>
  <c r="Y75" i="1"/>
  <c r="Z79" i="1"/>
  <c r="BN79" i="1"/>
  <c r="F572" i="1"/>
  <c r="Z88" i="1"/>
  <c r="BN88" i="1"/>
  <c r="Z94" i="1"/>
  <c r="BN94" i="1"/>
  <c r="BP94" i="1"/>
  <c r="Y99" i="1"/>
  <c r="Z103" i="1"/>
  <c r="BN103" i="1"/>
  <c r="Z107" i="1"/>
  <c r="BN107" i="1"/>
  <c r="Y116" i="1"/>
  <c r="Z119" i="1"/>
  <c r="BN119" i="1"/>
  <c r="Z125" i="1"/>
  <c r="Z126" i="1" s="1"/>
  <c r="BN125" i="1"/>
  <c r="BP125" i="1"/>
  <c r="Y126" i="1"/>
  <c r="Z130" i="1"/>
  <c r="BN130" i="1"/>
  <c r="Y133" i="1"/>
  <c r="Z140" i="1"/>
  <c r="BN140" i="1"/>
  <c r="BP140" i="1"/>
  <c r="Y143" i="1"/>
  <c r="I572" i="1"/>
  <c r="Z149" i="1"/>
  <c r="BN149" i="1"/>
  <c r="Z160" i="1"/>
  <c r="BN160" i="1"/>
  <c r="Z170" i="1"/>
  <c r="BN170" i="1"/>
  <c r="BP170" i="1"/>
  <c r="Y181" i="1"/>
  <c r="Z174" i="1"/>
  <c r="BN174" i="1"/>
  <c r="Z178" i="1"/>
  <c r="BN178" i="1"/>
  <c r="Z184" i="1"/>
  <c r="BN184" i="1"/>
  <c r="BP184" i="1"/>
  <c r="Y187" i="1"/>
  <c r="K572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M572" i="1"/>
  <c r="Z255" i="1"/>
  <c r="BN255" i="1"/>
  <c r="BP255" i="1"/>
  <c r="Y258" i="1"/>
  <c r="Y268" i="1"/>
  <c r="Z263" i="1"/>
  <c r="BN263" i="1"/>
  <c r="Z267" i="1"/>
  <c r="BN267" i="1"/>
  <c r="Z273" i="1"/>
  <c r="BN273" i="1"/>
  <c r="Z277" i="1"/>
  <c r="BN277" i="1"/>
  <c r="Z281" i="1"/>
  <c r="BN281" i="1"/>
  <c r="Z292" i="1"/>
  <c r="BN292" i="1"/>
  <c r="Y299" i="1"/>
  <c r="Z296" i="1"/>
  <c r="BN296" i="1"/>
  <c r="Z302" i="1"/>
  <c r="Z303" i="1" s="1"/>
  <c r="BN302" i="1"/>
  <c r="BP302" i="1"/>
  <c r="Y303" i="1"/>
  <c r="Z306" i="1"/>
  <c r="Z307" i="1" s="1"/>
  <c r="BN306" i="1"/>
  <c r="BP306" i="1"/>
  <c r="Y307" i="1"/>
  <c r="Z310" i="1"/>
  <c r="BN310" i="1"/>
  <c r="BP310" i="1"/>
  <c r="Y315" i="1"/>
  <c r="Z319" i="1"/>
  <c r="BN319" i="1"/>
  <c r="Z323" i="1"/>
  <c r="BN323" i="1"/>
  <c r="Z330" i="1"/>
  <c r="BN330" i="1"/>
  <c r="BP330" i="1"/>
  <c r="Y333" i="1"/>
  <c r="BP332" i="1"/>
  <c r="BN332" i="1"/>
  <c r="Z332" i="1"/>
  <c r="BP361" i="1"/>
  <c r="BN361" i="1"/>
  <c r="Z361" i="1"/>
  <c r="Y385" i="1"/>
  <c r="BP378" i="1"/>
  <c r="BN378" i="1"/>
  <c r="Z378" i="1"/>
  <c r="BP390" i="1"/>
  <c r="BN390" i="1"/>
  <c r="Z390" i="1"/>
  <c r="BP402" i="1"/>
  <c r="BN402" i="1"/>
  <c r="Z402" i="1"/>
  <c r="BP437" i="1"/>
  <c r="BN437" i="1"/>
  <c r="Z437" i="1"/>
  <c r="Y451" i="1"/>
  <c r="BP447" i="1"/>
  <c r="BN447" i="1"/>
  <c r="Z447" i="1"/>
  <c r="BP466" i="1"/>
  <c r="BN466" i="1"/>
  <c r="Z466" i="1"/>
  <c r="Y472" i="1"/>
  <c r="Y471" i="1"/>
  <c r="BP470" i="1"/>
  <c r="BN470" i="1"/>
  <c r="Z470" i="1"/>
  <c r="Z471" i="1" s="1"/>
  <c r="BP474" i="1"/>
  <c r="BN474" i="1"/>
  <c r="Z474" i="1"/>
  <c r="BP486" i="1"/>
  <c r="BN486" i="1"/>
  <c r="Z486" i="1"/>
  <c r="BP513" i="1"/>
  <c r="BN513" i="1"/>
  <c r="Z513" i="1"/>
  <c r="Y522" i="1"/>
  <c r="BP527" i="1"/>
  <c r="BN527" i="1"/>
  <c r="Z527" i="1"/>
  <c r="Y348" i="1"/>
  <c r="U572" i="1"/>
  <c r="Y391" i="1"/>
  <c r="Y397" i="1"/>
  <c r="Y405" i="1"/>
  <c r="Y411" i="1"/>
  <c r="Y432" i="1"/>
  <c r="Y461" i="1"/>
  <c r="Y477" i="1"/>
  <c r="Y555" i="1"/>
  <c r="AC572" i="1"/>
  <c r="H9" i="1"/>
  <c r="A10" i="1"/>
  <c r="B572" i="1"/>
  <c r="X563" i="1"/>
  <c r="X564" i="1"/>
  <c r="Z23" i="1"/>
  <c r="BN23" i="1"/>
  <c r="BP23" i="1"/>
  <c r="Z25" i="1"/>
  <c r="BN25" i="1"/>
  <c r="X566" i="1"/>
  <c r="Y28" i="1"/>
  <c r="Z31" i="1"/>
  <c r="Z32" i="1" s="1"/>
  <c r="BN31" i="1"/>
  <c r="BP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Z63" i="1" s="1"/>
  <c r="BN56" i="1"/>
  <c r="BP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Y71" i="1"/>
  <c r="Z74" i="1"/>
  <c r="Z75" i="1" s="1"/>
  <c r="BN74" i="1"/>
  <c r="BP74" i="1"/>
  <c r="Z78" i="1"/>
  <c r="BN78" i="1"/>
  <c r="BP78" i="1"/>
  <c r="Z80" i="1"/>
  <c r="BN80" i="1"/>
  <c r="Y81" i="1"/>
  <c r="Z85" i="1"/>
  <c r="BN85" i="1"/>
  <c r="BP85" i="1"/>
  <c r="Z87" i="1"/>
  <c r="BN87" i="1"/>
  <c r="Z89" i="1"/>
  <c r="BN89" i="1"/>
  <c r="Y92" i="1"/>
  <c r="Z95" i="1"/>
  <c r="BN95" i="1"/>
  <c r="BP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5" i="1" s="1"/>
  <c r="BN112" i="1"/>
  <c r="BP112" i="1"/>
  <c r="Z114" i="1"/>
  <c r="BN114" i="1"/>
  <c r="Y115" i="1"/>
  <c r="Z118" i="1"/>
  <c r="Z122" i="1" s="1"/>
  <c r="BN118" i="1"/>
  <c r="BP118" i="1"/>
  <c r="Z120" i="1"/>
  <c r="BN120" i="1"/>
  <c r="Y123" i="1"/>
  <c r="H572" i="1"/>
  <c r="Z131" i="1"/>
  <c r="Z132" i="1" s="1"/>
  <c r="BN131" i="1"/>
  <c r="BP131" i="1"/>
  <c r="Y132" i="1"/>
  <c r="Z135" i="1"/>
  <c r="Z137" i="1" s="1"/>
  <c r="BN135" i="1"/>
  <c r="BP135" i="1"/>
  <c r="Y138" i="1"/>
  <c r="Z141" i="1"/>
  <c r="BN141" i="1"/>
  <c r="BP141" i="1"/>
  <c r="Z146" i="1"/>
  <c r="Z150" i="1" s="1"/>
  <c r="BN146" i="1"/>
  <c r="BP146" i="1"/>
  <c r="Z148" i="1"/>
  <c r="BN148" i="1"/>
  <c r="Y151" i="1"/>
  <c r="J572" i="1"/>
  <c r="Z159" i="1"/>
  <c r="BN159" i="1"/>
  <c r="BP159" i="1"/>
  <c r="Z161" i="1"/>
  <c r="BN161" i="1"/>
  <c r="Y162" i="1"/>
  <c r="Z165" i="1"/>
  <c r="Z167" i="1" s="1"/>
  <c r="BN165" i="1"/>
  <c r="BP165" i="1"/>
  <c r="Y168" i="1"/>
  <c r="Z171" i="1"/>
  <c r="BN171" i="1"/>
  <c r="BP171" i="1"/>
  <c r="Z173" i="1"/>
  <c r="BN173" i="1"/>
  <c r="Z175" i="1"/>
  <c r="BN175" i="1"/>
  <c r="Z177" i="1"/>
  <c r="BN177" i="1"/>
  <c r="Z179" i="1"/>
  <c r="BN179" i="1"/>
  <c r="Z185" i="1"/>
  <c r="Z186" i="1" s="1"/>
  <c r="BN185" i="1"/>
  <c r="BP185" i="1"/>
  <c r="Z189" i="1"/>
  <c r="Z190" i="1" s="1"/>
  <c r="BN189" i="1"/>
  <c r="BP189" i="1"/>
  <c r="Y190" i="1"/>
  <c r="Z193" i="1"/>
  <c r="Z194" i="1" s="1"/>
  <c r="BN193" i="1"/>
  <c r="BP193" i="1"/>
  <c r="Y194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2" i="1" s="1"/>
  <c r="BN249" i="1"/>
  <c r="BP249" i="1"/>
  <c r="Y253" i="1"/>
  <c r="Z256" i="1"/>
  <c r="Z257" i="1" s="1"/>
  <c r="BN256" i="1"/>
  <c r="BP256" i="1"/>
  <c r="Z260" i="1"/>
  <c r="Z268" i="1" s="1"/>
  <c r="BN260" i="1"/>
  <c r="BP260" i="1"/>
  <c r="Z262" i="1"/>
  <c r="BN262" i="1"/>
  <c r="Z264" i="1"/>
  <c r="BN264" i="1"/>
  <c r="Z266" i="1"/>
  <c r="BN266" i="1"/>
  <c r="Y269" i="1"/>
  <c r="Y283" i="1"/>
  <c r="Z272" i="1"/>
  <c r="BN272" i="1"/>
  <c r="Z274" i="1"/>
  <c r="BN274" i="1"/>
  <c r="Z276" i="1"/>
  <c r="BN276" i="1"/>
  <c r="Z278" i="1"/>
  <c r="BN278" i="1"/>
  <c r="BP280" i="1"/>
  <c r="BN280" i="1"/>
  <c r="Z280" i="1"/>
  <c r="F9" i="1"/>
  <c r="J9" i="1"/>
  <c r="Y43" i="1"/>
  <c r="Y51" i="1"/>
  <c r="Y91" i="1"/>
  <c r="Y110" i="1"/>
  <c r="Y150" i="1"/>
  <c r="Y207" i="1"/>
  <c r="Y212" i="1"/>
  <c r="Y252" i="1"/>
  <c r="BP282" i="1"/>
  <c r="BN282" i="1"/>
  <c r="Z282" i="1"/>
  <c r="Y284" i="1"/>
  <c r="Y289" i="1"/>
  <c r="BP286" i="1"/>
  <c r="BN286" i="1"/>
  <c r="Z286" i="1"/>
  <c r="Z288" i="1" s="1"/>
  <c r="O572" i="1"/>
  <c r="Z293" i="1"/>
  <c r="BN293" i="1"/>
  <c r="BP293" i="1"/>
  <c r="Z295" i="1"/>
  <c r="BN295" i="1"/>
  <c r="Z297" i="1"/>
  <c r="BN297" i="1"/>
  <c r="Y300" i="1"/>
  <c r="Z311" i="1"/>
  <c r="BN311" i="1"/>
  <c r="BP311" i="1"/>
  <c r="Z313" i="1"/>
  <c r="BN313" i="1"/>
  <c r="Z318" i="1"/>
  <c r="Z326" i="1" s="1"/>
  <c r="BN318" i="1"/>
  <c r="BP318" i="1"/>
  <c r="Z320" i="1"/>
  <c r="BN320" i="1"/>
  <c r="Z322" i="1"/>
  <c r="BN322" i="1"/>
  <c r="Z324" i="1"/>
  <c r="BN324" i="1"/>
  <c r="Y327" i="1"/>
  <c r="Z331" i="1"/>
  <c r="Z333" i="1" s="1"/>
  <c r="BN331" i="1"/>
  <c r="BP331" i="1"/>
  <c r="Y334" i="1"/>
  <c r="R572" i="1"/>
  <c r="Z338" i="1"/>
  <c r="BN338" i="1"/>
  <c r="BP338" i="1"/>
  <c r="Z340" i="1"/>
  <c r="BN340" i="1"/>
  <c r="Y341" i="1"/>
  <c r="Z344" i="1"/>
  <c r="BN344" i="1"/>
  <c r="BP344" i="1"/>
  <c r="Z346" i="1"/>
  <c r="BN346" i="1"/>
  <c r="Y347" i="1"/>
  <c r="Z351" i="1"/>
  <c r="Z352" i="1" s="1"/>
  <c r="BN351" i="1"/>
  <c r="BP351" i="1"/>
  <c r="Y352" i="1"/>
  <c r="Z355" i="1"/>
  <c r="Z356" i="1" s="1"/>
  <c r="BN355" i="1"/>
  <c r="BP355" i="1"/>
  <c r="Y356" i="1"/>
  <c r="Z360" i="1"/>
  <c r="BN360" i="1"/>
  <c r="BP360" i="1"/>
  <c r="Z362" i="1"/>
  <c r="BN362" i="1"/>
  <c r="Y363" i="1"/>
  <c r="Z367" i="1"/>
  <c r="BN367" i="1"/>
  <c r="BP367" i="1"/>
  <c r="Z369" i="1"/>
  <c r="BN369" i="1"/>
  <c r="Z371" i="1"/>
  <c r="BN371" i="1"/>
  <c r="Z373" i="1"/>
  <c r="BN373" i="1"/>
  <c r="Y374" i="1"/>
  <c r="Z377" i="1"/>
  <c r="BN377" i="1"/>
  <c r="BP377" i="1"/>
  <c r="Z379" i="1"/>
  <c r="BN379" i="1"/>
  <c r="Z381" i="1"/>
  <c r="BN381" i="1"/>
  <c r="Z383" i="1"/>
  <c r="BN383" i="1"/>
  <c r="Y384" i="1"/>
  <c r="Z387" i="1"/>
  <c r="BN387" i="1"/>
  <c r="BP387" i="1"/>
  <c r="Z389" i="1"/>
  <c r="BN389" i="1"/>
  <c r="Y392" i="1"/>
  <c r="Z395" i="1"/>
  <c r="BN395" i="1"/>
  <c r="Y398" i="1"/>
  <c r="Z401" i="1"/>
  <c r="BN401" i="1"/>
  <c r="Z403" i="1"/>
  <c r="BN403" i="1"/>
  <c r="Y404" i="1"/>
  <c r="Z407" i="1"/>
  <c r="BN407" i="1"/>
  <c r="BP407" i="1"/>
  <c r="Z409" i="1"/>
  <c r="BN409" i="1"/>
  <c r="Y410" i="1"/>
  <c r="Z413" i="1"/>
  <c r="BN413" i="1"/>
  <c r="BP413" i="1"/>
  <c r="Z415" i="1"/>
  <c r="BN415" i="1"/>
  <c r="Y416" i="1"/>
  <c r="BP422" i="1"/>
  <c r="BN422" i="1"/>
  <c r="Z422" i="1"/>
  <c r="BP430" i="1"/>
  <c r="BN430" i="1"/>
  <c r="Z430" i="1"/>
  <c r="X572" i="1"/>
  <c r="Y445" i="1"/>
  <c r="BP436" i="1"/>
  <c r="BN436" i="1"/>
  <c r="Z436" i="1"/>
  <c r="BP440" i="1"/>
  <c r="BN440" i="1"/>
  <c r="Z440" i="1"/>
  <c r="Y444" i="1"/>
  <c r="Z450" i="1"/>
  <c r="BP448" i="1"/>
  <c r="BN448" i="1"/>
  <c r="Z448" i="1"/>
  <c r="Y457" i="1"/>
  <c r="BP460" i="1"/>
  <c r="BN460" i="1"/>
  <c r="Z460" i="1"/>
  <c r="Z461" i="1" s="1"/>
  <c r="Y462" i="1"/>
  <c r="Y468" i="1"/>
  <c r="BP465" i="1"/>
  <c r="BN465" i="1"/>
  <c r="Z465" i="1"/>
  <c r="Z467" i="1" s="1"/>
  <c r="Y478" i="1"/>
  <c r="BP483" i="1"/>
  <c r="BN483" i="1"/>
  <c r="Z483" i="1"/>
  <c r="Z488" i="1" s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Y572" i="1"/>
  <c r="Y326" i="1"/>
  <c r="Y353" i="1"/>
  <c r="Y364" i="1"/>
  <c r="Y375" i="1"/>
  <c r="BN408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Z431" i="1" s="1"/>
  <c r="BP438" i="1"/>
  <c r="BN438" i="1"/>
  <c r="Z438" i="1"/>
  <c r="BP442" i="1"/>
  <c r="BN442" i="1"/>
  <c r="Z442" i="1"/>
  <c r="BP454" i="1"/>
  <c r="BN454" i="1"/>
  <c r="Z454" i="1"/>
  <c r="Z456" i="1" s="1"/>
  <c r="BP475" i="1"/>
  <c r="BN475" i="1"/>
  <c r="Z475" i="1"/>
  <c r="Z477" i="1" s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Z522" i="1" s="1"/>
  <c r="Y533" i="1"/>
  <c r="BP528" i="1"/>
  <c r="BN528" i="1"/>
  <c r="Z528" i="1"/>
  <c r="Z532" i="1" s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404" i="1" l="1"/>
  <c r="Z299" i="1"/>
  <c r="Y563" i="1"/>
  <c r="Y566" i="1"/>
  <c r="Z516" i="1"/>
  <c r="Z397" i="1"/>
  <c r="Z341" i="1"/>
  <c r="Z314" i="1"/>
  <c r="Y564" i="1"/>
  <c r="Z283" i="1"/>
  <c r="Z181" i="1"/>
  <c r="Z162" i="1"/>
  <c r="Z142" i="1"/>
  <c r="Z98" i="1"/>
  <c r="Z27" i="1"/>
  <c r="Z424" i="1"/>
  <c r="Z503" i="1"/>
  <c r="Z444" i="1"/>
  <c r="Z416" i="1"/>
  <c r="Z410" i="1"/>
  <c r="Z391" i="1"/>
  <c r="Z384" i="1"/>
  <c r="Z374" i="1"/>
  <c r="Z363" i="1"/>
  <c r="Z347" i="1"/>
  <c r="Z241" i="1"/>
  <c r="Z235" i="1"/>
  <c r="Z227" i="1"/>
  <c r="Z206" i="1"/>
  <c r="Z91" i="1"/>
  <c r="Z81" i="1"/>
  <c r="Z51" i="1"/>
  <c r="Z42" i="1"/>
  <c r="Y562" i="1"/>
  <c r="X565" i="1"/>
  <c r="Z567" i="1" l="1"/>
  <c r="Y565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<sst xmlns="http://schemas.openxmlformats.org/spreadsheetml/2006/main" count="2531" uniqueCount="914">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</sst>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159</v>
      </c>
      <c r="Y47" s="636">
        <f>IFERROR(IF(X47="",0,CEILING((X47/$H47),1)*$H47),"")</f>
        <v>162</v>
      </c>
      <c r="Z47" s="36">
        <f>IFERROR(IF(Y47=0,"",ROUNDUP(Y47/H47,0)*0.01898),"")</f>
        <v>0.28470000000000001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165.0361111111111</v>
      </c>
      <c r="BN47" s="64">
        <f>IFERROR(Y47*I47/H47,"0")</f>
        <v>168.15</v>
      </c>
      <c r="BO47" s="64">
        <f>IFERROR(1/J47*(X47/H47),"0")</f>
        <v>0.23003472222222221</v>
      </c>
      <c r="BP47" s="64">
        <f>IFERROR(1/J47*(Y47/H47),"0")</f>
        <v>0.23437499999999997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0</v>
      </c>
      <c r="Y50" s="63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14.722222222222221</v>
      </c>
      <c r="Y51" s="637">
        <f>IFERROR(Y47/H47,"0")+IFERROR(Y48/H48,"0")+IFERROR(Y49/H49,"0")+IFERROR(Y50/H50,"0")</f>
        <v>14.999999999999998</v>
      </c>
      <c r="Z51" s="637">
        <f>IFERROR(IF(Z47="",0,Z47),"0")+IFERROR(IF(Z48="",0,Z48),"0")+IFERROR(IF(Z49="",0,Z49),"0")+IFERROR(IF(Z50="",0,Z50),"0")</f>
        <v>0.28470000000000001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159</v>
      </c>
      <c r="Y52" s="637">
        <f>IFERROR(SUM(Y47:Y50),"0")</f>
        <v>162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0</v>
      </c>
      <c r="Y56" s="63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58</v>
      </c>
      <c r="Y62" s="636">
        <f t="shared" si="0"/>
        <v>58.5</v>
      </c>
      <c r="Z62" s="36">
        <f>IFERROR(IF(Y62=0,"",ROUNDUP(Y62/H62,0)*0.00902),"")</f>
        <v>0.11726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60.448888888888895</v>
      </c>
      <c r="BN62" s="64">
        <f t="shared" si="2"/>
        <v>60.97</v>
      </c>
      <c r="BO62" s="64">
        <f t="shared" si="3"/>
        <v>9.7643097643097643E-2</v>
      </c>
      <c r="BP62" s="64">
        <f t="shared" si="4"/>
        <v>9.8484848484848481E-2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12.888888888888889</v>
      </c>
      <c r="Y63" s="637">
        <f>IFERROR(Y55/H55,"0")+IFERROR(Y56/H56,"0")+IFERROR(Y57/H57,"0")+IFERROR(Y58/H58,"0")+IFERROR(Y59/H59,"0")+IFERROR(Y60/H60,"0")+IFERROR(Y61/H61,"0")+IFERROR(Y62/H62,"0")</f>
        <v>13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0.11726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58</v>
      </c>
      <c r="Y64" s="637">
        <f>IFERROR(SUM(Y55:Y62),"0")</f>
        <v>58.5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hidden="1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0</v>
      </c>
      <c r="Y85" s="636">
        <f t="shared" ref="Y85:Y90" si="5"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0</v>
      </c>
      <c r="BN85" s="64">
        <f t="shared" ref="BN85:BN90" si="7">IFERROR(Y85*I85/H85,"0")</f>
        <v>0</v>
      </c>
      <c r="BO85" s="64">
        <f t="shared" ref="BO85:BO90" si="8">IFERROR(1/J85*(X85/H85),"0")</f>
        <v>0</v>
      </c>
      <c r="BP85" s="64">
        <f t="shared" ref="BP85:BP90" si="9">IFERROR(1/J85*(Y85/H85),"0")</f>
        <v>0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134</v>
      </c>
      <c r="Y90" s="636">
        <f t="shared" si="5"/>
        <v>135</v>
      </c>
      <c r="Z90" s="36">
        <f>IFERROR(IF(Y90=0,"",ROUNDUP(Y90/H90,0)*0.00902),"")</f>
        <v>0.27060000000000001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139.6577777777778</v>
      </c>
      <c r="BN90" s="64">
        <f t="shared" si="7"/>
        <v>140.70000000000002</v>
      </c>
      <c r="BO90" s="64">
        <f t="shared" si="8"/>
        <v>0.22558922558922559</v>
      </c>
      <c r="BP90" s="64">
        <f t="shared" si="9"/>
        <v>0.22727272727272729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29.777777777777779</v>
      </c>
      <c r="Y91" s="637">
        <f>IFERROR(Y85/H85,"0")+IFERROR(Y86/H86,"0")+IFERROR(Y87/H87,"0")+IFERROR(Y88/H88,"0")+IFERROR(Y89/H89,"0")+IFERROR(Y90/H90,"0")</f>
        <v>30</v>
      </c>
      <c r="Z91" s="637">
        <f>IFERROR(IF(Z85="",0,Z85),"0")+IFERROR(IF(Z86="",0,Z86),"0")+IFERROR(IF(Z87="",0,Z87),"0")+IFERROR(IF(Z88="",0,Z88),"0")+IFERROR(IF(Z89="",0,Z89),"0")+IFERROR(IF(Z90="",0,Z90),"0")</f>
        <v>0.27060000000000001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134</v>
      </c>
      <c r="Y92" s="637">
        <f>IFERROR(SUM(Y85:Y90),"0")</f>
        <v>135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190</v>
      </c>
      <c r="Y94" s="636">
        <f>IFERROR(IF(X94="",0,CEILING((X94/$H94),1)*$H94),"")</f>
        <v>194.39999999999998</v>
      </c>
      <c r="Z94" s="36">
        <f>IFERROR(IF(Y94=0,"",ROUNDUP(Y94/H94,0)*0.01898),"")</f>
        <v>0.45552000000000004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201.58765432098764</v>
      </c>
      <c r="BN94" s="64">
        <f>IFERROR(Y94*I94/H94,"0")</f>
        <v>206.25599999999997</v>
      </c>
      <c r="BO94" s="64">
        <f>IFERROR(1/J94*(X94/H94),"0")</f>
        <v>0.36651234567901236</v>
      </c>
      <c r="BP94" s="64">
        <f>IFERROR(1/J94*(Y94/H94),"0")</f>
        <v>0.375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108</v>
      </c>
      <c r="Y96" s="636">
        <f>IFERROR(IF(X96="",0,CEILING((X96/$H96),1)*$H96),"")</f>
        <v>108</v>
      </c>
      <c r="Z96" s="36">
        <f>IFERROR(IF(Y96=0,"",ROUNDUP(Y96/H96,0)*0.00651),"")</f>
        <v>0.26040000000000002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118.07999999999998</v>
      </c>
      <c r="BN96" s="64">
        <f>IFERROR(Y96*I96/H96,"0")</f>
        <v>118.07999999999998</v>
      </c>
      <c r="BO96" s="64">
        <f>IFERROR(1/J96*(X96/H96),"0")</f>
        <v>0.2197802197802198</v>
      </c>
      <c r="BP96" s="64">
        <f>IFERROR(1/J96*(Y96/H96),"0")</f>
        <v>0.2197802197802198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63.456790123456791</v>
      </c>
      <c r="Y98" s="637">
        <f>IFERROR(Y94/H94,"0")+IFERROR(Y95/H95,"0")+IFERROR(Y96/H96,"0")+IFERROR(Y97/H97,"0")</f>
        <v>64</v>
      </c>
      <c r="Z98" s="637">
        <f>IFERROR(IF(Z94="",0,Z94),"0")+IFERROR(IF(Z95="",0,Z95),"0")+IFERROR(IF(Z96="",0,Z96),"0")+IFERROR(IF(Z97="",0,Z97),"0")</f>
        <v>0.71592000000000011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298</v>
      </c>
      <c r="Y99" s="637">
        <f>IFERROR(SUM(Y94:Y97),"0")</f>
        <v>302.39999999999998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83</v>
      </c>
      <c r="Y106" s="636">
        <f t="shared" si="10"/>
        <v>85.5</v>
      </c>
      <c r="Z106" s="36">
        <f>IFERROR(IF(Y106=0,"",ROUNDUP(Y106/H106,0)*0.00902),"")</f>
        <v>0.17138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86.504444444444459</v>
      </c>
      <c r="BN106" s="64">
        <f t="shared" si="12"/>
        <v>89.110000000000014</v>
      </c>
      <c r="BO106" s="64">
        <f t="shared" si="13"/>
        <v>0.13973063973063973</v>
      </c>
      <c r="BP106" s="64">
        <f t="shared" si="14"/>
        <v>0.14393939393939395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18.444444444444443</v>
      </c>
      <c r="Y109" s="637">
        <f>IFERROR(Y102/H102,"0")+IFERROR(Y103/H103,"0")+IFERROR(Y104/H104,"0")+IFERROR(Y105/H105,"0")+IFERROR(Y106/H106,"0")+IFERROR(Y107/H107,"0")+IFERROR(Y108/H108,"0")</f>
        <v>19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0.17138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83</v>
      </c>
      <c r="Y110" s="637">
        <f>IFERROR(SUM(Y102:Y108),"0")</f>
        <v>85.5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289</v>
      </c>
      <c r="Y118" s="636">
        <f>IFERROR(IF(X118="",0,CEILING((X118/$H118),1)*$H118),"")</f>
        <v>291.59999999999997</v>
      </c>
      <c r="Z118" s="36">
        <f>IFERROR(IF(Y118=0,"",ROUNDUP(Y118/H118,0)*0.01898),"")</f>
        <v>0.68328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306.41135802469137</v>
      </c>
      <c r="BN118" s="64">
        <f>IFERROR(Y118*I118/H118,"0")</f>
        <v>309.16799999999995</v>
      </c>
      <c r="BO118" s="64">
        <f>IFERROR(1/J118*(X118/H118),"0")</f>
        <v>0.55748456790123457</v>
      </c>
      <c r="BP118" s="64">
        <f>IFERROR(1/J118*(Y118/H118),"0")</f>
        <v>0.5625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92</v>
      </c>
      <c r="Y120" s="636">
        <f>IFERROR(IF(X120="",0,CEILING((X120/$H120),1)*$H120),"")</f>
        <v>94.5</v>
      </c>
      <c r="Z120" s="36">
        <f>IFERROR(IF(Y120=0,"",ROUNDUP(Y120/H120,0)*0.00651),"")</f>
        <v>0.22785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100.58666666666666</v>
      </c>
      <c r="BN120" s="64">
        <f>IFERROR(Y120*I120/H120,"0")</f>
        <v>103.32</v>
      </c>
      <c r="BO120" s="64">
        <f>IFERROR(1/J120*(X120/H120),"0")</f>
        <v>0.18722018722018721</v>
      </c>
      <c r="BP120" s="64">
        <f>IFERROR(1/J120*(Y120/H120),"0")</f>
        <v>0.19230769230769232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69.753086419753089</v>
      </c>
      <c r="Y122" s="637">
        <f>IFERROR(Y118/H118,"0")+IFERROR(Y119/H119,"0")+IFERROR(Y120/H120,"0")+IFERROR(Y121/H121,"0")</f>
        <v>71</v>
      </c>
      <c r="Z122" s="637">
        <f>IFERROR(IF(Z118="",0,Z118),"0")+IFERROR(IF(Z119="",0,Z119),"0")+IFERROR(IF(Z120="",0,Z120),"0")+IFERROR(IF(Z121="",0,Z121),"0")</f>
        <v>0.91113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381</v>
      </c>
      <c r="Y123" s="637">
        <f>IFERROR(SUM(Y118:Y121),"0")</f>
        <v>386.09999999999997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hidden="1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0</v>
      </c>
      <c r="Y126" s="637">
        <f>IFERROR(Y125/H125,"0")</f>
        <v>0</v>
      </c>
      <c r="Z126" s="637">
        <f>IFERROR(IF(Z125="",0,Z125),"0")</f>
        <v>0</v>
      </c>
      <c r="AA126" s="638"/>
      <c r="AB126" s="638"/>
      <c r="AC126" s="638"/>
    </row>
    <row r="127" spans="1:68" hidden="1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0</v>
      </c>
      <c r="Y127" s="637">
        <f>IFERROR(SUM(Y125:Y125),"0")</f>
        <v>0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333</v>
      </c>
      <c r="Y174" s="636">
        <f t="shared" si="15"/>
        <v>336</v>
      </c>
      <c r="Z174" s="36">
        <f>IFERROR(IF(Y174=0,"",ROUNDUP(Y174/H174,0)*0.00902),"")</f>
        <v>0.86592000000000002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351.07714285714286</v>
      </c>
      <c r="BN174" s="64">
        <f t="shared" si="17"/>
        <v>354.23999999999995</v>
      </c>
      <c r="BO174" s="64">
        <f t="shared" si="18"/>
        <v>0.72077922077922074</v>
      </c>
      <c r="BP174" s="64">
        <f t="shared" si="19"/>
        <v>0.72727272727272729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95.142857142857139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96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0.86592000000000002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333</v>
      </c>
      <c r="Y182" s="637">
        <f>IFERROR(SUM(Y170:Y180),"0")</f>
        <v>336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53</v>
      </c>
      <c r="Y222" s="636">
        <f t="shared" si="26"/>
        <v>54</v>
      </c>
      <c r="Z222" s="36">
        <f>IFERROR(IF(Y222=0,"",ROUNDUP(Y222/H222,0)*0.00502),"")</f>
        <v>0.15060000000000001</v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56.827777777777769</v>
      </c>
      <c r="BN222" s="64">
        <f t="shared" si="28"/>
        <v>57.9</v>
      </c>
      <c r="BO222" s="64">
        <f t="shared" si="29"/>
        <v>0.12583095916429252</v>
      </c>
      <c r="BP222" s="64">
        <f t="shared" si="30"/>
        <v>0.12820512820512822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29.444444444444443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0.15060000000000001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53</v>
      </c>
      <c r="Y228" s="637">
        <f>IFERROR(SUM(Y214:Y226),"0")</f>
        <v>54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176</v>
      </c>
      <c r="Y263" s="636">
        <f t="shared" si="31"/>
        <v>178.20000000000002</v>
      </c>
      <c r="Z263" s="36">
        <f>IFERROR(IF(Y263=0,"",ROUNDUP(Y263/H263,0)*0.00902),"")</f>
        <v>0.29766000000000004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182.19259259259258</v>
      </c>
      <c r="BN263" s="64">
        <f t="shared" si="33"/>
        <v>184.47</v>
      </c>
      <c r="BO263" s="64">
        <f t="shared" si="34"/>
        <v>0.24691358024691357</v>
      </c>
      <c r="BP263" s="64">
        <f t="shared" si="35"/>
        <v>0.25</v>
      </c>
    </row>
    <row r="264" spans="1:68" ht="27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36</v>
      </c>
      <c r="Y264" s="636">
        <f t="shared" si="31"/>
        <v>36</v>
      </c>
      <c r="Z264" s="36">
        <f>IFERROR(IF(Y264=0,"",ROUNDUP(Y264/H264,0)*0.00502),"")</f>
        <v>0.1004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38.6</v>
      </c>
      <c r="BN264" s="64">
        <f t="shared" si="33"/>
        <v>38.6</v>
      </c>
      <c r="BO264" s="64">
        <f t="shared" si="34"/>
        <v>8.5470085470085472E-2</v>
      </c>
      <c r="BP264" s="64">
        <f t="shared" si="35"/>
        <v>8.5470085470085472E-2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52.592592592592588</v>
      </c>
      <c r="Y268" s="637">
        <f>IFERROR(Y260/H260,"0")+IFERROR(Y261/H261,"0")+IFERROR(Y262/H262,"0")+IFERROR(Y263/H263,"0")+IFERROR(Y264/H264,"0")+IFERROR(Y265/H265,"0")+IFERROR(Y266/H266,"0")+IFERROR(Y267/H267,"0")</f>
        <v>53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0.39806000000000002</v>
      </c>
      <c r="AA268" s="638"/>
      <c r="AB268" s="638"/>
      <c r="AC268" s="638"/>
    </row>
    <row r="269" spans="1:68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212</v>
      </c>
      <c r="Y269" s="637">
        <f>IFERROR(SUM(Y260:Y267),"0")</f>
        <v>214.20000000000002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0</v>
      </c>
      <c r="Y273" s="636">
        <f t="shared" si="36"/>
        <v>0</v>
      </c>
      <c r="Z273" s="36" t="str">
        <f>IFERROR(IF(Y273=0,"",ROUNDUP(Y273/H273,0)*0.01898),"")</f>
        <v/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470</v>
      </c>
      <c r="Y277" s="636">
        <f t="shared" si="36"/>
        <v>470.4</v>
      </c>
      <c r="Z277" s="36">
        <f>IFERROR(IF(Y277=0,"",ROUNDUP(Y277/H277,0)*0.00651),"")</f>
        <v>1.27596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519.35</v>
      </c>
      <c r="BN277" s="64">
        <f t="shared" si="38"/>
        <v>519.79200000000003</v>
      </c>
      <c r="BO277" s="64">
        <f t="shared" si="39"/>
        <v>1.0760073260073262</v>
      </c>
      <c r="BP277" s="64">
        <f t="shared" si="40"/>
        <v>1.0769230769230771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137</v>
      </c>
      <c r="Y279" s="636">
        <f t="shared" si="36"/>
        <v>139.19999999999999</v>
      </c>
      <c r="Z279" s="36">
        <f>IFERROR(IF(Y279=0,"",ROUNDUP(Y279/H279,0)*0.00651),"")</f>
        <v>0.37758000000000003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151.38500000000002</v>
      </c>
      <c r="BN279" s="64">
        <f t="shared" si="38"/>
        <v>153.816</v>
      </c>
      <c r="BO279" s="64">
        <f t="shared" si="39"/>
        <v>0.3136446886446887</v>
      </c>
      <c r="BP279" s="64">
        <f t="shared" si="40"/>
        <v>0.31868131868131871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87</v>
      </c>
      <c r="Y281" s="636">
        <f t="shared" si="36"/>
        <v>88.8</v>
      </c>
      <c r="Z281" s="36">
        <f>IFERROR(IF(Y281=0,"",ROUNDUP(Y281/H281,0)*0.00651),"")</f>
        <v>0.24087</v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96.352499999999992</v>
      </c>
      <c r="BN281" s="64">
        <f t="shared" si="38"/>
        <v>98.346000000000004</v>
      </c>
      <c r="BO281" s="64">
        <f t="shared" si="39"/>
        <v>0.19917582417582419</v>
      </c>
      <c r="BP281" s="64">
        <f t="shared" si="40"/>
        <v>0.20329670329670332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289.16666666666669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291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1.8944099999999999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694</v>
      </c>
      <c r="Y284" s="637">
        <f>IFERROR(SUM(Y271:Y282),"0")</f>
        <v>698.39999999999986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46</v>
      </c>
      <c r="Y331" s="636">
        <f>IFERROR(IF(X331="",0,CEILING((X331/$H331),1)*$H331),"")</f>
        <v>48</v>
      </c>
      <c r="Z331" s="36">
        <f>IFERROR(IF(Y331=0,"",ROUNDUP(Y331/H331,0)*0.00651),"")</f>
        <v>0.13020000000000001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50.830000000000005</v>
      </c>
      <c r="BN331" s="64">
        <f>IFERROR(Y331*I331/H331,"0")</f>
        <v>53.040000000000006</v>
      </c>
      <c r="BO331" s="64">
        <f>IFERROR(1/J331*(X331/H331),"0")</f>
        <v>0.10531135531135533</v>
      </c>
      <c r="BP331" s="64">
        <f>IFERROR(1/J331*(Y331/H331),"0")</f>
        <v>0.1098901098901099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19.166666666666668</v>
      </c>
      <c r="Y333" s="637">
        <f>IFERROR(Y330/H330,"0")+IFERROR(Y331/H331,"0")+IFERROR(Y332/H332,"0")</f>
        <v>20</v>
      </c>
      <c r="Z333" s="637">
        <f>IFERROR(IF(Z330="",0,Z330),"0")+IFERROR(IF(Z331="",0,Z331),"0")+IFERROR(IF(Z332="",0,Z332),"0")</f>
        <v>0.13020000000000001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46</v>
      </c>
      <c r="Y334" s="637">
        <f>IFERROR(SUM(Y330:Y332),"0")</f>
        <v>48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0</v>
      </c>
      <c r="Y361" s="63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0</v>
      </c>
      <c r="Y363" s="637">
        <f>IFERROR(Y360/H360,"0")+IFERROR(Y361/H361,"0")+IFERROR(Y362/H362,"0")</f>
        <v>0</v>
      </c>
      <c r="Z363" s="637">
        <f>IFERROR(IF(Z360="",0,Z360),"0")+IFERROR(IF(Z361="",0,Z361),"0")+IFERROR(IF(Z362="",0,Z362),"0")</f>
        <v>0</v>
      </c>
      <c r="AA363" s="638"/>
      <c r="AB363" s="638"/>
      <c r="AC363" s="638"/>
    </row>
    <row r="364" spans="1:68" hidden="1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0</v>
      </c>
      <c r="Y364" s="637">
        <f>IFERROR(SUM(Y360:Y362),"0")</f>
        <v>0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17</v>
      </c>
      <c r="Y408" s="636">
        <f>IFERROR(IF(X408="",0,CEILING((X408/$H408),1)*$H408),"")</f>
        <v>18</v>
      </c>
      <c r="Z408" s="36">
        <f>IFERROR(IF(Y408=0,"",ROUNDUP(Y408/H408,0)*0.00474),"")</f>
        <v>4.2660000000000003E-2</v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19.040000000000003</v>
      </c>
      <c r="BN408" s="64">
        <f>IFERROR(Y408*I408/H408,"0")</f>
        <v>20.160000000000004</v>
      </c>
      <c r="BO408" s="64">
        <f>IFERROR(1/J408*(X408/H408),"0")</f>
        <v>3.5714285714285712E-2</v>
      </c>
      <c r="BP408" s="64">
        <f>IFERROR(1/J408*(Y408/H408),"0")</f>
        <v>3.7815126050420166E-2</v>
      </c>
    </row>
    <row r="409" spans="1:68" ht="27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17</v>
      </c>
      <c r="Y409" s="636">
        <f>IFERROR(IF(X409="",0,CEILING((X409/$H409),1)*$H409),"")</f>
        <v>18</v>
      </c>
      <c r="Z409" s="36">
        <f>IFERROR(IF(Y409=0,"",ROUNDUP(Y409/H409,0)*0.00474),"")</f>
        <v>4.2660000000000003E-2</v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19.040000000000003</v>
      </c>
      <c r="BN409" s="64">
        <f>IFERROR(Y409*I409/H409,"0")</f>
        <v>20.160000000000004</v>
      </c>
      <c r="BO409" s="64">
        <f>IFERROR(1/J409*(X409/H409),"0")</f>
        <v>3.5714285714285712E-2</v>
      </c>
      <c r="BP409" s="64">
        <f>IFERROR(1/J409*(Y409/H409),"0")</f>
        <v>3.7815126050420166E-2</v>
      </c>
    </row>
    <row r="410" spans="1:68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17</v>
      </c>
      <c r="Y410" s="637">
        <f>IFERROR(Y407/H407,"0")+IFERROR(Y408/H408,"0")+IFERROR(Y409/H409,"0")</f>
        <v>18</v>
      </c>
      <c r="Z410" s="637">
        <f>IFERROR(IF(Z407="",0,Z407),"0")+IFERROR(IF(Z408="",0,Z408),"0")+IFERROR(IF(Z409="",0,Z409),"0")</f>
        <v>8.5320000000000007E-2</v>
      </c>
      <c r="AA410" s="638"/>
      <c r="AB410" s="638"/>
      <c r="AC410" s="638"/>
    </row>
    <row r="411" spans="1:68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34</v>
      </c>
      <c r="Y411" s="637">
        <f>IFERROR(SUM(Y407:Y409),"0")</f>
        <v>36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693</v>
      </c>
      <c r="Y437" s="636">
        <f t="shared" si="62"/>
        <v>705</v>
      </c>
      <c r="Z437" s="36">
        <f>IFERROR(IF(Y437=0,"",ROUNDUP(Y437/H437,0)*0.02175),"")</f>
        <v>1.0222499999999999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714.71400000000006</v>
      </c>
      <c r="BN437" s="64">
        <f t="shared" si="64"/>
        <v>727.09</v>
      </c>
      <c r="BO437" s="64">
        <f t="shared" si="65"/>
        <v>0.96250000000000002</v>
      </c>
      <c r="BP437" s="64">
        <f t="shared" si="66"/>
        <v>0.97916666666666663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1525</v>
      </c>
      <c r="Y438" s="636">
        <f t="shared" si="62"/>
        <v>1530</v>
      </c>
      <c r="Z438" s="36">
        <f>IFERROR(IF(Y438=0,"",ROUNDUP(Y438/H438,0)*0.02175),"")</f>
        <v>2.2184999999999997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1572.7833333333333</v>
      </c>
      <c r="BN438" s="64">
        <f t="shared" si="64"/>
        <v>1577.94</v>
      </c>
      <c r="BO438" s="64">
        <f t="shared" si="65"/>
        <v>2.1180555555555554</v>
      </c>
      <c r="BP438" s="64">
        <f t="shared" si="66"/>
        <v>2.125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549</v>
      </c>
      <c r="Y439" s="636">
        <f t="shared" si="62"/>
        <v>555</v>
      </c>
      <c r="Z439" s="36">
        <f>IFERROR(IF(Y439=0,"",ROUNDUP(Y439/H439,0)*0.02175),"")</f>
        <v>0.80474999999999997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566.202</v>
      </c>
      <c r="BN439" s="64">
        <f t="shared" si="64"/>
        <v>572.39</v>
      </c>
      <c r="BO439" s="64">
        <f t="shared" si="65"/>
        <v>0.76249999999999996</v>
      </c>
      <c r="BP439" s="64">
        <f t="shared" si="66"/>
        <v>0.77083333333333326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827</v>
      </c>
      <c r="Y440" s="636">
        <f t="shared" si="62"/>
        <v>840</v>
      </c>
      <c r="Z440" s="36">
        <f>IFERROR(IF(Y440=0,"",ROUNDUP(Y440/H440,0)*0.02175),"")</f>
        <v>1.218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852.91266666666672</v>
      </c>
      <c r="BN440" s="64">
        <f t="shared" si="64"/>
        <v>866.32</v>
      </c>
      <c r="BO440" s="64">
        <f t="shared" si="65"/>
        <v>1.148611111111111</v>
      </c>
      <c r="BP440" s="64">
        <f t="shared" si="66"/>
        <v>1.1666666666666665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239.6</v>
      </c>
      <c r="Y444" s="637">
        <f>IFERROR(Y436/H436,"0")+IFERROR(Y437/H437,"0")+IFERROR(Y438/H438,"0")+IFERROR(Y439/H439,"0")+IFERROR(Y440/H440,"0")+IFERROR(Y441/H441,"0")+IFERROR(Y442/H442,"0")+IFERROR(Y443/H443,"0")</f>
        <v>242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5.2634999999999996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3594</v>
      </c>
      <c r="Y445" s="637">
        <f>IFERROR(SUM(Y436:Y443),"0")</f>
        <v>3630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611</v>
      </c>
      <c r="Y447" s="636">
        <f>IFERROR(IF(X447="",0,CEILING((X447/$H447),1)*$H447),"")</f>
        <v>615</v>
      </c>
      <c r="Z447" s="36">
        <f>IFERROR(IF(Y447=0,"",ROUNDUP(Y447/H447,0)*0.02175),"")</f>
        <v>0.89174999999999993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630.14466666666669</v>
      </c>
      <c r="BN447" s="64">
        <f>IFERROR(Y447*I447/H447,"0")</f>
        <v>634.2700000000001</v>
      </c>
      <c r="BO447" s="64">
        <f>IFERROR(1/J447*(X447/H447),"0")</f>
        <v>0.84861111111111109</v>
      </c>
      <c r="BP447" s="64">
        <f>IFERROR(1/J447*(Y447/H447),"0")</f>
        <v>0.85416666666666663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40.733333333333334</v>
      </c>
      <c r="Y450" s="637">
        <f>IFERROR(Y447/H447,"0")+IFERROR(Y448/H448,"0")+IFERROR(Y449/H449,"0")</f>
        <v>41</v>
      </c>
      <c r="Z450" s="637">
        <f>IFERROR(IF(Z447="",0,Z447),"0")+IFERROR(IF(Z448="",0,Z448),"0")+IFERROR(IF(Z449="",0,Z449),"0")</f>
        <v>0.89174999999999993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611</v>
      </c>
      <c r="Y451" s="637">
        <f>IFERROR(SUM(Y447:Y449),"0")</f>
        <v>615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114</v>
      </c>
      <c r="Y460" s="636">
        <f>IFERROR(IF(X460="",0,CEILING((X460/$H460),1)*$H460),"")</f>
        <v>117</v>
      </c>
      <c r="Z460" s="36">
        <f>IFERROR(IF(Y460=0,"",ROUNDUP(Y460/H460,0)*0.01898),"")</f>
        <v>0.24674000000000001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120.25733333333334</v>
      </c>
      <c r="BN460" s="64">
        <f>IFERROR(Y460*I460/H460,"0")</f>
        <v>123.422</v>
      </c>
      <c r="BO460" s="64">
        <f>IFERROR(1/J460*(X460/H460),"0")</f>
        <v>0.19791666666666666</v>
      </c>
      <c r="BP460" s="64">
        <f>IFERROR(1/J460*(Y460/H460),"0")</f>
        <v>0.203125</v>
      </c>
    </row>
    <row r="461" spans="1:68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12.666666666666666</v>
      </c>
      <c r="Y461" s="637">
        <f>IFERROR(Y459/H459,"0")+IFERROR(Y460/H460,"0")</f>
        <v>13</v>
      </c>
      <c r="Z461" s="637">
        <f>IFERROR(IF(Z459="",0,Z459),"0")+IFERROR(IF(Z460="",0,Z460),"0")</f>
        <v>0.24674000000000001</v>
      </c>
      <c r="AA461" s="638"/>
      <c r="AB461" s="638"/>
      <c r="AC461" s="638"/>
    </row>
    <row r="462" spans="1:68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114</v>
      </c>
      <c r="Y462" s="637">
        <f>IFERROR(SUM(Y459:Y460),"0")</f>
        <v>117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114</v>
      </c>
      <c r="Y474" s="636">
        <f>IFERROR(IF(X474="",0,CEILING((X474/$H474),1)*$H474),"")</f>
        <v>117</v>
      </c>
      <c r="Z474" s="36">
        <f>IFERROR(IF(Y474=0,"",ROUNDUP(Y474/H474,0)*0.01898),"")</f>
        <v>0.24674000000000001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120.25733333333334</v>
      </c>
      <c r="BN474" s="64">
        <f>IFERROR(Y474*I474/H474,"0")</f>
        <v>123.422</v>
      </c>
      <c r="BO474" s="64">
        <f>IFERROR(1/J474*(X474/H474),"0")</f>
        <v>0.19791666666666666</v>
      </c>
      <c r="BP474" s="64">
        <f>IFERROR(1/J474*(Y474/H474),"0")</f>
        <v>0.203125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12.666666666666666</v>
      </c>
      <c r="Y477" s="637">
        <f>IFERROR(Y474/H474,"0")+IFERROR(Y475/H475,"0")+IFERROR(Y476/H476,"0")</f>
        <v>13</v>
      </c>
      <c r="Z477" s="637">
        <f>IFERROR(IF(Z474="",0,Z474),"0")+IFERROR(IF(Z475="",0,Z475),"0")+IFERROR(IF(Z476="",0,Z476),"0")</f>
        <v>0.24674000000000001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114</v>
      </c>
      <c r="Y478" s="637">
        <f>IFERROR(SUM(Y474:Y476),"0")</f>
        <v>117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hidden="1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0</v>
      </c>
      <c r="Y511" s="636">
        <f t="shared" si="72"/>
        <v>0</v>
      </c>
      <c r="Z511" s="36" t="str">
        <f>IFERROR(IF(Y511=0,"",ROUNDUP(Y511/H511,0)*0.01196),"")</f>
        <v/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0</v>
      </c>
      <c r="BN511" s="64">
        <f t="shared" si="74"/>
        <v>0</v>
      </c>
      <c r="BO511" s="64">
        <f t="shared" si="75"/>
        <v>0</v>
      </c>
      <c r="BP511" s="64">
        <f t="shared" si="76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0</v>
      </c>
      <c r="Y512" s="636">
        <f t="shared" si="72"/>
        <v>0</v>
      </c>
      <c r="Z512" s="36" t="str">
        <f>IFERROR(IF(Y512=0,"",ROUNDUP(Y512/H512,0)*0.01196),"")</f>
        <v/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0</v>
      </c>
      <c r="BN512" s="64">
        <f t="shared" si="74"/>
        <v>0</v>
      </c>
      <c r="BO512" s="64">
        <f t="shared" si="75"/>
        <v>0</v>
      </c>
      <c r="BP512" s="64">
        <f t="shared" si="76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hidden="1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0</v>
      </c>
      <c r="Y516" s="637">
        <f>IFERROR(Y508/H508,"0")+IFERROR(Y509/H509,"0")+IFERROR(Y510/H510,"0")+IFERROR(Y511/H511,"0")+IFERROR(Y512/H512,"0")+IFERROR(Y513/H513,"0")+IFERROR(Y514/H514,"0")+IFERROR(Y515/H515,"0")</f>
        <v>0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38"/>
      <c r="AB516" s="638"/>
      <c r="AC516" s="638"/>
    </row>
    <row r="517" spans="1:68" hidden="1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0</v>
      </c>
      <c r="Y517" s="637">
        <f>IFERROR(SUM(Y508:Y515),"0")</f>
        <v>0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107</v>
      </c>
      <c r="Y519" s="636">
        <f>IFERROR(IF(X519="",0,CEILING((X519/$H519),1)*$H519),"")</f>
        <v>110.88000000000001</v>
      </c>
      <c r="Z519" s="36">
        <f>IFERROR(IF(Y519=0,"",ROUNDUP(Y519/H519,0)*0.01196),"")</f>
        <v>0.25115999999999999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114.09280303030302</v>
      </c>
      <c r="BN519" s="64">
        <f>IFERROR(Y519*I519/H519,"0")</f>
        <v>118.23</v>
      </c>
      <c r="BO519" s="64">
        <f>IFERROR(1/J519*(X519/H519),"0")</f>
        <v>0.19485722610722611</v>
      </c>
      <c r="BP519" s="64">
        <f>IFERROR(1/J519*(Y519/H519),"0")</f>
        <v>0.20192307692307693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20.265151515151516</v>
      </c>
      <c r="Y522" s="637">
        <f>IFERROR(Y519/H519,"0")+IFERROR(Y520/H520,"0")+IFERROR(Y521/H521,"0")</f>
        <v>21</v>
      </c>
      <c r="Z522" s="637">
        <f>IFERROR(IF(Z519="",0,Z519),"0")+IFERROR(IF(Z520="",0,Z520),"0")+IFERROR(IF(Z521="",0,Z521),"0")</f>
        <v>0.25115999999999999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107</v>
      </c>
      <c r="Y523" s="637">
        <f>IFERROR(SUM(Y519:Y521),"0")</f>
        <v>110.88000000000001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137</v>
      </c>
      <c r="Y527" s="636">
        <f t="shared" si="77"/>
        <v>137.28</v>
      </c>
      <c r="Z527" s="36">
        <f>IFERROR(IF(Y527=0,"",ROUNDUP(Y527/H527,0)*0.01196),"")</f>
        <v>0.31096000000000001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146.08143939393938</v>
      </c>
      <c r="BN527" s="64">
        <f t="shared" si="79"/>
        <v>146.38</v>
      </c>
      <c r="BO527" s="64">
        <f t="shared" si="80"/>
        <v>0.24949009324009325</v>
      </c>
      <c r="BP527" s="64">
        <f t="shared" si="81"/>
        <v>0.25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25.946969696969695</v>
      </c>
      <c r="Y532" s="637">
        <f>IFERROR(Y525/H525,"0")+IFERROR(Y526/H526,"0")+IFERROR(Y527/H527,"0")+IFERROR(Y528/H528,"0")+IFERROR(Y529/H529,"0")+IFERROR(Y530/H530,"0")+IFERROR(Y531/H531,"0")</f>
        <v>26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0.31096000000000001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137</v>
      </c>
      <c r="Y533" s="637">
        <f>IFERROR(SUM(Y525:Y531),"0")</f>
        <v>137.28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7162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7243.26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7500.4534902196565</v>
      </c>
      <c r="Y563" s="637">
        <f>IFERROR(SUM(BN22:BN559),"0")</f>
        <v>7585.7419999999984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12</v>
      </c>
      <c r="Y564" s="38">
        <f>ROUNDUP(SUM(BP22:BP559),0)</f>
        <v>12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7800.4534902196565</v>
      </c>
      <c r="Y565" s="637">
        <f>GrossWeightTotalR+PalletQtyTotalR*25</f>
        <v>7885.7419999999984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1063.4352252685587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1076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13.206350000000002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162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58.5</v>
      </c>
      <c r="F572" s="46">
        <f>IFERROR(Y85*1,"0")+IFERROR(Y86*1,"0")+IFERROR(Y87*1,"0")+IFERROR(Y88*1,"0")+IFERROR(Y89*1,"0")+IFERROR(Y90*1,"0")+IFERROR(Y94*1,"0")+IFERROR(Y95*1,"0")+IFERROR(Y96*1,"0")+IFERROR(Y97*1,"0")</f>
        <v>437.4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471.59999999999997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336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54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912.59999999999991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48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0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36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4362</v>
      </c>
      <c r="Y572" s="46">
        <f>IFERROR(Y465*1,"0")+IFERROR(Y466*1,"0")+IFERROR(Y470*1,"0")+IFERROR(Y474*1,"0")+IFERROR(Y475*1,"0")+IFERROR(Y476*1,"0")</f>
        <v>117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248.16000000000003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3,44"/>
        <filter val="1 525,00"/>
        <filter val="107,00"/>
        <filter val="108,00"/>
        <filter val="114,00"/>
        <filter val="12"/>
        <filter val="12,67"/>
        <filter val="12,89"/>
        <filter val="134,00"/>
        <filter val="137,00"/>
        <filter val="14,72"/>
        <filter val="159,00"/>
        <filter val="17,00"/>
        <filter val="176,00"/>
        <filter val="18,44"/>
        <filter val="19,17"/>
        <filter val="190,00"/>
        <filter val="20,27"/>
        <filter val="212,00"/>
        <filter val="239,60"/>
        <filter val="25,95"/>
        <filter val="289,00"/>
        <filter val="289,17"/>
        <filter val="29,44"/>
        <filter val="29,78"/>
        <filter val="298,00"/>
        <filter val="3 594,00"/>
        <filter val="333,00"/>
        <filter val="34,00"/>
        <filter val="36,00"/>
        <filter val="381,00"/>
        <filter val="40,73"/>
        <filter val="46,00"/>
        <filter val="470,00"/>
        <filter val="52,59"/>
        <filter val="53,00"/>
        <filter val="549,00"/>
        <filter val="58,00"/>
        <filter val="611,00"/>
        <filter val="63,46"/>
        <filter val="69,75"/>
        <filter val="693,00"/>
        <filter val="694,00"/>
        <filter val="7 162,00"/>
        <filter val="7 500,45"/>
        <filter val="7 800,45"/>
        <filter val="827,00"/>
        <filter val="83,00"/>
        <filter val="87,00"/>
        <filter val="92,00"/>
        <filter val="95,14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