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456203B5-8277-4046-84F1-58972CD4909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Sheet!$A$3:$AE$130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30" i="1" l="1"/>
  <c r="L130" i="1"/>
  <c r="Q129" i="1"/>
  <c r="L129" i="1"/>
  <c r="Q128" i="1"/>
  <c r="T128" i="1" s="1"/>
  <c r="L128" i="1"/>
  <c r="Q127" i="1"/>
  <c r="L127" i="1"/>
  <c r="Q126" i="1"/>
  <c r="T126" i="1" s="1"/>
  <c r="L126" i="1"/>
  <c r="Q125" i="1"/>
  <c r="L125" i="1"/>
  <c r="Q124" i="1"/>
  <c r="L124" i="1"/>
  <c r="Q123" i="1"/>
  <c r="T123" i="1" s="1"/>
  <c r="L123" i="1"/>
  <c r="Q122" i="1"/>
  <c r="L122" i="1"/>
  <c r="Q121" i="1"/>
  <c r="L121" i="1"/>
  <c r="Q120" i="1"/>
  <c r="T120" i="1" s="1"/>
  <c r="L120" i="1"/>
  <c r="Q119" i="1"/>
  <c r="L119" i="1"/>
  <c r="Q118" i="1"/>
  <c r="L118" i="1"/>
  <c r="Q117" i="1"/>
  <c r="L117" i="1"/>
  <c r="Q116" i="1"/>
  <c r="T116" i="1" s="1"/>
  <c r="L116" i="1"/>
  <c r="Q115" i="1"/>
  <c r="L115" i="1"/>
  <c r="Q114" i="1"/>
  <c r="T114" i="1" s="1"/>
  <c r="L114" i="1"/>
  <c r="Q113" i="1"/>
  <c r="L113" i="1"/>
  <c r="Q112" i="1"/>
  <c r="L112" i="1"/>
  <c r="Q111" i="1"/>
  <c r="T111" i="1" s="1"/>
  <c r="L111" i="1"/>
  <c r="Q110" i="1"/>
  <c r="T110" i="1" s="1"/>
  <c r="L110" i="1"/>
  <c r="Q109" i="1"/>
  <c r="L109" i="1"/>
  <c r="Q108" i="1"/>
  <c r="T108" i="1" s="1"/>
  <c r="L108" i="1"/>
  <c r="Q107" i="1"/>
  <c r="T107" i="1" s="1"/>
  <c r="L107" i="1"/>
  <c r="Q106" i="1"/>
  <c r="S106" i="1" s="1"/>
  <c r="L106" i="1"/>
  <c r="Q105" i="1"/>
  <c r="L105" i="1"/>
  <c r="Q104" i="1"/>
  <c r="L104" i="1"/>
  <c r="Q103" i="1"/>
  <c r="T103" i="1" s="1"/>
  <c r="L103" i="1"/>
  <c r="Q102" i="1"/>
  <c r="L102" i="1"/>
  <c r="Q101" i="1"/>
  <c r="L101" i="1"/>
  <c r="Q100" i="1"/>
  <c r="L100" i="1"/>
  <c r="Q99" i="1"/>
  <c r="L99" i="1"/>
  <c r="Q98" i="1"/>
  <c r="L98" i="1"/>
  <c r="Q97" i="1"/>
  <c r="L97" i="1"/>
  <c r="Q96" i="1"/>
  <c r="T96" i="1" s="1"/>
  <c r="L96" i="1"/>
  <c r="Q95" i="1"/>
  <c r="L95" i="1"/>
  <c r="Q94" i="1"/>
  <c r="T94" i="1" s="1"/>
  <c r="L94" i="1"/>
  <c r="Q93" i="1"/>
  <c r="T93" i="1" s="1"/>
  <c r="L93" i="1"/>
  <c r="Q92" i="1"/>
  <c r="L92" i="1"/>
  <c r="Q91" i="1"/>
  <c r="S91" i="1" s="1"/>
  <c r="L91" i="1"/>
  <c r="Q90" i="1"/>
  <c r="L90" i="1"/>
  <c r="F90" i="1"/>
  <c r="T90" i="1" s="1"/>
  <c r="Q89" i="1"/>
  <c r="L89" i="1"/>
  <c r="Q88" i="1"/>
  <c r="R88" i="1" s="1"/>
  <c r="AE88" i="1" s="1"/>
  <c r="L88" i="1"/>
  <c r="Q87" i="1"/>
  <c r="S87" i="1" s="1"/>
  <c r="L87" i="1"/>
  <c r="Q86" i="1"/>
  <c r="L86" i="1"/>
  <c r="Q85" i="1"/>
  <c r="T85" i="1" s="1"/>
  <c r="L85" i="1"/>
  <c r="Q84" i="1"/>
  <c r="T84" i="1" s="1"/>
  <c r="L84" i="1"/>
  <c r="Q83" i="1"/>
  <c r="T83" i="1" s="1"/>
  <c r="L83" i="1"/>
  <c r="Q82" i="1"/>
  <c r="T82" i="1" s="1"/>
  <c r="L82" i="1"/>
  <c r="Q81" i="1"/>
  <c r="L81" i="1"/>
  <c r="Q80" i="1"/>
  <c r="L80" i="1"/>
  <c r="Q79" i="1"/>
  <c r="L79" i="1"/>
  <c r="Q78" i="1"/>
  <c r="L78" i="1"/>
  <c r="Q77" i="1"/>
  <c r="T77" i="1" s="1"/>
  <c r="L77" i="1"/>
  <c r="Q76" i="1"/>
  <c r="L76" i="1"/>
  <c r="Q75" i="1"/>
  <c r="T75" i="1" s="1"/>
  <c r="L75" i="1"/>
  <c r="Q74" i="1"/>
  <c r="L74" i="1"/>
  <c r="Q73" i="1"/>
  <c r="L73" i="1"/>
  <c r="Q72" i="1"/>
  <c r="L72" i="1"/>
  <c r="Q71" i="1"/>
  <c r="T71" i="1" s="1"/>
  <c r="L71" i="1"/>
  <c r="Q70" i="1"/>
  <c r="L70" i="1"/>
  <c r="Q69" i="1"/>
  <c r="T69" i="1" s="1"/>
  <c r="L69" i="1"/>
  <c r="Q68" i="1"/>
  <c r="L68" i="1"/>
  <c r="Q67" i="1"/>
  <c r="T67" i="1" s="1"/>
  <c r="L67" i="1"/>
  <c r="Q66" i="1"/>
  <c r="L66" i="1"/>
  <c r="Q65" i="1"/>
  <c r="L65" i="1"/>
  <c r="Q64" i="1"/>
  <c r="L64" i="1"/>
  <c r="Q63" i="1"/>
  <c r="L63" i="1"/>
  <c r="Q62" i="1"/>
  <c r="L62" i="1"/>
  <c r="Q61" i="1"/>
  <c r="T61" i="1" s="1"/>
  <c r="L61" i="1"/>
  <c r="Q60" i="1"/>
  <c r="L60" i="1"/>
  <c r="Q59" i="1"/>
  <c r="T59" i="1" s="1"/>
  <c r="L59" i="1"/>
  <c r="Q58" i="1"/>
  <c r="L58" i="1"/>
  <c r="F57" i="1"/>
  <c r="E57" i="1"/>
  <c r="L57" i="1" s="1"/>
  <c r="Q56" i="1"/>
  <c r="L56" i="1"/>
  <c r="Q55" i="1"/>
  <c r="L55" i="1"/>
  <c r="Q54" i="1"/>
  <c r="L54" i="1"/>
  <c r="Q53" i="1"/>
  <c r="L53" i="1"/>
  <c r="Q52" i="1"/>
  <c r="L52" i="1"/>
  <c r="Q51" i="1"/>
  <c r="L51" i="1"/>
  <c r="Q50" i="1"/>
  <c r="L50" i="1"/>
  <c r="Q49" i="1"/>
  <c r="L49" i="1"/>
  <c r="Q48" i="1"/>
  <c r="L48" i="1"/>
  <c r="Q47" i="1"/>
  <c r="L47" i="1"/>
  <c r="Q46" i="1"/>
  <c r="L46" i="1"/>
  <c r="Q45" i="1"/>
  <c r="L45" i="1"/>
  <c r="Q44" i="1"/>
  <c r="L44" i="1"/>
  <c r="Q43" i="1"/>
  <c r="L43" i="1"/>
  <c r="Q42" i="1"/>
  <c r="L42" i="1"/>
  <c r="Q41" i="1"/>
  <c r="L41" i="1"/>
  <c r="Q40" i="1"/>
  <c r="L40" i="1"/>
  <c r="Q39" i="1"/>
  <c r="L39" i="1"/>
  <c r="Q38" i="1"/>
  <c r="L38" i="1"/>
  <c r="Q37" i="1"/>
  <c r="R37" i="1" s="1"/>
  <c r="AE37" i="1" s="1"/>
  <c r="L37" i="1"/>
  <c r="Q36" i="1"/>
  <c r="L36" i="1"/>
  <c r="Q35" i="1"/>
  <c r="L35" i="1"/>
  <c r="Q34" i="1"/>
  <c r="L34" i="1"/>
  <c r="Q33" i="1"/>
  <c r="L33" i="1"/>
  <c r="Q32" i="1"/>
  <c r="L32" i="1"/>
  <c r="Q31" i="1"/>
  <c r="L31" i="1"/>
  <c r="Q30" i="1"/>
  <c r="S30" i="1" s="1"/>
  <c r="L30" i="1"/>
  <c r="Q29" i="1"/>
  <c r="L29" i="1"/>
  <c r="Q28" i="1"/>
  <c r="L28" i="1"/>
  <c r="Q27" i="1"/>
  <c r="L27" i="1"/>
  <c r="Q26" i="1"/>
  <c r="T26" i="1" s="1"/>
  <c r="L26" i="1"/>
  <c r="Q25" i="1"/>
  <c r="L25" i="1"/>
  <c r="Q24" i="1"/>
  <c r="L24" i="1"/>
  <c r="Q23" i="1"/>
  <c r="L23" i="1"/>
  <c r="Q22" i="1"/>
  <c r="L22" i="1"/>
  <c r="Q21" i="1"/>
  <c r="L21" i="1"/>
  <c r="Q20" i="1"/>
  <c r="L20" i="1"/>
  <c r="Q19" i="1"/>
  <c r="L19" i="1"/>
  <c r="Q18" i="1"/>
  <c r="L18" i="1"/>
  <c r="Q17" i="1"/>
  <c r="L17" i="1"/>
  <c r="Q16" i="1"/>
  <c r="R16" i="1" s="1"/>
  <c r="AE16" i="1" s="1"/>
  <c r="L16" i="1"/>
  <c r="Q15" i="1"/>
  <c r="L15" i="1"/>
  <c r="Q14" i="1"/>
  <c r="L14" i="1"/>
  <c r="Q13" i="1"/>
  <c r="L13" i="1"/>
  <c r="Q12" i="1"/>
  <c r="L12" i="1"/>
  <c r="Q11" i="1"/>
  <c r="L11" i="1"/>
  <c r="Q10" i="1"/>
  <c r="L10" i="1"/>
  <c r="Q9" i="1"/>
  <c r="S9" i="1" s="1"/>
  <c r="L9" i="1"/>
  <c r="Q8" i="1"/>
  <c r="L8" i="1"/>
  <c r="Q7" i="1"/>
  <c r="R7" i="1" s="1"/>
  <c r="L7" i="1"/>
  <c r="Q6" i="1"/>
  <c r="L6" i="1"/>
  <c r="AC5" i="1"/>
  <c r="AB5" i="1"/>
  <c r="AA5" i="1"/>
  <c r="Z5" i="1"/>
  <c r="Y5" i="1"/>
  <c r="X5" i="1"/>
  <c r="W5" i="1"/>
  <c r="V5" i="1"/>
  <c r="U5" i="1"/>
  <c r="P5" i="1"/>
  <c r="O5" i="1"/>
  <c r="N5" i="1"/>
  <c r="M5" i="1"/>
  <c r="K5" i="1"/>
  <c r="E5" i="1" l="1"/>
  <c r="S84" i="1"/>
  <c r="T97" i="1"/>
  <c r="T127" i="1"/>
  <c r="T63" i="1"/>
  <c r="AE65" i="1"/>
  <c r="T65" i="1"/>
  <c r="T79" i="1"/>
  <c r="AE81" i="1"/>
  <c r="T81" i="1"/>
  <c r="T112" i="1"/>
  <c r="AE112" i="1"/>
  <c r="T115" i="1"/>
  <c r="T124" i="1"/>
  <c r="AE14" i="1"/>
  <c r="T21" i="1"/>
  <c r="S21" i="1"/>
  <c r="T73" i="1"/>
  <c r="AE73" i="1"/>
  <c r="T98" i="1"/>
  <c r="S98" i="1"/>
  <c r="T101" i="1"/>
  <c r="T105" i="1"/>
  <c r="T118" i="1"/>
  <c r="T119" i="1"/>
  <c r="R90" i="1"/>
  <c r="AE90" i="1" s="1"/>
  <c r="AE77" i="1"/>
  <c r="AE69" i="1"/>
  <c r="AE61" i="1"/>
  <c r="AE47" i="1"/>
  <c r="AE45" i="1"/>
  <c r="AE43" i="1"/>
  <c r="AE39" i="1"/>
  <c r="AE23" i="1"/>
  <c r="AE25" i="1"/>
  <c r="AE28" i="1"/>
  <c r="AE31" i="1"/>
  <c r="AE35" i="1"/>
  <c r="AE51" i="1"/>
  <c r="AE53" i="1"/>
  <c r="AE55" i="1"/>
  <c r="S112" i="1"/>
  <c r="AE7" i="1"/>
  <c r="T13" i="1"/>
  <c r="T29" i="1"/>
  <c r="AE29" i="1"/>
  <c r="T32" i="1"/>
  <c r="T34" i="1"/>
  <c r="AE34" i="1"/>
  <c r="T38" i="1"/>
  <c r="AE38" i="1"/>
  <c r="T40" i="1"/>
  <c r="T42" i="1"/>
  <c r="AE42" i="1"/>
  <c r="T46" i="1"/>
  <c r="AE46" i="1"/>
  <c r="T48" i="1"/>
  <c r="R48" i="1"/>
  <c r="T50" i="1"/>
  <c r="AE50" i="1"/>
  <c r="T54" i="1"/>
  <c r="AE54" i="1"/>
  <c r="T56" i="1"/>
  <c r="T58" i="1"/>
  <c r="R58" i="1"/>
  <c r="T62" i="1"/>
  <c r="T66" i="1"/>
  <c r="T70" i="1"/>
  <c r="T74" i="1"/>
  <c r="T78" i="1"/>
  <c r="T86" i="1"/>
  <c r="AE92" i="1"/>
  <c r="AE95" i="1"/>
  <c r="AE109" i="1"/>
  <c r="T109" i="1"/>
  <c r="S117" i="1"/>
  <c r="AE117" i="1"/>
  <c r="T117" i="1"/>
  <c r="T122" i="1"/>
  <c r="S122" i="1"/>
  <c r="S129" i="1"/>
  <c r="T129" i="1"/>
  <c r="AE12" i="1"/>
  <c r="AE20" i="1"/>
  <c r="AE59" i="1"/>
  <c r="AE63" i="1"/>
  <c r="AE67" i="1"/>
  <c r="R71" i="1"/>
  <c r="AE71" i="1" s="1"/>
  <c r="R75" i="1"/>
  <c r="AE75" i="1" s="1"/>
  <c r="AE79" i="1"/>
  <c r="R103" i="1"/>
  <c r="AE103" i="1" s="1"/>
  <c r="R126" i="1"/>
  <c r="T6" i="1"/>
  <c r="AE6" i="1"/>
  <c r="T8" i="1"/>
  <c r="R8" i="1"/>
  <c r="T11" i="1"/>
  <c r="R11" i="1"/>
  <c r="AE11" i="1" s="1"/>
  <c r="T15" i="1"/>
  <c r="AE15" i="1"/>
  <c r="T17" i="1"/>
  <c r="T19" i="1"/>
  <c r="AE19" i="1"/>
  <c r="T22" i="1"/>
  <c r="AE22" i="1"/>
  <c r="T24" i="1"/>
  <c r="S25" i="1"/>
  <c r="T27" i="1"/>
  <c r="S35" i="1"/>
  <c r="T36" i="1"/>
  <c r="S43" i="1"/>
  <c r="T44" i="1"/>
  <c r="S51" i="1"/>
  <c r="T52" i="1"/>
  <c r="T60" i="1"/>
  <c r="T64" i="1"/>
  <c r="T68" i="1"/>
  <c r="T72" i="1"/>
  <c r="T76" i="1"/>
  <c r="T80" i="1"/>
  <c r="S82" i="1"/>
  <c r="T87" i="1"/>
  <c r="S88" i="1"/>
  <c r="T89" i="1"/>
  <c r="R89" i="1"/>
  <c r="T95" i="1"/>
  <c r="S97" i="1"/>
  <c r="AE97" i="1"/>
  <c r="S99" i="1"/>
  <c r="T99" i="1"/>
  <c r="S113" i="1"/>
  <c r="AE113" i="1"/>
  <c r="T113" i="1"/>
  <c r="AE121" i="1"/>
  <c r="T121" i="1"/>
  <c r="S125" i="1"/>
  <c r="AE125" i="1"/>
  <c r="T125" i="1"/>
  <c r="AE10" i="1"/>
  <c r="AE18" i="1"/>
  <c r="AE33" i="1"/>
  <c r="AE41" i="1"/>
  <c r="AE49" i="1"/>
  <c r="R110" i="1"/>
  <c r="R114" i="1"/>
  <c r="S100" i="1"/>
  <c r="S104" i="1"/>
  <c r="S119" i="1"/>
  <c r="AE100" i="1"/>
  <c r="AE102" i="1"/>
  <c r="AE104" i="1"/>
  <c r="AE107" i="1"/>
  <c r="R111" i="1"/>
  <c r="AE111" i="1" s="1"/>
  <c r="AE115" i="1"/>
  <c r="AE119" i="1"/>
  <c r="AE127" i="1"/>
  <c r="AE130" i="1"/>
  <c r="S7" i="1"/>
  <c r="S14" i="1"/>
  <c r="S16" i="1"/>
  <c r="S23" i="1"/>
  <c r="S28" i="1"/>
  <c r="S31" i="1"/>
  <c r="S37" i="1"/>
  <c r="S39" i="1"/>
  <c r="S45" i="1"/>
  <c r="S47" i="1"/>
  <c r="S53" i="1"/>
  <c r="S55" i="1"/>
  <c r="S59" i="1"/>
  <c r="S61" i="1"/>
  <c r="S63" i="1"/>
  <c r="S65" i="1"/>
  <c r="S67" i="1"/>
  <c r="S69" i="1"/>
  <c r="S71" i="1"/>
  <c r="S73" i="1"/>
  <c r="S77" i="1"/>
  <c r="S79" i="1"/>
  <c r="S81" i="1"/>
  <c r="Q57" i="1"/>
  <c r="L5" i="1"/>
  <c r="S6" i="1"/>
  <c r="S11" i="1"/>
  <c r="S15" i="1"/>
  <c r="S19" i="1"/>
  <c r="S22" i="1"/>
  <c r="S26" i="1"/>
  <c r="S29" i="1"/>
  <c r="S34" i="1"/>
  <c r="S38" i="1"/>
  <c r="S42" i="1"/>
  <c r="S46" i="1"/>
  <c r="S50" i="1"/>
  <c r="S54" i="1"/>
  <c r="S83" i="1"/>
  <c r="S85" i="1"/>
  <c r="S90" i="1"/>
  <c r="T91" i="1"/>
  <c r="S93" i="1"/>
  <c r="S123" i="1"/>
  <c r="T7" i="1"/>
  <c r="T9" i="1"/>
  <c r="T10" i="1"/>
  <c r="T12" i="1"/>
  <c r="T14" i="1"/>
  <c r="T16" i="1"/>
  <c r="T18" i="1"/>
  <c r="T20" i="1"/>
  <c r="T23" i="1"/>
  <c r="T25" i="1"/>
  <c r="T28" i="1"/>
  <c r="T30" i="1"/>
  <c r="T31" i="1"/>
  <c r="T33" i="1"/>
  <c r="T35" i="1"/>
  <c r="T37" i="1"/>
  <c r="T39" i="1"/>
  <c r="T41" i="1"/>
  <c r="T43" i="1"/>
  <c r="T45" i="1"/>
  <c r="T57" i="1"/>
  <c r="F5" i="1"/>
  <c r="T47" i="1"/>
  <c r="T49" i="1"/>
  <c r="T51" i="1"/>
  <c r="T53" i="1"/>
  <c r="T55" i="1"/>
  <c r="T88" i="1"/>
  <c r="T92" i="1"/>
  <c r="T100" i="1"/>
  <c r="T102" i="1"/>
  <c r="T104" i="1"/>
  <c r="T106" i="1"/>
  <c r="T130" i="1"/>
  <c r="S103" i="1" l="1"/>
  <c r="S75" i="1"/>
  <c r="AE98" i="1"/>
  <c r="S108" i="1"/>
  <c r="AE108" i="1"/>
  <c r="AE116" i="1"/>
  <c r="S116" i="1"/>
  <c r="S124" i="1"/>
  <c r="AE124" i="1"/>
  <c r="S130" i="1"/>
  <c r="S111" i="1"/>
  <c r="AE120" i="1"/>
  <c r="S120" i="1"/>
  <c r="S128" i="1"/>
  <c r="AE128" i="1"/>
  <c r="Q5" i="1"/>
  <c r="S127" i="1"/>
  <c r="S115" i="1"/>
  <c r="S107" i="1"/>
  <c r="S102" i="1"/>
  <c r="AE118" i="1"/>
  <c r="S118" i="1"/>
  <c r="AE110" i="1"/>
  <c r="S110" i="1"/>
  <c r="S101" i="1"/>
  <c r="AE101" i="1"/>
  <c r="S121" i="1"/>
  <c r="AE80" i="1"/>
  <c r="S80" i="1"/>
  <c r="AE76" i="1"/>
  <c r="S76" i="1"/>
  <c r="AE72" i="1"/>
  <c r="S72" i="1"/>
  <c r="AE68" i="1"/>
  <c r="S68" i="1"/>
  <c r="AE64" i="1"/>
  <c r="S64" i="1"/>
  <c r="AE60" i="1"/>
  <c r="S60" i="1"/>
  <c r="AE52" i="1"/>
  <c r="S52" i="1"/>
  <c r="AE36" i="1"/>
  <c r="S36" i="1"/>
  <c r="AE24" i="1"/>
  <c r="S24" i="1"/>
  <c r="S18" i="1"/>
  <c r="AE8" i="1"/>
  <c r="S8" i="1"/>
  <c r="S126" i="1"/>
  <c r="AE126" i="1"/>
  <c r="S94" i="1"/>
  <c r="AE94" i="1"/>
  <c r="S109" i="1"/>
  <c r="S95" i="1"/>
  <c r="S92" i="1"/>
  <c r="S48" i="1"/>
  <c r="AE48" i="1"/>
  <c r="S41" i="1"/>
  <c r="S32" i="1"/>
  <c r="AE32" i="1"/>
  <c r="S20" i="1"/>
  <c r="AE114" i="1"/>
  <c r="S114" i="1"/>
  <c r="AE105" i="1"/>
  <c r="S105" i="1"/>
  <c r="S96" i="1"/>
  <c r="AE96" i="1"/>
  <c r="AE89" i="1"/>
  <c r="S89" i="1"/>
  <c r="AE44" i="1"/>
  <c r="S44" i="1"/>
  <c r="AE27" i="1"/>
  <c r="S27" i="1"/>
  <c r="AE17" i="1"/>
  <c r="S17" i="1"/>
  <c r="S10" i="1"/>
  <c r="S86" i="1"/>
  <c r="AE86" i="1"/>
  <c r="S78" i="1"/>
  <c r="AE78" i="1"/>
  <c r="S74" i="1"/>
  <c r="AE74" i="1"/>
  <c r="S70" i="1"/>
  <c r="AE70" i="1"/>
  <c r="S66" i="1"/>
  <c r="AE66" i="1"/>
  <c r="S62" i="1"/>
  <c r="AE62" i="1"/>
  <c r="S58" i="1"/>
  <c r="AE58" i="1"/>
  <c r="S56" i="1"/>
  <c r="AE56" i="1"/>
  <c r="S49" i="1"/>
  <c r="S40" i="1"/>
  <c r="AE40" i="1"/>
  <c r="S33" i="1"/>
  <c r="S13" i="1"/>
  <c r="AE13" i="1"/>
  <c r="S12" i="1"/>
  <c r="R5" i="1"/>
  <c r="AE57" i="1" l="1"/>
  <c r="S57" i="1"/>
  <c r="AE5" i="1"/>
</calcChain>
</file>

<file path=xl/sharedStrings.xml><?xml version="1.0" encoding="utf-8"?>
<sst xmlns="http://schemas.openxmlformats.org/spreadsheetml/2006/main" count="484" uniqueCount="174">
  <si>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</si>
  <si>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</si>
  <si>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</si>
  <si>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</si>
  <si>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</si>
  <si>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</si>
  <si>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</si>
  <si>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</si>
  <si>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</si>
  <si>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</si>
  <si>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</si>
  <si>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</si>
  <si>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</si>
  <si>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</si>
  <si>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</si>
  <si>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</si>
  <si>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</si>
  <si>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</si>
  <si>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</si>
  <si>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</si>
  <si>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</si>
  <si>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</si>
  <si>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25,10,</t>
  </si>
  <si>
    <t>26,10,</t>
  </si>
  <si>
    <t>27,10,</t>
  </si>
  <si>
    <t>22,10,</t>
  </si>
  <si>
    <t>20,10,</t>
  </si>
  <si>
    <t>15,10,</t>
  </si>
  <si>
    <t>13,10,</t>
  </si>
  <si>
    <t>08,10,</t>
  </si>
  <si>
    <t>06,10,</t>
  </si>
  <si>
    <t>01,10,</t>
  </si>
  <si>
    <t>29,09,</t>
  </si>
  <si>
    <t>24,09,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</si>
  <si>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</si>
  <si>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</si>
  <si>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</si>
  <si>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</si>
  <si>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</si>
  <si>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</si>
  <si>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</si>
  <si>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</si>
  <si>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</si>
  <si>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</si>
  <si>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</si>
  <si>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</si>
  <si>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</si>
  <si>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</si>
  <si>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</si>
  <si>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</si>
  <si>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</si>
  <si>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</si>
  <si>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</si>
  <si>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>нужно увеличить продажи!!!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</si>
  <si>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</si>
  <si>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</si>
  <si>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>не в матрице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</si>
  <si>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</si>
  <si>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</si>
  <si>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</si>
  <si>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</si>
  <si>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</si>
  <si>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</si>
  <si>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</si>
  <si>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</si>
  <si>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</si>
  <si>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</si>
  <si>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</si>
  <si>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</si>
  <si>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</si>
  <si>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</si>
  <si>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</si>
  <si>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</si>
  <si>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</si>
  <si>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</si>
  <si>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</si>
  <si>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</si>
  <si>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</si>
  <si>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>нужно увеличить продажи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</si>
  <si>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</si>
  <si>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</si>
  <si>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</si>
  <si>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</si>
  <si>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</si>
  <si>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</si>
  <si>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</si>
  <si>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</si>
  <si>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</si>
  <si>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</si>
  <si>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</si>
  <si>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</si>
  <si>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</si>
  <si>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</si>
  <si>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</si>
  <si>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</si>
  <si>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</si>
  <si>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</si>
  <si>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</si>
  <si>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</si>
  <si>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</si>
  <si>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</si>
  <si>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</si>
  <si>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</si>
  <si>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</si>
  <si>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</si>
  <si>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</si>
  <si>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</si>
  <si>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</si>
  <si>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</si>
  <si>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</si>
  <si>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</si>
  <si>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</si>
  <si>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</si>
  <si>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</si>
  <si>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</si>
  <si>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>168кг списано (10,10,26)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</si>
  <si>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</si>
  <si>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</si>
  <si>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</si>
  <si>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</si>
  <si>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</si>
  <si>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</si>
  <si>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</si>
  <si>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441  Сосиски Сочинки ТМ Стародворье с сочной грудинкой 0,3 кг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</si>
  <si>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</si>
  <si>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</si>
  <si>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</si>
  <si>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</si>
  <si>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</si>
  <si>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</si>
  <si>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</si>
  <si>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</si>
  <si>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</si>
  <si>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</si>
  <si>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</si>
  <si>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</si>
  <si>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</si>
  <si>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</si>
  <si>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</si>
  <si>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</si>
  <si>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</si>
  <si>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</si>
  <si>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</si>
  <si>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</si>
  <si>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>нет потребности / нет в бланке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</si>
  <si>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</si>
  <si>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</si>
  <si>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</si>
  <si>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</si>
  <si>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</si>
  <si>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</si>
  <si>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</si>
  <si>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</si>
  <si>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</si>
  <si>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</si>
  <si>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</si>
  <si>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</si>
  <si>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</si>
  <si>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</si>
  <si>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</si>
  <si>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</si>
  <si>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 xml:space="preserve"> 640  Шпикачки Зареченские ТС Зареченские продукты в оболочке полиамид в мод.газ.среде НД2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</si>
  <si>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</si>
  <si>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</si>
  <si>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</si>
  <si>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</si>
  <si>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</si>
  <si>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</si>
  <si>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</si>
  <si>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Колбаса варено-копченая Сервелат Европейский ТМ Вязанка вес</t>
  </si>
  <si>
    <t>SU004314 / новинка / на стопе (после 22,10)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</si>
  <si>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18шт списано (10,10,26)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</si>
  <si>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23шт списано (10,10,26)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</si>
  <si>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12шт списано (10,10,26)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</si>
</sst>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0" borderId="1" xfId="1" applyNumberFormat="1" applyFill="1"/>
    <xf numFmtId="164" fontId="1" fillId="6" borderId="1" xfId="1" applyNumberFormat="1" applyFill="1"/>
    <xf numFmtId="164" fontId="1" fillId="7" borderId="1" xfId="1" applyNumberFormat="1" applyFill="1"/>
    <xf numFmtId="164" fontId="5" fillId="7" borderId="1" xfId="1" applyNumberFormat="1" applyFont="1" applyFill="1"/>
    <xf numFmtId="164" fontId="6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7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D6" sqref="AD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0.140625" customWidth="1"/>
    <col min="10" max="10" width="1" customWidth="1"/>
    <col min="11" max="12" width="7" customWidth="1"/>
    <col min="13" max="14" width="0.42578125" customWidth="1"/>
    <col min="15" max="18" width="7" customWidth="1"/>
    <col min="19" max="20" width="5" customWidth="1"/>
    <col min="21" max="29" width="6" customWidth="1"/>
    <col min="30" max="30" width="48.7109375" customWidth="1"/>
    <col min="31" max="31" width="7" customWidth="1"/>
    <col min="32" max="47" width="3" customWidth="1"/>
  </cols>
  <sheetData>
    <row r="1" spans="1:47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1"/>
      <c r="T4" s="1"/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x14ac:dyDescent="0.25">
      <c r="A5" s="1"/>
      <c r="B5" s="1"/>
      <c r="C5" s="1"/>
      <c r="D5" s="1"/>
      <c r="E5" s="4">
        <f>SUM(E6:E478)</f>
        <v>9223.0890000000018</v>
      </c>
      <c r="F5" s="4">
        <f>SUM(F6:F478)</f>
        <v>17008.257000000005</v>
      </c>
      <c r="G5" s="7"/>
      <c r="H5" s="1"/>
      <c r="I5" s="1"/>
      <c r="J5" s="1"/>
      <c r="K5" s="4">
        <f t="shared" ref="K5:R5" si="0">SUM(K6:K478)</f>
        <v>10420.610999999999</v>
      </c>
      <c r="L5" s="4">
        <f t="shared" si="0"/>
        <v>-1197.5220000000006</v>
      </c>
      <c r="M5" s="4">
        <f t="shared" si="0"/>
        <v>0</v>
      </c>
      <c r="N5" s="4">
        <f t="shared" si="0"/>
        <v>0</v>
      </c>
      <c r="O5" s="4">
        <f t="shared" si="0"/>
        <v>6115.4384</v>
      </c>
      <c r="P5" s="4">
        <f t="shared" si="0"/>
        <v>2912.2773463359235</v>
      </c>
      <c r="Q5" s="4">
        <f t="shared" si="0"/>
        <v>1844.6177999999998</v>
      </c>
      <c r="R5" s="4">
        <f t="shared" si="0"/>
        <v>1998.370437664076</v>
      </c>
      <c r="S5" s="1"/>
      <c r="T5" s="1"/>
      <c r="U5" s="4">
        <f t="shared" ref="U5:AC5" si="1">SUM(U6:U478)</f>
        <v>1932.8420000000003</v>
      </c>
      <c r="V5" s="4">
        <f t="shared" si="1"/>
        <v>1830.6703999999993</v>
      </c>
      <c r="W5" s="4">
        <f t="shared" si="1"/>
        <v>1817.1086000000005</v>
      </c>
      <c r="X5" s="4">
        <f t="shared" si="1"/>
        <v>1783.8795999999998</v>
      </c>
      <c r="Y5" s="4">
        <f t="shared" si="1"/>
        <v>1889.5805999999998</v>
      </c>
      <c r="Z5" s="4">
        <f t="shared" si="1"/>
        <v>1612.5742000000002</v>
      </c>
      <c r="AA5" s="4">
        <f t="shared" si="1"/>
        <v>1527.6869999999999</v>
      </c>
      <c r="AB5" s="4">
        <f t="shared" si="1"/>
        <v>1485.5253999999995</v>
      </c>
      <c r="AC5" s="4">
        <f t="shared" si="1"/>
        <v>1171.7370000000001</v>
      </c>
      <c r="AD5" s="1"/>
      <c r="AE5" s="4">
        <f>SUM(AE6:AE478)</f>
        <v>1652.5111589792323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x14ac:dyDescent="0.25">
      <c r="A6" s="1" t="s">
        <v>34</v>
      </c>
      <c r="B6" s="1" t="s">
        <v>35</v>
      </c>
      <c r="C6" s="1">
        <v>61.694000000000003</v>
      </c>
      <c r="D6" s="1">
        <v>228.279</v>
      </c>
      <c r="E6" s="1">
        <v>89.971999999999994</v>
      </c>
      <c r="F6" s="1">
        <v>179.96199999999999</v>
      </c>
      <c r="G6" s="7">
        <v>1</v>
      </c>
      <c r="H6" s="1">
        <v>50</v>
      </c>
      <c r="I6" s="1" t="s">
        <v>36</v>
      </c>
      <c r="J6" s="1"/>
      <c r="K6" s="1">
        <v>116.7</v>
      </c>
      <c r="L6" s="1">
        <f t="shared" ref="L6:L37" si="2">E6-K6</f>
        <v>-26.728000000000009</v>
      </c>
      <c r="M6" s="1"/>
      <c r="N6" s="1"/>
      <c r="O6" s="1">
        <v>10</v>
      </c>
      <c r="P6" s="1">
        <v>65.184440000000009</v>
      </c>
      <c r="Q6" s="1">
        <f t="shared" ref="Q6:Q37" si="3">E6/5</f>
        <v>17.994399999999999</v>
      </c>
      <c r="R6" s="5"/>
      <c r="S6" s="1">
        <f t="shared" ref="S6:S37" si="4">(F6+O6+P6+R6)/Q6</f>
        <v>14.179213533099187</v>
      </c>
      <c r="T6" s="1">
        <f t="shared" ref="T6:T37" si="5">(F6+O6+P6)/Q6</f>
        <v>14.179213533099187</v>
      </c>
      <c r="U6" s="1">
        <v>26.908000000000001</v>
      </c>
      <c r="V6" s="1">
        <v>25.582999999999998</v>
      </c>
      <c r="W6" s="1">
        <v>24.755800000000001</v>
      </c>
      <c r="X6" s="1">
        <v>19.6492</v>
      </c>
      <c r="Y6" s="1">
        <v>19.663399999999999</v>
      </c>
      <c r="Z6" s="1">
        <v>24.488199999999999</v>
      </c>
      <c r="AA6" s="1">
        <v>15.6044</v>
      </c>
      <c r="AB6" s="1">
        <v>21.5792</v>
      </c>
      <c r="AC6" s="1">
        <v>26.789200000000001</v>
      </c>
      <c r="AD6" s="1"/>
      <c r="AE6" s="1">
        <f>G6*R6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x14ac:dyDescent="0.25">
      <c r="A7" s="1" t="s">
        <v>37</v>
      </c>
      <c r="B7" s="1" t="s">
        <v>35</v>
      </c>
      <c r="C7" s="1">
        <v>227.60900000000001</v>
      </c>
      <c r="D7" s="1">
        <v>90.751000000000005</v>
      </c>
      <c r="E7" s="1">
        <v>226.29400000000001</v>
      </c>
      <c r="F7" s="1">
        <v>66.683999999999997</v>
      </c>
      <c r="G7" s="7">
        <v>1</v>
      </c>
      <c r="H7" s="1">
        <v>45</v>
      </c>
      <c r="I7" s="1" t="s">
        <v>36</v>
      </c>
      <c r="J7" s="1"/>
      <c r="K7" s="1">
        <v>365.8</v>
      </c>
      <c r="L7" s="1">
        <f t="shared" si="2"/>
        <v>-139.506</v>
      </c>
      <c r="M7" s="1"/>
      <c r="N7" s="1"/>
      <c r="O7" s="1">
        <v>0</v>
      </c>
      <c r="P7" s="1">
        <v>74.392664000000011</v>
      </c>
      <c r="Q7" s="1">
        <f t="shared" si="3"/>
        <v>45.258800000000001</v>
      </c>
      <c r="R7" s="5">
        <f>9*Q7-P7-O7-F7</f>
        <v>266.25253599999996</v>
      </c>
      <c r="S7" s="1">
        <f t="shared" si="4"/>
        <v>8.9999999999999982</v>
      </c>
      <c r="T7" s="1">
        <f t="shared" si="5"/>
        <v>3.1171101310684328</v>
      </c>
      <c r="U7" s="1">
        <v>27.9358</v>
      </c>
      <c r="V7" s="1">
        <v>21.9556</v>
      </c>
      <c r="W7" s="1">
        <v>23.580400000000001</v>
      </c>
      <c r="X7" s="1">
        <v>25.588799999999999</v>
      </c>
      <c r="Y7" s="1">
        <v>22.931799999999999</v>
      </c>
      <c r="Z7" s="1">
        <v>24.117799999999999</v>
      </c>
      <c r="AA7" s="1">
        <v>22.6374</v>
      </c>
      <c r="AB7" s="1">
        <v>20.7254</v>
      </c>
      <c r="AC7" s="1">
        <v>21.689</v>
      </c>
      <c r="AD7" s="1"/>
      <c r="AE7" s="1">
        <f>G7*R7</f>
        <v>266.25253599999996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x14ac:dyDescent="0.25">
      <c r="A8" s="1" t="s">
        <v>38</v>
      </c>
      <c r="B8" s="1" t="s">
        <v>35</v>
      </c>
      <c r="C8" s="1">
        <v>128.19399999999999</v>
      </c>
      <c r="D8" s="1">
        <v>77.364999999999995</v>
      </c>
      <c r="E8" s="1">
        <v>146.214</v>
      </c>
      <c r="F8" s="1">
        <v>46.701000000000001</v>
      </c>
      <c r="G8" s="7">
        <v>1</v>
      </c>
      <c r="H8" s="1">
        <v>45</v>
      </c>
      <c r="I8" s="1" t="s">
        <v>36</v>
      </c>
      <c r="J8" s="1"/>
      <c r="K8" s="1">
        <v>205.7</v>
      </c>
      <c r="L8" s="1">
        <f t="shared" si="2"/>
        <v>-59.48599999999999</v>
      </c>
      <c r="M8" s="1"/>
      <c r="N8" s="1"/>
      <c r="O8" s="1">
        <v>14.04739999999998</v>
      </c>
      <c r="P8" s="1">
        <v>146.13092800000001</v>
      </c>
      <c r="Q8" s="1">
        <f t="shared" si="3"/>
        <v>29.242799999999999</v>
      </c>
      <c r="R8" s="5">
        <f t="shared" ref="R7:R8" si="6">11*Q8-P8-O8-F8</f>
        <v>114.791472</v>
      </c>
      <c r="S8" s="1">
        <f t="shared" si="4"/>
        <v>11</v>
      </c>
      <c r="T8" s="1">
        <f t="shared" si="5"/>
        <v>7.0745389634371536</v>
      </c>
      <c r="U8" s="1">
        <v>26.371600000000001</v>
      </c>
      <c r="V8" s="1">
        <v>19.1694</v>
      </c>
      <c r="W8" s="1">
        <v>13.953799999999999</v>
      </c>
      <c r="X8" s="1">
        <v>22.8444</v>
      </c>
      <c r="Y8" s="1">
        <v>26.839200000000002</v>
      </c>
      <c r="Z8" s="1">
        <v>22.239000000000001</v>
      </c>
      <c r="AA8" s="1">
        <v>23.381799999999998</v>
      </c>
      <c r="AB8" s="1">
        <v>24.181999999999999</v>
      </c>
      <c r="AC8" s="1">
        <v>21.139399999999998</v>
      </c>
      <c r="AD8" s="1"/>
      <c r="AE8" s="1">
        <f>G8*R8</f>
        <v>114.791472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x14ac:dyDescent="0.25">
      <c r="A9" s="9" t="s">
        <v>39</v>
      </c>
      <c r="B9" s="9" t="s">
        <v>40</v>
      </c>
      <c r="C9" s="9"/>
      <c r="D9" s="9"/>
      <c r="E9" s="9"/>
      <c r="F9" s="9"/>
      <c r="G9" s="10">
        <v>0</v>
      </c>
      <c r="H9" s="9"/>
      <c r="I9" s="9" t="s">
        <v>36</v>
      </c>
      <c r="J9" s="9"/>
      <c r="K9" s="9"/>
      <c r="L9" s="9">
        <f t="shared" si="2"/>
        <v>0</v>
      </c>
      <c r="M9" s="9"/>
      <c r="N9" s="9"/>
      <c r="O9" s="9">
        <v>0</v>
      </c>
      <c r="P9" s="9">
        <v>0</v>
      </c>
      <c r="Q9" s="9">
        <f t="shared" si="3"/>
        <v>0</v>
      </c>
      <c r="R9" s="11"/>
      <c r="S9" s="9" t="e">
        <f t="shared" si="4"/>
        <v>#DIV/0!</v>
      </c>
      <c r="T9" s="9" t="e">
        <f t="shared" si="5"/>
        <v>#DIV/0!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 t="s">
        <v>41</v>
      </c>
      <c r="AE9" s="9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x14ac:dyDescent="0.25">
      <c r="A10" s="1" t="s">
        <v>42</v>
      </c>
      <c r="B10" s="1" t="s">
        <v>40</v>
      </c>
      <c r="C10" s="1">
        <v>16</v>
      </c>
      <c r="D10" s="1">
        <v>624</v>
      </c>
      <c r="E10" s="1">
        <v>174</v>
      </c>
      <c r="F10" s="1">
        <v>424</v>
      </c>
      <c r="G10" s="7">
        <v>0.45</v>
      </c>
      <c r="H10" s="1">
        <v>45</v>
      </c>
      <c r="I10" s="1" t="s">
        <v>36</v>
      </c>
      <c r="J10" s="1"/>
      <c r="K10" s="1">
        <v>226</v>
      </c>
      <c r="L10" s="1">
        <f t="shared" si="2"/>
        <v>-52</v>
      </c>
      <c r="M10" s="1"/>
      <c r="N10" s="1"/>
      <c r="O10" s="1">
        <v>0</v>
      </c>
      <c r="P10" s="1">
        <v>0</v>
      </c>
      <c r="Q10" s="1">
        <f t="shared" si="3"/>
        <v>34.799999999999997</v>
      </c>
      <c r="R10" s="5"/>
      <c r="S10" s="1">
        <f t="shared" si="4"/>
        <v>12.183908045977013</v>
      </c>
      <c r="T10" s="1">
        <f t="shared" si="5"/>
        <v>12.183908045977013</v>
      </c>
      <c r="U10" s="1">
        <v>40.6</v>
      </c>
      <c r="V10" s="1">
        <v>57.6</v>
      </c>
      <c r="W10" s="1">
        <v>46.6</v>
      </c>
      <c r="X10" s="1">
        <v>78.2</v>
      </c>
      <c r="Y10" s="1">
        <v>88.2</v>
      </c>
      <c r="Z10" s="1">
        <v>26.2</v>
      </c>
      <c r="AA10" s="1">
        <v>23.6</v>
      </c>
      <c r="AB10" s="1">
        <v>21.8</v>
      </c>
      <c r="AC10" s="1">
        <v>-0.6</v>
      </c>
      <c r="AD10" s="1"/>
      <c r="AE10" s="1">
        <f t="shared" ref="AE10:AE20" si="7">G10*R10</f>
        <v>0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x14ac:dyDescent="0.25">
      <c r="A11" s="1" t="s">
        <v>43</v>
      </c>
      <c r="B11" s="1" t="s">
        <v>40</v>
      </c>
      <c r="C11" s="1">
        <v>433</v>
      </c>
      <c r="D11" s="1">
        <v>379</v>
      </c>
      <c r="E11" s="1">
        <v>351</v>
      </c>
      <c r="F11" s="1">
        <v>430</v>
      </c>
      <c r="G11" s="7">
        <v>0.45</v>
      </c>
      <c r="H11" s="1">
        <v>45</v>
      </c>
      <c r="I11" s="1" t="s">
        <v>36</v>
      </c>
      <c r="J11" s="1"/>
      <c r="K11" s="1">
        <v>395</v>
      </c>
      <c r="L11" s="1">
        <f t="shared" si="2"/>
        <v>-44</v>
      </c>
      <c r="M11" s="1"/>
      <c r="N11" s="1"/>
      <c r="O11" s="1">
        <v>0</v>
      </c>
      <c r="P11" s="1">
        <v>58.171056936648156</v>
      </c>
      <c r="Q11" s="1">
        <f t="shared" si="3"/>
        <v>70.2</v>
      </c>
      <c r="R11" s="5">
        <f t="shared" ref="R10:R20" si="8">11*Q11-P11-O11-F11</f>
        <v>284.0289430633519</v>
      </c>
      <c r="S11" s="1">
        <f t="shared" si="4"/>
        <v>11</v>
      </c>
      <c r="T11" s="1">
        <f t="shared" si="5"/>
        <v>6.9540036600662125</v>
      </c>
      <c r="U11" s="1">
        <v>55.8</v>
      </c>
      <c r="V11" s="1">
        <v>68.400000000000006</v>
      </c>
      <c r="W11" s="1">
        <v>69.599999999999994</v>
      </c>
      <c r="X11" s="1">
        <v>71.400000000000006</v>
      </c>
      <c r="Y11" s="1">
        <v>93.2</v>
      </c>
      <c r="Z11" s="1">
        <v>82</v>
      </c>
      <c r="AA11" s="1">
        <v>82.6</v>
      </c>
      <c r="AB11" s="1">
        <v>72.2</v>
      </c>
      <c r="AC11" s="1">
        <v>58.4</v>
      </c>
      <c r="AD11" s="1"/>
      <c r="AE11" s="1">
        <f t="shared" si="7"/>
        <v>127.81302437850836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x14ac:dyDescent="0.25">
      <c r="A12" s="1" t="s">
        <v>44</v>
      </c>
      <c r="B12" s="1" t="s">
        <v>40</v>
      </c>
      <c r="C12" s="1">
        <v>10</v>
      </c>
      <c r="D12" s="1">
        <v>300</v>
      </c>
      <c r="E12" s="1">
        <v>45</v>
      </c>
      <c r="F12" s="1">
        <v>258</v>
      </c>
      <c r="G12" s="7">
        <v>0.17</v>
      </c>
      <c r="H12" s="1">
        <v>180</v>
      </c>
      <c r="I12" s="1" t="s">
        <v>36</v>
      </c>
      <c r="J12" s="1"/>
      <c r="K12" s="1">
        <v>46</v>
      </c>
      <c r="L12" s="1">
        <f t="shared" si="2"/>
        <v>-1</v>
      </c>
      <c r="M12" s="1"/>
      <c r="N12" s="1"/>
      <c r="O12" s="1">
        <v>0</v>
      </c>
      <c r="P12" s="1">
        <v>0</v>
      </c>
      <c r="Q12" s="1">
        <f t="shared" si="3"/>
        <v>9</v>
      </c>
      <c r="R12" s="5"/>
      <c r="S12" s="1">
        <f t="shared" si="4"/>
        <v>28.666666666666668</v>
      </c>
      <c r="T12" s="1">
        <f t="shared" si="5"/>
        <v>28.666666666666668</v>
      </c>
      <c r="U12" s="1">
        <v>7.4</v>
      </c>
      <c r="V12" s="1">
        <v>4.4000000000000004</v>
      </c>
      <c r="W12" s="1">
        <v>10.6</v>
      </c>
      <c r="X12" s="1">
        <v>16.2</v>
      </c>
      <c r="Y12" s="1">
        <v>12</v>
      </c>
      <c r="Z12" s="1">
        <v>7</v>
      </c>
      <c r="AA12" s="1">
        <v>6</v>
      </c>
      <c r="AB12" s="1">
        <v>2.8</v>
      </c>
      <c r="AC12" s="1">
        <v>4.8</v>
      </c>
      <c r="AD12" s="1"/>
      <c r="AE12" s="1">
        <f t="shared" si="7"/>
        <v>0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x14ac:dyDescent="0.25">
      <c r="A13" s="1" t="s">
        <v>45</v>
      </c>
      <c r="B13" s="1" t="s">
        <v>40</v>
      </c>
      <c r="C13" s="1">
        <v>24</v>
      </c>
      <c r="D13" s="1">
        <v>1</v>
      </c>
      <c r="E13" s="1">
        <v>10</v>
      </c>
      <c r="F13" s="1">
        <v>10</v>
      </c>
      <c r="G13" s="7">
        <v>0.3</v>
      </c>
      <c r="H13" s="1">
        <v>40</v>
      </c>
      <c r="I13" s="14" t="s">
        <v>46</v>
      </c>
      <c r="J13" s="1"/>
      <c r="K13" s="1">
        <v>14</v>
      </c>
      <c r="L13" s="1">
        <f t="shared" si="2"/>
        <v>-4</v>
      </c>
      <c r="M13" s="1"/>
      <c r="N13" s="1"/>
      <c r="O13" s="1">
        <v>19.600000000000001</v>
      </c>
      <c r="P13" s="1">
        <v>13.8</v>
      </c>
      <c r="Q13" s="1">
        <f t="shared" si="3"/>
        <v>2</v>
      </c>
      <c r="R13" s="5"/>
      <c r="S13" s="1">
        <f t="shared" si="4"/>
        <v>21.700000000000003</v>
      </c>
      <c r="T13" s="1">
        <f t="shared" si="5"/>
        <v>21.700000000000003</v>
      </c>
      <c r="U13" s="1">
        <v>4.2</v>
      </c>
      <c r="V13" s="1">
        <v>3.6</v>
      </c>
      <c r="W13" s="1">
        <v>2.4</v>
      </c>
      <c r="X13" s="1">
        <v>4.2</v>
      </c>
      <c r="Y13" s="1">
        <v>6.4</v>
      </c>
      <c r="Z13" s="1">
        <v>6.8</v>
      </c>
      <c r="AA13" s="1">
        <v>5.6</v>
      </c>
      <c r="AB13" s="1">
        <v>3</v>
      </c>
      <c r="AC13" s="1">
        <v>0</v>
      </c>
      <c r="AD13" s="1"/>
      <c r="AE13" s="1">
        <f t="shared" si="7"/>
        <v>0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x14ac:dyDescent="0.25">
      <c r="A14" s="1" t="s">
        <v>47</v>
      </c>
      <c r="B14" s="1" t="s">
        <v>40</v>
      </c>
      <c r="C14" s="1">
        <v>127</v>
      </c>
      <c r="D14" s="1">
        <v>213</v>
      </c>
      <c r="E14" s="1">
        <v>84</v>
      </c>
      <c r="F14" s="1">
        <v>249</v>
      </c>
      <c r="G14" s="7">
        <v>0.17</v>
      </c>
      <c r="H14" s="1">
        <v>180</v>
      </c>
      <c r="I14" s="1" t="s">
        <v>36</v>
      </c>
      <c r="J14" s="1"/>
      <c r="K14" s="1">
        <v>85</v>
      </c>
      <c r="L14" s="1">
        <f t="shared" si="2"/>
        <v>-1</v>
      </c>
      <c r="M14" s="1"/>
      <c r="N14" s="1"/>
      <c r="O14" s="1">
        <v>0</v>
      </c>
      <c r="P14" s="1">
        <v>0</v>
      </c>
      <c r="Q14" s="1">
        <f t="shared" si="3"/>
        <v>16.8</v>
      </c>
      <c r="R14" s="5"/>
      <c r="S14" s="1">
        <f t="shared" si="4"/>
        <v>14.821428571428571</v>
      </c>
      <c r="T14" s="1">
        <f t="shared" si="5"/>
        <v>14.821428571428571</v>
      </c>
      <c r="U14" s="1">
        <v>17.399999999999999</v>
      </c>
      <c r="V14" s="1">
        <v>12.4</v>
      </c>
      <c r="W14" s="1">
        <v>15.8</v>
      </c>
      <c r="X14" s="1">
        <v>21.8</v>
      </c>
      <c r="Y14" s="1">
        <v>21.2</v>
      </c>
      <c r="Z14" s="1">
        <v>18.2</v>
      </c>
      <c r="AA14" s="1">
        <v>20.8</v>
      </c>
      <c r="AB14" s="1">
        <v>17.8</v>
      </c>
      <c r="AC14" s="1">
        <v>12.8</v>
      </c>
      <c r="AD14" s="1"/>
      <c r="AE14" s="1">
        <f t="shared" si="7"/>
        <v>0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x14ac:dyDescent="0.25">
      <c r="A15" s="1" t="s">
        <v>48</v>
      </c>
      <c r="B15" s="1" t="s">
        <v>35</v>
      </c>
      <c r="C15" s="1">
        <v>142.72900000000001</v>
      </c>
      <c r="D15" s="1">
        <v>728.29399999999998</v>
      </c>
      <c r="E15" s="1">
        <v>219.822</v>
      </c>
      <c r="F15" s="1">
        <v>578.10900000000004</v>
      </c>
      <c r="G15" s="7">
        <v>1</v>
      </c>
      <c r="H15" s="1">
        <v>70</v>
      </c>
      <c r="I15" s="1" t="s">
        <v>36</v>
      </c>
      <c r="J15" s="1"/>
      <c r="K15" s="1">
        <v>217.08</v>
      </c>
      <c r="L15" s="1">
        <f t="shared" si="2"/>
        <v>2.7419999999999902</v>
      </c>
      <c r="M15" s="1"/>
      <c r="N15" s="1"/>
      <c r="O15" s="1">
        <v>200</v>
      </c>
      <c r="P15" s="1">
        <v>0</v>
      </c>
      <c r="Q15" s="1">
        <f t="shared" si="3"/>
        <v>43.964399999999998</v>
      </c>
      <c r="R15" s="5"/>
      <c r="S15" s="1">
        <f t="shared" si="4"/>
        <v>17.698615243242262</v>
      </c>
      <c r="T15" s="1">
        <f t="shared" si="5"/>
        <v>17.698615243242262</v>
      </c>
      <c r="U15" s="1">
        <v>56.098199999999999</v>
      </c>
      <c r="V15" s="1">
        <v>65.554999999999993</v>
      </c>
      <c r="W15" s="1">
        <v>87.277599999999993</v>
      </c>
      <c r="X15" s="1">
        <v>60.310600000000001</v>
      </c>
      <c r="Y15" s="1">
        <v>38.077800000000003</v>
      </c>
      <c r="Z15" s="1">
        <v>38.4358</v>
      </c>
      <c r="AA15" s="1">
        <v>20.296600000000002</v>
      </c>
      <c r="AB15" s="1">
        <v>45.934399999999997</v>
      </c>
      <c r="AC15" s="1">
        <v>54.014000000000003</v>
      </c>
      <c r="AD15" s="1"/>
      <c r="AE15" s="1">
        <f t="shared" si="7"/>
        <v>0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x14ac:dyDescent="0.25">
      <c r="A16" s="1" t="s">
        <v>49</v>
      </c>
      <c r="B16" s="1" t="s">
        <v>35</v>
      </c>
      <c r="C16" s="1">
        <v>517.32899999999995</v>
      </c>
      <c r="D16" s="1">
        <v>868.14300000000003</v>
      </c>
      <c r="E16" s="1">
        <v>757.52200000000005</v>
      </c>
      <c r="F16" s="1">
        <v>472.75400000000002</v>
      </c>
      <c r="G16" s="7">
        <v>1</v>
      </c>
      <c r="H16" s="1">
        <v>50</v>
      </c>
      <c r="I16" s="1" t="s">
        <v>36</v>
      </c>
      <c r="J16" s="1"/>
      <c r="K16" s="1">
        <v>792.50300000000004</v>
      </c>
      <c r="L16" s="1">
        <f t="shared" si="2"/>
        <v>-34.980999999999995</v>
      </c>
      <c r="M16" s="1"/>
      <c r="N16" s="1"/>
      <c r="O16" s="1">
        <v>757.32036000000062</v>
      </c>
      <c r="P16" s="1">
        <v>255.66698400000001</v>
      </c>
      <c r="Q16" s="1">
        <f t="shared" si="3"/>
        <v>151.5044</v>
      </c>
      <c r="R16" s="5">
        <f t="shared" si="8"/>
        <v>180.80705599999953</v>
      </c>
      <c r="S16" s="1">
        <f t="shared" si="4"/>
        <v>11</v>
      </c>
      <c r="T16" s="1">
        <f t="shared" si="5"/>
        <v>9.8065887459374146</v>
      </c>
      <c r="U16" s="1">
        <v>167.2568</v>
      </c>
      <c r="V16" s="1">
        <v>151.7054</v>
      </c>
      <c r="W16" s="1">
        <v>145.41239999999999</v>
      </c>
      <c r="X16" s="1">
        <v>152.36940000000001</v>
      </c>
      <c r="Y16" s="1">
        <v>153.6754</v>
      </c>
      <c r="Z16" s="1">
        <v>153.47040000000001</v>
      </c>
      <c r="AA16" s="1">
        <v>191.55760000000001</v>
      </c>
      <c r="AB16" s="1">
        <v>201.6146</v>
      </c>
      <c r="AC16" s="1">
        <v>130.29419999999999</v>
      </c>
      <c r="AD16" s="1"/>
      <c r="AE16" s="1">
        <f t="shared" si="7"/>
        <v>180.80705599999953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x14ac:dyDescent="0.25">
      <c r="A17" s="1" t="s">
        <v>50</v>
      </c>
      <c r="B17" s="1" t="s">
        <v>35</v>
      </c>
      <c r="C17" s="1">
        <v>77.667000000000002</v>
      </c>
      <c r="D17" s="1">
        <v>73.947999999999993</v>
      </c>
      <c r="E17" s="1">
        <v>42.167999999999999</v>
      </c>
      <c r="F17" s="1">
        <v>87.778999999999996</v>
      </c>
      <c r="G17" s="7">
        <v>1</v>
      </c>
      <c r="H17" s="1">
        <v>60</v>
      </c>
      <c r="I17" s="1" t="s">
        <v>36</v>
      </c>
      <c r="J17" s="1"/>
      <c r="K17" s="1">
        <v>58.6</v>
      </c>
      <c r="L17" s="1">
        <f t="shared" si="2"/>
        <v>-16.432000000000002</v>
      </c>
      <c r="M17" s="1"/>
      <c r="N17" s="1"/>
      <c r="O17" s="1">
        <v>0</v>
      </c>
      <c r="P17" s="1">
        <v>17.187199999999962</v>
      </c>
      <c r="Q17" s="1">
        <f t="shared" si="3"/>
        <v>8.4336000000000002</v>
      </c>
      <c r="R17" s="5"/>
      <c r="S17" s="1">
        <f t="shared" si="4"/>
        <v>12.446191424777076</v>
      </c>
      <c r="T17" s="1">
        <f t="shared" si="5"/>
        <v>12.446191424777076</v>
      </c>
      <c r="U17" s="1">
        <v>11.1334</v>
      </c>
      <c r="V17" s="1">
        <v>10.779</v>
      </c>
      <c r="W17" s="1">
        <v>13.9788</v>
      </c>
      <c r="X17" s="1">
        <v>12.2264</v>
      </c>
      <c r="Y17" s="1">
        <v>3.5379999999999998</v>
      </c>
      <c r="Z17" s="1">
        <v>4.5628000000000002</v>
      </c>
      <c r="AA17" s="1">
        <v>15.856400000000001</v>
      </c>
      <c r="AB17" s="1">
        <v>15.5992</v>
      </c>
      <c r="AC17" s="1">
        <v>9.6205999999999996</v>
      </c>
      <c r="AD17" s="1"/>
      <c r="AE17" s="1">
        <f t="shared" si="7"/>
        <v>0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x14ac:dyDescent="0.25">
      <c r="A18" s="1" t="s">
        <v>51</v>
      </c>
      <c r="B18" s="1" t="s">
        <v>35</v>
      </c>
      <c r="C18" s="1">
        <v>1.7669999999999999</v>
      </c>
      <c r="D18" s="1">
        <v>96.161000000000001</v>
      </c>
      <c r="E18" s="1">
        <v>0.95</v>
      </c>
      <c r="F18" s="1">
        <v>84.765000000000001</v>
      </c>
      <c r="G18" s="7">
        <v>1</v>
      </c>
      <c r="H18" s="1">
        <v>60</v>
      </c>
      <c r="I18" s="1" t="s">
        <v>36</v>
      </c>
      <c r="J18" s="1"/>
      <c r="K18" s="1">
        <v>22.3</v>
      </c>
      <c r="L18" s="1">
        <f t="shared" si="2"/>
        <v>-21.35</v>
      </c>
      <c r="M18" s="1"/>
      <c r="N18" s="1"/>
      <c r="O18" s="1">
        <v>6</v>
      </c>
      <c r="P18" s="1">
        <v>0</v>
      </c>
      <c r="Q18" s="1">
        <f t="shared" si="3"/>
        <v>0.19</v>
      </c>
      <c r="R18" s="5"/>
      <c r="S18" s="1">
        <f t="shared" si="4"/>
        <v>477.71052631578948</v>
      </c>
      <c r="T18" s="1">
        <f t="shared" si="5"/>
        <v>477.71052631578948</v>
      </c>
      <c r="U18" s="1">
        <v>3.8660000000000001</v>
      </c>
      <c r="V18" s="1">
        <v>8.2656000000000009</v>
      </c>
      <c r="W18" s="1">
        <v>8.6102000000000007</v>
      </c>
      <c r="X18" s="1">
        <v>6.8123999999999993</v>
      </c>
      <c r="Y18" s="1">
        <v>2.4491999999999998</v>
      </c>
      <c r="Z18" s="1">
        <v>0.35659999999999997</v>
      </c>
      <c r="AA18" s="1">
        <v>3.3452000000000002</v>
      </c>
      <c r="AB18" s="1">
        <v>6.4581999999999997</v>
      </c>
      <c r="AC18" s="1">
        <v>6.0523999999999996</v>
      </c>
      <c r="AD18" s="1"/>
      <c r="AE18" s="1">
        <f t="shared" si="7"/>
        <v>0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x14ac:dyDescent="0.25">
      <c r="A19" s="1" t="s">
        <v>52</v>
      </c>
      <c r="B19" s="1" t="s">
        <v>35</v>
      </c>
      <c r="C19" s="1">
        <v>70.408000000000001</v>
      </c>
      <c r="D19" s="1">
        <v>0.34699999999999998</v>
      </c>
      <c r="E19" s="1">
        <v>3.6240000000000001</v>
      </c>
      <c r="F19" s="1">
        <v>66.397000000000006</v>
      </c>
      <c r="G19" s="7">
        <v>1</v>
      </c>
      <c r="H19" s="1">
        <v>180</v>
      </c>
      <c r="I19" s="1" t="s">
        <v>36</v>
      </c>
      <c r="J19" s="1"/>
      <c r="K19" s="1">
        <v>3.36</v>
      </c>
      <c r="L19" s="1">
        <f t="shared" si="2"/>
        <v>0.26400000000000023</v>
      </c>
      <c r="M19" s="1"/>
      <c r="N19" s="1"/>
      <c r="O19" s="1">
        <v>0</v>
      </c>
      <c r="P19" s="1">
        <v>0</v>
      </c>
      <c r="Q19" s="1">
        <f t="shared" si="3"/>
        <v>0.7248</v>
      </c>
      <c r="R19" s="5"/>
      <c r="S19" s="1">
        <f t="shared" si="4"/>
        <v>91.607339955849895</v>
      </c>
      <c r="T19" s="1">
        <f t="shared" si="5"/>
        <v>91.607339955849895</v>
      </c>
      <c r="U19" s="1">
        <v>1.1200000000000001</v>
      </c>
      <c r="V19" s="1">
        <v>1.0484</v>
      </c>
      <c r="W19" s="1">
        <v>1.3737999999999999</v>
      </c>
      <c r="X19" s="1">
        <v>1.5928</v>
      </c>
      <c r="Y19" s="1">
        <v>1.4348000000000001</v>
      </c>
      <c r="Z19" s="1">
        <v>1.0733999999999999</v>
      </c>
      <c r="AA19" s="1">
        <v>0.58299999999999996</v>
      </c>
      <c r="AB19" s="1">
        <v>0.36120000000000002</v>
      </c>
      <c r="AC19" s="1">
        <v>0.43280000000000002</v>
      </c>
      <c r="AD19" s="16" t="s">
        <v>53</v>
      </c>
      <c r="AE19" s="1">
        <f t="shared" si="7"/>
        <v>0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x14ac:dyDescent="0.25">
      <c r="A20" s="1" t="s">
        <v>54</v>
      </c>
      <c r="B20" s="1" t="s">
        <v>35</v>
      </c>
      <c r="C20" s="1">
        <v>193.494</v>
      </c>
      <c r="D20" s="1">
        <v>431.27699999999999</v>
      </c>
      <c r="E20" s="1">
        <v>186.26300000000001</v>
      </c>
      <c r="F20" s="1">
        <v>356.28100000000001</v>
      </c>
      <c r="G20" s="7">
        <v>1</v>
      </c>
      <c r="H20" s="1">
        <v>60</v>
      </c>
      <c r="I20" s="1" t="s">
        <v>36</v>
      </c>
      <c r="J20" s="1"/>
      <c r="K20" s="1">
        <v>183.48</v>
      </c>
      <c r="L20" s="1">
        <f t="shared" si="2"/>
        <v>2.7830000000000155</v>
      </c>
      <c r="M20" s="1"/>
      <c r="N20" s="1"/>
      <c r="O20" s="1">
        <v>200</v>
      </c>
      <c r="P20" s="1">
        <v>0</v>
      </c>
      <c r="Q20" s="1">
        <f t="shared" si="3"/>
        <v>37.252600000000001</v>
      </c>
      <c r="R20" s="5"/>
      <c r="S20" s="1">
        <f t="shared" si="4"/>
        <v>14.932675840075591</v>
      </c>
      <c r="T20" s="1">
        <f t="shared" si="5"/>
        <v>14.932675840075591</v>
      </c>
      <c r="U20" s="1">
        <v>39.959000000000003</v>
      </c>
      <c r="V20" s="1">
        <v>51.057400000000001</v>
      </c>
      <c r="W20" s="1">
        <v>60.873399999999997</v>
      </c>
      <c r="X20" s="1">
        <v>50.812600000000003</v>
      </c>
      <c r="Y20" s="1">
        <v>48.222799999999999</v>
      </c>
      <c r="Z20" s="1">
        <v>24.840199999999999</v>
      </c>
      <c r="AA20" s="1">
        <v>17.950800000000001</v>
      </c>
      <c r="AB20" s="1">
        <v>46.0608</v>
      </c>
      <c r="AC20" s="1">
        <v>52.321800000000003</v>
      </c>
      <c r="AD20" s="1"/>
      <c r="AE20" s="1">
        <f t="shared" si="7"/>
        <v>0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x14ac:dyDescent="0.25">
      <c r="A21" s="9" t="s">
        <v>55</v>
      </c>
      <c r="B21" s="9" t="s">
        <v>35</v>
      </c>
      <c r="C21" s="9">
        <v>-2.4980000000000002</v>
      </c>
      <c r="D21" s="9"/>
      <c r="E21" s="9"/>
      <c r="F21" s="12">
        <v>-2.4980000000000002</v>
      </c>
      <c r="G21" s="10">
        <v>0</v>
      </c>
      <c r="H21" s="9"/>
      <c r="I21" s="9" t="s">
        <v>56</v>
      </c>
      <c r="J21" s="9" t="s">
        <v>57</v>
      </c>
      <c r="K21" s="9"/>
      <c r="L21" s="9">
        <f t="shared" si="2"/>
        <v>0</v>
      </c>
      <c r="M21" s="9"/>
      <c r="N21" s="9"/>
      <c r="O21" s="9">
        <v>0</v>
      </c>
      <c r="P21" s="9">
        <v>0</v>
      </c>
      <c r="Q21" s="9">
        <f t="shared" si="3"/>
        <v>0</v>
      </c>
      <c r="R21" s="11"/>
      <c r="S21" s="9" t="e">
        <f t="shared" si="4"/>
        <v>#DIV/0!</v>
      </c>
      <c r="T21" s="9" t="e">
        <f t="shared" si="5"/>
        <v>#DIV/0!</v>
      </c>
      <c r="U21" s="9">
        <v>0</v>
      </c>
      <c r="V21" s="9">
        <v>0.49959999999999999</v>
      </c>
      <c r="W21" s="9">
        <v>0.49959999999999999</v>
      </c>
      <c r="X21" s="9">
        <v>0</v>
      </c>
      <c r="Y21" s="9">
        <v>0</v>
      </c>
      <c r="Z21" s="9">
        <v>4.4702000000000002</v>
      </c>
      <c r="AA21" s="9">
        <v>4.4702000000000002</v>
      </c>
      <c r="AB21" s="9">
        <v>0</v>
      </c>
      <c r="AC21" s="9">
        <v>0</v>
      </c>
      <c r="AD21" s="9"/>
      <c r="AE21" s="9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x14ac:dyDescent="0.25">
      <c r="A22" s="1" t="s">
        <v>58</v>
      </c>
      <c r="B22" s="1" t="s">
        <v>35</v>
      </c>
      <c r="C22" s="1">
        <v>131.19</v>
      </c>
      <c r="D22" s="1">
        <v>103.322</v>
      </c>
      <c r="E22" s="1">
        <v>78.715999999999994</v>
      </c>
      <c r="F22" s="1">
        <v>132.15299999999999</v>
      </c>
      <c r="G22" s="7">
        <v>1</v>
      </c>
      <c r="H22" s="1">
        <v>70</v>
      </c>
      <c r="I22" s="1" t="s">
        <v>36</v>
      </c>
      <c r="J22" s="1"/>
      <c r="K22" s="1">
        <v>80.099999999999994</v>
      </c>
      <c r="L22" s="1">
        <f t="shared" si="2"/>
        <v>-1.3840000000000003</v>
      </c>
      <c r="M22" s="1"/>
      <c r="N22" s="1"/>
      <c r="O22" s="1">
        <v>0</v>
      </c>
      <c r="P22" s="1">
        <v>41.989040000000017</v>
      </c>
      <c r="Q22" s="1">
        <f t="shared" si="3"/>
        <v>15.743199999999998</v>
      </c>
      <c r="R22" s="5"/>
      <c r="S22" s="1">
        <f t="shared" si="4"/>
        <v>11.061413181564106</v>
      </c>
      <c r="T22" s="1">
        <f t="shared" si="5"/>
        <v>11.061413181564106</v>
      </c>
      <c r="U22" s="1">
        <v>20.288</v>
      </c>
      <c r="V22" s="1">
        <v>16.302</v>
      </c>
      <c r="W22" s="1">
        <v>7.3874000000000004</v>
      </c>
      <c r="X22" s="1">
        <v>12.8804</v>
      </c>
      <c r="Y22" s="1">
        <v>21.585599999999999</v>
      </c>
      <c r="Z22" s="1">
        <v>18.66</v>
      </c>
      <c r="AA22" s="1">
        <v>13.150600000000001</v>
      </c>
      <c r="AB22" s="1">
        <v>8.1453999999999986</v>
      </c>
      <c r="AC22" s="1">
        <v>4.9426000000000014</v>
      </c>
      <c r="AD22" s="1"/>
      <c r="AE22" s="1">
        <f>G22*R22</f>
        <v>0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x14ac:dyDescent="0.25">
      <c r="A23" s="1" t="s">
        <v>59</v>
      </c>
      <c r="B23" s="1" t="s">
        <v>35</v>
      </c>
      <c r="C23" s="1">
        <v>45.005000000000003</v>
      </c>
      <c r="D23" s="1">
        <v>374.56</v>
      </c>
      <c r="E23" s="1">
        <v>69.394999999999996</v>
      </c>
      <c r="F23" s="1">
        <v>327.3</v>
      </c>
      <c r="G23" s="7">
        <v>1</v>
      </c>
      <c r="H23" s="1">
        <v>70</v>
      </c>
      <c r="I23" s="1" t="s">
        <v>36</v>
      </c>
      <c r="J23" s="1"/>
      <c r="K23" s="1">
        <v>112.68</v>
      </c>
      <c r="L23" s="1">
        <f t="shared" si="2"/>
        <v>-43.285000000000011</v>
      </c>
      <c r="M23" s="1"/>
      <c r="N23" s="1"/>
      <c r="O23" s="1">
        <v>300</v>
      </c>
      <c r="P23" s="1">
        <v>0</v>
      </c>
      <c r="Q23" s="1">
        <f t="shared" si="3"/>
        <v>13.879</v>
      </c>
      <c r="R23" s="5"/>
      <c r="S23" s="1">
        <f t="shared" si="4"/>
        <v>45.197780819943802</v>
      </c>
      <c r="T23" s="1">
        <f t="shared" si="5"/>
        <v>45.197780819943802</v>
      </c>
      <c r="U23" s="1">
        <v>28.865200000000002</v>
      </c>
      <c r="V23" s="1">
        <v>38.453600000000002</v>
      </c>
      <c r="W23" s="1">
        <v>40.891599999999997</v>
      </c>
      <c r="X23" s="1">
        <v>31.311</v>
      </c>
      <c r="Y23" s="1">
        <v>9.8379999999999992</v>
      </c>
      <c r="Z23" s="1">
        <v>10.2186</v>
      </c>
      <c r="AA23" s="1">
        <v>23.747800000000002</v>
      </c>
      <c r="AB23" s="1">
        <v>26.411799999999999</v>
      </c>
      <c r="AC23" s="1">
        <v>22.914000000000001</v>
      </c>
      <c r="AD23" s="1"/>
      <c r="AE23" s="1">
        <f>G23*R23</f>
        <v>0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x14ac:dyDescent="0.25">
      <c r="A24" s="1" t="s">
        <v>60</v>
      </c>
      <c r="B24" s="1" t="s">
        <v>35</v>
      </c>
      <c r="C24" s="1">
        <v>46.066000000000003</v>
      </c>
      <c r="D24" s="1"/>
      <c r="E24" s="1">
        <v>2.4940000000000002</v>
      </c>
      <c r="F24" s="1">
        <v>42.491999999999997</v>
      </c>
      <c r="G24" s="7">
        <v>1</v>
      </c>
      <c r="H24" s="1">
        <v>180</v>
      </c>
      <c r="I24" s="1" t="s">
        <v>36</v>
      </c>
      <c r="J24" s="1"/>
      <c r="K24" s="1">
        <v>2.3199999999999998</v>
      </c>
      <c r="L24" s="1">
        <f t="shared" si="2"/>
        <v>0.17400000000000038</v>
      </c>
      <c r="M24" s="1"/>
      <c r="N24" s="1"/>
      <c r="O24" s="1">
        <v>0</v>
      </c>
      <c r="P24" s="1">
        <v>0</v>
      </c>
      <c r="Q24" s="1">
        <f t="shared" si="3"/>
        <v>0.49880000000000002</v>
      </c>
      <c r="R24" s="5"/>
      <c r="S24" s="1">
        <f t="shared" si="4"/>
        <v>85.188452285485155</v>
      </c>
      <c r="T24" s="1">
        <f t="shared" si="5"/>
        <v>85.188452285485155</v>
      </c>
      <c r="U24" s="1">
        <v>0.91679999999999995</v>
      </c>
      <c r="V24" s="1">
        <v>1.0511999999999999</v>
      </c>
      <c r="W24" s="1">
        <v>1.2616000000000001</v>
      </c>
      <c r="X24" s="1">
        <v>1.4614</v>
      </c>
      <c r="Y24" s="1">
        <v>1.6612</v>
      </c>
      <c r="Z24" s="1">
        <v>1.1819999999999999</v>
      </c>
      <c r="AA24" s="1">
        <v>0.97240000000000004</v>
      </c>
      <c r="AB24" s="1">
        <v>0.84079999999999999</v>
      </c>
      <c r="AC24" s="1">
        <v>0.34420000000000001</v>
      </c>
      <c r="AD24" s="16" t="s">
        <v>53</v>
      </c>
      <c r="AE24" s="1">
        <f>G24*R24</f>
        <v>0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x14ac:dyDescent="0.25">
      <c r="A25" s="1" t="s">
        <v>61</v>
      </c>
      <c r="B25" s="1" t="s">
        <v>35</v>
      </c>
      <c r="C25" s="1">
        <v>183.48</v>
      </c>
      <c r="D25" s="1">
        <v>339.17099999999999</v>
      </c>
      <c r="E25" s="1">
        <v>133.99299999999999</v>
      </c>
      <c r="F25" s="1">
        <v>352.74299999999999</v>
      </c>
      <c r="G25" s="7">
        <v>1</v>
      </c>
      <c r="H25" s="1">
        <v>70</v>
      </c>
      <c r="I25" s="1" t="s">
        <v>36</v>
      </c>
      <c r="J25" s="1"/>
      <c r="K25" s="1">
        <v>127.48</v>
      </c>
      <c r="L25" s="1">
        <f t="shared" si="2"/>
        <v>6.512999999999991</v>
      </c>
      <c r="M25" s="1"/>
      <c r="N25" s="1"/>
      <c r="O25" s="1">
        <v>250</v>
      </c>
      <c r="P25" s="1">
        <v>0</v>
      </c>
      <c r="Q25" s="1">
        <f t="shared" si="3"/>
        <v>26.7986</v>
      </c>
      <c r="R25" s="5"/>
      <c r="S25" s="1">
        <f t="shared" si="4"/>
        <v>22.491585381325887</v>
      </c>
      <c r="T25" s="1">
        <f t="shared" si="5"/>
        <v>22.491585381325887</v>
      </c>
      <c r="U25" s="1">
        <v>34.7776</v>
      </c>
      <c r="V25" s="1">
        <v>34.0182</v>
      </c>
      <c r="W25" s="1">
        <v>33.439</v>
      </c>
      <c r="X25" s="1">
        <v>37.412999999999997</v>
      </c>
      <c r="Y25" s="1">
        <v>35.633800000000001</v>
      </c>
      <c r="Z25" s="1">
        <v>34.274799999999999</v>
      </c>
      <c r="AA25" s="1">
        <v>25.488199999999999</v>
      </c>
      <c r="AB25" s="1">
        <v>14.996600000000001</v>
      </c>
      <c r="AC25" s="1">
        <v>18.1692</v>
      </c>
      <c r="AD25" s="15" t="s">
        <v>78</v>
      </c>
      <c r="AE25" s="1">
        <f>G25*R25</f>
        <v>0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x14ac:dyDescent="0.25">
      <c r="A26" s="9" t="s">
        <v>62</v>
      </c>
      <c r="B26" s="9" t="s">
        <v>35</v>
      </c>
      <c r="C26" s="9"/>
      <c r="D26" s="9"/>
      <c r="E26" s="9"/>
      <c r="F26" s="9"/>
      <c r="G26" s="10">
        <v>0</v>
      </c>
      <c r="H26" s="9"/>
      <c r="I26" s="9" t="s">
        <v>36</v>
      </c>
      <c r="J26" s="9"/>
      <c r="K26" s="9"/>
      <c r="L26" s="9">
        <f t="shared" si="2"/>
        <v>0</v>
      </c>
      <c r="M26" s="9"/>
      <c r="N26" s="9"/>
      <c r="O26" s="9">
        <v>0</v>
      </c>
      <c r="P26" s="9">
        <v>0</v>
      </c>
      <c r="Q26" s="9">
        <f t="shared" si="3"/>
        <v>0</v>
      </c>
      <c r="R26" s="11"/>
      <c r="S26" s="9" t="e">
        <f t="shared" si="4"/>
        <v>#DIV/0!</v>
      </c>
      <c r="T26" s="9" t="e">
        <f t="shared" si="5"/>
        <v>#DIV/0!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 t="s">
        <v>41</v>
      </c>
      <c r="AE26" s="9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x14ac:dyDescent="0.25">
      <c r="A27" s="1" t="s">
        <v>63</v>
      </c>
      <c r="B27" s="1" t="s">
        <v>35</v>
      </c>
      <c r="C27" s="1">
        <v>75.253</v>
      </c>
      <c r="D27" s="1">
        <v>17.327999999999999</v>
      </c>
      <c r="E27" s="1">
        <v>15.388999999999999</v>
      </c>
      <c r="F27" s="1">
        <v>55.39</v>
      </c>
      <c r="G27" s="7">
        <v>1</v>
      </c>
      <c r="H27" s="1"/>
      <c r="I27" s="1" t="s">
        <v>36</v>
      </c>
      <c r="J27" s="1"/>
      <c r="K27" s="1">
        <v>22.5</v>
      </c>
      <c r="L27" s="1">
        <f t="shared" si="2"/>
        <v>-7.1110000000000007</v>
      </c>
      <c r="M27" s="1"/>
      <c r="N27" s="1"/>
      <c r="O27" s="1">
        <v>0</v>
      </c>
      <c r="P27" s="1">
        <v>0</v>
      </c>
      <c r="Q27" s="1">
        <f t="shared" si="3"/>
        <v>3.0777999999999999</v>
      </c>
      <c r="R27" s="5"/>
      <c r="S27" s="1">
        <f t="shared" si="4"/>
        <v>17.996620963025538</v>
      </c>
      <c r="T27" s="1">
        <f t="shared" si="5"/>
        <v>17.996620963025538</v>
      </c>
      <c r="U27" s="1">
        <v>1.6164000000000001</v>
      </c>
      <c r="V27" s="1">
        <v>1.0656000000000001</v>
      </c>
      <c r="W27" s="1">
        <v>4.2439999999999998</v>
      </c>
      <c r="X27" s="1">
        <v>4.1135999999999999</v>
      </c>
      <c r="Y27" s="1">
        <v>6.1719999999999997</v>
      </c>
      <c r="Z27" s="1">
        <v>8.7397999999999989</v>
      </c>
      <c r="AA27" s="1">
        <v>4.5697999999999999</v>
      </c>
      <c r="AB27" s="1">
        <v>0.8044</v>
      </c>
      <c r="AC27" s="1">
        <v>1.3652</v>
      </c>
      <c r="AD27" s="16" t="s">
        <v>53</v>
      </c>
      <c r="AE27" s="1">
        <f>G27*R27</f>
        <v>0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x14ac:dyDescent="0.25">
      <c r="A28" s="1" t="s">
        <v>64</v>
      </c>
      <c r="B28" s="1" t="s">
        <v>35</v>
      </c>
      <c r="C28" s="1">
        <v>36.392000000000003</v>
      </c>
      <c r="D28" s="1">
        <v>8.923</v>
      </c>
      <c r="E28" s="1">
        <v>10.304</v>
      </c>
      <c r="F28" s="1">
        <v>35.011000000000003</v>
      </c>
      <c r="G28" s="7">
        <v>1</v>
      </c>
      <c r="H28" s="1">
        <v>40</v>
      </c>
      <c r="I28" s="14" t="s">
        <v>46</v>
      </c>
      <c r="J28" s="1"/>
      <c r="K28" s="1">
        <v>13</v>
      </c>
      <c r="L28" s="1">
        <f t="shared" si="2"/>
        <v>-2.6959999999999997</v>
      </c>
      <c r="M28" s="1"/>
      <c r="N28" s="1"/>
      <c r="O28" s="1">
        <v>0</v>
      </c>
      <c r="P28" s="1">
        <v>0</v>
      </c>
      <c r="Q28" s="1">
        <f t="shared" si="3"/>
        <v>2.0608</v>
      </c>
      <c r="R28" s="5"/>
      <c r="S28" s="1">
        <f t="shared" si="4"/>
        <v>16.989033385093169</v>
      </c>
      <c r="T28" s="1">
        <f t="shared" si="5"/>
        <v>16.989033385093169</v>
      </c>
      <c r="U28" s="1">
        <v>0.61399999999999999</v>
      </c>
      <c r="V28" s="1">
        <v>1.2290000000000001</v>
      </c>
      <c r="W28" s="1">
        <v>3.0666000000000002</v>
      </c>
      <c r="X28" s="1">
        <v>2.1442000000000001</v>
      </c>
      <c r="Y28" s="1">
        <v>1.5289999999999999</v>
      </c>
      <c r="Z28" s="1">
        <v>1.5289999999999999</v>
      </c>
      <c r="AA28" s="1">
        <v>0</v>
      </c>
      <c r="AB28" s="1">
        <v>0</v>
      </c>
      <c r="AC28" s="1">
        <v>0</v>
      </c>
      <c r="AD28" s="15" t="s">
        <v>78</v>
      </c>
      <c r="AE28" s="1">
        <f>G28*R28</f>
        <v>0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x14ac:dyDescent="0.25">
      <c r="A29" s="1" t="s">
        <v>65</v>
      </c>
      <c r="B29" s="1" t="s">
        <v>35</v>
      </c>
      <c r="C29" s="1">
        <v>254.02199999999999</v>
      </c>
      <c r="D29" s="1">
        <v>201.42599999999999</v>
      </c>
      <c r="E29" s="1">
        <v>120.136</v>
      </c>
      <c r="F29" s="1">
        <v>311.87099999999998</v>
      </c>
      <c r="G29" s="7">
        <v>1</v>
      </c>
      <c r="H29" s="1">
        <v>30</v>
      </c>
      <c r="I29" s="1" t="s">
        <v>36</v>
      </c>
      <c r="J29" s="1"/>
      <c r="K29" s="1">
        <v>122.9</v>
      </c>
      <c r="L29" s="1">
        <f t="shared" si="2"/>
        <v>-2.76400000000001</v>
      </c>
      <c r="M29" s="1"/>
      <c r="N29" s="1"/>
      <c r="O29" s="1">
        <v>0</v>
      </c>
      <c r="P29" s="1">
        <v>0</v>
      </c>
      <c r="Q29" s="1">
        <f t="shared" si="3"/>
        <v>24.027200000000001</v>
      </c>
      <c r="R29" s="5"/>
      <c r="S29" s="1">
        <f t="shared" si="4"/>
        <v>12.979914430312311</v>
      </c>
      <c r="T29" s="1">
        <f t="shared" si="5"/>
        <v>12.979914430312311</v>
      </c>
      <c r="U29" s="1">
        <v>19.935400000000001</v>
      </c>
      <c r="V29" s="1">
        <v>12.8134</v>
      </c>
      <c r="W29" s="1">
        <v>5.1048</v>
      </c>
      <c r="X29" s="1">
        <v>0</v>
      </c>
      <c r="Y29" s="1">
        <v>0</v>
      </c>
      <c r="Z29" s="1">
        <v>1.0782</v>
      </c>
      <c r="AA29" s="1">
        <v>10.61</v>
      </c>
      <c r="AB29" s="1">
        <v>10.623799999999999</v>
      </c>
      <c r="AC29" s="1">
        <v>1.38</v>
      </c>
      <c r="AD29" s="1"/>
      <c r="AE29" s="1">
        <f>G29*R29</f>
        <v>0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x14ac:dyDescent="0.25">
      <c r="A30" s="9" t="s">
        <v>66</v>
      </c>
      <c r="B30" s="9" t="s">
        <v>35</v>
      </c>
      <c r="C30" s="9"/>
      <c r="D30" s="9"/>
      <c r="E30" s="9"/>
      <c r="F30" s="9"/>
      <c r="G30" s="10">
        <v>0</v>
      </c>
      <c r="H30" s="9"/>
      <c r="I30" s="9" t="s">
        <v>36</v>
      </c>
      <c r="J30" s="9"/>
      <c r="K30" s="9"/>
      <c r="L30" s="9">
        <f t="shared" si="2"/>
        <v>0</v>
      </c>
      <c r="M30" s="9"/>
      <c r="N30" s="9"/>
      <c r="O30" s="9">
        <v>0</v>
      </c>
      <c r="P30" s="9">
        <v>0</v>
      </c>
      <c r="Q30" s="9">
        <f t="shared" si="3"/>
        <v>0</v>
      </c>
      <c r="R30" s="11"/>
      <c r="S30" s="9" t="e">
        <f t="shared" si="4"/>
        <v>#DIV/0!</v>
      </c>
      <c r="T30" s="9" t="e">
        <f t="shared" si="5"/>
        <v>#DIV/0!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 t="s">
        <v>41</v>
      </c>
      <c r="AE30" s="9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x14ac:dyDescent="0.25">
      <c r="A31" s="1" t="s">
        <v>67</v>
      </c>
      <c r="B31" s="1" t="s">
        <v>35</v>
      </c>
      <c r="C31" s="1">
        <v>176.17099999999999</v>
      </c>
      <c r="D31" s="1">
        <v>564.05799999999999</v>
      </c>
      <c r="E31" s="1">
        <v>234.559</v>
      </c>
      <c r="F31" s="1">
        <v>444.96</v>
      </c>
      <c r="G31" s="7">
        <v>1</v>
      </c>
      <c r="H31" s="1">
        <v>40</v>
      </c>
      <c r="I31" s="1" t="s">
        <v>36</v>
      </c>
      <c r="J31" s="1"/>
      <c r="K31" s="1">
        <v>243.42400000000001</v>
      </c>
      <c r="L31" s="1">
        <f t="shared" si="2"/>
        <v>-8.8650000000000091</v>
      </c>
      <c r="M31" s="1"/>
      <c r="N31" s="1"/>
      <c r="O31" s="1">
        <v>0</v>
      </c>
      <c r="P31" s="1">
        <v>233.9944239999999</v>
      </c>
      <c r="Q31" s="1">
        <f t="shared" si="3"/>
        <v>46.911799999999999</v>
      </c>
      <c r="R31" s="5"/>
      <c r="S31" s="1">
        <f t="shared" si="4"/>
        <v>14.47299877642725</v>
      </c>
      <c r="T31" s="1">
        <f t="shared" si="5"/>
        <v>14.47299877642725</v>
      </c>
      <c r="U31" s="1">
        <v>69.512799999999999</v>
      </c>
      <c r="V31" s="1">
        <v>61.160200000000003</v>
      </c>
      <c r="W31" s="1">
        <v>63.699399999999997</v>
      </c>
      <c r="X31" s="1">
        <v>59.421999999999997</v>
      </c>
      <c r="Y31" s="1">
        <v>44.277200000000001</v>
      </c>
      <c r="Z31" s="1">
        <v>55.958399999999997</v>
      </c>
      <c r="AA31" s="1">
        <v>72.36760000000001</v>
      </c>
      <c r="AB31" s="1">
        <v>47.904000000000003</v>
      </c>
      <c r="AC31" s="1">
        <v>60.401599999999988</v>
      </c>
      <c r="AD31" s="1"/>
      <c r="AE31" s="1">
        <f t="shared" ref="AE31:AE62" si="9">G31*R31</f>
        <v>0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x14ac:dyDescent="0.25">
      <c r="A32" s="1" t="s">
        <v>68</v>
      </c>
      <c r="B32" s="1" t="s">
        <v>35</v>
      </c>
      <c r="C32" s="1">
        <v>49.292000000000002</v>
      </c>
      <c r="D32" s="1">
        <v>1.458</v>
      </c>
      <c r="E32" s="1">
        <v>8.6739999999999995</v>
      </c>
      <c r="F32" s="1">
        <v>36.271999999999998</v>
      </c>
      <c r="G32" s="7">
        <v>1</v>
      </c>
      <c r="H32" s="1">
        <v>40</v>
      </c>
      <c r="I32" s="1" t="s">
        <v>36</v>
      </c>
      <c r="J32" s="1"/>
      <c r="K32" s="1">
        <v>9.5</v>
      </c>
      <c r="L32" s="1">
        <f t="shared" si="2"/>
        <v>-0.82600000000000051</v>
      </c>
      <c r="M32" s="1"/>
      <c r="N32" s="1"/>
      <c r="O32" s="1">
        <v>0</v>
      </c>
      <c r="P32" s="1">
        <v>0</v>
      </c>
      <c r="Q32" s="1">
        <f t="shared" si="3"/>
        <v>1.7347999999999999</v>
      </c>
      <c r="R32" s="5"/>
      <c r="S32" s="1">
        <f t="shared" si="4"/>
        <v>20.908462070555682</v>
      </c>
      <c r="T32" s="1">
        <f t="shared" si="5"/>
        <v>20.908462070555682</v>
      </c>
      <c r="U32" s="1">
        <v>0.86959999999999993</v>
      </c>
      <c r="V32" s="1">
        <v>0</v>
      </c>
      <c r="W32" s="1">
        <v>0</v>
      </c>
      <c r="X32" s="1">
        <v>0.28399999999999997</v>
      </c>
      <c r="Y32" s="1">
        <v>0.28399999999999997</v>
      </c>
      <c r="Z32" s="1">
        <v>0</v>
      </c>
      <c r="AA32" s="1">
        <v>0</v>
      </c>
      <c r="AB32" s="1">
        <v>0</v>
      </c>
      <c r="AC32" s="1">
        <v>0</v>
      </c>
      <c r="AD32" s="16" t="s">
        <v>53</v>
      </c>
      <c r="AE32" s="1">
        <f t="shared" si="9"/>
        <v>0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x14ac:dyDescent="0.25">
      <c r="A33" s="1" t="s">
        <v>69</v>
      </c>
      <c r="B33" s="1" t="s">
        <v>35</v>
      </c>
      <c r="C33" s="1">
        <v>39.335999999999999</v>
      </c>
      <c r="D33" s="1"/>
      <c r="E33" s="1"/>
      <c r="F33" s="1">
        <v>39.335999999999999</v>
      </c>
      <c r="G33" s="7">
        <v>1</v>
      </c>
      <c r="H33" s="1">
        <v>30</v>
      </c>
      <c r="I33" s="1" t="s">
        <v>36</v>
      </c>
      <c r="J33" s="1"/>
      <c r="K33" s="1">
        <v>1.3</v>
      </c>
      <c r="L33" s="1">
        <f t="shared" si="2"/>
        <v>-1.3</v>
      </c>
      <c r="M33" s="1"/>
      <c r="N33" s="1"/>
      <c r="O33" s="1">
        <v>0</v>
      </c>
      <c r="P33" s="1">
        <v>0</v>
      </c>
      <c r="Q33" s="1">
        <f t="shared" si="3"/>
        <v>0</v>
      </c>
      <c r="R33" s="5"/>
      <c r="S33" s="1" t="e">
        <f t="shared" si="4"/>
        <v>#DIV/0!</v>
      </c>
      <c r="T33" s="1" t="e">
        <f t="shared" si="5"/>
        <v>#DIV/0!</v>
      </c>
      <c r="U33" s="1">
        <v>0</v>
      </c>
      <c r="V33" s="1">
        <v>0</v>
      </c>
      <c r="W33" s="1">
        <v>0.26919999999999999</v>
      </c>
      <c r="X33" s="1">
        <v>0</v>
      </c>
      <c r="Y33" s="1">
        <v>0</v>
      </c>
      <c r="Z33" s="1">
        <v>0.26960000000000001</v>
      </c>
      <c r="AA33" s="1">
        <v>0.26960000000000001</v>
      </c>
      <c r="AB33" s="1">
        <v>0</v>
      </c>
      <c r="AC33" s="1">
        <v>0</v>
      </c>
      <c r="AD33" s="16" t="s">
        <v>53</v>
      </c>
      <c r="AE33" s="1">
        <f t="shared" si="9"/>
        <v>0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x14ac:dyDescent="0.25">
      <c r="A34" s="1" t="s">
        <v>70</v>
      </c>
      <c r="B34" s="1" t="s">
        <v>35</v>
      </c>
      <c r="C34" s="1">
        <v>187.625</v>
      </c>
      <c r="D34" s="1"/>
      <c r="E34" s="1">
        <v>12.853999999999999</v>
      </c>
      <c r="F34" s="1">
        <v>172.006</v>
      </c>
      <c r="G34" s="7">
        <v>1</v>
      </c>
      <c r="H34" s="1">
        <v>50</v>
      </c>
      <c r="I34" s="1" t="s">
        <v>36</v>
      </c>
      <c r="J34" s="1"/>
      <c r="K34" s="1">
        <v>12.666</v>
      </c>
      <c r="L34" s="1">
        <f t="shared" si="2"/>
        <v>0.18799999999999883</v>
      </c>
      <c r="M34" s="1"/>
      <c r="N34" s="1"/>
      <c r="O34" s="1">
        <v>0</v>
      </c>
      <c r="P34" s="1">
        <v>0</v>
      </c>
      <c r="Q34" s="1">
        <f t="shared" si="3"/>
        <v>2.5707999999999998</v>
      </c>
      <c r="R34" s="5"/>
      <c r="S34" s="1">
        <f t="shared" si="4"/>
        <v>66.907577407810805</v>
      </c>
      <c r="T34" s="1">
        <f t="shared" si="5"/>
        <v>66.907577407810805</v>
      </c>
      <c r="U34" s="1">
        <v>1.8340000000000001</v>
      </c>
      <c r="V34" s="1">
        <v>1.6386000000000001</v>
      </c>
      <c r="W34" s="1">
        <v>4.7336</v>
      </c>
      <c r="X34" s="1">
        <v>5.1031999999999993</v>
      </c>
      <c r="Y34" s="1">
        <v>2.7387999999999999</v>
      </c>
      <c r="Z34" s="1">
        <v>2.1768000000000001</v>
      </c>
      <c r="AA34" s="1">
        <v>2.9064000000000001</v>
      </c>
      <c r="AB34" s="1">
        <v>1.2767999999999999</v>
      </c>
      <c r="AC34" s="1">
        <v>-0.1764</v>
      </c>
      <c r="AD34" s="16" t="s">
        <v>53</v>
      </c>
      <c r="AE34" s="1">
        <f t="shared" si="9"/>
        <v>0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x14ac:dyDescent="0.25">
      <c r="A35" s="1" t="s">
        <v>71</v>
      </c>
      <c r="B35" s="1" t="s">
        <v>35</v>
      </c>
      <c r="C35" s="1">
        <v>78.619</v>
      </c>
      <c r="D35" s="1"/>
      <c r="E35" s="1">
        <v>7.2939999999999996</v>
      </c>
      <c r="F35" s="1">
        <v>68.602999999999994</v>
      </c>
      <c r="G35" s="7">
        <v>1</v>
      </c>
      <c r="H35" s="1">
        <v>50</v>
      </c>
      <c r="I35" s="1" t="s">
        <v>36</v>
      </c>
      <c r="J35" s="1"/>
      <c r="K35" s="1">
        <v>7.2</v>
      </c>
      <c r="L35" s="1">
        <f t="shared" si="2"/>
        <v>9.3999999999999417E-2</v>
      </c>
      <c r="M35" s="1"/>
      <c r="N35" s="1"/>
      <c r="O35" s="1">
        <v>0</v>
      </c>
      <c r="P35" s="1">
        <v>0</v>
      </c>
      <c r="Q35" s="1">
        <f t="shared" si="3"/>
        <v>1.4587999999999999</v>
      </c>
      <c r="R35" s="5"/>
      <c r="S35" s="1">
        <f t="shared" si="4"/>
        <v>47.0270085001371</v>
      </c>
      <c r="T35" s="1">
        <f t="shared" si="5"/>
        <v>47.0270085001371</v>
      </c>
      <c r="U35" s="1">
        <v>0.73040000000000005</v>
      </c>
      <c r="V35" s="1">
        <v>0.9032</v>
      </c>
      <c r="W35" s="1">
        <v>1.6294</v>
      </c>
      <c r="X35" s="1">
        <v>0.72619999999999996</v>
      </c>
      <c r="Y35" s="1">
        <v>0.54480000000000006</v>
      </c>
      <c r="Z35" s="1">
        <v>1.0824</v>
      </c>
      <c r="AA35" s="1">
        <v>0.90259999999999996</v>
      </c>
      <c r="AB35" s="1">
        <v>0</v>
      </c>
      <c r="AC35" s="1">
        <v>0.36520000000000002</v>
      </c>
      <c r="AD35" s="16" t="s">
        <v>53</v>
      </c>
      <c r="AE35" s="1">
        <f t="shared" si="9"/>
        <v>0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x14ac:dyDescent="0.25">
      <c r="A36" s="1" t="s">
        <v>72</v>
      </c>
      <c r="B36" s="1" t="s">
        <v>40</v>
      </c>
      <c r="C36" s="1">
        <v>232</v>
      </c>
      <c r="D36" s="1">
        <v>447</v>
      </c>
      <c r="E36" s="1">
        <v>715</v>
      </c>
      <c r="F36" s="1">
        <v>-44</v>
      </c>
      <c r="G36" s="7">
        <v>0.4</v>
      </c>
      <c r="H36" s="1">
        <v>45</v>
      </c>
      <c r="I36" s="1" t="s">
        <v>36</v>
      </c>
      <c r="J36" s="1"/>
      <c r="K36" s="1">
        <v>801</v>
      </c>
      <c r="L36" s="1">
        <f t="shared" si="2"/>
        <v>-86</v>
      </c>
      <c r="M36" s="1"/>
      <c r="N36" s="1"/>
      <c r="O36" s="1">
        <v>858.8</v>
      </c>
      <c r="P36" s="1">
        <v>841.34400000000016</v>
      </c>
      <c r="Q36" s="1">
        <f t="shared" si="3"/>
        <v>143</v>
      </c>
      <c r="R36" s="5"/>
      <c r="S36" s="1">
        <f t="shared" si="4"/>
        <v>11.581426573426574</v>
      </c>
      <c r="T36" s="1">
        <f t="shared" si="5"/>
        <v>11.581426573426574</v>
      </c>
      <c r="U36" s="1">
        <v>166.8</v>
      </c>
      <c r="V36" s="1">
        <v>113</v>
      </c>
      <c r="W36" s="1">
        <v>63.2</v>
      </c>
      <c r="X36" s="1">
        <v>53.6</v>
      </c>
      <c r="Y36" s="1">
        <v>102.2</v>
      </c>
      <c r="Z36" s="1">
        <v>53.4</v>
      </c>
      <c r="AA36" s="1">
        <v>26.6</v>
      </c>
      <c r="AB36" s="1">
        <v>28.2</v>
      </c>
      <c r="AC36" s="1">
        <v>39</v>
      </c>
      <c r="AD36" s="1"/>
      <c r="AE36" s="1">
        <f t="shared" si="9"/>
        <v>0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x14ac:dyDescent="0.25">
      <c r="A37" s="1" t="s">
        <v>73</v>
      </c>
      <c r="B37" s="1" t="s">
        <v>40</v>
      </c>
      <c r="C37" s="1">
        <v>134</v>
      </c>
      <c r="D37" s="1">
        <v>220</v>
      </c>
      <c r="E37" s="1">
        <v>190</v>
      </c>
      <c r="F37" s="1">
        <v>154</v>
      </c>
      <c r="G37" s="7">
        <v>0.45</v>
      </c>
      <c r="H37" s="1">
        <v>50</v>
      </c>
      <c r="I37" s="1" t="s">
        <v>36</v>
      </c>
      <c r="J37" s="1"/>
      <c r="K37" s="1">
        <v>206</v>
      </c>
      <c r="L37" s="1">
        <f t="shared" si="2"/>
        <v>-16</v>
      </c>
      <c r="M37" s="1"/>
      <c r="N37" s="1"/>
      <c r="O37" s="1">
        <v>26.400000000000009</v>
      </c>
      <c r="P37" s="1">
        <v>133.584</v>
      </c>
      <c r="Q37" s="1">
        <f t="shared" si="3"/>
        <v>38</v>
      </c>
      <c r="R37" s="5">
        <f t="shared" ref="R31:R81" si="10">11*Q37-P37-O37-F37</f>
        <v>104.01599999999996</v>
      </c>
      <c r="S37" s="1">
        <f t="shared" si="4"/>
        <v>11</v>
      </c>
      <c r="T37" s="1">
        <f t="shared" si="5"/>
        <v>8.262736842105264</v>
      </c>
      <c r="U37" s="1">
        <v>34.799999999999997</v>
      </c>
      <c r="V37" s="1">
        <v>32.4</v>
      </c>
      <c r="W37" s="1">
        <v>31</v>
      </c>
      <c r="X37" s="1">
        <v>32</v>
      </c>
      <c r="Y37" s="1">
        <v>38.4</v>
      </c>
      <c r="Z37" s="1">
        <v>39.4</v>
      </c>
      <c r="AA37" s="1">
        <v>42.2</v>
      </c>
      <c r="AB37" s="1">
        <v>30.8</v>
      </c>
      <c r="AC37" s="1">
        <v>24.6</v>
      </c>
      <c r="AD37" s="1"/>
      <c r="AE37" s="1">
        <f t="shared" si="9"/>
        <v>46.807199999999987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x14ac:dyDescent="0.25">
      <c r="A38" s="1" t="s">
        <v>74</v>
      </c>
      <c r="B38" s="1" t="s">
        <v>40</v>
      </c>
      <c r="C38" s="1">
        <v>217</v>
      </c>
      <c r="D38" s="1">
        <v>452</v>
      </c>
      <c r="E38" s="1">
        <v>278</v>
      </c>
      <c r="F38" s="1">
        <v>331</v>
      </c>
      <c r="G38" s="7">
        <v>0.4</v>
      </c>
      <c r="H38" s="1">
        <v>45</v>
      </c>
      <c r="I38" s="14" t="s">
        <v>46</v>
      </c>
      <c r="J38" s="1"/>
      <c r="K38" s="1">
        <v>292</v>
      </c>
      <c r="L38" s="1">
        <f t="shared" ref="L38:L69" si="11">E38-K38</f>
        <v>-14</v>
      </c>
      <c r="M38" s="1"/>
      <c r="N38" s="1"/>
      <c r="O38" s="1">
        <v>360</v>
      </c>
      <c r="P38" s="1">
        <v>0</v>
      </c>
      <c r="Q38" s="1">
        <f t="shared" ref="Q38:Q69" si="12">E38/5</f>
        <v>55.6</v>
      </c>
      <c r="R38" s="5"/>
      <c r="S38" s="1">
        <f t="shared" ref="S38:S69" si="13">(F38+O38+P38+R38)/Q38</f>
        <v>12.428057553956835</v>
      </c>
      <c r="T38" s="1">
        <f t="shared" ref="T38:T69" si="14">(F38+O38+P38)/Q38</f>
        <v>12.428057553956835</v>
      </c>
      <c r="U38" s="1">
        <v>57.8</v>
      </c>
      <c r="V38" s="1">
        <v>59.2</v>
      </c>
      <c r="W38" s="1">
        <v>62</v>
      </c>
      <c r="X38" s="1">
        <v>43.2</v>
      </c>
      <c r="Y38" s="1">
        <v>46</v>
      </c>
      <c r="Z38" s="1">
        <v>28</v>
      </c>
      <c r="AA38" s="1">
        <v>30.6</v>
      </c>
      <c r="AB38" s="1">
        <v>40.799999999999997</v>
      </c>
      <c r="AC38" s="1">
        <v>33</v>
      </c>
      <c r="AD38" s="1"/>
      <c r="AE38" s="1">
        <f t="shared" si="9"/>
        <v>0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x14ac:dyDescent="0.25">
      <c r="A39" s="1" t="s">
        <v>75</v>
      </c>
      <c r="B39" s="1" t="s">
        <v>40</v>
      </c>
      <c r="C39" s="1">
        <v>153</v>
      </c>
      <c r="D39" s="1">
        <v>48</v>
      </c>
      <c r="E39" s="1">
        <v>58</v>
      </c>
      <c r="F39" s="1">
        <v>137</v>
      </c>
      <c r="G39" s="7">
        <v>0.4</v>
      </c>
      <c r="H39" s="1">
        <v>40</v>
      </c>
      <c r="I39" s="1" t="s">
        <v>36</v>
      </c>
      <c r="J39" s="1"/>
      <c r="K39" s="1">
        <v>58</v>
      </c>
      <c r="L39" s="1">
        <f t="shared" si="11"/>
        <v>0</v>
      </c>
      <c r="M39" s="1"/>
      <c r="N39" s="1"/>
      <c r="O39" s="1">
        <v>0</v>
      </c>
      <c r="P39" s="1">
        <v>12.399999999999981</v>
      </c>
      <c r="Q39" s="1">
        <f t="shared" si="12"/>
        <v>11.6</v>
      </c>
      <c r="R39" s="5"/>
      <c r="S39" s="1">
        <f t="shared" si="13"/>
        <v>12.879310344827585</v>
      </c>
      <c r="T39" s="1">
        <f t="shared" si="14"/>
        <v>12.879310344827585</v>
      </c>
      <c r="U39" s="1">
        <v>13.2</v>
      </c>
      <c r="V39" s="1">
        <v>8</v>
      </c>
      <c r="W39" s="1">
        <v>9.1999999999999993</v>
      </c>
      <c r="X39" s="1">
        <v>20</v>
      </c>
      <c r="Y39" s="1">
        <v>20.399999999999999</v>
      </c>
      <c r="Z39" s="1">
        <v>16.8</v>
      </c>
      <c r="AA39" s="1">
        <v>14.4</v>
      </c>
      <c r="AB39" s="1">
        <v>0.8</v>
      </c>
      <c r="AC39" s="1">
        <v>0</v>
      </c>
      <c r="AD39" s="1"/>
      <c r="AE39" s="1">
        <f t="shared" si="9"/>
        <v>0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x14ac:dyDescent="0.25">
      <c r="A40" s="1" t="s">
        <v>76</v>
      </c>
      <c r="B40" s="1" t="s">
        <v>35</v>
      </c>
      <c r="C40" s="1">
        <v>53.823999999999998</v>
      </c>
      <c r="D40" s="1"/>
      <c r="E40" s="1"/>
      <c r="F40" s="1">
        <v>53.823999999999998</v>
      </c>
      <c r="G40" s="7">
        <v>1</v>
      </c>
      <c r="H40" s="1">
        <v>45</v>
      </c>
      <c r="I40" s="1" t="s">
        <v>36</v>
      </c>
      <c r="J40" s="1"/>
      <c r="K40" s="1"/>
      <c r="L40" s="1">
        <f t="shared" si="11"/>
        <v>0</v>
      </c>
      <c r="M40" s="1"/>
      <c r="N40" s="1"/>
      <c r="O40" s="1">
        <v>0</v>
      </c>
      <c r="P40" s="1">
        <v>0</v>
      </c>
      <c r="Q40" s="1">
        <f t="shared" si="12"/>
        <v>0</v>
      </c>
      <c r="R40" s="5"/>
      <c r="S40" s="1" t="e">
        <f t="shared" si="13"/>
        <v>#DIV/0!</v>
      </c>
      <c r="T40" s="1" t="e">
        <f t="shared" si="14"/>
        <v>#DIV/0!</v>
      </c>
      <c r="U40" s="1">
        <v>0.2838</v>
      </c>
      <c r="V40" s="1">
        <v>0.2838</v>
      </c>
      <c r="W40" s="1">
        <v>0.5706</v>
      </c>
      <c r="X40" s="1">
        <v>0.5706</v>
      </c>
      <c r="Y40" s="1">
        <v>0</v>
      </c>
      <c r="Z40" s="1">
        <v>0</v>
      </c>
      <c r="AA40" s="1">
        <v>0.28079999999999999</v>
      </c>
      <c r="AB40" s="1">
        <v>0.28079999999999999</v>
      </c>
      <c r="AC40" s="1">
        <v>0.86159999999999992</v>
      </c>
      <c r="AD40" s="16" t="s">
        <v>53</v>
      </c>
      <c r="AE40" s="1">
        <f t="shared" si="9"/>
        <v>0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x14ac:dyDescent="0.25">
      <c r="A41" s="1" t="s">
        <v>77</v>
      </c>
      <c r="B41" s="1" t="s">
        <v>40</v>
      </c>
      <c r="C41" s="1">
        <v>234</v>
      </c>
      <c r="D41" s="1">
        <v>5</v>
      </c>
      <c r="E41" s="1">
        <v>38</v>
      </c>
      <c r="F41" s="1">
        <v>184</v>
      </c>
      <c r="G41" s="7">
        <v>0.1</v>
      </c>
      <c r="H41" s="1">
        <v>731</v>
      </c>
      <c r="I41" s="1" t="s">
        <v>36</v>
      </c>
      <c r="J41" s="1"/>
      <c r="K41" s="1">
        <v>45</v>
      </c>
      <c r="L41" s="1">
        <f t="shared" si="11"/>
        <v>-7</v>
      </c>
      <c r="M41" s="1"/>
      <c r="N41" s="1"/>
      <c r="O41" s="1">
        <v>0</v>
      </c>
      <c r="P41" s="1">
        <v>0</v>
      </c>
      <c r="Q41" s="1">
        <f t="shared" si="12"/>
        <v>7.6</v>
      </c>
      <c r="R41" s="5"/>
      <c r="S41" s="1">
        <f t="shared" si="13"/>
        <v>24.210526315789476</v>
      </c>
      <c r="T41" s="1">
        <f t="shared" si="14"/>
        <v>24.210526315789476</v>
      </c>
      <c r="U41" s="1">
        <v>10.4</v>
      </c>
      <c r="V41" s="1">
        <v>13.8</v>
      </c>
      <c r="W41" s="1">
        <v>14.2</v>
      </c>
      <c r="X41" s="1">
        <v>7.6</v>
      </c>
      <c r="Y41" s="1">
        <v>9.4</v>
      </c>
      <c r="Z41" s="1">
        <v>10</v>
      </c>
      <c r="AA41" s="1">
        <v>7.4</v>
      </c>
      <c r="AB41" s="1">
        <v>3.4</v>
      </c>
      <c r="AC41" s="1">
        <v>6.6</v>
      </c>
      <c r="AD41" s="16" t="s">
        <v>53</v>
      </c>
      <c r="AE41" s="1">
        <f t="shared" si="9"/>
        <v>0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x14ac:dyDescent="0.25">
      <c r="A42" s="1" t="s">
        <v>79</v>
      </c>
      <c r="B42" s="1" t="s">
        <v>40</v>
      </c>
      <c r="C42" s="1">
        <v>186</v>
      </c>
      <c r="D42" s="1">
        <v>24</v>
      </c>
      <c r="E42" s="1">
        <v>26</v>
      </c>
      <c r="F42" s="1">
        <v>178</v>
      </c>
      <c r="G42" s="7">
        <v>0.35</v>
      </c>
      <c r="H42" s="1">
        <v>40</v>
      </c>
      <c r="I42" s="14" t="s">
        <v>46</v>
      </c>
      <c r="J42" s="1"/>
      <c r="K42" s="1">
        <v>32</v>
      </c>
      <c r="L42" s="1">
        <f t="shared" si="11"/>
        <v>-6</v>
      </c>
      <c r="M42" s="1"/>
      <c r="N42" s="1"/>
      <c r="O42" s="1">
        <v>0</v>
      </c>
      <c r="P42" s="1">
        <v>0</v>
      </c>
      <c r="Q42" s="1">
        <f t="shared" si="12"/>
        <v>5.2</v>
      </c>
      <c r="R42" s="5"/>
      <c r="S42" s="1">
        <f t="shared" si="13"/>
        <v>34.230769230769226</v>
      </c>
      <c r="T42" s="1">
        <f t="shared" si="14"/>
        <v>34.230769230769226</v>
      </c>
      <c r="U42" s="1">
        <v>2.8</v>
      </c>
      <c r="V42" s="1">
        <v>1.8</v>
      </c>
      <c r="W42" s="1">
        <v>1.8</v>
      </c>
      <c r="X42" s="1">
        <v>0.6</v>
      </c>
      <c r="Y42" s="1">
        <v>0</v>
      </c>
      <c r="Z42" s="1">
        <v>0</v>
      </c>
      <c r="AA42" s="1">
        <v>0</v>
      </c>
      <c r="AB42" s="1">
        <v>0</v>
      </c>
      <c r="AC42" s="1">
        <v>0.2</v>
      </c>
      <c r="AD42" s="16" t="s">
        <v>53</v>
      </c>
      <c r="AE42" s="1">
        <f t="shared" si="9"/>
        <v>0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x14ac:dyDescent="0.25">
      <c r="A43" s="1" t="s">
        <v>80</v>
      </c>
      <c r="B43" s="1" t="s">
        <v>35</v>
      </c>
      <c r="C43" s="1">
        <v>64.944000000000003</v>
      </c>
      <c r="D43" s="1">
        <v>96.167000000000002</v>
      </c>
      <c r="E43" s="1">
        <v>17.425000000000001</v>
      </c>
      <c r="F43" s="1">
        <v>137.91800000000001</v>
      </c>
      <c r="G43" s="7">
        <v>1</v>
      </c>
      <c r="H43" s="1">
        <v>40</v>
      </c>
      <c r="I43" s="1" t="s">
        <v>36</v>
      </c>
      <c r="J43" s="1"/>
      <c r="K43" s="1">
        <v>19.3</v>
      </c>
      <c r="L43" s="1">
        <f t="shared" si="11"/>
        <v>-1.875</v>
      </c>
      <c r="M43" s="1"/>
      <c r="N43" s="1"/>
      <c r="O43" s="1">
        <v>20</v>
      </c>
      <c r="P43" s="1">
        <v>0</v>
      </c>
      <c r="Q43" s="1">
        <f t="shared" si="12"/>
        <v>3.4850000000000003</v>
      </c>
      <c r="R43" s="5"/>
      <c r="S43" s="1">
        <f t="shared" si="13"/>
        <v>45.313629842180774</v>
      </c>
      <c r="T43" s="1">
        <f t="shared" si="14"/>
        <v>45.313629842180774</v>
      </c>
      <c r="U43" s="1">
        <v>4.3949999999999996</v>
      </c>
      <c r="V43" s="1">
        <v>6.7342000000000004</v>
      </c>
      <c r="W43" s="1">
        <v>8.4418000000000006</v>
      </c>
      <c r="X43" s="1">
        <v>7.5246000000000004</v>
      </c>
      <c r="Y43" s="1">
        <v>4.3243999999999998</v>
      </c>
      <c r="Z43" s="1">
        <v>5.9077999999999999</v>
      </c>
      <c r="AA43" s="1">
        <v>5.9042000000000003</v>
      </c>
      <c r="AB43" s="1">
        <v>1.0089999999999999</v>
      </c>
      <c r="AC43" s="1">
        <v>0</v>
      </c>
      <c r="AD43" s="16" t="s">
        <v>53</v>
      </c>
      <c r="AE43" s="1">
        <f t="shared" si="9"/>
        <v>0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x14ac:dyDescent="0.25">
      <c r="A44" s="1" t="s">
        <v>81</v>
      </c>
      <c r="B44" s="1" t="s">
        <v>40</v>
      </c>
      <c r="C44" s="1">
        <v>5</v>
      </c>
      <c r="D44" s="1">
        <v>300</v>
      </c>
      <c r="E44" s="1">
        <v>74</v>
      </c>
      <c r="F44" s="1">
        <v>215</v>
      </c>
      <c r="G44" s="7">
        <v>0.4</v>
      </c>
      <c r="H44" s="1">
        <v>40</v>
      </c>
      <c r="I44" s="1" t="s">
        <v>36</v>
      </c>
      <c r="J44" s="1"/>
      <c r="K44" s="1">
        <v>99</v>
      </c>
      <c r="L44" s="1">
        <f t="shared" si="11"/>
        <v>-25</v>
      </c>
      <c r="M44" s="1"/>
      <c r="N44" s="1"/>
      <c r="O44" s="1">
        <v>23.1999999999999</v>
      </c>
      <c r="P44" s="1">
        <v>0</v>
      </c>
      <c r="Q44" s="1">
        <f t="shared" si="12"/>
        <v>14.8</v>
      </c>
      <c r="R44" s="5"/>
      <c r="S44" s="1">
        <f t="shared" si="13"/>
        <v>16.094594594594586</v>
      </c>
      <c r="T44" s="1">
        <f t="shared" si="14"/>
        <v>16.094594594594586</v>
      </c>
      <c r="U44" s="1">
        <v>5.6</v>
      </c>
      <c r="V44" s="1">
        <v>29.2</v>
      </c>
      <c r="W44" s="1">
        <v>29.6</v>
      </c>
      <c r="X44" s="1">
        <v>4.8</v>
      </c>
      <c r="Y44" s="1">
        <v>18.2</v>
      </c>
      <c r="Z44" s="1">
        <v>13.4</v>
      </c>
      <c r="AA44" s="1">
        <v>1</v>
      </c>
      <c r="AB44" s="1">
        <v>6.4</v>
      </c>
      <c r="AC44" s="1">
        <v>11.2</v>
      </c>
      <c r="AD44" s="1"/>
      <c r="AE44" s="1">
        <f t="shared" si="9"/>
        <v>0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x14ac:dyDescent="0.25">
      <c r="A45" s="1" t="s">
        <v>82</v>
      </c>
      <c r="B45" s="1" t="s">
        <v>40</v>
      </c>
      <c r="C45" s="1">
        <v>-5</v>
      </c>
      <c r="D45" s="1">
        <v>420</v>
      </c>
      <c r="E45" s="1">
        <v>52</v>
      </c>
      <c r="F45" s="1">
        <v>353</v>
      </c>
      <c r="G45" s="7">
        <v>0.4</v>
      </c>
      <c r="H45" s="1">
        <v>45</v>
      </c>
      <c r="I45" s="1" t="s">
        <v>36</v>
      </c>
      <c r="J45" s="1"/>
      <c r="K45" s="1">
        <v>122</v>
      </c>
      <c r="L45" s="1">
        <f t="shared" si="11"/>
        <v>-70</v>
      </c>
      <c r="M45" s="1"/>
      <c r="N45" s="1"/>
      <c r="O45" s="1">
        <v>0</v>
      </c>
      <c r="P45" s="1">
        <v>0</v>
      </c>
      <c r="Q45" s="1">
        <f t="shared" si="12"/>
        <v>10.4</v>
      </c>
      <c r="R45" s="5"/>
      <c r="S45" s="1">
        <f t="shared" si="13"/>
        <v>33.942307692307693</v>
      </c>
      <c r="T45" s="1">
        <f t="shared" si="14"/>
        <v>33.942307692307693</v>
      </c>
      <c r="U45" s="1">
        <v>4.5999999999999996</v>
      </c>
      <c r="V45" s="1">
        <v>6.4</v>
      </c>
      <c r="W45" s="1">
        <v>2.4</v>
      </c>
      <c r="X45" s="1">
        <v>31.4</v>
      </c>
      <c r="Y45" s="1">
        <v>41.6</v>
      </c>
      <c r="Z45" s="1">
        <v>10.199999999999999</v>
      </c>
      <c r="AA45" s="1">
        <v>2.8</v>
      </c>
      <c r="AB45" s="1">
        <v>16.8</v>
      </c>
      <c r="AC45" s="1">
        <v>13.6</v>
      </c>
      <c r="AD45" s="1"/>
      <c r="AE45" s="1">
        <f t="shared" si="9"/>
        <v>0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x14ac:dyDescent="0.25">
      <c r="A46" s="1" t="s">
        <v>83</v>
      </c>
      <c r="B46" s="1" t="s">
        <v>35</v>
      </c>
      <c r="C46" s="1">
        <v>136.76499999999999</v>
      </c>
      <c r="D46" s="1">
        <v>74.221000000000004</v>
      </c>
      <c r="E46" s="1">
        <v>39.042999999999999</v>
      </c>
      <c r="F46" s="1">
        <v>163.214</v>
      </c>
      <c r="G46" s="7">
        <v>1</v>
      </c>
      <c r="H46" s="1">
        <v>40</v>
      </c>
      <c r="I46" s="1" t="s">
        <v>36</v>
      </c>
      <c r="J46" s="1"/>
      <c r="K46" s="1">
        <v>43.171999999999997</v>
      </c>
      <c r="L46" s="1">
        <f t="shared" si="11"/>
        <v>-4.1289999999999978</v>
      </c>
      <c r="M46" s="1"/>
      <c r="N46" s="1"/>
      <c r="O46" s="1">
        <v>70</v>
      </c>
      <c r="P46" s="1">
        <v>0</v>
      </c>
      <c r="Q46" s="1">
        <f t="shared" si="12"/>
        <v>7.8086000000000002</v>
      </c>
      <c r="R46" s="5"/>
      <c r="S46" s="1">
        <f t="shared" si="13"/>
        <v>29.866301257587786</v>
      </c>
      <c r="T46" s="1">
        <f t="shared" si="14"/>
        <v>29.866301257587786</v>
      </c>
      <c r="U46" s="1">
        <v>11.5412</v>
      </c>
      <c r="V46" s="1">
        <v>13.599600000000001</v>
      </c>
      <c r="W46" s="1">
        <v>13.8468</v>
      </c>
      <c r="X46" s="1">
        <v>12.6638</v>
      </c>
      <c r="Y46" s="1">
        <v>8.3835999999999995</v>
      </c>
      <c r="Z46" s="1">
        <v>14.5374</v>
      </c>
      <c r="AA46" s="1">
        <v>13.6366</v>
      </c>
      <c r="AB46" s="1">
        <v>1.7524</v>
      </c>
      <c r="AC46" s="1">
        <v>0</v>
      </c>
      <c r="AD46" s="16" t="s">
        <v>53</v>
      </c>
      <c r="AE46" s="1">
        <f t="shared" si="9"/>
        <v>0</v>
      </c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x14ac:dyDescent="0.25">
      <c r="A47" s="1" t="s">
        <v>84</v>
      </c>
      <c r="B47" s="1" t="s">
        <v>40</v>
      </c>
      <c r="C47" s="1">
        <v>188</v>
      </c>
      <c r="D47" s="1">
        <v>37</v>
      </c>
      <c r="E47" s="1">
        <v>54</v>
      </c>
      <c r="F47" s="1">
        <v>164</v>
      </c>
      <c r="G47" s="7">
        <v>0.35</v>
      </c>
      <c r="H47" s="1">
        <v>40</v>
      </c>
      <c r="I47" s="14" t="s">
        <v>46</v>
      </c>
      <c r="J47" s="1"/>
      <c r="K47" s="1">
        <v>54</v>
      </c>
      <c r="L47" s="1">
        <f t="shared" si="11"/>
        <v>0</v>
      </c>
      <c r="M47" s="1"/>
      <c r="N47" s="1"/>
      <c r="O47" s="1">
        <v>0</v>
      </c>
      <c r="P47" s="1">
        <v>8</v>
      </c>
      <c r="Q47" s="1">
        <f t="shared" si="12"/>
        <v>10.8</v>
      </c>
      <c r="R47" s="5"/>
      <c r="S47" s="1">
        <f t="shared" si="13"/>
        <v>15.925925925925926</v>
      </c>
      <c r="T47" s="1">
        <f t="shared" si="14"/>
        <v>15.925925925925926</v>
      </c>
      <c r="U47" s="1">
        <v>15</v>
      </c>
      <c r="V47" s="1">
        <v>12.8</v>
      </c>
      <c r="W47" s="1">
        <v>6.2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0.2</v>
      </c>
      <c r="AD47" s="1"/>
      <c r="AE47" s="1">
        <f t="shared" si="9"/>
        <v>0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x14ac:dyDescent="0.25">
      <c r="A48" s="1" t="s">
        <v>85</v>
      </c>
      <c r="B48" s="1" t="s">
        <v>40</v>
      </c>
      <c r="C48" s="1">
        <v>211</v>
      </c>
      <c r="D48" s="1">
        <v>115</v>
      </c>
      <c r="E48" s="1">
        <v>148</v>
      </c>
      <c r="F48" s="1">
        <v>133</v>
      </c>
      <c r="G48" s="7">
        <v>0.4</v>
      </c>
      <c r="H48" s="1">
        <v>40</v>
      </c>
      <c r="I48" s="1" t="s">
        <v>36</v>
      </c>
      <c r="J48" s="1"/>
      <c r="K48" s="1">
        <v>163</v>
      </c>
      <c r="L48" s="1">
        <f t="shared" si="11"/>
        <v>-15</v>
      </c>
      <c r="M48" s="1"/>
      <c r="N48" s="1"/>
      <c r="O48" s="1">
        <v>150</v>
      </c>
      <c r="P48" s="1">
        <v>0</v>
      </c>
      <c r="Q48" s="1">
        <f t="shared" si="12"/>
        <v>29.6</v>
      </c>
      <c r="R48" s="5">
        <f t="shared" si="10"/>
        <v>42.600000000000023</v>
      </c>
      <c r="S48" s="1">
        <f t="shared" si="13"/>
        <v>11</v>
      </c>
      <c r="T48" s="1">
        <f t="shared" si="14"/>
        <v>9.5608108108108105</v>
      </c>
      <c r="U48" s="1">
        <v>24.6</v>
      </c>
      <c r="V48" s="1">
        <v>30</v>
      </c>
      <c r="W48" s="1">
        <v>28</v>
      </c>
      <c r="X48" s="1">
        <v>28.8</v>
      </c>
      <c r="Y48" s="1">
        <v>33.799999999999997</v>
      </c>
      <c r="Z48" s="1">
        <v>31.8</v>
      </c>
      <c r="AA48" s="1">
        <v>42.4</v>
      </c>
      <c r="AB48" s="1">
        <v>36.200000000000003</v>
      </c>
      <c r="AC48" s="1">
        <v>21.6</v>
      </c>
      <c r="AD48" s="1"/>
      <c r="AE48" s="1">
        <f t="shared" si="9"/>
        <v>17.04000000000001</v>
      </c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x14ac:dyDescent="0.25">
      <c r="A49" s="1" t="s">
        <v>86</v>
      </c>
      <c r="B49" s="1" t="s">
        <v>35</v>
      </c>
      <c r="C49" s="1">
        <v>-1.31</v>
      </c>
      <c r="D49" s="1">
        <v>205.19900000000001</v>
      </c>
      <c r="E49" s="1">
        <v>38.076999999999998</v>
      </c>
      <c r="F49" s="1">
        <v>153.614</v>
      </c>
      <c r="G49" s="7">
        <v>1</v>
      </c>
      <c r="H49" s="1">
        <v>50</v>
      </c>
      <c r="I49" s="1" t="s">
        <v>36</v>
      </c>
      <c r="J49" s="1"/>
      <c r="K49" s="1">
        <v>49</v>
      </c>
      <c r="L49" s="1">
        <f t="shared" si="11"/>
        <v>-10.923000000000002</v>
      </c>
      <c r="M49" s="1"/>
      <c r="N49" s="1"/>
      <c r="O49" s="1">
        <v>26.465400000000031</v>
      </c>
      <c r="P49" s="1">
        <v>0</v>
      </c>
      <c r="Q49" s="1">
        <f t="shared" si="12"/>
        <v>7.6153999999999993</v>
      </c>
      <c r="R49" s="5"/>
      <c r="S49" s="1">
        <f t="shared" si="13"/>
        <v>23.646742127793686</v>
      </c>
      <c r="T49" s="1">
        <f t="shared" si="14"/>
        <v>23.646742127793686</v>
      </c>
      <c r="U49" s="1">
        <v>11.5558</v>
      </c>
      <c r="V49" s="1">
        <v>17.524999999999999</v>
      </c>
      <c r="W49" s="1">
        <v>16.215800000000002</v>
      </c>
      <c r="X49" s="1">
        <v>14.6332</v>
      </c>
      <c r="Y49" s="1">
        <v>11.450200000000001</v>
      </c>
      <c r="Z49" s="1">
        <v>3.2991999999999999</v>
      </c>
      <c r="AA49" s="1">
        <v>0.27300000000000002</v>
      </c>
      <c r="AB49" s="1">
        <v>4.8428000000000004</v>
      </c>
      <c r="AC49" s="1">
        <v>10.234400000000001</v>
      </c>
      <c r="AD49" s="1"/>
      <c r="AE49" s="1">
        <f t="shared" si="9"/>
        <v>0</v>
      </c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x14ac:dyDescent="0.25">
      <c r="A50" s="1" t="s">
        <v>87</v>
      </c>
      <c r="B50" s="1" t="s">
        <v>35</v>
      </c>
      <c r="C50" s="1">
        <v>250.67599999999999</v>
      </c>
      <c r="D50" s="1">
        <v>124.818</v>
      </c>
      <c r="E50" s="1">
        <v>101.774</v>
      </c>
      <c r="F50" s="1">
        <v>253.18199999999999</v>
      </c>
      <c r="G50" s="7">
        <v>1</v>
      </c>
      <c r="H50" s="1">
        <v>50</v>
      </c>
      <c r="I50" s="1" t="s">
        <v>36</v>
      </c>
      <c r="J50" s="1"/>
      <c r="K50" s="1">
        <v>102.458</v>
      </c>
      <c r="L50" s="1">
        <f t="shared" si="11"/>
        <v>-0.6839999999999975</v>
      </c>
      <c r="M50" s="1"/>
      <c r="N50" s="1"/>
      <c r="O50" s="1">
        <v>0</v>
      </c>
      <c r="P50" s="1">
        <v>0</v>
      </c>
      <c r="Q50" s="1">
        <f t="shared" si="12"/>
        <v>20.354800000000001</v>
      </c>
      <c r="R50" s="5"/>
      <c r="S50" s="1">
        <f t="shared" si="13"/>
        <v>12.438442038241593</v>
      </c>
      <c r="T50" s="1">
        <f t="shared" si="14"/>
        <v>12.438442038241593</v>
      </c>
      <c r="U50" s="1">
        <v>23.73</v>
      </c>
      <c r="V50" s="1">
        <v>17.758800000000001</v>
      </c>
      <c r="W50" s="1">
        <v>7.7347999999999999</v>
      </c>
      <c r="X50" s="1">
        <v>-7.1199999999999999E-2</v>
      </c>
      <c r="Y50" s="1">
        <v>10.792199999999999</v>
      </c>
      <c r="Z50" s="1">
        <v>20.430599999999998</v>
      </c>
      <c r="AA50" s="1">
        <v>18.401599999999998</v>
      </c>
      <c r="AB50" s="1">
        <v>12.501200000000001</v>
      </c>
      <c r="AC50" s="1">
        <v>3.7355999999999998</v>
      </c>
      <c r="AD50" s="1"/>
      <c r="AE50" s="1">
        <f t="shared" si="9"/>
        <v>0</v>
      </c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x14ac:dyDescent="0.25">
      <c r="A51" s="1" t="s">
        <v>88</v>
      </c>
      <c r="B51" s="1" t="s">
        <v>35</v>
      </c>
      <c r="C51" s="1">
        <v>111.649</v>
      </c>
      <c r="D51" s="1">
        <v>1.516</v>
      </c>
      <c r="E51" s="1">
        <v>21.257999999999999</v>
      </c>
      <c r="F51" s="1">
        <v>88.820999999999998</v>
      </c>
      <c r="G51" s="7">
        <v>1</v>
      </c>
      <c r="H51" s="1">
        <v>45</v>
      </c>
      <c r="I51" s="1" t="s">
        <v>36</v>
      </c>
      <c r="J51" s="1"/>
      <c r="K51" s="1">
        <v>19.5</v>
      </c>
      <c r="L51" s="1">
        <f t="shared" si="11"/>
        <v>1.7579999999999991</v>
      </c>
      <c r="M51" s="1"/>
      <c r="N51" s="1"/>
      <c r="O51" s="1">
        <v>0</v>
      </c>
      <c r="P51" s="1">
        <v>0</v>
      </c>
      <c r="Q51" s="1">
        <f t="shared" si="12"/>
        <v>4.2515999999999998</v>
      </c>
      <c r="R51" s="5"/>
      <c r="S51" s="1">
        <f t="shared" si="13"/>
        <v>20.891193903471635</v>
      </c>
      <c r="T51" s="1">
        <f t="shared" si="14"/>
        <v>20.891193903471635</v>
      </c>
      <c r="U51" s="1">
        <v>2.7151999999999998</v>
      </c>
      <c r="V51" s="1">
        <v>2.754</v>
      </c>
      <c r="W51" s="1">
        <v>2.4527999999999999</v>
      </c>
      <c r="X51" s="1">
        <v>1.2292000000000001</v>
      </c>
      <c r="Y51" s="1">
        <v>2.7778</v>
      </c>
      <c r="Z51" s="1">
        <v>4.9185999999999996</v>
      </c>
      <c r="AA51" s="1">
        <v>2.7618</v>
      </c>
      <c r="AB51" s="1">
        <v>0</v>
      </c>
      <c r="AC51" s="1">
        <v>0</v>
      </c>
      <c r="AD51" s="16" t="s">
        <v>53</v>
      </c>
      <c r="AE51" s="1">
        <f t="shared" si="9"/>
        <v>0</v>
      </c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x14ac:dyDescent="0.25">
      <c r="A52" s="1" t="s">
        <v>89</v>
      </c>
      <c r="B52" s="1" t="s">
        <v>40</v>
      </c>
      <c r="C52" s="1">
        <v>86</v>
      </c>
      <c r="D52" s="1">
        <v>152</v>
      </c>
      <c r="E52" s="1">
        <v>76</v>
      </c>
      <c r="F52" s="1">
        <v>154</v>
      </c>
      <c r="G52" s="7">
        <v>0.45</v>
      </c>
      <c r="H52" s="1">
        <v>50</v>
      </c>
      <c r="I52" s="1" t="s">
        <v>36</v>
      </c>
      <c r="J52" s="1"/>
      <c r="K52" s="1">
        <v>78</v>
      </c>
      <c r="L52" s="1">
        <f t="shared" si="11"/>
        <v>-2</v>
      </c>
      <c r="M52" s="1"/>
      <c r="N52" s="1"/>
      <c r="O52" s="1">
        <v>0</v>
      </c>
      <c r="P52" s="1">
        <v>24.59999999999998</v>
      </c>
      <c r="Q52" s="1">
        <f t="shared" si="12"/>
        <v>15.2</v>
      </c>
      <c r="R52" s="5"/>
      <c r="S52" s="1">
        <f t="shared" si="13"/>
        <v>11.749999999999998</v>
      </c>
      <c r="T52" s="1">
        <f t="shared" si="14"/>
        <v>11.749999999999998</v>
      </c>
      <c r="U52" s="1">
        <v>15</v>
      </c>
      <c r="V52" s="1">
        <v>12</v>
      </c>
      <c r="W52" s="1">
        <v>18.600000000000001</v>
      </c>
      <c r="X52" s="1">
        <v>17.399999999999999</v>
      </c>
      <c r="Y52" s="1">
        <v>14.4</v>
      </c>
      <c r="Z52" s="1">
        <v>9.1999999999999993</v>
      </c>
      <c r="AA52" s="1">
        <v>16</v>
      </c>
      <c r="AB52" s="1">
        <v>15.4</v>
      </c>
      <c r="AC52" s="1">
        <v>9.6</v>
      </c>
      <c r="AD52" s="1"/>
      <c r="AE52" s="1">
        <f t="shared" si="9"/>
        <v>0</v>
      </c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x14ac:dyDescent="0.25">
      <c r="A53" s="1" t="s">
        <v>90</v>
      </c>
      <c r="B53" s="1" t="s">
        <v>40</v>
      </c>
      <c r="C53" s="1">
        <v>107</v>
      </c>
      <c r="D53" s="1">
        <v>201</v>
      </c>
      <c r="E53" s="1">
        <v>138</v>
      </c>
      <c r="F53" s="1">
        <v>161</v>
      </c>
      <c r="G53" s="7">
        <v>0.45</v>
      </c>
      <c r="H53" s="1">
        <v>50</v>
      </c>
      <c r="I53" s="1" t="s">
        <v>36</v>
      </c>
      <c r="J53" s="1"/>
      <c r="K53" s="1">
        <v>139</v>
      </c>
      <c r="L53" s="1">
        <f t="shared" si="11"/>
        <v>-1</v>
      </c>
      <c r="M53" s="1"/>
      <c r="N53" s="1"/>
      <c r="O53" s="1">
        <v>0</v>
      </c>
      <c r="P53" s="1">
        <v>149.91199999999989</v>
      </c>
      <c r="Q53" s="1">
        <f t="shared" si="12"/>
        <v>27.6</v>
      </c>
      <c r="R53" s="5"/>
      <c r="S53" s="1">
        <f t="shared" si="13"/>
        <v>11.26492753623188</v>
      </c>
      <c r="T53" s="1">
        <f t="shared" si="14"/>
        <v>11.26492753623188</v>
      </c>
      <c r="U53" s="1">
        <v>31.4</v>
      </c>
      <c r="V53" s="1">
        <v>18.8</v>
      </c>
      <c r="W53" s="1">
        <v>16.2</v>
      </c>
      <c r="X53" s="1">
        <v>26.8</v>
      </c>
      <c r="Y53" s="1">
        <v>31.6</v>
      </c>
      <c r="Z53" s="1">
        <v>24.4</v>
      </c>
      <c r="AA53" s="1">
        <v>26</v>
      </c>
      <c r="AB53" s="1">
        <v>25.8</v>
      </c>
      <c r="AC53" s="1">
        <v>21.2</v>
      </c>
      <c r="AD53" s="1"/>
      <c r="AE53" s="1">
        <f t="shared" si="9"/>
        <v>0</v>
      </c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x14ac:dyDescent="0.25">
      <c r="A54" s="1" t="s">
        <v>91</v>
      </c>
      <c r="B54" s="1" t="s">
        <v>40</v>
      </c>
      <c r="C54" s="1">
        <v>46</v>
      </c>
      <c r="D54" s="1"/>
      <c r="E54" s="1">
        <v>6</v>
      </c>
      <c r="F54" s="1">
        <v>40</v>
      </c>
      <c r="G54" s="7">
        <v>0.4</v>
      </c>
      <c r="H54" s="1">
        <v>40</v>
      </c>
      <c r="I54" s="1" t="s">
        <v>36</v>
      </c>
      <c r="J54" s="1"/>
      <c r="K54" s="1">
        <v>6</v>
      </c>
      <c r="L54" s="1">
        <f t="shared" si="11"/>
        <v>0</v>
      </c>
      <c r="M54" s="1"/>
      <c r="N54" s="1"/>
      <c r="O54" s="1">
        <v>0</v>
      </c>
      <c r="P54" s="1">
        <v>0</v>
      </c>
      <c r="Q54" s="1">
        <f t="shared" si="12"/>
        <v>1.2</v>
      </c>
      <c r="R54" s="5"/>
      <c r="S54" s="1">
        <f t="shared" si="13"/>
        <v>33.333333333333336</v>
      </c>
      <c r="T54" s="1">
        <f t="shared" si="14"/>
        <v>33.333333333333336</v>
      </c>
      <c r="U54" s="1">
        <v>0.4</v>
      </c>
      <c r="V54" s="1">
        <v>0.4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7" t="s">
        <v>171</v>
      </c>
      <c r="AE54" s="1">
        <f t="shared" si="9"/>
        <v>0</v>
      </c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x14ac:dyDescent="0.25">
      <c r="A55" s="1" t="s">
        <v>92</v>
      </c>
      <c r="B55" s="1" t="s">
        <v>40</v>
      </c>
      <c r="C55" s="1">
        <v>47</v>
      </c>
      <c r="D55" s="1"/>
      <c r="E55" s="1">
        <v>5</v>
      </c>
      <c r="F55" s="1">
        <v>42</v>
      </c>
      <c r="G55" s="7">
        <v>0.4</v>
      </c>
      <c r="H55" s="1">
        <v>40</v>
      </c>
      <c r="I55" s="1" t="s">
        <v>36</v>
      </c>
      <c r="J55" s="1"/>
      <c r="K55" s="1">
        <v>5</v>
      </c>
      <c r="L55" s="1">
        <f t="shared" si="11"/>
        <v>0</v>
      </c>
      <c r="M55" s="1"/>
      <c r="N55" s="1"/>
      <c r="O55" s="1">
        <v>0</v>
      </c>
      <c r="P55" s="1">
        <v>0</v>
      </c>
      <c r="Q55" s="1">
        <f t="shared" si="12"/>
        <v>1</v>
      </c>
      <c r="R55" s="5"/>
      <c r="S55" s="1">
        <f t="shared" si="13"/>
        <v>42</v>
      </c>
      <c r="T55" s="1">
        <f t="shared" si="14"/>
        <v>42</v>
      </c>
      <c r="U55" s="1">
        <v>0.4</v>
      </c>
      <c r="V55" s="1">
        <v>0.4</v>
      </c>
      <c r="W55" s="1">
        <v>1</v>
      </c>
      <c r="X55" s="1">
        <v>1.2</v>
      </c>
      <c r="Y55" s="1">
        <v>0.2</v>
      </c>
      <c r="Z55" s="1">
        <v>0</v>
      </c>
      <c r="AA55" s="1">
        <v>0</v>
      </c>
      <c r="AB55" s="1">
        <v>0</v>
      </c>
      <c r="AC55" s="1">
        <v>0</v>
      </c>
      <c r="AD55" s="17" t="s">
        <v>172</v>
      </c>
      <c r="AE55" s="1">
        <f t="shared" si="9"/>
        <v>0</v>
      </c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x14ac:dyDescent="0.25">
      <c r="A56" s="1" t="s">
        <v>93</v>
      </c>
      <c r="B56" s="1" t="s">
        <v>35</v>
      </c>
      <c r="C56" s="1">
        <v>93.21</v>
      </c>
      <c r="D56" s="1">
        <v>164.58099999999999</v>
      </c>
      <c r="E56" s="1">
        <v>67.510000000000005</v>
      </c>
      <c r="F56" s="1">
        <v>180.869</v>
      </c>
      <c r="G56" s="7">
        <v>1</v>
      </c>
      <c r="H56" s="1">
        <v>50</v>
      </c>
      <c r="I56" s="1" t="s">
        <v>36</v>
      </c>
      <c r="J56" s="1"/>
      <c r="K56" s="1">
        <v>70.182000000000002</v>
      </c>
      <c r="L56" s="1">
        <f t="shared" si="11"/>
        <v>-2.671999999999997</v>
      </c>
      <c r="M56" s="1"/>
      <c r="N56" s="1"/>
      <c r="O56" s="1">
        <v>0</v>
      </c>
      <c r="P56" s="1">
        <v>0</v>
      </c>
      <c r="Q56" s="1">
        <f t="shared" si="12"/>
        <v>13.502000000000001</v>
      </c>
      <c r="R56" s="5"/>
      <c r="S56" s="1">
        <f t="shared" si="13"/>
        <v>13.395719152718115</v>
      </c>
      <c r="T56" s="1">
        <f t="shared" si="14"/>
        <v>13.395719152718115</v>
      </c>
      <c r="U56" s="1">
        <v>14.0418</v>
      </c>
      <c r="V56" s="1">
        <v>7.0236000000000001</v>
      </c>
      <c r="W56" s="1">
        <v>5.9779999999999998</v>
      </c>
      <c r="X56" s="1">
        <v>9.8171999999999997</v>
      </c>
      <c r="Y56" s="1">
        <v>12.250400000000001</v>
      </c>
      <c r="Z56" s="1">
        <v>12.776199999999999</v>
      </c>
      <c r="AA56" s="1">
        <v>9.5141999999999989</v>
      </c>
      <c r="AB56" s="1">
        <v>3.2652000000000001</v>
      </c>
      <c r="AC56" s="1">
        <v>7.0168000000000008</v>
      </c>
      <c r="AD56" s="1"/>
      <c r="AE56" s="1">
        <f t="shared" si="9"/>
        <v>0</v>
      </c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x14ac:dyDescent="0.25">
      <c r="A57" s="1" t="s">
        <v>94</v>
      </c>
      <c r="B57" s="1" t="s">
        <v>40</v>
      </c>
      <c r="C57" s="1">
        <v>220</v>
      </c>
      <c r="D57" s="1">
        <v>227</v>
      </c>
      <c r="E57" s="12">
        <f>29+E129</f>
        <v>36</v>
      </c>
      <c r="F57" s="12">
        <f>389+F129</f>
        <v>385</v>
      </c>
      <c r="G57" s="7">
        <v>0.1</v>
      </c>
      <c r="H57" s="1">
        <v>731</v>
      </c>
      <c r="I57" s="1" t="s">
        <v>36</v>
      </c>
      <c r="J57" s="1"/>
      <c r="K57" s="1">
        <v>32</v>
      </c>
      <c r="L57" s="1">
        <f t="shared" si="11"/>
        <v>4</v>
      </c>
      <c r="M57" s="1"/>
      <c r="N57" s="1"/>
      <c r="O57" s="1">
        <v>0</v>
      </c>
      <c r="P57" s="1">
        <v>0</v>
      </c>
      <c r="Q57" s="1">
        <f t="shared" si="12"/>
        <v>7.2</v>
      </c>
      <c r="R57" s="5"/>
      <c r="S57" s="1">
        <f t="shared" si="13"/>
        <v>53.472222222222221</v>
      </c>
      <c r="T57" s="1">
        <f t="shared" si="14"/>
        <v>53.472222222222221</v>
      </c>
      <c r="U57" s="1">
        <v>10</v>
      </c>
      <c r="V57" s="1">
        <v>12.8</v>
      </c>
      <c r="W57" s="1">
        <v>16</v>
      </c>
      <c r="X57" s="1">
        <v>10.4</v>
      </c>
      <c r="Y57" s="1">
        <v>13.2</v>
      </c>
      <c r="Z57" s="1">
        <v>17</v>
      </c>
      <c r="AA57" s="1">
        <v>12.2</v>
      </c>
      <c r="AB57" s="1">
        <v>6.2</v>
      </c>
      <c r="AC57" s="1">
        <v>5.8</v>
      </c>
      <c r="AD57" s="16" t="s">
        <v>53</v>
      </c>
      <c r="AE57" s="1">
        <f t="shared" si="9"/>
        <v>0</v>
      </c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x14ac:dyDescent="0.25">
      <c r="A58" s="1" t="s">
        <v>95</v>
      </c>
      <c r="B58" s="1" t="s">
        <v>35</v>
      </c>
      <c r="C58" s="1">
        <v>127.095</v>
      </c>
      <c r="D58" s="1">
        <v>192.874</v>
      </c>
      <c r="E58" s="1">
        <v>99.816999999999993</v>
      </c>
      <c r="F58" s="1">
        <v>194.58699999999999</v>
      </c>
      <c r="G58" s="7">
        <v>1</v>
      </c>
      <c r="H58" s="1">
        <v>50</v>
      </c>
      <c r="I58" s="1" t="s">
        <v>36</v>
      </c>
      <c r="J58" s="1"/>
      <c r="K58" s="1">
        <v>107.1</v>
      </c>
      <c r="L58" s="1">
        <f t="shared" si="11"/>
        <v>-7.2830000000000013</v>
      </c>
      <c r="M58" s="1"/>
      <c r="N58" s="1"/>
      <c r="O58" s="1">
        <v>0</v>
      </c>
      <c r="P58" s="1">
        <v>0</v>
      </c>
      <c r="Q58" s="1">
        <f t="shared" si="12"/>
        <v>19.9634</v>
      </c>
      <c r="R58" s="5">
        <f t="shared" si="10"/>
        <v>25.010400000000004</v>
      </c>
      <c r="S58" s="1">
        <f t="shared" si="13"/>
        <v>11</v>
      </c>
      <c r="T58" s="1">
        <f t="shared" si="14"/>
        <v>9.7471873528557254</v>
      </c>
      <c r="U58" s="1">
        <v>16.772600000000001</v>
      </c>
      <c r="V58" s="1">
        <v>6.8120000000000003</v>
      </c>
      <c r="W58" s="1">
        <v>14.3918</v>
      </c>
      <c r="X58" s="1">
        <v>25.248799999999999</v>
      </c>
      <c r="Y58" s="1">
        <v>25.1602</v>
      </c>
      <c r="Z58" s="1">
        <v>21.5242</v>
      </c>
      <c r="AA58" s="1">
        <v>11.835599999999999</v>
      </c>
      <c r="AB58" s="1">
        <v>11.785399999999999</v>
      </c>
      <c r="AC58" s="1">
        <v>12.861000000000001</v>
      </c>
      <c r="AD58" s="1"/>
      <c r="AE58" s="1">
        <f t="shared" si="9"/>
        <v>25.010400000000004</v>
      </c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x14ac:dyDescent="0.25">
      <c r="A59" s="1" t="s">
        <v>96</v>
      </c>
      <c r="B59" s="1" t="s">
        <v>35</v>
      </c>
      <c r="C59" s="1">
        <v>0.114</v>
      </c>
      <c r="D59" s="1">
        <v>21.86</v>
      </c>
      <c r="E59" s="1">
        <v>2.7</v>
      </c>
      <c r="F59" s="1">
        <v>17.913</v>
      </c>
      <c r="G59" s="7">
        <v>1</v>
      </c>
      <c r="H59" s="1">
        <v>55</v>
      </c>
      <c r="I59" s="1" t="s">
        <v>36</v>
      </c>
      <c r="J59" s="1"/>
      <c r="K59" s="1">
        <v>3.9</v>
      </c>
      <c r="L59" s="1">
        <f t="shared" si="11"/>
        <v>-1.1999999999999997</v>
      </c>
      <c r="M59" s="1"/>
      <c r="N59" s="1"/>
      <c r="O59" s="1">
        <v>17.888999999999999</v>
      </c>
      <c r="P59" s="1">
        <v>4.2789999999999981</v>
      </c>
      <c r="Q59" s="1">
        <f t="shared" si="12"/>
        <v>0.54</v>
      </c>
      <c r="R59" s="5"/>
      <c r="S59" s="1">
        <f t="shared" si="13"/>
        <v>74.224074074074068</v>
      </c>
      <c r="T59" s="1">
        <f t="shared" si="14"/>
        <v>74.224074074074068</v>
      </c>
      <c r="U59" s="1">
        <v>2.9611999999999998</v>
      </c>
      <c r="V59" s="1">
        <v>2.9634</v>
      </c>
      <c r="W59" s="1">
        <v>2.1612</v>
      </c>
      <c r="X59" s="1">
        <v>2.9718</v>
      </c>
      <c r="Y59" s="1">
        <v>1.3515999999999999</v>
      </c>
      <c r="Z59" s="1">
        <v>0.27039999999999997</v>
      </c>
      <c r="AA59" s="1">
        <v>0</v>
      </c>
      <c r="AB59" s="1">
        <v>0</v>
      </c>
      <c r="AC59" s="1">
        <v>0.54339999999999999</v>
      </c>
      <c r="AD59" s="1"/>
      <c r="AE59" s="1">
        <f t="shared" si="9"/>
        <v>0</v>
      </c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x14ac:dyDescent="0.25">
      <c r="A60" s="1" t="s">
        <v>97</v>
      </c>
      <c r="B60" s="1" t="s">
        <v>40</v>
      </c>
      <c r="C60" s="1">
        <v>144</v>
      </c>
      <c r="D60" s="1">
        <v>223</v>
      </c>
      <c r="E60" s="1">
        <v>41</v>
      </c>
      <c r="F60" s="1">
        <v>316</v>
      </c>
      <c r="G60" s="7">
        <v>0.1</v>
      </c>
      <c r="H60" s="1">
        <v>731</v>
      </c>
      <c r="I60" s="1" t="s">
        <v>36</v>
      </c>
      <c r="J60" s="1"/>
      <c r="K60" s="1">
        <v>46</v>
      </c>
      <c r="L60" s="1">
        <f t="shared" si="11"/>
        <v>-5</v>
      </c>
      <c r="M60" s="1"/>
      <c r="N60" s="1"/>
      <c r="O60" s="1">
        <v>0</v>
      </c>
      <c r="P60" s="1">
        <v>0</v>
      </c>
      <c r="Q60" s="1">
        <f t="shared" si="12"/>
        <v>8.1999999999999993</v>
      </c>
      <c r="R60" s="5"/>
      <c r="S60" s="1">
        <f t="shared" si="13"/>
        <v>38.536585365853661</v>
      </c>
      <c r="T60" s="1">
        <f t="shared" si="14"/>
        <v>38.536585365853661</v>
      </c>
      <c r="U60" s="1">
        <v>10.8</v>
      </c>
      <c r="V60" s="1">
        <v>12.2</v>
      </c>
      <c r="W60" s="1">
        <v>12</v>
      </c>
      <c r="X60" s="1">
        <v>8</v>
      </c>
      <c r="Y60" s="1">
        <v>10.199999999999999</v>
      </c>
      <c r="Z60" s="1">
        <v>9.4</v>
      </c>
      <c r="AA60" s="1">
        <v>6.6</v>
      </c>
      <c r="AB60" s="1">
        <v>3.8</v>
      </c>
      <c r="AC60" s="1">
        <v>3.2</v>
      </c>
      <c r="AD60" s="16" t="s">
        <v>53</v>
      </c>
      <c r="AE60" s="1">
        <f t="shared" si="9"/>
        <v>0</v>
      </c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x14ac:dyDescent="0.25">
      <c r="A61" s="1" t="s">
        <v>98</v>
      </c>
      <c r="B61" s="1" t="s">
        <v>40</v>
      </c>
      <c r="C61" s="1">
        <v>6</v>
      </c>
      <c r="D61" s="1">
        <v>60</v>
      </c>
      <c r="E61" s="1">
        <v>4</v>
      </c>
      <c r="F61" s="1">
        <v>62</v>
      </c>
      <c r="G61" s="7">
        <v>0.4</v>
      </c>
      <c r="H61" s="1">
        <v>50</v>
      </c>
      <c r="I61" s="1" t="s">
        <v>36</v>
      </c>
      <c r="J61" s="1"/>
      <c r="K61" s="1">
        <v>4</v>
      </c>
      <c r="L61" s="1">
        <f t="shared" si="11"/>
        <v>0</v>
      </c>
      <c r="M61" s="1"/>
      <c r="N61" s="1"/>
      <c r="O61" s="1">
        <v>0</v>
      </c>
      <c r="P61" s="1">
        <v>0</v>
      </c>
      <c r="Q61" s="1">
        <f t="shared" si="12"/>
        <v>0.8</v>
      </c>
      <c r="R61" s="5"/>
      <c r="S61" s="1">
        <f t="shared" si="13"/>
        <v>77.5</v>
      </c>
      <c r="T61" s="1">
        <f t="shared" si="14"/>
        <v>77.5</v>
      </c>
      <c r="U61" s="1">
        <v>0.6</v>
      </c>
      <c r="V61" s="1">
        <v>0.8</v>
      </c>
      <c r="W61" s="1">
        <v>0.4</v>
      </c>
      <c r="X61" s="1">
        <v>0.4</v>
      </c>
      <c r="Y61" s="1">
        <v>0.4</v>
      </c>
      <c r="Z61" s="1">
        <v>0.8</v>
      </c>
      <c r="AA61" s="1">
        <v>1</v>
      </c>
      <c r="AB61" s="1">
        <v>0.4</v>
      </c>
      <c r="AC61" s="1">
        <v>0</v>
      </c>
      <c r="AD61" s="17" t="s">
        <v>173</v>
      </c>
      <c r="AE61" s="1">
        <f t="shared" si="9"/>
        <v>0</v>
      </c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x14ac:dyDescent="0.25">
      <c r="A62" s="1" t="s">
        <v>99</v>
      </c>
      <c r="B62" s="1" t="s">
        <v>35</v>
      </c>
      <c r="C62" s="1">
        <v>120.02200000000001</v>
      </c>
      <c r="D62" s="1"/>
      <c r="E62" s="1">
        <v>38.692</v>
      </c>
      <c r="F62" s="1">
        <v>80.001000000000005</v>
      </c>
      <c r="G62" s="7">
        <v>1</v>
      </c>
      <c r="H62" s="1">
        <v>40</v>
      </c>
      <c r="I62" s="1" t="s">
        <v>36</v>
      </c>
      <c r="J62" s="1"/>
      <c r="K62" s="1">
        <v>38.9</v>
      </c>
      <c r="L62" s="1">
        <f t="shared" si="11"/>
        <v>-0.20799999999999841</v>
      </c>
      <c r="M62" s="1"/>
      <c r="N62" s="1"/>
      <c r="O62" s="1">
        <v>0</v>
      </c>
      <c r="P62" s="1">
        <v>14.854799999999999</v>
      </c>
      <c r="Q62" s="1">
        <f t="shared" si="12"/>
        <v>7.7384000000000004</v>
      </c>
      <c r="R62" s="5"/>
      <c r="S62" s="1">
        <f t="shared" si="13"/>
        <v>12.257805231055515</v>
      </c>
      <c r="T62" s="1">
        <f t="shared" si="14"/>
        <v>12.257805231055515</v>
      </c>
      <c r="U62" s="1">
        <v>8.0153999999999996</v>
      </c>
      <c r="V62" s="1">
        <v>5.0548000000000002</v>
      </c>
      <c r="W62" s="1">
        <v>4.7778</v>
      </c>
      <c r="X62" s="1">
        <v>0</v>
      </c>
      <c r="Y62" s="1">
        <v>4.7404000000000002</v>
      </c>
      <c r="Z62" s="1">
        <v>4.7404000000000002</v>
      </c>
      <c r="AA62" s="1">
        <v>0</v>
      </c>
      <c r="AB62" s="1">
        <v>7.9903999999999993</v>
      </c>
      <c r="AC62" s="1">
        <v>7.9903999999999993</v>
      </c>
      <c r="AD62" s="1"/>
      <c r="AE62" s="1">
        <f t="shared" si="9"/>
        <v>0</v>
      </c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x14ac:dyDescent="0.25">
      <c r="A63" s="1" t="s">
        <v>100</v>
      </c>
      <c r="B63" s="1" t="s">
        <v>35</v>
      </c>
      <c r="C63" s="1">
        <v>68.518000000000001</v>
      </c>
      <c r="D63" s="1"/>
      <c r="E63" s="1">
        <v>5.4279999999999999</v>
      </c>
      <c r="F63" s="1">
        <v>63.09</v>
      </c>
      <c r="G63" s="7">
        <v>1</v>
      </c>
      <c r="H63" s="1">
        <v>40</v>
      </c>
      <c r="I63" s="1" t="s">
        <v>36</v>
      </c>
      <c r="J63" s="1"/>
      <c r="K63" s="1">
        <v>4.5999999999999996</v>
      </c>
      <c r="L63" s="1">
        <f t="shared" si="11"/>
        <v>0.82800000000000029</v>
      </c>
      <c r="M63" s="1"/>
      <c r="N63" s="1"/>
      <c r="O63" s="1">
        <v>0</v>
      </c>
      <c r="P63" s="1">
        <v>0</v>
      </c>
      <c r="Q63" s="1">
        <f t="shared" si="12"/>
        <v>1.0855999999999999</v>
      </c>
      <c r="R63" s="5"/>
      <c r="S63" s="1">
        <f t="shared" si="13"/>
        <v>58.11532792925572</v>
      </c>
      <c r="T63" s="1">
        <f t="shared" si="14"/>
        <v>58.11532792925572</v>
      </c>
      <c r="U63" s="1">
        <v>1.0855999999999999</v>
      </c>
      <c r="V63" s="1">
        <v>1.9076</v>
      </c>
      <c r="W63" s="1">
        <v>1.9076</v>
      </c>
      <c r="X63" s="1">
        <v>0.83279999999999998</v>
      </c>
      <c r="Y63" s="1">
        <v>0.83279999999999998</v>
      </c>
      <c r="Z63" s="1">
        <v>0</v>
      </c>
      <c r="AA63" s="1">
        <v>0</v>
      </c>
      <c r="AB63" s="1">
        <v>0</v>
      </c>
      <c r="AC63" s="1">
        <v>0.26440000000000002</v>
      </c>
      <c r="AD63" s="16" t="s">
        <v>53</v>
      </c>
      <c r="AE63" s="1">
        <f t="shared" ref="AE63:AE81" si="15">G63*R63</f>
        <v>0</v>
      </c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x14ac:dyDescent="0.25">
      <c r="A64" s="1" t="s">
        <v>101</v>
      </c>
      <c r="B64" s="1" t="s">
        <v>40</v>
      </c>
      <c r="C64" s="1">
        <v>180</v>
      </c>
      <c r="D64" s="1">
        <v>337</v>
      </c>
      <c r="E64" s="1">
        <v>152</v>
      </c>
      <c r="F64" s="1">
        <v>338</v>
      </c>
      <c r="G64" s="7">
        <v>0.4</v>
      </c>
      <c r="H64" s="1">
        <v>40</v>
      </c>
      <c r="I64" s="1" t="s">
        <v>36</v>
      </c>
      <c r="J64" s="1"/>
      <c r="K64" s="1">
        <v>157</v>
      </c>
      <c r="L64" s="1">
        <f t="shared" si="11"/>
        <v>-5</v>
      </c>
      <c r="M64" s="1"/>
      <c r="N64" s="1"/>
      <c r="O64" s="1">
        <v>200</v>
      </c>
      <c r="P64" s="1">
        <v>0</v>
      </c>
      <c r="Q64" s="1">
        <f t="shared" si="12"/>
        <v>30.4</v>
      </c>
      <c r="R64" s="5"/>
      <c r="S64" s="1">
        <f t="shared" si="13"/>
        <v>17.697368421052634</v>
      </c>
      <c r="T64" s="1">
        <f t="shared" si="14"/>
        <v>17.697368421052634</v>
      </c>
      <c r="U64" s="1">
        <v>24.6</v>
      </c>
      <c r="V64" s="1">
        <v>26.8</v>
      </c>
      <c r="W64" s="1">
        <v>43.2</v>
      </c>
      <c r="X64" s="1">
        <v>42.8</v>
      </c>
      <c r="Y64" s="1">
        <v>43.6</v>
      </c>
      <c r="Z64" s="1">
        <v>46.2</v>
      </c>
      <c r="AA64" s="1">
        <v>34.4</v>
      </c>
      <c r="AB64" s="1">
        <v>15.4</v>
      </c>
      <c r="AC64" s="1">
        <v>15.8</v>
      </c>
      <c r="AD64" s="15" t="s">
        <v>78</v>
      </c>
      <c r="AE64" s="1">
        <f t="shared" si="15"/>
        <v>0</v>
      </c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x14ac:dyDescent="0.25">
      <c r="A65" s="1" t="s">
        <v>102</v>
      </c>
      <c r="B65" s="1" t="s">
        <v>40</v>
      </c>
      <c r="C65" s="1">
        <v>34</v>
      </c>
      <c r="D65" s="1">
        <v>151</v>
      </c>
      <c r="E65" s="1">
        <v>96</v>
      </c>
      <c r="F65" s="1">
        <v>69</v>
      </c>
      <c r="G65" s="7">
        <v>0.4</v>
      </c>
      <c r="H65" s="1">
        <v>40</v>
      </c>
      <c r="I65" s="1" t="s">
        <v>36</v>
      </c>
      <c r="J65" s="1"/>
      <c r="K65" s="1">
        <v>100</v>
      </c>
      <c r="L65" s="1">
        <f t="shared" si="11"/>
        <v>-4</v>
      </c>
      <c r="M65" s="1"/>
      <c r="N65" s="1"/>
      <c r="O65" s="1">
        <v>150</v>
      </c>
      <c r="P65" s="1">
        <v>0</v>
      </c>
      <c r="Q65" s="1">
        <f t="shared" si="12"/>
        <v>19.2</v>
      </c>
      <c r="R65" s="5"/>
      <c r="S65" s="1">
        <f t="shared" si="13"/>
        <v>11.40625</v>
      </c>
      <c r="T65" s="1">
        <f t="shared" si="14"/>
        <v>11.40625</v>
      </c>
      <c r="U65" s="1">
        <v>18</v>
      </c>
      <c r="V65" s="1">
        <v>13.6</v>
      </c>
      <c r="W65" s="1">
        <v>9.8000000000000007</v>
      </c>
      <c r="X65" s="1">
        <v>15.8</v>
      </c>
      <c r="Y65" s="1">
        <v>21.6</v>
      </c>
      <c r="Z65" s="1">
        <v>6</v>
      </c>
      <c r="AA65" s="1">
        <v>0</v>
      </c>
      <c r="AB65" s="1">
        <v>0</v>
      </c>
      <c r="AC65" s="1">
        <v>0</v>
      </c>
      <c r="AD65" s="1"/>
      <c r="AE65" s="1">
        <f t="shared" si="15"/>
        <v>0</v>
      </c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x14ac:dyDescent="0.25">
      <c r="A66" s="1" t="s">
        <v>103</v>
      </c>
      <c r="B66" s="1" t="s">
        <v>35</v>
      </c>
      <c r="C66" s="1">
        <v>44.41</v>
      </c>
      <c r="D66" s="1">
        <v>65.468000000000004</v>
      </c>
      <c r="E66" s="1">
        <v>40.26</v>
      </c>
      <c r="F66" s="1">
        <v>62.357999999999997</v>
      </c>
      <c r="G66" s="7">
        <v>1</v>
      </c>
      <c r="H66" s="1">
        <v>40</v>
      </c>
      <c r="I66" s="1" t="s">
        <v>36</v>
      </c>
      <c r="J66" s="1"/>
      <c r="K66" s="1">
        <v>43.6</v>
      </c>
      <c r="L66" s="1">
        <f t="shared" si="11"/>
        <v>-3.3400000000000034</v>
      </c>
      <c r="M66" s="1"/>
      <c r="N66" s="1"/>
      <c r="O66" s="1">
        <v>150</v>
      </c>
      <c r="P66" s="1">
        <v>0</v>
      </c>
      <c r="Q66" s="1">
        <f t="shared" si="12"/>
        <v>8.0519999999999996</v>
      </c>
      <c r="R66" s="5"/>
      <c r="S66" s="1">
        <f t="shared" si="13"/>
        <v>26.373323397913563</v>
      </c>
      <c r="T66" s="1">
        <f t="shared" si="14"/>
        <v>26.373323397913563</v>
      </c>
      <c r="U66" s="1">
        <v>13.5312</v>
      </c>
      <c r="V66" s="1">
        <v>14.3454</v>
      </c>
      <c r="W66" s="1">
        <v>7.2096</v>
      </c>
      <c r="X66" s="1">
        <v>3.2608000000000001</v>
      </c>
      <c r="Y66" s="1">
        <v>3.4409999999999998</v>
      </c>
      <c r="Z66" s="1">
        <v>11.0456</v>
      </c>
      <c r="AA66" s="1">
        <v>15.014200000000001</v>
      </c>
      <c r="AB66" s="1">
        <v>4.5118</v>
      </c>
      <c r="AC66" s="1">
        <v>5.2612000000000014</v>
      </c>
      <c r="AD66" s="15" t="s">
        <v>78</v>
      </c>
      <c r="AE66" s="1">
        <f t="shared" si="15"/>
        <v>0</v>
      </c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x14ac:dyDescent="0.25">
      <c r="A67" s="1" t="s">
        <v>104</v>
      </c>
      <c r="B67" s="1" t="s">
        <v>35</v>
      </c>
      <c r="C67" s="1">
        <v>164.917</v>
      </c>
      <c r="D67" s="1">
        <v>54.290999999999997</v>
      </c>
      <c r="E67" s="1">
        <v>66.518000000000001</v>
      </c>
      <c r="F67" s="1">
        <v>146.34299999999999</v>
      </c>
      <c r="G67" s="7">
        <v>1</v>
      </c>
      <c r="H67" s="1">
        <v>40</v>
      </c>
      <c r="I67" s="1" t="s">
        <v>36</v>
      </c>
      <c r="J67" s="1"/>
      <c r="K67" s="1">
        <v>64.796000000000006</v>
      </c>
      <c r="L67" s="1">
        <f t="shared" si="11"/>
        <v>1.7219999999999942</v>
      </c>
      <c r="M67" s="1"/>
      <c r="N67" s="1"/>
      <c r="O67" s="1">
        <v>0</v>
      </c>
      <c r="P67" s="1">
        <v>34.79140000000001</v>
      </c>
      <c r="Q67" s="1">
        <f t="shared" si="12"/>
        <v>13.303599999999999</v>
      </c>
      <c r="R67" s="5"/>
      <c r="S67" s="1">
        <f t="shared" si="13"/>
        <v>13.615442436633694</v>
      </c>
      <c r="T67" s="1">
        <f t="shared" si="14"/>
        <v>13.615442436633694</v>
      </c>
      <c r="U67" s="1">
        <v>16.658200000000001</v>
      </c>
      <c r="V67" s="1">
        <v>12.859</v>
      </c>
      <c r="W67" s="1">
        <v>5.6180000000000003</v>
      </c>
      <c r="X67" s="1">
        <v>0</v>
      </c>
      <c r="Y67" s="1">
        <v>5.3816000000000006</v>
      </c>
      <c r="Z67" s="1">
        <v>16.513000000000002</v>
      </c>
      <c r="AA67" s="1">
        <v>15.0838</v>
      </c>
      <c r="AB67" s="1">
        <v>4.3112000000000004</v>
      </c>
      <c r="AC67" s="1">
        <v>0</v>
      </c>
      <c r="AD67" s="1"/>
      <c r="AE67" s="1">
        <f t="shared" si="15"/>
        <v>0</v>
      </c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x14ac:dyDescent="0.25">
      <c r="A68" s="1" t="s">
        <v>105</v>
      </c>
      <c r="B68" s="1" t="s">
        <v>35</v>
      </c>
      <c r="C68" s="1">
        <v>5.2549999999999999</v>
      </c>
      <c r="D68" s="1">
        <v>206.161</v>
      </c>
      <c r="E68" s="1">
        <v>69.004999999999995</v>
      </c>
      <c r="F68" s="1">
        <v>124.336</v>
      </c>
      <c r="G68" s="7">
        <v>1</v>
      </c>
      <c r="H68" s="1">
        <v>40</v>
      </c>
      <c r="I68" s="1" t="s">
        <v>36</v>
      </c>
      <c r="J68" s="1"/>
      <c r="K68" s="1">
        <v>67.350999999999999</v>
      </c>
      <c r="L68" s="1">
        <f t="shared" si="11"/>
        <v>1.6539999999999964</v>
      </c>
      <c r="M68" s="1"/>
      <c r="N68" s="1"/>
      <c r="O68" s="1">
        <v>150</v>
      </c>
      <c r="P68" s="1">
        <v>0</v>
      </c>
      <c r="Q68" s="1">
        <f t="shared" si="12"/>
        <v>13.800999999999998</v>
      </c>
      <c r="R68" s="5"/>
      <c r="S68" s="1">
        <f t="shared" si="13"/>
        <v>19.877979856532139</v>
      </c>
      <c r="T68" s="1">
        <f t="shared" si="14"/>
        <v>19.877979856532139</v>
      </c>
      <c r="U68" s="1">
        <v>11.5732</v>
      </c>
      <c r="V68" s="1">
        <v>16.665600000000001</v>
      </c>
      <c r="W68" s="1">
        <v>13.021000000000001</v>
      </c>
      <c r="X68" s="1">
        <v>0</v>
      </c>
      <c r="Y68" s="1">
        <v>0.1852</v>
      </c>
      <c r="Z68" s="1">
        <v>0.73</v>
      </c>
      <c r="AA68" s="1">
        <v>4.1936</v>
      </c>
      <c r="AB68" s="1">
        <v>18.5868</v>
      </c>
      <c r="AC68" s="1">
        <v>23.832799999999999</v>
      </c>
      <c r="AD68" s="1"/>
      <c r="AE68" s="1">
        <f t="shared" si="15"/>
        <v>0</v>
      </c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x14ac:dyDescent="0.25">
      <c r="A69" s="1" t="s">
        <v>106</v>
      </c>
      <c r="B69" s="1" t="s">
        <v>35</v>
      </c>
      <c r="C69" s="1">
        <v>37.226999999999997</v>
      </c>
      <c r="D69" s="1">
        <v>97.423000000000002</v>
      </c>
      <c r="E69" s="1">
        <v>30.789000000000001</v>
      </c>
      <c r="F69" s="1">
        <v>94.963999999999999</v>
      </c>
      <c r="G69" s="7">
        <v>1</v>
      </c>
      <c r="H69" s="1">
        <v>40</v>
      </c>
      <c r="I69" s="1" t="s">
        <v>36</v>
      </c>
      <c r="J69" s="1"/>
      <c r="K69" s="1">
        <v>31.9</v>
      </c>
      <c r="L69" s="1">
        <f t="shared" si="11"/>
        <v>-1.1109999999999971</v>
      </c>
      <c r="M69" s="1"/>
      <c r="N69" s="1"/>
      <c r="O69" s="1">
        <v>30</v>
      </c>
      <c r="P69" s="1">
        <v>0</v>
      </c>
      <c r="Q69" s="1">
        <f t="shared" si="12"/>
        <v>6.1577999999999999</v>
      </c>
      <c r="R69" s="5"/>
      <c r="S69" s="1">
        <f t="shared" si="13"/>
        <v>20.293611354704602</v>
      </c>
      <c r="T69" s="1">
        <f t="shared" si="14"/>
        <v>20.293611354704602</v>
      </c>
      <c r="U69" s="1">
        <v>2.7395999999999998</v>
      </c>
      <c r="V69" s="1">
        <v>1.4468000000000001</v>
      </c>
      <c r="W69" s="1">
        <v>1.4468000000000001</v>
      </c>
      <c r="X69" s="1">
        <v>4.7493999999999996</v>
      </c>
      <c r="Y69" s="1">
        <v>7.492</v>
      </c>
      <c r="Z69" s="1">
        <v>2.5602</v>
      </c>
      <c r="AA69" s="1">
        <v>0</v>
      </c>
      <c r="AB69" s="1">
        <v>0</v>
      </c>
      <c r="AC69" s="1">
        <v>0</v>
      </c>
      <c r="AD69" s="15" t="s">
        <v>78</v>
      </c>
      <c r="AE69" s="1">
        <f t="shared" si="15"/>
        <v>0</v>
      </c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x14ac:dyDescent="0.25">
      <c r="A70" s="1" t="s">
        <v>107</v>
      </c>
      <c r="B70" s="1" t="s">
        <v>35</v>
      </c>
      <c r="C70" s="1">
        <v>134.21</v>
      </c>
      <c r="D70" s="1">
        <v>6.484</v>
      </c>
      <c r="E70" s="1">
        <v>22.690999999999999</v>
      </c>
      <c r="F70" s="1">
        <v>110.489</v>
      </c>
      <c r="G70" s="7">
        <v>1</v>
      </c>
      <c r="H70" s="1">
        <v>30</v>
      </c>
      <c r="I70" s="14" t="s">
        <v>46</v>
      </c>
      <c r="J70" s="1"/>
      <c r="K70" s="1">
        <v>30.4</v>
      </c>
      <c r="L70" s="1">
        <f t="shared" ref="L70:L101" si="16">E70-K70</f>
        <v>-7.7089999999999996</v>
      </c>
      <c r="M70" s="1"/>
      <c r="N70" s="1"/>
      <c r="O70" s="1">
        <v>0</v>
      </c>
      <c r="P70" s="1">
        <v>0</v>
      </c>
      <c r="Q70" s="1">
        <f t="shared" ref="Q70:Q101" si="17">E70/5</f>
        <v>4.5381999999999998</v>
      </c>
      <c r="R70" s="5"/>
      <c r="S70" s="1">
        <f t="shared" ref="S70:S101" si="18">(F70+O70+P70+R70)/Q70</f>
        <v>24.346436913313649</v>
      </c>
      <c r="T70" s="1">
        <f t="shared" ref="T70:T101" si="19">(F70+O70+P70)/Q70</f>
        <v>24.346436913313649</v>
      </c>
      <c r="U70" s="1">
        <v>2.1951999999999998</v>
      </c>
      <c r="V70" s="1">
        <v>4.7683999999999997</v>
      </c>
      <c r="W70" s="1">
        <v>7.6109999999999998</v>
      </c>
      <c r="X70" s="1">
        <v>5.9893999999999998</v>
      </c>
      <c r="Y70" s="1">
        <v>1.8408</v>
      </c>
      <c r="Z70" s="1">
        <v>0.5272</v>
      </c>
      <c r="AA70" s="1">
        <v>0</v>
      </c>
      <c r="AB70" s="1">
        <v>0</v>
      </c>
      <c r="AC70" s="1">
        <v>4.5743999999999998</v>
      </c>
      <c r="AD70" s="16" t="s">
        <v>53</v>
      </c>
      <c r="AE70" s="1">
        <f t="shared" si="15"/>
        <v>0</v>
      </c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x14ac:dyDescent="0.25">
      <c r="A71" s="1" t="s">
        <v>108</v>
      </c>
      <c r="B71" s="1" t="s">
        <v>40</v>
      </c>
      <c r="C71" s="1">
        <v>160</v>
      </c>
      <c r="D71" s="1">
        <v>82</v>
      </c>
      <c r="E71" s="1">
        <v>83</v>
      </c>
      <c r="F71" s="1">
        <v>159</v>
      </c>
      <c r="G71" s="7">
        <v>0.6</v>
      </c>
      <c r="H71" s="1">
        <v>60</v>
      </c>
      <c r="I71" s="1" t="s">
        <v>36</v>
      </c>
      <c r="J71" s="1"/>
      <c r="K71" s="1">
        <v>79</v>
      </c>
      <c r="L71" s="1">
        <f t="shared" si="16"/>
        <v>4</v>
      </c>
      <c r="M71" s="1"/>
      <c r="N71" s="1"/>
      <c r="O71" s="1">
        <v>0</v>
      </c>
      <c r="P71" s="1">
        <v>7.3999999999999773</v>
      </c>
      <c r="Q71" s="1">
        <f t="shared" si="17"/>
        <v>16.600000000000001</v>
      </c>
      <c r="R71" s="5">
        <f t="shared" si="10"/>
        <v>16.200000000000045</v>
      </c>
      <c r="S71" s="1">
        <f t="shared" si="18"/>
        <v>11</v>
      </c>
      <c r="T71" s="1">
        <f t="shared" si="19"/>
        <v>10.024096385542167</v>
      </c>
      <c r="U71" s="1">
        <v>15.2</v>
      </c>
      <c r="V71" s="1">
        <v>9.8000000000000007</v>
      </c>
      <c r="W71" s="1">
        <v>10.8</v>
      </c>
      <c r="X71" s="1">
        <v>20.399999999999999</v>
      </c>
      <c r="Y71" s="1">
        <v>23</v>
      </c>
      <c r="Z71" s="1">
        <v>3.8</v>
      </c>
      <c r="AA71" s="1">
        <v>3.6</v>
      </c>
      <c r="AB71" s="1">
        <v>5.9474</v>
      </c>
      <c r="AC71" s="1">
        <v>7</v>
      </c>
      <c r="AD71" s="1"/>
      <c r="AE71" s="1">
        <f t="shared" si="15"/>
        <v>9.7200000000000273</v>
      </c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x14ac:dyDescent="0.25">
      <c r="A72" s="1" t="s">
        <v>109</v>
      </c>
      <c r="B72" s="1" t="s">
        <v>40</v>
      </c>
      <c r="C72" s="1">
        <v>33</v>
      </c>
      <c r="D72" s="1">
        <v>288</v>
      </c>
      <c r="E72" s="1">
        <v>30</v>
      </c>
      <c r="F72" s="1">
        <v>285</v>
      </c>
      <c r="G72" s="7">
        <v>0.6</v>
      </c>
      <c r="H72" s="1">
        <v>60</v>
      </c>
      <c r="I72" s="1" t="s">
        <v>36</v>
      </c>
      <c r="J72" s="1"/>
      <c r="K72" s="1">
        <v>137</v>
      </c>
      <c r="L72" s="1">
        <f t="shared" si="16"/>
        <v>-107</v>
      </c>
      <c r="M72" s="1"/>
      <c r="N72" s="1"/>
      <c r="O72" s="1">
        <v>0</v>
      </c>
      <c r="P72" s="1">
        <v>0</v>
      </c>
      <c r="Q72" s="1">
        <f t="shared" si="17"/>
        <v>6</v>
      </c>
      <c r="R72" s="5"/>
      <c r="S72" s="1">
        <f t="shared" si="18"/>
        <v>47.5</v>
      </c>
      <c r="T72" s="1">
        <f t="shared" si="19"/>
        <v>47.5</v>
      </c>
      <c r="U72" s="1">
        <v>3.2</v>
      </c>
      <c r="V72" s="1">
        <v>14</v>
      </c>
      <c r="W72" s="1">
        <v>20.6</v>
      </c>
      <c r="X72" s="1">
        <v>28.8</v>
      </c>
      <c r="Y72" s="1">
        <v>29.8</v>
      </c>
      <c r="Z72" s="1">
        <v>6</v>
      </c>
      <c r="AA72" s="1">
        <v>3.6</v>
      </c>
      <c r="AB72" s="1">
        <v>9.4</v>
      </c>
      <c r="AC72" s="1">
        <v>10.6</v>
      </c>
      <c r="AD72" s="16" t="s">
        <v>53</v>
      </c>
      <c r="AE72" s="1">
        <f t="shared" si="15"/>
        <v>0</v>
      </c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x14ac:dyDescent="0.25">
      <c r="A73" s="1" t="s">
        <v>110</v>
      </c>
      <c r="B73" s="1" t="s">
        <v>40</v>
      </c>
      <c r="C73" s="1">
        <v>20</v>
      </c>
      <c r="D73" s="1">
        <v>148</v>
      </c>
      <c r="E73" s="1">
        <v>40</v>
      </c>
      <c r="F73" s="1">
        <v>120</v>
      </c>
      <c r="G73" s="7">
        <v>0.4</v>
      </c>
      <c r="H73" s="1">
        <v>90</v>
      </c>
      <c r="I73" s="14" t="s">
        <v>46</v>
      </c>
      <c r="J73" s="1"/>
      <c r="K73" s="1">
        <v>44</v>
      </c>
      <c r="L73" s="1">
        <f t="shared" si="16"/>
        <v>-4</v>
      </c>
      <c r="M73" s="1"/>
      <c r="N73" s="1"/>
      <c r="O73" s="1">
        <v>0</v>
      </c>
      <c r="P73" s="1">
        <v>4.6000000000000227</v>
      </c>
      <c r="Q73" s="1">
        <f t="shared" si="17"/>
        <v>8</v>
      </c>
      <c r="R73" s="5"/>
      <c r="S73" s="1">
        <f t="shared" si="18"/>
        <v>15.575000000000003</v>
      </c>
      <c r="T73" s="1">
        <f t="shared" si="19"/>
        <v>15.575000000000003</v>
      </c>
      <c r="U73" s="1">
        <v>10.4</v>
      </c>
      <c r="V73" s="1">
        <v>6.6</v>
      </c>
      <c r="W73" s="1">
        <v>8.1999999999999993</v>
      </c>
      <c r="X73" s="1">
        <v>10</v>
      </c>
      <c r="Y73" s="1">
        <v>8.4</v>
      </c>
      <c r="Z73" s="1">
        <v>9.6</v>
      </c>
      <c r="AA73" s="1">
        <v>6.2</v>
      </c>
      <c r="AB73" s="1">
        <v>1.8</v>
      </c>
      <c r="AC73" s="1">
        <v>5.4</v>
      </c>
      <c r="AD73" s="1"/>
      <c r="AE73" s="1">
        <f t="shared" si="15"/>
        <v>0</v>
      </c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x14ac:dyDescent="0.25">
      <c r="A74" s="1" t="s">
        <v>111</v>
      </c>
      <c r="B74" s="1" t="s">
        <v>40</v>
      </c>
      <c r="C74" s="1">
        <v>47</v>
      </c>
      <c r="D74" s="1">
        <v>114</v>
      </c>
      <c r="E74" s="1">
        <v>53</v>
      </c>
      <c r="F74" s="1">
        <v>98</v>
      </c>
      <c r="G74" s="7">
        <v>0.33</v>
      </c>
      <c r="H74" s="1">
        <v>60</v>
      </c>
      <c r="I74" s="1" t="s">
        <v>36</v>
      </c>
      <c r="J74" s="1"/>
      <c r="K74" s="1">
        <v>57</v>
      </c>
      <c r="L74" s="1">
        <f t="shared" si="16"/>
        <v>-4</v>
      </c>
      <c r="M74" s="1"/>
      <c r="N74" s="1"/>
      <c r="O74" s="1">
        <v>14.80000000000001</v>
      </c>
      <c r="P74" s="1">
        <v>34.535999999999973</v>
      </c>
      <c r="Q74" s="1">
        <f t="shared" si="17"/>
        <v>10.6</v>
      </c>
      <c r="R74" s="5"/>
      <c r="S74" s="1">
        <f t="shared" si="18"/>
        <v>13.899622641509433</v>
      </c>
      <c r="T74" s="1">
        <f t="shared" si="19"/>
        <v>13.899622641509433</v>
      </c>
      <c r="U74" s="1">
        <v>14.2</v>
      </c>
      <c r="V74" s="1">
        <v>14.8</v>
      </c>
      <c r="W74" s="1">
        <v>15</v>
      </c>
      <c r="X74" s="1">
        <v>10.4</v>
      </c>
      <c r="Y74" s="1">
        <v>9.4</v>
      </c>
      <c r="Z74" s="1">
        <v>13.2</v>
      </c>
      <c r="AA74" s="1">
        <v>10</v>
      </c>
      <c r="AB74" s="1">
        <v>9.4</v>
      </c>
      <c r="AC74" s="1">
        <v>7.2</v>
      </c>
      <c r="AD74" s="1"/>
      <c r="AE74" s="1">
        <f t="shared" si="15"/>
        <v>0</v>
      </c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x14ac:dyDescent="0.25">
      <c r="A75" s="1" t="s">
        <v>112</v>
      </c>
      <c r="B75" s="1" t="s">
        <v>40</v>
      </c>
      <c r="C75" s="1">
        <v>100</v>
      </c>
      <c r="D75" s="1">
        <v>108</v>
      </c>
      <c r="E75" s="1">
        <v>82</v>
      </c>
      <c r="F75" s="1">
        <v>98</v>
      </c>
      <c r="G75" s="7">
        <v>0.35</v>
      </c>
      <c r="H75" s="1">
        <v>90</v>
      </c>
      <c r="I75" s="1" t="s">
        <v>36</v>
      </c>
      <c r="J75" s="1"/>
      <c r="K75" s="1">
        <v>110</v>
      </c>
      <c r="L75" s="1">
        <f t="shared" si="16"/>
        <v>-28</v>
      </c>
      <c r="M75" s="1"/>
      <c r="N75" s="1"/>
      <c r="O75" s="1">
        <v>0</v>
      </c>
      <c r="P75" s="1">
        <v>71.632000000000005</v>
      </c>
      <c r="Q75" s="1">
        <f t="shared" si="17"/>
        <v>16.399999999999999</v>
      </c>
      <c r="R75" s="5">
        <f t="shared" si="10"/>
        <v>10.767999999999972</v>
      </c>
      <c r="S75" s="1">
        <f t="shared" si="18"/>
        <v>11</v>
      </c>
      <c r="T75" s="1">
        <f t="shared" si="19"/>
        <v>10.343414634146344</v>
      </c>
      <c r="U75" s="1">
        <v>15.4</v>
      </c>
      <c r="V75" s="1">
        <v>12.2</v>
      </c>
      <c r="W75" s="1">
        <v>14.4</v>
      </c>
      <c r="X75" s="1">
        <v>14.8</v>
      </c>
      <c r="Y75" s="1">
        <v>13.4</v>
      </c>
      <c r="Z75" s="1">
        <v>13</v>
      </c>
      <c r="AA75" s="1">
        <v>9.1999999999999993</v>
      </c>
      <c r="AB75" s="1">
        <v>2</v>
      </c>
      <c r="AC75" s="1">
        <v>5.8</v>
      </c>
      <c r="AD75" s="1"/>
      <c r="AE75" s="1">
        <f t="shared" si="15"/>
        <v>3.7687999999999899</v>
      </c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x14ac:dyDescent="0.25">
      <c r="A76" s="1" t="s">
        <v>113</v>
      </c>
      <c r="B76" s="1" t="s">
        <v>40</v>
      </c>
      <c r="C76" s="1">
        <v>2</v>
      </c>
      <c r="D76" s="1">
        <v>34</v>
      </c>
      <c r="E76" s="1"/>
      <c r="F76" s="1">
        <v>32</v>
      </c>
      <c r="G76" s="7">
        <v>0.37</v>
      </c>
      <c r="H76" s="1"/>
      <c r="I76" s="1" t="s">
        <v>36</v>
      </c>
      <c r="J76" s="1"/>
      <c r="K76" s="1">
        <v>4</v>
      </c>
      <c r="L76" s="1">
        <f t="shared" si="16"/>
        <v>-4</v>
      </c>
      <c r="M76" s="1"/>
      <c r="N76" s="1"/>
      <c r="O76" s="1">
        <v>0</v>
      </c>
      <c r="P76" s="1">
        <v>0</v>
      </c>
      <c r="Q76" s="1">
        <f t="shared" si="17"/>
        <v>0</v>
      </c>
      <c r="R76" s="5"/>
      <c r="S76" s="1" t="e">
        <f t="shared" si="18"/>
        <v>#DIV/0!</v>
      </c>
      <c r="T76" s="1" t="e">
        <f t="shared" si="19"/>
        <v>#DIV/0!</v>
      </c>
      <c r="U76" s="1">
        <v>0.6</v>
      </c>
      <c r="V76" s="1">
        <v>1.4</v>
      </c>
      <c r="W76" s="1">
        <v>2</v>
      </c>
      <c r="X76" s="1">
        <v>2</v>
      </c>
      <c r="Y76" s="1">
        <v>1.6</v>
      </c>
      <c r="Z76" s="1">
        <v>0.4</v>
      </c>
      <c r="AA76" s="1">
        <v>0.2</v>
      </c>
      <c r="AB76" s="1">
        <v>0.4</v>
      </c>
      <c r="AC76" s="1">
        <v>0</v>
      </c>
      <c r="AD76" s="15" t="s">
        <v>78</v>
      </c>
      <c r="AE76" s="1">
        <f t="shared" si="15"/>
        <v>0</v>
      </c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x14ac:dyDescent="0.25">
      <c r="A77" s="1" t="s">
        <v>114</v>
      </c>
      <c r="B77" s="1" t="s">
        <v>40</v>
      </c>
      <c r="C77" s="1">
        <v>-15</v>
      </c>
      <c r="D77" s="1">
        <v>216</v>
      </c>
      <c r="E77" s="1">
        <v>39</v>
      </c>
      <c r="F77" s="1">
        <v>162</v>
      </c>
      <c r="G77" s="7">
        <v>0.6</v>
      </c>
      <c r="H77" s="1">
        <v>70</v>
      </c>
      <c r="I77" s="1" t="s">
        <v>36</v>
      </c>
      <c r="J77" s="1"/>
      <c r="K77" s="1">
        <v>43</v>
      </c>
      <c r="L77" s="1">
        <f t="shared" si="16"/>
        <v>-4</v>
      </c>
      <c r="M77" s="1"/>
      <c r="N77" s="1"/>
      <c r="O77" s="1">
        <v>0</v>
      </c>
      <c r="P77" s="1">
        <v>0</v>
      </c>
      <c r="Q77" s="1">
        <f t="shared" si="17"/>
        <v>7.8</v>
      </c>
      <c r="R77" s="5"/>
      <c r="S77" s="1">
        <f t="shared" si="18"/>
        <v>20.76923076923077</v>
      </c>
      <c r="T77" s="1">
        <f t="shared" si="19"/>
        <v>20.76923076923077</v>
      </c>
      <c r="U77" s="1">
        <v>4.2</v>
      </c>
      <c r="V77" s="1">
        <v>10.4</v>
      </c>
      <c r="W77" s="1">
        <v>17.399999999999999</v>
      </c>
      <c r="X77" s="1">
        <v>8.1999999999999993</v>
      </c>
      <c r="Y77" s="1">
        <v>1.8</v>
      </c>
      <c r="Z77" s="1">
        <v>1.2</v>
      </c>
      <c r="AA77" s="1">
        <v>4.2</v>
      </c>
      <c r="AB77" s="1">
        <v>7</v>
      </c>
      <c r="AC77" s="1">
        <v>7.6</v>
      </c>
      <c r="AD77" s="1" t="s">
        <v>115</v>
      </c>
      <c r="AE77" s="1">
        <f t="shared" si="15"/>
        <v>0</v>
      </c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x14ac:dyDescent="0.25">
      <c r="A78" s="1" t="s">
        <v>116</v>
      </c>
      <c r="B78" s="1" t="s">
        <v>40</v>
      </c>
      <c r="C78" s="1">
        <v>78</v>
      </c>
      <c r="D78" s="1">
        <v>96</v>
      </c>
      <c r="E78" s="1">
        <v>26</v>
      </c>
      <c r="F78" s="1">
        <v>146</v>
      </c>
      <c r="G78" s="7">
        <v>0.33</v>
      </c>
      <c r="H78" s="1">
        <v>40</v>
      </c>
      <c r="I78" s="1" t="s">
        <v>36</v>
      </c>
      <c r="J78" s="1"/>
      <c r="K78" s="1">
        <v>32</v>
      </c>
      <c r="L78" s="1">
        <f t="shared" si="16"/>
        <v>-6</v>
      </c>
      <c r="M78" s="1"/>
      <c r="N78" s="1"/>
      <c r="O78" s="1">
        <v>0</v>
      </c>
      <c r="P78" s="1">
        <v>0</v>
      </c>
      <c r="Q78" s="1">
        <f t="shared" si="17"/>
        <v>5.2</v>
      </c>
      <c r="R78" s="5"/>
      <c r="S78" s="1">
        <f t="shared" si="18"/>
        <v>28.076923076923077</v>
      </c>
      <c r="T78" s="1">
        <f t="shared" si="19"/>
        <v>28.076923076923077</v>
      </c>
      <c r="U78" s="1">
        <v>4</v>
      </c>
      <c r="V78" s="1">
        <v>3.6</v>
      </c>
      <c r="W78" s="1">
        <v>3.6</v>
      </c>
      <c r="X78" s="1">
        <v>2.4</v>
      </c>
      <c r="Y78" s="1">
        <v>8.4</v>
      </c>
      <c r="Z78" s="1">
        <v>9.6</v>
      </c>
      <c r="AA78" s="1">
        <v>3.6</v>
      </c>
      <c r="AB78" s="1">
        <v>0</v>
      </c>
      <c r="AC78" s="1">
        <v>-0.6</v>
      </c>
      <c r="AD78" s="16" t="s">
        <v>53</v>
      </c>
      <c r="AE78" s="1">
        <f t="shared" si="15"/>
        <v>0</v>
      </c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x14ac:dyDescent="0.25">
      <c r="A79" s="1" t="s">
        <v>117</v>
      </c>
      <c r="B79" s="1" t="s">
        <v>40</v>
      </c>
      <c r="C79" s="1">
        <v>31</v>
      </c>
      <c r="D79" s="1"/>
      <c r="E79" s="1">
        <v>4</v>
      </c>
      <c r="F79" s="1">
        <v>27</v>
      </c>
      <c r="G79" s="7">
        <v>0.4</v>
      </c>
      <c r="H79" s="1">
        <v>55</v>
      </c>
      <c r="I79" s="1" t="s">
        <v>36</v>
      </c>
      <c r="J79" s="1"/>
      <c r="K79" s="1">
        <v>4</v>
      </c>
      <c r="L79" s="1">
        <f t="shared" si="16"/>
        <v>0</v>
      </c>
      <c r="M79" s="1"/>
      <c r="N79" s="1"/>
      <c r="O79" s="1">
        <v>0</v>
      </c>
      <c r="P79" s="1">
        <v>0</v>
      </c>
      <c r="Q79" s="1">
        <f t="shared" si="17"/>
        <v>0.8</v>
      </c>
      <c r="R79" s="5"/>
      <c r="S79" s="1">
        <f t="shared" si="18"/>
        <v>33.75</v>
      </c>
      <c r="T79" s="1">
        <f t="shared" si="19"/>
        <v>33.75</v>
      </c>
      <c r="U79" s="1">
        <v>0.8</v>
      </c>
      <c r="V79" s="1">
        <v>0.8</v>
      </c>
      <c r="W79" s="1">
        <v>1.4</v>
      </c>
      <c r="X79" s="1">
        <v>1.4</v>
      </c>
      <c r="Y79" s="1">
        <v>0.8</v>
      </c>
      <c r="Z79" s="1">
        <v>0.2</v>
      </c>
      <c r="AA79" s="1">
        <v>2</v>
      </c>
      <c r="AB79" s="1">
        <v>2.2000000000000002</v>
      </c>
      <c r="AC79" s="1">
        <v>0.6</v>
      </c>
      <c r="AD79" s="16" t="s">
        <v>53</v>
      </c>
      <c r="AE79" s="1">
        <f t="shared" si="15"/>
        <v>0</v>
      </c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x14ac:dyDescent="0.25">
      <c r="A80" s="1" t="s">
        <v>118</v>
      </c>
      <c r="B80" s="1" t="s">
        <v>40</v>
      </c>
      <c r="C80" s="1">
        <v>-1</v>
      </c>
      <c r="D80" s="1">
        <v>66</v>
      </c>
      <c r="E80" s="1">
        <v>3</v>
      </c>
      <c r="F80" s="1">
        <v>61</v>
      </c>
      <c r="G80" s="7">
        <v>0.35</v>
      </c>
      <c r="H80" s="1">
        <v>40</v>
      </c>
      <c r="I80" s="1" t="s">
        <v>36</v>
      </c>
      <c r="J80" s="1"/>
      <c r="K80" s="1">
        <v>8</v>
      </c>
      <c r="L80" s="1">
        <f t="shared" si="16"/>
        <v>-5</v>
      </c>
      <c r="M80" s="1"/>
      <c r="N80" s="1"/>
      <c r="O80" s="1">
        <v>30</v>
      </c>
      <c r="P80" s="1">
        <v>0</v>
      </c>
      <c r="Q80" s="1">
        <f t="shared" si="17"/>
        <v>0.6</v>
      </c>
      <c r="R80" s="5"/>
      <c r="S80" s="1">
        <f t="shared" si="18"/>
        <v>151.66666666666669</v>
      </c>
      <c r="T80" s="1">
        <f t="shared" si="19"/>
        <v>151.66666666666669</v>
      </c>
      <c r="U80" s="1">
        <v>0</v>
      </c>
      <c r="V80" s="1">
        <v>0.6</v>
      </c>
      <c r="W80" s="1">
        <v>4.2</v>
      </c>
      <c r="X80" s="1">
        <v>5.4</v>
      </c>
      <c r="Y80" s="1">
        <v>2.8</v>
      </c>
      <c r="Z80" s="1">
        <v>0.4</v>
      </c>
      <c r="AA80" s="1">
        <v>0.2</v>
      </c>
      <c r="AB80" s="1">
        <v>0.4</v>
      </c>
      <c r="AC80" s="1">
        <v>0.4</v>
      </c>
      <c r="AD80" s="1"/>
      <c r="AE80" s="1">
        <f t="shared" si="15"/>
        <v>0</v>
      </c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x14ac:dyDescent="0.25">
      <c r="A81" s="1" t="s">
        <v>119</v>
      </c>
      <c r="B81" s="1" t="s">
        <v>40</v>
      </c>
      <c r="C81" s="1"/>
      <c r="D81" s="1">
        <v>50</v>
      </c>
      <c r="E81" s="1">
        <v>7</v>
      </c>
      <c r="F81" s="1">
        <v>42</v>
      </c>
      <c r="G81" s="7">
        <v>0.35</v>
      </c>
      <c r="H81" s="1">
        <v>45</v>
      </c>
      <c r="I81" s="1" t="s">
        <v>36</v>
      </c>
      <c r="J81" s="1"/>
      <c r="K81" s="1">
        <v>10</v>
      </c>
      <c r="L81" s="1">
        <f t="shared" si="16"/>
        <v>-3</v>
      </c>
      <c r="M81" s="1"/>
      <c r="N81" s="1"/>
      <c r="O81" s="1">
        <v>20</v>
      </c>
      <c r="P81" s="1">
        <v>0</v>
      </c>
      <c r="Q81" s="1">
        <f t="shared" si="17"/>
        <v>1.4</v>
      </c>
      <c r="R81" s="5"/>
      <c r="S81" s="1">
        <f t="shared" si="18"/>
        <v>44.285714285714292</v>
      </c>
      <c r="T81" s="1">
        <f t="shared" si="19"/>
        <v>44.285714285714292</v>
      </c>
      <c r="U81" s="1">
        <v>0.6</v>
      </c>
      <c r="V81" s="1">
        <v>0.8</v>
      </c>
      <c r="W81" s="1">
        <v>3</v>
      </c>
      <c r="X81" s="1">
        <v>3.6</v>
      </c>
      <c r="Y81" s="1">
        <v>2.6</v>
      </c>
      <c r="Z81" s="1">
        <v>2.8</v>
      </c>
      <c r="AA81" s="1">
        <v>2.2000000000000002</v>
      </c>
      <c r="AB81" s="1">
        <v>0</v>
      </c>
      <c r="AC81" s="1">
        <v>-0.4</v>
      </c>
      <c r="AD81" s="1"/>
      <c r="AE81" s="1">
        <f t="shared" si="15"/>
        <v>0</v>
      </c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x14ac:dyDescent="0.25">
      <c r="A82" s="9" t="s">
        <v>120</v>
      </c>
      <c r="B82" s="9" t="s">
        <v>40</v>
      </c>
      <c r="C82" s="9"/>
      <c r="D82" s="9"/>
      <c r="E82" s="9"/>
      <c r="F82" s="9"/>
      <c r="G82" s="10">
        <v>0</v>
      </c>
      <c r="H82" s="9"/>
      <c r="I82" s="9" t="s">
        <v>36</v>
      </c>
      <c r="J82" s="9"/>
      <c r="K82" s="9"/>
      <c r="L82" s="9">
        <f t="shared" si="16"/>
        <v>0</v>
      </c>
      <c r="M82" s="9"/>
      <c r="N82" s="9"/>
      <c r="O82" s="9">
        <v>0</v>
      </c>
      <c r="P82" s="9">
        <v>0</v>
      </c>
      <c r="Q82" s="9">
        <f t="shared" si="17"/>
        <v>0</v>
      </c>
      <c r="R82" s="11"/>
      <c r="S82" s="9" t="e">
        <f t="shared" si="18"/>
        <v>#DIV/0!</v>
      </c>
      <c r="T82" s="9" t="e">
        <f t="shared" si="19"/>
        <v>#DIV/0!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9" t="s">
        <v>41</v>
      </c>
      <c r="AE82" s="9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x14ac:dyDescent="0.25">
      <c r="A83" s="9" t="s">
        <v>121</v>
      </c>
      <c r="B83" s="9" t="s">
        <v>35</v>
      </c>
      <c r="C83" s="9"/>
      <c r="D83" s="9"/>
      <c r="E83" s="9"/>
      <c r="F83" s="9"/>
      <c r="G83" s="10">
        <v>0</v>
      </c>
      <c r="H83" s="9"/>
      <c r="I83" s="9" t="s">
        <v>36</v>
      </c>
      <c r="J83" s="9"/>
      <c r="K83" s="9"/>
      <c r="L83" s="9">
        <f t="shared" si="16"/>
        <v>0</v>
      </c>
      <c r="M83" s="9"/>
      <c r="N83" s="9"/>
      <c r="O83" s="9">
        <v>0</v>
      </c>
      <c r="P83" s="9">
        <v>0</v>
      </c>
      <c r="Q83" s="9">
        <f t="shared" si="17"/>
        <v>0</v>
      </c>
      <c r="R83" s="11"/>
      <c r="S83" s="9" t="e">
        <f t="shared" si="18"/>
        <v>#DIV/0!</v>
      </c>
      <c r="T83" s="9" t="e">
        <f t="shared" si="19"/>
        <v>#DIV/0!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 t="s">
        <v>41</v>
      </c>
      <c r="AE83" s="9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x14ac:dyDescent="0.25">
      <c r="A84" s="9" t="s">
        <v>122</v>
      </c>
      <c r="B84" s="9" t="s">
        <v>35</v>
      </c>
      <c r="C84" s="9"/>
      <c r="D84" s="9"/>
      <c r="E84" s="9"/>
      <c r="F84" s="9"/>
      <c r="G84" s="10">
        <v>0</v>
      </c>
      <c r="H84" s="9"/>
      <c r="I84" s="9" t="s">
        <v>36</v>
      </c>
      <c r="J84" s="9"/>
      <c r="K84" s="9"/>
      <c r="L84" s="9">
        <f t="shared" si="16"/>
        <v>0</v>
      </c>
      <c r="M84" s="9"/>
      <c r="N84" s="9"/>
      <c r="O84" s="9">
        <v>0</v>
      </c>
      <c r="P84" s="9">
        <v>0</v>
      </c>
      <c r="Q84" s="9">
        <f t="shared" si="17"/>
        <v>0</v>
      </c>
      <c r="R84" s="11"/>
      <c r="S84" s="9" t="e">
        <f t="shared" si="18"/>
        <v>#DIV/0!</v>
      </c>
      <c r="T84" s="9" t="e">
        <f t="shared" si="19"/>
        <v>#DIV/0!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 t="s">
        <v>41</v>
      </c>
      <c r="AE84" s="9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x14ac:dyDescent="0.25">
      <c r="A85" s="9" t="s">
        <v>123</v>
      </c>
      <c r="B85" s="9" t="s">
        <v>40</v>
      </c>
      <c r="C85" s="9">
        <v>-1</v>
      </c>
      <c r="D85" s="9"/>
      <c r="E85" s="9"/>
      <c r="F85" s="9">
        <v>-1</v>
      </c>
      <c r="G85" s="10">
        <v>0</v>
      </c>
      <c r="H85" s="9"/>
      <c r="I85" s="9" t="s">
        <v>56</v>
      </c>
      <c r="J85" s="9"/>
      <c r="K85" s="9"/>
      <c r="L85" s="9">
        <f t="shared" si="16"/>
        <v>0</v>
      </c>
      <c r="M85" s="9"/>
      <c r="N85" s="9"/>
      <c r="O85" s="9">
        <v>0</v>
      </c>
      <c r="P85" s="9">
        <v>0</v>
      </c>
      <c r="Q85" s="9">
        <f t="shared" si="17"/>
        <v>0</v>
      </c>
      <c r="R85" s="11"/>
      <c r="S85" s="9" t="e">
        <f t="shared" si="18"/>
        <v>#DIV/0!</v>
      </c>
      <c r="T85" s="9" t="e">
        <f t="shared" si="19"/>
        <v>#DIV/0!</v>
      </c>
      <c r="U85" s="9">
        <v>0</v>
      </c>
      <c r="V85" s="9">
        <v>0.2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/>
      <c r="AE85" s="9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x14ac:dyDescent="0.25">
      <c r="A86" s="1" t="s">
        <v>124</v>
      </c>
      <c r="B86" s="1" t="s">
        <v>35</v>
      </c>
      <c r="C86" s="1">
        <v>108.241</v>
      </c>
      <c r="D86" s="1">
        <v>211.99700000000001</v>
      </c>
      <c r="E86" s="1">
        <v>107.23399999999999</v>
      </c>
      <c r="F86" s="1">
        <v>160.16399999999999</v>
      </c>
      <c r="G86" s="7">
        <v>1</v>
      </c>
      <c r="H86" s="1">
        <v>60</v>
      </c>
      <c r="I86" s="1" t="s">
        <v>36</v>
      </c>
      <c r="J86" s="1"/>
      <c r="K86" s="1">
        <v>105.58</v>
      </c>
      <c r="L86" s="1">
        <f t="shared" si="16"/>
        <v>1.6539999999999964</v>
      </c>
      <c r="M86" s="1"/>
      <c r="N86" s="1"/>
      <c r="O86" s="1">
        <v>100</v>
      </c>
      <c r="P86" s="1">
        <v>0</v>
      </c>
      <c r="Q86" s="1">
        <f t="shared" si="17"/>
        <v>21.4468</v>
      </c>
      <c r="R86" s="5"/>
      <c r="S86" s="1">
        <f t="shared" si="18"/>
        <v>12.130667512169648</v>
      </c>
      <c r="T86" s="1">
        <f t="shared" si="19"/>
        <v>12.130667512169648</v>
      </c>
      <c r="U86" s="1">
        <v>14.8124</v>
      </c>
      <c r="V86" s="1">
        <v>18.060600000000001</v>
      </c>
      <c r="W86" s="1">
        <v>28.770600000000002</v>
      </c>
      <c r="X86" s="1">
        <v>23.8322</v>
      </c>
      <c r="Y86" s="1">
        <v>20.955400000000001</v>
      </c>
      <c r="Z86" s="1">
        <v>14.3246</v>
      </c>
      <c r="AA86" s="1">
        <v>2.42</v>
      </c>
      <c r="AB86" s="1">
        <v>12.898199999999999</v>
      </c>
      <c r="AC86" s="1">
        <v>19.516999999999999</v>
      </c>
      <c r="AD86" s="1"/>
      <c r="AE86" s="1">
        <f>G86*R86</f>
        <v>0</v>
      </c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x14ac:dyDescent="0.25">
      <c r="A87" s="9" t="s">
        <v>125</v>
      </c>
      <c r="B87" s="9" t="s">
        <v>40</v>
      </c>
      <c r="C87" s="9"/>
      <c r="D87" s="9"/>
      <c r="E87" s="9"/>
      <c r="F87" s="9"/>
      <c r="G87" s="10">
        <v>0</v>
      </c>
      <c r="H87" s="9"/>
      <c r="I87" s="9" t="s">
        <v>36</v>
      </c>
      <c r="J87" s="9"/>
      <c r="K87" s="9"/>
      <c r="L87" s="9">
        <f t="shared" si="16"/>
        <v>0</v>
      </c>
      <c r="M87" s="9"/>
      <c r="N87" s="9"/>
      <c r="O87" s="9">
        <v>0</v>
      </c>
      <c r="P87" s="9">
        <v>0</v>
      </c>
      <c r="Q87" s="9">
        <f t="shared" si="17"/>
        <v>0</v>
      </c>
      <c r="R87" s="11"/>
      <c r="S87" s="9" t="e">
        <f t="shared" si="18"/>
        <v>#DIV/0!</v>
      </c>
      <c r="T87" s="9" t="e">
        <f t="shared" si="19"/>
        <v>#DIV/0!</v>
      </c>
      <c r="U87" s="9">
        <v>0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9">
        <v>0</v>
      </c>
      <c r="AC87" s="9">
        <v>0</v>
      </c>
      <c r="AD87" s="9" t="s">
        <v>41</v>
      </c>
      <c r="AE87" s="9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x14ac:dyDescent="0.25">
      <c r="A88" s="1" t="s">
        <v>126</v>
      </c>
      <c r="B88" s="1" t="s">
        <v>35</v>
      </c>
      <c r="C88" s="1">
        <v>284.98700000000002</v>
      </c>
      <c r="D88" s="1">
        <v>605.31600000000003</v>
      </c>
      <c r="E88" s="1">
        <v>457.17500000000001</v>
      </c>
      <c r="F88" s="1">
        <v>260.822</v>
      </c>
      <c r="G88" s="7">
        <v>1</v>
      </c>
      <c r="H88" s="1">
        <v>60</v>
      </c>
      <c r="I88" s="1" t="s">
        <v>36</v>
      </c>
      <c r="J88" s="1"/>
      <c r="K88" s="1">
        <v>492.5</v>
      </c>
      <c r="L88" s="1">
        <f t="shared" si="16"/>
        <v>-35.324999999999989</v>
      </c>
      <c r="M88" s="1"/>
      <c r="N88" s="1"/>
      <c r="O88" s="1">
        <v>618.02427999999998</v>
      </c>
      <c r="P88" s="1">
        <v>20.616889399275578</v>
      </c>
      <c r="Q88" s="1">
        <f t="shared" si="17"/>
        <v>91.435000000000002</v>
      </c>
      <c r="R88" s="5">
        <f t="shared" ref="R88:R90" si="20">11*Q88-P88-O88-F88</f>
        <v>106.32183060072452</v>
      </c>
      <c r="S88" s="1">
        <f t="shared" si="18"/>
        <v>11</v>
      </c>
      <c r="T88" s="1">
        <f t="shared" si="19"/>
        <v>9.8371867381120524</v>
      </c>
      <c r="U88" s="1">
        <v>105.745</v>
      </c>
      <c r="V88" s="1">
        <v>102.8342</v>
      </c>
      <c r="W88" s="1">
        <v>93.611000000000004</v>
      </c>
      <c r="X88" s="1">
        <v>73.753999999999991</v>
      </c>
      <c r="Y88" s="1">
        <v>82.291200000000003</v>
      </c>
      <c r="Z88" s="1">
        <v>76.831199999999995</v>
      </c>
      <c r="AA88" s="1">
        <v>111.5638</v>
      </c>
      <c r="AB88" s="1">
        <v>119.0112</v>
      </c>
      <c r="AC88" s="1">
        <v>67.967799999999997</v>
      </c>
      <c r="AD88" s="1"/>
      <c r="AE88" s="1">
        <f>G88*R88</f>
        <v>106.32183060072452</v>
      </c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x14ac:dyDescent="0.25">
      <c r="A89" s="1" t="s">
        <v>127</v>
      </c>
      <c r="B89" s="1" t="s">
        <v>35</v>
      </c>
      <c r="C89" s="1">
        <v>210.86799999999999</v>
      </c>
      <c r="D89" s="1">
        <v>663.68</v>
      </c>
      <c r="E89" s="1">
        <v>398.93099999999998</v>
      </c>
      <c r="F89" s="1">
        <v>259.64699999999999</v>
      </c>
      <c r="G89" s="7">
        <v>1</v>
      </c>
      <c r="H89" s="1">
        <v>60</v>
      </c>
      <c r="I89" s="1" t="s">
        <v>36</v>
      </c>
      <c r="J89" s="1"/>
      <c r="K89" s="1">
        <v>442.5</v>
      </c>
      <c r="L89" s="1">
        <f t="shared" si="16"/>
        <v>-43.569000000000017</v>
      </c>
      <c r="M89" s="1"/>
      <c r="N89" s="1"/>
      <c r="O89" s="1">
        <v>450.59627999999998</v>
      </c>
      <c r="P89" s="1">
        <v>0</v>
      </c>
      <c r="Q89" s="1">
        <f t="shared" si="17"/>
        <v>79.786199999999994</v>
      </c>
      <c r="R89" s="5">
        <f t="shared" si="20"/>
        <v>167.40492</v>
      </c>
      <c r="S89" s="1">
        <f t="shared" si="18"/>
        <v>10.999999999999998</v>
      </c>
      <c r="T89" s="1">
        <f t="shared" si="19"/>
        <v>8.9018311437316218</v>
      </c>
      <c r="U89" s="1">
        <v>76.117800000000003</v>
      </c>
      <c r="V89" s="1">
        <v>90.596199999999996</v>
      </c>
      <c r="W89" s="1">
        <v>90.205799999999996</v>
      </c>
      <c r="X89" s="1">
        <v>76.264800000000008</v>
      </c>
      <c r="Y89" s="1">
        <v>80.529399999999995</v>
      </c>
      <c r="Z89" s="1">
        <v>76.1738</v>
      </c>
      <c r="AA89" s="1">
        <v>98.932400000000001</v>
      </c>
      <c r="AB89" s="1">
        <v>67.966399999999993</v>
      </c>
      <c r="AC89" s="1">
        <v>26.086600000000001</v>
      </c>
      <c r="AD89" s="1"/>
      <c r="AE89" s="1">
        <f>G89*R89</f>
        <v>167.40492</v>
      </c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x14ac:dyDescent="0.25">
      <c r="A90" s="1" t="s">
        <v>57</v>
      </c>
      <c r="B90" s="1" t="s">
        <v>35</v>
      </c>
      <c r="C90" s="1">
        <v>492.97500000000002</v>
      </c>
      <c r="D90" s="1">
        <v>1077.9190000000001</v>
      </c>
      <c r="E90" s="1">
        <v>788.26199999999994</v>
      </c>
      <c r="F90" s="12">
        <f>560.027+F21</f>
        <v>557.529</v>
      </c>
      <c r="G90" s="7">
        <v>1</v>
      </c>
      <c r="H90" s="1">
        <v>60</v>
      </c>
      <c r="I90" s="1" t="s">
        <v>36</v>
      </c>
      <c r="J90" s="1"/>
      <c r="K90" s="1">
        <v>825.5</v>
      </c>
      <c r="L90" s="1">
        <f t="shared" si="16"/>
        <v>-37.238000000000056</v>
      </c>
      <c r="M90" s="1"/>
      <c r="N90" s="1"/>
      <c r="O90" s="1">
        <v>300</v>
      </c>
      <c r="P90" s="1">
        <v>337.30391999999978</v>
      </c>
      <c r="Q90" s="1">
        <f t="shared" si="17"/>
        <v>157.6524</v>
      </c>
      <c r="R90" s="5">
        <f t="shared" si="20"/>
        <v>539.34348000000023</v>
      </c>
      <c r="S90" s="1">
        <f t="shared" si="18"/>
        <v>11</v>
      </c>
      <c r="T90" s="1">
        <f t="shared" si="19"/>
        <v>7.5789072668731956</v>
      </c>
      <c r="U90" s="1">
        <v>153.97900000000001</v>
      </c>
      <c r="V90" s="1">
        <v>126.3644</v>
      </c>
      <c r="W90" s="1">
        <v>133.12180000000001</v>
      </c>
      <c r="X90" s="1">
        <v>160.41480000000001</v>
      </c>
      <c r="Y90" s="1">
        <v>168.05799999999999</v>
      </c>
      <c r="Z90" s="1">
        <v>164.81059999999999</v>
      </c>
      <c r="AA90" s="1">
        <v>136.1634</v>
      </c>
      <c r="AB90" s="1">
        <v>154.62280000000001</v>
      </c>
      <c r="AC90" s="1">
        <v>109.41240000000001</v>
      </c>
      <c r="AD90" s="1"/>
      <c r="AE90" s="1">
        <f>G90*R90</f>
        <v>539.34348000000023</v>
      </c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x14ac:dyDescent="0.25">
      <c r="A91" s="9" t="s">
        <v>128</v>
      </c>
      <c r="B91" s="9" t="s">
        <v>35</v>
      </c>
      <c r="C91" s="9"/>
      <c r="D91" s="9"/>
      <c r="E91" s="9"/>
      <c r="F91" s="9"/>
      <c r="G91" s="10">
        <v>0</v>
      </c>
      <c r="H91" s="9"/>
      <c r="I91" s="9" t="s">
        <v>36</v>
      </c>
      <c r="J91" s="9"/>
      <c r="K91" s="9"/>
      <c r="L91" s="9">
        <f t="shared" si="16"/>
        <v>0</v>
      </c>
      <c r="M91" s="9"/>
      <c r="N91" s="9"/>
      <c r="O91" s="9">
        <v>0</v>
      </c>
      <c r="P91" s="9">
        <v>0</v>
      </c>
      <c r="Q91" s="9">
        <f t="shared" si="17"/>
        <v>0</v>
      </c>
      <c r="R91" s="11"/>
      <c r="S91" s="9" t="e">
        <f t="shared" si="18"/>
        <v>#DIV/0!</v>
      </c>
      <c r="T91" s="9" t="e">
        <f t="shared" si="19"/>
        <v>#DIV/0!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 t="s">
        <v>41</v>
      </c>
      <c r="AE91" s="9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x14ac:dyDescent="0.25">
      <c r="A92" s="1" t="s">
        <v>129</v>
      </c>
      <c r="B92" s="1" t="s">
        <v>40</v>
      </c>
      <c r="C92" s="1">
        <v>132</v>
      </c>
      <c r="D92" s="1">
        <v>54</v>
      </c>
      <c r="E92" s="1">
        <v>34</v>
      </c>
      <c r="F92" s="1">
        <v>146</v>
      </c>
      <c r="G92" s="7">
        <v>0.3</v>
      </c>
      <c r="H92" s="1">
        <v>40</v>
      </c>
      <c r="I92" s="1" t="s">
        <v>36</v>
      </c>
      <c r="J92" s="1"/>
      <c r="K92" s="1">
        <v>35</v>
      </c>
      <c r="L92" s="1">
        <f t="shared" si="16"/>
        <v>-1</v>
      </c>
      <c r="M92" s="1"/>
      <c r="N92" s="1"/>
      <c r="O92" s="1">
        <v>0</v>
      </c>
      <c r="P92" s="1">
        <v>0</v>
      </c>
      <c r="Q92" s="1">
        <f t="shared" si="17"/>
        <v>6.8</v>
      </c>
      <c r="R92" s="5"/>
      <c r="S92" s="1">
        <f t="shared" si="18"/>
        <v>21.47058823529412</v>
      </c>
      <c r="T92" s="1">
        <f t="shared" si="19"/>
        <v>21.47058823529412</v>
      </c>
      <c r="U92" s="1">
        <v>8</v>
      </c>
      <c r="V92" s="1">
        <v>4.8</v>
      </c>
      <c r="W92" s="1">
        <v>1.2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6" t="s">
        <v>53</v>
      </c>
      <c r="AE92" s="1">
        <f>G92*R92</f>
        <v>0</v>
      </c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x14ac:dyDescent="0.25">
      <c r="A93" s="9" t="s">
        <v>130</v>
      </c>
      <c r="B93" s="9" t="s">
        <v>40</v>
      </c>
      <c r="C93" s="9"/>
      <c r="D93" s="9"/>
      <c r="E93" s="9"/>
      <c r="F93" s="9"/>
      <c r="G93" s="10">
        <v>0</v>
      </c>
      <c r="H93" s="9"/>
      <c r="I93" s="9" t="s">
        <v>46</v>
      </c>
      <c r="J93" s="9"/>
      <c r="K93" s="9"/>
      <c r="L93" s="9">
        <f t="shared" si="16"/>
        <v>0</v>
      </c>
      <c r="M93" s="9"/>
      <c r="N93" s="9"/>
      <c r="O93" s="9">
        <v>0</v>
      </c>
      <c r="P93" s="9">
        <v>0</v>
      </c>
      <c r="Q93" s="9">
        <f t="shared" si="17"/>
        <v>0</v>
      </c>
      <c r="R93" s="11"/>
      <c r="S93" s="9" t="e">
        <f t="shared" si="18"/>
        <v>#DIV/0!</v>
      </c>
      <c r="T93" s="9" t="e">
        <f t="shared" si="19"/>
        <v>#DIV/0!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 t="s">
        <v>41</v>
      </c>
      <c r="AE93" s="9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x14ac:dyDescent="0.25">
      <c r="A94" s="1" t="s">
        <v>131</v>
      </c>
      <c r="B94" s="1" t="s">
        <v>40</v>
      </c>
      <c r="C94" s="1">
        <v>134</v>
      </c>
      <c r="D94" s="1">
        <v>90</v>
      </c>
      <c r="E94" s="1">
        <v>14</v>
      </c>
      <c r="F94" s="1">
        <v>205</v>
      </c>
      <c r="G94" s="7">
        <v>7.0000000000000007E-2</v>
      </c>
      <c r="H94" s="1">
        <v>90</v>
      </c>
      <c r="I94" s="1" t="s">
        <v>36</v>
      </c>
      <c r="J94" s="1"/>
      <c r="K94" s="1">
        <v>14</v>
      </c>
      <c r="L94" s="1">
        <f t="shared" si="16"/>
        <v>0</v>
      </c>
      <c r="M94" s="1"/>
      <c r="N94" s="1"/>
      <c r="O94" s="1">
        <v>0</v>
      </c>
      <c r="P94" s="1">
        <v>0</v>
      </c>
      <c r="Q94" s="1">
        <f t="shared" si="17"/>
        <v>2.8</v>
      </c>
      <c r="R94" s="5"/>
      <c r="S94" s="1">
        <f t="shared" si="18"/>
        <v>73.214285714285722</v>
      </c>
      <c r="T94" s="1">
        <f t="shared" si="19"/>
        <v>73.214285714285722</v>
      </c>
      <c r="U94" s="1">
        <v>3.4</v>
      </c>
      <c r="V94" s="1">
        <v>2</v>
      </c>
      <c r="W94" s="1">
        <v>0.6</v>
      </c>
      <c r="X94" s="1">
        <v>0.6</v>
      </c>
      <c r="Y94" s="1">
        <v>5.2</v>
      </c>
      <c r="Z94" s="1">
        <v>6</v>
      </c>
      <c r="AA94" s="1">
        <v>2</v>
      </c>
      <c r="AB94" s="1">
        <v>0.6</v>
      </c>
      <c r="AC94" s="1">
        <v>0</v>
      </c>
      <c r="AD94" s="16" t="s">
        <v>53</v>
      </c>
      <c r="AE94" s="1">
        <f>G94*R94</f>
        <v>0</v>
      </c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x14ac:dyDescent="0.25">
      <c r="A95" s="1" t="s">
        <v>132</v>
      </c>
      <c r="B95" s="1" t="s">
        <v>40</v>
      </c>
      <c r="C95" s="1">
        <v>71</v>
      </c>
      <c r="D95" s="1">
        <v>90</v>
      </c>
      <c r="E95" s="1">
        <v>22</v>
      </c>
      <c r="F95" s="1">
        <v>134</v>
      </c>
      <c r="G95" s="7">
        <v>7.0000000000000007E-2</v>
      </c>
      <c r="H95" s="1">
        <v>90</v>
      </c>
      <c r="I95" s="1" t="s">
        <v>36</v>
      </c>
      <c r="J95" s="1"/>
      <c r="K95" s="1">
        <v>22</v>
      </c>
      <c r="L95" s="1">
        <f t="shared" si="16"/>
        <v>0</v>
      </c>
      <c r="M95" s="1"/>
      <c r="N95" s="1"/>
      <c r="O95" s="1">
        <v>0</v>
      </c>
      <c r="P95" s="1">
        <v>0</v>
      </c>
      <c r="Q95" s="1">
        <f t="shared" si="17"/>
        <v>4.4000000000000004</v>
      </c>
      <c r="R95" s="5"/>
      <c r="S95" s="1">
        <f t="shared" si="18"/>
        <v>30.454545454545453</v>
      </c>
      <c r="T95" s="1">
        <f t="shared" si="19"/>
        <v>30.454545454545453</v>
      </c>
      <c r="U95" s="1">
        <v>4.8</v>
      </c>
      <c r="V95" s="1">
        <v>3.8</v>
      </c>
      <c r="W95" s="1">
        <v>1</v>
      </c>
      <c r="X95" s="1">
        <v>0</v>
      </c>
      <c r="Y95" s="1">
        <v>0</v>
      </c>
      <c r="Z95" s="1">
        <v>0</v>
      </c>
      <c r="AA95" s="1">
        <v>0.6</v>
      </c>
      <c r="AB95" s="1">
        <v>0.6</v>
      </c>
      <c r="AC95" s="1">
        <v>0</v>
      </c>
      <c r="AD95" s="16" t="s">
        <v>53</v>
      </c>
      <c r="AE95" s="1">
        <f>G95*R95</f>
        <v>0</v>
      </c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x14ac:dyDescent="0.25">
      <c r="A96" s="1" t="s">
        <v>133</v>
      </c>
      <c r="B96" s="1" t="s">
        <v>40</v>
      </c>
      <c r="C96" s="1">
        <v>77</v>
      </c>
      <c r="D96" s="1">
        <v>108</v>
      </c>
      <c r="E96" s="1">
        <v>20</v>
      </c>
      <c r="F96" s="1">
        <v>163</v>
      </c>
      <c r="G96" s="7">
        <v>7.0000000000000007E-2</v>
      </c>
      <c r="H96" s="1">
        <v>90</v>
      </c>
      <c r="I96" s="1" t="s">
        <v>36</v>
      </c>
      <c r="J96" s="1"/>
      <c r="K96" s="1">
        <v>20</v>
      </c>
      <c r="L96" s="1">
        <f t="shared" si="16"/>
        <v>0</v>
      </c>
      <c r="M96" s="1"/>
      <c r="N96" s="1"/>
      <c r="O96" s="1">
        <v>0</v>
      </c>
      <c r="P96" s="1">
        <v>0</v>
      </c>
      <c r="Q96" s="1">
        <f t="shared" si="17"/>
        <v>4</v>
      </c>
      <c r="R96" s="5"/>
      <c r="S96" s="1">
        <f t="shared" si="18"/>
        <v>40.75</v>
      </c>
      <c r="T96" s="1">
        <f t="shared" si="19"/>
        <v>40.75</v>
      </c>
      <c r="U96" s="1">
        <v>4</v>
      </c>
      <c r="V96" s="1">
        <v>4</v>
      </c>
      <c r="W96" s="1">
        <v>5</v>
      </c>
      <c r="X96" s="1">
        <v>8.8000000000000007</v>
      </c>
      <c r="Y96" s="1">
        <v>11</v>
      </c>
      <c r="Z96" s="1">
        <v>5.6</v>
      </c>
      <c r="AA96" s="1">
        <v>3.8</v>
      </c>
      <c r="AB96" s="1">
        <v>2.6</v>
      </c>
      <c r="AC96" s="1">
        <v>0.8</v>
      </c>
      <c r="AD96" s="16" t="s">
        <v>53</v>
      </c>
      <c r="AE96" s="1">
        <f>G96*R96</f>
        <v>0</v>
      </c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x14ac:dyDescent="0.25">
      <c r="A97" s="1" t="s">
        <v>134</v>
      </c>
      <c r="B97" s="1" t="s">
        <v>40</v>
      </c>
      <c r="C97" s="1">
        <v>34</v>
      </c>
      <c r="D97" s="1">
        <v>18</v>
      </c>
      <c r="E97" s="1">
        <v>9</v>
      </c>
      <c r="F97" s="1">
        <v>36</v>
      </c>
      <c r="G97" s="7">
        <v>0.3</v>
      </c>
      <c r="H97" s="1"/>
      <c r="I97" s="1" t="s">
        <v>36</v>
      </c>
      <c r="J97" s="1"/>
      <c r="K97" s="1">
        <v>11</v>
      </c>
      <c r="L97" s="1">
        <f t="shared" si="16"/>
        <v>-2</v>
      </c>
      <c r="M97" s="1"/>
      <c r="N97" s="1"/>
      <c r="O97" s="1">
        <v>0</v>
      </c>
      <c r="P97" s="1">
        <v>0</v>
      </c>
      <c r="Q97" s="1">
        <f t="shared" si="17"/>
        <v>1.8</v>
      </c>
      <c r="R97" s="5"/>
      <c r="S97" s="1">
        <f t="shared" si="18"/>
        <v>20</v>
      </c>
      <c r="T97" s="1">
        <f t="shared" si="19"/>
        <v>20</v>
      </c>
      <c r="U97" s="1">
        <v>2.4</v>
      </c>
      <c r="V97" s="1">
        <v>4.2</v>
      </c>
      <c r="W97" s="1">
        <v>3.4</v>
      </c>
      <c r="X97" s="1">
        <v>4</v>
      </c>
      <c r="Y97" s="1">
        <v>5.8</v>
      </c>
      <c r="Z97" s="1">
        <v>4.8</v>
      </c>
      <c r="AA97" s="1">
        <v>6</v>
      </c>
      <c r="AB97" s="1">
        <v>4</v>
      </c>
      <c r="AC97" s="1">
        <v>0</v>
      </c>
      <c r="AD97" s="15" t="s">
        <v>78</v>
      </c>
      <c r="AE97" s="1">
        <f>G97*R97</f>
        <v>0</v>
      </c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x14ac:dyDescent="0.25">
      <c r="A98" s="1" t="s">
        <v>135</v>
      </c>
      <c r="B98" s="1" t="s">
        <v>40</v>
      </c>
      <c r="C98" s="1">
        <v>65</v>
      </c>
      <c r="D98" s="1"/>
      <c r="E98" s="1"/>
      <c r="F98" s="1">
        <v>65</v>
      </c>
      <c r="G98" s="7">
        <v>0.11</v>
      </c>
      <c r="H98" s="1">
        <v>30</v>
      </c>
      <c r="I98" s="1" t="s">
        <v>36</v>
      </c>
      <c r="J98" s="1"/>
      <c r="K98" s="1">
        <v>52</v>
      </c>
      <c r="L98" s="1">
        <f t="shared" si="16"/>
        <v>-52</v>
      </c>
      <c r="M98" s="1"/>
      <c r="N98" s="1"/>
      <c r="O98" s="1">
        <v>0</v>
      </c>
      <c r="P98" s="1">
        <v>0</v>
      </c>
      <c r="Q98" s="1">
        <f t="shared" si="17"/>
        <v>0</v>
      </c>
      <c r="R98" s="5"/>
      <c r="S98" s="1" t="e">
        <f t="shared" si="18"/>
        <v>#DIV/0!</v>
      </c>
      <c r="T98" s="1" t="e">
        <f t="shared" si="19"/>
        <v>#DIV/0!</v>
      </c>
      <c r="U98" s="1">
        <v>-0.2</v>
      </c>
      <c r="V98" s="1">
        <v>-0.2</v>
      </c>
      <c r="W98" s="1">
        <v>0.2</v>
      </c>
      <c r="X98" s="1">
        <v>0.2</v>
      </c>
      <c r="Y98" s="1">
        <v>0.2</v>
      </c>
      <c r="Z98" s="1">
        <v>4.2</v>
      </c>
      <c r="AA98" s="1">
        <v>4</v>
      </c>
      <c r="AB98" s="1">
        <v>2</v>
      </c>
      <c r="AC98" s="1">
        <v>2</v>
      </c>
      <c r="AD98" s="16" t="s">
        <v>53</v>
      </c>
      <c r="AE98" s="1">
        <f>G98*R98</f>
        <v>0</v>
      </c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x14ac:dyDescent="0.25">
      <c r="A99" s="9" t="s">
        <v>136</v>
      </c>
      <c r="B99" s="9" t="s">
        <v>40</v>
      </c>
      <c r="C99" s="9"/>
      <c r="D99" s="9"/>
      <c r="E99" s="9"/>
      <c r="F99" s="9"/>
      <c r="G99" s="10">
        <v>0</v>
      </c>
      <c r="H99" s="9"/>
      <c r="I99" s="9" t="s">
        <v>36</v>
      </c>
      <c r="J99" s="9"/>
      <c r="K99" s="9"/>
      <c r="L99" s="9">
        <f t="shared" si="16"/>
        <v>0</v>
      </c>
      <c r="M99" s="9"/>
      <c r="N99" s="9"/>
      <c r="O99" s="9">
        <v>0</v>
      </c>
      <c r="P99" s="9">
        <v>0</v>
      </c>
      <c r="Q99" s="9">
        <f t="shared" si="17"/>
        <v>0</v>
      </c>
      <c r="R99" s="11"/>
      <c r="S99" s="9" t="e">
        <f t="shared" si="18"/>
        <v>#DIV/0!</v>
      </c>
      <c r="T99" s="9" t="e">
        <f t="shared" si="19"/>
        <v>#DIV/0!</v>
      </c>
      <c r="U99" s="9">
        <v>0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9" t="s">
        <v>41</v>
      </c>
      <c r="AE99" s="9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x14ac:dyDescent="0.25">
      <c r="A100" s="1" t="s">
        <v>137</v>
      </c>
      <c r="B100" s="1" t="s">
        <v>40</v>
      </c>
      <c r="C100" s="1">
        <v>48</v>
      </c>
      <c r="D100" s="1">
        <v>152</v>
      </c>
      <c r="E100" s="1">
        <v>47</v>
      </c>
      <c r="F100" s="1">
        <v>149</v>
      </c>
      <c r="G100" s="7">
        <v>0.08</v>
      </c>
      <c r="H100" s="1">
        <v>45</v>
      </c>
      <c r="I100" s="1" t="s">
        <v>36</v>
      </c>
      <c r="J100" s="1"/>
      <c r="K100" s="1">
        <v>49</v>
      </c>
      <c r="L100" s="1">
        <f t="shared" si="16"/>
        <v>-2</v>
      </c>
      <c r="M100" s="1"/>
      <c r="N100" s="1"/>
      <c r="O100" s="1">
        <v>0</v>
      </c>
      <c r="P100" s="1">
        <v>0</v>
      </c>
      <c r="Q100" s="1">
        <f t="shared" si="17"/>
        <v>9.4</v>
      </c>
      <c r="R100" s="5"/>
      <c r="S100" s="1">
        <f t="shared" si="18"/>
        <v>15.851063829787233</v>
      </c>
      <c r="T100" s="1">
        <f t="shared" si="19"/>
        <v>15.851063829787233</v>
      </c>
      <c r="U100" s="1">
        <v>10.199999999999999</v>
      </c>
      <c r="V100" s="1">
        <v>7.8</v>
      </c>
      <c r="W100" s="1">
        <v>11.2</v>
      </c>
      <c r="X100" s="1">
        <v>11</v>
      </c>
      <c r="Y100" s="1">
        <v>8.1999999999999993</v>
      </c>
      <c r="Z100" s="1">
        <v>3.4</v>
      </c>
      <c r="AA100" s="1">
        <v>0</v>
      </c>
      <c r="AB100" s="1">
        <v>0</v>
      </c>
      <c r="AC100" s="1">
        <v>-0.2</v>
      </c>
      <c r="AD100" s="1"/>
      <c r="AE100" s="1">
        <f t="shared" ref="AE100:AE105" si="21">G100*R100</f>
        <v>0</v>
      </c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x14ac:dyDescent="0.25">
      <c r="A101" s="1" t="s">
        <v>138</v>
      </c>
      <c r="B101" s="1" t="s">
        <v>40</v>
      </c>
      <c r="C101" s="1">
        <v>62</v>
      </c>
      <c r="D101" s="1">
        <v>110</v>
      </c>
      <c r="E101" s="1">
        <v>26</v>
      </c>
      <c r="F101" s="1">
        <v>144</v>
      </c>
      <c r="G101" s="7">
        <v>0.08</v>
      </c>
      <c r="H101" s="1">
        <v>45</v>
      </c>
      <c r="I101" s="1" t="s">
        <v>36</v>
      </c>
      <c r="J101" s="1"/>
      <c r="K101" s="1">
        <v>26</v>
      </c>
      <c r="L101" s="1">
        <f t="shared" si="16"/>
        <v>0</v>
      </c>
      <c r="M101" s="1"/>
      <c r="N101" s="1"/>
      <c r="O101" s="1">
        <v>0</v>
      </c>
      <c r="P101" s="1">
        <v>0</v>
      </c>
      <c r="Q101" s="1">
        <f t="shared" si="17"/>
        <v>5.2</v>
      </c>
      <c r="R101" s="5"/>
      <c r="S101" s="1">
        <f t="shared" si="18"/>
        <v>27.69230769230769</v>
      </c>
      <c r="T101" s="1">
        <f t="shared" si="19"/>
        <v>27.69230769230769</v>
      </c>
      <c r="U101" s="1">
        <v>4.5999999999999996</v>
      </c>
      <c r="V101" s="1">
        <v>1</v>
      </c>
      <c r="W101" s="1">
        <v>0.4</v>
      </c>
      <c r="X101" s="1">
        <v>8.1999999999999993</v>
      </c>
      <c r="Y101" s="1">
        <v>13.4</v>
      </c>
      <c r="Z101" s="1">
        <v>9.4</v>
      </c>
      <c r="AA101" s="1">
        <v>6.8</v>
      </c>
      <c r="AB101" s="1">
        <v>4</v>
      </c>
      <c r="AC101" s="1">
        <v>1</v>
      </c>
      <c r="AD101" s="16" t="s">
        <v>53</v>
      </c>
      <c r="AE101" s="1">
        <f t="shared" si="21"/>
        <v>0</v>
      </c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x14ac:dyDescent="0.25">
      <c r="A102" s="1" t="s">
        <v>139</v>
      </c>
      <c r="B102" s="1" t="s">
        <v>40</v>
      </c>
      <c r="C102" s="1">
        <v>21</v>
      </c>
      <c r="D102" s="1">
        <v>8</v>
      </c>
      <c r="E102" s="1">
        <v>7</v>
      </c>
      <c r="F102" s="1">
        <v>22</v>
      </c>
      <c r="G102" s="7">
        <v>0.17</v>
      </c>
      <c r="H102" s="1">
        <v>30</v>
      </c>
      <c r="I102" s="1" t="s">
        <v>36</v>
      </c>
      <c r="J102" s="1"/>
      <c r="K102" s="1">
        <v>27</v>
      </c>
      <c r="L102" s="1">
        <f t="shared" ref="L102:L133" si="22">E102-K102</f>
        <v>-20</v>
      </c>
      <c r="M102" s="1"/>
      <c r="N102" s="1"/>
      <c r="O102" s="1">
        <v>0</v>
      </c>
      <c r="P102" s="1">
        <v>0</v>
      </c>
      <c r="Q102" s="1">
        <f t="shared" ref="Q102:Q130" si="23">E102/5</f>
        <v>1.4</v>
      </c>
      <c r="R102" s="5"/>
      <c r="S102" s="1">
        <f t="shared" ref="S102:S133" si="24">(F102+O102+P102+R102)/Q102</f>
        <v>15.714285714285715</v>
      </c>
      <c r="T102" s="1">
        <f t="shared" ref="T102:T130" si="25">(F102+O102+P102)/Q102</f>
        <v>15.714285714285715</v>
      </c>
      <c r="U102" s="1">
        <v>1</v>
      </c>
      <c r="V102" s="1">
        <v>2</v>
      </c>
      <c r="W102" s="1">
        <v>2.2000000000000002</v>
      </c>
      <c r="X102" s="1">
        <v>2.2000000000000002</v>
      </c>
      <c r="Y102" s="1">
        <v>2</v>
      </c>
      <c r="Z102" s="1">
        <v>0</v>
      </c>
      <c r="AA102" s="1">
        <v>0</v>
      </c>
      <c r="AB102" s="1">
        <v>0</v>
      </c>
      <c r="AC102" s="1">
        <v>0</v>
      </c>
      <c r="AD102" s="15" t="s">
        <v>78</v>
      </c>
      <c r="AE102" s="1">
        <f t="shared" si="21"/>
        <v>0</v>
      </c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x14ac:dyDescent="0.25">
      <c r="A103" s="1" t="s">
        <v>140</v>
      </c>
      <c r="B103" s="1" t="s">
        <v>35</v>
      </c>
      <c r="C103" s="1">
        <v>167.577</v>
      </c>
      <c r="D103" s="1">
        <v>98.22</v>
      </c>
      <c r="E103" s="1">
        <v>78.076999999999998</v>
      </c>
      <c r="F103" s="1">
        <v>168.12899999999999</v>
      </c>
      <c r="G103" s="7">
        <v>1</v>
      </c>
      <c r="H103" s="1">
        <v>40</v>
      </c>
      <c r="I103" s="1" t="s">
        <v>36</v>
      </c>
      <c r="J103" s="1"/>
      <c r="K103" s="1">
        <v>79.900000000000006</v>
      </c>
      <c r="L103" s="1">
        <f t="shared" si="22"/>
        <v>-1.8230000000000075</v>
      </c>
      <c r="M103" s="1"/>
      <c r="N103" s="1"/>
      <c r="O103" s="1">
        <v>0</v>
      </c>
      <c r="P103" s="1">
        <v>0</v>
      </c>
      <c r="Q103" s="1">
        <f t="shared" si="23"/>
        <v>15.615399999999999</v>
      </c>
      <c r="R103" s="5">
        <f t="shared" ref="R100:R105" si="26">11*Q103-P103-O103-F103</f>
        <v>3.6403999999999996</v>
      </c>
      <c r="S103" s="1">
        <f t="shared" si="24"/>
        <v>11</v>
      </c>
      <c r="T103" s="1">
        <f t="shared" si="25"/>
        <v>10.766871165644172</v>
      </c>
      <c r="U103" s="1">
        <v>15.5924</v>
      </c>
      <c r="V103" s="1">
        <v>11.635199999999999</v>
      </c>
      <c r="W103" s="1">
        <v>5.8108000000000004</v>
      </c>
      <c r="X103" s="1">
        <v>6.2143999999999986</v>
      </c>
      <c r="Y103" s="1">
        <v>6.7900000000000009</v>
      </c>
      <c r="Z103" s="1">
        <v>2.7458</v>
      </c>
      <c r="AA103" s="1">
        <v>0</v>
      </c>
      <c r="AB103" s="1">
        <v>0</v>
      </c>
      <c r="AC103" s="1">
        <v>0</v>
      </c>
      <c r="AD103" s="1"/>
      <c r="AE103" s="1">
        <f t="shared" si="21"/>
        <v>3.6403999999999996</v>
      </c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x14ac:dyDescent="0.25">
      <c r="A104" s="1" t="s">
        <v>141</v>
      </c>
      <c r="B104" s="1" t="s">
        <v>35</v>
      </c>
      <c r="C104" s="1">
        <v>51.057000000000002</v>
      </c>
      <c r="D104" s="1">
        <v>136.334</v>
      </c>
      <c r="E104" s="1">
        <v>56.637</v>
      </c>
      <c r="F104" s="1">
        <v>124.261</v>
      </c>
      <c r="G104" s="7">
        <v>1</v>
      </c>
      <c r="H104" s="1">
        <v>40</v>
      </c>
      <c r="I104" s="1" t="s">
        <v>36</v>
      </c>
      <c r="J104" s="1"/>
      <c r="K104" s="1">
        <v>60.7</v>
      </c>
      <c r="L104" s="1">
        <f t="shared" si="22"/>
        <v>-4.0630000000000024</v>
      </c>
      <c r="M104" s="1"/>
      <c r="N104" s="1"/>
      <c r="O104" s="1">
        <v>50</v>
      </c>
      <c r="P104" s="1">
        <v>0</v>
      </c>
      <c r="Q104" s="1">
        <f t="shared" si="23"/>
        <v>11.327400000000001</v>
      </c>
      <c r="R104" s="5"/>
      <c r="S104" s="1">
        <f t="shared" si="24"/>
        <v>15.384024577572964</v>
      </c>
      <c r="T104" s="1">
        <f t="shared" si="25"/>
        <v>15.384024577572964</v>
      </c>
      <c r="U104" s="1">
        <v>9.4464000000000006</v>
      </c>
      <c r="V104" s="1">
        <v>9.4197999999999986</v>
      </c>
      <c r="W104" s="1">
        <v>15.959199999999999</v>
      </c>
      <c r="X104" s="1">
        <v>17.477399999999999</v>
      </c>
      <c r="Y104" s="1">
        <v>11.980600000000001</v>
      </c>
      <c r="Z104" s="1">
        <v>12.179600000000001</v>
      </c>
      <c r="AA104" s="1">
        <v>7.9207999999999998</v>
      </c>
      <c r="AB104" s="1">
        <v>2.3073999999999999</v>
      </c>
      <c r="AC104" s="1">
        <v>0</v>
      </c>
      <c r="AD104" s="15" t="s">
        <v>78</v>
      </c>
      <c r="AE104" s="1">
        <f t="shared" si="21"/>
        <v>0</v>
      </c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x14ac:dyDescent="0.25">
      <c r="A105" s="1" t="s">
        <v>142</v>
      </c>
      <c r="B105" s="1" t="s">
        <v>35</v>
      </c>
      <c r="C105" s="1">
        <v>58.537999999999997</v>
      </c>
      <c r="D105" s="1">
        <v>113.502</v>
      </c>
      <c r="E105" s="1">
        <v>44.936999999999998</v>
      </c>
      <c r="F105" s="1">
        <v>119.97</v>
      </c>
      <c r="G105" s="7">
        <v>1</v>
      </c>
      <c r="H105" s="1">
        <v>40</v>
      </c>
      <c r="I105" s="14" t="s">
        <v>46</v>
      </c>
      <c r="J105" s="1"/>
      <c r="K105" s="1">
        <v>46.9</v>
      </c>
      <c r="L105" s="1">
        <f t="shared" si="22"/>
        <v>-1.963000000000001</v>
      </c>
      <c r="M105" s="1"/>
      <c r="N105" s="1"/>
      <c r="O105" s="1">
        <v>50</v>
      </c>
      <c r="P105" s="1">
        <v>0</v>
      </c>
      <c r="Q105" s="1">
        <f t="shared" si="23"/>
        <v>8.9873999999999992</v>
      </c>
      <c r="R105" s="5"/>
      <c r="S105" s="1">
        <f t="shared" si="24"/>
        <v>18.912032400916839</v>
      </c>
      <c r="T105" s="1">
        <f t="shared" si="25"/>
        <v>18.912032400916839</v>
      </c>
      <c r="U105" s="1">
        <v>6.8426</v>
      </c>
      <c r="V105" s="1">
        <v>2.7746</v>
      </c>
      <c r="W105" s="1">
        <v>0.99499999999999988</v>
      </c>
      <c r="X105" s="1">
        <v>1.2778</v>
      </c>
      <c r="Y105" s="1">
        <v>0.2828</v>
      </c>
      <c r="Z105" s="1">
        <v>0</v>
      </c>
      <c r="AA105" s="1">
        <v>0</v>
      </c>
      <c r="AB105" s="1">
        <v>0</v>
      </c>
      <c r="AC105" s="1">
        <v>-0.14399999999999999</v>
      </c>
      <c r="AD105" s="15" t="s">
        <v>78</v>
      </c>
      <c r="AE105" s="1">
        <f t="shared" si="21"/>
        <v>0</v>
      </c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x14ac:dyDescent="0.25">
      <c r="A106" s="9" t="s">
        <v>143</v>
      </c>
      <c r="B106" s="9" t="s">
        <v>40</v>
      </c>
      <c r="C106" s="9"/>
      <c r="D106" s="9"/>
      <c r="E106" s="9"/>
      <c r="F106" s="9"/>
      <c r="G106" s="10">
        <v>0</v>
      </c>
      <c r="H106" s="9"/>
      <c r="I106" s="9" t="s">
        <v>36</v>
      </c>
      <c r="J106" s="9"/>
      <c r="K106" s="9"/>
      <c r="L106" s="9">
        <f t="shared" si="22"/>
        <v>0</v>
      </c>
      <c r="M106" s="9"/>
      <c r="N106" s="9"/>
      <c r="O106" s="9">
        <v>0</v>
      </c>
      <c r="P106" s="9">
        <v>0</v>
      </c>
      <c r="Q106" s="9">
        <f t="shared" si="23"/>
        <v>0</v>
      </c>
      <c r="R106" s="11"/>
      <c r="S106" s="9" t="e">
        <f t="shared" si="24"/>
        <v>#DIV/0!</v>
      </c>
      <c r="T106" s="9" t="e">
        <f t="shared" si="25"/>
        <v>#DIV/0!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9" t="s">
        <v>144</v>
      </c>
      <c r="AE106" s="9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x14ac:dyDescent="0.25">
      <c r="A107" s="1" t="s">
        <v>145</v>
      </c>
      <c r="B107" s="1" t="s">
        <v>40</v>
      </c>
      <c r="C107" s="1">
        <v>19</v>
      </c>
      <c r="D107" s="1"/>
      <c r="E107" s="1">
        <v>18</v>
      </c>
      <c r="F107" s="1">
        <v>-1</v>
      </c>
      <c r="G107" s="7">
        <v>0.28000000000000003</v>
      </c>
      <c r="H107" s="1">
        <v>40</v>
      </c>
      <c r="I107" s="14" t="s">
        <v>46</v>
      </c>
      <c r="J107" s="1"/>
      <c r="K107" s="1">
        <v>41</v>
      </c>
      <c r="L107" s="1">
        <f t="shared" si="22"/>
        <v>-23</v>
      </c>
      <c r="M107" s="1"/>
      <c r="N107" s="1"/>
      <c r="O107" s="1">
        <v>0</v>
      </c>
      <c r="P107" s="1">
        <v>16.599999999999991</v>
      </c>
      <c r="Q107" s="1">
        <f t="shared" si="23"/>
        <v>3.6</v>
      </c>
      <c r="R107" s="5">
        <v>30</v>
      </c>
      <c r="S107" s="1">
        <f t="shared" si="24"/>
        <v>12.666666666666664</v>
      </c>
      <c r="T107" s="1">
        <f t="shared" si="25"/>
        <v>4.3333333333333304</v>
      </c>
      <c r="U107" s="1">
        <v>3.8</v>
      </c>
      <c r="V107" s="1">
        <v>1.6</v>
      </c>
      <c r="W107" s="1">
        <v>0.4</v>
      </c>
      <c r="X107" s="1">
        <v>13.6</v>
      </c>
      <c r="Y107" s="1">
        <v>14.8</v>
      </c>
      <c r="Z107" s="1">
        <v>1.4</v>
      </c>
      <c r="AA107" s="1">
        <v>0</v>
      </c>
      <c r="AB107" s="1">
        <v>0</v>
      </c>
      <c r="AC107" s="1">
        <v>-0.4</v>
      </c>
      <c r="AD107" s="1"/>
      <c r="AE107" s="1">
        <f t="shared" ref="AE107:AE121" si="27">G107*R107</f>
        <v>8.4</v>
      </c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x14ac:dyDescent="0.25">
      <c r="A108" s="1" t="s">
        <v>146</v>
      </c>
      <c r="B108" s="1" t="s">
        <v>40</v>
      </c>
      <c r="C108" s="1">
        <v>133</v>
      </c>
      <c r="D108" s="1">
        <v>103</v>
      </c>
      <c r="E108" s="1">
        <v>70</v>
      </c>
      <c r="F108" s="1">
        <v>163</v>
      </c>
      <c r="G108" s="7">
        <v>0.28000000000000003</v>
      </c>
      <c r="H108" s="1">
        <v>40</v>
      </c>
      <c r="I108" s="14" t="s">
        <v>46</v>
      </c>
      <c r="J108" s="1"/>
      <c r="K108" s="1">
        <v>73</v>
      </c>
      <c r="L108" s="1">
        <f t="shared" si="22"/>
        <v>-3</v>
      </c>
      <c r="M108" s="1"/>
      <c r="N108" s="1"/>
      <c r="O108" s="1">
        <v>0</v>
      </c>
      <c r="P108" s="1">
        <v>0</v>
      </c>
      <c r="Q108" s="1">
        <f t="shared" si="23"/>
        <v>14</v>
      </c>
      <c r="R108" s="5"/>
      <c r="S108" s="1">
        <f t="shared" si="24"/>
        <v>11.642857142857142</v>
      </c>
      <c r="T108" s="1">
        <f t="shared" si="25"/>
        <v>11.642857142857142</v>
      </c>
      <c r="U108" s="1">
        <v>13.6</v>
      </c>
      <c r="V108" s="1">
        <v>11.2</v>
      </c>
      <c r="W108" s="1">
        <v>17.8</v>
      </c>
      <c r="X108" s="1">
        <v>15</v>
      </c>
      <c r="Y108" s="1">
        <v>16.2</v>
      </c>
      <c r="Z108" s="1">
        <v>26</v>
      </c>
      <c r="AA108" s="1">
        <v>15.2</v>
      </c>
      <c r="AB108" s="1">
        <v>1.2</v>
      </c>
      <c r="AC108" s="1">
        <v>0</v>
      </c>
      <c r="AD108" s="1"/>
      <c r="AE108" s="1">
        <f t="shared" si="27"/>
        <v>0</v>
      </c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x14ac:dyDescent="0.25">
      <c r="A109" s="1" t="s">
        <v>147</v>
      </c>
      <c r="B109" s="1" t="s">
        <v>40</v>
      </c>
      <c r="C109" s="1">
        <v>182</v>
      </c>
      <c r="D109" s="1">
        <v>67</v>
      </c>
      <c r="E109" s="1">
        <v>109</v>
      </c>
      <c r="F109" s="1">
        <v>138</v>
      </c>
      <c r="G109" s="7">
        <v>0.28000000000000003</v>
      </c>
      <c r="H109" s="1">
        <v>40</v>
      </c>
      <c r="I109" s="14" t="s">
        <v>46</v>
      </c>
      <c r="J109" s="1"/>
      <c r="K109" s="1">
        <v>114</v>
      </c>
      <c r="L109" s="1">
        <f t="shared" si="22"/>
        <v>-5</v>
      </c>
      <c r="M109" s="1"/>
      <c r="N109" s="1"/>
      <c r="O109" s="1">
        <v>0</v>
      </c>
      <c r="P109" s="1">
        <v>107.84</v>
      </c>
      <c r="Q109" s="1">
        <f t="shared" si="23"/>
        <v>21.8</v>
      </c>
      <c r="R109" s="5"/>
      <c r="S109" s="1">
        <f t="shared" si="24"/>
        <v>11.277064220183487</v>
      </c>
      <c r="T109" s="1">
        <f t="shared" si="25"/>
        <v>11.277064220183487</v>
      </c>
      <c r="U109" s="1">
        <v>23</v>
      </c>
      <c r="V109" s="1">
        <v>4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/>
      <c r="AE109" s="1">
        <f t="shared" si="27"/>
        <v>0</v>
      </c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x14ac:dyDescent="0.25">
      <c r="A110" s="1" t="s">
        <v>148</v>
      </c>
      <c r="B110" s="1" t="s">
        <v>40</v>
      </c>
      <c r="C110" s="1">
        <v>45</v>
      </c>
      <c r="D110" s="1">
        <v>30</v>
      </c>
      <c r="E110" s="1">
        <v>59</v>
      </c>
      <c r="F110" s="1">
        <v>14</v>
      </c>
      <c r="G110" s="7">
        <v>0.09</v>
      </c>
      <c r="H110" s="1">
        <v>45</v>
      </c>
      <c r="I110" s="1" t="s">
        <v>36</v>
      </c>
      <c r="J110" s="1"/>
      <c r="K110" s="1">
        <v>63</v>
      </c>
      <c r="L110" s="1">
        <f t="shared" si="22"/>
        <v>-4</v>
      </c>
      <c r="M110" s="1"/>
      <c r="N110" s="1"/>
      <c r="O110" s="1">
        <v>0</v>
      </c>
      <c r="P110" s="1">
        <v>77.039999999999992</v>
      </c>
      <c r="Q110" s="1">
        <f t="shared" si="23"/>
        <v>11.8</v>
      </c>
      <c r="R110" s="5">
        <f t="shared" ref="R107:R121" si="28">11*Q110-P110-O110-F110</f>
        <v>38.760000000000019</v>
      </c>
      <c r="S110" s="1">
        <f t="shared" si="24"/>
        <v>11</v>
      </c>
      <c r="T110" s="1">
        <f t="shared" si="25"/>
        <v>7.7152542372881348</v>
      </c>
      <c r="U110" s="1">
        <v>13</v>
      </c>
      <c r="V110" s="1">
        <v>1.6</v>
      </c>
      <c r="W110" s="1">
        <v>0.6</v>
      </c>
      <c r="X110" s="1">
        <v>3.2</v>
      </c>
      <c r="Y110" s="1">
        <v>4.2</v>
      </c>
      <c r="Z110" s="1">
        <v>3.8</v>
      </c>
      <c r="AA110" s="1">
        <v>3</v>
      </c>
      <c r="AB110" s="1">
        <v>0.8</v>
      </c>
      <c r="AC110" s="1">
        <v>0.8</v>
      </c>
      <c r="AD110" s="1"/>
      <c r="AE110" s="1">
        <f t="shared" si="27"/>
        <v>3.4884000000000017</v>
      </c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x14ac:dyDescent="0.25">
      <c r="A111" s="1" t="s">
        <v>149</v>
      </c>
      <c r="B111" s="1" t="s">
        <v>35</v>
      </c>
      <c r="C111" s="1">
        <v>24.73</v>
      </c>
      <c r="D111" s="1"/>
      <c r="E111" s="1">
        <v>24.792999999999999</v>
      </c>
      <c r="F111" s="1">
        <v>-5.0330000000000004</v>
      </c>
      <c r="G111" s="7">
        <v>1</v>
      </c>
      <c r="H111" s="1">
        <v>60</v>
      </c>
      <c r="I111" s="1" t="s">
        <v>36</v>
      </c>
      <c r="J111" s="1"/>
      <c r="K111" s="1">
        <v>25</v>
      </c>
      <c r="L111" s="1">
        <f t="shared" si="22"/>
        <v>-0.20700000000000074</v>
      </c>
      <c r="M111" s="1"/>
      <c r="N111" s="1"/>
      <c r="O111" s="1">
        <v>0</v>
      </c>
      <c r="P111" s="1">
        <v>34.971600000000002</v>
      </c>
      <c r="Q111" s="1">
        <f t="shared" si="23"/>
        <v>4.9585999999999997</v>
      </c>
      <c r="R111" s="5">
        <f t="shared" si="28"/>
        <v>24.605999999999995</v>
      </c>
      <c r="S111" s="1">
        <f t="shared" si="24"/>
        <v>11</v>
      </c>
      <c r="T111" s="1">
        <f t="shared" si="25"/>
        <v>6.0377122574920348</v>
      </c>
      <c r="U111" s="1">
        <v>5.3428000000000004</v>
      </c>
      <c r="V111" s="1">
        <v>0.88239999999999996</v>
      </c>
      <c r="W111" s="1">
        <v>0</v>
      </c>
      <c r="X111" s="1">
        <v>0</v>
      </c>
      <c r="Y111" s="1">
        <v>3.0287999999999999</v>
      </c>
      <c r="Z111" s="1">
        <v>5.5287999999999986</v>
      </c>
      <c r="AA111" s="1">
        <v>3</v>
      </c>
      <c r="AB111" s="1">
        <v>0.5</v>
      </c>
      <c r="AC111" s="1">
        <v>0</v>
      </c>
      <c r="AD111" s="1"/>
      <c r="AE111" s="1">
        <f t="shared" si="27"/>
        <v>24.605999999999995</v>
      </c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x14ac:dyDescent="0.25">
      <c r="A112" s="1" t="s">
        <v>150</v>
      </c>
      <c r="B112" s="1" t="s">
        <v>35</v>
      </c>
      <c r="C112" s="1">
        <v>19.890999999999998</v>
      </c>
      <c r="D112" s="1">
        <v>14.88</v>
      </c>
      <c r="E112" s="1">
        <v>9.9559999999999995</v>
      </c>
      <c r="F112" s="1">
        <v>14.874000000000001</v>
      </c>
      <c r="G112" s="7">
        <v>1</v>
      </c>
      <c r="H112" s="1">
        <v>50</v>
      </c>
      <c r="I112" s="1" t="s">
        <v>36</v>
      </c>
      <c r="J112" s="1"/>
      <c r="K112" s="1">
        <v>40</v>
      </c>
      <c r="L112" s="1">
        <f t="shared" si="22"/>
        <v>-30.044</v>
      </c>
      <c r="M112" s="1"/>
      <c r="N112" s="1"/>
      <c r="O112" s="1">
        <v>23.0562</v>
      </c>
      <c r="P112" s="1">
        <v>8.991000000000005</v>
      </c>
      <c r="Q112" s="1">
        <f t="shared" si="23"/>
        <v>1.9911999999999999</v>
      </c>
      <c r="R112" s="5"/>
      <c r="S112" s="1">
        <f t="shared" si="24"/>
        <v>23.564282844515876</v>
      </c>
      <c r="T112" s="1">
        <f t="shared" si="25"/>
        <v>23.564282844515876</v>
      </c>
      <c r="U112" s="1">
        <v>3.9984000000000002</v>
      </c>
      <c r="V112" s="1">
        <v>3.9977999999999998</v>
      </c>
      <c r="W112" s="1">
        <v>2.9937999999999998</v>
      </c>
      <c r="X112" s="1">
        <v>2.4958</v>
      </c>
      <c r="Y112" s="1">
        <v>0</v>
      </c>
      <c r="Z112" s="1">
        <v>2.0022000000000002</v>
      </c>
      <c r="AA112" s="1">
        <v>2.5017999999999998</v>
      </c>
      <c r="AB112" s="1">
        <v>0.49959999999999999</v>
      </c>
      <c r="AC112" s="1">
        <v>0</v>
      </c>
      <c r="AD112" s="15" t="s">
        <v>78</v>
      </c>
      <c r="AE112" s="1">
        <f t="shared" si="27"/>
        <v>0</v>
      </c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x14ac:dyDescent="0.25">
      <c r="A113" s="1" t="s">
        <v>151</v>
      </c>
      <c r="B113" s="1" t="s">
        <v>40</v>
      </c>
      <c r="C113" s="1">
        <v>19</v>
      </c>
      <c r="D113" s="1">
        <v>60</v>
      </c>
      <c r="E113" s="1">
        <v>20</v>
      </c>
      <c r="F113" s="1">
        <v>58</v>
      </c>
      <c r="G113" s="7">
        <v>0.09</v>
      </c>
      <c r="H113" s="1">
        <v>45</v>
      </c>
      <c r="I113" s="1" t="s">
        <v>36</v>
      </c>
      <c r="J113" s="1"/>
      <c r="K113" s="1">
        <v>20</v>
      </c>
      <c r="L113" s="1">
        <f t="shared" si="22"/>
        <v>0</v>
      </c>
      <c r="M113" s="1"/>
      <c r="N113" s="1"/>
      <c r="O113" s="1">
        <v>0</v>
      </c>
      <c r="P113" s="1">
        <v>0</v>
      </c>
      <c r="Q113" s="1">
        <f t="shared" si="23"/>
        <v>4</v>
      </c>
      <c r="R113" s="5"/>
      <c r="S113" s="1">
        <f t="shared" si="24"/>
        <v>14.5</v>
      </c>
      <c r="T113" s="1">
        <f t="shared" si="25"/>
        <v>14.5</v>
      </c>
      <c r="U113" s="1">
        <v>4.2</v>
      </c>
      <c r="V113" s="1">
        <v>0.2</v>
      </c>
      <c r="W113" s="1">
        <v>0</v>
      </c>
      <c r="X113" s="1">
        <v>4.5999999999999996</v>
      </c>
      <c r="Y113" s="1">
        <v>5</v>
      </c>
      <c r="Z113" s="1">
        <v>2.2000000000000002</v>
      </c>
      <c r="AA113" s="1">
        <v>1.8</v>
      </c>
      <c r="AB113" s="1">
        <v>4.2</v>
      </c>
      <c r="AC113" s="1">
        <v>4.5999999999999996</v>
      </c>
      <c r="AD113" s="1"/>
      <c r="AE113" s="1">
        <f t="shared" si="27"/>
        <v>0</v>
      </c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x14ac:dyDescent="0.25">
      <c r="A114" s="1" t="s">
        <v>152</v>
      </c>
      <c r="B114" s="1" t="s">
        <v>40</v>
      </c>
      <c r="C114" s="1">
        <v>49</v>
      </c>
      <c r="D114" s="1">
        <v>20</v>
      </c>
      <c r="E114" s="1">
        <v>53</v>
      </c>
      <c r="F114" s="1">
        <v>16</v>
      </c>
      <c r="G114" s="7">
        <v>0.09</v>
      </c>
      <c r="H114" s="1">
        <v>45</v>
      </c>
      <c r="I114" s="1" t="s">
        <v>36</v>
      </c>
      <c r="J114" s="1"/>
      <c r="K114" s="1">
        <v>53</v>
      </c>
      <c r="L114" s="1">
        <f t="shared" si="22"/>
        <v>0</v>
      </c>
      <c r="M114" s="1"/>
      <c r="N114" s="1"/>
      <c r="O114" s="1">
        <v>0</v>
      </c>
      <c r="P114" s="1">
        <v>60.464000000000013</v>
      </c>
      <c r="Q114" s="1">
        <f t="shared" si="23"/>
        <v>10.6</v>
      </c>
      <c r="R114" s="5">
        <f t="shared" si="28"/>
        <v>40.135999999999981</v>
      </c>
      <c r="S114" s="1">
        <f t="shared" si="24"/>
        <v>11</v>
      </c>
      <c r="T114" s="1">
        <f t="shared" si="25"/>
        <v>7.2135849056603787</v>
      </c>
      <c r="U114" s="1">
        <v>10.8</v>
      </c>
      <c r="V114" s="1">
        <v>0.2</v>
      </c>
      <c r="W114" s="1">
        <v>0</v>
      </c>
      <c r="X114" s="1">
        <v>2.4</v>
      </c>
      <c r="Y114" s="1">
        <v>3.2</v>
      </c>
      <c r="Z114" s="1">
        <v>4</v>
      </c>
      <c r="AA114" s="1">
        <v>2.8</v>
      </c>
      <c r="AB114" s="1">
        <v>0.2</v>
      </c>
      <c r="AC114" s="1">
        <v>0.6</v>
      </c>
      <c r="AD114" s="1"/>
      <c r="AE114" s="1">
        <f t="shared" si="27"/>
        <v>3.6122399999999981</v>
      </c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x14ac:dyDescent="0.25">
      <c r="A115" s="1" t="s">
        <v>153</v>
      </c>
      <c r="B115" s="1" t="s">
        <v>35</v>
      </c>
      <c r="C115" s="1">
        <v>46.972999999999999</v>
      </c>
      <c r="D115" s="1">
        <v>49.511000000000003</v>
      </c>
      <c r="E115" s="1">
        <v>9.6199999999999992</v>
      </c>
      <c r="F115" s="1">
        <v>85.489000000000004</v>
      </c>
      <c r="G115" s="7">
        <v>1</v>
      </c>
      <c r="H115" s="1">
        <v>60</v>
      </c>
      <c r="I115" s="1" t="s">
        <v>36</v>
      </c>
      <c r="J115" s="1"/>
      <c r="K115" s="1">
        <v>9.6999999999999993</v>
      </c>
      <c r="L115" s="1">
        <f t="shared" si="22"/>
        <v>-8.0000000000000071E-2</v>
      </c>
      <c r="M115" s="1"/>
      <c r="N115" s="1"/>
      <c r="O115" s="1">
        <v>15</v>
      </c>
      <c r="P115" s="1">
        <v>0</v>
      </c>
      <c r="Q115" s="1">
        <f t="shared" si="23"/>
        <v>1.9239999999999999</v>
      </c>
      <c r="R115" s="5"/>
      <c r="S115" s="1">
        <f t="shared" si="24"/>
        <v>52.229209979209983</v>
      </c>
      <c r="T115" s="1">
        <f t="shared" si="25"/>
        <v>52.229209979209983</v>
      </c>
      <c r="U115" s="1">
        <v>2.1934</v>
      </c>
      <c r="V115" s="1">
        <v>4.0129999999999999</v>
      </c>
      <c r="W115" s="1">
        <v>4.2946</v>
      </c>
      <c r="X115" s="1">
        <v>4.9442000000000004</v>
      </c>
      <c r="Y115" s="1">
        <v>4.3916000000000004</v>
      </c>
      <c r="Z115" s="1">
        <v>2.4704000000000002</v>
      </c>
      <c r="AA115" s="1">
        <v>2.1956000000000002</v>
      </c>
      <c r="AB115" s="1">
        <v>2.9826000000000001</v>
      </c>
      <c r="AC115" s="1">
        <v>2.9758</v>
      </c>
      <c r="AD115" s="16" t="s">
        <v>53</v>
      </c>
      <c r="AE115" s="1">
        <f t="shared" si="27"/>
        <v>0</v>
      </c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x14ac:dyDescent="0.25">
      <c r="A116" s="1" t="s">
        <v>154</v>
      </c>
      <c r="B116" s="1" t="s">
        <v>35</v>
      </c>
      <c r="C116" s="1">
        <v>78.405000000000001</v>
      </c>
      <c r="D116" s="1">
        <v>135.95599999999999</v>
      </c>
      <c r="E116" s="1">
        <v>45.383000000000003</v>
      </c>
      <c r="F116" s="1">
        <v>159.33600000000001</v>
      </c>
      <c r="G116" s="7">
        <v>1</v>
      </c>
      <c r="H116" s="1">
        <v>60</v>
      </c>
      <c r="I116" s="1" t="s">
        <v>36</v>
      </c>
      <c r="J116" s="1"/>
      <c r="K116" s="1">
        <v>44.7</v>
      </c>
      <c r="L116" s="1">
        <f t="shared" si="22"/>
        <v>0.68299999999999983</v>
      </c>
      <c r="M116" s="1"/>
      <c r="N116" s="1"/>
      <c r="O116" s="1">
        <v>60</v>
      </c>
      <c r="P116" s="1">
        <v>0</v>
      </c>
      <c r="Q116" s="1">
        <f t="shared" si="23"/>
        <v>9.0766000000000009</v>
      </c>
      <c r="R116" s="5"/>
      <c r="S116" s="1">
        <f t="shared" si="24"/>
        <v>24.164995703236894</v>
      </c>
      <c r="T116" s="1">
        <f t="shared" si="25"/>
        <v>24.164995703236894</v>
      </c>
      <c r="U116" s="1">
        <v>10.1952</v>
      </c>
      <c r="V116" s="1">
        <v>12.6656</v>
      </c>
      <c r="W116" s="1">
        <v>14.0534</v>
      </c>
      <c r="X116" s="1">
        <v>14.257400000000001</v>
      </c>
      <c r="Y116" s="1">
        <v>11.395</v>
      </c>
      <c r="Z116" s="1">
        <v>10.089399999999999</v>
      </c>
      <c r="AA116" s="1">
        <v>12.381</v>
      </c>
      <c r="AB116" s="1">
        <v>7.4349999999999996</v>
      </c>
      <c r="AC116" s="1">
        <v>1.6252</v>
      </c>
      <c r="AD116" s="16" t="s">
        <v>53</v>
      </c>
      <c r="AE116" s="1">
        <f t="shared" si="27"/>
        <v>0</v>
      </c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x14ac:dyDescent="0.25">
      <c r="A117" s="1" t="s">
        <v>155</v>
      </c>
      <c r="B117" s="1" t="s">
        <v>35</v>
      </c>
      <c r="C117" s="1">
        <v>30.699000000000002</v>
      </c>
      <c r="D117" s="1">
        <v>33.063000000000002</v>
      </c>
      <c r="E117" s="1">
        <v>5.5019999999999998</v>
      </c>
      <c r="F117" s="1">
        <v>58.26</v>
      </c>
      <c r="G117" s="7">
        <v>1</v>
      </c>
      <c r="H117" s="1">
        <v>60</v>
      </c>
      <c r="I117" s="1" t="s">
        <v>36</v>
      </c>
      <c r="J117" s="1"/>
      <c r="K117" s="1">
        <v>5.3</v>
      </c>
      <c r="L117" s="1">
        <f t="shared" si="22"/>
        <v>0.20199999999999996</v>
      </c>
      <c r="M117" s="1"/>
      <c r="N117" s="1"/>
      <c r="O117" s="1">
        <v>0</v>
      </c>
      <c r="P117" s="1">
        <v>0</v>
      </c>
      <c r="Q117" s="1">
        <f t="shared" si="23"/>
        <v>1.1004</v>
      </c>
      <c r="R117" s="5"/>
      <c r="S117" s="1">
        <f t="shared" si="24"/>
        <v>52.944383860414391</v>
      </c>
      <c r="T117" s="1">
        <f t="shared" si="25"/>
        <v>52.944383860414391</v>
      </c>
      <c r="U117" s="1">
        <v>1.103</v>
      </c>
      <c r="V117" s="1">
        <v>0.45179999999999998</v>
      </c>
      <c r="W117" s="1">
        <v>0.44900000000000001</v>
      </c>
      <c r="X117" s="1">
        <v>2.4214000000000002</v>
      </c>
      <c r="Y117" s="1">
        <v>2.9722</v>
      </c>
      <c r="Z117" s="1">
        <v>1.8866000000000001</v>
      </c>
      <c r="AA117" s="1">
        <v>1.3388</v>
      </c>
      <c r="AB117" s="1">
        <v>2.1850000000000001</v>
      </c>
      <c r="AC117" s="1">
        <v>1.911</v>
      </c>
      <c r="AD117" s="16" t="s">
        <v>53</v>
      </c>
      <c r="AE117" s="1">
        <f t="shared" si="27"/>
        <v>0</v>
      </c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x14ac:dyDescent="0.25">
      <c r="A118" s="1" t="s">
        <v>156</v>
      </c>
      <c r="B118" s="1" t="s">
        <v>35</v>
      </c>
      <c r="C118" s="1">
        <v>460.26799999999997</v>
      </c>
      <c r="D118" s="1">
        <v>420.64699999999999</v>
      </c>
      <c r="E118" s="1">
        <v>317.56599999999997</v>
      </c>
      <c r="F118" s="1">
        <v>472.42</v>
      </c>
      <c r="G118" s="7">
        <v>1</v>
      </c>
      <c r="H118" s="1">
        <v>60</v>
      </c>
      <c r="I118" s="1" t="s">
        <v>36</v>
      </c>
      <c r="J118" s="1"/>
      <c r="K118" s="1">
        <v>325.07900000000001</v>
      </c>
      <c r="L118" s="1">
        <f t="shared" si="22"/>
        <v>-7.5130000000000337</v>
      </c>
      <c r="M118" s="1"/>
      <c r="N118" s="1"/>
      <c r="O118" s="1">
        <v>330.23947999999979</v>
      </c>
      <c r="P118" s="1">
        <v>0</v>
      </c>
      <c r="Q118" s="1">
        <f t="shared" si="23"/>
        <v>63.513199999999998</v>
      </c>
      <c r="R118" s="5"/>
      <c r="S118" s="1">
        <f t="shared" si="24"/>
        <v>12.637679726419073</v>
      </c>
      <c r="T118" s="1">
        <f t="shared" si="25"/>
        <v>12.637679726419073</v>
      </c>
      <c r="U118" s="1">
        <v>70.640999999999991</v>
      </c>
      <c r="V118" s="1">
        <v>88.936199999999999</v>
      </c>
      <c r="W118" s="1">
        <v>91.3386</v>
      </c>
      <c r="X118" s="1">
        <v>70.101199999999992</v>
      </c>
      <c r="Y118" s="1">
        <v>70.0642</v>
      </c>
      <c r="Z118" s="1">
        <v>68.50160000000001</v>
      </c>
      <c r="AA118" s="1">
        <v>70.50160000000001</v>
      </c>
      <c r="AB118" s="1">
        <v>132.61420000000001</v>
      </c>
      <c r="AC118" s="1">
        <v>90.657399999999996</v>
      </c>
      <c r="AD118" s="1"/>
      <c r="AE118" s="1">
        <f t="shared" si="27"/>
        <v>0</v>
      </c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x14ac:dyDescent="0.25">
      <c r="A119" s="1" t="s">
        <v>157</v>
      </c>
      <c r="B119" s="1" t="s">
        <v>40</v>
      </c>
      <c r="C119" s="1">
        <v>246</v>
      </c>
      <c r="D119" s="1"/>
      <c r="E119" s="1"/>
      <c r="F119" s="1">
        <v>246</v>
      </c>
      <c r="G119" s="7">
        <v>0.25</v>
      </c>
      <c r="H119" s="1">
        <v>1096</v>
      </c>
      <c r="I119" s="1" t="s">
        <v>36</v>
      </c>
      <c r="J119" s="1"/>
      <c r="K119" s="1"/>
      <c r="L119" s="1">
        <f t="shared" si="22"/>
        <v>0</v>
      </c>
      <c r="M119" s="1"/>
      <c r="N119" s="1"/>
      <c r="O119" s="1">
        <v>0</v>
      </c>
      <c r="P119" s="1">
        <v>0</v>
      </c>
      <c r="Q119" s="1">
        <f t="shared" si="23"/>
        <v>0</v>
      </c>
      <c r="R119" s="5"/>
      <c r="S119" s="1" t="e">
        <f t="shared" si="24"/>
        <v>#DIV/0!</v>
      </c>
      <c r="T119" s="1" t="e">
        <f t="shared" si="25"/>
        <v>#DIV/0!</v>
      </c>
      <c r="U119" s="1">
        <v>0</v>
      </c>
      <c r="V119" s="1">
        <v>0.2</v>
      </c>
      <c r="W119" s="1">
        <v>1.2</v>
      </c>
      <c r="X119" s="1">
        <v>1.6</v>
      </c>
      <c r="Y119" s="1">
        <v>4.4000000000000004</v>
      </c>
      <c r="Z119" s="1">
        <v>6.4</v>
      </c>
      <c r="AA119" s="1">
        <v>3</v>
      </c>
      <c r="AB119" s="1">
        <v>1</v>
      </c>
      <c r="AC119" s="1">
        <v>0.6</v>
      </c>
      <c r="AD119" s="16" t="s">
        <v>53</v>
      </c>
      <c r="AE119" s="1">
        <f t="shared" si="27"/>
        <v>0</v>
      </c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x14ac:dyDescent="0.25">
      <c r="A120" s="1" t="s">
        <v>158</v>
      </c>
      <c r="B120" s="1" t="s">
        <v>40</v>
      </c>
      <c r="C120" s="1">
        <v>145</v>
      </c>
      <c r="D120" s="1"/>
      <c r="E120" s="1"/>
      <c r="F120" s="1">
        <v>145</v>
      </c>
      <c r="G120" s="7">
        <v>0.32500000000000001</v>
      </c>
      <c r="H120" s="1">
        <v>1096</v>
      </c>
      <c r="I120" s="1" t="s">
        <v>36</v>
      </c>
      <c r="J120" s="1"/>
      <c r="K120" s="1"/>
      <c r="L120" s="1">
        <f t="shared" si="22"/>
        <v>0</v>
      </c>
      <c r="M120" s="1"/>
      <c r="N120" s="1"/>
      <c r="O120" s="1">
        <v>0</v>
      </c>
      <c r="P120" s="1">
        <v>0</v>
      </c>
      <c r="Q120" s="1">
        <f t="shared" si="23"/>
        <v>0</v>
      </c>
      <c r="R120" s="5"/>
      <c r="S120" s="1" t="e">
        <f t="shared" si="24"/>
        <v>#DIV/0!</v>
      </c>
      <c r="T120" s="1" t="e">
        <f t="shared" si="25"/>
        <v>#DIV/0!</v>
      </c>
      <c r="U120" s="1">
        <v>0</v>
      </c>
      <c r="V120" s="1">
        <v>0</v>
      </c>
      <c r="W120" s="1">
        <v>2</v>
      </c>
      <c r="X120" s="1">
        <v>2</v>
      </c>
      <c r="Y120" s="1">
        <v>3.4</v>
      </c>
      <c r="Z120" s="1">
        <v>7.2</v>
      </c>
      <c r="AA120" s="1">
        <v>3.2</v>
      </c>
      <c r="AB120" s="1">
        <v>3</v>
      </c>
      <c r="AC120" s="1">
        <v>3.4</v>
      </c>
      <c r="AD120" s="16" t="s">
        <v>53</v>
      </c>
      <c r="AE120" s="1">
        <f t="shared" si="27"/>
        <v>0</v>
      </c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x14ac:dyDescent="0.25">
      <c r="A121" s="1" t="s">
        <v>159</v>
      </c>
      <c r="B121" s="1" t="s">
        <v>40</v>
      </c>
      <c r="C121" s="1">
        <v>150</v>
      </c>
      <c r="D121" s="1"/>
      <c r="E121" s="1">
        <v>5</v>
      </c>
      <c r="F121" s="1">
        <v>145</v>
      </c>
      <c r="G121" s="7">
        <v>0.25</v>
      </c>
      <c r="H121" s="1">
        <v>1096</v>
      </c>
      <c r="I121" s="1" t="s">
        <v>36</v>
      </c>
      <c r="J121" s="1"/>
      <c r="K121" s="1">
        <v>5</v>
      </c>
      <c r="L121" s="1">
        <f t="shared" si="22"/>
        <v>0</v>
      </c>
      <c r="M121" s="1"/>
      <c r="N121" s="1"/>
      <c r="O121" s="1">
        <v>0</v>
      </c>
      <c r="P121" s="1">
        <v>0</v>
      </c>
      <c r="Q121" s="1">
        <f t="shared" si="23"/>
        <v>1</v>
      </c>
      <c r="R121" s="5"/>
      <c r="S121" s="1">
        <f t="shared" si="24"/>
        <v>145</v>
      </c>
      <c r="T121" s="1">
        <f t="shared" si="25"/>
        <v>145</v>
      </c>
      <c r="U121" s="1">
        <v>0</v>
      </c>
      <c r="V121" s="1">
        <v>0.2</v>
      </c>
      <c r="W121" s="1">
        <v>0.2</v>
      </c>
      <c r="X121" s="1">
        <v>0</v>
      </c>
      <c r="Y121" s="1">
        <v>4</v>
      </c>
      <c r="Z121" s="1">
        <v>7.8</v>
      </c>
      <c r="AA121" s="1">
        <v>4.2</v>
      </c>
      <c r="AB121" s="1">
        <v>3</v>
      </c>
      <c r="AC121" s="1">
        <v>2.4</v>
      </c>
      <c r="AD121" s="16" t="s">
        <v>53</v>
      </c>
      <c r="AE121" s="1">
        <f t="shared" si="27"/>
        <v>0</v>
      </c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x14ac:dyDescent="0.25">
      <c r="A122" s="9" t="s">
        <v>160</v>
      </c>
      <c r="B122" s="9" t="s">
        <v>35</v>
      </c>
      <c r="C122" s="9">
        <v>-2.7839999999999998</v>
      </c>
      <c r="D122" s="9"/>
      <c r="E122" s="9"/>
      <c r="F122" s="9">
        <v>-2.7839999999999998</v>
      </c>
      <c r="G122" s="10">
        <v>0</v>
      </c>
      <c r="H122" s="9"/>
      <c r="I122" s="9" t="s">
        <v>56</v>
      </c>
      <c r="J122" s="9"/>
      <c r="K122" s="9">
        <v>3</v>
      </c>
      <c r="L122" s="9">
        <f t="shared" si="22"/>
        <v>-3</v>
      </c>
      <c r="M122" s="9"/>
      <c r="N122" s="9"/>
      <c r="O122" s="9">
        <v>0</v>
      </c>
      <c r="P122" s="9">
        <v>0</v>
      </c>
      <c r="Q122" s="9">
        <f t="shared" si="23"/>
        <v>0</v>
      </c>
      <c r="R122" s="11"/>
      <c r="S122" s="9" t="e">
        <f t="shared" si="24"/>
        <v>#DIV/0!</v>
      </c>
      <c r="T122" s="9" t="e">
        <f t="shared" si="25"/>
        <v>#DIV/0!</v>
      </c>
      <c r="U122" s="9">
        <v>2.4041999999999999</v>
      </c>
      <c r="V122" s="9">
        <v>2.883</v>
      </c>
      <c r="W122" s="9">
        <v>1.5528</v>
      </c>
      <c r="X122" s="9">
        <v>1.0740000000000001</v>
      </c>
      <c r="Y122" s="9">
        <v>0</v>
      </c>
      <c r="Z122" s="9">
        <v>0</v>
      </c>
      <c r="AA122" s="9">
        <v>0</v>
      </c>
      <c r="AB122" s="9">
        <v>0</v>
      </c>
      <c r="AC122" s="9">
        <v>0</v>
      </c>
      <c r="AD122" s="9"/>
      <c r="AE122" s="9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x14ac:dyDescent="0.25">
      <c r="A123" s="9" t="s">
        <v>161</v>
      </c>
      <c r="B123" s="9" t="s">
        <v>35</v>
      </c>
      <c r="C123" s="9"/>
      <c r="D123" s="9"/>
      <c r="E123" s="9"/>
      <c r="F123" s="9"/>
      <c r="G123" s="10">
        <v>0</v>
      </c>
      <c r="H123" s="9"/>
      <c r="I123" s="9" t="s">
        <v>36</v>
      </c>
      <c r="J123" s="9"/>
      <c r="K123" s="9"/>
      <c r="L123" s="9">
        <f t="shared" si="22"/>
        <v>0</v>
      </c>
      <c r="M123" s="9"/>
      <c r="N123" s="9"/>
      <c r="O123" s="9">
        <v>0</v>
      </c>
      <c r="P123" s="9">
        <v>0</v>
      </c>
      <c r="Q123" s="9">
        <f t="shared" si="23"/>
        <v>0</v>
      </c>
      <c r="R123" s="11"/>
      <c r="S123" s="9" t="e">
        <f t="shared" si="24"/>
        <v>#DIV/0!</v>
      </c>
      <c r="T123" s="9" t="e">
        <f t="shared" si="25"/>
        <v>#DIV/0!</v>
      </c>
      <c r="U123" s="9">
        <v>0</v>
      </c>
      <c r="V123" s="9">
        <v>0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v>0</v>
      </c>
      <c r="AC123" s="9">
        <v>0</v>
      </c>
      <c r="AD123" s="9" t="s">
        <v>41</v>
      </c>
      <c r="AE123" s="9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x14ac:dyDescent="0.25">
      <c r="A124" s="1" t="s">
        <v>162</v>
      </c>
      <c r="B124" s="1" t="s">
        <v>40</v>
      </c>
      <c r="C124" s="1">
        <v>125</v>
      </c>
      <c r="D124" s="1">
        <v>115</v>
      </c>
      <c r="E124" s="1">
        <v>41</v>
      </c>
      <c r="F124" s="1">
        <v>190</v>
      </c>
      <c r="G124" s="7">
        <v>0.3</v>
      </c>
      <c r="H124" s="1">
        <v>40</v>
      </c>
      <c r="I124" s="1" t="s">
        <v>36</v>
      </c>
      <c r="J124" s="1"/>
      <c r="K124" s="1">
        <v>44</v>
      </c>
      <c r="L124" s="1">
        <f t="shared" si="22"/>
        <v>-3</v>
      </c>
      <c r="M124" s="1"/>
      <c r="N124" s="1"/>
      <c r="O124" s="1">
        <v>30</v>
      </c>
      <c r="P124" s="1">
        <v>0</v>
      </c>
      <c r="Q124" s="1">
        <f t="shared" si="23"/>
        <v>8.1999999999999993</v>
      </c>
      <c r="R124" s="5"/>
      <c r="S124" s="1">
        <f t="shared" si="24"/>
        <v>26.829268292682929</v>
      </c>
      <c r="T124" s="1">
        <f t="shared" si="25"/>
        <v>26.829268292682929</v>
      </c>
      <c r="U124" s="1">
        <v>9</v>
      </c>
      <c r="V124" s="1">
        <v>8.6</v>
      </c>
      <c r="W124" s="1">
        <v>4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-0.2</v>
      </c>
      <c r="AD124" s="16" t="s">
        <v>53</v>
      </c>
      <c r="AE124" s="1">
        <f>G124*R124</f>
        <v>0</v>
      </c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x14ac:dyDescent="0.25">
      <c r="A125" s="1" t="s">
        <v>163</v>
      </c>
      <c r="B125" s="1" t="s">
        <v>40</v>
      </c>
      <c r="C125" s="1">
        <v>128</v>
      </c>
      <c r="D125" s="1">
        <v>115</v>
      </c>
      <c r="E125" s="1">
        <v>39</v>
      </c>
      <c r="F125" s="1">
        <v>195</v>
      </c>
      <c r="G125" s="7">
        <v>0.3</v>
      </c>
      <c r="H125" s="1">
        <v>40</v>
      </c>
      <c r="I125" s="1" t="s">
        <v>36</v>
      </c>
      <c r="J125" s="1"/>
      <c r="K125" s="1">
        <v>44</v>
      </c>
      <c r="L125" s="1">
        <f t="shared" si="22"/>
        <v>-5</v>
      </c>
      <c r="M125" s="1"/>
      <c r="N125" s="1"/>
      <c r="O125" s="1">
        <v>30</v>
      </c>
      <c r="P125" s="1">
        <v>0</v>
      </c>
      <c r="Q125" s="1">
        <f t="shared" si="23"/>
        <v>7.8</v>
      </c>
      <c r="R125" s="5"/>
      <c r="S125" s="1">
        <f t="shared" si="24"/>
        <v>28.846153846153847</v>
      </c>
      <c r="T125" s="1">
        <f t="shared" si="25"/>
        <v>28.846153846153847</v>
      </c>
      <c r="U125" s="1">
        <v>8</v>
      </c>
      <c r="V125" s="1">
        <v>8</v>
      </c>
      <c r="W125" s="1">
        <v>4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6" t="s">
        <v>53</v>
      </c>
      <c r="AE125" s="1">
        <f>G125*R125</f>
        <v>0</v>
      </c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x14ac:dyDescent="0.25">
      <c r="A126" s="1" t="s">
        <v>164</v>
      </c>
      <c r="B126" s="1" t="s">
        <v>35</v>
      </c>
      <c r="C126" s="1">
        <v>8.9999999999999993E-3</v>
      </c>
      <c r="D126" s="1">
        <v>41.655000000000001</v>
      </c>
      <c r="E126" s="1">
        <v>12.391999999999999</v>
      </c>
      <c r="F126" s="1">
        <v>19.579000000000001</v>
      </c>
      <c r="G126" s="7">
        <v>1</v>
      </c>
      <c r="H126" s="1">
        <v>50</v>
      </c>
      <c r="I126" s="14" t="s">
        <v>46</v>
      </c>
      <c r="J126" s="1"/>
      <c r="K126" s="1">
        <v>19.5</v>
      </c>
      <c r="L126" s="1">
        <f t="shared" si="22"/>
        <v>-7.1080000000000005</v>
      </c>
      <c r="M126" s="1"/>
      <c r="N126" s="1"/>
      <c r="O126" s="1">
        <v>4</v>
      </c>
      <c r="P126" s="1">
        <v>0</v>
      </c>
      <c r="Q126" s="1">
        <f t="shared" si="23"/>
        <v>2.4783999999999997</v>
      </c>
      <c r="R126" s="5">
        <f t="shared" ref="R124:R128" si="29">11*Q126-P126-O126-F126</f>
        <v>3.6833999999999953</v>
      </c>
      <c r="S126" s="1">
        <f t="shared" si="24"/>
        <v>11</v>
      </c>
      <c r="T126" s="1">
        <f t="shared" si="25"/>
        <v>9.5137992253066503</v>
      </c>
      <c r="U126" s="1">
        <v>0.82440000000000002</v>
      </c>
      <c r="V126" s="1">
        <v>2.2002000000000002</v>
      </c>
      <c r="W126" s="1">
        <v>1.9244000000000001</v>
      </c>
      <c r="X126" s="1">
        <v>2.4641999999999999</v>
      </c>
      <c r="Y126" s="1">
        <v>2.7404000000000002</v>
      </c>
      <c r="Z126" s="1">
        <v>0.82479999999999998</v>
      </c>
      <c r="AA126" s="1">
        <v>0</v>
      </c>
      <c r="AB126" s="1">
        <v>0</v>
      </c>
      <c r="AC126" s="1">
        <v>-0.1072</v>
      </c>
      <c r="AD126" s="1"/>
      <c r="AE126" s="1">
        <f>G126*R126</f>
        <v>3.6833999999999953</v>
      </c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x14ac:dyDescent="0.25">
      <c r="A127" s="1" t="s">
        <v>165</v>
      </c>
      <c r="B127" s="1" t="s">
        <v>40</v>
      </c>
      <c r="C127" s="1">
        <v>100</v>
      </c>
      <c r="D127" s="1">
        <v>156</v>
      </c>
      <c r="E127" s="1">
        <v>9</v>
      </c>
      <c r="F127" s="1">
        <v>242</v>
      </c>
      <c r="G127" s="7">
        <v>0.3</v>
      </c>
      <c r="H127" s="1">
        <v>40</v>
      </c>
      <c r="I127" s="1" t="s">
        <v>36</v>
      </c>
      <c r="J127" s="1"/>
      <c r="K127" s="1">
        <v>9</v>
      </c>
      <c r="L127" s="1">
        <f t="shared" si="22"/>
        <v>0</v>
      </c>
      <c r="M127" s="1"/>
      <c r="N127" s="1"/>
      <c r="O127" s="1">
        <v>0</v>
      </c>
      <c r="P127" s="1">
        <v>0</v>
      </c>
      <c r="Q127" s="1">
        <f t="shared" si="23"/>
        <v>1.8</v>
      </c>
      <c r="R127" s="5"/>
      <c r="S127" s="1">
        <f t="shared" si="24"/>
        <v>134.44444444444443</v>
      </c>
      <c r="T127" s="1">
        <f t="shared" si="25"/>
        <v>134.44444444444443</v>
      </c>
      <c r="U127" s="1">
        <v>1.2</v>
      </c>
      <c r="V127" s="1">
        <v>0.4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6" t="s">
        <v>53</v>
      </c>
      <c r="AE127" s="1">
        <f>G127*R127</f>
        <v>0</v>
      </c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x14ac:dyDescent="0.25">
      <c r="A128" s="1" t="s">
        <v>166</v>
      </c>
      <c r="B128" s="1" t="s">
        <v>40</v>
      </c>
      <c r="C128" s="1">
        <v>52</v>
      </c>
      <c r="D128" s="1">
        <v>60</v>
      </c>
      <c r="E128" s="1">
        <v>12</v>
      </c>
      <c r="F128" s="1">
        <v>92</v>
      </c>
      <c r="G128" s="7">
        <v>0.12</v>
      </c>
      <c r="H128" s="1">
        <v>45</v>
      </c>
      <c r="I128" s="1" t="s">
        <v>36</v>
      </c>
      <c r="J128" s="1"/>
      <c r="K128" s="1">
        <v>13</v>
      </c>
      <c r="L128" s="1">
        <f t="shared" si="22"/>
        <v>-1</v>
      </c>
      <c r="M128" s="1"/>
      <c r="N128" s="1"/>
      <c r="O128" s="1">
        <v>0</v>
      </c>
      <c r="P128" s="1">
        <v>0</v>
      </c>
      <c r="Q128" s="1">
        <f t="shared" si="23"/>
        <v>2.4</v>
      </c>
      <c r="R128" s="5"/>
      <c r="S128" s="1">
        <f t="shared" si="24"/>
        <v>38.333333333333336</v>
      </c>
      <c r="T128" s="1">
        <f t="shared" si="25"/>
        <v>38.333333333333336</v>
      </c>
      <c r="U128" s="1">
        <v>2.6</v>
      </c>
      <c r="V128" s="1">
        <v>1.6</v>
      </c>
      <c r="W128" s="1">
        <v>1.2</v>
      </c>
      <c r="X128" s="1">
        <v>5</v>
      </c>
      <c r="Y128" s="1">
        <v>8.4</v>
      </c>
      <c r="Z128" s="1">
        <v>5.6</v>
      </c>
      <c r="AA128" s="1">
        <v>3</v>
      </c>
      <c r="AB128" s="1">
        <v>1.4</v>
      </c>
      <c r="AC128" s="1">
        <v>0</v>
      </c>
      <c r="AD128" s="16" t="s">
        <v>53</v>
      </c>
      <c r="AE128" s="1">
        <f>G128*R128</f>
        <v>0</v>
      </c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x14ac:dyDescent="0.25">
      <c r="A129" s="9" t="s">
        <v>167</v>
      </c>
      <c r="B129" s="9" t="s">
        <v>40</v>
      </c>
      <c r="C129" s="9">
        <v>-1</v>
      </c>
      <c r="D129" s="9">
        <v>12</v>
      </c>
      <c r="E129" s="12">
        <v>7</v>
      </c>
      <c r="F129" s="12">
        <v>-4</v>
      </c>
      <c r="G129" s="10">
        <v>0</v>
      </c>
      <c r="H129" s="9"/>
      <c r="I129" s="9" t="s">
        <v>168</v>
      </c>
      <c r="J129" s="9" t="s">
        <v>94</v>
      </c>
      <c r="K129" s="9">
        <v>10</v>
      </c>
      <c r="L129" s="9">
        <f t="shared" si="22"/>
        <v>-3</v>
      </c>
      <c r="M129" s="9"/>
      <c r="N129" s="9"/>
      <c r="O129" s="9">
        <v>0</v>
      </c>
      <c r="P129" s="9">
        <v>0</v>
      </c>
      <c r="Q129" s="9">
        <f t="shared" si="23"/>
        <v>1.4</v>
      </c>
      <c r="R129" s="11"/>
      <c r="S129" s="9">
        <f t="shared" si="24"/>
        <v>-2.8571428571428572</v>
      </c>
      <c r="T129" s="9">
        <f t="shared" si="25"/>
        <v>-2.8571428571428572</v>
      </c>
      <c r="U129" s="9">
        <v>1</v>
      </c>
      <c r="V129" s="9">
        <v>3</v>
      </c>
      <c r="W129" s="9">
        <v>5.6</v>
      </c>
      <c r="X129" s="9">
        <v>4</v>
      </c>
      <c r="Y129" s="9">
        <v>5</v>
      </c>
      <c r="Z129" s="9">
        <v>7</v>
      </c>
      <c r="AA129" s="9">
        <v>4.5999999999999996</v>
      </c>
      <c r="AB129" s="9">
        <v>3</v>
      </c>
      <c r="AC129" s="9">
        <v>2.6</v>
      </c>
      <c r="AD129" s="9"/>
      <c r="AE129" s="9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x14ac:dyDescent="0.25">
      <c r="A130" s="13" t="s">
        <v>169</v>
      </c>
      <c r="B130" s="1" t="s">
        <v>35</v>
      </c>
      <c r="C130" s="1"/>
      <c r="D130" s="1"/>
      <c r="E130" s="1"/>
      <c r="F130" s="1"/>
      <c r="G130" s="7">
        <v>1</v>
      </c>
      <c r="H130" s="1"/>
      <c r="I130" s="1" t="s">
        <v>36</v>
      </c>
      <c r="J130" s="1"/>
      <c r="K130" s="1"/>
      <c r="L130" s="1">
        <f t="shared" si="22"/>
        <v>0</v>
      </c>
      <c r="M130" s="1"/>
      <c r="N130" s="1"/>
      <c r="O130" s="1">
        <v>0</v>
      </c>
      <c r="P130" s="1">
        <v>0</v>
      </c>
      <c r="Q130" s="1">
        <f t="shared" si="23"/>
        <v>0</v>
      </c>
      <c r="R130" s="5"/>
      <c r="S130" s="1" t="e">
        <f t="shared" si="24"/>
        <v>#DIV/0!</v>
      </c>
      <c r="T130" s="1" t="e">
        <f t="shared" si="25"/>
        <v>#DIV/0!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 t="s">
        <v>170</v>
      </c>
      <c r="AE130" s="1">
        <f>G130*R130</f>
        <v>0</v>
      </c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1:47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spans="1:47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spans="1:47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spans="1:47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spans="1:47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spans="1:47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spans="1:47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spans="1:47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spans="1:47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spans="1:47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spans="1:47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spans="1:47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spans="1:47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spans="1:47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spans="1:47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spans="1:47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spans="1:47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spans="1:47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spans="1:47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spans="1:47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spans="1:47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spans="1:47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spans="1:47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spans="1:47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spans="1:47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spans="1:47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spans="1:47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spans="1:47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spans="1:47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spans="1:47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spans="1:47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spans="1:47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spans="1:47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spans="1:47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spans="1:47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spans="1:47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spans="1:47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spans="1:47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spans="1:47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spans="1:47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spans="1:47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spans="1:47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spans="1:47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spans="1:47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spans="1:47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spans="1:47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spans="1:47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spans="1:47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spans="1:47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spans="1:47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spans="1:47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spans="1:47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spans="1:47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spans="1:47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spans="1:47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spans="1:47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spans="1:47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spans="1:47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spans="1:47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spans="1:47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spans="1:47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spans="1:47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spans="1:47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spans="1:47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spans="1:47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spans="1:47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spans="1:47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spans="1:47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spans="1:47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spans="1:47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spans="1:47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spans="1:47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spans="1:47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spans="1:47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spans="1:47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spans="1:47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spans="1:47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spans="1:47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spans="1:47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spans="1:47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spans="1:47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spans="1:47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spans="1:47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spans="1:47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spans="1:47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spans="1:47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spans="1:47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spans="1:47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spans="1:47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spans="1:47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spans="1:47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spans="1:47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spans="1:47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spans="1:47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spans="1:47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spans="1:47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spans="1:47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spans="1:47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spans="1:47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spans="1:47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spans="1:47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spans="1:47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spans="1:47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spans="1:47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spans="1:47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spans="1:47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spans="1:47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spans="1:47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spans="1:47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spans="1:47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spans="1:47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spans="1:47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spans="1:47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spans="1:47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spans="1:47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spans="1:47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spans="1:47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spans="1:47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spans="1:47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spans="1:47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spans="1:47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spans="1:47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spans="1:47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spans="1:47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spans="1:47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spans="1:47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spans="1:47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spans="1:47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spans="1:47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spans="1:47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spans="1:47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spans="1:47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spans="1:47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spans="1:47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spans="1:47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spans="1:47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spans="1:47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spans="1:47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spans="1:47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spans="1:47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spans="1:47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spans="1:47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spans="1:47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spans="1:47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spans="1:47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spans="1:47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spans="1:47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spans="1:47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spans="1:47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spans="1:47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spans="1:47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spans="1:47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spans="1:47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spans="1:47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spans="1:47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spans="1:47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spans="1:47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spans="1:47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spans="1:47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spans="1:47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spans="1:47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spans="1:47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spans="1:47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spans="1:47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spans="1:47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spans="1:47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spans="1:47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spans="1:47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spans="1:47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spans="1:47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spans="1:47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spans="1:47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spans="1:47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spans="1:47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spans="1:47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spans="1:47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spans="1:47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spans="1:47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</sheetData>
  <autoFilter ref="A3:AE130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2026-10-27T13:25:11Z</dcterms:created>
  <dcterms:modified xsi:type="dcterms:W3CDTF">2026-10-27T13:47:55Z</dcterms:modified>
</cp:coreProperties>
</file>