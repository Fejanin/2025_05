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"/>
    </mc:Choice>
  </mc:AlternateContent>
  <xr:revisionPtr revIDLastSave="0" documentId="13_ncr:1_{9AFD5D29-A9A3-4223-85A5-B4AC7A694B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Sheet!$A$3:$AK$128</definedName>
  </definedNames>
  <calcPr calcId="191029"/>
</workbook>
</file>

<file path=xl/calcChain.xml><?xml version="1.0" encoding="utf-8"?>
<calcChain xmlns="http://schemas.openxmlformats.org/spreadsheetml/2006/main">
  <c r="AK107" i="1" l="1"/>
  <c r="AK104" i="1"/>
  <c r="AK61" i="1"/>
  <c r="AK41" i="1"/>
  <c r="AK18" i="1"/>
  <c r="V128" i="1"/>
  <c r="Y128" i="1" s="1"/>
  <c r="L128" i="1"/>
  <c r="V127" i="1"/>
  <c r="Y127" i="1" s="1"/>
  <c r="L127" i="1"/>
  <c r="V126" i="1"/>
  <c r="L126" i="1"/>
  <c r="V125" i="1"/>
  <c r="Y125" i="1" s="1"/>
  <c r="L125" i="1"/>
  <c r="V124" i="1"/>
  <c r="Y124" i="1" s="1"/>
  <c r="L124" i="1"/>
  <c r="V123" i="1"/>
  <c r="Y123" i="1" s="1"/>
  <c r="L123" i="1"/>
  <c r="V122" i="1"/>
  <c r="X122" i="1" s="1"/>
  <c r="L122" i="1"/>
  <c r="V121" i="1"/>
  <c r="Y121" i="1" s="1"/>
  <c r="L121" i="1"/>
  <c r="V120" i="1"/>
  <c r="L120" i="1"/>
  <c r="V119" i="1"/>
  <c r="L119" i="1"/>
  <c r="V118" i="1"/>
  <c r="L118" i="1"/>
  <c r="V117" i="1"/>
  <c r="Y117" i="1" s="1"/>
  <c r="L117" i="1"/>
  <c r="V116" i="1"/>
  <c r="W116" i="1" s="1"/>
  <c r="AK116" i="1" s="1"/>
  <c r="L116" i="1"/>
  <c r="V115" i="1"/>
  <c r="W115" i="1" s="1"/>
  <c r="AK115" i="1" s="1"/>
  <c r="L115" i="1"/>
  <c r="V114" i="1"/>
  <c r="Y114" i="1" s="1"/>
  <c r="L114" i="1"/>
  <c r="V113" i="1"/>
  <c r="Y113" i="1" s="1"/>
  <c r="L113" i="1"/>
  <c r="V112" i="1"/>
  <c r="Y112" i="1" s="1"/>
  <c r="L112" i="1"/>
  <c r="V111" i="1"/>
  <c r="Y111" i="1" s="1"/>
  <c r="L111" i="1"/>
  <c r="V110" i="1"/>
  <c r="Y110" i="1" s="1"/>
  <c r="L110" i="1"/>
  <c r="V109" i="1"/>
  <c r="Y109" i="1" s="1"/>
  <c r="L109" i="1"/>
  <c r="V108" i="1"/>
  <c r="Y108" i="1" s="1"/>
  <c r="L108" i="1"/>
  <c r="V107" i="1"/>
  <c r="Y107" i="1" s="1"/>
  <c r="L107" i="1"/>
  <c r="V106" i="1"/>
  <c r="Y106" i="1" s="1"/>
  <c r="L106" i="1"/>
  <c r="V105" i="1"/>
  <c r="Y105" i="1" s="1"/>
  <c r="L105" i="1"/>
  <c r="V104" i="1"/>
  <c r="Y104" i="1" s="1"/>
  <c r="L104" i="1"/>
  <c r="V103" i="1"/>
  <c r="Y103" i="1" s="1"/>
  <c r="L103" i="1"/>
  <c r="V102" i="1"/>
  <c r="Y102" i="1" s="1"/>
  <c r="L102" i="1"/>
  <c r="V101" i="1"/>
  <c r="Y101" i="1" s="1"/>
  <c r="L101" i="1"/>
  <c r="V100" i="1"/>
  <c r="Y100" i="1" s="1"/>
  <c r="L100" i="1"/>
  <c r="V99" i="1"/>
  <c r="L99" i="1"/>
  <c r="V98" i="1"/>
  <c r="Y98" i="1" s="1"/>
  <c r="L98" i="1"/>
  <c r="V97" i="1"/>
  <c r="X97" i="1" s="1"/>
  <c r="L97" i="1"/>
  <c r="V96" i="1"/>
  <c r="Y96" i="1" s="1"/>
  <c r="L96" i="1"/>
  <c r="V95" i="1"/>
  <c r="Y95" i="1" s="1"/>
  <c r="L95" i="1"/>
  <c r="V94" i="1"/>
  <c r="Y94" i="1" s="1"/>
  <c r="L94" i="1"/>
  <c r="V93" i="1"/>
  <c r="Y93" i="1" s="1"/>
  <c r="L93" i="1"/>
  <c r="V92" i="1"/>
  <c r="Y92" i="1" s="1"/>
  <c r="L92" i="1"/>
  <c r="V91" i="1"/>
  <c r="Y91" i="1" s="1"/>
  <c r="L91" i="1"/>
  <c r="V90" i="1"/>
  <c r="AK90" i="1" s="1"/>
  <c r="L90" i="1"/>
  <c r="V89" i="1"/>
  <c r="Y89" i="1" s="1"/>
  <c r="L89" i="1"/>
  <c r="V88" i="1"/>
  <c r="Y88" i="1" s="1"/>
  <c r="L88" i="1"/>
  <c r="V87" i="1"/>
  <c r="Y87" i="1" s="1"/>
  <c r="L87" i="1"/>
  <c r="V86" i="1"/>
  <c r="W86" i="1" s="1"/>
  <c r="AK86" i="1" s="1"/>
  <c r="L86" i="1"/>
  <c r="V85" i="1"/>
  <c r="Y85" i="1" s="1"/>
  <c r="L85" i="1"/>
  <c r="V84" i="1"/>
  <c r="Y84" i="1" s="1"/>
  <c r="L84" i="1"/>
  <c r="V83" i="1"/>
  <c r="Y83" i="1" s="1"/>
  <c r="L83" i="1"/>
  <c r="V82" i="1"/>
  <c r="Y82" i="1" s="1"/>
  <c r="L82" i="1"/>
  <c r="V81" i="1"/>
  <c r="Y81" i="1" s="1"/>
  <c r="L81" i="1"/>
  <c r="V80" i="1"/>
  <c r="Y80" i="1" s="1"/>
  <c r="L80" i="1"/>
  <c r="V79" i="1"/>
  <c r="L79" i="1"/>
  <c r="V78" i="1"/>
  <c r="W78" i="1" s="1"/>
  <c r="L78" i="1"/>
  <c r="V77" i="1"/>
  <c r="Y77" i="1" s="1"/>
  <c r="L77" i="1"/>
  <c r="V76" i="1"/>
  <c r="Y76" i="1" s="1"/>
  <c r="L76" i="1"/>
  <c r="V75" i="1"/>
  <c r="L75" i="1"/>
  <c r="V74" i="1"/>
  <c r="Y74" i="1" s="1"/>
  <c r="L74" i="1"/>
  <c r="V73" i="1"/>
  <c r="Y73" i="1" s="1"/>
  <c r="L73" i="1"/>
  <c r="V72" i="1"/>
  <c r="Y72" i="1" s="1"/>
  <c r="L72" i="1"/>
  <c r="V71" i="1"/>
  <c r="AK71" i="1" s="1"/>
  <c r="L71" i="1"/>
  <c r="V70" i="1"/>
  <c r="W70" i="1" s="1"/>
  <c r="AK70" i="1" s="1"/>
  <c r="L70" i="1"/>
  <c r="V69" i="1"/>
  <c r="Y69" i="1" s="1"/>
  <c r="L69" i="1"/>
  <c r="V68" i="1"/>
  <c r="Y68" i="1" s="1"/>
  <c r="L68" i="1"/>
  <c r="V67" i="1"/>
  <c r="L67" i="1"/>
  <c r="V66" i="1"/>
  <c r="Y66" i="1" s="1"/>
  <c r="L66" i="1"/>
  <c r="V65" i="1"/>
  <c r="Y65" i="1" s="1"/>
  <c r="L65" i="1"/>
  <c r="V64" i="1"/>
  <c r="Y64" i="1" s="1"/>
  <c r="L64" i="1"/>
  <c r="V63" i="1"/>
  <c r="W63" i="1" s="1"/>
  <c r="AK63" i="1" s="1"/>
  <c r="L63" i="1"/>
  <c r="V62" i="1"/>
  <c r="W62" i="1" s="1"/>
  <c r="X62" i="1" s="1"/>
  <c r="L62" i="1"/>
  <c r="V61" i="1"/>
  <c r="Y61" i="1" s="1"/>
  <c r="L61" i="1"/>
  <c r="V60" i="1"/>
  <c r="Y60" i="1" s="1"/>
  <c r="L60" i="1"/>
  <c r="V59" i="1"/>
  <c r="W59" i="1" s="1"/>
  <c r="L59" i="1"/>
  <c r="V58" i="1"/>
  <c r="Y58" i="1" s="1"/>
  <c r="L58" i="1"/>
  <c r="V57" i="1"/>
  <c r="Y57" i="1" s="1"/>
  <c r="L57" i="1"/>
  <c r="V56" i="1"/>
  <c r="Y56" i="1" s="1"/>
  <c r="L56" i="1"/>
  <c r="F55" i="1"/>
  <c r="E55" i="1"/>
  <c r="V55" i="1" s="1"/>
  <c r="V54" i="1"/>
  <c r="Y54" i="1" s="1"/>
  <c r="L54" i="1"/>
  <c r="Y53" i="1"/>
  <c r="V53" i="1"/>
  <c r="AK53" i="1" s="1"/>
  <c r="L53" i="1"/>
  <c r="V52" i="1"/>
  <c r="L52" i="1"/>
  <c r="V51" i="1"/>
  <c r="Y51" i="1" s="1"/>
  <c r="L51" i="1"/>
  <c r="V50" i="1"/>
  <c r="Y50" i="1" s="1"/>
  <c r="L50" i="1"/>
  <c r="V49" i="1"/>
  <c r="AK49" i="1" s="1"/>
  <c r="L49" i="1"/>
  <c r="V48" i="1"/>
  <c r="Y48" i="1" s="1"/>
  <c r="L48" i="1"/>
  <c r="V47" i="1"/>
  <c r="L47" i="1"/>
  <c r="V46" i="1"/>
  <c r="Y46" i="1" s="1"/>
  <c r="L46" i="1"/>
  <c r="V45" i="1"/>
  <c r="AK45" i="1" s="1"/>
  <c r="L45" i="1"/>
  <c r="V44" i="1"/>
  <c r="Y44" i="1" s="1"/>
  <c r="L44" i="1"/>
  <c r="V43" i="1"/>
  <c r="X43" i="1" s="1"/>
  <c r="L43" i="1"/>
  <c r="V42" i="1"/>
  <c r="Y42" i="1" s="1"/>
  <c r="L42" i="1"/>
  <c r="V41" i="1"/>
  <c r="L41" i="1"/>
  <c r="V40" i="1"/>
  <c r="L40" i="1"/>
  <c r="V39" i="1"/>
  <c r="Y39" i="1" s="1"/>
  <c r="L39" i="1"/>
  <c r="V38" i="1"/>
  <c r="Y38" i="1" s="1"/>
  <c r="L38" i="1"/>
  <c r="V37" i="1"/>
  <c r="L37" i="1"/>
  <c r="V36" i="1"/>
  <c r="Y36" i="1" s="1"/>
  <c r="L36" i="1"/>
  <c r="V35" i="1"/>
  <c r="L35" i="1"/>
  <c r="V34" i="1"/>
  <c r="Y34" i="1" s="1"/>
  <c r="L34" i="1"/>
  <c r="V33" i="1"/>
  <c r="Y33" i="1" s="1"/>
  <c r="L33" i="1"/>
  <c r="V32" i="1"/>
  <c r="Y32" i="1" s="1"/>
  <c r="L32" i="1"/>
  <c r="V31" i="1"/>
  <c r="W31" i="1" s="1"/>
  <c r="AK31" i="1" s="1"/>
  <c r="L31" i="1"/>
  <c r="V30" i="1"/>
  <c r="Y30" i="1" s="1"/>
  <c r="L30" i="1"/>
  <c r="V29" i="1"/>
  <c r="Y29" i="1" s="1"/>
  <c r="L29" i="1"/>
  <c r="V28" i="1"/>
  <c r="Y28" i="1" s="1"/>
  <c r="L28" i="1"/>
  <c r="V27" i="1"/>
  <c r="Y27" i="1" s="1"/>
  <c r="L27" i="1"/>
  <c r="V26" i="1"/>
  <c r="Y26" i="1" s="1"/>
  <c r="L26" i="1"/>
  <c r="V25" i="1"/>
  <c r="Y25" i="1" s="1"/>
  <c r="L25" i="1"/>
  <c r="V24" i="1"/>
  <c r="W24" i="1" s="1"/>
  <c r="L24" i="1"/>
  <c r="V23" i="1"/>
  <c r="Y23" i="1" s="1"/>
  <c r="L23" i="1"/>
  <c r="V22" i="1"/>
  <c r="W22" i="1" s="1"/>
  <c r="AK22" i="1" s="1"/>
  <c r="L22" i="1"/>
  <c r="V21" i="1"/>
  <c r="Y21" i="1" s="1"/>
  <c r="L21" i="1"/>
  <c r="V20" i="1"/>
  <c r="Y20" i="1" s="1"/>
  <c r="L20" i="1"/>
  <c r="V19" i="1"/>
  <c r="Y19" i="1" s="1"/>
  <c r="L19" i="1"/>
  <c r="V18" i="1"/>
  <c r="L18" i="1"/>
  <c r="V17" i="1"/>
  <c r="Y17" i="1" s="1"/>
  <c r="L17" i="1"/>
  <c r="V16" i="1"/>
  <c r="Y16" i="1" s="1"/>
  <c r="L16" i="1"/>
  <c r="V15" i="1"/>
  <c r="Y15" i="1" s="1"/>
  <c r="L15" i="1"/>
  <c r="V14" i="1"/>
  <c r="L14" i="1"/>
  <c r="V13" i="1"/>
  <c r="Y13" i="1" s="1"/>
  <c r="L13" i="1"/>
  <c r="V12" i="1"/>
  <c r="Y12" i="1" s="1"/>
  <c r="L12" i="1"/>
  <c r="V11" i="1"/>
  <c r="Y11" i="1" s="1"/>
  <c r="L11" i="1"/>
  <c r="V10" i="1"/>
  <c r="W10" i="1" s="1"/>
  <c r="AK10" i="1" s="1"/>
  <c r="L10" i="1"/>
  <c r="V9" i="1"/>
  <c r="Y9" i="1" s="1"/>
  <c r="L9" i="1"/>
  <c r="V8" i="1"/>
  <c r="Y8" i="1" s="1"/>
  <c r="L8" i="1"/>
  <c r="V7" i="1"/>
  <c r="Y7" i="1" s="1"/>
  <c r="L7" i="1"/>
  <c r="V6" i="1"/>
  <c r="W6" i="1" s="1"/>
  <c r="AK6" i="1" s="1"/>
  <c r="L6" i="1"/>
  <c r="AI5" i="1"/>
  <c r="AH5" i="1"/>
  <c r="AG5" i="1"/>
  <c r="AF5" i="1"/>
  <c r="AE5" i="1"/>
  <c r="AD5" i="1"/>
  <c r="AC5" i="1"/>
  <c r="AB5" i="1"/>
  <c r="AA5" i="1"/>
  <c r="Z5" i="1"/>
  <c r="U5" i="1"/>
  <c r="T5" i="1"/>
  <c r="S5" i="1"/>
  <c r="R5" i="1"/>
  <c r="Q5" i="1"/>
  <c r="P5" i="1"/>
  <c r="O5" i="1"/>
  <c r="N5" i="1"/>
  <c r="M5" i="1"/>
  <c r="K5" i="1"/>
  <c r="F5" i="1"/>
  <c r="E5" i="1"/>
  <c r="W55" i="1" l="1"/>
  <c r="AK55" i="1" s="1"/>
  <c r="Y122" i="1"/>
  <c r="Y24" i="1"/>
  <c r="Y71" i="1"/>
  <c r="Y62" i="1"/>
  <c r="X33" i="1"/>
  <c r="Y70" i="1"/>
  <c r="Y43" i="1"/>
  <c r="AK17" i="1"/>
  <c r="W42" i="1"/>
  <c r="AK42" i="1" s="1"/>
  <c r="L55" i="1"/>
  <c r="W65" i="1"/>
  <c r="AK65" i="1" s="1"/>
  <c r="W81" i="1"/>
  <c r="AK81" i="1" s="1"/>
  <c r="AK82" i="1"/>
  <c r="W83" i="1"/>
  <c r="AK83" i="1" s="1"/>
  <c r="W106" i="1"/>
  <c r="AK106" i="1" s="1"/>
  <c r="W110" i="1"/>
  <c r="AK110" i="1" s="1"/>
  <c r="W111" i="1"/>
  <c r="AK111" i="1" s="1"/>
  <c r="AK121" i="1"/>
  <c r="X24" i="1"/>
  <c r="AK24" i="1"/>
  <c r="AK40" i="1"/>
  <c r="X40" i="1"/>
  <c r="X78" i="1"/>
  <c r="AK78" i="1"/>
  <c r="Y78" i="1"/>
  <c r="W19" i="1"/>
  <c r="AK19" i="1" s="1"/>
  <c r="W20" i="1"/>
  <c r="AK20" i="1" s="1"/>
  <c r="AK44" i="1"/>
  <c r="AK64" i="1"/>
  <c r="W84" i="1"/>
  <c r="AK84" i="1" s="1"/>
  <c r="AK109" i="1"/>
  <c r="Y40" i="1"/>
  <c r="W21" i="1"/>
  <c r="AK21" i="1" s="1"/>
  <c r="X92" i="1"/>
  <c r="X120" i="1"/>
  <c r="AK46" i="1"/>
  <c r="W87" i="1"/>
  <c r="AK87" i="1" s="1"/>
  <c r="Y6" i="1"/>
  <c r="Y35" i="1"/>
  <c r="Y67" i="1"/>
  <c r="Y99" i="1"/>
  <c r="W47" i="1"/>
  <c r="AK47" i="1" s="1"/>
  <c r="AK67" i="1"/>
  <c r="W88" i="1"/>
  <c r="AK88" i="1" s="1"/>
  <c r="AK112" i="1"/>
  <c r="X93" i="1"/>
  <c r="W25" i="1"/>
  <c r="AK25" i="1" s="1"/>
  <c r="W48" i="1"/>
  <c r="AK68" i="1"/>
  <c r="W113" i="1"/>
  <c r="AK113" i="1" s="1"/>
  <c r="X22" i="1"/>
  <c r="AK26" i="1"/>
  <c r="AK69" i="1"/>
  <c r="X49" i="1"/>
  <c r="AK27" i="1"/>
  <c r="AK50" i="1"/>
  <c r="AK91" i="1"/>
  <c r="Y49" i="1"/>
  <c r="X115" i="1"/>
  <c r="W28" i="1"/>
  <c r="AK28" i="1" s="1"/>
  <c r="W51" i="1"/>
  <c r="AK93" i="1"/>
  <c r="Y97" i="1"/>
  <c r="W7" i="1"/>
  <c r="W29" i="1"/>
  <c r="AK29" i="1" s="1"/>
  <c r="W52" i="1"/>
  <c r="AK52" i="1" s="1"/>
  <c r="W72" i="1"/>
  <c r="AK72" i="1" s="1"/>
  <c r="W94" i="1"/>
  <c r="AK94" i="1" s="1"/>
  <c r="W118" i="1"/>
  <c r="AK118" i="1" s="1"/>
  <c r="X37" i="1"/>
  <c r="AK62" i="1"/>
  <c r="W8" i="1"/>
  <c r="AK8" i="1" s="1"/>
  <c r="AK73" i="1"/>
  <c r="AK95" i="1"/>
  <c r="AK119" i="1"/>
  <c r="Y52" i="1"/>
  <c r="X31" i="1"/>
  <c r="Y37" i="1"/>
  <c r="X116" i="1"/>
  <c r="W34" i="1"/>
  <c r="AK34" i="1" s="1"/>
  <c r="W54" i="1"/>
  <c r="AK54" i="1" s="1"/>
  <c r="AK74" i="1"/>
  <c r="W96" i="1"/>
  <c r="AK96" i="1" s="1"/>
  <c r="AK120" i="1"/>
  <c r="X6" i="1"/>
  <c r="X10" i="1"/>
  <c r="X82" i="1"/>
  <c r="W11" i="1"/>
  <c r="AK11" i="1" s="1"/>
  <c r="W35" i="1"/>
  <c r="AK35" i="1" s="1"/>
  <c r="W75" i="1"/>
  <c r="AK75" i="1" s="1"/>
  <c r="AK98" i="1"/>
  <c r="Y10" i="1"/>
  <c r="X70" i="1"/>
  <c r="W12" i="1"/>
  <c r="AK12" i="1" s="1"/>
  <c r="W36" i="1"/>
  <c r="W56" i="1"/>
  <c r="AK56" i="1" s="1"/>
  <c r="W76" i="1"/>
  <c r="AK76" i="1" s="1"/>
  <c r="W99" i="1"/>
  <c r="AK99" i="1" s="1"/>
  <c r="AK123" i="1"/>
  <c r="X18" i="1"/>
  <c r="X45" i="1"/>
  <c r="AK13" i="1"/>
  <c r="AK37" i="1"/>
  <c r="AK57" i="1"/>
  <c r="AK77" i="1"/>
  <c r="W100" i="1"/>
  <c r="AK100" i="1" s="1"/>
  <c r="AK124" i="1"/>
  <c r="Y18" i="1"/>
  <c r="W14" i="1"/>
  <c r="AK14" i="1" s="1"/>
  <c r="W38" i="1"/>
  <c r="AK38" i="1" s="1"/>
  <c r="W58" i="1"/>
  <c r="AK58" i="1" s="1"/>
  <c r="AK101" i="1"/>
  <c r="W125" i="1"/>
  <c r="X90" i="1"/>
  <c r="X103" i="1"/>
  <c r="W15" i="1"/>
  <c r="AK15" i="1" s="1"/>
  <c r="W39" i="1"/>
  <c r="AK39" i="1" s="1"/>
  <c r="AK59" i="1"/>
  <c r="AK79" i="1"/>
  <c r="W102" i="1"/>
  <c r="AK102" i="1" s="1"/>
  <c r="AK126" i="1"/>
  <c r="X71" i="1"/>
  <c r="W16" i="1"/>
  <c r="AK16" i="1" s="1"/>
  <c r="W60" i="1"/>
  <c r="AK60" i="1" s="1"/>
  <c r="AK80" i="1"/>
  <c r="AK103" i="1"/>
  <c r="W127" i="1"/>
  <c r="AK127" i="1" s="1"/>
  <c r="X63" i="1"/>
  <c r="X41" i="1"/>
  <c r="X53" i="1"/>
  <c r="X83" i="1"/>
  <c r="AK43" i="1"/>
  <c r="X86" i="1"/>
  <c r="X27" i="1"/>
  <c r="Y47" i="1"/>
  <c r="X95" i="1"/>
  <c r="Y118" i="1"/>
  <c r="Y22" i="1"/>
  <c r="X58" i="1"/>
  <c r="Y63" i="1"/>
  <c r="Y79" i="1"/>
  <c r="Y90" i="1"/>
  <c r="X108" i="1"/>
  <c r="Y119" i="1"/>
  <c r="X96" i="1"/>
  <c r="L5" i="1"/>
  <c r="X44" i="1"/>
  <c r="Y86" i="1"/>
  <c r="Y115" i="1"/>
  <c r="Y59" i="1"/>
  <c r="Y75" i="1"/>
  <c r="Y120" i="1"/>
  <c r="Y116" i="1"/>
  <c r="Y126" i="1"/>
  <c r="Y45" i="1"/>
  <c r="X121" i="1"/>
  <c r="X88" i="1"/>
  <c r="Y31" i="1"/>
  <c r="Y41" i="1"/>
  <c r="Y14" i="1"/>
  <c r="Y55" i="1"/>
  <c r="X73" i="1"/>
  <c r="X112" i="1"/>
  <c r="X69" i="1"/>
  <c r="X11" i="1"/>
  <c r="X23" i="1"/>
  <c r="X104" i="1"/>
  <c r="X65" i="1"/>
  <c r="V5" i="1"/>
  <c r="X57" i="1"/>
  <c r="X81" i="1"/>
  <c r="X32" i="1"/>
  <c r="X64" i="1"/>
  <c r="X68" i="1"/>
  <c r="X80" i="1"/>
  <c r="X84" i="1"/>
  <c r="X109" i="1"/>
  <c r="X61" i="1"/>
  <c r="X85" i="1"/>
  <c r="X114" i="1"/>
  <c r="X105" i="1"/>
  <c r="X77" i="1"/>
  <c r="X17" i="1"/>
  <c r="X98" i="1"/>
  <c r="X9" i="1"/>
  <c r="X42" i="1"/>
  <c r="X46" i="1"/>
  <c r="X123" i="1"/>
  <c r="X26" i="1"/>
  <c r="X30" i="1"/>
  <c r="X107" i="1"/>
  <c r="X124" i="1"/>
  <c r="X128" i="1"/>
  <c r="X16" i="1" l="1"/>
  <c r="X29" i="1"/>
  <c r="X55" i="1"/>
  <c r="X111" i="1"/>
  <c r="X106" i="1"/>
  <c r="X110" i="1"/>
  <c r="X118" i="1"/>
  <c r="X100" i="1"/>
  <c r="X20" i="1"/>
  <c r="X19" i="1"/>
  <c r="X113" i="1"/>
  <c r="X101" i="1"/>
  <c r="X127" i="1"/>
  <c r="X94" i="1"/>
  <c r="X72" i="1"/>
  <c r="X14" i="1"/>
  <c r="X15" i="1"/>
  <c r="X50" i="1"/>
  <c r="X87" i="1"/>
  <c r="X52" i="1"/>
  <c r="X12" i="1"/>
  <c r="X91" i="1"/>
  <c r="X38" i="1"/>
  <c r="X60" i="1"/>
  <c r="AK51" i="1"/>
  <c r="X51" i="1"/>
  <c r="X36" i="1"/>
  <c r="AK36" i="1"/>
  <c r="X34" i="1"/>
  <c r="X126" i="1"/>
  <c r="X125" i="1"/>
  <c r="AK125" i="1"/>
  <c r="X119" i="1"/>
  <c r="AK66" i="1"/>
  <c r="X66" i="1"/>
  <c r="X59" i="1"/>
  <c r="X74" i="1"/>
  <c r="X102" i="1"/>
  <c r="X47" i="1"/>
  <c r="X54" i="1"/>
  <c r="X39" i="1"/>
  <c r="W5" i="1"/>
  <c r="AK117" i="1"/>
  <c r="X117" i="1"/>
  <c r="X21" i="1"/>
  <c r="X28" i="1"/>
  <c r="X99" i="1"/>
  <c r="X8" i="1"/>
  <c r="AK48" i="1"/>
  <c r="X48" i="1"/>
  <c r="X76" i="1"/>
  <c r="X56" i="1"/>
  <c r="X25" i="1"/>
  <c r="X79" i="1"/>
  <c r="X13" i="1"/>
  <c r="AK7" i="1"/>
  <c r="X7" i="1"/>
  <c r="AK89" i="1"/>
  <c r="X89" i="1"/>
  <c r="X67" i="1"/>
  <c r="X75" i="1"/>
  <c r="X35" i="1"/>
  <c r="AK5" i="1" l="1"/>
</calcChain>
</file>

<file path=xl/sharedStrings.xml><?xml version="1.0" encoding="utf-8"?>
<sst xmlns="http://schemas.openxmlformats.org/spreadsheetml/2006/main" count="454" uniqueCount="179">
  <si>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</si>
  <si>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</si>
  <si>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</si>
  <si>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</si>
  <si>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</si>
  <si>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</si>
  <si>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</si>
  <si>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</si>
  <si>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</si>
  <si>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</si>
  <si>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</si>
  <si>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</si>
  <si>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</si>
  <si>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</si>
  <si>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</si>
  <si>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</si>
  <si>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</si>
  <si>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</si>
  <si>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</si>
  <si>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</si>
  <si>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</si>
  <si>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</si>
  <si>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22,09,доз</t>
  </si>
  <si>
    <t>26,09,</t>
  </si>
  <si>
    <t>26,09,(2)</t>
  </si>
  <si>
    <t>26,09,(2)недогр</t>
  </si>
  <si>
    <t>26,09,(2)доз</t>
  </si>
  <si>
    <t>28,09,</t>
  </si>
  <si>
    <t>28,09,доз</t>
  </si>
  <si>
    <t>29,09,</t>
  </si>
  <si>
    <t>24,09,</t>
  </si>
  <si>
    <t>22,09,</t>
  </si>
  <si>
    <t>17,09,</t>
  </si>
  <si>
    <t>15,09,</t>
  </si>
  <si>
    <t>10,09,</t>
  </si>
  <si>
    <t>08,09,</t>
  </si>
  <si>
    <t>03,09,</t>
  </si>
  <si>
    <t>01,09,</t>
  </si>
  <si>
    <t>27,08,</t>
  </si>
  <si>
    <t>25,08,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</si>
  <si>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</si>
  <si>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</si>
  <si>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</si>
  <si>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</si>
  <si>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</si>
  <si>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</si>
  <si>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</si>
  <si>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</si>
  <si>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</si>
  <si>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</si>
  <si>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</si>
  <si>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</si>
  <si>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</si>
  <si>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</si>
  <si>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</si>
  <si>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</si>
  <si>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</si>
  <si>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</si>
  <si>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</si>
  <si>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</si>
  <si>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</si>
  <si>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</si>
  <si>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>ПРОМ сентябрь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</si>
  <si>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</si>
  <si>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</si>
  <si>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</si>
  <si>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</si>
  <si>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</si>
  <si>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</si>
  <si>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</si>
  <si>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</si>
  <si>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</si>
  <si>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</si>
  <si>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</si>
  <si>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</si>
  <si>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</si>
  <si>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</si>
  <si>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</si>
  <si>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</si>
  <si>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</si>
  <si>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</si>
  <si>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</si>
  <si>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</si>
  <si>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</si>
  <si>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</si>
  <si>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</si>
  <si>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</si>
  <si>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</si>
  <si>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</si>
  <si>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</si>
  <si>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33кг списаны (29,08,26)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</si>
  <si>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</si>
  <si>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</si>
  <si>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</si>
  <si>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</si>
  <si>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</si>
  <si>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</si>
  <si>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</si>
  <si>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</si>
  <si>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</si>
  <si>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</si>
  <si>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</si>
  <si>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</si>
  <si>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</si>
  <si>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</si>
  <si>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</si>
  <si>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</si>
  <si>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</si>
  <si>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</si>
  <si>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</si>
  <si>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</si>
  <si>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</si>
  <si>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</si>
  <si>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</si>
  <si>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</si>
  <si>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</si>
  <si>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</si>
  <si>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</si>
  <si>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</si>
  <si>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</si>
  <si>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</si>
  <si>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</si>
  <si>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</si>
  <si>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</si>
  <si>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>нужно увеличить продажи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</si>
  <si>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</si>
  <si>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</si>
  <si>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</si>
  <si>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</si>
  <si>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</si>
  <si>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</si>
  <si>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</si>
  <si>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</si>
  <si>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</si>
  <si>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>нужно увеличить продажи!!!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</si>
  <si>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</si>
  <si>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</si>
  <si>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</si>
  <si>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</si>
  <si>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</si>
  <si>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</si>
  <si>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</si>
  <si>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>15шт списано (24,08,26)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</si>
  <si>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</si>
  <si>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</si>
  <si>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</si>
  <si>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21 шт в уценку 04,09,26 / 21 шт в уценку 30,06,26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</si>
  <si>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</si>
  <si>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</si>
  <si>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</si>
  <si>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</si>
  <si>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</si>
  <si>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>57кг в уценку (30,06,26)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</si>
  <si>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</si>
  <si>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</si>
  <si>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</si>
  <si>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</si>
  <si>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</si>
  <si>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</si>
  <si>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</si>
  <si>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</si>
  <si>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</si>
  <si>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</si>
  <si>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</si>
  <si>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</si>
  <si>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</si>
  <si>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</si>
  <si>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</si>
  <si>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631  Колбаса Классическая стародворская ТМ Стародворье  ПОКОМ</t>
  </si>
  <si>
    <t>не в матрице</t>
  </si>
  <si>
    <t>SU004265, не заказывали!!!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</si>
  <si>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</si>
  <si>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</si>
  <si>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</si>
  <si>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</si>
  <si>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</si>
  <si>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</si>
  <si>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</si>
  <si>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ПРОМ сентябрь (н+1)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</si>
</sst>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1" fillId="0" borderId="1" xfId="1" applyNumberFormat="1" applyFill="1"/>
    <xf numFmtId="164" fontId="5" fillId="7" borderId="1" xfId="1" applyNumberFormat="1" applyFont="1" applyFill="1"/>
    <xf numFmtId="164" fontId="6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J6" sqref="AJ6"/>
    </sheetView>
  </sheetViews>
  <sheetFormatPr defaultRowHeight="15" x14ac:dyDescent="0.25"/>
  <cols>
    <col min="1" max="1" width="57.2851562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85546875" customWidth="1"/>
    <col min="10" max="10" width="1" customWidth="1"/>
    <col min="11" max="12" width="7" customWidth="1"/>
    <col min="13" max="14" width="0.5703125" customWidth="1"/>
    <col min="15" max="23" width="7" customWidth="1"/>
    <col min="24" max="25" width="5" customWidth="1"/>
    <col min="26" max="31" width="6.5703125" customWidth="1"/>
    <col min="32" max="35" width="6" customWidth="1"/>
    <col min="36" max="36" width="31" customWidth="1"/>
    <col min="37" max="37" width="7" customWidth="1"/>
    <col min="38" max="46" width="3" customWidth="1"/>
  </cols>
  <sheetData>
    <row r="1" spans="1:46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14</v>
      </c>
      <c r="U3" s="2" t="s">
        <v>14</v>
      </c>
      <c r="V3" s="2" t="s">
        <v>15</v>
      </c>
      <c r="W3" s="3" t="s">
        <v>16</v>
      </c>
      <c r="X3" s="2" t="s">
        <v>17</v>
      </c>
      <c r="Y3" s="2" t="s">
        <v>18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20</v>
      </c>
      <c r="AK3" s="2" t="s">
        <v>21</v>
      </c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" t="s">
        <v>28</v>
      </c>
      <c r="V4" s="1" t="s">
        <v>29</v>
      </c>
      <c r="W4" s="1"/>
      <c r="X4" s="1"/>
      <c r="Y4" s="1"/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 t="s">
        <v>35</v>
      </c>
      <c r="AF4" s="1" t="s">
        <v>36</v>
      </c>
      <c r="AG4" s="1" t="s">
        <v>37</v>
      </c>
      <c r="AH4" s="1" t="s">
        <v>38</v>
      </c>
      <c r="AI4" s="1" t="s">
        <v>39</v>
      </c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x14ac:dyDescent="0.25">
      <c r="A5" s="1"/>
      <c r="B5" s="1"/>
      <c r="C5" s="1"/>
      <c r="D5" s="1"/>
      <c r="E5" s="4">
        <f>SUM(E6:E499)</f>
        <v>51372.213000000003</v>
      </c>
      <c r="F5" s="4">
        <f>SUM(F6:F499)</f>
        <v>51509.392999999982</v>
      </c>
      <c r="G5" s="7"/>
      <c r="H5" s="1"/>
      <c r="I5" s="1"/>
      <c r="J5" s="1"/>
      <c r="K5" s="4">
        <f t="shared" ref="K5:W5" si="0">SUM(K6:K499)</f>
        <v>54530.811999999998</v>
      </c>
      <c r="L5" s="4">
        <f t="shared" si="0"/>
        <v>-3158.5989999999988</v>
      </c>
      <c r="M5" s="4">
        <f t="shared" si="0"/>
        <v>0</v>
      </c>
      <c r="N5" s="4">
        <f t="shared" si="0"/>
        <v>0</v>
      </c>
      <c r="O5" s="4">
        <f t="shared" si="0"/>
        <v>900</v>
      </c>
      <c r="P5" s="4">
        <f t="shared" si="0"/>
        <v>10855.441121319453</v>
      </c>
      <c r="Q5" s="4">
        <f t="shared" si="0"/>
        <v>11806.230568116976</v>
      </c>
      <c r="R5" s="4">
        <f t="shared" si="0"/>
        <v>-691.42857142857144</v>
      </c>
      <c r="S5" s="4">
        <f t="shared" si="0"/>
        <v>600</v>
      </c>
      <c r="T5" s="4">
        <f t="shared" si="0"/>
        <v>24320.567929330733</v>
      </c>
      <c r="U5" s="4">
        <f t="shared" si="0"/>
        <v>405</v>
      </c>
      <c r="V5" s="4">
        <f t="shared" si="0"/>
        <v>10274.442600000011</v>
      </c>
      <c r="W5" s="4">
        <f t="shared" si="0"/>
        <v>17688.47795273285</v>
      </c>
      <c r="X5" s="1"/>
      <c r="Y5" s="1"/>
      <c r="Z5" s="4">
        <f t="shared" ref="Z5:AI5" si="1">SUM(Z6:Z499)</f>
        <v>10906.315000000001</v>
      </c>
      <c r="AA5" s="4">
        <f t="shared" si="1"/>
        <v>10747.732599999996</v>
      </c>
      <c r="AB5" s="4">
        <f t="shared" si="1"/>
        <v>10833.357999999998</v>
      </c>
      <c r="AC5" s="4">
        <f t="shared" si="1"/>
        <v>11492.782400000011</v>
      </c>
      <c r="AD5" s="4">
        <f t="shared" si="1"/>
        <v>11039.104400000004</v>
      </c>
      <c r="AE5" s="4">
        <f t="shared" si="1"/>
        <v>10515.967599999998</v>
      </c>
      <c r="AF5" s="4">
        <f t="shared" si="1"/>
        <v>8445.5477999999985</v>
      </c>
      <c r="AG5" s="4">
        <f t="shared" si="1"/>
        <v>8096.6249999999964</v>
      </c>
      <c r="AH5" s="4">
        <f t="shared" si="1"/>
        <v>9775.619999999999</v>
      </c>
      <c r="AI5" s="4">
        <f t="shared" si="1"/>
        <v>9682.4813999999988</v>
      </c>
      <c r="AJ5" s="1"/>
      <c r="AK5" s="4">
        <f>SUM(AK6:AK499)</f>
        <v>13320.565166332844</v>
      </c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25">
      <c r="A6" s="1" t="s">
        <v>40</v>
      </c>
      <c r="B6" s="1" t="s">
        <v>41</v>
      </c>
      <c r="C6" s="1">
        <v>2989.203</v>
      </c>
      <c r="D6" s="1">
        <v>5331.4650000000001</v>
      </c>
      <c r="E6" s="1">
        <v>2566.6779999999999</v>
      </c>
      <c r="F6" s="1">
        <v>3186.3519999999999</v>
      </c>
      <c r="G6" s="7">
        <v>1</v>
      </c>
      <c r="H6" s="1">
        <v>50</v>
      </c>
      <c r="I6" s="1" t="s">
        <v>42</v>
      </c>
      <c r="J6" s="1"/>
      <c r="K6" s="1">
        <v>2520.5500000000002</v>
      </c>
      <c r="L6" s="1">
        <f t="shared" ref="L6:L37" si="2">E6-K6</f>
        <v>46.127999999999702</v>
      </c>
      <c r="M6" s="1"/>
      <c r="N6" s="1"/>
      <c r="O6" s="1"/>
      <c r="P6" s="1">
        <v>39.196802501800448</v>
      </c>
      <c r="Q6" s="1"/>
      <c r="R6" s="1"/>
      <c r="S6" s="1"/>
      <c r="T6" s="1">
        <v>1436.4075234981999</v>
      </c>
      <c r="U6" s="1"/>
      <c r="V6" s="1">
        <f t="shared" ref="V6:V37" si="3">E6/5</f>
        <v>513.3356</v>
      </c>
      <c r="W6" s="5">
        <f>11*V6-U6-T6-S6-R6-Q6-P6-O6-F6</f>
        <v>984.73527399999966</v>
      </c>
      <c r="X6" s="1">
        <f t="shared" ref="X6:X37" si="4">(F6+O6+P6+Q6+R6+S6+T6+U6+W6)/V6</f>
        <v>11</v>
      </c>
      <c r="Y6" s="1">
        <f t="shared" ref="Y6:Y37" si="5">(F6+O6+P6+Q6+R6+S6+T6+U6)/V6</f>
        <v>9.081693001615319</v>
      </c>
      <c r="Z6" s="1">
        <v>551.42700000000002</v>
      </c>
      <c r="AA6" s="1">
        <v>517.61120000000005</v>
      </c>
      <c r="AB6" s="1">
        <v>560.27980000000002</v>
      </c>
      <c r="AC6" s="1">
        <v>683.02780000000007</v>
      </c>
      <c r="AD6" s="1">
        <v>629.77780000000007</v>
      </c>
      <c r="AE6" s="1">
        <v>485.76420000000002</v>
      </c>
      <c r="AF6" s="1">
        <v>331.30880000000002</v>
      </c>
      <c r="AG6" s="1">
        <v>348.86619999999999</v>
      </c>
      <c r="AH6" s="1">
        <v>493.49700000000001</v>
      </c>
      <c r="AI6" s="1">
        <v>483.68119999999999</v>
      </c>
      <c r="AJ6" s="1"/>
      <c r="AK6" s="1">
        <f>G6*W6</f>
        <v>984.73527399999966</v>
      </c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25">
      <c r="A7" s="1" t="s">
        <v>43</v>
      </c>
      <c r="B7" s="1" t="s">
        <v>41</v>
      </c>
      <c r="C7" s="1">
        <v>1857.6410000000001</v>
      </c>
      <c r="D7" s="1">
        <v>1070.268</v>
      </c>
      <c r="E7" s="1">
        <v>1103.539</v>
      </c>
      <c r="F7" s="1">
        <v>1216.277</v>
      </c>
      <c r="G7" s="7">
        <v>1</v>
      </c>
      <c r="H7" s="1">
        <v>45</v>
      </c>
      <c r="I7" s="1" t="s">
        <v>42</v>
      </c>
      <c r="J7" s="1"/>
      <c r="K7" s="1">
        <v>1057.03</v>
      </c>
      <c r="L7" s="1">
        <f t="shared" si="2"/>
        <v>46.509000000000015</v>
      </c>
      <c r="M7" s="1"/>
      <c r="N7" s="1"/>
      <c r="O7" s="1"/>
      <c r="P7" s="1">
        <v>47.969639199999889</v>
      </c>
      <c r="Q7" s="1">
        <v>71.954458799999841</v>
      </c>
      <c r="R7" s="1">
        <v>-10</v>
      </c>
      <c r="S7" s="1"/>
      <c r="T7" s="1">
        <v>329.59429999999969</v>
      </c>
      <c r="U7" s="1"/>
      <c r="V7" s="1">
        <f t="shared" si="3"/>
        <v>220.70779999999999</v>
      </c>
      <c r="W7" s="5">
        <f t="shared" ref="W7:W8" si="6">11*V7-U7-T7-S7-R7-Q7-P7-O7-F7</f>
        <v>771.99040200000059</v>
      </c>
      <c r="X7" s="1">
        <f t="shared" si="4"/>
        <v>11.000000000000002</v>
      </c>
      <c r="Y7" s="1">
        <f t="shared" si="5"/>
        <v>7.5022060751817543</v>
      </c>
      <c r="Z7" s="1">
        <v>207.75020000000001</v>
      </c>
      <c r="AA7" s="1">
        <v>215.72300000000001</v>
      </c>
      <c r="AB7" s="1">
        <v>234.3954</v>
      </c>
      <c r="AC7" s="1">
        <v>230.3776</v>
      </c>
      <c r="AD7" s="1">
        <v>285.33019999999999</v>
      </c>
      <c r="AE7" s="1">
        <v>305.41860000000003</v>
      </c>
      <c r="AF7" s="1">
        <v>214.02080000000001</v>
      </c>
      <c r="AG7" s="1">
        <v>215.65379999999999</v>
      </c>
      <c r="AH7" s="1">
        <v>292.72160000000002</v>
      </c>
      <c r="AI7" s="1">
        <v>307.12900000000002</v>
      </c>
      <c r="AJ7" s="1"/>
      <c r="AK7" s="1">
        <f>G7*W7</f>
        <v>771.99040200000059</v>
      </c>
      <c r="AL7" s="1"/>
      <c r="AM7" s="1"/>
      <c r="AN7" s="1"/>
      <c r="AO7" s="1"/>
      <c r="AP7" s="1"/>
      <c r="AQ7" s="1"/>
      <c r="AR7" s="1"/>
      <c r="AS7" s="1"/>
      <c r="AT7" s="1"/>
    </row>
    <row r="8" spans="1:46" x14ac:dyDescent="0.25">
      <c r="A8" s="1" t="s">
        <v>44</v>
      </c>
      <c r="B8" s="1" t="s">
        <v>41</v>
      </c>
      <c r="C8" s="1">
        <v>1952.694</v>
      </c>
      <c r="D8" s="1">
        <v>1052.8389999999999</v>
      </c>
      <c r="E8" s="1">
        <v>1087.239</v>
      </c>
      <c r="F8" s="1">
        <v>1187.7380000000001</v>
      </c>
      <c r="G8" s="7">
        <v>1</v>
      </c>
      <c r="H8" s="1">
        <v>45</v>
      </c>
      <c r="I8" s="1" t="s">
        <v>42</v>
      </c>
      <c r="J8" s="1"/>
      <c r="K8" s="1">
        <v>1060.03</v>
      </c>
      <c r="L8" s="1">
        <f t="shared" si="2"/>
        <v>27.20900000000006</v>
      </c>
      <c r="M8" s="1"/>
      <c r="N8" s="1"/>
      <c r="O8" s="1"/>
      <c r="P8" s="1">
        <v>69.547215379600047</v>
      </c>
      <c r="Q8" s="1">
        <v>104.32082306940001</v>
      </c>
      <c r="R8" s="1"/>
      <c r="S8" s="1"/>
      <c r="T8" s="1">
        <v>397.00366155100028</v>
      </c>
      <c r="U8" s="1"/>
      <c r="V8" s="1">
        <f t="shared" si="3"/>
        <v>217.4478</v>
      </c>
      <c r="W8" s="5">
        <f t="shared" si="6"/>
        <v>633.31609999999978</v>
      </c>
      <c r="X8" s="1">
        <f t="shared" si="4"/>
        <v>11</v>
      </c>
      <c r="Y8" s="1">
        <f t="shared" si="5"/>
        <v>8.0875028397620028</v>
      </c>
      <c r="Z8" s="1">
        <v>214.1678</v>
      </c>
      <c r="AA8" s="1">
        <v>218.27119999999999</v>
      </c>
      <c r="AB8" s="1">
        <v>225.20240000000001</v>
      </c>
      <c r="AC8" s="1">
        <v>269.71019999999999</v>
      </c>
      <c r="AD8" s="1">
        <v>293.387</v>
      </c>
      <c r="AE8" s="1">
        <v>257.86320000000001</v>
      </c>
      <c r="AF8" s="1">
        <v>178.08920000000001</v>
      </c>
      <c r="AG8" s="1">
        <v>182.8776</v>
      </c>
      <c r="AH8" s="1">
        <v>261.28660000000002</v>
      </c>
      <c r="AI8" s="1">
        <v>254.85239999999999</v>
      </c>
      <c r="AJ8" s="1"/>
      <c r="AK8" s="1">
        <f>G8*W8</f>
        <v>633.31609999999978</v>
      </c>
      <c r="AL8" s="1"/>
      <c r="AM8" s="1"/>
      <c r="AN8" s="1"/>
      <c r="AO8" s="1"/>
      <c r="AP8" s="1"/>
      <c r="AQ8" s="1"/>
      <c r="AR8" s="1"/>
      <c r="AS8" s="1"/>
      <c r="AT8" s="1"/>
    </row>
    <row r="9" spans="1:46" x14ac:dyDescent="0.25">
      <c r="A9" s="10" t="s">
        <v>45</v>
      </c>
      <c r="B9" s="10" t="s">
        <v>46</v>
      </c>
      <c r="C9" s="10"/>
      <c r="D9" s="10"/>
      <c r="E9" s="10"/>
      <c r="F9" s="10"/>
      <c r="G9" s="11">
        <v>0</v>
      </c>
      <c r="H9" s="10"/>
      <c r="I9" s="10" t="s">
        <v>42</v>
      </c>
      <c r="J9" s="10"/>
      <c r="K9" s="10"/>
      <c r="L9" s="10">
        <f t="shared" si="2"/>
        <v>0</v>
      </c>
      <c r="M9" s="10"/>
      <c r="N9" s="10"/>
      <c r="O9" s="10"/>
      <c r="P9" s="10">
        <v>0</v>
      </c>
      <c r="Q9" s="10"/>
      <c r="R9" s="10"/>
      <c r="S9" s="10"/>
      <c r="T9" s="10">
        <v>0</v>
      </c>
      <c r="U9" s="10"/>
      <c r="V9" s="10">
        <f t="shared" si="3"/>
        <v>0</v>
      </c>
      <c r="W9" s="12"/>
      <c r="X9" s="10" t="e">
        <f t="shared" si="4"/>
        <v>#DIV/0!</v>
      </c>
      <c r="Y9" s="10" t="e">
        <f t="shared" si="5"/>
        <v>#DIV/0!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 t="s">
        <v>47</v>
      </c>
      <c r="AK9" s="10"/>
      <c r="AL9" s="1"/>
      <c r="AM9" s="1"/>
      <c r="AN9" s="1"/>
      <c r="AO9" s="1"/>
      <c r="AP9" s="1"/>
      <c r="AQ9" s="1"/>
      <c r="AR9" s="1"/>
      <c r="AS9" s="1"/>
      <c r="AT9" s="1"/>
    </row>
    <row r="10" spans="1:46" x14ac:dyDescent="0.25">
      <c r="A10" s="1" t="s">
        <v>48</v>
      </c>
      <c r="B10" s="1" t="s">
        <v>46</v>
      </c>
      <c r="C10" s="1">
        <v>640</v>
      </c>
      <c r="D10" s="1">
        <v>1881</v>
      </c>
      <c r="E10" s="1">
        <v>694</v>
      </c>
      <c r="F10" s="1">
        <v>935</v>
      </c>
      <c r="G10" s="7">
        <v>0.45</v>
      </c>
      <c r="H10" s="1">
        <v>45</v>
      </c>
      <c r="I10" s="1" t="s">
        <v>42</v>
      </c>
      <c r="J10" s="1"/>
      <c r="K10" s="1">
        <v>719</v>
      </c>
      <c r="L10" s="1">
        <f t="shared" si="2"/>
        <v>-25</v>
      </c>
      <c r="M10" s="1"/>
      <c r="N10" s="1"/>
      <c r="O10" s="1"/>
      <c r="P10" s="1">
        <v>0</v>
      </c>
      <c r="Q10" s="1"/>
      <c r="R10" s="1"/>
      <c r="S10" s="1"/>
      <c r="T10" s="1">
        <v>339.11555200000038</v>
      </c>
      <c r="U10" s="1"/>
      <c r="V10" s="1">
        <f t="shared" si="3"/>
        <v>138.80000000000001</v>
      </c>
      <c r="W10" s="5">
        <f t="shared" ref="W10:W22" si="7">11*V10-U10-T10-S10-R10-Q10-P10-O10-F10</f>
        <v>252.68444799999975</v>
      </c>
      <c r="X10" s="1">
        <f t="shared" si="4"/>
        <v>11</v>
      </c>
      <c r="Y10" s="1">
        <f t="shared" si="5"/>
        <v>9.1795068587896278</v>
      </c>
      <c r="Z10" s="1">
        <v>146</v>
      </c>
      <c r="AA10" s="1">
        <v>145.4</v>
      </c>
      <c r="AB10" s="1">
        <v>163.19999999999999</v>
      </c>
      <c r="AC10" s="1">
        <v>166.4</v>
      </c>
      <c r="AD10" s="1">
        <v>157.4</v>
      </c>
      <c r="AE10" s="1">
        <v>159.4</v>
      </c>
      <c r="AF10" s="1">
        <v>129.6</v>
      </c>
      <c r="AG10" s="1">
        <v>121.2</v>
      </c>
      <c r="AH10" s="1">
        <v>121</v>
      </c>
      <c r="AI10" s="1">
        <v>122.6</v>
      </c>
      <c r="AJ10" s="1"/>
      <c r="AK10" s="1">
        <f t="shared" ref="AK10:AK22" si="8">G10*W10</f>
        <v>113.70800159999989</v>
      </c>
      <c r="AL10" s="1"/>
      <c r="AM10" s="1"/>
      <c r="AN10" s="1"/>
      <c r="AO10" s="1"/>
      <c r="AP10" s="1"/>
      <c r="AQ10" s="1"/>
      <c r="AR10" s="1"/>
      <c r="AS10" s="1"/>
      <c r="AT10" s="1"/>
    </row>
    <row r="11" spans="1:46" x14ac:dyDescent="0.25">
      <c r="A11" s="1" t="s">
        <v>49</v>
      </c>
      <c r="B11" s="1" t="s">
        <v>46</v>
      </c>
      <c r="C11" s="1">
        <v>1196.24</v>
      </c>
      <c r="D11" s="1">
        <v>2332.7600000000002</v>
      </c>
      <c r="E11" s="1">
        <v>996</v>
      </c>
      <c r="F11" s="1">
        <v>868</v>
      </c>
      <c r="G11" s="7">
        <v>0.45</v>
      </c>
      <c r="H11" s="1">
        <v>45</v>
      </c>
      <c r="I11" s="1" t="s">
        <v>42</v>
      </c>
      <c r="J11" s="1"/>
      <c r="K11" s="1">
        <v>1020</v>
      </c>
      <c r="L11" s="1">
        <f t="shared" si="2"/>
        <v>-24</v>
      </c>
      <c r="M11" s="1"/>
      <c r="N11" s="1"/>
      <c r="O11" s="1"/>
      <c r="P11" s="1">
        <v>116.0135764000002</v>
      </c>
      <c r="Q11" s="1">
        <v>174.02036460000039</v>
      </c>
      <c r="R11" s="1"/>
      <c r="S11" s="1"/>
      <c r="T11" s="1">
        <v>496.16705900000011</v>
      </c>
      <c r="U11" s="1"/>
      <c r="V11" s="1">
        <f t="shared" si="3"/>
        <v>199.2</v>
      </c>
      <c r="W11" s="5">
        <f t="shared" si="7"/>
        <v>536.99899999999911</v>
      </c>
      <c r="X11" s="1">
        <f t="shared" si="4"/>
        <v>11</v>
      </c>
      <c r="Y11" s="1">
        <f t="shared" si="5"/>
        <v>8.3042218875502041</v>
      </c>
      <c r="Z11" s="1">
        <v>198.6</v>
      </c>
      <c r="AA11" s="1">
        <v>206</v>
      </c>
      <c r="AB11" s="1">
        <v>206.2</v>
      </c>
      <c r="AC11" s="1">
        <v>205.4</v>
      </c>
      <c r="AD11" s="1">
        <v>250.2</v>
      </c>
      <c r="AE11" s="1">
        <v>262.2</v>
      </c>
      <c r="AF11" s="1">
        <v>226.6</v>
      </c>
      <c r="AG11" s="1">
        <v>220.8</v>
      </c>
      <c r="AH11" s="1">
        <v>239.6</v>
      </c>
      <c r="AI11" s="1">
        <v>248.2</v>
      </c>
      <c r="AJ11" s="1"/>
      <c r="AK11" s="1">
        <f t="shared" si="8"/>
        <v>241.64954999999961</v>
      </c>
      <c r="AL11" s="1"/>
      <c r="AM11" s="1"/>
      <c r="AN11" s="1"/>
      <c r="AO11" s="1"/>
      <c r="AP11" s="1"/>
      <c r="AQ11" s="1"/>
      <c r="AR11" s="1"/>
      <c r="AS11" s="1"/>
      <c r="AT11" s="1"/>
    </row>
    <row r="12" spans="1:46" x14ac:dyDescent="0.25">
      <c r="A12" s="1" t="s">
        <v>50</v>
      </c>
      <c r="B12" s="1" t="s">
        <v>46</v>
      </c>
      <c r="C12" s="1">
        <v>182</v>
      </c>
      <c r="D12" s="1">
        <v>5</v>
      </c>
      <c r="E12" s="1">
        <v>74</v>
      </c>
      <c r="F12" s="1">
        <v>104</v>
      </c>
      <c r="G12" s="7">
        <v>0.17</v>
      </c>
      <c r="H12" s="1">
        <v>180</v>
      </c>
      <c r="I12" s="1" t="s">
        <v>42</v>
      </c>
      <c r="J12" s="1"/>
      <c r="K12" s="1">
        <v>74</v>
      </c>
      <c r="L12" s="1">
        <f t="shared" si="2"/>
        <v>0</v>
      </c>
      <c r="M12" s="1"/>
      <c r="N12" s="1"/>
      <c r="O12" s="1"/>
      <c r="P12" s="1">
        <v>0</v>
      </c>
      <c r="Q12" s="1"/>
      <c r="R12" s="1"/>
      <c r="S12" s="1"/>
      <c r="T12" s="1">
        <v>10</v>
      </c>
      <c r="U12" s="1"/>
      <c r="V12" s="1">
        <f t="shared" si="3"/>
        <v>14.8</v>
      </c>
      <c r="W12" s="5">
        <f t="shared" si="7"/>
        <v>48.800000000000011</v>
      </c>
      <c r="X12" s="1">
        <f t="shared" si="4"/>
        <v>11</v>
      </c>
      <c r="Y12" s="1">
        <f t="shared" si="5"/>
        <v>7.7027027027027026</v>
      </c>
      <c r="Z12" s="1">
        <v>11.8</v>
      </c>
      <c r="AA12" s="1">
        <v>11</v>
      </c>
      <c r="AB12" s="1">
        <v>15.8</v>
      </c>
      <c r="AC12" s="1">
        <v>20.399999999999999</v>
      </c>
      <c r="AD12" s="1">
        <v>21.4</v>
      </c>
      <c r="AE12" s="1">
        <v>18.600000000000001</v>
      </c>
      <c r="AF12" s="1">
        <v>14.2</v>
      </c>
      <c r="AG12" s="1">
        <v>15</v>
      </c>
      <c r="AH12" s="1">
        <v>13.8</v>
      </c>
      <c r="AI12" s="1">
        <v>12.8</v>
      </c>
      <c r="AJ12" s="1"/>
      <c r="AK12" s="1">
        <f t="shared" si="8"/>
        <v>8.2960000000000029</v>
      </c>
      <c r="AL12" s="1"/>
      <c r="AM12" s="1"/>
      <c r="AN12" s="1"/>
      <c r="AO12" s="1"/>
      <c r="AP12" s="1"/>
      <c r="AQ12" s="1"/>
      <c r="AR12" s="1"/>
      <c r="AS12" s="1"/>
      <c r="AT12" s="1"/>
    </row>
    <row r="13" spans="1:46" x14ac:dyDescent="0.25">
      <c r="A13" s="1" t="s">
        <v>51</v>
      </c>
      <c r="B13" s="1" t="s">
        <v>46</v>
      </c>
      <c r="C13" s="1">
        <v>57</v>
      </c>
      <c r="D13" s="1">
        <v>179</v>
      </c>
      <c r="E13" s="1">
        <v>142</v>
      </c>
      <c r="F13" s="1">
        <v>1</v>
      </c>
      <c r="G13" s="7">
        <v>0.3</v>
      </c>
      <c r="H13" s="1">
        <v>40</v>
      </c>
      <c r="I13" s="9" t="s">
        <v>52</v>
      </c>
      <c r="J13" s="1"/>
      <c r="K13" s="1">
        <v>142</v>
      </c>
      <c r="L13" s="1">
        <f t="shared" si="2"/>
        <v>0</v>
      </c>
      <c r="M13" s="1"/>
      <c r="N13" s="1"/>
      <c r="O13" s="1"/>
      <c r="P13" s="1">
        <v>80</v>
      </c>
      <c r="Q13" s="1">
        <v>120</v>
      </c>
      <c r="R13" s="1"/>
      <c r="S13" s="1"/>
      <c r="T13" s="1">
        <v>112</v>
      </c>
      <c r="U13" s="1"/>
      <c r="V13" s="1">
        <f t="shared" si="3"/>
        <v>28.4</v>
      </c>
      <c r="W13" s="5">
        <v>10</v>
      </c>
      <c r="X13" s="1">
        <f t="shared" si="4"/>
        <v>11.373239436619718</v>
      </c>
      <c r="Y13" s="1">
        <f t="shared" si="5"/>
        <v>11.02112676056338</v>
      </c>
      <c r="Z13" s="1">
        <v>36</v>
      </c>
      <c r="AA13" s="1">
        <v>39.4</v>
      </c>
      <c r="AB13" s="1">
        <v>26</v>
      </c>
      <c r="AC13" s="1">
        <v>10.8</v>
      </c>
      <c r="AD13" s="1">
        <v>12.4</v>
      </c>
      <c r="AE13" s="1">
        <v>11.2</v>
      </c>
      <c r="AF13" s="1">
        <v>3.4</v>
      </c>
      <c r="AG13" s="1">
        <v>0.4</v>
      </c>
      <c r="AH13" s="1">
        <v>12.4</v>
      </c>
      <c r="AI13" s="1">
        <v>19.2</v>
      </c>
      <c r="AJ13" s="1"/>
      <c r="AK13" s="1">
        <f t="shared" si="8"/>
        <v>3</v>
      </c>
      <c r="AL13" s="1"/>
      <c r="AM13" s="1"/>
      <c r="AN13" s="1"/>
      <c r="AO13" s="1"/>
      <c r="AP13" s="1"/>
      <c r="AQ13" s="1"/>
      <c r="AR13" s="1"/>
      <c r="AS13" s="1"/>
      <c r="AT13" s="1"/>
    </row>
    <row r="14" spans="1:46" x14ac:dyDescent="0.25">
      <c r="A14" s="1" t="s">
        <v>53</v>
      </c>
      <c r="B14" s="1" t="s">
        <v>46</v>
      </c>
      <c r="C14" s="1">
        <v>242</v>
      </c>
      <c r="D14" s="1">
        <v>373</v>
      </c>
      <c r="E14" s="1">
        <v>213</v>
      </c>
      <c r="F14" s="1">
        <v>346</v>
      </c>
      <c r="G14" s="7">
        <v>0.17</v>
      </c>
      <c r="H14" s="1">
        <v>180</v>
      </c>
      <c r="I14" s="1" t="s">
        <v>42</v>
      </c>
      <c r="J14" s="1"/>
      <c r="K14" s="1">
        <v>213</v>
      </c>
      <c r="L14" s="1">
        <f t="shared" si="2"/>
        <v>0</v>
      </c>
      <c r="M14" s="1"/>
      <c r="N14" s="1"/>
      <c r="O14" s="1"/>
      <c r="P14" s="1">
        <v>0</v>
      </c>
      <c r="Q14" s="1"/>
      <c r="R14" s="1"/>
      <c r="S14" s="1"/>
      <c r="T14" s="1">
        <v>93.905999999999949</v>
      </c>
      <c r="U14" s="1"/>
      <c r="V14" s="1">
        <f t="shared" si="3"/>
        <v>42.6</v>
      </c>
      <c r="W14" s="5">
        <f t="shared" si="7"/>
        <v>28.694000000000074</v>
      </c>
      <c r="X14" s="1">
        <f t="shared" si="4"/>
        <v>11</v>
      </c>
      <c r="Y14" s="1">
        <f t="shared" si="5"/>
        <v>10.326431924882627</v>
      </c>
      <c r="Z14" s="1">
        <v>45.8</v>
      </c>
      <c r="AA14" s="1">
        <v>48.6</v>
      </c>
      <c r="AB14" s="1">
        <v>53.8</v>
      </c>
      <c r="AC14" s="1">
        <v>56.6</v>
      </c>
      <c r="AD14" s="1">
        <v>54.4</v>
      </c>
      <c r="AE14" s="1">
        <v>61.4</v>
      </c>
      <c r="AF14" s="1">
        <v>53.8</v>
      </c>
      <c r="AG14" s="1">
        <v>47.8</v>
      </c>
      <c r="AH14" s="1">
        <v>45.8</v>
      </c>
      <c r="AI14" s="1">
        <v>47.6</v>
      </c>
      <c r="AJ14" s="1"/>
      <c r="AK14" s="1">
        <f t="shared" si="8"/>
        <v>4.8779800000000133</v>
      </c>
      <c r="AL14" s="1"/>
      <c r="AM14" s="1"/>
      <c r="AN14" s="1"/>
      <c r="AO14" s="1"/>
      <c r="AP14" s="1"/>
      <c r="AQ14" s="1"/>
      <c r="AR14" s="1"/>
      <c r="AS14" s="1"/>
      <c r="AT14" s="1"/>
    </row>
    <row r="15" spans="1:46" x14ac:dyDescent="0.25">
      <c r="A15" s="1" t="s">
        <v>54</v>
      </c>
      <c r="B15" s="1" t="s">
        <v>41</v>
      </c>
      <c r="C15" s="1">
        <v>1268.8219999999999</v>
      </c>
      <c r="D15" s="1">
        <v>1096.127</v>
      </c>
      <c r="E15" s="1">
        <v>1198.0530000000001</v>
      </c>
      <c r="F15" s="1">
        <v>738.31100000000004</v>
      </c>
      <c r="G15" s="7">
        <v>1</v>
      </c>
      <c r="H15" s="1">
        <v>70</v>
      </c>
      <c r="I15" s="9" t="s">
        <v>52</v>
      </c>
      <c r="J15" s="1"/>
      <c r="K15" s="1">
        <v>1152.308</v>
      </c>
      <c r="L15" s="1">
        <f t="shared" si="2"/>
        <v>45.745000000000118</v>
      </c>
      <c r="M15" s="1"/>
      <c r="N15" s="1"/>
      <c r="O15" s="1"/>
      <c r="P15" s="1">
        <v>441.92989840000013</v>
      </c>
      <c r="Q15" s="1">
        <v>662.89484759999993</v>
      </c>
      <c r="R15" s="1"/>
      <c r="S15" s="1"/>
      <c r="T15" s="1">
        <v>614.39529999999991</v>
      </c>
      <c r="U15" s="1"/>
      <c r="V15" s="1">
        <f t="shared" si="3"/>
        <v>239.61060000000003</v>
      </c>
      <c r="W15" s="5">
        <f t="shared" si="7"/>
        <v>178.18555400000025</v>
      </c>
      <c r="X15" s="1">
        <f t="shared" si="4"/>
        <v>11</v>
      </c>
      <c r="Y15" s="1">
        <f t="shared" si="5"/>
        <v>10.256353625423916</v>
      </c>
      <c r="Z15" s="1">
        <v>266.99099999999999</v>
      </c>
      <c r="AA15" s="1">
        <v>267.36419999999998</v>
      </c>
      <c r="AB15" s="1">
        <v>230.82159999999999</v>
      </c>
      <c r="AC15" s="1">
        <v>233.12559999999999</v>
      </c>
      <c r="AD15" s="1">
        <v>259.81060000000002</v>
      </c>
      <c r="AE15" s="1">
        <v>267.96080000000001</v>
      </c>
      <c r="AF15" s="1">
        <v>195.66640000000001</v>
      </c>
      <c r="AG15" s="1">
        <v>187.86779999999999</v>
      </c>
      <c r="AH15" s="1">
        <v>228.3366</v>
      </c>
      <c r="AI15" s="1">
        <v>217.41739999999999</v>
      </c>
      <c r="AJ15" s="1"/>
      <c r="AK15" s="1">
        <f t="shared" si="8"/>
        <v>178.18555400000025</v>
      </c>
      <c r="AL15" s="1"/>
      <c r="AM15" s="1"/>
      <c r="AN15" s="1"/>
      <c r="AO15" s="1"/>
      <c r="AP15" s="1"/>
      <c r="AQ15" s="1"/>
      <c r="AR15" s="1"/>
      <c r="AS15" s="1"/>
      <c r="AT15" s="1"/>
    </row>
    <row r="16" spans="1:46" x14ac:dyDescent="0.25">
      <c r="A16" s="1" t="s">
        <v>55</v>
      </c>
      <c r="B16" s="1" t="s">
        <v>41</v>
      </c>
      <c r="C16" s="1">
        <v>4615.8370000000004</v>
      </c>
      <c r="D16" s="1">
        <v>5664.5730000000003</v>
      </c>
      <c r="E16" s="1">
        <v>3837.0680000000002</v>
      </c>
      <c r="F16" s="1">
        <v>4447.134</v>
      </c>
      <c r="G16" s="7">
        <v>1</v>
      </c>
      <c r="H16" s="1">
        <v>50</v>
      </c>
      <c r="I16" s="1" t="s">
        <v>42</v>
      </c>
      <c r="J16" s="1"/>
      <c r="K16" s="1">
        <v>3843.7</v>
      </c>
      <c r="L16" s="1">
        <f t="shared" si="2"/>
        <v>-6.6319999999996071</v>
      </c>
      <c r="M16" s="1"/>
      <c r="N16" s="1"/>
      <c r="O16" s="1">
        <v>300</v>
      </c>
      <c r="P16" s="1">
        <v>1794.480259187002</v>
      </c>
      <c r="Q16" s="1">
        <v>750</v>
      </c>
      <c r="R16" s="1"/>
      <c r="S16" s="1">
        <v>600</v>
      </c>
      <c r="T16" s="1"/>
      <c r="U16" s="1"/>
      <c r="V16" s="1">
        <f t="shared" si="3"/>
        <v>767.41360000000009</v>
      </c>
      <c r="W16" s="5">
        <f t="shared" si="7"/>
        <v>549.93534081299822</v>
      </c>
      <c r="X16" s="1">
        <f t="shared" si="4"/>
        <v>10.999999999999998</v>
      </c>
      <c r="Y16" s="1">
        <f t="shared" si="5"/>
        <v>10.283391197637103</v>
      </c>
      <c r="Z16" s="1">
        <v>828.15359999999998</v>
      </c>
      <c r="AA16" s="1">
        <v>790.303</v>
      </c>
      <c r="AB16" s="1">
        <v>764.45860000000005</v>
      </c>
      <c r="AC16" s="1">
        <v>816.20259999999996</v>
      </c>
      <c r="AD16" s="1">
        <v>828.27839999999992</v>
      </c>
      <c r="AE16" s="1">
        <v>796.69399999999996</v>
      </c>
      <c r="AF16" s="1">
        <v>602.02499999999998</v>
      </c>
      <c r="AG16" s="1">
        <v>540.52719999999999</v>
      </c>
      <c r="AH16" s="1">
        <v>666.84559999999999</v>
      </c>
      <c r="AI16" s="1">
        <v>674.39080000000001</v>
      </c>
      <c r="AJ16" s="1"/>
      <c r="AK16" s="1">
        <f t="shared" si="8"/>
        <v>549.93534081299822</v>
      </c>
      <c r="AL16" s="1"/>
      <c r="AM16" s="1"/>
      <c r="AN16" s="1"/>
      <c r="AO16" s="1"/>
      <c r="AP16" s="1"/>
      <c r="AQ16" s="1"/>
      <c r="AR16" s="1"/>
      <c r="AS16" s="1"/>
      <c r="AT16" s="1"/>
    </row>
    <row r="17" spans="1:46" x14ac:dyDescent="0.25">
      <c r="A17" s="1" t="s">
        <v>56</v>
      </c>
      <c r="B17" s="1" t="s">
        <v>41</v>
      </c>
      <c r="C17" s="1">
        <v>104.46899999999999</v>
      </c>
      <c r="D17" s="1">
        <v>81.893000000000001</v>
      </c>
      <c r="E17" s="1">
        <v>103.624</v>
      </c>
      <c r="F17" s="1">
        <v>56.505000000000003</v>
      </c>
      <c r="G17" s="7">
        <v>1</v>
      </c>
      <c r="H17" s="1">
        <v>60</v>
      </c>
      <c r="I17" s="1" t="s">
        <v>42</v>
      </c>
      <c r="J17" s="1"/>
      <c r="K17" s="1">
        <v>101.68</v>
      </c>
      <c r="L17" s="1">
        <f t="shared" si="2"/>
        <v>1.9439999999999884</v>
      </c>
      <c r="M17" s="1"/>
      <c r="N17" s="1"/>
      <c r="O17" s="1"/>
      <c r="P17" s="1">
        <v>89.690433999999968</v>
      </c>
      <c r="Q17" s="1"/>
      <c r="R17" s="1"/>
      <c r="S17" s="1"/>
      <c r="T17" s="1">
        <v>81.954499999999996</v>
      </c>
      <c r="U17" s="1"/>
      <c r="V17" s="1">
        <f t="shared" si="3"/>
        <v>20.724799999999998</v>
      </c>
      <c r="W17" s="5"/>
      <c r="X17" s="1">
        <f t="shared" si="4"/>
        <v>11.008546958233614</v>
      </c>
      <c r="Y17" s="1">
        <f t="shared" si="5"/>
        <v>11.008546958233614</v>
      </c>
      <c r="Z17" s="1">
        <v>23.348199999999999</v>
      </c>
      <c r="AA17" s="1">
        <v>19.873799999999999</v>
      </c>
      <c r="AB17" s="1">
        <v>16.658200000000001</v>
      </c>
      <c r="AC17" s="1">
        <v>19.036799999999999</v>
      </c>
      <c r="AD17" s="1">
        <v>21.176200000000001</v>
      </c>
      <c r="AE17" s="1">
        <v>19.1052</v>
      </c>
      <c r="AF17" s="1">
        <v>13.417199999999999</v>
      </c>
      <c r="AG17" s="1">
        <v>12.323</v>
      </c>
      <c r="AH17" s="1">
        <v>17.948399999999999</v>
      </c>
      <c r="AI17" s="1">
        <v>19.870200000000001</v>
      </c>
      <c r="AJ17" s="1"/>
      <c r="AK17" s="1">
        <f t="shared" si="8"/>
        <v>0</v>
      </c>
      <c r="AL17" s="1"/>
      <c r="AM17" s="1"/>
      <c r="AN17" s="1"/>
      <c r="AO17" s="1"/>
      <c r="AP17" s="1"/>
      <c r="AQ17" s="1"/>
      <c r="AR17" s="1"/>
      <c r="AS17" s="1"/>
      <c r="AT17" s="1"/>
    </row>
    <row r="18" spans="1:46" x14ac:dyDescent="0.25">
      <c r="A18" s="1" t="s">
        <v>57</v>
      </c>
      <c r="B18" s="1" t="s">
        <v>41</v>
      </c>
      <c r="C18" s="1">
        <v>143.76599999999999</v>
      </c>
      <c r="D18" s="1">
        <v>20.587</v>
      </c>
      <c r="E18" s="1">
        <v>68.307000000000002</v>
      </c>
      <c r="F18" s="1">
        <v>49.765000000000001</v>
      </c>
      <c r="G18" s="7">
        <v>1</v>
      </c>
      <c r="H18" s="1">
        <v>60</v>
      </c>
      <c r="I18" s="9" t="s">
        <v>52</v>
      </c>
      <c r="J18" s="1"/>
      <c r="K18" s="1">
        <v>68.180000000000007</v>
      </c>
      <c r="L18" s="1">
        <f t="shared" si="2"/>
        <v>0.12699999999999534</v>
      </c>
      <c r="M18" s="1"/>
      <c r="N18" s="1"/>
      <c r="O18" s="1"/>
      <c r="P18" s="1">
        <v>71.894199999999998</v>
      </c>
      <c r="Q18" s="1"/>
      <c r="R18" s="1"/>
      <c r="S18" s="1"/>
      <c r="T18" s="1">
        <v>53.036300000000033</v>
      </c>
      <c r="U18" s="1"/>
      <c r="V18" s="1">
        <f t="shared" si="3"/>
        <v>13.6614</v>
      </c>
      <c r="W18" s="5"/>
      <c r="X18" s="1">
        <f t="shared" si="4"/>
        <v>12.787525436631681</v>
      </c>
      <c r="Y18" s="1">
        <f t="shared" si="5"/>
        <v>12.787525436631681</v>
      </c>
      <c r="Z18" s="1">
        <v>18.693000000000001</v>
      </c>
      <c r="AA18" s="1">
        <v>17.530200000000001</v>
      </c>
      <c r="AB18" s="1">
        <v>12.1244</v>
      </c>
      <c r="AC18" s="1">
        <v>14.151199999999999</v>
      </c>
      <c r="AD18" s="1">
        <v>20.768999999999998</v>
      </c>
      <c r="AE18" s="1">
        <v>18.800599999999999</v>
      </c>
      <c r="AF18" s="1">
        <v>14.020799999999999</v>
      </c>
      <c r="AG18" s="1">
        <v>14.549200000000001</v>
      </c>
      <c r="AH18" s="1">
        <v>15.186</v>
      </c>
      <c r="AI18" s="1">
        <v>16.345400000000001</v>
      </c>
      <c r="AJ18" s="1"/>
      <c r="AK18" s="1">
        <f t="shared" si="8"/>
        <v>0</v>
      </c>
      <c r="AL18" s="1"/>
      <c r="AM18" s="1"/>
      <c r="AN18" s="1"/>
      <c r="AO18" s="1"/>
      <c r="AP18" s="1"/>
      <c r="AQ18" s="1"/>
      <c r="AR18" s="1"/>
      <c r="AS18" s="1"/>
      <c r="AT18" s="1"/>
    </row>
    <row r="19" spans="1:46" x14ac:dyDescent="0.25">
      <c r="A19" s="1" t="s">
        <v>58</v>
      </c>
      <c r="B19" s="1" t="s">
        <v>41</v>
      </c>
      <c r="C19" s="1">
        <v>12.14</v>
      </c>
      <c r="D19" s="1">
        <v>18.928000000000001</v>
      </c>
      <c r="E19" s="1">
        <v>9.0280000000000005</v>
      </c>
      <c r="F19" s="1">
        <v>9.2309999999999999</v>
      </c>
      <c r="G19" s="7">
        <v>1</v>
      </c>
      <c r="H19" s="1">
        <v>180</v>
      </c>
      <c r="I19" s="1" t="s">
        <v>42</v>
      </c>
      <c r="J19" s="1"/>
      <c r="K19" s="1">
        <v>8.9499999999999993</v>
      </c>
      <c r="L19" s="1">
        <f t="shared" si="2"/>
        <v>7.800000000000118E-2</v>
      </c>
      <c r="M19" s="1"/>
      <c r="N19" s="1"/>
      <c r="O19" s="1"/>
      <c r="P19" s="1">
        <v>0</v>
      </c>
      <c r="Q19" s="1"/>
      <c r="R19" s="1"/>
      <c r="S19" s="1"/>
      <c r="T19" s="1">
        <v>4</v>
      </c>
      <c r="U19" s="1"/>
      <c r="V19" s="1">
        <f t="shared" si="3"/>
        <v>1.8056000000000001</v>
      </c>
      <c r="W19" s="5">
        <f t="shared" si="7"/>
        <v>6.6306000000000029</v>
      </c>
      <c r="X19" s="1">
        <f t="shared" si="4"/>
        <v>11.000000000000002</v>
      </c>
      <c r="Y19" s="1">
        <f t="shared" si="5"/>
        <v>7.327758085954807</v>
      </c>
      <c r="Z19" s="1">
        <v>1.9366000000000001</v>
      </c>
      <c r="AA19" s="1">
        <v>1.5718000000000001</v>
      </c>
      <c r="AB19" s="1">
        <v>1.7906</v>
      </c>
      <c r="AC19" s="1">
        <v>2.5901999999999998</v>
      </c>
      <c r="AD19" s="1">
        <v>1.7988</v>
      </c>
      <c r="AE19" s="1">
        <v>1.4292</v>
      </c>
      <c r="AF19" s="1">
        <v>2.8586</v>
      </c>
      <c r="AG19" s="1">
        <v>2.6456</v>
      </c>
      <c r="AH19" s="1">
        <v>1.0746</v>
      </c>
      <c r="AI19" s="1">
        <v>1.3657999999999999</v>
      </c>
      <c r="AJ19" s="1"/>
      <c r="AK19" s="1">
        <f t="shared" si="8"/>
        <v>6.6306000000000029</v>
      </c>
      <c r="AL19" s="1"/>
      <c r="AM19" s="1"/>
      <c r="AN19" s="1"/>
      <c r="AO19" s="1"/>
      <c r="AP19" s="1"/>
      <c r="AQ19" s="1"/>
      <c r="AR19" s="1"/>
      <c r="AS19" s="1"/>
      <c r="AT19" s="1"/>
    </row>
    <row r="20" spans="1:46" x14ac:dyDescent="0.25">
      <c r="A20" s="1" t="s">
        <v>59</v>
      </c>
      <c r="B20" s="1" t="s">
        <v>41</v>
      </c>
      <c r="C20" s="1">
        <v>1609.1110000000001</v>
      </c>
      <c r="D20" s="1">
        <v>1623.491</v>
      </c>
      <c r="E20" s="1">
        <v>1333.444</v>
      </c>
      <c r="F20" s="1">
        <v>1318.338</v>
      </c>
      <c r="G20" s="7">
        <v>1</v>
      </c>
      <c r="H20" s="1">
        <v>60</v>
      </c>
      <c r="I20" s="1" t="s">
        <v>42</v>
      </c>
      <c r="J20" s="1"/>
      <c r="K20" s="1">
        <v>1292.307</v>
      </c>
      <c r="L20" s="1">
        <f t="shared" si="2"/>
        <v>41.136999999999944</v>
      </c>
      <c r="M20" s="1"/>
      <c r="N20" s="1"/>
      <c r="O20" s="1"/>
      <c r="P20" s="1">
        <v>308.05603985380179</v>
      </c>
      <c r="Q20" s="1">
        <v>462.08405978070277</v>
      </c>
      <c r="R20" s="1"/>
      <c r="S20" s="1"/>
      <c r="T20" s="1">
        <v>588.43427022429591</v>
      </c>
      <c r="U20" s="1"/>
      <c r="V20" s="1">
        <f t="shared" si="3"/>
        <v>266.68880000000001</v>
      </c>
      <c r="W20" s="5">
        <f t="shared" si="7"/>
        <v>256.66443014119955</v>
      </c>
      <c r="X20" s="1">
        <f t="shared" si="4"/>
        <v>10.999999999999998</v>
      </c>
      <c r="Y20" s="1">
        <f t="shared" si="5"/>
        <v>10.037588267144328</v>
      </c>
      <c r="Z20" s="1">
        <v>289.93419999999998</v>
      </c>
      <c r="AA20" s="1">
        <v>292.35160000000002</v>
      </c>
      <c r="AB20" s="1">
        <v>267.48160000000001</v>
      </c>
      <c r="AC20" s="1">
        <v>272.67099999999999</v>
      </c>
      <c r="AD20" s="1">
        <v>299.54820000000001</v>
      </c>
      <c r="AE20" s="1">
        <v>310.22800000000001</v>
      </c>
      <c r="AF20" s="1">
        <v>239.51920000000001</v>
      </c>
      <c r="AG20" s="1">
        <v>213.66820000000001</v>
      </c>
      <c r="AH20" s="1">
        <v>253.92599999999999</v>
      </c>
      <c r="AI20" s="1">
        <v>253.47559999999999</v>
      </c>
      <c r="AJ20" s="1"/>
      <c r="AK20" s="1">
        <f t="shared" si="8"/>
        <v>256.66443014119955</v>
      </c>
      <c r="AL20" s="1"/>
      <c r="AM20" s="1"/>
      <c r="AN20" s="1"/>
      <c r="AO20" s="1"/>
      <c r="AP20" s="1"/>
      <c r="AQ20" s="1"/>
      <c r="AR20" s="1"/>
      <c r="AS20" s="1"/>
      <c r="AT20" s="1"/>
    </row>
    <row r="21" spans="1:46" x14ac:dyDescent="0.25">
      <c r="A21" s="1" t="s">
        <v>60</v>
      </c>
      <c r="B21" s="1" t="s">
        <v>41</v>
      </c>
      <c r="C21" s="1">
        <v>191.822</v>
      </c>
      <c r="D21" s="1">
        <v>254.79900000000001</v>
      </c>
      <c r="E21" s="1">
        <v>239.523</v>
      </c>
      <c r="F21" s="1">
        <v>74.492000000000004</v>
      </c>
      <c r="G21" s="7">
        <v>1</v>
      </c>
      <c r="H21" s="1">
        <v>70</v>
      </c>
      <c r="I21" s="1" t="s">
        <v>42</v>
      </c>
      <c r="J21" s="1"/>
      <c r="K21" s="1">
        <v>231.482</v>
      </c>
      <c r="L21" s="1">
        <f t="shared" si="2"/>
        <v>8.0409999999999968</v>
      </c>
      <c r="M21" s="1"/>
      <c r="N21" s="1"/>
      <c r="O21" s="1"/>
      <c r="P21" s="1">
        <v>112.72496839999999</v>
      </c>
      <c r="Q21" s="1">
        <v>169.08745260000001</v>
      </c>
      <c r="R21" s="1"/>
      <c r="S21" s="1"/>
      <c r="T21" s="1">
        <v>136.04280000000011</v>
      </c>
      <c r="U21" s="1"/>
      <c r="V21" s="1">
        <f t="shared" si="3"/>
        <v>47.904600000000002</v>
      </c>
      <c r="W21" s="5">
        <f t="shared" si="7"/>
        <v>34.60337899999989</v>
      </c>
      <c r="X21" s="1">
        <f t="shared" si="4"/>
        <v>11</v>
      </c>
      <c r="Y21" s="1">
        <f t="shared" si="5"/>
        <v>10.277660621318205</v>
      </c>
      <c r="Z21" s="1">
        <v>59.2864</v>
      </c>
      <c r="AA21" s="1">
        <v>56.157799999999988</v>
      </c>
      <c r="AB21" s="1">
        <v>44.815800000000003</v>
      </c>
      <c r="AC21" s="1">
        <v>46.234999999999999</v>
      </c>
      <c r="AD21" s="1">
        <v>51.521799999999999</v>
      </c>
      <c r="AE21" s="1">
        <v>51.721600000000002</v>
      </c>
      <c r="AF21" s="1">
        <v>37.593200000000003</v>
      </c>
      <c r="AG21" s="1">
        <v>36.026400000000002</v>
      </c>
      <c r="AH21" s="1">
        <v>37.416800000000002</v>
      </c>
      <c r="AI21" s="1">
        <v>36.369999999999997</v>
      </c>
      <c r="AJ21" s="1"/>
      <c r="AK21" s="1">
        <f t="shared" si="8"/>
        <v>34.60337899999989</v>
      </c>
      <c r="AL21" s="1"/>
      <c r="AM21" s="1"/>
      <c r="AN21" s="1"/>
      <c r="AO21" s="1"/>
      <c r="AP21" s="1"/>
      <c r="AQ21" s="1"/>
      <c r="AR21" s="1"/>
      <c r="AS21" s="1"/>
      <c r="AT21" s="1"/>
    </row>
    <row r="22" spans="1:46" x14ac:dyDescent="0.25">
      <c r="A22" s="1" t="s">
        <v>61</v>
      </c>
      <c r="B22" s="1" t="s">
        <v>41</v>
      </c>
      <c r="C22" s="1">
        <v>1118.7239999999999</v>
      </c>
      <c r="D22" s="1">
        <v>120.7</v>
      </c>
      <c r="E22" s="1">
        <v>485.93</v>
      </c>
      <c r="F22" s="1">
        <v>629.279</v>
      </c>
      <c r="G22" s="7">
        <v>1</v>
      </c>
      <c r="H22" s="1">
        <v>70</v>
      </c>
      <c r="I22" s="9" t="s">
        <v>52</v>
      </c>
      <c r="J22" s="1"/>
      <c r="K22" s="1">
        <v>470.97500000000002</v>
      </c>
      <c r="L22" s="1">
        <f t="shared" si="2"/>
        <v>14.954999999999984</v>
      </c>
      <c r="M22" s="1"/>
      <c r="N22" s="1"/>
      <c r="O22" s="1"/>
      <c r="P22" s="1">
        <v>74.306600000000003</v>
      </c>
      <c r="Q22" s="1"/>
      <c r="R22" s="1"/>
      <c r="S22" s="1"/>
      <c r="T22" s="1">
        <v>282.67340000000019</v>
      </c>
      <c r="U22" s="1"/>
      <c r="V22" s="1">
        <f t="shared" si="3"/>
        <v>97.186000000000007</v>
      </c>
      <c r="W22" s="5">
        <f t="shared" si="7"/>
        <v>82.786999999999921</v>
      </c>
      <c r="X22" s="1">
        <f t="shared" si="4"/>
        <v>11.000000000000002</v>
      </c>
      <c r="Y22" s="1">
        <f t="shared" si="5"/>
        <v>10.148159199884759</v>
      </c>
      <c r="Z22" s="1">
        <v>100.78400000000001</v>
      </c>
      <c r="AA22" s="1">
        <v>98.3446</v>
      </c>
      <c r="AB22" s="1">
        <v>86.057199999999995</v>
      </c>
      <c r="AC22" s="1">
        <v>89.749800000000008</v>
      </c>
      <c r="AD22" s="1">
        <v>107.6352</v>
      </c>
      <c r="AE22" s="1">
        <v>111.0834</v>
      </c>
      <c r="AF22" s="1">
        <v>83.725200000000001</v>
      </c>
      <c r="AG22" s="1">
        <v>68.192800000000005</v>
      </c>
      <c r="AH22" s="1">
        <v>74.657200000000003</v>
      </c>
      <c r="AI22" s="1">
        <v>76.412599999999998</v>
      </c>
      <c r="AJ22" s="1" t="s">
        <v>62</v>
      </c>
      <c r="AK22" s="1">
        <f t="shared" si="8"/>
        <v>82.786999999999921</v>
      </c>
      <c r="AL22" s="1"/>
      <c r="AM22" s="1"/>
      <c r="AN22" s="1"/>
      <c r="AO22" s="1"/>
      <c r="AP22" s="1"/>
      <c r="AQ22" s="1"/>
      <c r="AR22" s="1"/>
      <c r="AS22" s="1"/>
      <c r="AT22" s="1"/>
    </row>
    <row r="23" spans="1:46" x14ac:dyDescent="0.25">
      <c r="A23" s="10" t="s">
        <v>63</v>
      </c>
      <c r="B23" s="10" t="s">
        <v>41</v>
      </c>
      <c r="C23" s="10"/>
      <c r="D23" s="10"/>
      <c r="E23" s="10"/>
      <c r="F23" s="10"/>
      <c r="G23" s="11">
        <v>0</v>
      </c>
      <c r="H23" s="10"/>
      <c r="I23" s="10" t="s">
        <v>42</v>
      </c>
      <c r="J23" s="10"/>
      <c r="K23" s="10"/>
      <c r="L23" s="10">
        <f t="shared" si="2"/>
        <v>0</v>
      </c>
      <c r="M23" s="10"/>
      <c r="N23" s="10"/>
      <c r="O23" s="10"/>
      <c r="P23" s="10">
        <v>0</v>
      </c>
      <c r="Q23" s="10"/>
      <c r="R23" s="10"/>
      <c r="S23" s="10"/>
      <c r="T23" s="10">
        <v>0</v>
      </c>
      <c r="U23" s="10"/>
      <c r="V23" s="10">
        <f t="shared" si="3"/>
        <v>0</v>
      </c>
      <c r="W23" s="12"/>
      <c r="X23" s="10" t="e">
        <f t="shared" si="4"/>
        <v>#DIV/0!</v>
      </c>
      <c r="Y23" s="10" t="e">
        <f t="shared" si="5"/>
        <v>#DIV/0!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 t="s">
        <v>47</v>
      </c>
      <c r="AK23" s="10"/>
      <c r="AL23" s="1"/>
      <c r="AM23" s="1"/>
      <c r="AN23" s="1"/>
      <c r="AO23" s="1"/>
      <c r="AP23" s="1"/>
      <c r="AQ23" s="1"/>
      <c r="AR23" s="1"/>
      <c r="AS23" s="1"/>
      <c r="AT23" s="1"/>
    </row>
    <row r="24" spans="1:46" x14ac:dyDescent="0.25">
      <c r="A24" s="1" t="s">
        <v>64</v>
      </c>
      <c r="B24" s="1" t="s">
        <v>41</v>
      </c>
      <c r="C24" s="1">
        <v>1124.904</v>
      </c>
      <c r="D24" s="1">
        <v>420.27600000000001</v>
      </c>
      <c r="E24" s="1">
        <v>772.23099999999999</v>
      </c>
      <c r="F24" s="1">
        <v>413.79599999999999</v>
      </c>
      <c r="G24" s="7">
        <v>1</v>
      </c>
      <c r="H24" s="1">
        <v>70</v>
      </c>
      <c r="I24" s="9" t="s">
        <v>52</v>
      </c>
      <c r="J24" s="1"/>
      <c r="K24" s="1">
        <v>744.3</v>
      </c>
      <c r="L24" s="1">
        <f t="shared" si="2"/>
        <v>27.93100000000004</v>
      </c>
      <c r="M24" s="1"/>
      <c r="N24" s="1"/>
      <c r="O24" s="1"/>
      <c r="P24" s="1">
        <v>190.60051999999999</v>
      </c>
      <c r="Q24" s="1">
        <v>285.90077999999988</v>
      </c>
      <c r="R24" s="1"/>
      <c r="S24" s="1"/>
      <c r="T24" s="1">
        <v>490.85520000000002</v>
      </c>
      <c r="U24" s="1"/>
      <c r="V24" s="1">
        <f t="shared" si="3"/>
        <v>154.4462</v>
      </c>
      <c r="W24" s="5">
        <f t="shared" ref="W24:W29" si="9">11*V24-U24-T24-S24-R24-Q24-P24-O24-F24</f>
        <v>317.75570000000022</v>
      </c>
      <c r="X24" s="1">
        <f t="shared" si="4"/>
        <v>11</v>
      </c>
      <c r="Y24" s="1">
        <f t="shared" si="5"/>
        <v>8.942612378938426</v>
      </c>
      <c r="Z24" s="1">
        <v>156.86439999999999</v>
      </c>
      <c r="AA24" s="1">
        <v>146.11439999999999</v>
      </c>
      <c r="AB24" s="1">
        <v>137.9374</v>
      </c>
      <c r="AC24" s="1">
        <v>140.28139999999999</v>
      </c>
      <c r="AD24" s="1">
        <v>155.126</v>
      </c>
      <c r="AE24" s="1">
        <v>164.63640000000001</v>
      </c>
      <c r="AF24" s="1">
        <v>125.02379999999999</v>
      </c>
      <c r="AG24" s="1">
        <v>109.46899999999999</v>
      </c>
      <c r="AH24" s="1">
        <v>119.8348</v>
      </c>
      <c r="AI24" s="1">
        <v>117.5896</v>
      </c>
      <c r="AJ24" s="1" t="s">
        <v>62</v>
      </c>
      <c r="AK24" s="1">
        <f t="shared" ref="AK24:AK29" si="10">G24*W24</f>
        <v>317.75570000000022</v>
      </c>
      <c r="AL24" s="1"/>
      <c r="AM24" s="1"/>
      <c r="AN24" s="1"/>
      <c r="AO24" s="1"/>
      <c r="AP24" s="1"/>
      <c r="AQ24" s="1"/>
      <c r="AR24" s="1"/>
      <c r="AS24" s="1"/>
      <c r="AT24" s="1"/>
    </row>
    <row r="25" spans="1:46" x14ac:dyDescent="0.25">
      <c r="A25" s="1" t="s">
        <v>65</v>
      </c>
      <c r="B25" s="1" t="s">
        <v>41</v>
      </c>
      <c r="C25" s="1">
        <v>40.091999999999999</v>
      </c>
      <c r="D25" s="1">
        <v>337.44299999999998</v>
      </c>
      <c r="E25" s="1">
        <v>182.26</v>
      </c>
      <c r="F25" s="1">
        <v>106.70699999999999</v>
      </c>
      <c r="G25" s="7">
        <v>1</v>
      </c>
      <c r="H25" s="1">
        <v>40</v>
      </c>
      <c r="I25" s="9" t="s">
        <v>52</v>
      </c>
      <c r="J25" s="1"/>
      <c r="K25" s="1">
        <v>185.55</v>
      </c>
      <c r="L25" s="1">
        <f t="shared" si="2"/>
        <v>-3.2900000000000205</v>
      </c>
      <c r="M25" s="1"/>
      <c r="N25" s="1"/>
      <c r="O25" s="1"/>
      <c r="P25" s="1">
        <v>7.7158000000000584</v>
      </c>
      <c r="Q25" s="1"/>
      <c r="R25" s="1"/>
      <c r="S25" s="1"/>
      <c r="T25" s="1">
        <v>84.894399999999962</v>
      </c>
      <c r="U25" s="1"/>
      <c r="V25" s="1">
        <f t="shared" si="3"/>
        <v>36.451999999999998</v>
      </c>
      <c r="W25" s="5">
        <f t="shared" si="9"/>
        <v>201.65479999999997</v>
      </c>
      <c r="X25" s="1">
        <f t="shared" si="4"/>
        <v>11</v>
      </c>
      <c r="Y25" s="1">
        <f t="shared" si="5"/>
        <v>5.4679359157247891</v>
      </c>
      <c r="Z25" s="1">
        <v>28.552800000000001</v>
      </c>
      <c r="AA25" s="1">
        <v>25.166799999999999</v>
      </c>
      <c r="AB25" s="1">
        <v>29.244199999999999</v>
      </c>
      <c r="AC25" s="1">
        <v>30.193000000000001</v>
      </c>
      <c r="AD25" s="1">
        <v>20.341200000000001</v>
      </c>
      <c r="AE25" s="1">
        <v>17.2774</v>
      </c>
      <c r="AF25" s="1">
        <v>12.4376</v>
      </c>
      <c r="AG25" s="1">
        <v>11.840400000000001</v>
      </c>
      <c r="AH25" s="1">
        <v>19.3386</v>
      </c>
      <c r="AI25" s="1">
        <v>18.895199999999999</v>
      </c>
      <c r="AJ25" s="1"/>
      <c r="AK25" s="1">
        <f t="shared" si="10"/>
        <v>201.65479999999997</v>
      </c>
      <c r="AL25" s="1"/>
      <c r="AM25" s="1"/>
      <c r="AN25" s="1"/>
      <c r="AO25" s="1"/>
      <c r="AP25" s="1"/>
      <c r="AQ25" s="1"/>
      <c r="AR25" s="1"/>
      <c r="AS25" s="1"/>
      <c r="AT25" s="1"/>
    </row>
    <row r="26" spans="1:46" x14ac:dyDescent="0.25">
      <c r="A26" s="1" t="s">
        <v>66</v>
      </c>
      <c r="B26" s="1" t="s">
        <v>41</v>
      </c>
      <c r="C26" s="1">
        <v>68.138000000000005</v>
      </c>
      <c r="D26" s="1">
        <v>390.86799999999999</v>
      </c>
      <c r="E26" s="1">
        <v>156.107</v>
      </c>
      <c r="F26" s="1">
        <v>206.08600000000001</v>
      </c>
      <c r="G26" s="7">
        <v>1</v>
      </c>
      <c r="H26" s="1">
        <v>30</v>
      </c>
      <c r="I26" s="9" t="s">
        <v>52</v>
      </c>
      <c r="J26" s="1"/>
      <c r="K26" s="1">
        <v>179.1</v>
      </c>
      <c r="L26" s="1">
        <f t="shared" si="2"/>
        <v>-22.992999999999995</v>
      </c>
      <c r="M26" s="1"/>
      <c r="N26" s="1"/>
      <c r="O26" s="1"/>
      <c r="P26" s="1">
        <v>75.611920000000012</v>
      </c>
      <c r="Q26" s="1">
        <v>113.41788</v>
      </c>
      <c r="R26" s="1"/>
      <c r="S26" s="1"/>
      <c r="T26" s="1">
        <v>77.959599999999952</v>
      </c>
      <c r="U26" s="1"/>
      <c r="V26" s="1">
        <f t="shared" si="3"/>
        <v>31.221399999999999</v>
      </c>
      <c r="W26" s="5">
        <v>30</v>
      </c>
      <c r="X26" s="1">
        <f t="shared" si="4"/>
        <v>16.113159563632639</v>
      </c>
      <c r="Y26" s="1">
        <f t="shared" si="5"/>
        <v>15.152280166808664</v>
      </c>
      <c r="Z26" s="1">
        <v>46.425600000000003</v>
      </c>
      <c r="AA26" s="1">
        <v>48.891800000000003</v>
      </c>
      <c r="AB26" s="1">
        <v>43.962200000000003</v>
      </c>
      <c r="AC26" s="1">
        <v>33.269799999999996</v>
      </c>
      <c r="AD26" s="1">
        <v>13.7828</v>
      </c>
      <c r="AE26" s="1">
        <v>31.713999999999999</v>
      </c>
      <c r="AF26" s="1">
        <v>56.964200000000012</v>
      </c>
      <c r="AG26" s="1">
        <v>51.535799999999988</v>
      </c>
      <c r="AH26" s="1">
        <v>64.481399999999994</v>
      </c>
      <c r="AI26" s="1">
        <v>63.1462</v>
      </c>
      <c r="AJ26" s="1"/>
      <c r="AK26" s="1">
        <f t="shared" si="10"/>
        <v>30</v>
      </c>
      <c r="AL26" s="1"/>
      <c r="AM26" s="1"/>
      <c r="AN26" s="1"/>
      <c r="AO26" s="1"/>
      <c r="AP26" s="1"/>
      <c r="AQ26" s="1"/>
      <c r="AR26" s="1"/>
      <c r="AS26" s="1"/>
      <c r="AT26" s="1"/>
    </row>
    <row r="27" spans="1:46" x14ac:dyDescent="0.25">
      <c r="A27" s="1" t="s">
        <v>67</v>
      </c>
      <c r="B27" s="1" t="s">
        <v>41</v>
      </c>
      <c r="C27" s="1">
        <v>135.94999999999999</v>
      </c>
      <c r="D27" s="1">
        <v>135.61600000000001</v>
      </c>
      <c r="E27" s="1">
        <v>147.755</v>
      </c>
      <c r="F27" s="1">
        <v>68.436000000000007</v>
      </c>
      <c r="G27" s="7">
        <v>1</v>
      </c>
      <c r="H27" s="1">
        <v>40</v>
      </c>
      <c r="I27" s="9" t="s">
        <v>52</v>
      </c>
      <c r="J27" s="1"/>
      <c r="K27" s="1">
        <v>136.4</v>
      </c>
      <c r="L27" s="1">
        <f t="shared" si="2"/>
        <v>11.35499999999999</v>
      </c>
      <c r="M27" s="1"/>
      <c r="N27" s="1"/>
      <c r="O27" s="1"/>
      <c r="P27" s="1">
        <v>94.127080000000007</v>
      </c>
      <c r="Q27" s="1">
        <v>141.19062</v>
      </c>
      <c r="R27" s="1"/>
      <c r="S27" s="1"/>
      <c r="T27" s="1">
        <v>17.217100000000119</v>
      </c>
      <c r="U27" s="1"/>
      <c r="V27" s="1">
        <f t="shared" si="3"/>
        <v>29.550999999999998</v>
      </c>
      <c r="W27" s="5">
        <v>10</v>
      </c>
      <c r="X27" s="1">
        <f t="shared" si="4"/>
        <v>11.199986464079053</v>
      </c>
      <c r="Y27" s="1">
        <f t="shared" si="5"/>
        <v>10.861588440323512</v>
      </c>
      <c r="Z27" s="1">
        <v>35.141000000000012</v>
      </c>
      <c r="AA27" s="1">
        <v>39.5794</v>
      </c>
      <c r="AB27" s="1">
        <v>32.5458</v>
      </c>
      <c r="AC27" s="1">
        <v>22.7224</v>
      </c>
      <c r="AD27" s="1">
        <v>6.7043999999999997</v>
      </c>
      <c r="AE27" s="1">
        <v>-0.26340000000000002</v>
      </c>
      <c r="AF27" s="1">
        <v>-0.60759999999999992</v>
      </c>
      <c r="AG27" s="1">
        <v>-1.0568</v>
      </c>
      <c r="AH27" s="1">
        <v>-1.4947999999999999</v>
      </c>
      <c r="AI27" s="1">
        <v>-1.6392</v>
      </c>
      <c r="AJ27" s="1"/>
      <c r="AK27" s="1">
        <f t="shared" si="10"/>
        <v>10</v>
      </c>
      <c r="AL27" s="1"/>
      <c r="AM27" s="1"/>
      <c r="AN27" s="1"/>
      <c r="AO27" s="1"/>
      <c r="AP27" s="1"/>
      <c r="AQ27" s="1"/>
      <c r="AR27" s="1"/>
      <c r="AS27" s="1"/>
      <c r="AT27" s="1"/>
    </row>
    <row r="28" spans="1:46" x14ac:dyDescent="0.25">
      <c r="A28" s="1" t="s">
        <v>68</v>
      </c>
      <c r="B28" s="1" t="s">
        <v>41</v>
      </c>
      <c r="C28" s="1">
        <v>714.65200000000004</v>
      </c>
      <c r="D28" s="1">
        <v>2633.84</v>
      </c>
      <c r="E28" s="1">
        <v>1403.556</v>
      </c>
      <c r="F28" s="1">
        <v>1298.67</v>
      </c>
      <c r="G28" s="7">
        <v>1</v>
      </c>
      <c r="H28" s="1">
        <v>30</v>
      </c>
      <c r="I28" s="9" t="s">
        <v>52</v>
      </c>
      <c r="J28" s="1"/>
      <c r="K28" s="1">
        <v>1455.07</v>
      </c>
      <c r="L28" s="1">
        <f t="shared" si="2"/>
        <v>-51.513999999999896</v>
      </c>
      <c r="M28" s="1"/>
      <c r="N28" s="1"/>
      <c r="O28" s="1"/>
      <c r="P28" s="1">
        <v>309.57335999999998</v>
      </c>
      <c r="Q28" s="1">
        <v>464.36003999999991</v>
      </c>
      <c r="R28" s="1"/>
      <c r="S28" s="1"/>
      <c r="T28" s="1">
        <v>647.4036000000001</v>
      </c>
      <c r="U28" s="1"/>
      <c r="V28" s="1">
        <f t="shared" si="3"/>
        <v>280.71120000000002</v>
      </c>
      <c r="W28" s="5">
        <f t="shared" si="9"/>
        <v>367.81620000000021</v>
      </c>
      <c r="X28" s="1">
        <f t="shared" si="4"/>
        <v>11</v>
      </c>
      <c r="Y28" s="1">
        <f t="shared" si="5"/>
        <v>9.6896988791327168</v>
      </c>
      <c r="Z28" s="1">
        <v>310.25920000000002</v>
      </c>
      <c r="AA28" s="1">
        <v>314.48059999999998</v>
      </c>
      <c r="AB28" s="1">
        <v>320.68</v>
      </c>
      <c r="AC28" s="1">
        <v>316.95460000000003</v>
      </c>
      <c r="AD28" s="1">
        <v>308.58339999999998</v>
      </c>
      <c r="AE28" s="1">
        <v>309.00920000000002</v>
      </c>
      <c r="AF28" s="1">
        <v>309.85000000000002</v>
      </c>
      <c r="AG28" s="1">
        <v>343.67439999999999</v>
      </c>
      <c r="AH28" s="1">
        <v>383.32839999999999</v>
      </c>
      <c r="AI28" s="1">
        <v>403.56360000000001</v>
      </c>
      <c r="AJ28" s="1"/>
      <c r="AK28" s="1">
        <f t="shared" si="10"/>
        <v>367.81620000000021</v>
      </c>
      <c r="AL28" s="1"/>
      <c r="AM28" s="1"/>
      <c r="AN28" s="1"/>
      <c r="AO28" s="1"/>
      <c r="AP28" s="1"/>
      <c r="AQ28" s="1"/>
      <c r="AR28" s="1"/>
      <c r="AS28" s="1"/>
      <c r="AT28" s="1"/>
    </row>
    <row r="29" spans="1:46" x14ac:dyDescent="0.25">
      <c r="A29" s="1" t="s">
        <v>69</v>
      </c>
      <c r="B29" s="1" t="s">
        <v>41</v>
      </c>
      <c r="C29" s="1">
        <v>1732.655</v>
      </c>
      <c r="D29" s="1">
        <v>1988.173</v>
      </c>
      <c r="E29" s="1">
        <v>1911.1590000000001</v>
      </c>
      <c r="F29" s="1">
        <v>1273.6559999999999</v>
      </c>
      <c r="G29" s="7">
        <v>1</v>
      </c>
      <c r="H29" s="1">
        <v>40</v>
      </c>
      <c r="I29" s="9" t="s">
        <v>52</v>
      </c>
      <c r="J29" s="1"/>
      <c r="K29" s="1">
        <v>1730.05</v>
      </c>
      <c r="L29" s="1">
        <f t="shared" si="2"/>
        <v>181.10900000000015</v>
      </c>
      <c r="M29" s="1"/>
      <c r="N29" s="1"/>
      <c r="O29" s="1"/>
      <c r="P29" s="1">
        <v>539.88983999999994</v>
      </c>
      <c r="Q29" s="1">
        <v>809.83475999999985</v>
      </c>
      <c r="R29" s="1"/>
      <c r="S29" s="1"/>
      <c r="T29" s="1">
        <v>650.52169999999956</v>
      </c>
      <c r="U29" s="1"/>
      <c r="V29" s="1">
        <f t="shared" si="3"/>
        <v>382.23180000000002</v>
      </c>
      <c r="W29" s="5">
        <f t="shared" si="9"/>
        <v>930.64750000000186</v>
      </c>
      <c r="X29" s="1">
        <f t="shared" si="4"/>
        <v>11.000000000000002</v>
      </c>
      <c r="Y29" s="1">
        <f t="shared" si="5"/>
        <v>8.5652274352892626</v>
      </c>
      <c r="Z29" s="1">
        <v>388.74599999999998</v>
      </c>
      <c r="AA29" s="1">
        <v>399.38979999999998</v>
      </c>
      <c r="AB29" s="1">
        <v>362.9348</v>
      </c>
      <c r="AC29" s="1">
        <v>381.44900000000001</v>
      </c>
      <c r="AD29" s="1">
        <v>488.75020000000012</v>
      </c>
      <c r="AE29" s="1">
        <v>422.90960000000001</v>
      </c>
      <c r="AF29" s="1">
        <v>262.32420000000002</v>
      </c>
      <c r="AG29" s="1">
        <v>321.25979999999998</v>
      </c>
      <c r="AH29" s="1">
        <v>287.47000000000003</v>
      </c>
      <c r="AI29" s="1">
        <v>116.49420000000001</v>
      </c>
      <c r="AJ29" s="1"/>
      <c r="AK29" s="1">
        <f t="shared" si="10"/>
        <v>930.64750000000186</v>
      </c>
      <c r="AL29" s="1"/>
      <c r="AM29" s="1"/>
      <c r="AN29" s="1"/>
      <c r="AO29" s="1"/>
      <c r="AP29" s="1"/>
      <c r="AQ29" s="1"/>
      <c r="AR29" s="1"/>
      <c r="AS29" s="1"/>
      <c r="AT29" s="1"/>
    </row>
    <row r="30" spans="1:46" x14ac:dyDescent="0.25">
      <c r="A30" s="10" t="s">
        <v>70</v>
      </c>
      <c r="B30" s="10" t="s">
        <v>41</v>
      </c>
      <c r="C30" s="10"/>
      <c r="D30" s="10"/>
      <c r="E30" s="10"/>
      <c r="F30" s="10"/>
      <c r="G30" s="11">
        <v>0</v>
      </c>
      <c r="H30" s="10"/>
      <c r="I30" s="10" t="s">
        <v>42</v>
      </c>
      <c r="J30" s="10"/>
      <c r="K30" s="10"/>
      <c r="L30" s="10">
        <f t="shared" si="2"/>
        <v>0</v>
      </c>
      <c r="M30" s="10"/>
      <c r="N30" s="10"/>
      <c r="O30" s="10"/>
      <c r="P30" s="10">
        <v>0</v>
      </c>
      <c r="Q30" s="10"/>
      <c r="R30" s="10"/>
      <c r="S30" s="10"/>
      <c r="T30" s="10">
        <v>0</v>
      </c>
      <c r="U30" s="10"/>
      <c r="V30" s="10">
        <f t="shared" si="3"/>
        <v>0</v>
      </c>
      <c r="W30" s="12"/>
      <c r="X30" s="10" t="e">
        <f t="shared" si="4"/>
        <v>#DIV/0!</v>
      </c>
      <c r="Y30" s="10" t="e">
        <f t="shared" si="5"/>
        <v>#DIV/0!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 t="s">
        <v>47</v>
      </c>
      <c r="AK30" s="10"/>
      <c r="AL30" s="1"/>
      <c r="AM30" s="1"/>
      <c r="AN30" s="1"/>
      <c r="AO30" s="1"/>
      <c r="AP30" s="1"/>
      <c r="AQ30" s="1"/>
      <c r="AR30" s="1"/>
      <c r="AS30" s="1"/>
      <c r="AT30" s="1"/>
    </row>
    <row r="31" spans="1:46" x14ac:dyDescent="0.25">
      <c r="A31" s="1" t="s">
        <v>71</v>
      </c>
      <c r="B31" s="1" t="s">
        <v>41</v>
      </c>
      <c r="C31" s="1">
        <v>64.781999999999996</v>
      </c>
      <c r="D31" s="1">
        <v>338.56900000000002</v>
      </c>
      <c r="E31" s="1">
        <v>158.71700000000001</v>
      </c>
      <c r="F31" s="1">
        <v>148.04300000000001</v>
      </c>
      <c r="G31" s="7">
        <v>1</v>
      </c>
      <c r="H31" s="1">
        <v>30</v>
      </c>
      <c r="I31" s="1" t="s">
        <v>42</v>
      </c>
      <c r="J31" s="1"/>
      <c r="K31" s="1">
        <v>174.3</v>
      </c>
      <c r="L31" s="1">
        <f t="shared" si="2"/>
        <v>-15.582999999999998</v>
      </c>
      <c r="M31" s="1"/>
      <c r="N31" s="1"/>
      <c r="O31" s="1"/>
      <c r="P31" s="1">
        <v>62.833172399999938</v>
      </c>
      <c r="Q31" s="1">
        <v>94.249758599999893</v>
      </c>
      <c r="R31" s="1">
        <v>-101</v>
      </c>
      <c r="S31" s="1"/>
      <c r="T31" s="1">
        <v>134.61399999999989</v>
      </c>
      <c r="U31" s="1"/>
      <c r="V31" s="1">
        <f t="shared" si="3"/>
        <v>31.743400000000001</v>
      </c>
      <c r="W31" s="5">
        <f>11*V31-U31-T31-S31-R31-Q31-P31-O31-F31</f>
        <v>10.437469000000277</v>
      </c>
      <c r="X31" s="1">
        <f t="shared" si="4"/>
        <v>11</v>
      </c>
      <c r="Y31" s="1">
        <f t="shared" si="5"/>
        <v>10.671192468355617</v>
      </c>
      <c r="Z31" s="1">
        <v>43.1676</v>
      </c>
      <c r="AA31" s="1">
        <v>41.247399999999999</v>
      </c>
      <c r="AB31" s="1">
        <v>33.716799999999999</v>
      </c>
      <c r="AC31" s="1">
        <v>37.151000000000003</v>
      </c>
      <c r="AD31" s="1">
        <v>40.635000000000012</v>
      </c>
      <c r="AE31" s="1">
        <v>42.814599999999999</v>
      </c>
      <c r="AF31" s="1">
        <v>37.282200000000003</v>
      </c>
      <c r="AG31" s="1">
        <v>38.766399999999997</v>
      </c>
      <c r="AH31" s="1">
        <v>36.948799999999999</v>
      </c>
      <c r="AI31" s="1">
        <v>31.436399999999999</v>
      </c>
      <c r="AJ31" s="1"/>
      <c r="AK31" s="1">
        <f>G31*W31</f>
        <v>10.437469000000277</v>
      </c>
      <c r="AL31" s="1"/>
      <c r="AM31" s="1"/>
      <c r="AN31" s="1"/>
      <c r="AO31" s="1"/>
      <c r="AP31" s="1"/>
      <c r="AQ31" s="1"/>
      <c r="AR31" s="1"/>
      <c r="AS31" s="1"/>
      <c r="AT31" s="1"/>
    </row>
    <row r="32" spans="1:46" x14ac:dyDescent="0.25">
      <c r="A32" s="10" t="s">
        <v>72</v>
      </c>
      <c r="B32" s="10" t="s">
        <v>41</v>
      </c>
      <c r="C32" s="10"/>
      <c r="D32" s="10"/>
      <c r="E32" s="10"/>
      <c r="F32" s="10"/>
      <c r="G32" s="11">
        <v>0</v>
      </c>
      <c r="H32" s="10"/>
      <c r="I32" s="10" t="s">
        <v>42</v>
      </c>
      <c r="J32" s="10"/>
      <c r="K32" s="10"/>
      <c r="L32" s="10">
        <f t="shared" si="2"/>
        <v>0</v>
      </c>
      <c r="M32" s="10"/>
      <c r="N32" s="10"/>
      <c r="O32" s="10"/>
      <c r="P32" s="10">
        <v>0</v>
      </c>
      <c r="Q32" s="10"/>
      <c r="R32" s="10"/>
      <c r="S32" s="10"/>
      <c r="T32" s="10">
        <v>0</v>
      </c>
      <c r="U32" s="10"/>
      <c r="V32" s="10">
        <f t="shared" si="3"/>
        <v>0</v>
      </c>
      <c r="W32" s="12"/>
      <c r="X32" s="10" t="e">
        <f t="shared" si="4"/>
        <v>#DIV/0!</v>
      </c>
      <c r="Y32" s="10" t="e">
        <f t="shared" si="5"/>
        <v>#DIV/0!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 t="s">
        <v>47</v>
      </c>
      <c r="AK32" s="10"/>
      <c r="AL32" s="1"/>
      <c r="AM32" s="1"/>
      <c r="AN32" s="1"/>
      <c r="AO32" s="1"/>
      <c r="AP32" s="1"/>
      <c r="AQ32" s="1"/>
      <c r="AR32" s="1"/>
      <c r="AS32" s="1"/>
      <c r="AT32" s="1"/>
    </row>
    <row r="33" spans="1:46" x14ac:dyDescent="0.25">
      <c r="A33" s="10" t="s">
        <v>73</v>
      </c>
      <c r="B33" s="10" t="s">
        <v>41</v>
      </c>
      <c r="C33" s="10"/>
      <c r="D33" s="10"/>
      <c r="E33" s="10"/>
      <c r="F33" s="10"/>
      <c r="G33" s="11">
        <v>0</v>
      </c>
      <c r="H33" s="10"/>
      <c r="I33" s="10" t="s">
        <v>42</v>
      </c>
      <c r="J33" s="10"/>
      <c r="K33" s="10"/>
      <c r="L33" s="10">
        <f t="shared" si="2"/>
        <v>0</v>
      </c>
      <c r="M33" s="10"/>
      <c r="N33" s="10"/>
      <c r="O33" s="10"/>
      <c r="P33" s="10">
        <v>0</v>
      </c>
      <c r="Q33" s="10"/>
      <c r="R33" s="10"/>
      <c r="S33" s="10"/>
      <c r="T33" s="10">
        <v>0</v>
      </c>
      <c r="U33" s="10"/>
      <c r="V33" s="10">
        <f t="shared" si="3"/>
        <v>0</v>
      </c>
      <c r="W33" s="12"/>
      <c r="X33" s="10" t="e">
        <f t="shared" si="4"/>
        <v>#DIV/0!</v>
      </c>
      <c r="Y33" s="10" t="e">
        <f t="shared" si="5"/>
        <v>#DIV/0!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 t="s">
        <v>47</v>
      </c>
      <c r="AK33" s="10"/>
      <c r="AL33" s="1"/>
      <c r="AM33" s="1"/>
      <c r="AN33" s="1"/>
      <c r="AO33" s="1"/>
      <c r="AP33" s="1"/>
      <c r="AQ33" s="1"/>
      <c r="AR33" s="1"/>
      <c r="AS33" s="1"/>
      <c r="AT33" s="1"/>
    </row>
    <row r="34" spans="1:46" x14ac:dyDescent="0.25">
      <c r="A34" s="1" t="s">
        <v>74</v>
      </c>
      <c r="B34" s="1" t="s">
        <v>46</v>
      </c>
      <c r="C34" s="1">
        <v>2028</v>
      </c>
      <c r="D34" s="1">
        <v>8504</v>
      </c>
      <c r="E34" s="1">
        <v>5183.3</v>
      </c>
      <c r="F34" s="1">
        <v>2464</v>
      </c>
      <c r="G34" s="7">
        <v>0.4</v>
      </c>
      <c r="H34" s="1">
        <v>45</v>
      </c>
      <c r="I34" s="9" t="s">
        <v>52</v>
      </c>
      <c r="J34" s="1"/>
      <c r="K34" s="1">
        <v>5241</v>
      </c>
      <c r="L34" s="1">
        <f t="shared" si="2"/>
        <v>-57.699999999999818</v>
      </c>
      <c r="M34" s="1"/>
      <c r="N34" s="1"/>
      <c r="O34" s="1"/>
      <c r="P34" s="1">
        <v>880</v>
      </c>
      <c r="Q34" s="1">
        <v>1320</v>
      </c>
      <c r="R34" s="1"/>
      <c r="S34" s="1"/>
      <c r="T34" s="1">
        <v>4969.2000000000007</v>
      </c>
      <c r="U34" s="1"/>
      <c r="V34" s="1">
        <f t="shared" si="3"/>
        <v>1036.6600000000001</v>
      </c>
      <c r="W34" s="5">
        <f t="shared" ref="W34:W84" si="11">11*V34-U34-T34-S34-R34-Q34-P34-O34-F34</f>
        <v>1770.0599999999995</v>
      </c>
      <c r="X34" s="1">
        <f t="shared" si="4"/>
        <v>11</v>
      </c>
      <c r="Y34" s="1">
        <f t="shared" si="5"/>
        <v>9.2925356433160342</v>
      </c>
      <c r="Z34" s="1">
        <v>1083.5999999999999</v>
      </c>
      <c r="AA34" s="1">
        <v>1082</v>
      </c>
      <c r="AB34" s="1">
        <v>1122.8</v>
      </c>
      <c r="AC34" s="1">
        <v>1122</v>
      </c>
      <c r="AD34" s="1">
        <v>775</v>
      </c>
      <c r="AE34" s="1">
        <v>836.2</v>
      </c>
      <c r="AF34" s="1">
        <v>969.8</v>
      </c>
      <c r="AG34" s="1">
        <v>933.4</v>
      </c>
      <c r="AH34" s="1">
        <v>1078.5999999999999</v>
      </c>
      <c r="AI34" s="1">
        <v>761.4</v>
      </c>
      <c r="AJ34" s="1"/>
      <c r="AK34" s="1">
        <f t="shared" ref="AK34:AK65" si="12">G34*W34</f>
        <v>708.02399999999989</v>
      </c>
      <c r="AL34" s="1"/>
      <c r="AM34" s="1"/>
      <c r="AN34" s="1"/>
      <c r="AO34" s="1"/>
      <c r="AP34" s="1"/>
      <c r="AQ34" s="1"/>
      <c r="AR34" s="1"/>
      <c r="AS34" s="1"/>
      <c r="AT34" s="1"/>
    </row>
    <row r="35" spans="1:46" x14ac:dyDescent="0.25">
      <c r="A35" s="1" t="s">
        <v>75</v>
      </c>
      <c r="B35" s="1" t="s">
        <v>46</v>
      </c>
      <c r="C35" s="1">
        <v>702</v>
      </c>
      <c r="D35" s="1">
        <v>1221</v>
      </c>
      <c r="E35" s="1">
        <v>524</v>
      </c>
      <c r="F35" s="1">
        <v>693</v>
      </c>
      <c r="G35" s="7">
        <v>0.45</v>
      </c>
      <c r="H35" s="1">
        <v>50</v>
      </c>
      <c r="I35" s="1" t="s">
        <v>42</v>
      </c>
      <c r="J35" s="1"/>
      <c r="K35" s="1">
        <v>527</v>
      </c>
      <c r="L35" s="1">
        <f t="shared" si="2"/>
        <v>-3</v>
      </c>
      <c r="M35" s="1"/>
      <c r="N35" s="1"/>
      <c r="O35" s="1"/>
      <c r="P35" s="1">
        <v>75.706770999999662</v>
      </c>
      <c r="Q35" s="1"/>
      <c r="R35" s="1"/>
      <c r="S35" s="1"/>
      <c r="T35" s="1">
        <v>222.20822900000019</v>
      </c>
      <c r="U35" s="1"/>
      <c r="V35" s="1">
        <f t="shared" si="3"/>
        <v>104.8</v>
      </c>
      <c r="W35" s="5">
        <f t="shared" si="11"/>
        <v>161.8850000000001</v>
      </c>
      <c r="X35" s="1">
        <f t="shared" si="4"/>
        <v>11</v>
      </c>
      <c r="Y35" s="1">
        <f t="shared" si="5"/>
        <v>9.4552958015267166</v>
      </c>
      <c r="Z35" s="1">
        <v>113.8</v>
      </c>
      <c r="AA35" s="1">
        <v>116.6</v>
      </c>
      <c r="AB35" s="1">
        <v>125.4</v>
      </c>
      <c r="AC35" s="1">
        <v>125.8</v>
      </c>
      <c r="AD35" s="1">
        <v>125.6</v>
      </c>
      <c r="AE35" s="1">
        <v>116.8</v>
      </c>
      <c r="AF35" s="1">
        <v>77</v>
      </c>
      <c r="AG35" s="1">
        <v>84.6</v>
      </c>
      <c r="AH35" s="1">
        <v>90.2</v>
      </c>
      <c r="AI35" s="1">
        <v>85.2</v>
      </c>
      <c r="AJ35" s="1"/>
      <c r="AK35" s="1">
        <f t="shared" si="12"/>
        <v>72.84825000000005</v>
      </c>
      <c r="AL35" s="1"/>
      <c r="AM35" s="1"/>
      <c r="AN35" s="1"/>
      <c r="AO35" s="1"/>
      <c r="AP35" s="1"/>
      <c r="AQ35" s="1"/>
      <c r="AR35" s="1"/>
      <c r="AS35" s="1"/>
      <c r="AT35" s="1"/>
    </row>
    <row r="36" spans="1:46" x14ac:dyDescent="0.25">
      <c r="A36" s="1" t="s">
        <v>76</v>
      </c>
      <c r="B36" s="1" t="s">
        <v>46</v>
      </c>
      <c r="C36" s="1">
        <v>744</v>
      </c>
      <c r="D36" s="1">
        <v>1583</v>
      </c>
      <c r="E36" s="1">
        <v>874</v>
      </c>
      <c r="F36" s="1">
        <v>761</v>
      </c>
      <c r="G36" s="7">
        <v>0.4</v>
      </c>
      <c r="H36" s="1">
        <v>45</v>
      </c>
      <c r="I36" s="9" t="s">
        <v>52</v>
      </c>
      <c r="J36" s="1"/>
      <c r="K36" s="1">
        <v>895</v>
      </c>
      <c r="L36" s="1">
        <f t="shared" si="2"/>
        <v>-21</v>
      </c>
      <c r="M36" s="1"/>
      <c r="N36" s="1"/>
      <c r="O36" s="1"/>
      <c r="P36" s="1">
        <v>72.639999999999972</v>
      </c>
      <c r="Q36" s="1">
        <v>108.95999999999989</v>
      </c>
      <c r="R36" s="1"/>
      <c r="S36" s="1"/>
      <c r="T36" s="1">
        <v>402.50000000000051</v>
      </c>
      <c r="U36" s="1"/>
      <c r="V36" s="1">
        <f t="shared" si="3"/>
        <v>174.8</v>
      </c>
      <c r="W36" s="5">
        <f t="shared" si="11"/>
        <v>577.70000000000005</v>
      </c>
      <c r="X36" s="1">
        <f t="shared" si="4"/>
        <v>11.000000000000002</v>
      </c>
      <c r="Y36" s="1">
        <f t="shared" si="5"/>
        <v>7.6950800915331827</v>
      </c>
      <c r="Z36" s="1">
        <v>159.4</v>
      </c>
      <c r="AA36" s="1">
        <v>167.6</v>
      </c>
      <c r="AB36" s="1">
        <v>160.4</v>
      </c>
      <c r="AC36" s="1">
        <v>185.2</v>
      </c>
      <c r="AD36" s="1">
        <v>146</v>
      </c>
      <c r="AE36" s="1">
        <v>110.2</v>
      </c>
      <c r="AF36" s="1">
        <v>93.4</v>
      </c>
      <c r="AG36" s="1">
        <v>36</v>
      </c>
      <c r="AH36" s="1">
        <v>-0.6</v>
      </c>
      <c r="AI36" s="1">
        <v>-1.2</v>
      </c>
      <c r="AJ36" s="1"/>
      <c r="AK36" s="1">
        <f t="shared" si="12"/>
        <v>231.08000000000004</v>
      </c>
      <c r="AL36" s="1"/>
      <c r="AM36" s="1"/>
      <c r="AN36" s="1"/>
      <c r="AO36" s="1"/>
      <c r="AP36" s="1"/>
      <c r="AQ36" s="1"/>
      <c r="AR36" s="1"/>
      <c r="AS36" s="1"/>
      <c r="AT36" s="1"/>
    </row>
    <row r="37" spans="1:46" x14ac:dyDescent="0.25">
      <c r="A37" s="1" t="s">
        <v>77</v>
      </c>
      <c r="B37" s="1" t="s">
        <v>46</v>
      </c>
      <c r="C37" s="1"/>
      <c r="D37" s="1">
        <v>61</v>
      </c>
      <c r="E37" s="1">
        <v>13</v>
      </c>
      <c r="F37" s="1">
        <v>46</v>
      </c>
      <c r="G37" s="7">
        <v>0.4</v>
      </c>
      <c r="H37" s="1">
        <v>40</v>
      </c>
      <c r="I37" s="9" t="s">
        <v>52</v>
      </c>
      <c r="J37" s="1"/>
      <c r="K37" s="1">
        <v>16</v>
      </c>
      <c r="L37" s="1">
        <f t="shared" si="2"/>
        <v>-3</v>
      </c>
      <c r="M37" s="1"/>
      <c r="N37" s="1"/>
      <c r="O37" s="1"/>
      <c r="P37" s="1">
        <v>0</v>
      </c>
      <c r="Q37" s="1"/>
      <c r="R37" s="1"/>
      <c r="S37" s="1"/>
      <c r="T37" s="1">
        <v>0</v>
      </c>
      <c r="U37" s="1"/>
      <c r="V37" s="1">
        <f t="shared" si="3"/>
        <v>2.6</v>
      </c>
      <c r="W37" s="5"/>
      <c r="X37" s="1">
        <f t="shared" si="4"/>
        <v>17.692307692307693</v>
      </c>
      <c r="Y37" s="1">
        <f t="shared" si="5"/>
        <v>17.692307692307693</v>
      </c>
      <c r="Z37" s="1">
        <v>1.6</v>
      </c>
      <c r="AA37" s="1">
        <v>0.6</v>
      </c>
      <c r="AB37" s="1">
        <v>2</v>
      </c>
      <c r="AC37" s="1">
        <v>2.8</v>
      </c>
      <c r="AD37" s="1">
        <v>1.4</v>
      </c>
      <c r="AE37" s="1">
        <v>0</v>
      </c>
      <c r="AF37" s="1">
        <v>0</v>
      </c>
      <c r="AG37" s="1">
        <v>-0.2</v>
      </c>
      <c r="AH37" s="1">
        <v>-0.4</v>
      </c>
      <c r="AI37" s="1">
        <v>-0.2</v>
      </c>
      <c r="AJ37" s="1"/>
      <c r="AK37" s="1">
        <f t="shared" si="12"/>
        <v>0</v>
      </c>
      <c r="AL37" s="1"/>
      <c r="AM37" s="1"/>
      <c r="AN37" s="1"/>
      <c r="AO37" s="1"/>
      <c r="AP37" s="1"/>
      <c r="AQ37" s="1"/>
      <c r="AR37" s="1"/>
      <c r="AS37" s="1"/>
      <c r="AT37" s="1"/>
    </row>
    <row r="38" spans="1:46" x14ac:dyDescent="0.25">
      <c r="A38" s="1" t="s">
        <v>78</v>
      </c>
      <c r="B38" s="1" t="s">
        <v>41</v>
      </c>
      <c r="C38" s="1">
        <v>250.16399999999999</v>
      </c>
      <c r="D38" s="1">
        <v>94.867000000000004</v>
      </c>
      <c r="E38" s="1">
        <v>135.56800000000001</v>
      </c>
      <c r="F38" s="1">
        <v>149.792</v>
      </c>
      <c r="G38" s="7">
        <v>1</v>
      </c>
      <c r="H38" s="1">
        <v>45</v>
      </c>
      <c r="I38" s="9" t="s">
        <v>52</v>
      </c>
      <c r="J38" s="1"/>
      <c r="K38" s="1">
        <v>130.1</v>
      </c>
      <c r="L38" s="1">
        <f t="shared" ref="L38:L69" si="13">E38-K38</f>
        <v>5.4680000000000177</v>
      </c>
      <c r="M38" s="1"/>
      <c r="N38" s="1"/>
      <c r="O38" s="1"/>
      <c r="P38" s="1">
        <v>21.815799999999999</v>
      </c>
      <c r="Q38" s="1"/>
      <c r="R38" s="1"/>
      <c r="S38" s="1"/>
      <c r="T38" s="1">
        <v>63.764799999999951</v>
      </c>
      <c r="U38" s="1"/>
      <c r="V38" s="1">
        <f t="shared" ref="V38:V69" si="14">E38/5</f>
        <v>27.113600000000002</v>
      </c>
      <c r="W38" s="5">
        <f t="shared" si="11"/>
        <v>62.877000000000095</v>
      </c>
      <c r="X38" s="1">
        <f t="shared" ref="X38:X69" si="15">(F38+O38+P38+Q38+R38+S38+T38+U38+W38)/V38</f>
        <v>11.000000000000002</v>
      </c>
      <c r="Y38" s="1">
        <f t="shared" ref="Y38:Y69" si="16">(F38+O38+P38+Q38+R38+S38+T38+U38)/V38</f>
        <v>8.680979287147407</v>
      </c>
      <c r="Z38" s="1">
        <v>26.136800000000001</v>
      </c>
      <c r="AA38" s="1">
        <v>25.5244</v>
      </c>
      <c r="AB38" s="1">
        <v>32.070399999999999</v>
      </c>
      <c r="AC38" s="1">
        <v>33.582999999999998</v>
      </c>
      <c r="AD38" s="1">
        <v>38.2774</v>
      </c>
      <c r="AE38" s="1">
        <v>46.067599999999999</v>
      </c>
      <c r="AF38" s="1">
        <v>41.764200000000002</v>
      </c>
      <c r="AG38" s="1">
        <v>24.267199999999999</v>
      </c>
      <c r="AH38" s="1">
        <v>39.761800000000001</v>
      </c>
      <c r="AI38" s="1">
        <v>56.673800000000007</v>
      </c>
      <c r="AJ38" s="1"/>
      <c r="AK38" s="1">
        <f t="shared" si="12"/>
        <v>62.877000000000095</v>
      </c>
      <c r="AL38" s="1"/>
      <c r="AM38" s="1"/>
      <c r="AN38" s="1"/>
      <c r="AO38" s="1"/>
      <c r="AP38" s="1"/>
      <c r="AQ38" s="1"/>
      <c r="AR38" s="1"/>
      <c r="AS38" s="1"/>
      <c r="AT38" s="1"/>
    </row>
    <row r="39" spans="1:46" x14ac:dyDescent="0.25">
      <c r="A39" s="1" t="s">
        <v>79</v>
      </c>
      <c r="B39" s="1" t="s">
        <v>46</v>
      </c>
      <c r="C39" s="1">
        <v>354</v>
      </c>
      <c r="D39" s="1">
        <v>734</v>
      </c>
      <c r="E39" s="1">
        <v>416</v>
      </c>
      <c r="F39" s="1">
        <v>544</v>
      </c>
      <c r="G39" s="7">
        <v>0.1</v>
      </c>
      <c r="H39" s="1">
        <v>731</v>
      </c>
      <c r="I39" s="1" t="s">
        <v>42</v>
      </c>
      <c r="J39" s="1"/>
      <c r="K39" s="1">
        <v>416</v>
      </c>
      <c r="L39" s="1">
        <f t="shared" si="13"/>
        <v>0</v>
      </c>
      <c r="M39" s="1"/>
      <c r="N39" s="1"/>
      <c r="O39" s="1"/>
      <c r="P39" s="1">
        <v>0</v>
      </c>
      <c r="Q39" s="1"/>
      <c r="R39" s="1"/>
      <c r="S39" s="1"/>
      <c r="T39" s="1">
        <v>216.12499999999989</v>
      </c>
      <c r="U39" s="1"/>
      <c r="V39" s="1">
        <f t="shared" si="14"/>
        <v>83.2</v>
      </c>
      <c r="W39" s="5">
        <f t="shared" si="11"/>
        <v>155.07500000000016</v>
      </c>
      <c r="X39" s="1">
        <f t="shared" si="15"/>
        <v>11</v>
      </c>
      <c r="Y39" s="1">
        <f t="shared" si="16"/>
        <v>9.1361177884615365</v>
      </c>
      <c r="Z39" s="1">
        <v>87.4</v>
      </c>
      <c r="AA39" s="1">
        <v>84.4</v>
      </c>
      <c r="AB39" s="1">
        <v>92.8</v>
      </c>
      <c r="AC39" s="1">
        <v>98.6</v>
      </c>
      <c r="AD39" s="1">
        <v>79.8</v>
      </c>
      <c r="AE39" s="1">
        <v>76.2</v>
      </c>
      <c r="AF39" s="1">
        <v>56.2</v>
      </c>
      <c r="AG39" s="1">
        <v>57.4</v>
      </c>
      <c r="AH39" s="1">
        <v>85</v>
      </c>
      <c r="AI39" s="1">
        <v>79.8</v>
      </c>
      <c r="AJ39" s="1"/>
      <c r="AK39" s="1">
        <f t="shared" si="12"/>
        <v>15.507500000000016</v>
      </c>
      <c r="AL39" s="1"/>
      <c r="AM39" s="1"/>
      <c r="AN39" s="1"/>
      <c r="AO39" s="1"/>
      <c r="AP39" s="1"/>
      <c r="AQ39" s="1"/>
      <c r="AR39" s="1"/>
      <c r="AS39" s="1"/>
      <c r="AT39" s="1"/>
    </row>
    <row r="40" spans="1:46" x14ac:dyDescent="0.25">
      <c r="A40" s="1" t="s">
        <v>80</v>
      </c>
      <c r="B40" s="1" t="s">
        <v>46</v>
      </c>
      <c r="C40" s="1">
        <v>18</v>
      </c>
      <c r="D40" s="1">
        <v>172</v>
      </c>
      <c r="E40" s="1">
        <v>6</v>
      </c>
      <c r="F40" s="1">
        <v>56</v>
      </c>
      <c r="G40" s="7">
        <v>0.35</v>
      </c>
      <c r="H40" s="1">
        <v>40</v>
      </c>
      <c r="I40" s="9" t="s">
        <v>52</v>
      </c>
      <c r="J40" s="1"/>
      <c r="K40" s="1">
        <v>163</v>
      </c>
      <c r="L40" s="1">
        <f t="shared" si="13"/>
        <v>-157</v>
      </c>
      <c r="M40" s="1"/>
      <c r="N40" s="1"/>
      <c r="O40" s="1"/>
      <c r="P40" s="1">
        <v>60</v>
      </c>
      <c r="Q40" s="1">
        <v>90</v>
      </c>
      <c r="R40" s="1"/>
      <c r="S40" s="1"/>
      <c r="T40" s="1">
        <v>0</v>
      </c>
      <c r="U40" s="1"/>
      <c r="V40" s="1">
        <f t="shared" si="14"/>
        <v>1.2</v>
      </c>
      <c r="W40" s="5">
        <v>50</v>
      </c>
      <c r="X40" s="1">
        <f t="shared" si="15"/>
        <v>213.33333333333334</v>
      </c>
      <c r="Y40" s="1">
        <f t="shared" si="16"/>
        <v>171.66666666666669</v>
      </c>
      <c r="Z40" s="1">
        <v>-0.2</v>
      </c>
      <c r="AA40" s="1">
        <v>-0.4</v>
      </c>
      <c r="AB40" s="1">
        <v>13.8</v>
      </c>
      <c r="AC40" s="1">
        <v>24</v>
      </c>
      <c r="AD40" s="1">
        <v>8.8000000000000007</v>
      </c>
      <c r="AE40" s="1">
        <v>-1.8</v>
      </c>
      <c r="AF40" s="1">
        <v>-2</v>
      </c>
      <c r="AG40" s="1">
        <v>-2.4</v>
      </c>
      <c r="AH40" s="1">
        <v>-2</v>
      </c>
      <c r="AI40" s="1">
        <v>-1.8</v>
      </c>
      <c r="AJ40" s="1"/>
      <c r="AK40" s="1">
        <f t="shared" si="12"/>
        <v>17.5</v>
      </c>
      <c r="AL40" s="1"/>
      <c r="AM40" s="1"/>
      <c r="AN40" s="1"/>
      <c r="AO40" s="1"/>
      <c r="AP40" s="1"/>
      <c r="AQ40" s="1"/>
      <c r="AR40" s="1"/>
      <c r="AS40" s="1"/>
      <c r="AT40" s="1"/>
    </row>
    <row r="41" spans="1:46" x14ac:dyDescent="0.25">
      <c r="A41" s="1" t="s">
        <v>81</v>
      </c>
      <c r="B41" s="1" t="s">
        <v>41</v>
      </c>
      <c r="C41" s="1">
        <v>2.589</v>
      </c>
      <c r="D41" s="1">
        <v>111.65900000000001</v>
      </c>
      <c r="E41" s="1">
        <v>26.811</v>
      </c>
      <c r="F41" s="1">
        <v>51.433999999999997</v>
      </c>
      <c r="G41" s="7">
        <v>1</v>
      </c>
      <c r="H41" s="1">
        <v>40</v>
      </c>
      <c r="I41" s="9" t="s">
        <v>52</v>
      </c>
      <c r="J41" s="1"/>
      <c r="K41" s="1">
        <v>49.3</v>
      </c>
      <c r="L41" s="1">
        <f t="shared" si="13"/>
        <v>-22.488999999999997</v>
      </c>
      <c r="M41" s="1"/>
      <c r="N41" s="1"/>
      <c r="O41" s="1"/>
      <c r="P41" s="1">
        <v>80</v>
      </c>
      <c r="Q41" s="1"/>
      <c r="R41" s="1"/>
      <c r="S41" s="1"/>
      <c r="T41" s="1">
        <v>49.974900000000019</v>
      </c>
      <c r="U41" s="1"/>
      <c r="V41" s="1">
        <f t="shared" si="14"/>
        <v>5.3621999999999996</v>
      </c>
      <c r="W41" s="5"/>
      <c r="X41" s="1">
        <f t="shared" si="15"/>
        <v>33.831058147775174</v>
      </c>
      <c r="Y41" s="1">
        <f t="shared" si="16"/>
        <v>33.831058147775174</v>
      </c>
      <c r="Z41" s="1">
        <v>18.358599999999999</v>
      </c>
      <c r="AA41" s="1">
        <v>30.653400000000001</v>
      </c>
      <c r="AB41" s="1">
        <v>17.975200000000001</v>
      </c>
      <c r="AC41" s="1">
        <v>13.5848</v>
      </c>
      <c r="AD41" s="1">
        <v>8.2422000000000004</v>
      </c>
      <c r="AE41" s="1">
        <v>4.5888</v>
      </c>
      <c r="AF41" s="1">
        <v>5.1204000000000001</v>
      </c>
      <c r="AG41" s="1">
        <v>5.9737999999999998</v>
      </c>
      <c r="AH41" s="1">
        <v>5.5386000000000006</v>
      </c>
      <c r="AI41" s="1">
        <v>1.1628000000000001</v>
      </c>
      <c r="AJ41" s="1"/>
      <c r="AK41" s="1">
        <f t="shared" si="12"/>
        <v>0</v>
      </c>
      <c r="AL41" s="1"/>
      <c r="AM41" s="1"/>
      <c r="AN41" s="1"/>
      <c r="AO41" s="1"/>
      <c r="AP41" s="1"/>
      <c r="AQ41" s="1"/>
      <c r="AR41" s="1"/>
      <c r="AS41" s="1"/>
      <c r="AT41" s="1"/>
    </row>
    <row r="42" spans="1:46" x14ac:dyDescent="0.25">
      <c r="A42" s="1" t="s">
        <v>82</v>
      </c>
      <c r="B42" s="1" t="s">
        <v>46</v>
      </c>
      <c r="C42" s="1">
        <v>128</v>
      </c>
      <c r="D42" s="1">
        <v>1457</v>
      </c>
      <c r="E42" s="1">
        <v>560</v>
      </c>
      <c r="F42" s="1">
        <v>379</v>
      </c>
      <c r="G42" s="7">
        <v>0.4</v>
      </c>
      <c r="H42" s="1">
        <v>40</v>
      </c>
      <c r="I42" s="9" t="s">
        <v>52</v>
      </c>
      <c r="J42" s="1"/>
      <c r="K42" s="1">
        <v>561</v>
      </c>
      <c r="L42" s="1">
        <f t="shared" si="13"/>
        <v>-1</v>
      </c>
      <c r="M42" s="1"/>
      <c r="N42" s="1"/>
      <c r="O42" s="1"/>
      <c r="P42" s="1">
        <v>50</v>
      </c>
      <c r="Q42" s="1"/>
      <c r="R42" s="1"/>
      <c r="S42" s="1"/>
      <c r="T42" s="1">
        <v>687.7</v>
      </c>
      <c r="U42" s="1"/>
      <c r="V42" s="1">
        <f t="shared" si="14"/>
        <v>112</v>
      </c>
      <c r="W42" s="5">
        <f t="shared" si="11"/>
        <v>115.29999999999995</v>
      </c>
      <c r="X42" s="1">
        <f t="shared" si="15"/>
        <v>11</v>
      </c>
      <c r="Y42" s="1">
        <f t="shared" si="16"/>
        <v>9.9705357142857149</v>
      </c>
      <c r="Z42" s="1">
        <v>121.8</v>
      </c>
      <c r="AA42" s="1">
        <v>74</v>
      </c>
      <c r="AB42" s="1">
        <v>58.2</v>
      </c>
      <c r="AC42" s="1">
        <v>100</v>
      </c>
      <c r="AD42" s="1">
        <v>68.400000000000006</v>
      </c>
      <c r="AE42" s="1">
        <v>43.4</v>
      </c>
      <c r="AF42" s="1">
        <v>44.4</v>
      </c>
      <c r="AG42" s="1">
        <v>46.6</v>
      </c>
      <c r="AH42" s="1">
        <v>42.4</v>
      </c>
      <c r="AI42" s="1">
        <v>36.4</v>
      </c>
      <c r="AJ42" s="1"/>
      <c r="AK42" s="1">
        <f t="shared" si="12"/>
        <v>46.119999999999983</v>
      </c>
      <c r="AL42" s="1"/>
      <c r="AM42" s="1"/>
      <c r="AN42" s="1"/>
      <c r="AO42" s="1"/>
      <c r="AP42" s="1"/>
      <c r="AQ42" s="1"/>
      <c r="AR42" s="1"/>
      <c r="AS42" s="1"/>
      <c r="AT42" s="1"/>
    </row>
    <row r="43" spans="1:46" x14ac:dyDescent="0.25">
      <c r="A43" s="1" t="s">
        <v>83</v>
      </c>
      <c r="B43" s="1" t="s">
        <v>46</v>
      </c>
      <c r="C43" s="1">
        <v>42</v>
      </c>
      <c r="D43" s="1">
        <v>397</v>
      </c>
      <c r="E43" s="1">
        <v>216</v>
      </c>
      <c r="F43" s="1">
        <v>20</v>
      </c>
      <c r="G43" s="7">
        <v>0.4</v>
      </c>
      <c r="H43" s="1">
        <v>45</v>
      </c>
      <c r="I43" s="9" t="s">
        <v>52</v>
      </c>
      <c r="J43" s="1"/>
      <c r="K43" s="1">
        <v>316</v>
      </c>
      <c r="L43" s="1">
        <f t="shared" si="13"/>
        <v>-100</v>
      </c>
      <c r="M43" s="1"/>
      <c r="N43" s="1"/>
      <c r="O43" s="1"/>
      <c r="P43" s="1">
        <v>100</v>
      </c>
      <c r="Q43" s="1">
        <v>150</v>
      </c>
      <c r="R43" s="1"/>
      <c r="S43" s="1"/>
      <c r="T43" s="1">
        <v>242.8000000000001</v>
      </c>
      <c r="U43" s="1"/>
      <c r="V43" s="1">
        <f t="shared" si="14"/>
        <v>43.2</v>
      </c>
      <c r="W43" s="5">
        <v>50</v>
      </c>
      <c r="X43" s="1">
        <f t="shared" si="15"/>
        <v>13.027777777777779</v>
      </c>
      <c r="Y43" s="1">
        <f t="shared" si="16"/>
        <v>11.870370370370372</v>
      </c>
      <c r="Z43" s="1">
        <v>55.2</v>
      </c>
      <c r="AA43" s="1">
        <v>56.8</v>
      </c>
      <c r="AB43" s="1">
        <v>32.799999999999997</v>
      </c>
      <c r="AC43" s="1">
        <v>43</v>
      </c>
      <c r="AD43" s="1">
        <v>54.2</v>
      </c>
      <c r="AE43" s="1">
        <v>52</v>
      </c>
      <c r="AF43" s="1">
        <v>47.6</v>
      </c>
      <c r="AG43" s="1">
        <v>30.8</v>
      </c>
      <c r="AH43" s="1">
        <v>30.4</v>
      </c>
      <c r="AI43" s="1">
        <v>30.2</v>
      </c>
      <c r="AJ43" s="1"/>
      <c r="AK43" s="1">
        <f t="shared" si="12"/>
        <v>20</v>
      </c>
      <c r="AL43" s="1"/>
      <c r="AM43" s="1"/>
      <c r="AN43" s="1"/>
      <c r="AO43" s="1"/>
      <c r="AP43" s="1"/>
      <c r="AQ43" s="1"/>
      <c r="AR43" s="1"/>
      <c r="AS43" s="1"/>
      <c r="AT43" s="1"/>
    </row>
    <row r="44" spans="1:46" x14ac:dyDescent="0.25">
      <c r="A44" s="1" t="s">
        <v>84</v>
      </c>
      <c r="B44" s="1" t="s">
        <v>41</v>
      </c>
      <c r="C44" s="1">
        <v>0.93700000000000006</v>
      </c>
      <c r="D44" s="1">
        <v>333.74599999999998</v>
      </c>
      <c r="E44" s="1">
        <v>44.63</v>
      </c>
      <c r="F44" s="1">
        <v>142.65799999999999</v>
      </c>
      <c r="G44" s="7">
        <v>1</v>
      </c>
      <c r="H44" s="1">
        <v>40</v>
      </c>
      <c r="I44" s="9" t="s">
        <v>52</v>
      </c>
      <c r="J44" s="1"/>
      <c r="K44" s="1">
        <v>83.25</v>
      </c>
      <c r="L44" s="1">
        <f t="shared" si="13"/>
        <v>-38.619999999999997</v>
      </c>
      <c r="M44" s="1"/>
      <c r="N44" s="1"/>
      <c r="O44" s="1"/>
      <c r="P44" s="1">
        <v>200</v>
      </c>
      <c r="Q44" s="1">
        <v>300</v>
      </c>
      <c r="R44" s="1"/>
      <c r="S44" s="1"/>
      <c r="T44" s="1">
        <v>0</v>
      </c>
      <c r="U44" s="1"/>
      <c r="V44" s="1">
        <f t="shared" si="14"/>
        <v>8.9260000000000002</v>
      </c>
      <c r="W44" s="5"/>
      <c r="X44" s="1">
        <f t="shared" si="15"/>
        <v>71.998431548285907</v>
      </c>
      <c r="Y44" s="1">
        <f t="shared" si="16"/>
        <v>71.998431548285907</v>
      </c>
      <c r="Z44" s="1">
        <v>-0.46539999999999998</v>
      </c>
      <c r="AA44" s="1">
        <v>37.095999999999997</v>
      </c>
      <c r="AB44" s="1">
        <v>60.197799999999987</v>
      </c>
      <c r="AC44" s="1">
        <v>34.119799999999998</v>
      </c>
      <c r="AD44" s="1">
        <v>15.690799999999999</v>
      </c>
      <c r="AE44" s="1">
        <v>19.270199999999999</v>
      </c>
      <c r="AF44" s="1">
        <v>22.2332</v>
      </c>
      <c r="AG44" s="1">
        <v>14.362</v>
      </c>
      <c r="AH44" s="1">
        <v>23.499600000000001</v>
      </c>
      <c r="AI44" s="1">
        <v>24.4682</v>
      </c>
      <c r="AJ44" s="1"/>
      <c r="AK44" s="1">
        <f t="shared" si="12"/>
        <v>0</v>
      </c>
      <c r="AL44" s="1"/>
      <c r="AM44" s="1"/>
      <c r="AN44" s="1"/>
      <c r="AO44" s="1"/>
      <c r="AP44" s="1"/>
      <c r="AQ44" s="1"/>
      <c r="AR44" s="1"/>
      <c r="AS44" s="1"/>
      <c r="AT44" s="1"/>
    </row>
    <row r="45" spans="1:46" x14ac:dyDescent="0.25">
      <c r="A45" s="1" t="s">
        <v>85</v>
      </c>
      <c r="B45" s="1" t="s">
        <v>46</v>
      </c>
      <c r="C45" s="1">
        <v>18</v>
      </c>
      <c r="D45" s="1">
        <v>732</v>
      </c>
      <c r="E45" s="1">
        <v>197</v>
      </c>
      <c r="F45" s="1">
        <v>15</v>
      </c>
      <c r="G45" s="7">
        <v>0.35</v>
      </c>
      <c r="H45" s="1">
        <v>40</v>
      </c>
      <c r="I45" s="9" t="s">
        <v>52</v>
      </c>
      <c r="J45" s="1"/>
      <c r="K45" s="1">
        <v>884</v>
      </c>
      <c r="L45" s="1">
        <f t="shared" si="13"/>
        <v>-687</v>
      </c>
      <c r="M45" s="1"/>
      <c r="N45" s="1"/>
      <c r="O45" s="1"/>
      <c r="P45" s="1">
        <v>280</v>
      </c>
      <c r="Q45" s="1">
        <v>420</v>
      </c>
      <c r="R45" s="1"/>
      <c r="S45" s="1"/>
      <c r="T45" s="1">
        <v>0</v>
      </c>
      <c r="U45" s="1"/>
      <c r="V45" s="1">
        <f t="shared" si="14"/>
        <v>39.4</v>
      </c>
      <c r="W45" s="5"/>
      <c r="X45" s="1">
        <f t="shared" si="15"/>
        <v>18.147208121827411</v>
      </c>
      <c r="Y45" s="1">
        <f t="shared" si="16"/>
        <v>18.147208121827411</v>
      </c>
      <c r="Z45" s="1">
        <v>32</v>
      </c>
      <c r="AA45" s="1">
        <v>167.4</v>
      </c>
      <c r="AB45" s="1">
        <v>255.8</v>
      </c>
      <c r="AC45" s="1">
        <v>270</v>
      </c>
      <c r="AD45" s="1">
        <v>263.60000000000002</v>
      </c>
      <c r="AE45" s="1">
        <v>224.4</v>
      </c>
      <c r="AF45" s="1">
        <v>103.4</v>
      </c>
      <c r="AG45" s="1">
        <v>-5.6</v>
      </c>
      <c r="AH45" s="1">
        <v>122.6</v>
      </c>
      <c r="AI45" s="1">
        <v>238</v>
      </c>
      <c r="AJ45" s="1"/>
      <c r="AK45" s="1">
        <f t="shared" si="12"/>
        <v>0</v>
      </c>
      <c r="AL45" s="1"/>
      <c r="AM45" s="1"/>
      <c r="AN45" s="1"/>
      <c r="AO45" s="1"/>
      <c r="AP45" s="1"/>
      <c r="AQ45" s="1"/>
      <c r="AR45" s="1"/>
      <c r="AS45" s="1"/>
      <c r="AT45" s="1"/>
    </row>
    <row r="46" spans="1:46" x14ac:dyDescent="0.25">
      <c r="A46" s="1" t="s">
        <v>86</v>
      </c>
      <c r="B46" s="1" t="s">
        <v>46</v>
      </c>
      <c r="C46" s="1">
        <v>906</v>
      </c>
      <c r="D46" s="1">
        <v>267</v>
      </c>
      <c r="E46" s="1">
        <v>659</v>
      </c>
      <c r="F46" s="1">
        <v>120</v>
      </c>
      <c r="G46" s="7">
        <v>0.4</v>
      </c>
      <c r="H46" s="1">
        <v>40</v>
      </c>
      <c r="I46" s="9" t="s">
        <v>52</v>
      </c>
      <c r="J46" s="1"/>
      <c r="K46" s="1">
        <v>683</v>
      </c>
      <c r="L46" s="1">
        <f t="shared" si="13"/>
        <v>-24</v>
      </c>
      <c r="M46" s="1"/>
      <c r="N46" s="1"/>
      <c r="O46" s="1"/>
      <c r="P46" s="1">
        <v>279.27999999999992</v>
      </c>
      <c r="Q46" s="1">
        <v>418.9199999999999</v>
      </c>
      <c r="R46" s="1"/>
      <c r="S46" s="1"/>
      <c r="T46" s="1">
        <v>556.10000000000014</v>
      </c>
      <c r="U46" s="1"/>
      <c r="V46" s="1">
        <f t="shared" si="14"/>
        <v>131.80000000000001</v>
      </c>
      <c r="W46" s="5">
        <v>120</v>
      </c>
      <c r="X46" s="1">
        <f t="shared" si="15"/>
        <v>11.337632776934749</v>
      </c>
      <c r="Y46" s="1">
        <f t="shared" si="16"/>
        <v>10.427162367223064</v>
      </c>
      <c r="Z46" s="1">
        <v>146.19999999999999</v>
      </c>
      <c r="AA46" s="1">
        <v>130.19999999999999</v>
      </c>
      <c r="AB46" s="1">
        <v>140.4</v>
      </c>
      <c r="AC46" s="1">
        <v>153.6</v>
      </c>
      <c r="AD46" s="1">
        <v>183.2</v>
      </c>
      <c r="AE46" s="1">
        <v>176.6</v>
      </c>
      <c r="AF46" s="1">
        <v>127.8</v>
      </c>
      <c r="AG46" s="1">
        <v>137.6</v>
      </c>
      <c r="AH46" s="1">
        <v>146</v>
      </c>
      <c r="AI46" s="1">
        <v>142.80000000000001</v>
      </c>
      <c r="AJ46" s="1"/>
      <c r="AK46" s="1">
        <f t="shared" si="12"/>
        <v>48</v>
      </c>
      <c r="AL46" s="1"/>
      <c r="AM46" s="1"/>
      <c r="AN46" s="1"/>
      <c r="AO46" s="1"/>
      <c r="AP46" s="1"/>
      <c r="AQ46" s="1"/>
      <c r="AR46" s="1"/>
      <c r="AS46" s="1"/>
      <c r="AT46" s="1"/>
    </row>
    <row r="47" spans="1:46" x14ac:dyDescent="0.25">
      <c r="A47" s="1" t="s">
        <v>87</v>
      </c>
      <c r="B47" s="1" t="s">
        <v>41</v>
      </c>
      <c r="C47" s="1">
        <v>406.584</v>
      </c>
      <c r="D47" s="1">
        <v>688.90300000000002</v>
      </c>
      <c r="E47" s="1">
        <v>505.35500000000002</v>
      </c>
      <c r="F47" s="1">
        <v>220.40700000000001</v>
      </c>
      <c r="G47" s="7">
        <v>1</v>
      </c>
      <c r="H47" s="1">
        <v>50</v>
      </c>
      <c r="I47" s="1" t="s">
        <v>42</v>
      </c>
      <c r="J47" s="1"/>
      <c r="K47" s="1">
        <v>499.35</v>
      </c>
      <c r="L47" s="1">
        <f t="shared" si="13"/>
        <v>6.0049999999999955</v>
      </c>
      <c r="M47" s="1"/>
      <c r="N47" s="1"/>
      <c r="O47" s="1"/>
      <c r="P47" s="1">
        <v>76.510232317200007</v>
      </c>
      <c r="Q47" s="1">
        <v>114.7653484758</v>
      </c>
      <c r="R47" s="1"/>
      <c r="S47" s="1"/>
      <c r="T47" s="1">
        <v>310.65370580700011</v>
      </c>
      <c r="U47" s="1"/>
      <c r="V47" s="1">
        <f t="shared" si="14"/>
        <v>101.071</v>
      </c>
      <c r="W47" s="5">
        <f t="shared" si="11"/>
        <v>389.44471339999984</v>
      </c>
      <c r="X47" s="1">
        <f t="shared" si="15"/>
        <v>11</v>
      </c>
      <c r="Y47" s="1">
        <f t="shared" si="16"/>
        <v>7.1468204193092006</v>
      </c>
      <c r="Z47" s="1">
        <v>105.2124</v>
      </c>
      <c r="AA47" s="1">
        <v>95.491600000000005</v>
      </c>
      <c r="AB47" s="1">
        <v>93.509</v>
      </c>
      <c r="AC47" s="1">
        <v>94.5214</v>
      </c>
      <c r="AD47" s="1">
        <v>94.858399999999989</v>
      </c>
      <c r="AE47" s="1">
        <v>83.390799999999999</v>
      </c>
      <c r="AF47" s="1">
        <v>63.038800000000002</v>
      </c>
      <c r="AG47" s="1">
        <v>68.847400000000007</v>
      </c>
      <c r="AH47" s="1">
        <v>90.637199999999993</v>
      </c>
      <c r="AI47" s="1">
        <v>89.163399999999996</v>
      </c>
      <c r="AJ47" s="1"/>
      <c r="AK47" s="1">
        <f t="shared" si="12"/>
        <v>389.44471339999984</v>
      </c>
      <c r="AL47" s="1"/>
      <c r="AM47" s="1"/>
      <c r="AN47" s="1"/>
      <c r="AO47" s="1"/>
      <c r="AP47" s="1"/>
      <c r="AQ47" s="1"/>
      <c r="AR47" s="1"/>
      <c r="AS47" s="1"/>
      <c r="AT47" s="1"/>
    </row>
    <row r="48" spans="1:46" x14ac:dyDescent="0.25">
      <c r="A48" s="1" t="s">
        <v>88</v>
      </c>
      <c r="B48" s="1" t="s">
        <v>41</v>
      </c>
      <c r="C48" s="1">
        <v>789.85900000000004</v>
      </c>
      <c r="D48" s="1">
        <v>688.68799999999999</v>
      </c>
      <c r="E48" s="1">
        <v>620.02300000000002</v>
      </c>
      <c r="F48" s="1">
        <v>560.87</v>
      </c>
      <c r="G48" s="7">
        <v>1</v>
      </c>
      <c r="H48" s="1">
        <v>50</v>
      </c>
      <c r="I48" s="1" t="s">
        <v>42</v>
      </c>
      <c r="J48" s="1"/>
      <c r="K48" s="1">
        <v>664.95</v>
      </c>
      <c r="L48" s="1">
        <f t="shared" si="13"/>
        <v>-44.927000000000021</v>
      </c>
      <c r="M48" s="1"/>
      <c r="N48" s="1"/>
      <c r="O48" s="1"/>
      <c r="P48" s="1">
        <v>184.7405109268002</v>
      </c>
      <c r="Q48" s="1">
        <v>277.1107663902003</v>
      </c>
      <c r="R48" s="1"/>
      <c r="S48" s="1"/>
      <c r="T48" s="1">
        <v>296.07429168299979</v>
      </c>
      <c r="U48" s="1"/>
      <c r="V48" s="1">
        <f t="shared" si="14"/>
        <v>124.00460000000001</v>
      </c>
      <c r="W48" s="5">
        <f t="shared" si="11"/>
        <v>45.255030999999803</v>
      </c>
      <c r="X48" s="1">
        <f t="shared" si="15"/>
        <v>11</v>
      </c>
      <c r="Y48" s="1">
        <f t="shared" si="16"/>
        <v>10.635053610914436</v>
      </c>
      <c r="Z48" s="1">
        <v>146.42580000000001</v>
      </c>
      <c r="AA48" s="1">
        <v>147.56039999999999</v>
      </c>
      <c r="AB48" s="1">
        <v>129.40299999999999</v>
      </c>
      <c r="AC48" s="1">
        <v>132.53659999999999</v>
      </c>
      <c r="AD48" s="1">
        <v>146.15979999999999</v>
      </c>
      <c r="AE48" s="1">
        <v>135.85380000000001</v>
      </c>
      <c r="AF48" s="1">
        <v>91.289000000000001</v>
      </c>
      <c r="AG48" s="1">
        <v>86.8</v>
      </c>
      <c r="AH48" s="1">
        <v>108.23560000000001</v>
      </c>
      <c r="AI48" s="1">
        <v>107.86839999999999</v>
      </c>
      <c r="AJ48" s="1"/>
      <c r="AK48" s="1">
        <f t="shared" si="12"/>
        <v>45.255030999999803</v>
      </c>
      <c r="AL48" s="1"/>
      <c r="AM48" s="1"/>
      <c r="AN48" s="1"/>
      <c r="AO48" s="1"/>
      <c r="AP48" s="1"/>
      <c r="AQ48" s="1"/>
      <c r="AR48" s="1"/>
      <c r="AS48" s="1"/>
      <c r="AT48" s="1"/>
    </row>
    <row r="49" spans="1:46" x14ac:dyDescent="0.25">
      <c r="A49" s="1" t="s">
        <v>89</v>
      </c>
      <c r="B49" s="1" t="s">
        <v>41</v>
      </c>
      <c r="C49" s="1"/>
      <c r="D49" s="1">
        <v>36.070999999999998</v>
      </c>
      <c r="E49" s="1">
        <v>1.4950000000000001</v>
      </c>
      <c r="F49" s="1">
        <v>34.406999999999996</v>
      </c>
      <c r="G49" s="7">
        <v>1</v>
      </c>
      <c r="H49" s="1">
        <v>45</v>
      </c>
      <c r="I49" s="9" t="s">
        <v>52</v>
      </c>
      <c r="J49" s="1"/>
      <c r="K49" s="1">
        <v>1.3</v>
      </c>
      <c r="L49" s="1">
        <f t="shared" si="13"/>
        <v>0.19500000000000006</v>
      </c>
      <c r="M49" s="1"/>
      <c r="N49" s="1"/>
      <c r="O49" s="1"/>
      <c r="P49" s="1">
        <v>10</v>
      </c>
      <c r="Q49" s="1"/>
      <c r="R49" s="1"/>
      <c r="S49" s="1"/>
      <c r="T49" s="1">
        <v>0</v>
      </c>
      <c r="U49" s="1"/>
      <c r="V49" s="1">
        <f t="shared" si="14"/>
        <v>0.29900000000000004</v>
      </c>
      <c r="W49" s="5"/>
      <c r="X49" s="1">
        <f t="shared" si="15"/>
        <v>148.5183946488294</v>
      </c>
      <c r="Y49" s="1">
        <f t="shared" si="16"/>
        <v>148.5183946488294</v>
      </c>
      <c r="Z49" s="1">
        <v>0</v>
      </c>
      <c r="AA49" s="1">
        <v>-0.30520000000000003</v>
      </c>
      <c r="AB49" s="1">
        <v>-0.30520000000000003</v>
      </c>
      <c r="AC49" s="1">
        <v>0</v>
      </c>
      <c r="AD49" s="1">
        <v>0</v>
      </c>
      <c r="AE49" s="1">
        <v>0</v>
      </c>
      <c r="AF49" s="1">
        <v>-0.28960000000000002</v>
      </c>
      <c r="AG49" s="1">
        <v>-0.28960000000000002</v>
      </c>
      <c r="AH49" s="1">
        <v>0</v>
      </c>
      <c r="AI49" s="1">
        <v>0</v>
      </c>
      <c r="AJ49" s="1" t="s">
        <v>90</v>
      </c>
      <c r="AK49" s="1">
        <f t="shared" si="12"/>
        <v>0</v>
      </c>
      <c r="AL49" s="1"/>
      <c r="AM49" s="1"/>
      <c r="AN49" s="1"/>
      <c r="AO49" s="1"/>
      <c r="AP49" s="1"/>
      <c r="AQ49" s="1"/>
      <c r="AR49" s="1"/>
      <c r="AS49" s="1"/>
      <c r="AT49" s="1"/>
    </row>
    <row r="50" spans="1:46" x14ac:dyDescent="0.25">
      <c r="A50" s="1" t="s">
        <v>91</v>
      </c>
      <c r="B50" s="1" t="s">
        <v>46</v>
      </c>
      <c r="C50" s="1">
        <v>127</v>
      </c>
      <c r="D50" s="1">
        <v>272</v>
      </c>
      <c r="E50" s="1">
        <v>145</v>
      </c>
      <c r="F50" s="1">
        <v>186</v>
      </c>
      <c r="G50" s="7">
        <v>0.45</v>
      </c>
      <c r="H50" s="1">
        <v>50</v>
      </c>
      <c r="I50" s="1" t="s">
        <v>42</v>
      </c>
      <c r="J50" s="1"/>
      <c r="K50" s="1">
        <v>153</v>
      </c>
      <c r="L50" s="1">
        <f t="shared" si="13"/>
        <v>-8</v>
      </c>
      <c r="M50" s="1"/>
      <c r="N50" s="1"/>
      <c r="O50" s="1"/>
      <c r="P50" s="1">
        <v>79.714399999999983</v>
      </c>
      <c r="Q50" s="1">
        <v>119.5716</v>
      </c>
      <c r="R50" s="1"/>
      <c r="S50" s="1"/>
      <c r="T50" s="1">
        <v>0</v>
      </c>
      <c r="U50" s="1"/>
      <c r="V50" s="1">
        <f t="shared" si="14"/>
        <v>29</v>
      </c>
      <c r="W50" s="5"/>
      <c r="X50" s="1">
        <f t="shared" si="15"/>
        <v>13.285724137931032</v>
      </c>
      <c r="Y50" s="1">
        <f t="shared" si="16"/>
        <v>13.285724137931032</v>
      </c>
      <c r="Z50" s="1">
        <v>39.200000000000003</v>
      </c>
      <c r="AA50" s="1">
        <v>49.8</v>
      </c>
      <c r="AB50" s="1">
        <v>39</v>
      </c>
      <c r="AC50" s="1">
        <v>34.4</v>
      </c>
      <c r="AD50" s="1">
        <v>39.4</v>
      </c>
      <c r="AE50" s="1">
        <v>44.6</v>
      </c>
      <c r="AF50" s="1">
        <v>40</v>
      </c>
      <c r="AG50" s="1">
        <v>30.2</v>
      </c>
      <c r="AH50" s="1">
        <v>37.6</v>
      </c>
      <c r="AI50" s="1">
        <v>36.4</v>
      </c>
      <c r="AJ50" s="1"/>
      <c r="AK50" s="1">
        <f t="shared" si="12"/>
        <v>0</v>
      </c>
      <c r="AL50" s="1"/>
      <c r="AM50" s="1"/>
      <c r="AN50" s="1"/>
      <c r="AO50" s="1"/>
      <c r="AP50" s="1"/>
      <c r="AQ50" s="1"/>
      <c r="AR50" s="1"/>
      <c r="AS50" s="1"/>
      <c r="AT50" s="1"/>
    </row>
    <row r="51" spans="1:46" x14ac:dyDescent="0.25">
      <c r="A51" s="1" t="s">
        <v>92</v>
      </c>
      <c r="B51" s="1" t="s">
        <v>46</v>
      </c>
      <c r="C51" s="1">
        <v>792</v>
      </c>
      <c r="D51" s="1">
        <v>547</v>
      </c>
      <c r="E51" s="1">
        <v>500</v>
      </c>
      <c r="F51" s="1">
        <v>264</v>
      </c>
      <c r="G51" s="7">
        <v>0.45</v>
      </c>
      <c r="H51" s="1">
        <v>50</v>
      </c>
      <c r="I51" s="1" t="s">
        <v>42</v>
      </c>
      <c r="J51" s="1"/>
      <c r="K51" s="1">
        <v>503</v>
      </c>
      <c r="L51" s="1">
        <f t="shared" si="13"/>
        <v>-3</v>
      </c>
      <c r="M51" s="1"/>
      <c r="N51" s="1"/>
      <c r="O51" s="1"/>
      <c r="P51" s="1">
        <v>156.98159999999999</v>
      </c>
      <c r="Q51" s="1">
        <v>235.47239999999999</v>
      </c>
      <c r="R51" s="1"/>
      <c r="S51" s="1"/>
      <c r="T51" s="1">
        <v>349.50000000000028</v>
      </c>
      <c r="U51" s="1"/>
      <c r="V51" s="1">
        <f t="shared" si="14"/>
        <v>100</v>
      </c>
      <c r="W51" s="5">
        <f t="shared" si="11"/>
        <v>94.045999999999822</v>
      </c>
      <c r="X51" s="1">
        <f t="shared" si="15"/>
        <v>11</v>
      </c>
      <c r="Y51" s="1">
        <f t="shared" si="16"/>
        <v>10.059540000000002</v>
      </c>
      <c r="Z51" s="1">
        <v>113.4</v>
      </c>
      <c r="AA51" s="1">
        <v>107.6</v>
      </c>
      <c r="AB51" s="1">
        <v>84.2</v>
      </c>
      <c r="AC51" s="1">
        <v>90.2</v>
      </c>
      <c r="AD51" s="1">
        <v>119.8</v>
      </c>
      <c r="AE51" s="1">
        <v>126</v>
      </c>
      <c r="AF51" s="1">
        <v>96.6</v>
      </c>
      <c r="AG51" s="1">
        <v>92.4</v>
      </c>
      <c r="AH51" s="1">
        <v>100.2</v>
      </c>
      <c r="AI51" s="1">
        <v>92.8</v>
      </c>
      <c r="AJ51" s="1"/>
      <c r="AK51" s="1">
        <f t="shared" si="12"/>
        <v>42.320699999999924</v>
      </c>
      <c r="AL51" s="1"/>
      <c r="AM51" s="1"/>
      <c r="AN51" s="1"/>
      <c r="AO51" s="1"/>
      <c r="AP51" s="1"/>
      <c r="AQ51" s="1"/>
      <c r="AR51" s="1"/>
      <c r="AS51" s="1"/>
      <c r="AT51" s="1"/>
    </row>
    <row r="52" spans="1:46" x14ac:dyDescent="0.25">
      <c r="A52" s="1" t="s">
        <v>93</v>
      </c>
      <c r="B52" s="1" t="s">
        <v>46</v>
      </c>
      <c r="C52" s="1">
        <v>82</v>
      </c>
      <c r="D52" s="1">
        <v>54</v>
      </c>
      <c r="E52" s="1">
        <v>46</v>
      </c>
      <c r="F52" s="1">
        <v>86</v>
      </c>
      <c r="G52" s="7">
        <v>0.4</v>
      </c>
      <c r="H52" s="1">
        <v>40</v>
      </c>
      <c r="I52" s="9" t="s">
        <v>52</v>
      </c>
      <c r="J52" s="1"/>
      <c r="K52" s="1">
        <v>48</v>
      </c>
      <c r="L52" s="1">
        <f t="shared" si="13"/>
        <v>-2</v>
      </c>
      <c r="M52" s="1"/>
      <c r="N52" s="1"/>
      <c r="O52" s="1"/>
      <c r="P52" s="1">
        <v>0</v>
      </c>
      <c r="Q52" s="1"/>
      <c r="R52" s="1"/>
      <c r="S52" s="1"/>
      <c r="T52" s="1">
        <v>0</v>
      </c>
      <c r="U52" s="1"/>
      <c r="V52" s="1">
        <f t="shared" si="14"/>
        <v>9.1999999999999993</v>
      </c>
      <c r="W52" s="5">
        <f t="shared" si="11"/>
        <v>15.199999999999989</v>
      </c>
      <c r="X52" s="1">
        <f t="shared" si="15"/>
        <v>11</v>
      </c>
      <c r="Y52" s="1">
        <f t="shared" si="16"/>
        <v>9.3478260869565233</v>
      </c>
      <c r="Z52" s="1">
        <v>9.1999999999999993</v>
      </c>
      <c r="AA52" s="1">
        <v>9.1999999999999993</v>
      </c>
      <c r="AB52" s="1">
        <v>7.2</v>
      </c>
      <c r="AC52" s="1">
        <v>1.2</v>
      </c>
      <c r="AD52" s="1">
        <v>-0.8</v>
      </c>
      <c r="AE52" s="1">
        <v>-0.2</v>
      </c>
      <c r="AF52" s="1">
        <v>-0.6</v>
      </c>
      <c r="AG52" s="1">
        <v>-1</v>
      </c>
      <c r="AH52" s="1">
        <v>3.2</v>
      </c>
      <c r="AI52" s="1">
        <v>17.399999999999999</v>
      </c>
      <c r="AJ52" s="1"/>
      <c r="AK52" s="1">
        <f t="shared" si="12"/>
        <v>6.0799999999999956</v>
      </c>
      <c r="AL52" s="1"/>
      <c r="AM52" s="1"/>
      <c r="AN52" s="1"/>
      <c r="AO52" s="1"/>
      <c r="AP52" s="1"/>
      <c r="AQ52" s="1"/>
      <c r="AR52" s="1"/>
      <c r="AS52" s="1"/>
      <c r="AT52" s="1"/>
    </row>
    <row r="53" spans="1:46" x14ac:dyDescent="0.25">
      <c r="A53" s="1" t="s">
        <v>94</v>
      </c>
      <c r="B53" s="1" t="s">
        <v>46</v>
      </c>
      <c r="C53" s="1">
        <v>126</v>
      </c>
      <c r="D53" s="1">
        <v>83</v>
      </c>
      <c r="E53" s="1">
        <v>87</v>
      </c>
      <c r="F53" s="1">
        <v>23</v>
      </c>
      <c r="G53" s="7">
        <v>0.4</v>
      </c>
      <c r="H53" s="1">
        <v>40</v>
      </c>
      <c r="I53" s="9" t="s">
        <v>52</v>
      </c>
      <c r="J53" s="1"/>
      <c r="K53" s="1">
        <v>89</v>
      </c>
      <c r="L53" s="1">
        <f t="shared" si="13"/>
        <v>-2</v>
      </c>
      <c r="M53" s="1"/>
      <c r="N53" s="1"/>
      <c r="O53" s="1"/>
      <c r="P53" s="1">
        <v>48.400000000000013</v>
      </c>
      <c r="Q53" s="1"/>
      <c r="R53" s="1"/>
      <c r="S53" s="1"/>
      <c r="T53" s="1">
        <v>126.2</v>
      </c>
      <c r="U53" s="1"/>
      <c r="V53" s="1">
        <f t="shared" si="14"/>
        <v>17.399999999999999</v>
      </c>
      <c r="W53" s="5"/>
      <c r="X53" s="1">
        <f t="shared" si="15"/>
        <v>11.356321839080461</v>
      </c>
      <c r="Y53" s="1">
        <f t="shared" si="16"/>
        <v>11.356321839080461</v>
      </c>
      <c r="Z53" s="1">
        <v>22.4</v>
      </c>
      <c r="AA53" s="1">
        <v>14.4</v>
      </c>
      <c r="AB53" s="1">
        <v>10.4</v>
      </c>
      <c r="AC53" s="1">
        <v>13</v>
      </c>
      <c r="AD53" s="1">
        <v>16.600000000000001</v>
      </c>
      <c r="AE53" s="1">
        <v>22.8</v>
      </c>
      <c r="AF53" s="1">
        <v>16.600000000000001</v>
      </c>
      <c r="AG53" s="1">
        <v>11.4</v>
      </c>
      <c r="AH53" s="1">
        <v>10.6</v>
      </c>
      <c r="AI53" s="1">
        <v>11.8</v>
      </c>
      <c r="AJ53" s="1"/>
      <c r="AK53" s="1">
        <f t="shared" si="12"/>
        <v>0</v>
      </c>
      <c r="AL53" s="1"/>
      <c r="AM53" s="1"/>
      <c r="AN53" s="1"/>
      <c r="AO53" s="1"/>
      <c r="AP53" s="1"/>
      <c r="AQ53" s="1"/>
      <c r="AR53" s="1"/>
      <c r="AS53" s="1"/>
      <c r="AT53" s="1"/>
    </row>
    <row r="54" spans="1:46" x14ac:dyDescent="0.25">
      <c r="A54" s="1" t="s">
        <v>95</v>
      </c>
      <c r="B54" s="1" t="s">
        <v>41</v>
      </c>
      <c r="C54" s="1">
        <v>1124.367</v>
      </c>
      <c r="D54" s="1">
        <v>311.72500000000002</v>
      </c>
      <c r="E54" s="1">
        <v>653.226</v>
      </c>
      <c r="F54" s="1">
        <v>566.82899999999995</v>
      </c>
      <c r="G54" s="7">
        <v>1</v>
      </c>
      <c r="H54" s="1">
        <v>50</v>
      </c>
      <c r="I54" s="1" t="s">
        <v>42</v>
      </c>
      <c r="J54" s="1"/>
      <c r="K54" s="1">
        <v>633.04999999999995</v>
      </c>
      <c r="L54" s="1">
        <f t="shared" si="13"/>
        <v>20.176000000000045</v>
      </c>
      <c r="M54" s="1"/>
      <c r="N54" s="1"/>
      <c r="O54" s="1"/>
      <c r="P54" s="1">
        <v>194.9390648000001</v>
      </c>
      <c r="Q54" s="1">
        <v>292.40859720000009</v>
      </c>
      <c r="R54" s="1"/>
      <c r="S54" s="1"/>
      <c r="T54" s="1">
        <v>197.97759999999991</v>
      </c>
      <c r="U54" s="1"/>
      <c r="V54" s="1">
        <f t="shared" si="14"/>
        <v>130.64519999999999</v>
      </c>
      <c r="W54" s="5">
        <f t="shared" si="11"/>
        <v>184.94293799999991</v>
      </c>
      <c r="X54" s="1">
        <f t="shared" si="15"/>
        <v>11</v>
      </c>
      <c r="Y54" s="1">
        <f t="shared" si="16"/>
        <v>9.5843878075887989</v>
      </c>
      <c r="Z54" s="1">
        <v>141.1628</v>
      </c>
      <c r="AA54" s="1">
        <v>146.07660000000001</v>
      </c>
      <c r="AB54" s="1">
        <v>118.6026</v>
      </c>
      <c r="AC54" s="1">
        <v>123.30800000000001</v>
      </c>
      <c r="AD54" s="1">
        <v>169.84139999999999</v>
      </c>
      <c r="AE54" s="1">
        <v>161.1634</v>
      </c>
      <c r="AF54" s="1">
        <v>109.1048</v>
      </c>
      <c r="AG54" s="1">
        <v>121.73820000000001</v>
      </c>
      <c r="AH54" s="1">
        <v>139.08959999999999</v>
      </c>
      <c r="AI54" s="1">
        <v>135.32220000000001</v>
      </c>
      <c r="AJ54" s="1"/>
      <c r="AK54" s="1">
        <f t="shared" si="12"/>
        <v>184.94293799999991</v>
      </c>
      <c r="AL54" s="1"/>
      <c r="AM54" s="1"/>
      <c r="AN54" s="1"/>
      <c r="AO54" s="1"/>
      <c r="AP54" s="1"/>
      <c r="AQ54" s="1"/>
      <c r="AR54" s="1"/>
      <c r="AS54" s="1"/>
      <c r="AT54" s="1"/>
    </row>
    <row r="55" spans="1:46" x14ac:dyDescent="0.25">
      <c r="A55" s="1" t="s">
        <v>96</v>
      </c>
      <c r="B55" s="1" t="s">
        <v>46</v>
      </c>
      <c r="C55" s="1">
        <v>242</v>
      </c>
      <c r="D55" s="1">
        <v>806</v>
      </c>
      <c r="E55" s="13">
        <f>258+E128</f>
        <v>354</v>
      </c>
      <c r="F55" s="13">
        <f>448+F128</f>
        <v>512</v>
      </c>
      <c r="G55" s="7">
        <v>0.1</v>
      </c>
      <c r="H55" s="1">
        <v>731</v>
      </c>
      <c r="I55" s="1" t="s">
        <v>42</v>
      </c>
      <c r="J55" s="1"/>
      <c r="K55" s="1">
        <v>258</v>
      </c>
      <c r="L55" s="1">
        <f t="shared" si="13"/>
        <v>96</v>
      </c>
      <c r="M55" s="1"/>
      <c r="N55" s="1"/>
      <c r="O55" s="1"/>
      <c r="P55" s="1">
        <v>0</v>
      </c>
      <c r="Q55" s="1"/>
      <c r="R55" s="1"/>
      <c r="S55" s="1"/>
      <c r="T55" s="1">
        <v>138.03399999999999</v>
      </c>
      <c r="U55" s="1"/>
      <c r="V55" s="1">
        <f t="shared" si="14"/>
        <v>70.8</v>
      </c>
      <c r="W55" s="5">
        <f t="shared" si="11"/>
        <v>128.76599999999996</v>
      </c>
      <c r="X55" s="1">
        <f t="shared" si="15"/>
        <v>11</v>
      </c>
      <c r="Y55" s="1">
        <f t="shared" si="16"/>
        <v>9.1812711864406786</v>
      </c>
      <c r="Z55" s="1">
        <v>73.599999999999994</v>
      </c>
      <c r="AA55" s="1">
        <v>77.2</v>
      </c>
      <c r="AB55" s="1">
        <v>84.4</v>
      </c>
      <c r="AC55" s="1">
        <v>84.4</v>
      </c>
      <c r="AD55" s="1">
        <v>66.400000000000006</v>
      </c>
      <c r="AE55" s="1">
        <v>53.4</v>
      </c>
      <c r="AF55" s="1">
        <v>31.6</v>
      </c>
      <c r="AG55" s="1">
        <v>39.4</v>
      </c>
      <c r="AH55" s="1">
        <v>56.6</v>
      </c>
      <c r="AI55" s="1">
        <v>47.4</v>
      </c>
      <c r="AJ55" s="1"/>
      <c r="AK55" s="1">
        <f t="shared" si="12"/>
        <v>12.876599999999996</v>
      </c>
      <c r="AL55" s="1"/>
      <c r="AM55" s="1"/>
      <c r="AN55" s="1"/>
      <c r="AO55" s="1"/>
      <c r="AP55" s="1"/>
      <c r="AQ55" s="1"/>
      <c r="AR55" s="1"/>
      <c r="AS55" s="1"/>
      <c r="AT55" s="1"/>
    </row>
    <row r="56" spans="1:46" x14ac:dyDescent="0.25">
      <c r="A56" s="1" t="s">
        <v>97</v>
      </c>
      <c r="B56" s="1" t="s">
        <v>41</v>
      </c>
      <c r="C56" s="1">
        <v>1052.066</v>
      </c>
      <c r="D56" s="1">
        <v>899.005</v>
      </c>
      <c r="E56" s="1">
        <v>932.86500000000001</v>
      </c>
      <c r="F56" s="1">
        <v>649.30700000000002</v>
      </c>
      <c r="G56" s="7">
        <v>1</v>
      </c>
      <c r="H56" s="1">
        <v>50</v>
      </c>
      <c r="I56" s="1" t="s">
        <v>42</v>
      </c>
      <c r="J56" s="1"/>
      <c r="K56" s="1">
        <v>931.45</v>
      </c>
      <c r="L56" s="1">
        <f t="shared" si="13"/>
        <v>1.4149999999999636</v>
      </c>
      <c r="M56" s="1"/>
      <c r="N56" s="1"/>
      <c r="O56" s="1"/>
      <c r="P56" s="1">
        <v>221.19948764392001</v>
      </c>
      <c r="Q56" s="1">
        <v>331.79923146587993</v>
      </c>
      <c r="R56" s="1"/>
      <c r="S56" s="1"/>
      <c r="T56" s="1">
        <v>421.37697549019998</v>
      </c>
      <c r="U56" s="1"/>
      <c r="V56" s="1">
        <f t="shared" si="14"/>
        <v>186.57300000000001</v>
      </c>
      <c r="W56" s="5">
        <f t="shared" si="11"/>
        <v>428.62030539999978</v>
      </c>
      <c r="X56" s="1">
        <f t="shared" si="15"/>
        <v>10.999999999999998</v>
      </c>
      <c r="Y56" s="1">
        <f t="shared" si="16"/>
        <v>8.7026670236315002</v>
      </c>
      <c r="Z56" s="1">
        <v>194.43940000000001</v>
      </c>
      <c r="AA56" s="1">
        <v>195.25960000000001</v>
      </c>
      <c r="AB56" s="1">
        <v>175.315</v>
      </c>
      <c r="AC56" s="1">
        <v>180.76220000000001</v>
      </c>
      <c r="AD56" s="1">
        <v>194.12440000000001</v>
      </c>
      <c r="AE56" s="1">
        <v>183.68260000000001</v>
      </c>
      <c r="AF56" s="1">
        <v>117.99379999999999</v>
      </c>
      <c r="AG56" s="1">
        <v>124.1302</v>
      </c>
      <c r="AH56" s="1">
        <v>163.53100000000001</v>
      </c>
      <c r="AI56" s="1">
        <v>153.71940000000001</v>
      </c>
      <c r="AJ56" s="1"/>
      <c r="AK56" s="1">
        <f t="shared" si="12"/>
        <v>428.62030539999978</v>
      </c>
      <c r="AL56" s="1"/>
      <c r="AM56" s="1"/>
      <c r="AN56" s="1"/>
      <c r="AO56" s="1"/>
      <c r="AP56" s="1"/>
      <c r="AQ56" s="1"/>
      <c r="AR56" s="1"/>
      <c r="AS56" s="1"/>
      <c r="AT56" s="1"/>
    </row>
    <row r="57" spans="1:46" x14ac:dyDescent="0.25">
      <c r="A57" s="1" t="s">
        <v>98</v>
      </c>
      <c r="B57" s="1" t="s">
        <v>41</v>
      </c>
      <c r="C57" s="1">
        <v>98.248000000000005</v>
      </c>
      <c r="D57" s="1">
        <v>168.084</v>
      </c>
      <c r="E57" s="1">
        <v>72.161000000000001</v>
      </c>
      <c r="F57" s="1">
        <v>191.45</v>
      </c>
      <c r="G57" s="7">
        <v>1</v>
      </c>
      <c r="H57" s="1">
        <v>55</v>
      </c>
      <c r="I57" s="1" t="s">
        <v>42</v>
      </c>
      <c r="J57" s="1"/>
      <c r="K57" s="1">
        <v>69.349999999999994</v>
      </c>
      <c r="L57" s="1">
        <f t="shared" si="13"/>
        <v>2.811000000000007</v>
      </c>
      <c r="M57" s="1"/>
      <c r="N57" s="1"/>
      <c r="O57" s="1"/>
      <c r="P57" s="1">
        <v>0</v>
      </c>
      <c r="Q57" s="1"/>
      <c r="R57" s="1"/>
      <c r="S57" s="1"/>
      <c r="T57" s="1">
        <v>0</v>
      </c>
      <c r="U57" s="1"/>
      <c r="V57" s="1">
        <f t="shared" si="14"/>
        <v>14.4322</v>
      </c>
      <c r="W57" s="5"/>
      <c r="X57" s="1">
        <f t="shared" si="15"/>
        <v>13.26547581103366</v>
      </c>
      <c r="Y57" s="1">
        <f t="shared" si="16"/>
        <v>13.26547581103366</v>
      </c>
      <c r="Z57" s="1">
        <v>14.9146</v>
      </c>
      <c r="AA57" s="1">
        <v>20.043399999999998</v>
      </c>
      <c r="AB57" s="1">
        <v>21.0244</v>
      </c>
      <c r="AC57" s="1">
        <v>18.474</v>
      </c>
      <c r="AD57" s="1">
        <v>16.654399999999999</v>
      </c>
      <c r="AE57" s="1">
        <v>12.705399999999999</v>
      </c>
      <c r="AF57" s="1">
        <v>10.586</v>
      </c>
      <c r="AG57" s="1">
        <v>11.1212</v>
      </c>
      <c r="AH57" s="1">
        <v>21.421600000000002</v>
      </c>
      <c r="AI57" s="1">
        <v>21.666799999999999</v>
      </c>
      <c r="AJ57" s="1"/>
      <c r="AK57" s="1">
        <f t="shared" si="12"/>
        <v>0</v>
      </c>
      <c r="AL57" s="1"/>
      <c r="AM57" s="1"/>
      <c r="AN57" s="1"/>
      <c r="AO57" s="1"/>
      <c r="AP57" s="1"/>
      <c r="AQ57" s="1"/>
      <c r="AR57" s="1"/>
      <c r="AS57" s="1"/>
      <c r="AT57" s="1"/>
    </row>
    <row r="58" spans="1:46" x14ac:dyDescent="0.25">
      <c r="A58" s="1" t="s">
        <v>99</v>
      </c>
      <c r="B58" s="1" t="s">
        <v>46</v>
      </c>
      <c r="C58" s="1">
        <v>153</v>
      </c>
      <c r="D58" s="1">
        <v>445</v>
      </c>
      <c r="E58" s="1">
        <v>183</v>
      </c>
      <c r="F58" s="1">
        <v>331</v>
      </c>
      <c r="G58" s="7">
        <v>0.1</v>
      </c>
      <c r="H58" s="1">
        <v>731</v>
      </c>
      <c r="I58" s="1" t="s">
        <v>42</v>
      </c>
      <c r="J58" s="1"/>
      <c r="K58" s="1">
        <v>183</v>
      </c>
      <c r="L58" s="1">
        <f t="shared" si="13"/>
        <v>0</v>
      </c>
      <c r="M58" s="1"/>
      <c r="N58" s="1"/>
      <c r="O58" s="1"/>
      <c r="P58" s="1">
        <v>0</v>
      </c>
      <c r="Q58" s="1"/>
      <c r="R58" s="1"/>
      <c r="S58" s="1"/>
      <c r="T58" s="1">
        <v>0</v>
      </c>
      <c r="U58" s="1"/>
      <c r="V58" s="1">
        <f t="shared" si="14"/>
        <v>36.6</v>
      </c>
      <c r="W58" s="5">
        <f t="shared" si="11"/>
        <v>71.600000000000023</v>
      </c>
      <c r="X58" s="1">
        <f t="shared" si="15"/>
        <v>11</v>
      </c>
      <c r="Y58" s="1">
        <f t="shared" si="16"/>
        <v>9.0437158469945356</v>
      </c>
      <c r="Z58" s="1">
        <v>38</v>
      </c>
      <c r="AA58" s="1">
        <v>36.6</v>
      </c>
      <c r="AB58" s="1">
        <v>45.8</v>
      </c>
      <c r="AC58" s="1">
        <v>49.2</v>
      </c>
      <c r="AD58" s="1">
        <v>39.4</v>
      </c>
      <c r="AE58" s="1">
        <v>37.4</v>
      </c>
      <c r="AF58" s="1">
        <v>34.200000000000003</v>
      </c>
      <c r="AG58" s="1">
        <v>34.799999999999997</v>
      </c>
      <c r="AH58" s="1">
        <v>41.6</v>
      </c>
      <c r="AI58" s="1">
        <v>38</v>
      </c>
      <c r="AJ58" s="1"/>
      <c r="AK58" s="1">
        <f t="shared" si="12"/>
        <v>7.1600000000000028</v>
      </c>
      <c r="AL58" s="1"/>
      <c r="AM58" s="1"/>
      <c r="AN58" s="1"/>
      <c r="AO58" s="1"/>
      <c r="AP58" s="1"/>
      <c r="AQ58" s="1"/>
      <c r="AR58" s="1"/>
      <c r="AS58" s="1"/>
      <c r="AT58" s="1"/>
    </row>
    <row r="59" spans="1:46" x14ac:dyDescent="0.25">
      <c r="A59" s="1" t="s">
        <v>100</v>
      </c>
      <c r="B59" s="1" t="s">
        <v>46</v>
      </c>
      <c r="C59" s="1">
        <v>356</v>
      </c>
      <c r="D59" s="1">
        <v>207</v>
      </c>
      <c r="E59" s="1">
        <v>263</v>
      </c>
      <c r="F59" s="1">
        <v>16</v>
      </c>
      <c r="G59" s="7">
        <v>0.4</v>
      </c>
      <c r="H59" s="1">
        <v>50</v>
      </c>
      <c r="I59" s="1" t="s">
        <v>42</v>
      </c>
      <c r="J59" s="1"/>
      <c r="K59" s="1">
        <v>264</v>
      </c>
      <c r="L59" s="1">
        <f t="shared" si="13"/>
        <v>-1</v>
      </c>
      <c r="M59" s="1"/>
      <c r="N59" s="1"/>
      <c r="O59" s="1"/>
      <c r="P59" s="1">
        <v>42.192000000000007</v>
      </c>
      <c r="Q59" s="1"/>
      <c r="R59" s="1"/>
      <c r="S59" s="1"/>
      <c r="T59" s="1">
        <v>125.4</v>
      </c>
      <c r="U59" s="1"/>
      <c r="V59" s="1">
        <f t="shared" si="14"/>
        <v>52.6</v>
      </c>
      <c r="W59" s="5">
        <f>10*V59-U59-T59-S59-R59-Q59-P59-O59-F59</f>
        <v>342.40800000000002</v>
      </c>
      <c r="X59" s="1">
        <f t="shared" si="15"/>
        <v>10</v>
      </c>
      <c r="Y59" s="1">
        <f t="shared" si="16"/>
        <v>3.4903422053231941</v>
      </c>
      <c r="Z59" s="1">
        <v>40</v>
      </c>
      <c r="AA59" s="1">
        <v>40.6</v>
      </c>
      <c r="AB59" s="1">
        <v>41.6</v>
      </c>
      <c r="AC59" s="1">
        <v>40.799999999999997</v>
      </c>
      <c r="AD59" s="1">
        <v>54.8</v>
      </c>
      <c r="AE59" s="1">
        <v>47.4</v>
      </c>
      <c r="AF59" s="1">
        <v>43</v>
      </c>
      <c r="AG59" s="1">
        <v>63</v>
      </c>
      <c r="AH59" s="1">
        <v>63.2</v>
      </c>
      <c r="AI59" s="1">
        <v>63.4</v>
      </c>
      <c r="AJ59" s="1"/>
      <c r="AK59" s="1">
        <f t="shared" si="12"/>
        <v>136.9632</v>
      </c>
      <c r="AL59" s="1"/>
      <c r="AM59" s="1"/>
      <c r="AN59" s="1"/>
      <c r="AO59" s="1"/>
      <c r="AP59" s="1"/>
      <c r="AQ59" s="1"/>
      <c r="AR59" s="1"/>
      <c r="AS59" s="1"/>
      <c r="AT59" s="1"/>
    </row>
    <row r="60" spans="1:46" x14ac:dyDescent="0.25">
      <c r="A60" s="1" t="s">
        <v>101</v>
      </c>
      <c r="B60" s="1" t="s">
        <v>41</v>
      </c>
      <c r="C60" s="1">
        <v>826.82600000000002</v>
      </c>
      <c r="D60" s="1">
        <v>102.312</v>
      </c>
      <c r="E60" s="1">
        <v>524.39400000000001</v>
      </c>
      <c r="F60" s="1">
        <v>246.547</v>
      </c>
      <c r="G60" s="7">
        <v>1</v>
      </c>
      <c r="H60" s="1">
        <v>40</v>
      </c>
      <c r="I60" s="9" t="s">
        <v>52</v>
      </c>
      <c r="J60" s="1"/>
      <c r="K60" s="1">
        <v>538.04999999999995</v>
      </c>
      <c r="L60" s="1">
        <f t="shared" si="13"/>
        <v>-13.655999999999949</v>
      </c>
      <c r="M60" s="1"/>
      <c r="N60" s="1"/>
      <c r="O60" s="1"/>
      <c r="P60" s="1">
        <v>158.17663999999999</v>
      </c>
      <c r="Q60" s="1">
        <v>237.26496</v>
      </c>
      <c r="R60" s="1"/>
      <c r="S60" s="1"/>
      <c r="T60" s="1">
        <v>254.8826</v>
      </c>
      <c r="U60" s="1"/>
      <c r="V60" s="1">
        <f t="shared" si="14"/>
        <v>104.8788</v>
      </c>
      <c r="W60" s="5">
        <f t="shared" si="11"/>
        <v>256.79559999999992</v>
      </c>
      <c r="X60" s="1">
        <f t="shared" si="15"/>
        <v>11</v>
      </c>
      <c r="Y60" s="1">
        <f t="shared" si="16"/>
        <v>8.5515013520368282</v>
      </c>
      <c r="Z60" s="1">
        <v>105.1588</v>
      </c>
      <c r="AA60" s="1">
        <v>95.004600000000011</v>
      </c>
      <c r="AB60" s="1">
        <v>56.900799999999997</v>
      </c>
      <c r="AC60" s="1">
        <v>72.902999999999992</v>
      </c>
      <c r="AD60" s="1">
        <v>117.24079999999999</v>
      </c>
      <c r="AE60" s="1">
        <v>108.114</v>
      </c>
      <c r="AF60" s="1">
        <v>73.970799999999997</v>
      </c>
      <c r="AG60" s="1">
        <v>112.611</v>
      </c>
      <c r="AH60" s="1">
        <v>79.74199999999999</v>
      </c>
      <c r="AI60" s="1">
        <v>5.6125999999999996</v>
      </c>
      <c r="AJ60" s="1"/>
      <c r="AK60" s="1">
        <f t="shared" si="12"/>
        <v>256.79559999999992</v>
      </c>
      <c r="AL60" s="1"/>
      <c r="AM60" s="1"/>
      <c r="AN60" s="1"/>
      <c r="AO60" s="1"/>
      <c r="AP60" s="1"/>
      <c r="AQ60" s="1"/>
      <c r="AR60" s="1"/>
      <c r="AS60" s="1"/>
      <c r="AT60" s="1"/>
    </row>
    <row r="61" spans="1:46" x14ac:dyDescent="0.25">
      <c r="A61" s="1" t="s">
        <v>102</v>
      </c>
      <c r="B61" s="1" t="s">
        <v>41</v>
      </c>
      <c r="C61" s="1">
        <v>35.552</v>
      </c>
      <c r="D61" s="1">
        <v>591.46900000000005</v>
      </c>
      <c r="E61" s="1">
        <v>80.551000000000002</v>
      </c>
      <c r="F61" s="1">
        <v>114.499</v>
      </c>
      <c r="G61" s="7">
        <v>1</v>
      </c>
      <c r="H61" s="1">
        <v>40</v>
      </c>
      <c r="I61" s="9" t="s">
        <v>52</v>
      </c>
      <c r="J61" s="1"/>
      <c r="K61" s="1">
        <v>113.6</v>
      </c>
      <c r="L61" s="1">
        <f t="shared" si="13"/>
        <v>-33.048999999999992</v>
      </c>
      <c r="M61" s="1"/>
      <c r="N61" s="1"/>
      <c r="O61" s="1"/>
      <c r="P61" s="1">
        <v>120</v>
      </c>
      <c r="Q61" s="1">
        <v>180</v>
      </c>
      <c r="R61" s="1"/>
      <c r="S61" s="1"/>
      <c r="T61" s="1">
        <v>19.081173499999679</v>
      </c>
      <c r="U61" s="1"/>
      <c r="V61" s="1">
        <f t="shared" si="14"/>
        <v>16.110199999999999</v>
      </c>
      <c r="W61" s="5"/>
      <c r="X61" s="1">
        <f t="shared" si="15"/>
        <v>26.913394836811445</v>
      </c>
      <c r="Y61" s="1">
        <f t="shared" si="16"/>
        <v>26.913394836811445</v>
      </c>
      <c r="Z61" s="1">
        <v>63.010399999999997</v>
      </c>
      <c r="AA61" s="1">
        <v>100.036</v>
      </c>
      <c r="AB61" s="1">
        <v>103.18680000000001</v>
      </c>
      <c r="AC61" s="1">
        <v>88.636200000000002</v>
      </c>
      <c r="AD61" s="1">
        <v>68.945799999999991</v>
      </c>
      <c r="AE61" s="1">
        <v>82.884799999999998</v>
      </c>
      <c r="AF61" s="1">
        <v>66.700599999999994</v>
      </c>
      <c r="AG61" s="1">
        <v>23.886800000000001</v>
      </c>
      <c r="AH61" s="1">
        <v>23.633800000000001</v>
      </c>
      <c r="AI61" s="1">
        <v>61.535799999999988</v>
      </c>
      <c r="AJ61" s="1" t="s">
        <v>62</v>
      </c>
      <c r="AK61" s="1">
        <f t="shared" si="12"/>
        <v>0</v>
      </c>
      <c r="AL61" s="1"/>
      <c r="AM61" s="1"/>
      <c r="AN61" s="1"/>
      <c r="AO61" s="1"/>
      <c r="AP61" s="1"/>
      <c r="AQ61" s="1"/>
      <c r="AR61" s="1"/>
      <c r="AS61" s="1"/>
      <c r="AT61" s="1"/>
    </row>
    <row r="62" spans="1:46" x14ac:dyDescent="0.25">
      <c r="A62" s="1" t="s">
        <v>103</v>
      </c>
      <c r="B62" s="1" t="s">
        <v>46</v>
      </c>
      <c r="C62" s="1">
        <v>1938</v>
      </c>
      <c r="D62" s="1">
        <v>102</v>
      </c>
      <c r="E62" s="1">
        <v>913</v>
      </c>
      <c r="F62" s="1">
        <v>812</v>
      </c>
      <c r="G62" s="7">
        <v>0.4</v>
      </c>
      <c r="H62" s="1">
        <v>40</v>
      </c>
      <c r="I62" s="9" t="s">
        <v>52</v>
      </c>
      <c r="J62" s="1"/>
      <c r="K62" s="1">
        <v>937</v>
      </c>
      <c r="L62" s="1">
        <f t="shared" si="13"/>
        <v>-24</v>
      </c>
      <c r="M62" s="1"/>
      <c r="N62" s="1"/>
      <c r="O62" s="1"/>
      <c r="P62" s="1">
        <v>143.36000000000001</v>
      </c>
      <c r="Q62" s="1">
        <v>215.04</v>
      </c>
      <c r="R62" s="1"/>
      <c r="S62" s="1"/>
      <c r="T62" s="1">
        <v>494.69999999999982</v>
      </c>
      <c r="U62" s="1"/>
      <c r="V62" s="1">
        <f t="shared" si="14"/>
        <v>182.6</v>
      </c>
      <c r="W62" s="5">
        <f t="shared" si="11"/>
        <v>343.5</v>
      </c>
      <c r="X62" s="1">
        <f t="shared" si="15"/>
        <v>11</v>
      </c>
      <c r="Y62" s="1">
        <f t="shared" si="16"/>
        <v>9.118838992332968</v>
      </c>
      <c r="Z62" s="1">
        <v>193.4</v>
      </c>
      <c r="AA62" s="1">
        <v>188.4</v>
      </c>
      <c r="AB62" s="1">
        <v>196.8</v>
      </c>
      <c r="AC62" s="1">
        <v>233</v>
      </c>
      <c r="AD62" s="1">
        <v>274.2</v>
      </c>
      <c r="AE62" s="1">
        <v>247.6</v>
      </c>
      <c r="AF62" s="1">
        <v>193.2</v>
      </c>
      <c r="AG62" s="1">
        <v>198.8</v>
      </c>
      <c r="AH62" s="1">
        <v>196.6</v>
      </c>
      <c r="AI62" s="1">
        <v>246.4</v>
      </c>
      <c r="AJ62" s="1"/>
      <c r="AK62" s="1">
        <f t="shared" si="12"/>
        <v>137.4</v>
      </c>
      <c r="AL62" s="1"/>
      <c r="AM62" s="1"/>
      <c r="AN62" s="1"/>
      <c r="AO62" s="1"/>
      <c r="AP62" s="1"/>
      <c r="AQ62" s="1"/>
      <c r="AR62" s="1"/>
      <c r="AS62" s="1"/>
      <c r="AT62" s="1"/>
    </row>
    <row r="63" spans="1:46" x14ac:dyDescent="0.25">
      <c r="A63" s="1" t="s">
        <v>104</v>
      </c>
      <c r="B63" s="1" t="s">
        <v>46</v>
      </c>
      <c r="C63" s="1">
        <v>209</v>
      </c>
      <c r="D63" s="1">
        <v>1274</v>
      </c>
      <c r="E63" s="1">
        <v>643</v>
      </c>
      <c r="F63" s="1">
        <v>602</v>
      </c>
      <c r="G63" s="7">
        <v>0.4</v>
      </c>
      <c r="H63" s="1">
        <v>40</v>
      </c>
      <c r="I63" s="1" t="s">
        <v>42</v>
      </c>
      <c r="J63" s="1"/>
      <c r="K63" s="1">
        <v>652</v>
      </c>
      <c r="L63" s="1">
        <f t="shared" si="13"/>
        <v>-9</v>
      </c>
      <c r="M63" s="1"/>
      <c r="N63" s="1"/>
      <c r="O63" s="1"/>
      <c r="P63" s="1">
        <v>0</v>
      </c>
      <c r="Q63" s="1"/>
      <c r="R63" s="1"/>
      <c r="S63" s="1"/>
      <c r="T63" s="1">
        <v>251.7</v>
      </c>
      <c r="U63" s="1"/>
      <c r="V63" s="1">
        <f t="shared" si="14"/>
        <v>128.6</v>
      </c>
      <c r="W63" s="5">
        <f t="shared" si="11"/>
        <v>560.89999999999986</v>
      </c>
      <c r="X63" s="1">
        <f t="shared" si="15"/>
        <v>11</v>
      </c>
      <c r="Y63" s="1">
        <f t="shared" si="16"/>
        <v>6.6384136858475902</v>
      </c>
      <c r="Z63" s="1">
        <v>101.8</v>
      </c>
      <c r="AA63" s="1">
        <v>61.8</v>
      </c>
      <c r="AB63" s="1">
        <v>99.6</v>
      </c>
      <c r="AC63" s="1">
        <v>148.4</v>
      </c>
      <c r="AD63" s="1">
        <v>73.599999999999994</v>
      </c>
      <c r="AE63" s="1">
        <v>47.8</v>
      </c>
      <c r="AF63" s="1">
        <v>89.4</v>
      </c>
      <c r="AG63" s="1">
        <v>82</v>
      </c>
      <c r="AH63" s="1">
        <v>41.4</v>
      </c>
      <c r="AI63" s="1">
        <v>49.4</v>
      </c>
      <c r="AJ63" s="1"/>
      <c r="AK63" s="1">
        <f t="shared" si="12"/>
        <v>224.35999999999996</v>
      </c>
      <c r="AL63" s="1"/>
      <c r="AM63" s="1"/>
      <c r="AN63" s="1"/>
      <c r="AO63" s="1"/>
      <c r="AP63" s="1"/>
      <c r="AQ63" s="1"/>
      <c r="AR63" s="1"/>
      <c r="AS63" s="1"/>
      <c r="AT63" s="1"/>
    </row>
    <row r="64" spans="1:46" x14ac:dyDescent="0.25">
      <c r="A64" s="1" t="s">
        <v>105</v>
      </c>
      <c r="B64" s="1" t="s">
        <v>41</v>
      </c>
      <c r="C64" s="1">
        <v>0.28100000000000003</v>
      </c>
      <c r="D64" s="1">
        <v>763.84299999999996</v>
      </c>
      <c r="E64" s="1">
        <v>386.47</v>
      </c>
      <c r="F64" s="1">
        <v>221.083</v>
      </c>
      <c r="G64" s="7">
        <v>1</v>
      </c>
      <c r="H64" s="1">
        <v>40</v>
      </c>
      <c r="I64" s="9" t="s">
        <v>52</v>
      </c>
      <c r="J64" s="1"/>
      <c r="K64" s="1">
        <v>390.77499999999998</v>
      </c>
      <c r="L64" s="1">
        <f t="shared" si="13"/>
        <v>-4.30499999999995</v>
      </c>
      <c r="M64" s="1"/>
      <c r="N64" s="1"/>
      <c r="O64" s="1"/>
      <c r="P64" s="1">
        <v>0</v>
      </c>
      <c r="Q64" s="1"/>
      <c r="R64" s="1"/>
      <c r="S64" s="1"/>
      <c r="T64" s="1">
        <v>0</v>
      </c>
      <c r="U64" s="1"/>
      <c r="V64" s="1">
        <f t="shared" si="14"/>
        <v>77.294000000000011</v>
      </c>
      <c r="W64" s="5">
        <v>500</v>
      </c>
      <c r="X64" s="1">
        <f t="shared" si="15"/>
        <v>9.3290941082102083</v>
      </c>
      <c r="Y64" s="1">
        <f t="shared" si="16"/>
        <v>2.8602866975444403</v>
      </c>
      <c r="Z64" s="1">
        <v>25.259599999999999</v>
      </c>
      <c r="AA64" s="1">
        <v>18.2072</v>
      </c>
      <c r="AB64" s="1">
        <v>61.124800000000008</v>
      </c>
      <c r="AC64" s="1">
        <v>70.778999999999996</v>
      </c>
      <c r="AD64" s="1">
        <v>27.305800000000001</v>
      </c>
      <c r="AE64" s="1">
        <v>-1.0952</v>
      </c>
      <c r="AF64" s="1">
        <v>-0.55000000000000004</v>
      </c>
      <c r="AG64" s="1">
        <v>24.584800000000001</v>
      </c>
      <c r="AH64" s="1">
        <v>65.170600000000007</v>
      </c>
      <c r="AI64" s="1">
        <v>61.546000000000006</v>
      </c>
      <c r="AJ64" s="1"/>
      <c r="AK64" s="1">
        <f t="shared" si="12"/>
        <v>500</v>
      </c>
      <c r="AL64" s="1"/>
      <c r="AM64" s="1"/>
      <c r="AN64" s="1"/>
      <c r="AO64" s="1"/>
      <c r="AP64" s="1"/>
      <c r="AQ64" s="1"/>
      <c r="AR64" s="1"/>
      <c r="AS64" s="1"/>
      <c r="AT64" s="1"/>
    </row>
    <row r="65" spans="1:46" x14ac:dyDescent="0.25">
      <c r="A65" s="1" t="s">
        <v>106</v>
      </c>
      <c r="B65" s="1" t="s">
        <v>41</v>
      </c>
      <c r="C65" s="1"/>
      <c r="D65" s="1">
        <v>103.173</v>
      </c>
      <c r="E65" s="1">
        <v>101.381</v>
      </c>
      <c r="F65" s="1"/>
      <c r="G65" s="7">
        <v>1</v>
      </c>
      <c r="H65" s="1">
        <v>40</v>
      </c>
      <c r="I65" s="9" t="s">
        <v>52</v>
      </c>
      <c r="J65" s="1"/>
      <c r="K65" s="1">
        <v>135.125</v>
      </c>
      <c r="L65" s="1">
        <f t="shared" si="13"/>
        <v>-33.744</v>
      </c>
      <c r="M65" s="1"/>
      <c r="N65" s="1"/>
      <c r="O65" s="1"/>
      <c r="P65" s="1">
        <v>0</v>
      </c>
      <c r="Q65" s="1"/>
      <c r="R65" s="1"/>
      <c r="S65" s="1"/>
      <c r="T65" s="1">
        <v>200</v>
      </c>
      <c r="U65" s="1"/>
      <c r="V65" s="1">
        <f t="shared" si="14"/>
        <v>20.276199999999999</v>
      </c>
      <c r="W65" s="5">
        <f t="shared" si="11"/>
        <v>23.038199999999989</v>
      </c>
      <c r="X65" s="1">
        <f t="shared" si="15"/>
        <v>11</v>
      </c>
      <c r="Y65" s="1">
        <f t="shared" si="16"/>
        <v>9.8637811818782613</v>
      </c>
      <c r="Z65" s="1">
        <v>17.383400000000002</v>
      </c>
      <c r="AA65" s="1">
        <v>-0.53600000000000003</v>
      </c>
      <c r="AB65" s="1">
        <v>1.5669999999999999</v>
      </c>
      <c r="AC65" s="1">
        <v>1.5669999999999999</v>
      </c>
      <c r="AD65" s="1">
        <v>-0.7268</v>
      </c>
      <c r="AE65" s="1">
        <v>-0.90999999999999992</v>
      </c>
      <c r="AF65" s="1">
        <v>-0.45700000000000002</v>
      </c>
      <c r="AG65" s="1">
        <v>2.2844000000000002</v>
      </c>
      <c r="AH65" s="1">
        <v>72.720799999999997</v>
      </c>
      <c r="AI65" s="1">
        <v>89.860799999999998</v>
      </c>
      <c r="AJ65" s="1"/>
      <c r="AK65" s="1">
        <f t="shared" si="12"/>
        <v>23.038199999999989</v>
      </c>
      <c r="AL65" s="1"/>
      <c r="AM65" s="1"/>
      <c r="AN65" s="1"/>
      <c r="AO65" s="1"/>
      <c r="AP65" s="1"/>
      <c r="AQ65" s="1"/>
      <c r="AR65" s="1"/>
      <c r="AS65" s="1"/>
      <c r="AT65" s="1"/>
    </row>
    <row r="66" spans="1:46" x14ac:dyDescent="0.25">
      <c r="A66" s="1" t="s">
        <v>107</v>
      </c>
      <c r="B66" s="1" t="s">
        <v>41</v>
      </c>
      <c r="C66" s="1">
        <v>-1.042</v>
      </c>
      <c r="D66" s="1">
        <v>1.042</v>
      </c>
      <c r="E66" s="1">
        <v>-1.825</v>
      </c>
      <c r="F66" s="1"/>
      <c r="G66" s="7">
        <v>1</v>
      </c>
      <c r="H66" s="1">
        <v>40</v>
      </c>
      <c r="I66" s="9" t="s">
        <v>52</v>
      </c>
      <c r="J66" s="1"/>
      <c r="K66" s="1">
        <v>163</v>
      </c>
      <c r="L66" s="1">
        <f t="shared" si="13"/>
        <v>-164.82499999999999</v>
      </c>
      <c r="M66" s="1"/>
      <c r="N66" s="1"/>
      <c r="O66" s="1"/>
      <c r="P66" s="1">
        <v>240</v>
      </c>
      <c r="Q66" s="1">
        <v>360</v>
      </c>
      <c r="R66" s="1">
        <v>-362</v>
      </c>
      <c r="S66" s="1"/>
      <c r="T66" s="1">
        <v>0</v>
      </c>
      <c r="U66" s="1"/>
      <c r="V66" s="1">
        <f t="shared" si="14"/>
        <v>-0.36499999999999999</v>
      </c>
      <c r="W66" s="5">
        <v>150</v>
      </c>
      <c r="X66" s="1">
        <f t="shared" si="15"/>
        <v>-1063.013698630137</v>
      </c>
      <c r="Y66" s="1">
        <f t="shared" si="16"/>
        <v>-652.05479452054794</v>
      </c>
      <c r="Z66" s="1">
        <v>59.523000000000003</v>
      </c>
      <c r="AA66" s="1">
        <v>61.708000000000013</v>
      </c>
      <c r="AB66" s="1">
        <v>37.239999999999988</v>
      </c>
      <c r="AC66" s="1">
        <v>34.334000000000003</v>
      </c>
      <c r="AD66" s="1">
        <v>-2.6212</v>
      </c>
      <c r="AE66" s="1">
        <v>-3.4367999999999999</v>
      </c>
      <c r="AF66" s="1">
        <v>-2.5032000000000001</v>
      </c>
      <c r="AG66" s="1">
        <v>28.1082</v>
      </c>
      <c r="AH66" s="1">
        <v>131.87299999999999</v>
      </c>
      <c r="AI66" s="1">
        <v>154.22540000000001</v>
      </c>
      <c r="AJ66" s="1"/>
      <c r="AK66" s="1">
        <f t="shared" ref="AK66:AK84" si="17">G66*W66</f>
        <v>150</v>
      </c>
      <c r="AL66" s="1"/>
      <c r="AM66" s="1"/>
      <c r="AN66" s="1"/>
      <c r="AO66" s="1"/>
      <c r="AP66" s="1"/>
      <c r="AQ66" s="1"/>
      <c r="AR66" s="1"/>
      <c r="AS66" s="1"/>
      <c r="AT66" s="1"/>
    </row>
    <row r="67" spans="1:46" x14ac:dyDescent="0.25">
      <c r="A67" s="1" t="s">
        <v>108</v>
      </c>
      <c r="B67" s="1" t="s">
        <v>41</v>
      </c>
      <c r="C67" s="1">
        <v>-10.111000000000001</v>
      </c>
      <c r="D67" s="1">
        <v>27.186</v>
      </c>
      <c r="E67" s="1">
        <v>-2.7309999999999999</v>
      </c>
      <c r="F67" s="1"/>
      <c r="G67" s="7">
        <v>1</v>
      </c>
      <c r="H67" s="1">
        <v>40</v>
      </c>
      <c r="I67" s="9" t="s">
        <v>52</v>
      </c>
      <c r="J67" s="1"/>
      <c r="K67" s="1">
        <v>5.6</v>
      </c>
      <c r="L67" s="1">
        <f t="shared" si="13"/>
        <v>-8.3309999999999995</v>
      </c>
      <c r="M67" s="1"/>
      <c r="N67" s="1"/>
      <c r="O67" s="1"/>
      <c r="P67" s="1">
        <v>50</v>
      </c>
      <c r="Q67" s="1"/>
      <c r="R67" s="1"/>
      <c r="S67" s="1"/>
      <c r="T67" s="1">
        <v>0</v>
      </c>
      <c r="U67" s="1"/>
      <c r="V67" s="1">
        <f t="shared" si="14"/>
        <v>-0.54620000000000002</v>
      </c>
      <c r="W67" s="5">
        <v>50</v>
      </c>
      <c r="X67" s="1">
        <f t="shared" si="15"/>
        <v>-183.08311973636029</v>
      </c>
      <c r="Y67" s="1">
        <f t="shared" si="16"/>
        <v>-91.541559868180144</v>
      </c>
      <c r="Z67" s="1">
        <v>-0.90079999999999993</v>
      </c>
      <c r="AA67" s="1">
        <v>-0.53520000000000001</v>
      </c>
      <c r="AB67" s="1">
        <v>16.866399999999999</v>
      </c>
      <c r="AC67" s="1">
        <v>33.512999999999998</v>
      </c>
      <c r="AD67" s="1">
        <v>40.464799999999997</v>
      </c>
      <c r="AE67" s="1">
        <v>40.846600000000002</v>
      </c>
      <c r="AF67" s="1">
        <v>16.485800000000001</v>
      </c>
      <c r="AG67" s="1">
        <v>10.116400000000001</v>
      </c>
      <c r="AH67" s="1">
        <v>52.983400000000003</v>
      </c>
      <c r="AI67" s="1">
        <v>61.165399999999998</v>
      </c>
      <c r="AJ67" s="1"/>
      <c r="AK67" s="1">
        <f t="shared" si="17"/>
        <v>50</v>
      </c>
      <c r="AL67" s="1"/>
      <c r="AM67" s="1"/>
      <c r="AN67" s="1"/>
      <c r="AO67" s="1"/>
      <c r="AP67" s="1"/>
      <c r="AQ67" s="1"/>
      <c r="AR67" s="1"/>
      <c r="AS67" s="1"/>
      <c r="AT67" s="1"/>
    </row>
    <row r="68" spans="1:46" x14ac:dyDescent="0.25">
      <c r="A68" s="1" t="s">
        <v>109</v>
      </c>
      <c r="B68" s="1" t="s">
        <v>46</v>
      </c>
      <c r="C68" s="1">
        <v>20</v>
      </c>
      <c r="D68" s="1">
        <v>3</v>
      </c>
      <c r="E68" s="1">
        <v>6</v>
      </c>
      <c r="F68" s="1">
        <v>13</v>
      </c>
      <c r="G68" s="7">
        <v>0.6</v>
      </c>
      <c r="H68" s="1">
        <v>70</v>
      </c>
      <c r="I68" s="1" t="s">
        <v>42</v>
      </c>
      <c r="J68" s="1"/>
      <c r="K68" s="1">
        <v>7</v>
      </c>
      <c r="L68" s="1">
        <f t="shared" si="13"/>
        <v>-1</v>
      </c>
      <c r="M68" s="1"/>
      <c r="N68" s="1"/>
      <c r="O68" s="1"/>
      <c r="P68" s="1">
        <v>0</v>
      </c>
      <c r="Q68" s="1"/>
      <c r="R68" s="1"/>
      <c r="S68" s="1"/>
      <c r="T68" s="1">
        <v>8</v>
      </c>
      <c r="U68" s="1"/>
      <c r="V68" s="1">
        <f t="shared" si="14"/>
        <v>1.2</v>
      </c>
      <c r="W68" s="5"/>
      <c r="X68" s="1">
        <f t="shared" si="15"/>
        <v>17.5</v>
      </c>
      <c r="Y68" s="1">
        <f t="shared" si="16"/>
        <v>17.5</v>
      </c>
      <c r="Z68" s="1">
        <v>1.6</v>
      </c>
      <c r="AA68" s="1">
        <v>0.6</v>
      </c>
      <c r="AB68" s="1">
        <v>1.2</v>
      </c>
      <c r="AC68" s="1">
        <v>1.2</v>
      </c>
      <c r="AD68" s="1">
        <v>0</v>
      </c>
      <c r="AE68" s="1">
        <v>1.2</v>
      </c>
      <c r="AF68" s="1">
        <v>1.2</v>
      </c>
      <c r="AG68" s="1">
        <v>1.4</v>
      </c>
      <c r="AH68" s="1">
        <v>2.4</v>
      </c>
      <c r="AI68" s="1">
        <v>2.2000000000000002</v>
      </c>
      <c r="AJ68" s="1"/>
      <c r="AK68" s="1">
        <f t="shared" si="17"/>
        <v>0</v>
      </c>
      <c r="AL68" s="1"/>
      <c r="AM68" s="1"/>
      <c r="AN68" s="1"/>
      <c r="AO68" s="1"/>
      <c r="AP68" s="1"/>
      <c r="AQ68" s="1"/>
      <c r="AR68" s="1"/>
      <c r="AS68" s="1"/>
      <c r="AT68" s="1"/>
    </row>
    <row r="69" spans="1:46" x14ac:dyDescent="0.25">
      <c r="A69" s="1" t="s">
        <v>110</v>
      </c>
      <c r="B69" s="1" t="s">
        <v>41</v>
      </c>
      <c r="C69" s="1">
        <v>172.83099999999999</v>
      </c>
      <c r="D69" s="1">
        <v>266.66899999999998</v>
      </c>
      <c r="E69" s="1">
        <v>179.12700000000001</v>
      </c>
      <c r="F69" s="1">
        <v>167.244</v>
      </c>
      <c r="G69" s="7">
        <v>1</v>
      </c>
      <c r="H69" s="1">
        <v>30</v>
      </c>
      <c r="I69" s="9" t="s">
        <v>52</v>
      </c>
      <c r="J69" s="1"/>
      <c r="K69" s="1">
        <v>212.75</v>
      </c>
      <c r="L69" s="1">
        <f t="shared" si="13"/>
        <v>-33.62299999999999</v>
      </c>
      <c r="M69" s="1"/>
      <c r="N69" s="1"/>
      <c r="O69" s="1"/>
      <c r="P69" s="1">
        <v>72.262599999999907</v>
      </c>
      <c r="Q69" s="1"/>
      <c r="R69" s="1"/>
      <c r="S69" s="1"/>
      <c r="T69" s="1">
        <v>87.107199999999978</v>
      </c>
      <c r="U69" s="1"/>
      <c r="V69" s="1">
        <f t="shared" si="14"/>
        <v>35.825400000000002</v>
      </c>
      <c r="W69" s="5">
        <v>100</v>
      </c>
      <c r="X69" s="1">
        <f t="shared" si="15"/>
        <v>11.908137801671435</v>
      </c>
      <c r="Y69" s="1">
        <f t="shared" si="16"/>
        <v>9.1168221429488536</v>
      </c>
      <c r="Z69" s="1">
        <v>37.188800000000001</v>
      </c>
      <c r="AA69" s="1">
        <v>38.170999999999999</v>
      </c>
      <c r="AB69" s="1">
        <v>39.023200000000003</v>
      </c>
      <c r="AC69" s="1">
        <v>41.531599999999997</v>
      </c>
      <c r="AD69" s="1">
        <v>38.9026</v>
      </c>
      <c r="AE69" s="1">
        <v>42.365200000000002</v>
      </c>
      <c r="AF69" s="1">
        <v>40.881999999999998</v>
      </c>
      <c r="AG69" s="1">
        <v>42.170200000000001</v>
      </c>
      <c r="AH69" s="1">
        <v>58.654400000000003</v>
      </c>
      <c r="AI69" s="1">
        <v>59.754800000000003</v>
      </c>
      <c r="AJ69" s="1"/>
      <c r="AK69" s="1">
        <f t="shared" si="17"/>
        <v>100</v>
      </c>
      <c r="AL69" s="1"/>
      <c r="AM69" s="1"/>
      <c r="AN69" s="1"/>
      <c r="AO69" s="1"/>
      <c r="AP69" s="1"/>
      <c r="AQ69" s="1"/>
      <c r="AR69" s="1"/>
      <c r="AS69" s="1"/>
      <c r="AT69" s="1"/>
    </row>
    <row r="70" spans="1:46" x14ac:dyDescent="0.25">
      <c r="A70" s="1" t="s">
        <v>111</v>
      </c>
      <c r="B70" s="1" t="s">
        <v>46</v>
      </c>
      <c r="C70" s="1">
        <v>105</v>
      </c>
      <c r="D70" s="1">
        <v>438</v>
      </c>
      <c r="E70" s="1">
        <v>151</v>
      </c>
      <c r="F70" s="1">
        <v>131</v>
      </c>
      <c r="G70" s="7">
        <v>0.6</v>
      </c>
      <c r="H70" s="1">
        <v>60</v>
      </c>
      <c r="I70" s="1" t="s">
        <v>42</v>
      </c>
      <c r="J70" s="1"/>
      <c r="K70" s="1">
        <v>147</v>
      </c>
      <c r="L70" s="1">
        <f t="shared" ref="L70:L101" si="18">E70-K70</f>
        <v>4</v>
      </c>
      <c r="M70" s="1"/>
      <c r="N70" s="1"/>
      <c r="O70" s="1"/>
      <c r="P70" s="1">
        <v>76.341999999999985</v>
      </c>
      <c r="Q70" s="1"/>
      <c r="R70" s="1"/>
      <c r="S70" s="1"/>
      <c r="T70" s="1">
        <v>21.800000000000011</v>
      </c>
      <c r="U70" s="1"/>
      <c r="V70" s="1">
        <f t="shared" ref="V70:V101" si="19">E70/5</f>
        <v>30.2</v>
      </c>
      <c r="W70" s="5">
        <f t="shared" si="11"/>
        <v>103.05799999999999</v>
      </c>
      <c r="X70" s="1">
        <f t="shared" ref="X70:X101" si="20">(F70+O70+P70+Q70+R70+S70+T70+U70+W70)/V70</f>
        <v>11</v>
      </c>
      <c r="Y70" s="1">
        <f t="shared" ref="Y70:Y101" si="21">(F70+O70+P70+Q70+R70+S70+T70+U70)/V70</f>
        <v>7.5874834437086092</v>
      </c>
      <c r="Z70" s="1">
        <v>26</v>
      </c>
      <c r="AA70" s="1">
        <v>31.2</v>
      </c>
      <c r="AB70" s="1">
        <v>26.6</v>
      </c>
      <c r="AC70" s="1">
        <v>23.6</v>
      </c>
      <c r="AD70" s="1">
        <v>26.2</v>
      </c>
      <c r="AE70" s="1">
        <v>25.8</v>
      </c>
      <c r="AF70" s="1">
        <v>24.4</v>
      </c>
      <c r="AG70" s="1">
        <v>19.2</v>
      </c>
      <c r="AH70" s="1">
        <v>23.2</v>
      </c>
      <c r="AI70" s="1">
        <v>26.8</v>
      </c>
      <c r="AJ70" s="1"/>
      <c r="AK70" s="1">
        <f t="shared" si="17"/>
        <v>61.834799999999994</v>
      </c>
      <c r="AL70" s="1"/>
      <c r="AM70" s="1"/>
      <c r="AN70" s="1"/>
      <c r="AO70" s="1"/>
      <c r="AP70" s="1"/>
      <c r="AQ70" s="1"/>
      <c r="AR70" s="1"/>
      <c r="AS70" s="1"/>
      <c r="AT70" s="1"/>
    </row>
    <row r="71" spans="1:46" x14ac:dyDescent="0.25">
      <c r="A71" s="1" t="s">
        <v>112</v>
      </c>
      <c r="B71" s="1" t="s">
        <v>46</v>
      </c>
      <c r="C71" s="1">
        <v>8</v>
      </c>
      <c r="D71" s="1">
        <v>115</v>
      </c>
      <c r="E71" s="1">
        <v>41</v>
      </c>
      <c r="F71" s="1">
        <v>65</v>
      </c>
      <c r="G71" s="7">
        <v>0.6</v>
      </c>
      <c r="H71" s="1">
        <v>60</v>
      </c>
      <c r="I71" s="1" t="s">
        <v>42</v>
      </c>
      <c r="J71" s="1"/>
      <c r="K71" s="1">
        <v>49</v>
      </c>
      <c r="L71" s="1">
        <f t="shared" si="18"/>
        <v>-8</v>
      </c>
      <c r="M71" s="1"/>
      <c r="N71" s="1"/>
      <c r="O71" s="1"/>
      <c r="P71" s="1">
        <v>52.5</v>
      </c>
      <c r="Q71" s="1"/>
      <c r="R71" s="1"/>
      <c r="S71" s="1"/>
      <c r="T71" s="1">
        <v>20.700000000000021</v>
      </c>
      <c r="U71" s="1"/>
      <c r="V71" s="1">
        <f t="shared" si="19"/>
        <v>8.1999999999999993</v>
      </c>
      <c r="W71" s="5"/>
      <c r="X71" s="1">
        <f t="shared" si="20"/>
        <v>16.853658536585371</v>
      </c>
      <c r="Y71" s="1">
        <f t="shared" si="21"/>
        <v>16.853658536585371</v>
      </c>
      <c r="Z71" s="1">
        <v>12.6</v>
      </c>
      <c r="AA71" s="1">
        <v>13.2</v>
      </c>
      <c r="AB71" s="1">
        <v>11</v>
      </c>
      <c r="AC71" s="1">
        <v>8.8000000000000007</v>
      </c>
      <c r="AD71" s="1">
        <v>6.4</v>
      </c>
      <c r="AE71" s="1">
        <v>9.6</v>
      </c>
      <c r="AF71" s="1">
        <v>10.4</v>
      </c>
      <c r="AG71" s="1">
        <v>6.6</v>
      </c>
      <c r="AH71" s="1">
        <v>6.4</v>
      </c>
      <c r="AI71" s="1">
        <v>6.4</v>
      </c>
      <c r="AJ71" s="1"/>
      <c r="AK71" s="1">
        <f t="shared" si="17"/>
        <v>0</v>
      </c>
      <c r="AL71" s="1"/>
      <c r="AM71" s="1"/>
      <c r="AN71" s="1"/>
      <c r="AO71" s="1"/>
      <c r="AP71" s="1"/>
      <c r="AQ71" s="1"/>
      <c r="AR71" s="1"/>
      <c r="AS71" s="1"/>
      <c r="AT71" s="1"/>
    </row>
    <row r="72" spans="1:46" x14ac:dyDescent="0.25">
      <c r="A72" s="1" t="s">
        <v>113</v>
      </c>
      <c r="B72" s="1" t="s">
        <v>46</v>
      </c>
      <c r="C72" s="1">
        <v>183</v>
      </c>
      <c r="D72" s="1">
        <v>145</v>
      </c>
      <c r="E72" s="1">
        <v>141</v>
      </c>
      <c r="F72" s="1">
        <v>120</v>
      </c>
      <c r="G72" s="7">
        <v>0.4</v>
      </c>
      <c r="H72" s="1">
        <v>90</v>
      </c>
      <c r="I72" s="9" t="s">
        <v>52</v>
      </c>
      <c r="J72" s="1"/>
      <c r="K72" s="1">
        <v>144</v>
      </c>
      <c r="L72" s="1">
        <f t="shared" si="18"/>
        <v>-3</v>
      </c>
      <c r="M72" s="1"/>
      <c r="N72" s="1"/>
      <c r="O72" s="1"/>
      <c r="P72" s="1">
        <v>57.800000000000011</v>
      </c>
      <c r="Q72" s="1"/>
      <c r="R72" s="1"/>
      <c r="S72" s="1"/>
      <c r="T72" s="1">
        <v>116.7</v>
      </c>
      <c r="U72" s="1"/>
      <c r="V72" s="1">
        <f t="shared" si="19"/>
        <v>28.2</v>
      </c>
      <c r="W72" s="5">
        <f t="shared" si="11"/>
        <v>15.699999999999989</v>
      </c>
      <c r="X72" s="1">
        <f t="shared" si="20"/>
        <v>11</v>
      </c>
      <c r="Y72" s="1">
        <f t="shared" si="21"/>
        <v>10.443262411347519</v>
      </c>
      <c r="Z72" s="1">
        <v>31</v>
      </c>
      <c r="AA72" s="1">
        <v>25.8</v>
      </c>
      <c r="AB72" s="1">
        <v>28</v>
      </c>
      <c r="AC72" s="1">
        <v>30</v>
      </c>
      <c r="AD72" s="1">
        <v>36.799999999999997</v>
      </c>
      <c r="AE72" s="1">
        <v>39.6</v>
      </c>
      <c r="AF72" s="1">
        <v>30.6</v>
      </c>
      <c r="AG72" s="1">
        <v>18.399999999999999</v>
      </c>
      <c r="AH72" s="1">
        <v>20.399999999999999</v>
      </c>
      <c r="AI72" s="1">
        <v>24.8</v>
      </c>
      <c r="AJ72" s="1"/>
      <c r="AK72" s="1">
        <f t="shared" si="17"/>
        <v>6.2799999999999958</v>
      </c>
      <c r="AL72" s="1"/>
      <c r="AM72" s="1"/>
      <c r="AN72" s="1"/>
      <c r="AO72" s="1"/>
      <c r="AP72" s="1"/>
      <c r="AQ72" s="1"/>
      <c r="AR72" s="1"/>
      <c r="AS72" s="1"/>
      <c r="AT72" s="1"/>
    </row>
    <row r="73" spans="1:46" x14ac:dyDescent="0.25">
      <c r="A73" s="1" t="s">
        <v>114</v>
      </c>
      <c r="B73" s="1" t="s">
        <v>46</v>
      </c>
      <c r="C73" s="1">
        <v>116</v>
      </c>
      <c r="D73" s="1">
        <v>347</v>
      </c>
      <c r="E73" s="1">
        <v>118</v>
      </c>
      <c r="F73" s="1">
        <v>219</v>
      </c>
      <c r="G73" s="7">
        <v>0.33</v>
      </c>
      <c r="H73" s="1">
        <v>60</v>
      </c>
      <c r="I73" s="9" t="s">
        <v>52</v>
      </c>
      <c r="J73" s="1"/>
      <c r="K73" s="1">
        <v>124</v>
      </c>
      <c r="L73" s="1">
        <f t="shared" si="18"/>
        <v>-6</v>
      </c>
      <c r="M73" s="1"/>
      <c r="N73" s="1"/>
      <c r="O73" s="1"/>
      <c r="P73" s="1">
        <v>94.800000000000011</v>
      </c>
      <c r="Q73" s="1"/>
      <c r="R73" s="1"/>
      <c r="S73" s="1"/>
      <c r="T73" s="1">
        <v>60</v>
      </c>
      <c r="U73" s="1"/>
      <c r="V73" s="1">
        <f t="shared" si="19"/>
        <v>23.6</v>
      </c>
      <c r="W73" s="5"/>
      <c r="X73" s="1">
        <f t="shared" si="20"/>
        <v>15.838983050847457</v>
      </c>
      <c r="Y73" s="1">
        <f t="shared" si="21"/>
        <v>15.838983050847457</v>
      </c>
      <c r="Z73" s="1">
        <v>33.6</v>
      </c>
      <c r="AA73" s="1">
        <v>41.4</v>
      </c>
      <c r="AB73" s="1">
        <v>40.799999999999997</v>
      </c>
      <c r="AC73" s="1">
        <v>37.6</v>
      </c>
      <c r="AD73" s="1">
        <v>24</v>
      </c>
      <c r="AE73" s="1">
        <v>30</v>
      </c>
      <c r="AF73" s="1">
        <v>37.799999999999997</v>
      </c>
      <c r="AG73" s="1">
        <v>26.4</v>
      </c>
      <c r="AH73" s="1">
        <v>26</v>
      </c>
      <c r="AI73" s="1">
        <v>27</v>
      </c>
      <c r="AJ73" s="1"/>
      <c r="AK73" s="1">
        <f t="shared" si="17"/>
        <v>0</v>
      </c>
      <c r="AL73" s="1"/>
      <c r="AM73" s="1"/>
      <c r="AN73" s="1"/>
      <c r="AO73" s="1"/>
      <c r="AP73" s="1"/>
      <c r="AQ73" s="1"/>
      <c r="AR73" s="1"/>
      <c r="AS73" s="1"/>
      <c r="AT73" s="1"/>
    </row>
    <row r="74" spans="1:46" x14ac:dyDescent="0.25">
      <c r="A74" s="1" t="s">
        <v>115</v>
      </c>
      <c r="B74" s="1" t="s">
        <v>46</v>
      </c>
      <c r="C74" s="1">
        <v>5</v>
      </c>
      <c r="D74" s="1">
        <v>272</v>
      </c>
      <c r="E74" s="1">
        <v>74</v>
      </c>
      <c r="F74" s="1">
        <v>173</v>
      </c>
      <c r="G74" s="7">
        <v>0.35</v>
      </c>
      <c r="H74" s="1">
        <v>90</v>
      </c>
      <c r="I74" s="9" t="s">
        <v>52</v>
      </c>
      <c r="J74" s="1"/>
      <c r="K74" s="1">
        <v>110</v>
      </c>
      <c r="L74" s="1">
        <f t="shared" si="18"/>
        <v>-36</v>
      </c>
      <c r="M74" s="1"/>
      <c r="N74" s="1"/>
      <c r="O74" s="1"/>
      <c r="P74" s="1">
        <v>0</v>
      </c>
      <c r="Q74" s="1"/>
      <c r="R74" s="1"/>
      <c r="S74" s="1"/>
      <c r="T74" s="1">
        <v>50</v>
      </c>
      <c r="U74" s="1"/>
      <c r="V74" s="1">
        <f t="shared" si="19"/>
        <v>14.8</v>
      </c>
      <c r="W74" s="5">
        <v>30</v>
      </c>
      <c r="X74" s="1">
        <f t="shared" si="20"/>
        <v>17.094594594594593</v>
      </c>
      <c r="Y74" s="1">
        <f t="shared" si="21"/>
        <v>15.067567567567567</v>
      </c>
      <c r="Z74" s="1">
        <v>5.4</v>
      </c>
      <c r="AA74" s="1">
        <v>9</v>
      </c>
      <c r="AB74" s="1">
        <v>27.8</v>
      </c>
      <c r="AC74" s="1">
        <v>31</v>
      </c>
      <c r="AD74" s="1">
        <v>23.2</v>
      </c>
      <c r="AE74" s="1">
        <v>17</v>
      </c>
      <c r="AF74" s="1">
        <v>15.4</v>
      </c>
      <c r="AG74" s="1">
        <v>16.600000000000001</v>
      </c>
      <c r="AH74" s="1">
        <v>20</v>
      </c>
      <c r="AI74" s="1">
        <v>29.8</v>
      </c>
      <c r="AJ74" s="1"/>
      <c r="AK74" s="1">
        <f t="shared" si="17"/>
        <v>10.5</v>
      </c>
      <c r="AL74" s="1"/>
      <c r="AM74" s="1"/>
      <c r="AN74" s="1"/>
      <c r="AO74" s="1"/>
      <c r="AP74" s="1"/>
      <c r="AQ74" s="1"/>
      <c r="AR74" s="1"/>
      <c r="AS74" s="1"/>
      <c r="AT74" s="1"/>
    </row>
    <row r="75" spans="1:46" x14ac:dyDescent="0.25">
      <c r="A75" s="1" t="s">
        <v>116</v>
      </c>
      <c r="B75" s="1" t="s">
        <v>46</v>
      </c>
      <c r="C75" s="1">
        <v>489</v>
      </c>
      <c r="D75" s="1">
        <v>1168</v>
      </c>
      <c r="E75" s="1">
        <v>439</v>
      </c>
      <c r="F75" s="1">
        <v>654</v>
      </c>
      <c r="G75" s="7">
        <v>0.37</v>
      </c>
      <c r="H75" s="1">
        <v>50</v>
      </c>
      <c r="I75" s="1" t="s">
        <v>42</v>
      </c>
      <c r="J75" s="1"/>
      <c r="K75" s="1">
        <v>444</v>
      </c>
      <c r="L75" s="1">
        <f t="shared" si="18"/>
        <v>-5</v>
      </c>
      <c r="M75" s="1"/>
      <c r="N75" s="1"/>
      <c r="O75" s="1"/>
      <c r="P75" s="1">
        <v>25.380628000000119</v>
      </c>
      <c r="Q75" s="1"/>
      <c r="R75" s="1"/>
      <c r="S75" s="1"/>
      <c r="T75" s="1">
        <v>245.6593720000001</v>
      </c>
      <c r="U75" s="1"/>
      <c r="V75" s="1">
        <f t="shared" si="19"/>
        <v>87.8</v>
      </c>
      <c r="W75" s="5">
        <f t="shared" si="11"/>
        <v>40.759999999999764</v>
      </c>
      <c r="X75" s="1">
        <f t="shared" si="20"/>
        <v>11</v>
      </c>
      <c r="Y75" s="1">
        <f t="shared" si="21"/>
        <v>10.535763097949889</v>
      </c>
      <c r="Z75" s="1">
        <v>104.4</v>
      </c>
      <c r="AA75" s="1">
        <v>100.2</v>
      </c>
      <c r="AB75" s="1">
        <v>113.2</v>
      </c>
      <c r="AC75" s="1">
        <v>114.4</v>
      </c>
      <c r="AD75" s="1">
        <v>101.2</v>
      </c>
      <c r="AE75" s="1">
        <v>91.8</v>
      </c>
      <c r="AF75" s="1">
        <v>81.400000000000006</v>
      </c>
      <c r="AG75" s="1">
        <v>102.6</v>
      </c>
      <c r="AH75" s="1">
        <v>100</v>
      </c>
      <c r="AI75" s="1">
        <v>93.6</v>
      </c>
      <c r="AJ75" s="1"/>
      <c r="AK75" s="1">
        <f t="shared" si="17"/>
        <v>15.081199999999912</v>
      </c>
      <c r="AL75" s="1"/>
      <c r="AM75" s="1"/>
      <c r="AN75" s="1"/>
      <c r="AO75" s="1"/>
      <c r="AP75" s="1"/>
      <c r="AQ75" s="1"/>
      <c r="AR75" s="1"/>
      <c r="AS75" s="1"/>
      <c r="AT75" s="1"/>
    </row>
    <row r="76" spans="1:46" x14ac:dyDescent="0.25">
      <c r="A76" s="1" t="s">
        <v>117</v>
      </c>
      <c r="B76" s="1" t="s">
        <v>46</v>
      </c>
      <c r="C76" s="1">
        <v>66</v>
      </c>
      <c r="D76" s="1">
        <v>612</v>
      </c>
      <c r="E76" s="1">
        <v>188</v>
      </c>
      <c r="F76" s="1">
        <v>251</v>
      </c>
      <c r="G76" s="7">
        <v>0.6</v>
      </c>
      <c r="H76" s="1">
        <v>70</v>
      </c>
      <c r="I76" s="1" t="s">
        <v>42</v>
      </c>
      <c r="J76" s="1"/>
      <c r="K76" s="1">
        <v>192</v>
      </c>
      <c r="L76" s="1">
        <f t="shared" si="18"/>
        <v>-4</v>
      </c>
      <c r="M76" s="1"/>
      <c r="N76" s="1"/>
      <c r="O76" s="1"/>
      <c r="P76" s="1">
        <v>0</v>
      </c>
      <c r="Q76" s="1"/>
      <c r="R76" s="1"/>
      <c r="S76" s="1"/>
      <c r="T76" s="1">
        <v>41.450000000000053</v>
      </c>
      <c r="U76" s="1"/>
      <c r="V76" s="1">
        <f t="shared" si="19"/>
        <v>37.6</v>
      </c>
      <c r="W76" s="5">
        <f t="shared" si="11"/>
        <v>121.14999999999998</v>
      </c>
      <c r="X76" s="1">
        <f t="shared" si="20"/>
        <v>11</v>
      </c>
      <c r="Y76" s="1">
        <f t="shared" si="21"/>
        <v>7.7779255319148941</v>
      </c>
      <c r="Z76" s="1">
        <v>36.200000000000003</v>
      </c>
      <c r="AA76" s="1">
        <v>30.2</v>
      </c>
      <c r="AB76" s="1">
        <v>45</v>
      </c>
      <c r="AC76" s="1">
        <v>48.6</v>
      </c>
      <c r="AD76" s="1">
        <v>30.2</v>
      </c>
      <c r="AE76" s="1">
        <v>27.8</v>
      </c>
      <c r="AF76" s="1">
        <v>25.6</v>
      </c>
      <c r="AG76" s="1">
        <v>22.8</v>
      </c>
      <c r="AH76" s="1">
        <v>23.6</v>
      </c>
      <c r="AI76" s="1">
        <v>26.2</v>
      </c>
      <c r="AJ76" s="1"/>
      <c r="AK76" s="1">
        <f t="shared" si="17"/>
        <v>72.689999999999984</v>
      </c>
      <c r="AL76" s="1"/>
      <c r="AM76" s="1"/>
      <c r="AN76" s="1"/>
      <c r="AO76" s="1"/>
      <c r="AP76" s="1"/>
      <c r="AQ76" s="1"/>
      <c r="AR76" s="1"/>
      <c r="AS76" s="1"/>
      <c r="AT76" s="1"/>
    </row>
    <row r="77" spans="1:46" x14ac:dyDescent="0.25">
      <c r="A77" s="1" t="s">
        <v>118</v>
      </c>
      <c r="B77" s="1" t="s">
        <v>46</v>
      </c>
      <c r="C77" s="1">
        <v>24</v>
      </c>
      <c r="D77" s="1">
        <v>124</v>
      </c>
      <c r="E77" s="1">
        <v>41</v>
      </c>
      <c r="F77" s="1">
        <v>76</v>
      </c>
      <c r="G77" s="7">
        <v>0.33</v>
      </c>
      <c r="H77" s="1">
        <v>40</v>
      </c>
      <c r="I77" s="1" t="s">
        <v>42</v>
      </c>
      <c r="J77" s="1"/>
      <c r="K77" s="1">
        <v>48</v>
      </c>
      <c r="L77" s="1">
        <f t="shared" si="18"/>
        <v>-7</v>
      </c>
      <c r="M77" s="1"/>
      <c r="N77" s="1"/>
      <c r="O77" s="1"/>
      <c r="P77" s="1">
        <v>25.999999999999972</v>
      </c>
      <c r="Q77" s="1"/>
      <c r="R77" s="1"/>
      <c r="S77" s="1"/>
      <c r="T77" s="1">
        <v>16.099999999999991</v>
      </c>
      <c r="U77" s="1"/>
      <c r="V77" s="1">
        <f t="shared" si="19"/>
        <v>8.1999999999999993</v>
      </c>
      <c r="W77" s="5"/>
      <c r="X77" s="1">
        <f t="shared" si="20"/>
        <v>14.40243902439024</v>
      </c>
      <c r="Y77" s="1">
        <f t="shared" si="21"/>
        <v>14.40243902439024</v>
      </c>
      <c r="Z77" s="1">
        <v>12.2</v>
      </c>
      <c r="AA77" s="1">
        <v>12.2</v>
      </c>
      <c r="AB77" s="1">
        <v>12.8</v>
      </c>
      <c r="AC77" s="1">
        <v>9</v>
      </c>
      <c r="AD77" s="1">
        <v>8.1999999999999993</v>
      </c>
      <c r="AE77" s="1">
        <v>11.4</v>
      </c>
      <c r="AF77" s="1">
        <v>12</v>
      </c>
      <c r="AG77" s="1">
        <v>5.4</v>
      </c>
      <c r="AH77" s="1">
        <v>-0.2</v>
      </c>
      <c r="AI77" s="1">
        <v>10</v>
      </c>
      <c r="AJ77" s="1"/>
      <c r="AK77" s="1">
        <f t="shared" si="17"/>
        <v>0</v>
      </c>
      <c r="AL77" s="1"/>
      <c r="AM77" s="1"/>
      <c r="AN77" s="1"/>
      <c r="AO77" s="1"/>
      <c r="AP77" s="1"/>
      <c r="AQ77" s="1"/>
      <c r="AR77" s="1"/>
      <c r="AS77" s="1"/>
      <c r="AT77" s="1"/>
    </row>
    <row r="78" spans="1:46" x14ac:dyDescent="0.25">
      <c r="A78" s="1" t="s">
        <v>119</v>
      </c>
      <c r="B78" s="1" t="s">
        <v>46</v>
      </c>
      <c r="C78" s="1">
        <v>253</v>
      </c>
      <c r="D78" s="1">
        <v>680</v>
      </c>
      <c r="E78" s="1">
        <v>247</v>
      </c>
      <c r="F78" s="1">
        <v>181</v>
      </c>
      <c r="G78" s="7">
        <v>0.4</v>
      </c>
      <c r="H78" s="1">
        <v>55</v>
      </c>
      <c r="I78" s="1" t="s">
        <v>42</v>
      </c>
      <c r="J78" s="1"/>
      <c r="K78" s="1">
        <v>249</v>
      </c>
      <c r="L78" s="1">
        <f t="shared" si="18"/>
        <v>-2</v>
      </c>
      <c r="M78" s="1"/>
      <c r="N78" s="1"/>
      <c r="O78" s="1"/>
      <c r="P78" s="1">
        <v>48.21786800000001</v>
      </c>
      <c r="Q78" s="1"/>
      <c r="R78" s="1"/>
      <c r="S78" s="1"/>
      <c r="T78" s="1">
        <v>211.082132</v>
      </c>
      <c r="U78" s="1"/>
      <c r="V78" s="1">
        <f t="shared" si="19"/>
        <v>49.4</v>
      </c>
      <c r="W78" s="5">
        <f t="shared" si="11"/>
        <v>103.09999999999997</v>
      </c>
      <c r="X78" s="1">
        <f t="shared" si="20"/>
        <v>11</v>
      </c>
      <c r="Y78" s="1">
        <f t="shared" si="21"/>
        <v>8.9129554655870447</v>
      </c>
      <c r="Z78" s="1">
        <v>54.2</v>
      </c>
      <c r="AA78" s="1">
        <v>46</v>
      </c>
      <c r="AB78" s="1">
        <v>49.8</v>
      </c>
      <c r="AC78" s="1">
        <v>56.4</v>
      </c>
      <c r="AD78" s="1">
        <v>55.6</v>
      </c>
      <c r="AE78" s="1">
        <v>60.4</v>
      </c>
      <c r="AF78" s="1">
        <v>55</v>
      </c>
      <c r="AG78" s="1">
        <v>52</v>
      </c>
      <c r="AH78" s="1">
        <v>54.4</v>
      </c>
      <c r="AI78" s="1">
        <v>57.4</v>
      </c>
      <c r="AJ78" s="1"/>
      <c r="AK78" s="1">
        <f t="shared" si="17"/>
        <v>41.239999999999988</v>
      </c>
      <c r="AL78" s="1"/>
      <c r="AM78" s="1"/>
      <c r="AN78" s="1"/>
      <c r="AO78" s="1"/>
      <c r="AP78" s="1"/>
      <c r="AQ78" s="1"/>
      <c r="AR78" s="1"/>
      <c r="AS78" s="1"/>
      <c r="AT78" s="1"/>
    </row>
    <row r="79" spans="1:46" x14ac:dyDescent="0.25">
      <c r="A79" s="1" t="s">
        <v>120</v>
      </c>
      <c r="B79" s="1" t="s">
        <v>46</v>
      </c>
      <c r="C79" s="1"/>
      <c r="D79" s="1">
        <v>30</v>
      </c>
      <c r="E79" s="1">
        <v>-1</v>
      </c>
      <c r="F79" s="1"/>
      <c r="G79" s="7">
        <v>0.35</v>
      </c>
      <c r="H79" s="1">
        <v>40</v>
      </c>
      <c r="I79" s="9" t="s">
        <v>52</v>
      </c>
      <c r="J79" s="1"/>
      <c r="K79" s="1">
        <v>15</v>
      </c>
      <c r="L79" s="1">
        <f t="shared" si="18"/>
        <v>-16</v>
      </c>
      <c r="M79" s="1"/>
      <c r="N79" s="1"/>
      <c r="O79" s="1"/>
      <c r="P79" s="1">
        <v>60</v>
      </c>
      <c r="Q79" s="1"/>
      <c r="R79" s="1"/>
      <c r="S79" s="1"/>
      <c r="T79" s="1">
        <v>30</v>
      </c>
      <c r="U79" s="1"/>
      <c r="V79" s="1">
        <f t="shared" si="19"/>
        <v>-0.2</v>
      </c>
      <c r="W79" s="5">
        <v>10</v>
      </c>
      <c r="X79" s="1">
        <f t="shared" si="20"/>
        <v>-500</v>
      </c>
      <c r="Y79" s="1">
        <f t="shared" si="21"/>
        <v>-450</v>
      </c>
      <c r="Z79" s="1">
        <v>0</v>
      </c>
      <c r="AA79" s="1">
        <v>0.4</v>
      </c>
      <c r="AB79" s="1">
        <v>10.8</v>
      </c>
      <c r="AC79" s="1">
        <v>10.199999999999999</v>
      </c>
      <c r="AD79" s="1">
        <v>-0.4</v>
      </c>
      <c r="AE79" s="1">
        <v>-0.4</v>
      </c>
      <c r="AF79" s="1">
        <v>-0.2</v>
      </c>
      <c r="AG79" s="1">
        <v>6</v>
      </c>
      <c r="AH79" s="1">
        <v>17.399999999999999</v>
      </c>
      <c r="AI79" s="1">
        <v>31.2</v>
      </c>
      <c r="AJ79" s="1"/>
      <c r="AK79" s="1">
        <f t="shared" si="17"/>
        <v>3.5</v>
      </c>
      <c r="AL79" s="1"/>
      <c r="AM79" s="1"/>
      <c r="AN79" s="1"/>
      <c r="AO79" s="1"/>
      <c r="AP79" s="1"/>
      <c r="AQ79" s="1"/>
      <c r="AR79" s="1"/>
      <c r="AS79" s="1"/>
      <c r="AT79" s="1"/>
    </row>
    <row r="80" spans="1:46" x14ac:dyDescent="0.25">
      <c r="A80" s="1" t="s">
        <v>121</v>
      </c>
      <c r="B80" s="1" t="s">
        <v>46</v>
      </c>
      <c r="C80" s="1">
        <v>193</v>
      </c>
      <c r="D80" s="1">
        <v>143</v>
      </c>
      <c r="E80" s="1">
        <v>197</v>
      </c>
      <c r="F80" s="1"/>
      <c r="G80" s="7">
        <v>0.35</v>
      </c>
      <c r="H80" s="1">
        <v>45</v>
      </c>
      <c r="I80" s="9" t="s">
        <v>52</v>
      </c>
      <c r="J80" s="1"/>
      <c r="K80" s="1">
        <v>221</v>
      </c>
      <c r="L80" s="1">
        <f t="shared" si="18"/>
        <v>-24</v>
      </c>
      <c r="M80" s="1"/>
      <c r="N80" s="1"/>
      <c r="O80" s="1"/>
      <c r="P80" s="1">
        <v>44.16</v>
      </c>
      <c r="Q80" s="1">
        <v>66.239999999999981</v>
      </c>
      <c r="R80" s="1">
        <v>-65.714285714285722</v>
      </c>
      <c r="S80" s="1"/>
      <c r="T80" s="1">
        <v>208.6</v>
      </c>
      <c r="U80" s="1"/>
      <c r="V80" s="1">
        <f t="shared" si="19"/>
        <v>39.4</v>
      </c>
      <c r="W80" s="5">
        <v>150</v>
      </c>
      <c r="X80" s="1">
        <f t="shared" si="20"/>
        <v>10.235678027556199</v>
      </c>
      <c r="Y80" s="1">
        <f t="shared" si="21"/>
        <v>6.4285714285714279</v>
      </c>
      <c r="Z80" s="1">
        <v>36</v>
      </c>
      <c r="AA80" s="1">
        <v>24.4</v>
      </c>
      <c r="AB80" s="1">
        <v>1.8</v>
      </c>
      <c r="AC80" s="1">
        <v>0</v>
      </c>
      <c r="AD80" s="1">
        <v>26.4</v>
      </c>
      <c r="AE80" s="1">
        <v>35.6</v>
      </c>
      <c r="AF80" s="1">
        <v>42.2</v>
      </c>
      <c r="AG80" s="1">
        <v>46.2</v>
      </c>
      <c r="AH80" s="1">
        <v>38.4</v>
      </c>
      <c r="AI80" s="1">
        <v>35.200000000000003</v>
      </c>
      <c r="AJ80" s="1"/>
      <c r="AK80" s="1">
        <f t="shared" si="17"/>
        <v>52.5</v>
      </c>
      <c r="AL80" s="1"/>
      <c r="AM80" s="1"/>
      <c r="AN80" s="1"/>
      <c r="AO80" s="1"/>
      <c r="AP80" s="1"/>
      <c r="AQ80" s="1"/>
      <c r="AR80" s="1"/>
      <c r="AS80" s="1"/>
      <c r="AT80" s="1"/>
    </row>
    <row r="81" spans="1:46" x14ac:dyDescent="0.25">
      <c r="A81" s="1" t="s">
        <v>122</v>
      </c>
      <c r="B81" s="1" t="s">
        <v>46</v>
      </c>
      <c r="C81" s="1">
        <v>185</v>
      </c>
      <c r="D81" s="1">
        <v>47</v>
      </c>
      <c r="E81" s="1">
        <v>178</v>
      </c>
      <c r="F81" s="1">
        <v>6</v>
      </c>
      <c r="G81" s="7">
        <v>0.4</v>
      </c>
      <c r="H81" s="1">
        <v>55</v>
      </c>
      <c r="I81" s="1" t="s">
        <v>42</v>
      </c>
      <c r="J81" s="1"/>
      <c r="K81" s="1">
        <v>187</v>
      </c>
      <c r="L81" s="1">
        <f t="shared" si="18"/>
        <v>-9</v>
      </c>
      <c r="M81" s="1"/>
      <c r="N81" s="1"/>
      <c r="O81" s="1"/>
      <c r="P81" s="1">
        <v>57.92</v>
      </c>
      <c r="Q81" s="1">
        <v>86.88000000000001</v>
      </c>
      <c r="R81" s="1"/>
      <c r="S81" s="1"/>
      <c r="T81" s="1">
        <v>19.600000000000019</v>
      </c>
      <c r="U81" s="1"/>
      <c r="V81" s="1">
        <f t="shared" si="19"/>
        <v>35.6</v>
      </c>
      <c r="W81" s="5">
        <f t="shared" si="11"/>
        <v>221.2</v>
      </c>
      <c r="X81" s="1">
        <f t="shared" si="20"/>
        <v>11</v>
      </c>
      <c r="Y81" s="1">
        <f t="shared" si="21"/>
        <v>4.7865168539325849</v>
      </c>
      <c r="Z81" s="1">
        <v>29.6</v>
      </c>
      <c r="AA81" s="1">
        <v>29.8</v>
      </c>
      <c r="AB81" s="1">
        <v>18.600000000000001</v>
      </c>
      <c r="AC81" s="1">
        <v>19.2</v>
      </c>
      <c r="AD81" s="1">
        <v>36</v>
      </c>
      <c r="AE81" s="1">
        <v>36.200000000000003</v>
      </c>
      <c r="AF81" s="1">
        <v>32.200000000000003</v>
      </c>
      <c r="AG81" s="1">
        <v>34.4</v>
      </c>
      <c r="AH81" s="1">
        <v>26.8</v>
      </c>
      <c r="AI81" s="1">
        <v>24</v>
      </c>
      <c r="AJ81" s="1"/>
      <c r="AK81" s="1">
        <f t="shared" si="17"/>
        <v>88.48</v>
      </c>
      <c r="AL81" s="1"/>
      <c r="AM81" s="1"/>
      <c r="AN81" s="1"/>
      <c r="AO81" s="1"/>
      <c r="AP81" s="1"/>
      <c r="AQ81" s="1"/>
      <c r="AR81" s="1"/>
      <c r="AS81" s="1"/>
      <c r="AT81" s="1"/>
    </row>
    <row r="82" spans="1:46" x14ac:dyDescent="0.25">
      <c r="A82" s="1" t="s">
        <v>123</v>
      </c>
      <c r="B82" s="1" t="s">
        <v>41</v>
      </c>
      <c r="C82" s="1">
        <v>-1.4990000000000001</v>
      </c>
      <c r="D82" s="1">
        <v>54.438000000000002</v>
      </c>
      <c r="E82" s="1">
        <v>7.0780000000000003</v>
      </c>
      <c r="F82" s="1">
        <v>25.161999999999999</v>
      </c>
      <c r="G82" s="7">
        <v>1</v>
      </c>
      <c r="H82" s="1">
        <v>55</v>
      </c>
      <c r="I82" s="1" t="s">
        <v>42</v>
      </c>
      <c r="J82" s="1"/>
      <c r="K82" s="1">
        <v>6.9</v>
      </c>
      <c r="L82" s="1">
        <f t="shared" si="18"/>
        <v>0.17799999999999994</v>
      </c>
      <c r="M82" s="1"/>
      <c r="N82" s="1"/>
      <c r="O82" s="1"/>
      <c r="P82" s="1">
        <v>5.401476000000013</v>
      </c>
      <c r="Q82" s="1"/>
      <c r="R82" s="1"/>
      <c r="S82" s="1"/>
      <c r="T82" s="1">
        <v>30</v>
      </c>
      <c r="U82" s="1"/>
      <c r="V82" s="1">
        <f t="shared" si="19"/>
        <v>1.4156</v>
      </c>
      <c r="W82" s="5"/>
      <c r="X82" s="1">
        <f t="shared" si="20"/>
        <v>42.782901949703316</v>
      </c>
      <c r="Y82" s="1">
        <f t="shared" si="21"/>
        <v>42.782901949703316</v>
      </c>
      <c r="Z82" s="1">
        <v>1.1512</v>
      </c>
      <c r="AA82" s="1">
        <v>3.4895999999999998</v>
      </c>
      <c r="AB82" s="1">
        <v>3.4748000000000001</v>
      </c>
      <c r="AC82" s="1">
        <v>3.3445999999999998</v>
      </c>
      <c r="AD82" s="1">
        <v>3.0251999999999999</v>
      </c>
      <c r="AE82" s="1">
        <v>1.9418</v>
      </c>
      <c r="AF82" s="1">
        <v>2.1454</v>
      </c>
      <c r="AG82" s="1">
        <v>3.6688000000000001</v>
      </c>
      <c r="AH82" s="1">
        <v>4.3439999999999994</v>
      </c>
      <c r="AI82" s="1">
        <v>2.5808</v>
      </c>
      <c r="AJ82" s="14" t="s">
        <v>124</v>
      </c>
      <c r="AK82" s="1">
        <f t="shared" si="17"/>
        <v>0</v>
      </c>
      <c r="AL82" s="1"/>
      <c r="AM82" s="1"/>
      <c r="AN82" s="1"/>
      <c r="AO82" s="1"/>
      <c r="AP82" s="1"/>
      <c r="AQ82" s="1"/>
      <c r="AR82" s="1"/>
      <c r="AS82" s="1"/>
      <c r="AT82" s="1"/>
    </row>
    <row r="83" spans="1:46" x14ac:dyDescent="0.25">
      <c r="A83" s="1" t="s">
        <v>125</v>
      </c>
      <c r="B83" s="1" t="s">
        <v>41</v>
      </c>
      <c r="C83" s="1">
        <v>257.66300000000001</v>
      </c>
      <c r="D83" s="1">
        <v>256.774</v>
      </c>
      <c r="E83" s="1">
        <v>102.551</v>
      </c>
      <c r="F83" s="1">
        <v>181.465</v>
      </c>
      <c r="G83" s="7">
        <v>1</v>
      </c>
      <c r="H83" s="1">
        <v>55</v>
      </c>
      <c r="I83" s="1" t="s">
        <v>42</v>
      </c>
      <c r="J83" s="1"/>
      <c r="K83" s="1">
        <v>93.5</v>
      </c>
      <c r="L83" s="1">
        <f t="shared" si="18"/>
        <v>9.0510000000000019</v>
      </c>
      <c r="M83" s="1"/>
      <c r="N83" s="1"/>
      <c r="O83" s="1"/>
      <c r="P83" s="1">
        <v>26.926800000000011</v>
      </c>
      <c r="Q83" s="1"/>
      <c r="R83" s="1"/>
      <c r="S83" s="1"/>
      <c r="T83" s="1">
        <v>0</v>
      </c>
      <c r="U83" s="1"/>
      <c r="V83" s="1">
        <f t="shared" si="19"/>
        <v>20.510200000000001</v>
      </c>
      <c r="W83" s="5">
        <f t="shared" si="11"/>
        <v>17.220399999999984</v>
      </c>
      <c r="X83" s="1">
        <f t="shared" si="20"/>
        <v>11</v>
      </c>
      <c r="Y83" s="1">
        <f t="shared" si="21"/>
        <v>10.160398240875272</v>
      </c>
      <c r="Z83" s="1">
        <v>20.4178</v>
      </c>
      <c r="AA83" s="1">
        <v>26.796399999999998</v>
      </c>
      <c r="AB83" s="1">
        <v>27.92</v>
      </c>
      <c r="AC83" s="1">
        <v>28.6614</v>
      </c>
      <c r="AD83" s="1">
        <v>27.568000000000001</v>
      </c>
      <c r="AE83" s="1">
        <v>29.284600000000001</v>
      </c>
      <c r="AF83" s="1">
        <v>38.7044</v>
      </c>
      <c r="AG83" s="1">
        <v>42.098200000000013</v>
      </c>
      <c r="AH83" s="1">
        <v>51.278799999999997</v>
      </c>
      <c r="AI83" s="1">
        <v>46.261600000000001</v>
      </c>
      <c r="AJ83" s="1"/>
      <c r="AK83" s="1">
        <f t="shared" si="17"/>
        <v>17.220399999999984</v>
      </c>
      <c r="AL83" s="1"/>
      <c r="AM83" s="1"/>
      <c r="AN83" s="1"/>
      <c r="AO83" s="1"/>
      <c r="AP83" s="1"/>
      <c r="AQ83" s="1"/>
      <c r="AR83" s="1"/>
      <c r="AS83" s="1"/>
      <c r="AT83" s="1"/>
    </row>
    <row r="84" spans="1:46" x14ac:dyDescent="0.25">
      <c r="A84" s="1" t="s">
        <v>126</v>
      </c>
      <c r="B84" s="1" t="s">
        <v>41</v>
      </c>
      <c r="C84" s="1">
        <v>993.75599999999997</v>
      </c>
      <c r="D84" s="1">
        <v>870.45600000000002</v>
      </c>
      <c r="E84" s="1">
        <v>760.33799999999997</v>
      </c>
      <c r="F84" s="1">
        <v>787.80899999999997</v>
      </c>
      <c r="G84" s="7">
        <v>1</v>
      </c>
      <c r="H84" s="1">
        <v>60</v>
      </c>
      <c r="I84" s="1" t="s">
        <v>42</v>
      </c>
      <c r="J84" s="1"/>
      <c r="K84" s="1">
        <v>764.48500000000001</v>
      </c>
      <c r="L84" s="1">
        <f t="shared" si="18"/>
        <v>-4.1470000000000482</v>
      </c>
      <c r="M84" s="1"/>
      <c r="N84" s="1"/>
      <c r="O84" s="1"/>
      <c r="P84" s="1">
        <v>81.59492746150346</v>
      </c>
      <c r="Q84" s="1">
        <v>122.3923911922552</v>
      </c>
      <c r="R84" s="1"/>
      <c r="S84" s="1"/>
      <c r="T84" s="1">
        <v>470.3231774630417</v>
      </c>
      <c r="U84" s="1"/>
      <c r="V84" s="1">
        <f t="shared" si="19"/>
        <v>152.0676</v>
      </c>
      <c r="W84" s="5">
        <f t="shared" si="11"/>
        <v>210.62410388319972</v>
      </c>
      <c r="X84" s="1">
        <f t="shared" si="20"/>
        <v>11</v>
      </c>
      <c r="Y84" s="1">
        <f t="shared" si="21"/>
        <v>9.6149310972015094</v>
      </c>
      <c r="Z84" s="1">
        <v>157.40639999999999</v>
      </c>
      <c r="AA84" s="1">
        <v>149.3056</v>
      </c>
      <c r="AB84" s="1">
        <v>150.80600000000001</v>
      </c>
      <c r="AC84" s="1">
        <v>161.60239999999999</v>
      </c>
      <c r="AD84" s="1">
        <v>168.8852</v>
      </c>
      <c r="AE84" s="1">
        <v>173.46860000000001</v>
      </c>
      <c r="AF84" s="1">
        <v>131.9092</v>
      </c>
      <c r="AG84" s="1">
        <v>126.0938</v>
      </c>
      <c r="AH84" s="1">
        <v>156.63380000000001</v>
      </c>
      <c r="AI84" s="1">
        <v>149.66300000000001</v>
      </c>
      <c r="AJ84" s="1"/>
      <c r="AK84" s="1">
        <f t="shared" si="17"/>
        <v>210.62410388319972</v>
      </c>
      <c r="AL84" s="1"/>
      <c r="AM84" s="1"/>
      <c r="AN84" s="1"/>
      <c r="AO84" s="1"/>
      <c r="AP84" s="1"/>
      <c r="AQ84" s="1"/>
      <c r="AR84" s="1"/>
      <c r="AS84" s="1"/>
      <c r="AT84" s="1"/>
    </row>
    <row r="85" spans="1:46" x14ac:dyDescent="0.25">
      <c r="A85" s="10" t="s">
        <v>127</v>
      </c>
      <c r="B85" s="10" t="s">
        <v>46</v>
      </c>
      <c r="C85" s="10"/>
      <c r="D85" s="10"/>
      <c r="E85" s="10"/>
      <c r="F85" s="10"/>
      <c r="G85" s="11">
        <v>0</v>
      </c>
      <c r="H85" s="10"/>
      <c r="I85" s="10" t="s">
        <v>42</v>
      </c>
      <c r="J85" s="10"/>
      <c r="K85" s="10"/>
      <c r="L85" s="10">
        <f t="shared" si="18"/>
        <v>0</v>
      </c>
      <c r="M85" s="10"/>
      <c r="N85" s="10"/>
      <c r="O85" s="10"/>
      <c r="P85" s="10">
        <v>0</v>
      </c>
      <c r="Q85" s="10"/>
      <c r="R85" s="10"/>
      <c r="S85" s="10"/>
      <c r="T85" s="10">
        <v>0</v>
      </c>
      <c r="U85" s="10"/>
      <c r="V85" s="10">
        <f t="shared" si="19"/>
        <v>0</v>
      </c>
      <c r="W85" s="12"/>
      <c r="X85" s="10" t="e">
        <f t="shared" si="20"/>
        <v>#DIV/0!</v>
      </c>
      <c r="Y85" s="10" t="e">
        <f t="shared" si="21"/>
        <v>#DIV/0!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 t="s">
        <v>47</v>
      </c>
      <c r="AK85" s="10"/>
      <c r="AL85" s="1"/>
      <c r="AM85" s="1"/>
      <c r="AN85" s="1"/>
      <c r="AO85" s="1"/>
      <c r="AP85" s="1"/>
      <c r="AQ85" s="1"/>
      <c r="AR85" s="1"/>
      <c r="AS85" s="1"/>
      <c r="AT85" s="1"/>
    </row>
    <row r="86" spans="1:46" x14ac:dyDescent="0.25">
      <c r="A86" s="1" t="s">
        <v>128</v>
      </c>
      <c r="B86" s="1" t="s">
        <v>41</v>
      </c>
      <c r="C86" s="1">
        <v>3411.6439999999998</v>
      </c>
      <c r="D86" s="1">
        <v>4969.8720000000003</v>
      </c>
      <c r="E86" s="1">
        <v>2474.4920000000002</v>
      </c>
      <c r="F86" s="1">
        <v>3801.44</v>
      </c>
      <c r="G86" s="7">
        <v>1</v>
      </c>
      <c r="H86" s="1">
        <v>60</v>
      </c>
      <c r="I86" s="1" t="s">
        <v>42</v>
      </c>
      <c r="J86" s="1"/>
      <c r="K86" s="1">
        <v>2475.3000000000002</v>
      </c>
      <c r="L86" s="1">
        <f t="shared" si="18"/>
        <v>-0.80799999999999272</v>
      </c>
      <c r="M86" s="1"/>
      <c r="N86" s="1"/>
      <c r="O86" s="1"/>
      <c r="P86" s="1">
        <v>0</v>
      </c>
      <c r="Q86" s="1"/>
      <c r="R86" s="1"/>
      <c r="S86" s="1"/>
      <c r="T86" s="1">
        <v>700</v>
      </c>
      <c r="U86" s="1">
        <v>300</v>
      </c>
      <c r="V86" s="1">
        <f t="shared" si="19"/>
        <v>494.89840000000004</v>
      </c>
      <c r="W86" s="5">
        <f t="shared" ref="W86:W91" si="22">11*V86-U86-T86-S86-R86-Q86-P86-O86-F86</f>
        <v>642.44240000000036</v>
      </c>
      <c r="X86" s="1">
        <f t="shared" si="20"/>
        <v>11</v>
      </c>
      <c r="Y86" s="1">
        <f t="shared" si="21"/>
        <v>9.7018701212208409</v>
      </c>
      <c r="Z86" s="1">
        <v>526.31220000000008</v>
      </c>
      <c r="AA86" s="1">
        <v>493.4196</v>
      </c>
      <c r="AB86" s="1">
        <v>505.09059999999999</v>
      </c>
      <c r="AC86" s="1">
        <v>580.20420000000001</v>
      </c>
      <c r="AD86" s="1">
        <v>540.80640000000005</v>
      </c>
      <c r="AE86" s="1">
        <v>482.77339999999998</v>
      </c>
      <c r="AF86" s="1">
        <v>374.46940000000001</v>
      </c>
      <c r="AG86" s="1">
        <v>330.53120000000001</v>
      </c>
      <c r="AH86" s="1">
        <v>384.51900000000001</v>
      </c>
      <c r="AI86" s="1">
        <v>398.24380000000002</v>
      </c>
      <c r="AJ86" s="1"/>
      <c r="AK86" s="1">
        <f t="shared" ref="AK86:AK91" si="23">G86*W86</f>
        <v>642.44240000000036</v>
      </c>
      <c r="AL86" s="1"/>
      <c r="AM86" s="1"/>
      <c r="AN86" s="1"/>
      <c r="AO86" s="1"/>
      <c r="AP86" s="1"/>
      <c r="AQ86" s="1"/>
      <c r="AR86" s="1"/>
      <c r="AS86" s="1"/>
      <c r="AT86" s="1"/>
    </row>
    <row r="87" spans="1:46" x14ac:dyDescent="0.25">
      <c r="A87" s="1" t="s">
        <v>129</v>
      </c>
      <c r="B87" s="1" t="s">
        <v>41</v>
      </c>
      <c r="C87" s="1">
        <v>2267.27</v>
      </c>
      <c r="D87" s="1">
        <v>5510.9309999999996</v>
      </c>
      <c r="E87" s="1">
        <v>2270.1489999999999</v>
      </c>
      <c r="F87" s="1">
        <v>4517.152</v>
      </c>
      <c r="G87" s="7">
        <v>1</v>
      </c>
      <c r="H87" s="1">
        <v>60</v>
      </c>
      <c r="I87" s="1" t="s">
        <v>42</v>
      </c>
      <c r="J87" s="1"/>
      <c r="K87" s="1">
        <v>2239.3000000000002</v>
      </c>
      <c r="L87" s="1">
        <f t="shared" si="18"/>
        <v>30.848999999999705</v>
      </c>
      <c r="M87" s="1"/>
      <c r="N87" s="1"/>
      <c r="O87" s="1"/>
      <c r="P87" s="1">
        <v>0</v>
      </c>
      <c r="Q87" s="1"/>
      <c r="R87" s="1"/>
      <c r="S87" s="1"/>
      <c r="T87" s="1"/>
      <c r="U87" s="1">
        <v>105</v>
      </c>
      <c r="V87" s="1">
        <f t="shared" si="19"/>
        <v>454.02979999999997</v>
      </c>
      <c r="W87" s="5">
        <f t="shared" si="22"/>
        <v>372.17579999999998</v>
      </c>
      <c r="X87" s="1">
        <f t="shared" si="20"/>
        <v>11</v>
      </c>
      <c r="Y87" s="1">
        <f t="shared" si="21"/>
        <v>10.180283320610235</v>
      </c>
      <c r="Z87" s="1">
        <v>464.01760000000002</v>
      </c>
      <c r="AA87" s="1">
        <v>470.22359999999998</v>
      </c>
      <c r="AB87" s="1">
        <v>519.2894</v>
      </c>
      <c r="AC87" s="1">
        <v>564.46319999999992</v>
      </c>
      <c r="AD87" s="1">
        <v>484.53480000000002</v>
      </c>
      <c r="AE87" s="1">
        <v>439.11</v>
      </c>
      <c r="AF87" s="1">
        <v>325.41399999999999</v>
      </c>
      <c r="AG87" s="1">
        <v>311.01179999999999</v>
      </c>
      <c r="AH87" s="1">
        <v>381.4794</v>
      </c>
      <c r="AI87" s="1">
        <v>377.36160000000001</v>
      </c>
      <c r="AJ87" s="1"/>
      <c r="AK87" s="1">
        <f t="shared" si="23"/>
        <v>372.17579999999998</v>
      </c>
      <c r="AL87" s="1"/>
      <c r="AM87" s="1"/>
      <c r="AN87" s="1"/>
      <c r="AO87" s="1"/>
      <c r="AP87" s="1"/>
      <c r="AQ87" s="1"/>
      <c r="AR87" s="1"/>
      <c r="AS87" s="1"/>
      <c r="AT87" s="1"/>
    </row>
    <row r="88" spans="1:46" x14ac:dyDescent="0.25">
      <c r="A88" s="1" t="s">
        <v>130</v>
      </c>
      <c r="B88" s="1" t="s">
        <v>41</v>
      </c>
      <c r="C88" s="1">
        <v>3285.3240000000001</v>
      </c>
      <c r="D88" s="1">
        <v>5409.6769999999997</v>
      </c>
      <c r="E88" s="1">
        <v>2660.0940000000001</v>
      </c>
      <c r="F88" s="1">
        <v>4488.1049999999996</v>
      </c>
      <c r="G88" s="7">
        <v>1</v>
      </c>
      <c r="H88" s="1">
        <v>60</v>
      </c>
      <c r="I88" s="1" t="s">
        <v>42</v>
      </c>
      <c r="J88" s="1"/>
      <c r="K88" s="1">
        <v>2682.7</v>
      </c>
      <c r="L88" s="1">
        <f t="shared" si="18"/>
        <v>-22.605999999999767</v>
      </c>
      <c r="M88" s="1"/>
      <c r="N88" s="1"/>
      <c r="O88" s="1">
        <v>300</v>
      </c>
      <c r="P88" s="1">
        <v>201.47933794119979</v>
      </c>
      <c r="Q88" s="1">
        <v>302.21900691179968</v>
      </c>
      <c r="R88" s="1"/>
      <c r="S88" s="1"/>
      <c r="T88" s="1">
        <v>450</v>
      </c>
      <c r="U88" s="1"/>
      <c r="V88" s="1">
        <f t="shared" si="19"/>
        <v>532.01880000000006</v>
      </c>
      <c r="W88" s="5">
        <f t="shared" si="22"/>
        <v>110.40345514700221</v>
      </c>
      <c r="X88" s="1">
        <f t="shared" si="20"/>
        <v>11</v>
      </c>
      <c r="Y88" s="1">
        <f t="shared" si="21"/>
        <v>10.792482041711681</v>
      </c>
      <c r="Z88" s="1">
        <v>605.65300000000002</v>
      </c>
      <c r="AA88" s="1">
        <v>579.95619999999997</v>
      </c>
      <c r="AB88" s="1">
        <v>556.60360000000003</v>
      </c>
      <c r="AC88" s="1">
        <v>587.1934</v>
      </c>
      <c r="AD88" s="1">
        <v>598.42560000000003</v>
      </c>
      <c r="AE88" s="1">
        <v>557.10379999999998</v>
      </c>
      <c r="AF88" s="1">
        <v>421.68540000000002</v>
      </c>
      <c r="AG88" s="1">
        <v>393.09879999999998</v>
      </c>
      <c r="AH88" s="1">
        <v>476.79520000000002</v>
      </c>
      <c r="AI88" s="1">
        <v>487.5804</v>
      </c>
      <c r="AJ88" s="1"/>
      <c r="AK88" s="1">
        <f t="shared" si="23"/>
        <v>110.40345514700221</v>
      </c>
      <c r="AL88" s="1"/>
      <c r="AM88" s="1"/>
      <c r="AN88" s="1"/>
      <c r="AO88" s="1"/>
      <c r="AP88" s="1"/>
      <c r="AQ88" s="1"/>
      <c r="AR88" s="1"/>
      <c r="AS88" s="1"/>
      <c r="AT88" s="1"/>
    </row>
    <row r="89" spans="1:46" x14ac:dyDescent="0.25">
      <c r="A89" s="1" t="s">
        <v>131</v>
      </c>
      <c r="B89" s="1" t="s">
        <v>41</v>
      </c>
      <c r="C89" s="1">
        <v>-1.974</v>
      </c>
      <c r="D89" s="1">
        <v>99.448999999999998</v>
      </c>
      <c r="E89" s="1">
        <v>33.633000000000003</v>
      </c>
      <c r="F89" s="1">
        <v>38.715000000000003</v>
      </c>
      <c r="G89" s="7">
        <v>1</v>
      </c>
      <c r="H89" s="1">
        <v>55</v>
      </c>
      <c r="I89" s="1" t="s">
        <v>42</v>
      </c>
      <c r="J89" s="1"/>
      <c r="K89" s="1">
        <v>33.299999999999997</v>
      </c>
      <c r="L89" s="1">
        <f t="shared" si="18"/>
        <v>0.33300000000000551</v>
      </c>
      <c r="M89" s="1"/>
      <c r="N89" s="1"/>
      <c r="O89" s="1"/>
      <c r="P89" s="1">
        <v>24.657788</v>
      </c>
      <c r="Q89" s="1"/>
      <c r="R89" s="1"/>
      <c r="S89" s="1"/>
      <c r="T89" s="1">
        <v>60</v>
      </c>
      <c r="U89" s="1"/>
      <c r="V89" s="1">
        <f t="shared" si="19"/>
        <v>6.7266000000000004</v>
      </c>
      <c r="W89" s="5"/>
      <c r="X89" s="1">
        <f t="shared" si="20"/>
        <v>18.341032319448161</v>
      </c>
      <c r="Y89" s="1">
        <f t="shared" si="21"/>
        <v>18.341032319448161</v>
      </c>
      <c r="Z89" s="1">
        <v>8.3040000000000003</v>
      </c>
      <c r="AA89" s="1">
        <v>8.5742000000000012</v>
      </c>
      <c r="AB89" s="1">
        <v>8.3124000000000002</v>
      </c>
      <c r="AC89" s="1">
        <v>8.0421999999999993</v>
      </c>
      <c r="AD89" s="1">
        <v>5.9122000000000003</v>
      </c>
      <c r="AE89" s="1">
        <v>6.9909999999999997</v>
      </c>
      <c r="AF89" s="1">
        <v>2.9689999999999999</v>
      </c>
      <c r="AG89" s="1">
        <v>5.1075999999999997</v>
      </c>
      <c r="AH89" s="1">
        <v>11.430400000000001</v>
      </c>
      <c r="AI89" s="1">
        <v>8.48</v>
      </c>
      <c r="AJ89" s="1"/>
      <c r="AK89" s="1">
        <f t="shared" si="23"/>
        <v>0</v>
      </c>
      <c r="AL89" s="1"/>
      <c r="AM89" s="1"/>
      <c r="AN89" s="1"/>
      <c r="AO89" s="1"/>
      <c r="AP89" s="1"/>
      <c r="AQ89" s="1"/>
      <c r="AR89" s="1"/>
      <c r="AS89" s="1"/>
      <c r="AT89" s="1"/>
    </row>
    <row r="90" spans="1:46" x14ac:dyDescent="0.25">
      <c r="A90" s="15" t="s">
        <v>132</v>
      </c>
      <c r="B90" s="1" t="s">
        <v>46</v>
      </c>
      <c r="C90" s="1"/>
      <c r="D90" s="1"/>
      <c r="E90" s="1">
        <v>-1</v>
      </c>
      <c r="F90" s="1"/>
      <c r="G90" s="7">
        <v>0.3</v>
      </c>
      <c r="H90" s="1">
        <v>40</v>
      </c>
      <c r="I90" s="9" t="s">
        <v>52</v>
      </c>
      <c r="J90" s="1"/>
      <c r="K90" s="1"/>
      <c r="L90" s="1">
        <f t="shared" si="18"/>
        <v>-1</v>
      </c>
      <c r="M90" s="1"/>
      <c r="N90" s="1"/>
      <c r="O90" s="1"/>
      <c r="P90" s="1">
        <v>10</v>
      </c>
      <c r="Q90" s="1"/>
      <c r="R90" s="1"/>
      <c r="S90" s="1"/>
      <c r="T90" s="1">
        <v>0</v>
      </c>
      <c r="U90" s="1"/>
      <c r="V90" s="1">
        <f t="shared" si="19"/>
        <v>-0.2</v>
      </c>
      <c r="W90" s="5">
        <v>10</v>
      </c>
      <c r="X90" s="1">
        <f t="shared" si="20"/>
        <v>-100</v>
      </c>
      <c r="Y90" s="1">
        <f t="shared" si="21"/>
        <v>-50</v>
      </c>
      <c r="Z90" s="1">
        <v>-0.8</v>
      </c>
      <c r="AA90" s="1">
        <v>-0.6</v>
      </c>
      <c r="AB90" s="1">
        <v>-0.4</v>
      </c>
      <c r="AC90" s="1">
        <v>-2</v>
      </c>
      <c r="AD90" s="1">
        <v>-3.2</v>
      </c>
      <c r="AE90" s="1">
        <v>-2.2000000000000002</v>
      </c>
      <c r="AF90" s="1">
        <v>-1.2</v>
      </c>
      <c r="AG90" s="1">
        <v>-1.4</v>
      </c>
      <c r="AH90" s="1">
        <v>-1.4</v>
      </c>
      <c r="AI90" s="1">
        <v>-1.8</v>
      </c>
      <c r="AJ90" s="1"/>
      <c r="AK90" s="1">
        <f t="shared" si="23"/>
        <v>3</v>
      </c>
      <c r="AL90" s="1"/>
      <c r="AM90" s="1"/>
      <c r="AN90" s="1"/>
      <c r="AO90" s="1"/>
      <c r="AP90" s="1"/>
      <c r="AQ90" s="1"/>
      <c r="AR90" s="1"/>
      <c r="AS90" s="1"/>
      <c r="AT90" s="1"/>
    </row>
    <row r="91" spans="1:46" x14ac:dyDescent="0.25">
      <c r="A91" s="1" t="s">
        <v>133</v>
      </c>
      <c r="B91" s="1" t="s">
        <v>46</v>
      </c>
      <c r="C91" s="1">
        <v>629</v>
      </c>
      <c r="D91" s="1">
        <v>71</v>
      </c>
      <c r="E91" s="1">
        <v>94</v>
      </c>
      <c r="F91" s="1">
        <v>450</v>
      </c>
      <c r="G91" s="7">
        <v>0.3</v>
      </c>
      <c r="H91" s="1">
        <v>40</v>
      </c>
      <c r="I91" s="1" t="s">
        <v>42</v>
      </c>
      <c r="J91" s="1"/>
      <c r="K91" s="1">
        <v>95</v>
      </c>
      <c r="L91" s="1">
        <f t="shared" si="18"/>
        <v>-1</v>
      </c>
      <c r="M91" s="1"/>
      <c r="N91" s="1"/>
      <c r="O91" s="1"/>
      <c r="P91" s="1">
        <v>0</v>
      </c>
      <c r="Q91" s="1"/>
      <c r="R91" s="1"/>
      <c r="S91" s="1"/>
      <c r="T91" s="1">
        <v>0</v>
      </c>
      <c r="U91" s="1"/>
      <c r="V91" s="1">
        <f t="shared" si="19"/>
        <v>18.8</v>
      </c>
      <c r="W91" s="5"/>
      <c r="X91" s="1">
        <f t="shared" si="20"/>
        <v>23.936170212765955</v>
      </c>
      <c r="Y91" s="1">
        <f t="shared" si="21"/>
        <v>23.936170212765955</v>
      </c>
      <c r="Z91" s="1">
        <v>15.6</v>
      </c>
      <c r="AA91" s="1">
        <v>15</v>
      </c>
      <c r="AB91" s="1">
        <v>7.8</v>
      </c>
      <c r="AC91" s="1">
        <v>9.4</v>
      </c>
      <c r="AD91" s="1">
        <v>58.2</v>
      </c>
      <c r="AE91" s="1">
        <v>58.8</v>
      </c>
      <c r="AF91" s="1">
        <v>34.200000000000003</v>
      </c>
      <c r="AG91" s="1">
        <v>35.6</v>
      </c>
      <c r="AH91" s="1">
        <v>47.4</v>
      </c>
      <c r="AI91" s="1">
        <v>49</v>
      </c>
      <c r="AJ91" s="16" t="s">
        <v>134</v>
      </c>
      <c r="AK91" s="1">
        <f t="shared" si="23"/>
        <v>0</v>
      </c>
      <c r="AL91" s="1"/>
      <c r="AM91" s="1"/>
      <c r="AN91" s="1"/>
      <c r="AO91" s="1"/>
      <c r="AP91" s="1"/>
      <c r="AQ91" s="1"/>
      <c r="AR91" s="1"/>
      <c r="AS91" s="1"/>
      <c r="AT91" s="1"/>
    </row>
    <row r="92" spans="1:46" x14ac:dyDescent="0.25">
      <c r="A92" s="10" t="s">
        <v>135</v>
      </c>
      <c r="B92" s="10" t="s">
        <v>46</v>
      </c>
      <c r="C92" s="10"/>
      <c r="D92" s="10"/>
      <c r="E92" s="10"/>
      <c r="F92" s="10"/>
      <c r="G92" s="11">
        <v>0</v>
      </c>
      <c r="H92" s="10"/>
      <c r="I92" s="10" t="s">
        <v>42</v>
      </c>
      <c r="J92" s="10"/>
      <c r="K92" s="10"/>
      <c r="L92" s="10">
        <f t="shared" si="18"/>
        <v>0</v>
      </c>
      <c r="M92" s="10"/>
      <c r="N92" s="10"/>
      <c r="O92" s="10"/>
      <c r="P92" s="10">
        <v>0</v>
      </c>
      <c r="Q92" s="10"/>
      <c r="R92" s="10"/>
      <c r="S92" s="10"/>
      <c r="T92" s="10">
        <v>0</v>
      </c>
      <c r="U92" s="10"/>
      <c r="V92" s="10">
        <f t="shared" si="19"/>
        <v>0</v>
      </c>
      <c r="W92" s="12"/>
      <c r="X92" s="10" t="e">
        <f t="shared" si="20"/>
        <v>#DIV/0!</v>
      </c>
      <c r="Y92" s="10" t="e">
        <f t="shared" si="21"/>
        <v>#DIV/0!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  <c r="AI92" s="10">
        <v>0</v>
      </c>
      <c r="AJ92" s="10" t="s">
        <v>47</v>
      </c>
      <c r="AK92" s="10"/>
      <c r="AL92" s="1"/>
      <c r="AM92" s="1"/>
      <c r="AN92" s="1"/>
      <c r="AO92" s="1"/>
      <c r="AP92" s="1"/>
      <c r="AQ92" s="1"/>
      <c r="AR92" s="1"/>
      <c r="AS92" s="1"/>
      <c r="AT92" s="1"/>
    </row>
    <row r="93" spans="1:46" x14ac:dyDescent="0.25">
      <c r="A93" s="15" t="s">
        <v>136</v>
      </c>
      <c r="B93" s="1" t="s">
        <v>46</v>
      </c>
      <c r="C93" s="1">
        <v>214</v>
      </c>
      <c r="D93" s="1">
        <v>26</v>
      </c>
      <c r="E93" s="1">
        <v>164</v>
      </c>
      <c r="F93" s="1">
        <v>28</v>
      </c>
      <c r="G93" s="7">
        <v>7.0000000000000007E-2</v>
      </c>
      <c r="H93" s="1">
        <v>90</v>
      </c>
      <c r="I93" s="9" t="s">
        <v>52</v>
      </c>
      <c r="J93" s="1"/>
      <c r="K93" s="1">
        <v>166</v>
      </c>
      <c r="L93" s="1">
        <f t="shared" si="18"/>
        <v>-2</v>
      </c>
      <c r="M93" s="1"/>
      <c r="N93" s="1"/>
      <c r="O93" s="1"/>
      <c r="P93" s="1">
        <v>55.52000000000001</v>
      </c>
      <c r="Q93" s="1">
        <v>83.28</v>
      </c>
      <c r="R93" s="1">
        <v>-85.714285714285708</v>
      </c>
      <c r="S93" s="1"/>
      <c r="T93" s="1">
        <v>69.69999999999996</v>
      </c>
      <c r="U93" s="1"/>
      <c r="V93" s="1">
        <f t="shared" si="19"/>
        <v>32.799999999999997</v>
      </c>
      <c r="W93" s="5">
        <v>180</v>
      </c>
      <c r="X93" s="1">
        <f t="shared" si="20"/>
        <v>10.084930313588851</v>
      </c>
      <c r="Y93" s="1">
        <f t="shared" si="21"/>
        <v>4.5971254355400699</v>
      </c>
      <c r="Z93" s="1">
        <v>32.200000000000003</v>
      </c>
      <c r="AA93" s="1">
        <v>32.6</v>
      </c>
      <c r="AB93" s="1">
        <v>27.2</v>
      </c>
      <c r="AC93" s="1">
        <v>27.8</v>
      </c>
      <c r="AD93" s="1">
        <v>25.6</v>
      </c>
      <c r="AE93" s="1">
        <v>31.8</v>
      </c>
      <c r="AF93" s="1">
        <v>34.799999999999997</v>
      </c>
      <c r="AG93" s="1">
        <v>27.6</v>
      </c>
      <c r="AH93" s="1">
        <v>10.4</v>
      </c>
      <c r="AI93" s="1">
        <v>4</v>
      </c>
      <c r="AJ93" s="1"/>
      <c r="AK93" s="1">
        <f>G93*W93</f>
        <v>12.600000000000001</v>
      </c>
      <c r="AL93" s="1"/>
      <c r="AM93" s="1"/>
      <c r="AN93" s="1"/>
      <c r="AO93" s="1"/>
      <c r="AP93" s="1"/>
      <c r="AQ93" s="1"/>
      <c r="AR93" s="1"/>
      <c r="AS93" s="1"/>
      <c r="AT93" s="1"/>
    </row>
    <row r="94" spans="1:46" x14ac:dyDescent="0.25">
      <c r="A94" s="15" t="s">
        <v>137</v>
      </c>
      <c r="B94" s="1" t="s">
        <v>46</v>
      </c>
      <c r="C94" s="1">
        <v>167</v>
      </c>
      <c r="D94" s="1">
        <v>84</v>
      </c>
      <c r="E94" s="1">
        <v>116</v>
      </c>
      <c r="F94" s="1">
        <v>86</v>
      </c>
      <c r="G94" s="7">
        <v>7.0000000000000007E-2</v>
      </c>
      <c r="H94" s="1">
        <v>90</v>
      </c>
      <c r="I94" s="9" t="s">
        <v>52</v>
      </c>
      <c r="J94" s="1"/>
      <c r="K94" s="1">
        <v>126</v>
      </c>
      <c r="L94" s="1">
        <f t="shared" si="18"/>
        <v>-10</v>
      </c>
      <c r="M94" s="1"/>
      <c r="N94" s="1"/>
      <c r="O94" s="1"/>
      <c r="P94" s="1">
        <v>36.199999999999989</v>
      </c>
      <c r="Q94" s="1"/>
      <c r="R94" s="1"/>
      <c r="S94" s="1"/>
      <c r="T94" s="1">
        <v>39.500000000000028</v>
      </c>
      <c r="U94" s="1"/>
      <c r="V94" s="1">
        <f t="shared" si="19"/>
        <v>23.2</v>
      </c>
      <c r="W94" s="5">
        <f t="shared" ref="W93:W96" si="24">11*V94-U94-T94-S94-R94-Q94-P94-O94-F94</f>
        <v>93.499999999999972</v>
      </c>
      <c r="X94" s="1">
        <f t="shared" si="20"/>
        <v>11</v>
      </c>
      <c r="Y94" s="1">
        <f t="shared" si="21"/>
        <v>6.9698275862068977</v>
      </c>
      <c r="Z94" s="1">
        <v>21.8</v>
      </c>
      <c r="AA94" s="1">
        <v>23.2</v>
      </c>
      <c r="AB94" s="1">
        <v>22.4</v>
      </c>
      <c r="AC94" s="1">
        <v>26.4</v>
      </c>
      <c r="AD94" s="1">
        <v>33.200000000000003</v>
      </c>
      <c r="AE94" s="1">
        <v>32.6</v>
      </c>
      <c r="AF94" s="1">
        <v>29.4</v>
      </c>
      <c r="AG94" s="1">
        <v>26.8</v>
      </c>
      <c r="AH94" s="1">
        <v>29.8</v>
      </c>
      <c r="AI94" s="1">
        <v>36.6</v>
      </c>
      <c r="AJ94" s="1"/>
      <c r="AK94" s="1">
        <f>G94*W94</f>
        <v>6.544999999999999</v>
      </c>
      <c r="AL94" s="1"/>
      <c r="AM94" s="1"/>
      <c r="AN94" s="1"/>
      <c r="AO94" s="1"/>
      <c r="AP94" s="1"/>
      <c r="AQ94" s="1"/>
      <c r="AR94" s="1"/>
      <c r="AS94" s="1"/>
      <c r="AT94" s="1"/>
    </row>
    <row r="95" spans="1:46" x14ac:dyDescent="0.25">
      <c r="A95" s="1" t="s">
        <v>138</v>
      </c>
      <c r="B95" s="1" t="s">
        <v>46</v>
      </c>
      <c r="C95" s="1">
        <v>131</v>
      </c>
      <c r="D95" s="1">
        <v>52</v>
      </c>
      <c r="E95" s="1">
        <v>126</v>
      </c>
      <c r="F95" s="1"/>
      <c r="G95" s="7">
        <v>0.3</v>
      </c>
      <c r="H95" s="1">
        <v>40</v>
      </c>
      <c r="I95" s="1" t="s">
        <v>42</v>
      </c>
      <c r="J95" s="1"/>
      <c r="K95" s="1">
        <v>155</v>
      </c>
      <c r="L95" s="1">
        <f t="shared" si="18"/>
        <v>-29</v>
      </c>
      <c r="M95" s="1"/>
      <c r="N95" s="1"/>
      <c r="O95" s="1"/>
      <c r="P95" s="1">
        <v>65.440000000000012</v>
      </c>
      <c r="Q95" s="1">
        <v>98.160000000000011</v>
      </c>
      <c r="R95" s="1"/>
      <c r="S95" s="1"/>
      <c r="T95" s="1">
        <v>151.1</v>
      </c>
      <c r="U95" s="1"/>
      <c r="V95" s="1">
        <f t="shared" si="19"/>
        <v>25.2</v>
      </c>
      <c r="W95" s="5"/>
      <c r="X95" s="1">
        <f t="shared" si="20"/>
        <v>12.488095238095241</v>
      </c>
      <c r="Y95" s="1">
        <f t="shared" si="21"/>
        <v>12.488095238095241</v>
      </c>
      <c r="Z95" s="1">
        <v>35.799999999999997</v>
      </c>
      <c r="AA95" s="1">
        <v>35.200000000000003</v>
      </c>
      <c r="AB95" s="1">
        <v>21.2</v>
      </c>
      <c r="AC95" s="1">
        <v>23.2</v>
      </c>
      <c r="AD95" s="1">
        <v>33.799999999999997</v>
      </c>
      <c r="AE95" s="1">
        <v>32</v>
      </c>
      <c r="AF95" s="1">
        <v>3.6</v>
      </c>
      <c r="AG95" s="1">
        <v>2</v>
      </c>
      <c r="AH95" s="1">
        <v>33.4</v>
      </c>
      <c r="AI95" s="1">
        <v>38.200000000000003</v>
      </c>
      <c r="AJ95" s="1"/>
      <c r="AK95" s="1">
        <f>G95*W95</f>
        <v>0</v>
      </c>
      <c r="AL95" s="1"/>
      <c r="AM95" s="1"/>
      <c r="AN95" s="1"/>
      <c r="AO95" s="1"/>
      <c r="AP95" s="1"/>
      <c r="AQ95" s="1"/>
      <c r="AR95" s="1"/>
      <c r="AS95" s="1"/>
      <c r="AT95" s="1"/>
    </row>
    <row r="96" spans="1:46" x14ac:dyDescent="0.25">
      <c r="A96" s="15" t="s">
        <v>139</v>
      </c>
      <c r="B96" s="1" t="s">
        <v>41</v>
      </c>
      <c r="C96" s="1">
        <v>155.05000000000001</v>
      </c>
      <c r="D96" s="1">
        <v>25.942</v>
      </c>
      <c r="E96" s="1">
        <v>89.058000000000007</v>
      </c>
      <c r="F96" s="1">
        <v>57.075000000000003</v>
      </c>
      <c r="G96" s="7">
        <v>1</v>
      </c>
      <c r="H96" s="1">
        <v>55</v>
      </c>
      <c r="I96" s="9" t="s">
        <v>52</v>
      </c>
      <c r="J96" s="1"/>
      <c r="K96" s="1">
        <v>92</v>
      </c>
      <c r="L96" s="1">
        <f t="shared" si="18"/>
        <v>-2.9419999999999931</v>
      </c>
      <c r="M96" s="1"/>
      <c r="N96" s="1"/>
      <c r="O96" s="1"/>
      <c r="P96" s="1">
        <v>27.343000000000021</v>
      </c>
      <c r="Q96" s="1"/>
      <c r="R96" s="1"/>
      <c r="S96" s="1"/>
      <c r="T96" s="1">
        <v>32.992800000000003</v>
      </c>
      <c r="U96" s="1"/>
      <c r="V96" s="1">
        <f t="shared" si="19"/>
        <v>17.811600000000002</v>
      </c>
      <c r="W96" s="5">
        <f t="shared" si="24"/>
        <v>78.516799999999975</v>
      </c>
      <c r="X96" s="1">
        <f t="shared" si="20"/>
        <v>10.999999999999998</v>
      </c>
      <c r="Y96" s="1">
        <f t="shared" si="21"/>
        <v>6.5918165689775208</v>
      </c>
      <c r="Z96" s="1">
        <v>16.019200000000001</v>
      </c>
      <c r="AA96" s="1">
        <v>15.393000000000001</v>
      </c>
      <c r="AB96" s="1">
        <v>14.175000000000001</v>
      </c>
      <c r="AC96" s="1">
        <v>19.166799999999999</v>
      </c>
      <c r="AD96" s="1">
        <v>18.487400000000001</v>
      </c>
      <c r="AE96" s="1">
        <v>14.2752</v>
      </c>
      <c r="AF96" s="1">
        <v>14.007400000000001</v>
      </c>
      <c r="AG96" s="1">
        <v>16.1724</v>
      </c>
      <c r="AH96" s="1">
        <v>23.736799999999999</v>
      </c>
      <c r="AI96" s="1">
        <v>21.739000000000001</v>
      </c>
      <c r="AJ96" s="1"/>
      <c r="AK96" s="1">
        <f>G96*W96</f>
        <v>78.516799999999975</v>
      </c>
      <c r="AL96" s="1"/>
      <c r="AM96" s="1"/>
      <c r="AN96" s="1"/>
      <c r="AO96" s="1"/>
      <c r="AP96" s="1"/>
      <c r="AQ96" s="1"/>
      <c r="AR96" s="1"/>
      <c r="AS96" s="1"/>
      <c r="AT96" s="1"/>
    </row>
    <row r="97" spans="1:46" x14ac:dyDescent="0.25">
      <c r="A97" s="10" t="s">
        <v>140</v>
      </c>
      <c r="B97" s="10" t="s">
        <v>46</v>
      </c>
      <c r="C97" s="10"/>
      <c r="D97" s="10"/>
      <c r="E97" s="10"/>
      <c r="F97" s="10"/>
      <c r="G97" s="11">
        <v>0</v>
      </c>
      <c r="H97" s="10"/>
      <c r="I97" s="10" t="s">
        <v>42</v>
      </c>
      <c r="J97" s="10"/>
      <c r="K97" s="10"/>
      <c r="L97" s="10">
        <f t="shared" si="18"/>
        <v>0</v>
      </c>
      <c r="M97" s="10"/>
      <c r="N97" s="10"/>
      <c r="O97" s="10"/>
      <c r="P97" s="10">
        <v>0</v>
      </c>
      <c r="Q97" s="10"/>
      <c r="R97" s="10"/>
      <c r="S97" s="10"/>
      <c r="T97" s="10">
        <v>0</v>
      </c>
      <c r="U97" s="10"/>
      <c r="V97" s="10">
        <f t="shared" si="19"/>
        <v>0</v>
      </c>
      <c r="W97" s="12"/>
      <c r="X97" s="10" t="e">
        <f t="shared" si="20"/>
        <v>#DIV/0!</v>
      </c>
      <c r="Y97" s="10" t="e">
        <f t="shared" si="21"/>
        <v>#DIV/0!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 t="s">
        <v>47</v>
      </c>
      <c r="AK97" s="10"/>
      <c r="AL97" s="1"/>
      <c r="AM97" s="1"/>
      <c r="AN97" s="1"/>
      <c r="AO97" s="1"/>
      <c r="AP97" s="1"/>
      <c r="AQ97" s="1"/>
      <c r="AR97" s="1"/>
      <c r="AS97" s="1"/>
      <c r="AT97" s="1"/>
    </row>
    <row r="98" spans="1:46" x14ac:dyDescent="0.25">
      <c r="A98" s="15" t="s">
        <v>141</v>
      </c>
      <c r="B98" s="1" t="s">
        <v>46</v>
      </c>
      <c r="C98" s="1"/>
      <c r="D98" s="1"/>
      <c r="E98" s="1"/>
      <c r="F98" s="1"/>
      <c r="G98" s="7">
        <v>0.1</v>
      </c>
      <c r="H98" s="1">
        <v>30</v>
      </c>
      <c r="I98" s="9" t="s">
        <v>52</v>
      </c>
      <c r="J98" s="1"/>
      <c r="K98" s="1"/>
      <c r="L98" s="1">
        <f t="shared" si="18"/>
        <v>0</v>
      </c>
      <c r="M98" s="1"/>
      <c r="N98" s="1"/>
      <c r="O98" s="1"/>
      <c r="P98" s="1">
        <v>10</v>
      </c>
      <c r="Q98" s="1"/>
      <c r="R98" s="1"/>
      <c r="S98" s="1"/>
      <c r="T98" s="1">
        <v>0</v>
      </c>
      <c r="U98" s="1"/>
      <c r="V98" s="1">
        <f t="shared" si="19"/>
        <v>0</v>
      </c>
      <c r="W98" s="5"/>
      <c r="X98" s="1" t="e">
        <f t="shared" si="20"/>
        <v>#DIV/0!</v>
      </c>
      <c r="Y98" s="1" t="e">
        <f t="shared" si="21"/>
        <v>#DIV/0!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-0.2</v>
      </c>
      <c r="AF98" s="1">
        <v>-0.4</v>
      </c>
      <c r="AG98" s="1">
        <v>-0.2</v>
      </c>
      <c r="AH98" s="1">
        <v>-0.2</v>
      </c>
      <c r="AI98" s="1">
        <v>2.4</v>
      </c>
      <c r="AJ98" s="1" t="s">
        <v>142</v>
      </c>
      <c r="AK98" s="1">
        <f t="shared" ref="AK98:AK104" si="25">G98*W98</f>
        <v>0</v>
      </c>
      <c r="AL98" s="1"/>
      <c r="AM98" s="1"/>
      <c r="AN98" s="1"/>
      <c r="AO98" s="1"/>
      <c r="AP98" s="1"/>
      <c r="AQ98" s="1"/>
      <c r="AR98" s="1"/>
      <c r="AS98" s="1"/>
      <c r="AT98" s="1"/>
    </row>
    <row r="99" spans="1:46" x14ac:dyDescent="0.25">
      <c r="A99" s="1" t="s">
        <v>143</v>
      </c>
      <c r="B99" s="1" t="s">
        <v>46</v>
      </c>
      <c r="C99" s="1">
        <v>375</v>
      </c>
      <c r="D99" s="1">
        <v>215</v>
      </c>
      <c r="E99" s="1">
        <v>226</v>
      </c>
      <c r="F99" s="1">
        <v>265</v>
      </c>
      <c r="G99" s="7">
        <v>0.08</v>
      </c>
      <c r="H99" s="1">
        <v>45</v>
      </c>
      <c r="I99" s="1" t="s">
        <v>42</v>
      </c>
      <c r="J99" s="1"/>
      <c r="K99" s="1">
        <v>233</v>
      </c>
      <c r="L99" s="1">
        <f t="shared" si="18"/>
        <v>-7</v>
      </c>
      <c r="M99" s="1"/>
      <c r="N99" s="1"/>
      <c r="O99" s="1"/>
      <c r="P99" s="1">
        <v>32.186000000000043</v>
      </c>
      <c r="Q99" s="1"/>
      <c r="R99" s="1"/>
      <c r="S99" s="1"/>
      <c r="T99" s="1">
        <v>103.8</v>
      </c>
      <c r="U99" s="1"/>
      <c r="V99" s="1">
        <f t="shared" si="19"/>
        <v>45.2</v>
      </c>
      <c r="W99" s="5">
        <f t="shared" ref="W98:W104" si="26">11*V99-U99-T99-S99-R99-Q99-P99-O99-F99</f>
        <v>96.213999999999999</v>
      </c>
      <c r="X99" s="1">
        <f t="shared" si="20"/>
        <v>11</v>
      </c>
      <c r="Y99" s="1">
        <f t="shared" si="21"/>
        <v>8.8713716814159298</v>
      </c>
      <c r="Z99" s="1">
        <v>46.8</v>
      </c>
      <c r="AA99" s="1">
        <v>48.4</v>
      </c>
      <c r="AB99" s="1">
        <v>49.6</v>
      </c>
      <c r="AC99" s="1">
        <v>51.6</v>
      </c>
      <c r="AD99" s="1">
        <v>58.6</v>
      </c>
      <c r="AE99" s="1">
        <v>63</v>
      </c>
      <c r="AF99" s="1">
        <v>48</v>
      </c>
      <c r="AG99" s="1">
        <v>47</v>
      </c>
      <c r="AH99" s="1">
        <v>62</v>
      </c>
      <c r="AI99" s="1">
        <v>57.4</v>
      </c>
      <c r="AJ99" s="1"/>
      <c r="AK99" s="1">
        <f t="shared" si="25"/>
        <v>7.69712</v>
      </c>
      <c r="AL99" s="1"/>
      <c r="AM99" s="1"/>
      <c r="AN99" s="1"/>
      <c r="AO99" s="1"/>
      <c r="AP99" s="1"/>
      <c r="AQ99" s="1"/>
      <c r="AR99" s="1"/>
      <c r="AS99" s="1"/>
      <c r="AT99" s="1"/>
    </row>
    <row r="100" spans="1:46" x14ac:dyDescent="0.25">
      <c r="A100" s="1" t="s">
        <v>144</v>
      </c>
      <c r="B100" s="1" t="s">
        <v>46</v>
      </c>
      <c r="C100" s="1">
        <v>344</v>
      </c>
      <c r="D100" s="1">
        <v>99</v>
      </c>
      <c r="E100" s="1">
        <v>193</v>
      </c>
      <c r="F100" s="1">
        <v>176</v>
      </c>
      <c r="G100" s="7">
        <v>0.08</v>
      </c>
      <c r="H100" s="1">
        <v>45</v>
      </c>
      <c r="I100" s="1" t="s">
        <v>42</v>
      </c>
      <c r="J100" s="1"/>
      <c r="K100" s="1">
        <v>208</v>
      </c>
      <c r="L100" s="1">
        <f t="shared" si="18"/>
        <v>-15</v>
      </c>
      <c r="M100" s="1"/>
      <c r="N100" s="1"/>
      <c r="O100" s="1"/>
      <c r="P100" s="1">
        <v>32.081999999999987</v>
      </c>
      <c r="Q100" s="1"/>
      <c r="R100" s="1"/>
      <c r="S100" s="1"/>
      <c r="T100" s="1">
        <v>108.8</v>
      </c>
      <c r="U100" s="1"/>
      <c r="V100" s="1">
        <f t="shared" si="19"/>
        <v>38.6</v>
      </c>
      <c r="W100" s="5">
        <f t="shared" si="26"/>
        <v>107.71800000000002</v>
      </c>
      <c r="X100" s="1">
        <f t="shared" si="20"/>
        <v>11</v>
      </c>
      <c r="Y100" s="1">
        <f t="shared" si="21"/>
        <v>8.2093782383419693</v>
      </c>
      <c r="Z100" s="1">
        <v>37.6</v>
      </c>
      <c r="AA100" s="1">
        <v>37.6</v>
      </c>
      <c r="AB100" s="1">
        <v>38.6</v>
      </c>
      <c r="AC100" s="1">
        <v>42.2</v>
      </c>
      <c r="AD100" s="1">
        <v>49</v>
      </c>
      <c r="AE100" s="1">
        <v>51.6</v>
      </c>
      <c r="AF100" s="1">
        <v>45.6</v>
      </c>
      <c r="AG100" s="1">
        <v>43</v>
      </c>
      <c r="AH100" s="1">
        <v>55.6</v>
      </c>
      <c r="AI100" s="1">
        <v>54.2</v>
      </c>
      <c r="AJ100" s="1"/>
      <c r="AK100" s="1">
        <f t="shared" si="25"/>
        <v>8.617440000000002</v>
      </c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x14ac:dyDescent="0.25">
      <c r="A101" s="1" t="s">
        <v>145</v>
      </c>
      <c r="B101" s="1" t="s">
        <v>46</v>
      </c>
      <c r="C101" s="1">
        <v>8</v>
      </c>
      <c r="D101" s="1">
        <v>12</v>
      </c>
      <c r="E101" s="1">
        <v>-1</v>
      </c>
      <c r="F101" s="1">
        <v>10</v>
      </c>
      <c r="G101" s="7">
        <v>0.17</v>
      </c>
      <c r="H101" s="1">
        <v>30</v>
      </c>
      <c r="I101" s="1" t="s">
        <v>42</v>
      </c>
      <c r="J101" s="1"/>
      <c r="K101" s="1">
        <v>4</v>
      </c>
      <c r="L101" s="1">
        <f t="shared" si="18"/>
        <v>-5</v>
      </c>
      <c r="M101" s="1"/>
      <c r="N101" s="1"/>
      <c r="O101" s="1"/>
      <c r="P101" s="1">
        <v>23.513999999999999</v>
      </c>
      <c r="Q101" s="1"/>
      <c r="R101" s="1"/>
      <c r="S101" s="1"/>
      <c r="T101" s="1">
        <v>10</v>
      </c>
      <c r="U101" s="1"/>
      <c r="V101" s="1">
        <f t="shared" si="19"/>
        <v>-0.2</v>
      </c>
      <c r="W101" s="5"/>
      <c r="X101" s="1">
        <f t="shared" si="20"/>
        <v>-217.56999999999996</v>
      </c>
      <c r="Y101" s="1">
        <f t="shared" si="21"/>
        <v>-217.56999999999996</v>
      </c>
      <c r="Z101" s="1">
        <v>3.6</v>
      </c>
      <c r="AA101" s="1">
        <v>5</v>
      </c>
      <c r="AB101" s="1">
        <v>2.2000000000000002</v>
      </c>
      <c r="AC101" s="1">
        <v>1.2</v>
      </c>
      <c r="AD101" s="1">
        <v>2</v>
      </c>
      <c r="AE101" s="1">
        <v>2</v>
      </c>
      <c r="AF101" s="1">
        <v>1.2</v>
      </c>
      <c r="AG101" s="1">
        <v>0</v>
      </c>
      <c r="AH101" s="1">
        <v>0</v>
      </c>
      <c r="AI101" s="1">
        <v>1.4</v>
      </c>
      <c r="AJ101" s="1" t="s">
        <v>146</v>
      </c>
      <c r="AK101" s="1">
        <f t="shared" si="25"/>
        <v>0</v>
      </c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x14ac:dyDescent="0.25">
      <c r="A102" s="15" t="s">
        <v>147</v>
      </c>
      <c r="B102" s="1" t="s">
        <v>41</v>
      </c>
      <c r="C102" s="1">
        <v>24.931000000000001</v>
      </c>
      <c r="D102" s="1">
        <v>515.62900000000002</v>
      </c>
      <c r="E102" s="1">
        <v>429.57499999999999</v>
      </c>
      <c r="F102" s="1">
        <v>-0.74199999999999999</v>
      </c>
      <c r="G102" s="7">
        <v>1</v>
      </c>
      <c r="H102" s="1">
        <v>40</v>
      </c>
      <c r="I102" s="9" t="s">
        <v>52</v>
      </c>
      <c r="J102" s="1"/>
      <c r="K102" s="1">
        <v>682.75400000000002</v>
      </c>
      <c r="L102" s="1">
        <f t="shared" ref="L102:L133" si="27">E102-K102</f>
        <v>-253.17900000000003</v>
      </c>
      <c r="M102" s="1"/>
      <c r="N102" s="1"/>
      <c r="O102" s="1"/>
      <c r="P102" s="1">
        <v>200</v>
      </c>
      <c r="Q102" s="1">
        <v>300</v>
      </c>
      <c r="R102" s="1"/>
      <c r="S102" s="1"/>
      <c r="T102" s="1">
        <v>400</v>
      </c>
      <c r="U102" s="1"/>
      <c r="V102" s="1">
        <f t="shared" ref="V102:V128" si="28">E102/5</f>
        <v>85.914999999999992</v>
      </c>
      <c r="W102" s="5">
        <f t="shared" si="26"/>
        <v>45.806999999999938</v>
      </c>
      <c r="X102" s="1">
        <f t="shared" ref="X102:X133" si="29">(F102+O102+P102+Q102+R102+S102+T102+U102+W102)/V102</f>
        <v>11</v>
      </c>
      <c r="Y102" s="1">
        <f t="shared" ref="Y102:Y128" si="30">(F102+O102+P102+Q102+R102+S102+T102+U102)/V102</f>
        <v>10.466833498224991</v>
      </c>
      <c r="Z102" s="1">
        <v>95.000599999999991</v>
      </c>
      <c r="AA102" s="1">
        <v>36.310600000000001</v>
      </c>
      <c r="AB102" s="1">
        <v>67.372</v>
      </c>
      <c r="AC102" s="1">
        <v>87.045000000000002</v>
      </c>
      <c r="AD102" s="1">
        <v>19.298999999999999</v>
      </c>
      <c r="AE102" s="1">
        <v>3.8765999999999998</v>
      </c>
      <c r="AF102" s="1">
        <v>19.322399999999998</v>
      </c>
      <c r="AG102" s="1">
        <v>14.2462</v>
      </c>
      <c r="AH102" s="1">
        <v>43.054199999999987</v>
      </c>
      <c r="AI102" s="1">
        <v>80.952399999999997</v>
      </c>
      <c r="AJ102" s="1" t="s">
        <v>62</v>
      </c>
      <c r="AK102" s="1">
        <f t="shared" si="25"/>
        <v>45.806999999999938</v>
      </c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x14ac:dyDescent="0.25">
      <c r="A103" s="15" t="s">
        <v>148</v>
      </c>
      <c r="B103" s="1" t="s">
        <v>41</v>
      </c>
      <c r="C103" s="1">
        <v>-2.2869999999999999</v>
      </c>
      <c r="D103" s="1">
        <v>1322.4929999999999</v>
      </c>
      <c r="E103" s="1">
        <v>982.745</v>
      </c>
      <c r="F103" s="1">
        <v>34.689</v>
      </c>
      <c r="G103" s="7">
        <v>1</v>
      </c>
      <c r="H103" s="1">
        <v>40</v>
      </c>
      <c r="I103" s="9" t="s">
        <v>52</v>
      </c>
      <c r="J103" s="1"/>
      <c r="K103" s="1">
        <v>1061.961</v>
      </c>
      <c r="L103" s="1">
        <f t="shared" si="27"/>
        <v>-79.216000000000008</v>
      </c>
      <c r="M103" s="1"/>
      <c r="N103" s="1"/>
      <c r="O103" s="1"/>
      <c r="P103" s="1">
        <v>112</v>
      </c>
      <c r="Q103" s="1">
        <v>168</v>
      </c>
      <c r="R103" s="1"/>
      <c r="S103" s="1"/>
      <c r="T103" s="1">
        <v>120</v>
      </c>
      <c r="U103" s="1"/>
      <c r="V103" s="1">
        <f t="shared" si="28"/>
        <v>196.54900000000001</v>
      </c>
      <c r="W103" s="5">
        <v>1000</v>
      </c>
      <c r="X103" s="1">
        <f t="shared" si="29"/>
        <v>7.2993960793491688</v>
      </c>
      <c r="Y103" s="1">
        <f t="shared" si="30"/>
        <v>2.2116062661219336</v>
      </c>
      <c r="Z103" s="1">
        <v>84.728999999999999</v>
      </c>
      <c r="AA103" s="1">
        <v>37.037599999999998</v>
      </c>
      <c r="AB103" s="1">
        <v>99.776600000000002</v>
      </c>
      <c r="AC103" s="1">
        <v>121.7056</v>
      </c>
      <c r="AD103" s="1">
        <v>49.871600000000001</v>
      </c>
      <c r="AE103" s="1">
        <v>59.215599999999988</v>
      </c>
      <c r="AF103" s="1">
        <v>80.884199999999993</v>
      </c>
      <c r="AG103" s="1">
        <v>78.121400000000008</v>
      </c>
      <c r="AH103" s="1">
        <v>29.4024</v>
      </c>
      <c r="AI103" s="1">
        <v>27.0656</v>
      </c>
      <c r="AJ103" s="1" t="s">
        <v>62</v>
      </c>
      <c r="AK103" s="1">
        <f t="shared" si="25"/>
        <v>1000</v>
      </c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x14ac:dyDescent="0.25">
      <c r="A104" s="1" t="s">
        <v>149</v>
      </c>
      <c r="B104" s="1" t="s">
        <v>41</v>
      </c>
      <c r="C104" s="1"/>
      <c r="D104" s="1">
        <v>54.398000000000003</v>
      </c>
      <c r="E104" s="1">
        <v>47.518999999999998</v>
      </c>
      <c r="F104" s="1">
        <v>1.395</v>
      </c>
      <c r="G104" s="7">
        <v>1</v>
      </c>
      <c r="H104" s="1">
        <v>40</v>
      </c>
      <c r="I104" s="9" t="s">
        <v>52</v>
      </c>
      <c r="J104" s="1"/>
      <c r="K104" s="1">
        <v>169.6</v>
      </c>
      <c r="L104" s="1">
        <f t="shared" si="27"/>
        <v>-122.08099999999999</v>
      </c>
      <c r="M104" s="1"/>
      <c r="N104" s="1"/>
      <c r="O104" s="1"/>
      <c r="P104" s="1">
        <v>160</v>
      </c>
      <c r="Q104" s="1">
        <v>240</v>
      </c>
      <c r="R104" s="1">
        <v>-67</v>
      </c>
      <c r="S104" s="1"/>
      <c r="T104" s="1">
        <v>0</v>
      </c>
      <c r="U104" s="1"/>
      <c r="V104" s="1">
        <f t="shared" si="28"/>
        <v>9.5038</v>
      </c>
      <c r="W104" s="5"/>
      <c r="X104" s="1">
        <f t="shared" si="29"/>
        <v>35.185399524400765</v>
      </c>
      <c r="Y104" s="1">
        <f t="shared" si="30"/>
        <v>35.185399524400765</v>
      </c>
      <c r="Z104" s="1">
        <v>-0.74480000000000002</v>
      </c>
      <c r="AA104" s="1">
        <v>-0.85359999999999991</v>
      </c>
      <c r="AB104" s="1">
        <v>-2.0251999999999999</v>
      </c>
      <c r="AC104" s="1">
        <v>-1.8894</v>
      </c>
      <c r="AD104" s="1">
        <v>-2.2866</v>
      </c>
      <c r="AE104" s="1">
        <v>-2.1309999999999998</v>
      </c>
      <c r="AF104" s="1">
        <v>-0.42120000000000002</v>
      </c>
      <c r="AG104" s="1">
        <v>-1.1818</v>
      </c>
      <c r="AH104" s="1">
        <v>9.0351999999999997</v>
      </c>
      <c r="AI104" s="1">
        <v>38.4574</v>
      </c>
      <c r="AJ104" s="1"/>
      <c r="AK104" s="1">
        <f t="shared" si="25"/>
        <v>0</v>
      </c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x14ac:dyDescent="0.25">
      <c r="A105" s="10" t="s">
        <v>150</v>
      </c>
      <c r="B105" s="10" t="s">
        <v>46</v>
      </c>
      <c r="C105" s="10"/>
      <c r="D105" s="10"/>
      <c r="E105" s="10"/>
      <c r="F105" s="10"/>
      <c r="G105" s="11">
        <v>0</v>
      </c>
      <c r="H105" s="10"/>
      <c r="I105" s="10" t="s">
        <v>42</v>
      </c>
      <c r="J105" s="10"/>
      <c r="K105" s="10"/>
      <c r="L105" s="10">
        <f t="shared" si="27"/>
        <v>0</v>
      </c>
      <c r="M105" s="10"/>
      <c r="N105" s="10"/>
      <c r="O105" s="10"/>
      <c r="P105" s="10">
        <v>0</v>
      </c>
      <c r="Q105" s="10"/>
      <c r="R105" s="10"/>
      <c r="S105" s="10"/>
      <c r="T105" s="10">
        <v>0</v>
      </c>
      <c r="U105" s="10"/>
      <c r="V105" s="10">
        <f t="shared" si="28"/>
        <v>0</v>
      </c>
      <c r="W105" s="12"/>
      <c r="X105" s="10" t="e">
        <f t="shared" si="29"/>
        <v>#DIV/0!</v>
      </c>
      <c r="Y105" s="10" t="e">
        <f t="shared" si="30"/>
        <v>#DIV/0!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  <c r="AI105" s="10">
        <v>0</v>
      </c>
      <c r="AJ105" s="10" t="s">
        <v>47</v>
      </c>
      <c r="AK105" s="10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x14ac:dyDescent="0.25">
      <c r="A106" s="1" t="s">
        <v>151</v>
      </c>
      <c r="B106" s="1" t="s">
        <v>41</v>
      </c>
      <c r="C106" s="1">
        <v>8.1319999999999997</v>
      </c>
      <c r="D106" s="1">
        <v>60.472999999999999</v>
      </c>
      <c r="E106" s="1">
        <v>24.75</v>
      </c>
      <c r="F106" s="1">
        <v>26.83</v>
      </c>
      <c r="G106" s="7">
        <v>1</v>
      </c>
      <c r="H106" s="1">
        <v>55</v>
      </c>
      <c r="I106" s="1" t="s">
        <v>42</v>
      </c>
      <c r="J106" s="1"/>
      <c r="K106" s="1">
        <v>19.100000000000001</v>
      </c>
      <c r="L106" s="1">
        <f t="shared" si="27"/>
        <v>5.6499999999999986</v>
      </c>
      <c r="M106" s="1"/>
      <c r="N106" s="1"/>
      <c r="O106" s="1"/>
      <c r="P106" s="1">
        <v>0</v>
      </c>
      <c r="Q106" s="1"/>
      <c r="R106" s="1"/>
      <c r="S106" s="1"/>
      <c r="T106" s="1">
        <v>0</v>
      </c>
      <c r="U106" s="1"/>
      <c r="V106" s="1">
        <f t="shared" si="28"/>
        <v>4.95</v>
      </c>
      <c r="W106" s="5">
        <f t="shared" ref="W106:W107" si="31">11*V106-U106-T106-S106-R106-Q106-P106-O106-F106</f>
        <v>27.620000000000005</v>
      </c>
      <c r="X106" s="1">
        <f t="shared" si="29"/>
        <v>11</v>
      </c>
      <c r="Y106" s="1">
        <f t="shared" si="30"/>
        <v>5.4202020202020194</v>
      </c>
      <c r="Z106" s="1">
        <v>2.1389999999999998</v>
      </c>
      <c r="AA106" s="1">
        <v>2.1389999999999998</v>
      </c>
      <c r="AB106" s="1">
        <v>3.8119999999999998</v>
      </c>
      <c r="AC106" s="1">
        <v>4.6360000000000001</v>
      </c>
      <c r="AD106" s="1">
        <v>0.82400000000000007</v>
      </c>
      <c r="AE106" s="1">
        <v>0.27460000000000001</v>
      </c>
      <c r="AF106" s="1">
        <v>0.27460000000000001</v>
      </c>
      <c r="AG106" s="1">
        <v>2.4338000000000002</v>
      </c>
      <c r="AH106" s="1">
        <v>2.9998</v>
      </c>
      <c r="AI106" s="1">
        <v>0.56600000000000006</v>
      </c>
      <c r="AJ106" s="1" t="s">
        <v>152</v>
      </c>
      <c r="AK106" s="1">
        <f>G106*W106</f>
        <v>27.620000000000005</v>
      </c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x14ac:dyDescent="0.25">
      <c r="A107" s="1" t="s">
        <v>153</v>
      </c>
      <c r="B107" s="1" t="s">
        <v>46</v>
      </c>
      <c r="C107" s="1">
        <v>76</v>
      </c>
      <c r="D107" s="1">
        <v>68</v>
      </c>
      <c r="E107" s="1">
        <v>-9</v>
      </c>
      <c r="F107" s="1">
        <v>142</v>
      </c>
      <c r="G107" s="7">
        <v>0.28000000000000003</v>
      </c>
      <c r="H107" s="1">
        <v>40</v>
      </c>
      <c r="I107" s="9" t="s">
        <v>52</v>
      </c>
      <c r="J107" s="1"/>
      <c r="K107" s="1">
        <v>676</v>
      </c>
      <c r="L107" s="1">
        <f t="shared" si="27"/>
        <v>-685</v>
      </c>
      <c r="M107" s="1"/>
      <c r="N107" s="1"/>
      <c r="O107" s="1"/>
      <c r="P107" s="1">
        <v>120</v>
      </c>
      <c r="Q107" s="1">
        <v>180</v>
      </c>
      <c r="R107" s="1"/>
      <c r="S107" s="1"/>
      <c r="T107" s="1">
        <v>0</v>
      </c>
      <c r="U107" s="1"/>
      <c r="V107" s="1">
        <f t="shared" si="28"/>
        <v>-1.8</v>
      </c>
      <c r="W107" s="5"/>
      <c r="X107" s="1">
        <f t="shared" si="29"/>
        <v>-245.55555555555554</v>
      </c>
      <c r="Y107" s="1">
        <f t="shared" si="30"/>
        <v>-245.55555555555554</v>
      </c>
      <c r="Z107" s="1">
        <v>60.2</v>
      </c>
      <c r="AA107" s="1">
        <v>110.8</v>
      </c>
      <c r="AB107" s="1">
        <v>85.6</v>
      </c>
      <c r="AC107" s="1">
        <v>33</v>
      </c>
      <c r="AD107" s="1">
        <v>-2.8</v>
      </c>
      <c r="AE107" s="1">
        <v>44</v>
      </c>
      <c r="AF107" s="1">
        <v>78.599999999999994</v>
      </c>
      <c r="AG107" s="1">
        <v>33.4</v>
      </c>
      <c r="AH107" s="1">
        <v>9.6</v>
      </c>
      <c r="AI107" s="1">
        <v>43.4</v>
      </c>
      <c r="AJ107" s="14" t="s">
        <v>124</v>
      </c>
      <c r="AK107" s="1">
        <f>G107*W107</f>
        <v>0</v>
      </c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x14ac:dyDescent="0.25">
      <c r="A108" s="10" t="s">
        <v>154</v>
      </c>
      <c r="B108" s="10" t="s">
        <v>46</v>
      </c>
      <c r="C108" s="10"/>
      <c r="D108" s="10"/>
      <c r="E108" s="10"/>
      <c r="F108" s="10"/>
      <c r="G108" s="11">
        <v>0</v>
      </c>
      <c r="H108" s="10"/>
      <c r="I108" s="10" t="s">
        <v>42</v>
      </c>
      <c r="J108" s="10"/>
      <c r="K108" s="10">
        <v>5</v>
      </c>
      <c r="L108" s="10">
        <f t="shared" si="27"/>
        <v>-5</v>
      </c>
      <c r="M108" s="10"/>
      <c r="N108" s="10"/>
      <c r="O108" s="10"/>
      <c r="P108" s="10">
        <v>0</v>
      </c>
      <c r="Q108" s="10"/>
      <c r="R108" s="10"/>
      <c r="S108" s="10"/>
      <c r="T108" s="10">
        <v>0</v>
      </c>
      <c r="U108" s="10"/>
      <c r="V108" s="10">
        <f t="shared" si="28"/>
        <v>0</v>
      </c>
      <c r="W108" s="12"/>
      <c r="X108" s="10" t="e">
        <f t="shared" si="29"/>
        <v>#DIV/0!</v>
      </c>
      <c r="Y108" s="10" t="e">
        <f t="shared" si="30"/>
        <v>#DIV/0!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  <c r="AI108" s="10">
        <v>0</v>
      </c>
      <c r="AJ108" s="10" t="s">
        <v>47</v>
      </c>
      <c r="AK108" s="10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x14ac:dyDescent="0.25">
      <c r="A109" s="1" t="s">
        <v>155</v>
      </c>
      <c r="B109" s="1" t="s">
        <v>46</v>
      </c>
      <c r="C109" s="1">
        <v>78</v>
      </c>
      <c r="D109" s="1">
        <v>95</v>
      </c>
      <c r="E109" s="1">
        <v>-7</v>
      </c>
      <c r="F109" s="1">
        <v>144</v>
      </c>
      <c r="G109" s="7">
        <v>0.28000000000000003</v>
      </c>
      <c r="H109" s="1">
        <v>40</v>
      </c>
      <c r="I109" s="9" t="s">
        <v>52</v>
      </c>
      <c r="J109" s="1"/>
      <c r="K109" s="1">
        <v>671</v>
      </c>
      <c r="L109" s="1">
        <f t="shared" si="27"/>
        <v>-678</v>
      </c>
      <c r="M109" s="1"/>
      <c r="N109" s="1"/>
      <c r="O109" s="1"/>
      <c r="P109" s="1">
        <v>80</v>
      </c>
      <c r="Q109" s="1">
        <v>120</v>
      </c>
      <c r="R109" s="1"/>
      <c r="S109" s="1"/>
      <c r="T109" s="1">
        <v>81.5</v>
      </c>
      <c r="U109" s="1"/>
      <c r="V109" s="1">
        <f t="shared" si="28"/>
        <v>-1.4</v>
      </c>
      <c r="W109" s="5"/>
      <c r="X109" s="1">
        <f t="shared" si="29"/>
        <v>-303.92857142857144</v>
      </c>
      <c r="Y109" s="1">
        <f t="shared" si="30"/>
        <v>-303.92857142857144</v>
      </c>
      <c r="Z109" s="1">
        <v>38.6</v>
      </c>
      <c r="AA109" s="1">
        <v>63</v>
      </c>
      <c r="AB109" s="1">
        <v>37.6</v>
      </c>
      <c r="AC109" s="1">
        <v>11.4</v>
      </c>
      <c r="AD109" s="1">
        <v>18.600000000000001</v>
      </c>
      <c r="AE109" s="1">
        <v>57.8</v>
      </c>
      <c r="AF109" s="1">
        <v>35.799999999999997</v>
      </c>
      <c r="AG109" s="1">
        <v>-2</v>
      </c>
      <c r="AH109" s="1">
        <v>12</v>
      </c>
      <c r="AI109" s="1">
        <v>46.2</v>
      </c>
      <c r="AJ109" s="14" t="s">
        <v>124</v>
      </c>
      <c r="AK109" s="1">
        <f>G109*W109</f>
        <v>0</v>
      </c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x14ac:dyDescent="0.25">
      <c r="A110" s="1" t="s">
        <v>156</v>
      </c>
      <c r="B110" s="1" t="s">
        <v>46</v>
      </c>
      <c r="C110" s="1">
        <v>123</v>
      </c>
      <c r="D110" s="1">
        <v>100</v>
      </c>
      <c r="E110" s="1">
        <v>108</v>
      </c>
      <c r="F110" s="1">
        <v>85</v>
      </c>
      <c r="G110" s="7">
        <v>0.09</v>
      </c>
      <c r="H110" s="1"/>
      <c r="I110" s="1" t="s">
        <v>42</v>
      </c>
      <c r="J110" s="1"/>
      <c r="K110" s="1">
        <v>117</v>
      </c>
      <c r="L110" s="1">
        <f t="shared" si="27"/>
        <v>-9</v>
      </c>
      <c r="M110" s="1"/>
      <c r="N110" s="1"/>
      <c r="O110" s="1"/>
      <c r="P110" s="1">
        <v>36.652000000000022</v>
      </c>
      <c r="Q110" s="1"/>
      <c r="R110" s="1"/>
      <c r="S110" s="1"/>
      <c r="T110" s="1">
        <v>93.799999999999955</v>
      </c>
      <c r="U110" s="1"/>
      <c r="V110" s="1">
        <f t="shared" si="28"/>
        <v>21.6</v>
      </c>
      <c r="W110" s="5">
        <f t="shared" ref="W109:W113" si="32">11*V110-U110-T110-S110-R110-Q110-P110-O110-F110</f>
        <v>22.148000000000053</v>
      </c>
      <c r="X110" s="1">
        <f t="shared" si="29"/>
        <v>11</v>
      </c>
      <c r="Y110" s="1">
        <f t="shared" si="30"/>
        <v>9.9746296296296268</v>
      </c>
      <c r="Z110" s="1">
        <v>22.4</v>
      </c>
      <c r="AA110" s="1">
        <v>19.8</v>
      </c>
      <c r="AB110" s="1">
        <v>19.600000000000001</v>
      </c>
      <c r="AC110" s="1">
        <v>24</v>
      </c>
      <c r="AD110" s="1">
        <v>23.2</v>
      </c>
      <c r="AE110" s="1">
        <v>17.8</v>
      </c>
      <c r="AF110" s="1">
        <v>6</v>
      </c>
      <c r="AG110" s="1">
        <v>6</v>
      </c>
      <c r="AH110" s="1">
        <v>14.2</v>
      </c>
      <c r="AI110" s="1">
        <v>12.6</v>
      </c>
      <c r="AJ110" s="1"/>
      <c r="AK110" s="1">
        <f>G110*W110</f>
        <v>1.9933200000000046</v>
      </c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x14ac:dyDescent="0.25">
      <c r="A111" s="1" t="s">
        <v>157</v>
      </c>
      <c r="B111" s="1" t="s">
        <v>41</v>
      </c>
      <c r="C111" s="1">
        <v>389.73</v>
      </c>
      <c r="D111" s="1">
        <v>31.1</v>
      </c>
      <c r="E111" s="1">
        <v>225.874</v>
      </c>
      <c r="F111" s="1">
        <v>151.36500000000001</v>
      </c>
      <c r="G111" s="7">
        <v>1</v>
      </c>
      <c r="H111" s="1">
        <v>60</v>
      </c>
      <c r="I111" s="1" t="s">
        <v>42</v>
      </c>
      <c r="J111" s="1"/>
      <c r="K111" s="1">
        <v>222.5</v>
      </c>
      <c r="L111" s="1">
        <f t="shared" si="27"/>
        <v>3.3739999999999952</v>
      </c>
      <c r="M111" s="1"/>
      <c r="N111" s="1"/>
      <c r="O111" s="1"/>
      <c r="P111" s="1">
        <v>0</v>
      </c>
      <c r="Q111" s="1"/>
      <c r="R111" s="1"/>
      <c r="S111" s="1"/>
      <c r="T111" s="1">
        <v>243.154</v>
      </c>
      <c r="U111" s="1"/>
      <c r="V111" s="1">
        <f t="shared" si="28"/>
        <v>45.174799999999998</v>
      </c>
      <c r="W111" s="5">
        <f t="shared" si="32"/>
        <v>102.40379999999999</v>
      </c>
      <c r="X111" s="1">
        <f t="shared" si="29"/>
        <v>11</v>
      </c>
      <c r="Y111" s="1">
        <f t="shared" si="30"/>
        <v>8.7331653930952662</v>
      </c>
      <c r="Z111" s="1">
        <v>44.218200000000003</v>
      </c>
      <c r="AA111" s="1">
        <v>10.622999999999999</v>
      </c>
      <c r="AB111" s="1">
        <v>11.144600000000001</v>
      </c>
      <c r="AC111" s="1">
        <v>19.508400000000002</v>
      </c>
      <c r="AD111" s="1">
        <v>24.999600000000001</v>
      </c>
      <c r="AE111" s="1">
        <v>21.991399999999999</v>
      </c>
      <c r="AF111" s="1">
        <v>8.8583999999999996</v>
      </c>
      <c r="AG111" s="1">
        <v>2.6758000000000002</v>
      </c>
      <c r="AH111" s="1">
        <v>38.171399999999998</v>
      </c>
      <c r="AI111" s="1">
        <v>43.339199999999998</v>
      </c>
      <c r="AJ111" s="1"/>
      <c r="AK111" s="1">
        <f>G111*W111</f>
        <v>102.40379999999999</v>
      </c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x14ac:dyDescent="0.25">
      <c r="A112" s="1" t="s">
        <v>158</v>
      </c>
      <c r="B112" s="1" t="s">
        <v>41</v>
      </c>
      <c r="C112" s="1">
        <v>89.655000000000001</v>
      </c>
      <c r="D112" s="1"/>
      <c r="E112" s="1"/>
      <c r="F112" s="1">
        <v>89.655000000000001</v>
      </c>
      <c r="G112" s="7">
        <v>1</v>
      </c>
      <c r="H112" s="1">
        <v>50</v>
      </c>
      <c r="I112" s="1" t="s">
        <v>42</v>
      </c>
      <c r="J112" s="1"/>
      <c r="K112" s="1">
        <v>20</v>
      </c>
      <c r="L112" s="1">
        <f t="shared" si="27"/>
        <v>-20</v>
      </c>
      <c r="M112" s="1"/>
      <c r="N112" s="1"/>
      <c r="O112" s="1"/>
      <c r="P112" s="1">
        <v>0</v>
      </c>
      <c r="Q112" s="1"/>
      <c r="R112" s="1"/>
      <c r="S112" s="1"/>
      <c r="T112" s="1">
        <v>0</v>
      </c>
      <c r="U112" s="1"/>
      <c r="V112" s="1">
        <f t="shared" si="28"/>
        <v>0</v>
      </c>
      <c r="W112" s="5"/>
      <c r="X112" s="1" t="e">
        <f t="shared" si="29"/>
        <v>#DIV/0!</v>
      </c>
      <c r="Y112" s="1" t="e">
        <f t="shared" si="30"/>
        <v>#DIV/0!</v>
      </c>
      <c r="Z112" s="1">
        <v>0</v>
      </c>
      <c r="AA112" s="1">
        <v>-0.3352</v>
      </c>
      <c r="AB112" s="1">
        <v>-0.3352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-0.2356</v>
      </c>
      <c r="AJ112" s="16" t="s">
        <v>134</v>
      </c>
      <c r="AK112" s="1">
        <f>G112*W112</f>
        <v>0</v>
      </c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x14ac:dyDescent="0.25">
      <c r="A113" s="1" t="s">
        <v>159</v>
      </c>
      <c r="B113" s="1" t="s">
        <v>46</v>
      </c>
      <c r="C113" s="1">
        <v>21</v>
      </c>
      <c r="D113" s="1">
        <v>165</v>
      </c>
      <c r="E113" s="1">
        <v>63</v>
      </c>
      <c r="F113" s="1">
        <v>80</v>
      </c>
      <c r="G113" s="7">
        <v>0.09</v>
      </c>
      <c r="H113" s="1"/>
      <c r="I113" s="1" t="s">
        <v>42</v>
      </c>
      <c r="J113" s="1"/>
      <c r="K113" s="1">
        <v>79</v>
      </c>
      <c r="L113" s="1">
        <f t="shared" si="27"/>
        <v>-16</v>
      </c>
      <c r="M113" s="1"/>
      <c r="N113" s="1"/>
      <c r="O113" s="1"/>
      <c r="P113" s="1">
        <v>0</v>
      </c>
      <c r="Q113" s="1"/>
      <c r="R113" s="1"/>
      <c r="S113" s="1"/>
      <c r="T113" s="1">
        <v>0</v>
      </c>
      <c r="U113" s="1"/>
      <c r="V113" s="1">
        <f t="shared" si="28"/>
        <v>12.6</v>
      </c>
      <c r="W113" s="5">
        <f t="shared" si="32"/>
        <v>58.599999999999994</v>
      </c>
      <c r="X113" s="1">
        <f t="shared" si="29"/>
        <v>11</v>
      </c>
      <c r="Y113" s="1">
        <f t="shared" si="30"/>
        <v>6.3492063492063497</v>
      </c>
      <c r="Z113" s="1">
        <v>8.1999999999999993</v>
      </c>
      <c r="AA113" s="1">
        <v>6.6</v>
      </c>
      <c r="AB113" s="1">
        <v>14.8</v>
      </c>
      <c r="AC113" s="1">
        <v>20.2</v>
      </c>
      <c r="AD113" s="1">
        <v>8.1999999999999993</v>
      </c>
      <c r="AE113" s="1">
        <v>2</v>
      </c>
      <c r="AF113" s="1">
        <v>1.4</v>
      </c>
      <c r="AG113" s="1">
        <v>4</v>
      </c>
      <c r="AH113" s="1">
        <v>13.6</v>
      </c>
      <c r="AI113" s="1">
        <v>12.6</v>
      </c>
      <c r="AJ113" s="1"/>
      <c r="AK113" s="1">
        <f>G113*W113</f>
        <v>5.2739999999999991</v>
      </c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x14ac:dyDescent="0.25">
      <c r="A114" s="10" t="s">
        <v>160</v>
      </c>
      <c r="B114" s="10" t="s">
        <v>46</v>
      </c>
      <c r="C114" s="10"/>
      <c r="D114" s="10"/>
      <c r="E114" s="10"/>
      <c r="F114" s="10"/>
      <c r="G114" s="11">
        <v>0</v>
      </c>
      <c r="H114" s="10"/>
      <c r="I114" s="10" t="s">
        <v>42</v>
      </c>
      <c r="J114" s="10"/>
      <c r="K114" s="10">
        <v>5</v>
      </c>
      <c r="L114" s="10">
        <f t="shared" si="27"/>
        <v>-5</v>
      </c>
      <c r="M114" s="10"/>
      <c r="N114" s="10"/>
      <c r="O114" s="10"/>
      <c r="P114" s="10">
        <v>0</v>
      </c>
      <c r="Q114" s="10"/>
      <c r="R114" s="10"/>
      <c r="S114" s="10"/>
      <c r="T114" s="10">
        <v>0</v>
      </c>
      <c r="U114" s="10"/>
      <c r="V114" s="10">
        <f t="shared" si="28"/>
        <v>0</v>
      </c>
      <c r="W114" s="12"/>
      <c r="X114" s="10" t="e">
        <f t="shared" si="29"/>
        <v>#DIV/0!</v>
      </c>
      <c r="Y114" s="10" t="e">
        <f t="shared" si="30"/>
        <v>#DIV/0!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>
        <v>0</v>
      </c>
      <c r="AI114" s="10">
        <v>0</v>
      </c>
      <c r="AJ114" s="10" t="s">
        <v>47</v>
      </c>
      <c r="AK114" s="10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x14ac:dyDescent="0.25">
      <c r="A115" s="1" t="s">
        <v>161</v>
      </c>
      <c r="B115" s="1" t="s">
        <v>41</v>
      </c>
      <c r="C115" s="1">
        <v>506.84399999999999</v>
      </c>
      <c r="D115" s="1">
        <v>653.42600000000004</v>
      </c>
      <c r="E115" s="1">
        <v>430.589</v>
      </c>
      <c r="F115" s="1">
        <v>594.25300000000004</v>
      </c>
      <c r="G115" s="7">
        <v>1</v>
      </c>
      <c r="H115" s="1">
        <v>60</v>
      </c>
      <c r="I115" s="1" t="s">
        <v>42</v>
      </c>
      <c r="J115" s="1"/>
      <c r="K115" s="1">
        <v>413.95</v>
      </c>
      <c r="L115" s="1">
        <f t="shared" si="27"/>
        <v>16.63900000000001</v>
      </c>
      <c r="M115" s="1"/>
      <c r="N115" s="1"/>
      <c r="O115" s="1"/>
      <c r="P115" s="1">
        <v>0</v>
      </c>
      <c r="Q115" s="1"/>
      <c r="R115" s="1"/>
      <c r="S115" s="1"/>
      <c r="T115" s="1">
        <v>197.7618380000001</v>
      </c>
      <c r="U115" s="1"/>
      <c r="V115" s="1">
        <f t="shared" si="28"/>
        <v>86.117800000000003</v>
      </c>
      <c r="W115" s="5">
        <f t="shared" ref="W115:W121" si="33">11*V115-U115-T115-S115-R115-Q115-P115-O115-F115</f>
        <v>155.28096199999982</v>
      </c>
      <c r="X115" s="1">
        <f t="shared" si="29"/>
        <v>11</v>
      </c>
      <c r="Y115" s="1">
        <f t="shared" si="30"/>
        <v>9.1968772774037433</v>
      </c>
      <c r="Z115" s="1">
        <v>86.794000000000011</v>
      </c>
      <c r="AA115" s="1">
        <v>73.754199999999997</v>
      </c>
      <c r="AB115" s="1">
        <v>90.467399999999998</v>
      </c>
      <c r="AC115" s="1">
        <v>99.922799999999995</v>
      </c>
      <c r="AD115" s="1">
        <v>94.257800000000003</v>
      </c>
      <c r="AE115" s="1">
        <v>86.013800000000003</v>
      </c>
      <c r="AF115" s="1">
        <v>49.147399999999998</v>
      </c>
      <c r="AG115" s="1">
        <v>53.992400000000004</v>
      </c>
      <c r="AH115" s="1">
        <v>69.008799999999994</v>
      </c>
      <c r="AI115" s="1">
        <v>70.288600000000002</v>
      </c>
      <c r="AJ115" s="1"/>
      <c r="AK115" s="1">
        <f t="shared" ref="AK115:AK121" si="34">G115*W115</f>
        <v>155.28096199999982</v>
      </c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x14ac:dyDescent="0.25">
      <c r="A116" s="1" t="s">
        <v>162</v>
      </c>
      <c r="B116" s="1" t="s">
        <v>41</v>
      </c>
      <c r="C116" s="1">
        <v>542.68899999999996</v>
      </c>
      <c r="D116" s="1">
        <v>1113.135</v>
      </c>
      <c r="E116" s="1">
        <v>550.04700000000003</v>
      </c>
      <c r="F116" s="1">
        <v>819.04399999999998</v>
      </c>
      <c r="G116" s="7">
        <v>1</v>
      </c>
      <c r="H116" s="1">
        <v>60</v>
      </c>
      <c r="I116" s="1" t="s">
        <v>42</v>
      </c>
      <c r="J116" s="1"/>
      <c r="K116" s="1">
        <v>536.5</v>
      </c>
      <c r="L116" s="1">
        <f t="shared" si="27"/>
        <v>13.547000000000025</v>
      </c>
      <c r="M116" s="1"/>
      <c r="N116" s="1"/>
      <c r="O116" s="1"/>
      <c r="P116" s="1">
        <v>9.1559158859997751</v>
      </c>
      <c r="Q116" s="1"/>
      <c r="R116" s="1"/>
      <c r="S116" s="1"/>
      <c r="T116" s="1">
        <v>368.44906811399972</v>
      </c>
      <c r="U116" s="1"/>
      <c r="V116" s="1">
        <f t="shared" si="28"/>
        <v>110.0094</v>
      </c>
      <c r="W116" s="5">
        <f t="shared" si="33"/>
        <v>13.454416000000492</v>
      </c>
      <c r="X116" s="1">
        <f t="shared" si="29"/>
        <v>11</v>
      </c>
      <c r="Y116" s="1">
        <f t="shared" si="30"/>
        <v>10.877697578570555</v>
      </c>
      <c r="Z116" s="1">
        <v>126.1358</v>
      </c>
      <c r="AA116" s="1">
        <v>118.1798</v>
      </c>
      <c r="AB116" s="1">
        <v>128.58260000000001</v>
      </c>
      <c r="AC116" s="1">
        <v>126.9572</v>
      </c>
      <c r="AD116" s="1">
        <v>118.0086</v>
      </c>
      <c r="AE116" s="1">
        <v>112.2222</v>
      </c>
      <c r="AF116" s="1">
        <v>68.132000000000005</v>
      </c>
      <c r="AG116" s="1">
        <v>70.727800000000002</v>
      </c>
      <c r="AH116" s="1">
        <v>89.804999999999993</v>
      </c>
      <c r="AI116" s="1">
        <v>93.597000000000008</v>
      </c>
      <c r="AJ116" s="1"/>
      <c r="AK116" s="1">
        <f t="shared" si="34"/>
        <v>13.454416000000492</v>
      </c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x14ac:dyDescent="0.25">
      <c r="A117" s="1" t="s">
        <v>163</v>
      </c>
      <c r="B117" s="1" t="s">
        <v>41</v>
      </c>
      <c r="C117" s="1">
        <v>297.36099999999999</v>
      </c>
      <c r="D117" s="1">
        <v>296.72000000000003</v>
      </c>
      <c r="E117" s="1">
        <v>165.89500000000001</v>
      </c>
      <c r="F117" s="1">
        <v>386.50099999999998</v>
      </c>
      <c r="G117" s="7">
        <v>1</v>
      </c>
      <c r="H117" s="1">
        <v>60</v>
      </c>
      <c r="I117" s="1" t="s">
        <v>42</v>
      </c>
      <c r="J117" s="1"/>
      <c r="K117" s="1">
        <v>162.6</v>
      </c>
      <c r="L117" s="1">
        <f t="shared" si="27"/>
        <v>3.2950000000000159</v>
      </c>
      <c r="M117" s="1"/>
      <c r="N117" s="1"/>
      <c r="O117" s="1"/>
      <c r="P117" s="1">
        <v>0</v>
      </c>
      <c r="Q117" s="1"/>
      <c r="R117" s="1"/>
      <c r="S117" s="1"/>
      <c r="T117" s="1">
        <v>0</v>
      </c>
      <c r="U117" s="1"/>
      <c r="V117" s="1">
        <f t="shared" si="28"/>
        <v>33.179000000000002</v>
      </c>
      <c r="W117" s="5"/>
      <c r="X117" s="1">
        <f t="shared" si="29"/>
        <v>11.648964706591517</v>
      </c>
      <c r="Y117" s="1">
        <f t="shared" si="30"/>
        <v>11.648964706591517</v>
      </c>
      <c r="Z117" s="1">
        <v>34.262799999999999</v>
      </c>
      <c r="AA117" s="1">
        <v>34.434399999999997</v>
      </c>
      <c r="AB117" s="1">
        <v>48.102999999999987</v>
      </c>
      <c r="AC117" s="1">
        <v>48.851599999999998</v>
      </c>
      <c r="AD117" s="1">
        <v>46.164200000000001</v>
      </c>
      <c r="AE117" s="1">
        <v>43.4572</v>
      </c>
      <c r="AF117" s="1">
        <v>25.361000000000001</v>
      </c>
      <c r="AG117" s="1">
        <v>30.110399999999998</v>
      </c>
      <c r="AH117" s="1">
        <v>35.292999999999999</v>
      </c>
      <c r="AI117" s="1">
        <v>31.552</v>
      </c>
      <c r="AJ117" s="1"/>
      <c r="AK117" s="1">
        <f t="shared" si="34"/>
        <v>0</v>
      </c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x14ac:dyDescent="0.25">
      <c r="A118" s="1" t="s">
        <v>164</v>
      </c>
      <c r="B118" s="1" t="s">
        <v>41</v>
      </c>
      <c r="C118" s="1">
        <v>1938.971</v>
      </c>
      <c r="D118" s="1">
        <v>1594.6110000000001</v>
      </c>
      <c r="E118" s="1">
        <v>1701.404</v>
      </c>
      <c r="F118" s="1">
        <v>1177.924</v>
      </c>
      <c r="G118" s="7">
        <v>1</v>
      </c>
      <c r="H118" s="1">
        <v>60</v>
      </c>
      <c r="I118" s="1" t="s">
        <v>42</v>
      </c>
      <c r="J118" s="1"/>
      <c r="K118" s="1">
        <v>1737.6</v>
      </c>
      <c r="L118" s="1">
        <f t="shared" si="27"/>
        <v>-36.195999999999913</v>
      </c>
      <c r="M118" s="1"/>
      <c r="N118" s="1"/>
      <c r="O118" s="1">
        <v>300</v>
      </c>
      <c r="P118" s="1">
        <v>222.74838562062399</v>
      </c>
      <c r="Q118" s="1">
        <v>334.1225784309359</v>
      </c>
      <c r="R118" s="1"/>
      <c r="S118" s="1"/>
      <c r="T118" s="1">
        <v>1300</v>
      </c>
      <c r="U118" s="1"/>
      <c r="V118" s="1">
        <f t="shared" si="28"/>
        <v>340.2808</v>
      </c>
      <c r="W118" s="5">
        <f t="shared" si="33"/>
        <v>408.29383594844012</v>
      </c>
      <c r="X118" s="1">
        <f t="shared" si="29"/>
        <v>11</v>
      </c>
      <c r="Y118" s="1">
        <f t="shared" si="30"/>
        <v>9.8001267307810487</v>
      </c>
      <c r="Z118" s="1">
        <v>387.70940000000002</v>
      </c>
      <c r="AA118" s="1">
        <v>346.7552</v>
      </c>
      <c r="AB118" s="1">
        <v>311.18439999999998</v>
      </c>
      <c r="AC118" s="1">
        <v>354.33460000000002</v>
      </c>
      <c r="AD118" s="1">
        <v>335.30160000000001</v>
      </c>
      <c r="AE118" s="1">
        <v>299.90980000000002</v>
      </c>
      <c r="AF118" s="1">
        <v>264.20240000000001</v>
      </c>
      <c r="AG118" s="1">
        <v>254.80359999999999</v>
      </c>
      <c r="AH118" s="1">
        <v>300.63580000000002</v>
      </c>
      <c r="AI118" s="1">
        <v>316.26139999999998</v>
      </c>
      <c r="AJ118" s="1"/>
      <c r="AK118" s="1">
        <f t="shared" si="34"/>
        <v>408.29383594844012</v>
      </c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x14ac:dyDescent="0.25">
      <c r="A119" s="1" t="s">
        <v>165</v>
      </c>
      <c r="B119" s="1" t="s">
        <v>46</v>
      </c>
      <c r="C119" s="1">
        <v>251</v>
      </c>
      <c r="D119" s="1">
        <v>5</v>
      </c>
      <c r="E119" s="1">
        <v>17</v>
      </c>
      <c r="F119" s="1">
        <v>234</v>
      </c>
      <c r="G119" s="7">
        <v>0.25</v>
      </c>
      <c r="H119" s="1">
        <v>1096</v>
      </c>
      <c r="I119" s="1" t="s">
        <v>42</v>
      </c>
      <c r="J119" s="1"/>
      <c r="K119" s="1">
        <v>17</v>
      </c>
      <c r="L119" s="1">
        <f t="shared" si="27"/>
        <v>0</v>
      </c>
      <c r="M119" s="1"/>
      <c r="N119" s="1"/>
      <c r="O119" s="1"/>
      <c r="P119" s="1">
        <v>0</v>
      </c>
      <c r="Q119" s="1"/>
      <c r="R119" s="1"/>
      <c r="S119" s="1"/>
      <c r="T119" s="1">
        <v>0</v>
      </c>
      <c r="U119" s="1"/>
      <c r="V119" s="1">
        <f t="shared" si="28"/>
        <v>3.4</v>
      </c>
      <c r="W119" s="5"/>
      <c r="X119" s="1">
        <f t="shared" si="29"/>
        <v>68.82352941176471</v>
      </c>
      <c r="Y119" s="1">
        <f t="shared" si="30"/>
        <v>68.82352941176471</v>
      </c>
      <c r="Z119" s="1">
        <v>7.4</v>
      </c>
      <c r="AA119" s="1">
        <v>11.8</v>
      </c>
      <c r="AB119" s="1">
        <v>14.8</v>
      </c>
      <c r="AC119" s="1">
        <v>15.2</v>
      </c>
      <c r="AD119" s="1">
        <v>11.8</v>
      </c>
      <c r="AE119" s="1">
        <v>7.4</v>
      </c>
      <c r="AF119" s="1">
        <v>3.2</v>
      </c>
      <c r="AG119" s="1">
        <v>4.2</v>
      </c>
      <c r="AH119" s="1">
        <v>5.8</v>
      </c>
      <c r="AI119" s="1">
        <v>8</v>
      </c>
      <c r="AJ119" s="16" t="s">
        <v>134</v>
      </c>
      <c r="AK119" s="1">
        <f t="shared" si="34"/>
        <v>0</v>
      </c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x14ac:dyDescent="0.25">
      <c r="A120" s="1" t="s">
        <v>166</v>
      </c>
      <c r="B120" s="1" t="s">
        <v>46</v>
      </c>
      <c r="C120" s="1">
        <v>345</v>
      </c>
      <c r="D120" s="1"/>
      <c r="E120" s="1">
        <v>16</v>
      </c>
      <c r="F120" s="1">
        <v>326</v>
      </c>
      <c r="G120" s="7">
        <v>0.32500000000000001</v>
      </c>
      <c r="H120" s="1">
        <v>1096</v>
      </c>
      <c r="I120" s="1" t="s">
        <v>42</v>
      </c>
      <c r="J120" s="1"/>
      <c r="K120" s="1">
        <v>16</v>
      </c>
      <c r="L120" s="1">
        <f t="shared" si="27"/>
        <v>0</v>
      </c>
      <c r="M120" s="1"/>
      <c r="N120" s="1"/>
      <c r="O120" s="1"/>
      <c r="P120" s="1">
        <v>0</v>
      </c>
      <c r="Q120" s="1"/>
      <c r="R120" s="1"/>
      <c r="S120" s="1"/>
      <c r="T120" s="1">
        <v>0</v>
      </c>
      <c r="U120" s="1"/>
      <c r="V120" s="1">
        <f t="shared" si="28"/>
        <v>3.2</v>
      </c>
      <c r="W120" s="5"/>
      <c r="X120" s="1">
        <f t="shared" si="29"/>
        <v>101.875</v>
      </c>
      <c r="Y120" s="1">
        <f t="shared" si="30"/>
        <v>101.875</v>
      </c>
      <c r="Z120" s="1">
        <v>3.4</v>
      </c>
      <c r="AA120" s="1">
        <v>5.6</v>
      </c>
      <c r="AB120" s="1">
        <v>9.4</v>
      </c>
      <c r="AC120" s="1">
        <v>8.1999999999999993</v>
      </c>
      <c r="AD120" s="1">
        <v>8.1999999999999993</v>
      </c>
      <c r="AE120" s="1">
        <v>6.8</v>
      </c>
      <c r="AF120" s="1">
        <v>4.4000000000000004</v>
      </c>
      <c r="AG120" s="1">
        <v>7</v>
      </c>
      <c r="AH120" s="1">
        <v>5.6</v>
      </c>
      <c r="AI120" s="1">
        <v>5.4</v>
      </c>
      <c r="AJ120" s="16" t="s">
        <v>134</v>
      </c>
      <c r="AK120" s="1">
        <f t="shared" si="34"/>
        <v>0</v>
      </c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x14ac:dyDescent="0.25">
      <c r="A121" s="1" t="s">
        <v>167</v>
      </c>
      <c r="B121" s="1" t="s">
        <v>46</v>
      </c>
      <c r="C121" s="1">
        <v>126</v>
      </c>
      <c r="D121" s="1">
        <v>2</v>
      </c>
      <c r="E121" s="1">
        <v>22</v>
      </c>
      <c r="F121" s="1">
        <v>104</v>
      </c>
      <c r="G121" s="7">
        <v>0.25</v>
      </c>
      <c r="H121" s="1">
        <v>1096</v>
      </c>
      <c r="I121" s="1" t="s">
        <v>42</v>
      </c>
      <c r="J121" s="1"/>
      <c r="K121" s="1">
        <v>22</v>
      </c>
      <c r="L121" s="1">
        <f t="shared" si="27"/>
        <v>0</v>
      </c>
      <c r="M121" s="1"/>
      <c r="N121" s="1"/>
      <c r="O121" s="1"/>
      <c r="P121" s="1">
        <v>35</v>
      </c>
      <c r="Q121" s="1"/>
      <c r="R121" s="1"/>
      <c r="S121" s="1"/>
      <c r="T121" s="1">
        <v>0</v>
      </c>
      <c r="U121" s="1"/>
      <c r="V121" s="1">
        <f t="shared" si="28"/>
        <v>4.4000000000000004</v>
      </c>
      <c r="W121" s="5"/>
      <c r="X121" s="1">
        <f t="shared" si="29"/>
        <v>31.59090909090909</v>
      </c>
      <c r="Y121" s="1">
        <f t="shared" si="30"/>
        <v>31.59090909090909</v>
      </c>
      <c r="Z121" s="1">
        <v>8.1999999999999993</v>
      </c>
      <c r="AA121" s="1">
        <v>14</v>
      </c>
      <c r="AB121" s="1">
        <v>11.4</v>
      </c>
      <c r="AC121" s="1">
        <v>11.2</v>
      </c>
      <c r="AD121" s="1">
        <v>12.4</v>
      </c>
      <c r="AE121" s="1">
        <v>6.6</v>
      </c>
      <c r="AF121" s="1">
        <v>3.6</v>
      </c>
      <c r="AG121" s="1">
        <v>3.2</v>
      </c>
      <c r="AH121" s="1">
        <v>5.2</v>
      </c>
      <c r="AI121" s="1">
        <v>7.8</v>
      </c>
      <c r="AJ121" s="17" t="s">
        <v>178</v>
      </c>
      <c r="AK121" s="1">
        <f t="shared" si="34"/>
        <v>0</v>
      </c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x14ac:dyDescent="0.25">
      <c r="A122" s="10" t="s">
        <v>168</v>
      </c>
      <c r="B122" s="10" t="s">
        <v>41</v>
      </c>
      <c r="C122" s="10">
        <v>94.091999999999999</v>
      </c>
      <c r="D122" s="10"/>
      <c r="E122" s="10">
        <v>1.3420000000000001</v>
      </c>
      <c r="F122" s="10">
        <v>92</v>
      </c>
      <c r="G122" s="11">
        <v>0</v>
      </c>
      <c r="H122" s="10"/>
      <c r="I122" s="10" t="s">
        <v>169</v>
      </c>
      <c r="J122" s="10"/>
      <c r="K122" s="10">
        <v>1.3</v>
      </c>
      <c r="L122" s="10">
        <f t="shared" si="27"/>
        <v>4.2000000000000037E-2</v>
      </c>
      <c r="M122" s="10"/>
      <c r="N122" s="10"/>
      <c r="O122" s="10"/>
      <c r="P122" s="10">
        <v>0</v>
      </c>
      <c r="Q122" s="10"/>
      <c r="R122" s="10"/>
      <c r="S122" s="10"/>
      <c r="T122" s="10">
        <v>0</v>
      </c>
      <c r="U122" s="10"/>
      <c r="V122" s="10">
        <f t="shared" si="28"/>
        <v>0.26840000000000003</v>
      </c>
      <c r="W122" s="12"/>
      <c r="X122" s="10">
        <f t="shared" si="29"/>
        <v>342.77198211624437</v>
      </c>
      <c r="Y122" s="10">
        <f t="shared" si="30"/>
        <v>342.77198211624437</v>
      </c>
      <c r="Z122" s="10">
        <v>0</v>
      </c>
      <c r="AA122" s="10">
        <v>0.26960000000000001</v>
      </c>
      <c r="AB122" s="10">
        <v>0.54359999999999997</v>
      </c>
      <c r="AC122" s="10">
        <v>0.27400000000000002</v>
      </c>
      <c r="AD122" s="10">
        <v>0</v>
      </c>
      <c r="AE122" s="10">
        <v>0</v>
      </c>
      <c r="AF122" s="10">
        <v>0</v>
      </c>
      <c r="AG122" s="10">
        <v>0</v>
      </c>
      <c r="AH122" s="10">
        <v>0</v>
      </c>
      <c r="AI122" s="10">
        <v>0</v>
      </c>
      <c r="AJ122" s="10" t="s">
        <v>170</v>
      </c>
      <c r="AK122" s="10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x14ac:dyDescent="0.25">
      <c r="A123" s="1" t="s">
        <v>171</v>
      </c>
      <c r="B123" s="1" t="s">
        <v>46</v>
      </c>
      <c r="C123" s="1">
        <v>1</v>
      </c>
      <c r="D123" s="1">
        <v>29</v>
      </c>
      <c r="E123" s="1">
        <v>-13</v>
      </c>
      <c r="F123" s="1"/>
      <c r="G123" s="7">
        <v>0.3</v>
      </c>
      <c r="H123" s="1">
        <v>40</v>
      </c>
      <c r="I123" s="9" t="s">
        <v>52</v>
      </c>
      <c r="J123" s="1"/>
      <c r="K123" s="1">
        <v>28</v>
      </c>
      <c r="L123" s="1">
        <f t="shared" si="27"/>
        <v>-41</v>
      </c>
      <c r="M123" s="1"/>
      <c r="N123" s="1"/>
      <c r="O123" s="1"/>
      <c r="P123" s="1">
        <v>100</v>
      </c>
      <c r="Q123" s="1"/>
      <c r="R123" s="1"/>
      <c r="S123" s="1"/>
      <c r="T123" s="1">
        <v>56</v>
      </c>
      <c r="U123" s="1"/>
      <c r="V123" s="1">
        <f t="shared" si="28"/>
        <v>-2.6</v>
      </c>
      <c r="W123" s="5"/>
      <c r="X123" s="1">
        <f t="shared" si="29"/>
        <v>-60</v>
      </c>
      <c r="Y123" s="1">
        <f t="shared" si="30"/>
        <v>-60</v>
      </c>
      <c r="Z123" s="1">
        <v>18</v>
      </c>
      <c r="AA123" s="1">
        <v>19</v>
      </c>
      <c r="AB123" s="1">
        <v>-2</v>
      </c>
      <c r="AC123" s="1">
        <v>6.2</v>
      </c>
      <c r="AD123" s="1">
        <v>26</v>
      </c>
      <c r="AE123" s="1">
        <v>17</v>
      </c>
      <c r="AF123" s="1">
        <v>-2.4</v>
      </c>
      <c r="AG123" s="1">
        <v>-1.4</v>
      </c>
      <c r="AH123" s="1">
        <v>-1.6</v>
      </c>
      <c r="AI123" s="1">
        <v>-1</v>
      </c>
      <c r="AJ123" s="1"/>
      <c r="AK123" s="1">
        <f>G123*W123</f>
        <v>0</v>
      </c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x14ac:dyDescent="0.25">
      <c r="A124" s="1" t="s">
        <v>172</v>
      </c>
      <c r="B124" s="1" t="s">
        <v>46</v>
      </c>
      <c r="C124" s="1"/>
      <c r="D124" s="1">
        <v>24</v>
      </c>
      <c r="E124" s="1">
        <v>6</v>
      </c>
      <c r="F124" s="1">
        <v>2</v>
      </c>
      <c r="G124" s="7">
        <v>0.3</v>
      </c>
      <c r="H124" s="1">
        <v>40</v>
      </c>
      <c r="I124" s="9" t="s">
        <v>52</v>
      </c>
      <c r="J124" s="1"/>
      <c r="K124" s="1">
        <v>19</v>
      </c>
      <c r="L124" s="1">
        <f t="shared" si="27"/>
        <v>-13</v>
      </c>
      <c r="M124" s="1"/>
      <c r="N124" s="1"/>
      <c r="O124" s="1"/>
      <c r="P124" s="1">
        <v>10</v>
      </c>
      <c r="Q124" s="1"/>
      <c r="R124" s="1"/>
      <c r="S124" s="1"/>
      <c r="T124" s="1">
        <v>0</v>
      </c>
      <c r="U124" s="1"/>
      <c r="V124" s="1">
        <f t="shared" si="28"/>
        <v>1.2</v>
      </c>
      <c r="W124" s="5">
        <v>10</v>
      </c>
      <c r="X124" s="1">
        <f t="shared" si="29"/>
        <v>18.333333333333336</v>
      </c>
      <c r="Y124" s="1">
        <f t="shared" si="30"/>
        <v>10</v>
      </c>
      <c r="Z124" s="1">
        <v>-1.8</v>
      </c>
      <c r="AA124" s="1">
        <v>-0.6</v>
      </c>
      <c r="AB124" s="1">
        <v>-1.4</v>
      </c>
      <c r="AC124" s="1">
        <v>-2.8</v>
      </c>
      <c r="AD124" s="1">
        <v>-3.4</v>
      </c>
      <c r="AE124" s="1">
        <v>-4.2</v>
      </c>
      <c r="AF124" s="1">
        <v>-3.2</v>
      </c>
      <c r="AG124" s="1">
        <v>-1.8</v>
      </c>
      <c r="AH124" s="1">
        <v>-2.8</v>
      </c>
      <c r="AI124" s="1">
        <v>-3</v>
      </c>
      <c r="AJ124" s="1"/>
      <c r="AK124" s="1">
        <f>G124*W124</f>
        <v>3</v>
      </c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x14ac:dyDescent="0.25">
      <c r="A125" s="1" t="s">
        <v>173</v>
      </c>
      <c r="B125" s="1" t="s">
        <v>41</v>
      </c>
      <c r="C125" s="1">
        <v>223.17500000000001</v>
      </c>
      <c r="D125" s="1">
        <v>421.733</v>
      </c>
      <c r="E125" s="1">
        <v>368.06099999999998</v>
      </c>
      <c r="F125" s="1">
        <v>209.21299999999999</v>
      </c>
      <c r="G125" s="7">
        <v>1</v>
      </c>
      <c r="H125" s="1">
        <v>50</v>
      </c>
      <c r="I125" s="1" t="s">
        <v>42</v>
      </c>
      <c r="J125" s="1"/>
      <c r="K125" s="1">
        <v>354.5</v>
      </c>
      <c r="L125" s="1">
        <f t="shared" si="27"/>
        <v>13.560999999999979</v>
      </c>
      <c r="M125" s="1"/>
      <c r="N125" s="1"/>
      <c r="O125" s="1"/>
      <c r="P125" s="1">
        <v>73.538561999999985</v>
      </c>
      <c r="Q125" s="1">
        <v>110.30784300000001</v>
      </c>
      <c r="R125" s="1"/>
      <c r="S125" s="1"/>
      <c r="T125" s="1">
        <v>345.23880000000003</v>
      </c>
      <c r="U125" s="1"/>
      <c r="V125" s="1">
        <f t="shared" si="28"/>
        <v>73.612200000000001</v>
      </c>
      <c r="W125" s="5">
        <f t="shared" ref="W123:W127" si="35">11*V125-U125-T125-S125-R125-Q125-P125-O125-F125</f>
        <v>71.43599500000002</v>
      </c>
      <c r="X125" s="1">
        <f t="shared" si="29"/>
        <v>11.000000000000002</v>
      </c>
      <c r="Y125" s="1">
        <f t="shared" si="30"/>
        <v>10.029563102311846</v>
      </c>
      <c r="Z125" s="1">
        <v>75.552800000000005</v>
      </c>
      <c r="AA125" s="1">
        <v>57.231399999999987</v>
      </c>
      <c r="AB125" s="1">
        <v>55.252400000000002</v>
      </c>
      <c r="AC125" s="1">
        <v>52.905799999999999</v>
      </c>
      <c r="AD125" s="1">
        <v>54.902999999999999</v>
      </c>
      <c r="AE125" s="1">
        <v>50.931199999999997</v>
      </c>
      <c r="AF125" s="1">
        <v>40.594000000000001</v>
      </c>
      <c r="AG125" s="1">
        <v>43.313800000000001</v>
      </c>
      <c r="AH125" s="1">
        <v>51.1004</v>
      </c>
      <c r="AI125" s="1">
        <v>57.784999999999997</v>
      </c>
      <c r="AJ125" s="1"/>
      <c r="AK125" s="1">
        <f>G125*W125</f>
        <v>71.43599500000002</v>
      </c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x14ac:dyDescent="0.25">
      <c r="A126" s="1" t="s">
        <v>174</v>
      </c>
      <c r="B126" s="1" t="s">
        <v>46</v>
      </c>
      <c r="C126" s="1"/>
      <c r="D126" s="1">
        <v>6</v>
      </c>
      <c r="E126" s="1">
        <v>5</v>
      </c>
      <c r="F126" s="1"/>
      <c r="G126" s="7">
        <v>0.3</v>
      </c>
      <c r="H126" s="1">
        <v>40</v>
      </c>
      <c r="I126" s="9" t="s">
        <v>52</v>
      </c>
      <c r="J126" s="1"/>
      <c r="K126" s="1">
        <v>11</v>
      </c>
      <c r="L126" s="1">
        <f t="shared" si="27"/>
        <v>-6</v>
      </c>
      <c r="M126" s="1"/>
      <c r="N126" s="1"/>
      <c r="O126" s="1"/>
      <c r="P126" s="1">
        <v>50</v>
      </c>
      <c r="Q126" s="1"/>
      <c r="R126" s="1"/>
      <c r="S126" s="1"/>
      <c r="T126" s="1">
        <v>30</v>
      </c>
      <c r="U126" s="1"/>
      <c r="V126" s="1">
        <f t="shared" si="28"/>
        <v>1</v>
      </c>
      <c r="W126" s="5"/>
      <c r="X126" s="1">
        <f t="shared" si="29"/>
        <v>80</v>
      </c>
      <c r="Y126" s="1">
        <f t="shared" si="30"/>
        <v>80</v>
      </c>
      <c r="Z126" s="1">
        <v>1</v>
      </c>
      <c r="AA126" s="1">
        <v>-0.2</v>
      </c>
      <c r="AB126" s="1">
        <v>-0.2</v>
      </c>
      <c r="AC126" s="1">
        <v>-1</v>
      </c>
      <c r="AD126" s="1">
        <v>-0.6</v>
      </c>
      <c r="AE126" s="1">
        <v>1.6</v>
      </c>
      <c r="AF126" s="1">
        <v>17.2</v>
      </c>
      <c r="AG126" s="1">
        <v>42.4</v>
      </c>
      <c r="AH126" s="1">
        <v>33.799999999999997</v>
      </c>
      <c r="AI126" s="1">
        <v>44.6</v>
      </c>
      <c r="AJ126" s="1"/>
      <c r="AK126" s="1">
        <f>G126*W126</f>
        <v>0</v>
      </c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x14ac:dyDescent="0.25">
      <c r="A127" s="1" t="s">
        <v>175</v>
      </c>
      <c r="B127" s="1" t="s">
        <v>46</v>
      </c>
      <c r="C127" s="1">
        <v>73</v>
      </c>
      <c r="D127" s="1">
        <v>55</v>
      </c>
      <c r="E127" s="1">
        <v>81</v>
      </c>
      <c r="F127" s="1">
        <v>16</v>
      </c>
      <c r="G127" s="7">
        <v>0.12</v>
      </c>
      <c r="H127" s="1">
        <v>45</v>
      </c>
      <c r="I127" s="9" t="s">
        <v>52</v>
      </c>
      <c r="J127" s="1"/>
      <c r="K127" s="1">
        <v>85</v>
      </c>
      <c r="L127" s="1">
        <f t="shared" si="27"/>
        <v>-4</v>
      </c>
      <c r="M127" s="1"/>
      <c r="N127" s="1"/>
      <c r="O127" s="1"/>
      <c r="P127" s="1">
        <v>46.800000000000011</v>
      </c>
      <c r="Q127" s="1"/>
      <c r="R127" s="1"/>
      <c r="S127" s="1"/>
      <c r="T127" s="1">
        <v>47.499999999999972</v>
      </c>
      <c r="U127" s="1"/>
      <c r="V127" s="1">
        <f t="shared" si="28"/>
        <v>16.2</v>
      </c>
      <c r="W127" s="5">
        <f t="shared" si="35"/>
        <v>67.900000000000006</v>
      </c>
      <c r="X127" s="1">
        <f t="shared" si="29"/>
        <v>11</v>
      </c>
      <c r="Y127" s="1">
        <f t="shared" si="30"/>
        <v>6.8086419753086416</v>
      </c>
      <c r="Z127" s="1">
        <v>14.2</v>
      </c>
      <c r="AA127" s="1">
        <v>13.8</v>
      </c>
      <c r="AB127" s="1">
        <v>10</v>
      </c>
      <c r="AC127" s="1">
        <v>9.6</v>
      </c>
      <c r="AD127" s="1">
        <v>11.6</v>
      </c>
      <c r="AE127" s="1">
        <v>10.4</v>
      </c>
      <c r="AF127" s="1">
        <v>9.1999999999999993</v>
      </c>
      <c r="AG127" s="1">
        <v>12.4</v>
      </c>
      <c r="AH127" s="1">
        <v>20.6</v>
      </c>
      <c r="AI127" s="1">
        <v>19.8</v>
      </c>
      <c r="AJ127" s="1"/>
      <c r="AK127" s="1">
        <f>G127*W127</f>
        <v>8.1479999999999997</v>
      </c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x14ac:dyDescent="0.25">
      <c r="A128" s="10" t="s">
        <v>176</v>
      </c>
      <c r="B128" s="10" t="s">
        <v>46</v>
      </c>
      <c r="C128" s="10">
        <v>-20</v>
      </c>
      <c r="D128" s="10">
        <v>201</v>
      </c>
      <c r="E128" s="13">
        <v>96</v>
      </c>
      <c r="F128" s="13">
        <v>64</v>
      </c>
      <c r="G128" s="11">
        <v>0</v>
      </c>
      <c r="H128" s="10"/>
      <c r="I128" s="10" t="s">
        <v>177</v>
      </c>
      <c r="J128" s="10" t="s">
        <v>96</v>
      </c>
      <c r="K128" s="10">
        <v>96</v>
      </c>
      <c r="L128" s="10">
        <f t="shared" si="27"/>
        <v>0</v>
      </c>
      <c r="M128" s="10"/>
      <c r="N128" s="10"/>
      <c r="O128" s="10"/>
      <c r="P128" s="10">
        <v>0</v>
      </c>
      <c r="Q128" s="10"/>
      <c r="R128" s="10"/>
      <c r="S128" s="10"/>
      <c r="T128" s="10">
        <v>0</v>
      </c>
      <c r="U128" s="10"/>
      <c r="V128" s="10">
        <f t="shared" si="28"/>
        <v>19.2</v>
      </c>
      <c r="W128" s="12"/>
      <c r="X128" s="10">
        <f t="shared" si="29"/>
        <v>3.3333333333333335</v>
      </c>
      <c r="Y128" s="10">
        <f t="shared" si="30"/>
        <v>3.3333333333333335</v>
      </c>
      <c r="Z128" s="10">
        <v>21.6</v>
      </c>
      <c r="AA128" s="10">
        <v>26</v>
      </c>
      <c r="AB128" s="10">
        <v>31</v>
      </c>
      <c r="AC128" s="10">
        <v>28.6</v>
      </c>
      <c r="AD128" s="10">
        <v>14.4</v>
      </c>
      <c r="AE128" s="10">
        <v>9.4</v>
      </c>
      <c r="AF128" s="10">
        <v>0.8</v>
      </c>
      <c r="AG128" s="10">
        <v>0</v>
      </c>
      <c r="AH128" s="10">
        <v>0</v>
      </c>
      <c r="AI128" s="10">
        <v>0</v>
      </c>
      <c r="AJ128" s="10"/>
      <c r="AK128" s="10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 spans="1:46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 spans="1:46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 spans="1:46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 spans="1:46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 spans="1:46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 spans="1:46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 spans="1:46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 spans="1:46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 spans="1:46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 spans="1:46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 spans="1:46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 spans="1:46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 spans="1:46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 spans="1:46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 spans="1:46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 spans="1:46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 spans="1:46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 spans="1:46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 spans="1:46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 spans="1:46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 spans="1:46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 spans="1:46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 spans="1:46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 spans="1:46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 spans="1:46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 spans="1:46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 spans="1:46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 spans="1:46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 spans="1:46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 spans="1:46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 spans="1:46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 spans="1:46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 spans="1:46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 spans="1:46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 spans="1:46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 spans="1:46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 spans="1:46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 spans="1:46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 spans="1:46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 spans="1:46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 spans="1:46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 spans="1:46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 spans="1:46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 spans="1:46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 spans="1:46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 spans="1:46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 spans="1:46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 spans="1:46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 spans="1:46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 spans="1:46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 spans="1:46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 spans="1:46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 spans="1:46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 spans="1:46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 spans="1:46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 spans="1:46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 spans="1:46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 spans="1:46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 spans="1:46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 spans="1:46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 spans="1:46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 spans="1:46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 spans="1:46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 spans="1:46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 spans="1:46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 spans="1:46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 spans="1:46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 spans="1:46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 spans="1:46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 spans="1:46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 spans="1:46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 spans="1:46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 spans="1:46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 spans="1:46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 spans="1:46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 spans="1:46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 spans="1:46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 spans="1:46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 spans="1:46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 spans="1:46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 spans="1:46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 spans="1:46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 spans="1:46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 spans="1:46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 spans="1:46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 spans="1:46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 spans="1:46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 spans="1:46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 spans="1:46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 spans="1:46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 spans="1:46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 spans="1:46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 spans="1:46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 spans="1:46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 spans="1:46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 spans="1:46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 spans="1:46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 spans="1:46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 spans="1:46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 spans="1:46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 spans="1:46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 spans="1:46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 spans="1:46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 spans="1:46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 spans="1:46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 spans="1:46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 spans="1:46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 spans="1:46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 spans="1:46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 spans="1:46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 spans="1:46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 spans="1:46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 spans="1:46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 spans="1:46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 spans="1:46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 spans="1:46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 spans="1:46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 spans="1:46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 spans="1:46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 spans="1:46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 spans="1:46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 spans="1:46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 spans="1:46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 spans="1:46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 spans="1:46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 spans="1:46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 spans="1:46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 spans="1:46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 spans="1:46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 spans="1:46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 spans="1:46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 spans="1:46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 spans="1:46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 spans="1:46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 spans="1:46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 spans="1:46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 spans="1:46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 spans="1:46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 spans="1:46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 spans="1:46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 spans="1:46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 spans="1:46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 spans="1:46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 spans="1:46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 spans="1:46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 spans="1:46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 spans="1:46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 spans="1:46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 spans="1:46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 spans="1:46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 spans="1:46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 spans="1:46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 spans="1:46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 spans="1:46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 spans="1:46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 spans="1:46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 spans="1:46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 spans="1:46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 spans="1:46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 spans="1:46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 spans="1:46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 spans="1:46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 spans="1:46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 spans="1:46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 spans="1:46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 spans="1:46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 spans="1:46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 spans="1:46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 spans="1:46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 spans="1:46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 spans="1:46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 spans="1:46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 spans="1:46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 spans="1:46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 spans="1:46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 spans="1:46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 spans="1:46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 spans="1:46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 spans="1:46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 spans="1:46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 spans="1:46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 spans="1:46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 spans="1:46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 spans="1:46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 spans="1:46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 spans="1:46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 spans="1:46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 spans="1:46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 spans="1:46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 spans="1:46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 spans="1:46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 spans="1:46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 spans="1:46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  <row r="494" spans="1:46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</row>
    <row r="495" spans="1:46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</row>
    <row r="496" spans="1:46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</row>
    <row r="497" spans="1:46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</row>
    <row r="498" spans="1:46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</row>
    <row r="499" spans="1:46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</row>
  </sheetData>
  <autoFilter ref="A3:AK128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2026-09-29T13:46:10Z</dcterms:created>
  <dcterms:modified xsi:type="dcterms:W3CDTF">2026-09-29T15:22:46Z</dcterms:modified>
</cp:coreProperties>
</file>