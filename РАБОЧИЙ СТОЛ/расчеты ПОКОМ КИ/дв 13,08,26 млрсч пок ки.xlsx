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2FE5FBA-B974-4EDE-AC18-A81BBFB851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33" i="1" l="1"/>
  <c r="W133" i="1" s="1"/>
  <c r="L133" i="1"/>
  <c r="T132" i="1"/>
  <c r="L132" i="1"/>
  <c r="T131" i="1"/>
  <c r="L131" i="1"/>
  <c r="T130" i="1"/>
  <c r="L130" i="1"/>
  <c r="T129" i="1"/>
  <c r="L129" i="1"/>
  <c r="T128" i="1"/>
  <c r="L128" i="1"/>
  <c r="T127" i="1"/>
  <c r="L127" i="1"/>
  <c r="F126" i="1"/>
  <c r="E126" i="1"/>
  <c r="L126" i="1" s="1"/>
  <c r="T125" i="1"/>
  <c r="L125" i="1"/>
  <c r="T124" i="1"/>
  <c r="L124" i="1"/>
  <c r="T123" i="1"/>
  <c r="L123" i="1"/>
  <c r="T122" i="1"/>
  <c r="L122" i="1"/>
  <c r="T121" i="1"/>
  <c r="L121" i="1"/>
  <c r="T120" i="1"/>
  <c r="W120" i="1" s="1"/>
  <c r="L120" i="1"/>
  <c r="T119" i="1"/>
  <c r="W119" i="1" s="1"/>
  <c r="L119" i="1"/>
  <c r="T118" i="1"/>
  <c r="L118" i="1"/>
  <c r="T117" i="1"/>
  <c r="L117" i="1"/>
  <c r="T116" i="1"/>
  <c r="W116" i="1" s="1"/>
  <c r="L116" i="1"/>
  <c r="T115" i="1"/>
  <c r="L115" i="1"/>
  <c r="T114" i="1"/>
  <c r="L114" i="1"/>
  <c r="T113" i="1"/>
  <c r="L113" i="1"/>
  <c r="T112" i="1"/>
  <c r="V112" i="1" s="1"/>
  <c r="L112" i="1"/>
  <c r="T111" i="1"/>
  <c r="V111" i="1" s="1"/>
  <c r="L111" i="1"/>
  <c r="T110" i="1"/>
  <c r="L110" i="1"/>
  <c r="T109" i="1"/>
  <c r="L109" i="1"/>
  <c r="T108" i="1"/>
  <c r="L108" i="1"/>
  <c r="T107" i="1"/>
  <c r="W107" i="1" s="1"/>
  <c r="L107" i="1"/>
  <c r="T106" i="1"/>
  <c r="L106" i="1"/>
  <c r="T105" i="1"/>
  <c r="L105" i="1"/>
  <c r="T104" i="1"/>
  <c r="W104" i="1" s="1"/>
  <c r="L104" i="1"/>
  <c r="T103" i="1"/>
  <c r="W103" i="1" s="1"/>
  <c r="L103" i="1"/>
  <c r="T102" i="1"/>
  <c r="W102" i="1" s="1"/>
  <c r="L102" i="1"/>
  <c r="T101" i="1"/>
  <c r="W101" i="1" s="1"/>
  <c r="L101" i="1"/>
  <c r="T100" i="1"/>
  <c r="W100" i="1" s="1"/>
  <c r="L100" i="1"/>
  <c r="T99" i="1"/>
  <c r="W99" i="1" s="1"/>
  <c r="L99" i="1"/>
  <c r="T98" i="1"/>
  <c r="L98" i="1"/>
  <c r="T97" i="1"/>
  <c r="L97" i="1"/>
  <c r="T96" i="1"/>
  <c r="L96" i="1"/>
  <c r="T95" i="1"/>
  <c r="V95" i="1" s="1"/>
  <c r="L95" i="1"/>
  <c r="T94" i="1"/>
  <c r="L94" i="1"/>
  <c r="T93" i="1"/>
  <c r="L93" i="1"/>
  <c r="T92" i="1"/>
  <c r="L92" i="1"/>
  <c r="T91" i="1"/>
  <c r="L91" i="1"/>
  <c r="T90" i="1"/>
  <c r="L90" i="1"/>
  <c r="T89" i="1"/>
  <c r="V89" i="1" s="1"/>
  <c r="L89" i="1"/>
  <c r="T88" i="1"/>
  <c r="L88" i="1"/>
  <c r="T87" i="1"/>
  <c r="L87" i="1"/>
  <c r="T86" i="1"/>
  <c r="V86" i="1" s="1"/>
  <c r="L86" i="1"/>
  <c r="T85" i="1"/>
  <c r="L85" i="1"/>
  <c r="T84" i="1"/>
  <c r="V84" i="1" s="1"/>
  <c r="L84" i="1"/>
  <c r="T83" i="1"/>
  <c r="L83" i="1"/>
  <c r="T82" i="1"/>
  <c r="L82" i="1"/>
  <c r="T81" i="1"/>
  <c r="L81" i="1"/>
  <c r="T80" i="1"/>
  <c r="L80" i="1"/>
  <c r="T79" i="1"/>
  <c r="V79" i="1" s="1"/>
  <c r="L79" i="1"/>
  <c r="T78" i="1"/>
  <c r="L78" i="1"/>
  <c r="T77" i="1"/>
  <c r="L77" i="1"/>
  <c r="T76" i="1"/>
  <c r="L76" i="1"/>
  <c r="T75" i="1"/>
  <c r="L75" i="1"/>
  <c r="T74" i="1"/>
  <c r="L74" i="1"/>
  <c r="T73" i="1"/>
  <c r="W73" i="1" s="1"/>
  <c r="L73" i="1"/>
  <c r="T72" i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T58" i="1"/>
  <c r="L58" i="1"/>
  <c r="T57" i="1"/>
  <c r="L57" i="1"/>
  <c r="T56" i="1"/>
  <c r="L56" i="1"/>
  <c r="T55" i="1"/>
  <c r="L55" i="1"/>
  <c r="T54" i="1"/>
  <c r="L54" i="1"/>
  <c r="T53" i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L36" i="1"/>
  <c r="T35" i="1"/>
  <c r="L35" i="1"/>
  <c r="T34" i="1"/>
  <c r="V34" i="1" s="1"/>
  <c r="L34" i="1"/>
  <c r="T33" i="1"/>
  <c r="L33" i="1"/>
  <c r="T32" i="1"/>
  <c r="L32" i="1"/>
  <c r="T31" i="1"/>
  <c r="L31" i="1"/>
  <c r="T30" i="1"/>
  <c r="L30" i="1"/>
  <c r="T29" i="1"/>
  <c r="L29" i="1"/>
  <c r="T28" i="1"/>
  <c r="AI28" i="1" s="1"/>
  <c r="L28" i="1"/>
  <c r="T27" i="1"/>
  <c r="L27" i="1"/>
  <c r="T26" i="1"/>
  <c r="W26" i="1" s="1"/>
  <c r="L26" i="1"/>
  <c r="T25" i="1"/>
  <c r="W25" i="1" s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L17" i="1"/>
  <c r="T16" i="1"/>
  <c r="L16" i="1"/>
  <c r="T15" i="1"/>
  <c r="L15" i="1"/>
  <c r="T14" i="1"/>
  <c r="L14" i="1"/>
  <c r="T13" i="1"/>
  <c r="L13" i="1"/>
  <c r="T12" i="1"/>
  <c r="W12" i="1" s="1"/>
  <c r="L12" i="1"/>
  <c r="T11" i="1"/>
  <c r="L11" i="1"/>
  <c r="T10" i="1"/>
  <c r="L10" i="1"/>
  <c r="T9" i="1"/>
  <c r="L9" i="1"/>
  <c r="T8" i="1"/>
  <c r="L8" i="1"/>
  <c r="T7" i="1"/>
  <c r="L7" i="1"/>
  <c r="T6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W8" i="1" l="1"/>
  <c r="U8" i="1"/>
  <c r="AI8" i="1" s="1"/>
  <c r="W13" i="1"/>
  <c r="U13" i="1"/>
  <c r="AI13" i="1" s="1"/>
  <c r="U16" i="1"/>
  <c r="AI16" i="1" s="1"/>
  <c r="U20" i="1"/>
  <c r="AI20" i="1" s="1"/>
  <c r="U24" i="1"/>
  <c r="AI24" i="1" s="1"/>
  <c r="W33" i="1"/>
  <c r="U33" i="1"/>
  <c r="AI33" i="1" s="1"/>
  <c r="W38" i="1"/>
  <c r="AI38" i="1"/>
  <c r="W42" i="1"/>
  <c r="AI42" i="1"/>
  <c r="W46" i="1"/>
  <c r="V46" i="1"/>
  <c r="AI50" i="1"/>
  <c r="AI54" i="1"/>
  <c r="AI58" i="1"/>
  <c r="W65" i="1"/>
  <c r="AI65" i="1"/>
  <c r="W69" i="1"/>
  <c r="U69" i="1"/>
  <c r="AI69" i="1" s="1"/>
  <c r="W74" i="1"/>
  <c r="AI74" i="1"/>
  <c r="W78" i="1"/>
  <c r="U78" i="1"/>
  <c r="AI78" i="1" s="1"/>
  <c r="W83" i="1"/>
  <c r="W88" i="1"/>
  <c r="AI88" i="1"/>
  <c r="W93" i="1"/>
  <c r="V93" i="1"/>
  <c r="AI98" i="1"/>
  <c r="W108" i="1"/>
  <c r="U108" i="1"/>
  <c r="AI108" i="1" s="1"/>
  <c r="W6" i="1"/>
  <c r="U6" i="1"/>
  <c r="W10" i="1"/>
  <c r="U10" i="1"/>
  <c r="AI10" i="1" s="1"/>
  <c r="W15" i="1"/>
  <c r="U15" i="1"/>
  <c r="U18" i="1"/>
  <c r="AI18" i="1" s="1"/>
  <c r="U22" i="1"/>
  <c r="AI22" i="1" s="1"/>
  <c r="W31" i="1"/>
  <c r="AI31" i="1"/>
  <c r="W36" i="1"/>
  <c r="AI36" i="1"/>
  <c r="W40" i="1"/>
  <c r="AI40" i="1"/>
  <c r="W44" i="1"/>
  <c r="AI44" i="1"/>
  <c r="U48" i="1"/>
  <c r="AI48" i="1" s="1"/>
  <c r="AI52" i="1"/>
  <c r="U56" i="1"/>
  <c r="AI56" i="1" s="1"/>
  <c r="U60" i="1"/>
  <c r="AI60" i="1" s="1"/>
  <c r="W63" i="1"/>
  <c r="U63" i="1"/>
  <c r="AI63" i="1" s="1"/>
  <c r="W67" i="1"/>
  <c r="AI67" i="1"/>
  <c r="W71" i="1"/>
  <c r="AI71" i="1"/>
  <c r="W76" i="1"/>
  <c r="U76" i="1"/>
  <c r="AI76" i="1" s="1"/>
  <c r="W81" i="1"/>
  <c r="AI81" i="1"/>
  <c r="V85" i="1"/>
  <c r="W85" i="1"/>
  <c r="W91" i="1"/>
  <c r="AI91" i="1"/>
  <c r="AI96" i="1"/>
  <c r="W110" i="1"/>
  <c r="AI110" i="1"/>
  <c r="W114" i="1"/>
  <c r="AI114" i="1"/>
  <c r="W117" i="1"/>
  <c r="AI117" i="1"/>
  <c r="W121" i="1"/>
  <c r="U121" i="1"/>
  <c r="AI121" i="1" s="1"/>
  <c r="W123" i="1"/>
  <c r="AI123" i="1"/>
  <c r="W125" i="1"/>
  <c r="AI125" i="1"/>
  <c r="W127" i="1"/>
  <c r="AI127" i="1"/>
  <c r="W129" i="1"/>
  <c r="AI129" i="1"/>
  <c r="W131" i="1"/>
  <c r="AI131" i="1"/>
  <c r="E5" i="1"/>
  <c r="W7" i="1"/>
  <c r="U7" i="1"/>
  <c r="AI7" i="1" s="1"/>
  <c r="AI9" i="1"/>
  <c r="U11" i="1"/>
  <c r="AI11" i="1" s="1"/>
  <c r="AI14" i="1"/>
  <c r="W17" i="1"/>
  <c r="AI17" i="1"/>
  <c r="W19" i="1"/>
  <c r="U19" i="1"/>
  <c r="AI19" i="1" s="1"/>
  <c r="W21" i="1"/>
  <c r="U21" i="1"/>
  <c r="AI21" i="1" s="1"/>
  <c r="W23" i="1"/>
  <c r="U23" i="1"/>
  <c r="AI23" i="1" s="1"/>
  <c r="W27" i="1"/>
  <c r="U27" i="1"/>
  <c r="AI27" i="1" s="1"/>
  <c r="W29" i="1"/>
  <c r="V30" i="1"/>
  <c r="AI30" i="1"/>
  <c r="V32" i="1"/>
  <c r="AI32" i="1"/>
  <c r="U35" i="1"/>
  <c r="AI35" i="1" s="1"/>
  <c r="U37" i="1"/>
  <c r="AI37" i="1" s="1"/>
  <c r="V39" i="1"/>
  <c r="AI39" i="1"/>
  <c r="V41" i="1"/>
  <c r="AI41" i="1"/>
  <c r="U43" i="1"/>
  <c r="AI43" i="1" s="1"/>
  <c r="U45" i="1"/>
  <c r="AI45" i="1" s="1"/>
  <c r="W47" i="1"/>
  <c r="U47" i="1"/>
  <c r="AI47" i="1" s="1"/>
  <c r="W49" i="1"/>
  <c r="AI49" i="1"/>
  <c r="W51" i="1"/>
  <c r="U51" i="1"/>
  <c r="AI51" i="1" s="1"/>
  <c r="W53" i="1"/>
  <c r="U53" i="1"/>
  <c r="AI53" i="1" s="1"/>
  <c r="W55" i="1"/>
  <c r="U55" i="1"/>
  <c r="AI55" i="1" s="1"/>
  <c r="W57" i="1"/>
  <c r="U57" i="1"/>
  <c r="AI57" i="1" s="1"/>
  <c r="W59" i="1"/>
  <c r="U59" i="1"/>
  <c r="AI59" i="1" s="1"/>
  <c r="W61" i="1"/>
  <c r="V62" i="1"/>
  <c r="AI62" i="1"/>
  <c r="U64" i="1"/>
  <c r="AI64" i="1" s="1"/>
  <c r="V66" i="1"/>
  <c r="AI66" i="1"/>
  <c r="V68" i="1"/>
  <c r="AI68" i="1"/>
  <c r="V70" i="1"/>
  <c r="AI70" i="1"/>
  <c r="V72" i="1"/>
  <c r="AI72" i="1"/>
  <c r="U75" i="1"/>
  <c r="AI75" i="1" s="1"/>
  <c r="U77" i="1"/>
  <c r="AI77" i="1" s="1"/>
  <c r="U80" i="1"/>
  <c r="AI80" i="1" s="1"/>
  <c r="V82" i="1"/>
  <c r="AI82" i="1"/>
  <c r="V87" i="1"/>
  <c r="AI87" i="1"/>
  <c r="U90" i="1"/>
  <c r="AI90" i="1" s="1"/>
  <c r="V92" i="1"/>
  <c r="AI92" i="1"/>
  <c r="W94" i="1"/>
  <c r="U94" i="1"/>
  <c r="AI94" i="1" s="1"/>
  <c r="W97" i="1"/>
  <c r="AI97" i="1"/>
  <c r="W105" i="1"/>
  <c r="V106" i="1"/>
  <c r="AI106" i="1"/>
  <c r="V109" i="1"/>
  <c r="U109" i="1"/>
  <c r="AI109" i="1" s="1"/>
  <c r="V113" i="1"/>
  <c r="AI113" i="1"/>
  <c r="V115" i="1"/>
  <c r="U115" i="1"/>
  <c r="AI115" i="1" s="1"/>
  <c r="V118" i="1"/>
  <c r="AI118" i="1"/>
  <c r="V122" i="1"/>
  <c r="U122" i="1"/>
  <c r="AI122" i="1" s="1"/>
  <c r="V124" i="1"/>
  <c r="U124" i="1"/>
  <c r="AI124" i="1" s="1"/>
  <c r="V128" i="1"/>
  <c r="AI128" i="1"/>
  <c r="V130" i="1"/>
  <c r="AI130" i="1"/>
  <c r="V132" i="1"/>
  <c r="AI132" i="1"/>
  <c r="V23" i="1"/>
  <c r="V101" i="1"/>
  <c r="V120" i="1"/>
  <c r="L5" i="1"/>
  <c r="W9" i="1"/>
  <c r="W11" i="1"/>
  <c r="V12" i="1"/>
  <c r="V26" i="1"/>
  <c r="V49" i="1"/>
  <c r="V73" i="1"/>
  <c r="V99" i="1"/>
  <c r="V103" i="1"/>
  <c r="W109" i="1"/>
  <c r="W111" i="1"/>
  <c r="V25" i="1"/>
  <c r="V40" i="1"/>
  <c r="V59" i="1"/>
  <c r="V71" i="1"/>
  <c r="W75" i="1"/>
  <c r="W77" i="1"/>
  <c r="W79" i="1"/>
  <c r="W87" i="1"/>
  <c r="W89" i="1"/>
  <c r="W95" i="1"/>
  <c r="V97" i="1"/>
  <c r="V100" i="1"/>
  <c r="V102" i="1"/>
  <c r="V104" i="1"/>
  <c r="V107" i="1"/>
  <c r="W113" i="1"/>
  <c r="W115" i="1"/>
  <c r="V116" i="1"/>
  <c r="V119" i="1"/>
  <c r="T126" i="1"/>
  <c r="W128" i="1"/>
  <c r="W130" i="1"/>
  <c r="W132" i="1"/>
  <c r="V133" i="1"/>
  <c r="V28" i="1"/>
  <c r="W28" i="1"/>
  <c r="V7" i="1"/>
  <c r="T5" i="1"/>
  <c r="W14" i="1"/>
  <c r="W16" i="1"/>
  <c r="W18" i="1"/>
  <c r="W20" i="1"/>
  <c r="W22" i="1"/>
  <c r="W24" i="1"/>
  <c r="W30" i="1"/>
  <c r="W32" i="1"/>
  <c r="W34" i="1"/>
  <c r="W35" i="1"/>
  <c r="W37" i="1"/>
  <c r="W39" i="1"/>
  <c r="W41" i="1"/>
  <c r="W43" i="1"/>
  <c r="W45" i="1"/>
  <c r="W48" i="1"/>
  <c r="F5" i="1"/>
  <c r="W50" i="1"/>
  <c r="W52" i="1"/>
  <c r="W54" i="1"/>
  <c r="W56" i="1"/>
  <c r="W58" i="1"/>
  <c r="W60" i="1"/>
  <c r="W62" i="1"/>
  <c r="W64" i="1"/>
  <c r="W66" i="1"/>
  <c r="W68" i="1"/>
  <c r="W70" i="1"/>
  <c r="W72" i="1"/>
  <c r="W80" i="1"/>
  <c r="W82" i="1"/>
  <c r="W84" i="1"/>
  <c r="W86" i="1"/>
  <c r="W90" i="1"/>
  <c r="W92" i="1"/>
  <c r="W96" i="1"/>
  <c r="W98" i="1"/>
  <c r="W106" i="1"/>
  <c r="W112" i="1"/>
  <c r="W118" i="1"/>
  <c r="W122" i="1"/>
  <c r="W124" i="1"/>
  <c r="V51" i="1" l="1"/>
  <c r="V10" i="1"/>
  <c r="V55" i="1"/>
  <c r="V47" i="1"/>
  <c r="V57" i="1"/>
  <c r="V53" i="1"/>
  <c r="V45" i="1"/>
  <c r="V43" i="1"/>
  <c r="V37" i="1"/>
  <c r="V35" i="1"/>
  <c r="V94" i="1"/>
  <c r="V90" i="1"/>
  <c r="V80" i="1"/>
  <c r="V77" i="1"/>
  <c r="V75" i="1"/>
  <c r="V64" i="1"/>
  <c r="V27" i="1"/>
  <c r="V21" i="1"/>
  <c r="V63" i="1"/>
  <c r="V31" i="1"/>
  <c r="V17" i="1"/>
  <c r="V42" i="1"/>
  <c r="V19" i="1"/>
  <c r="V14" i="1"/>
  <c r="V11" i="1"/>
  <c r="V9" i="1"/>
  <c r="V121" i="1"/>
  <c r="V114" i="1"/>
  <c r="V123" i="1"/>
  <c r="V8" i="1"/>
  <c r="AI126" i="1"/>
  <c r="V15" i="1"/>
  <c r="AI15" i="1"/>
  <c r="AI6" i="1"/>
  <c r="U5" i="1"/>
  <c r="V83" i="1"/>
  <c r="AI83" i="1"/>
  <c r="V131" i="1"/>
  <c r="V129" i="1"/>
  <c r="V127" i="1"/>
  <c r="V125" i="1"/>
  <c r="V91" i="1"/>
  <c r="V88" i="1"/>
  <c r="V81" i="1"/>
  <c r="V78" i="1"/>
  <c r="V76" i="1"/>
  <c r="V74" i="1"/>
  <c r="V67" i="1"/>
  <c r="V44" i="1"/>
  <c r="V36" i="1"/>
  <c r="V13" i="1"/>
  <c r="V117" i="1"/>
  <c r="V110" i="1"/>
  <c r="V108" i="1"/>
  <c r="V65" i="1"/>
  <c r="V33" i="1"/>
  <c r="V6" i="1"/>
  <c r="V69" i="1"/>
  <c r="V38" i="1"/>
  <c r="AI105" i="1"/>
  <c r="V105" i="1"/>
  <c r="AI61" i="1"/>
  <c r="V61" i="1"/>
  <c r="AI29" i="1"/>
  <c r="V29" i="1"/>
  <c r="V96" i="1"/>
  <c r="V60" i="1"/>
  <c r="V56" i="1"/>
  <c r="V52" i="1"/>
  <c r="V48" i="1"/>
  <c r="V22" i="1"/>
  <c r="V18" i="1"/>
  <c r="V98" i="1"/>
  <c r="V58" i="1"/>
  <c r="V54" i="1"/>
  <c r="V50" i="1"/>
  <c r="V24" i="1"/>
  <c r="V20" i="1"/>
  <c r="V16" i="1"/>
  <c r="W126" i="1"/>
  <c r="AI5" i="1" l="1"/>
  <c r="V126" i="1"/>
</calcChain>
</file>

<file path=xl/sharedStrings.xml><?xml version="1.0" encoding="utf-8"?>
<sst xmlns="http://schemas.openxmlformats.org/spreadsheetml/2006/main" count="477" uniqueCount="179">
  <si>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</si>
  <si>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</si>
  <si>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</si>
  <si>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</si>
  <si>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</si>
  <si>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</si>
  <si>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</si>
  <si>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</si>
  <si>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</si>
  <si>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</si>
  <si>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</si>
  <si>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</si>
  <si>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</si>
  <si>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</si>
  <si>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</si>
  <si>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</si>
  <si>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</si>
  <si>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</si>
  <si>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</si>
  <si>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</si>
  <si>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</si>
  <si>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</si>
  <si>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</si>
  <si>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</si>
  <si>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</si>
  <si>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</si>
  <si>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15,08,</t>
  </si>
  <si>
    <t>13,08,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</si>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</sst>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710937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4.28515625" customWidth="1"/>
    <col min="35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22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19817.816999999999</v>
      </c>
      <c r="F5" s="4">
        <f>SUM(F6:F499)</f>
        <v>23803.909999999996</v>
      </c>
      <c r="G5" s="7"/>
      <c r="H5" s="1"/>
      <c r="I5" s="1"/>
      <c r="J5" s="1"/>
      <c r="K5" s="4">
        <f t="shared" ref="K5:U5" si="0">SUM(K6:K499)</f>
        <v>21821.593999999997</v>
      </c>
      <c r="L5" s="4">
        <f t="shared" si="0"/>
        <v>-2003.7769999999996</v>
      </c>
      <c r="M5" s="4">
        <f t="shared" si="0"/>
        <v>0</v>
      </c>
      <c r="N5" s="4">
        <f t="shared" si="0"/>
        <v>0</v>
      </c>
      <c r="O5" s="4">
        <f t="shared" si="0"/>
        <v>14382.242349999999</v>
      </c>
      <c r="P5" s="4">
        <f t="shared" si="0"/>
        <v>-2303.09</v>
      </c>
      <c r="Q5" s="4">
        <f t="shared" si="0"/>
        <v>480</v>
      </c>
      <c r="R5" s="4">
        <f t="shared" si="0"/>
        <v>1300</v>
      </c>
      <c r="S5" s="4">
        <f t="shared" si="0"/>
        <v>5149.2497800000001</v>
      </c>
      <c r="T5" s="4">
        <f t="shared" si="0"/>
        <v>3963.5633999999986</v>
      </c>
      <c r="U5" s="4">
        <f t="shared" si="0"/>
        <v>11472.023923999999</v>
      </c>
      <c r="V5" s="1"/>
      <c r="W5" s="1"/>
      <c r="X5" s="4">
        <f t="shared" ref="X5:AG5" si="1">SUM(X6:X499)</f>
        <v>3762.9608000000012</v>
      </c>
      <c r="Y5" s="4">
        <f t="shared" si="1"/>
        <v>3888.003999999999</v>
      </c>
      <c r="Z5" s="4">
        <f t="shared" si="1"/>
        <v>4297.2658000000001</v>
      </c>
      <c r="AA5" s="4">
        <f t="shared" si="1"/>
        <v>4684.4022000000004</v>
      </c>
      <c r="AB5" s="4">
        <f t="shared" si="1"/>
        <v>4934.9677999999976</v>
      </c>
      <c r="AC5" s="4">
        <f t="shared" si="1"/>
        <v>5484.3842000000004</v>
      </c>
      <c r="AD5" s="4">
        <f t="shared" si="1"/>
        <v>5313.1188000000011</v>
      </c>
      <c r="AE5" s="4">
        <f t="shared" si="1"/>
        <v>4949.6584000000003</v>
      </c>
      <c r="AF5" s="4">
        <f t="shared" si="1"/>
        <v>5681.5398000000005</v>
      </c>
      <c r="AG5" s="4">
        <f t="shared" si="1"/>
        <v>4551.4276000000009</v>
      </c>
      <c r="AH5" s="1"/>
      <c r="AI5" s="4">
        <f>SUM(AI6:AI499)</f>
        <v>9364.6881240000002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290.851</v>
      </c>
      <c r="D6" s="1">
        <v>229.69</v>
      </c>
      <c r="E6" s="1">
        <v>219.35900000000001</v>
      </c>
      <c r="F6" s="1">
        <v>250.74100000000001</v>
      </c>
      <c r="G6" s="7">
        <v>1</v>
      </c>
      <c r="H6" s="1">
        <v>50</v>
      </c>
      <c r="I6" s="1" t="s">
        <v>39</v>
      </c>
      <c r="J6" s="1"/>
      <c r="K6" s="1">
        <v>193.7</v>
      </c>
      <c r="L6" s="1">
        <f t="shared" ref="L6:L37" si="2">E6-K6</f>
        <v>25.65900000000002</v>
      </c>
      <c r="M6" s="1"/>
      <c r="N6" s="1"/>
      <c r="O6" s="1">
        <v>6.3860000000000232</v>
      </c>
      <c r="P6" s="1">
        <v>0</v>
      </c>
      <c r="Q6" s="1"/>
      <c r="R6" s="1"/>
      <c r="S6" s="1">
        <v>75.607799999999997</v>
      </c>
      <c r="T6" s="1">
        <f t="shared" ref="T6:T37" si="3">E6/5</f>
        <v>43.8718</v>
      </c>
      <c r="U6" s="5">
        <f>12*T6-S6-R6-Q6-P6-O6-F6</f>
        <v>193.72679999999994</v>
      </c>
      <c r="V6" s="1">
        <f t="shared" ref="V6:V37" si="4">(F6+O6+P6+Q6+R6+S6+U6)/T6</f>
        <v>12</v>
      </c>
      <c r="W6" s="1">
        <f t="shared" ref="W6:W37" si="5">(F6+O6+P6+Q6+R6+S6)/T6</f>
        <v>7.5842522987431567</v>
      </c>
      <c r="X6" s="1">
        <v>37.962800000000001</v>
      </c>
      <c r="Y6" s="1">
        <v>34.125799999999998</v>
      </c>
      <c r="Z6" s="1">
        <v>48.797400000000003</v>
      </c>
      <c r="AA6" s="1">
        <v>48.463799999999999</v>
      </c>
      <c r="AB6" s="1">
        <v>38.078200000000002</v>
      </c>
      <c r="AC6" s="1">
        <v>53.040599999999998</v>
      </c>
      <c r="AD6" s="1">
        <v>62.256600000000013</v>
      </c>
      <c r="AE6" s="1">
        <v>66.852599999999995</v>
      </c>
      <c r="AF6" s="1">
        <v>82.294000000000011</v>
      </c>
      <c r="AG6" s="1">
        <v>60.082000000000008</v>
      </c>
      <c r="AH6" s="1"/>
      <c r="AI6" s="1">
        <f t="shared" ref="AI6:AI11" si="6">G6*U6</f>
        <v>193.72679999999994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619.65200000000004</v>
      </c>
      <c r="D7" s="1">
        <v>788.04499999999996</v>
      </c>
      <c r="E7" s="1">
        <v>870.39700000000005</v>
      </c>
      <c r="F7" s="1">
        <v>310.79700000000003</v>
      </c>
      <c r="G7" s="7">
        <v>1</v>
      </c>
      <c r="H7" s="1">
        <v>45</v>
      </c>
      <c r="I7" s="1" t="s">
        <v>39</v>
      </c>
      <c r="J7" s="1"/>
      <c r="K7" s="1">
        <v>848.05499999999995</v>
      </c>
      <c r="L7" s="1">
        <f t="shared" si="2"/>
        <v>22.342000000000098</v>
      </c>
      <c r="M7" s="1"/>
      <c r="N7" s="1"/>
      <c r="O7" s="1">
        <v>486.45828999999981</v>
      </c>
      <c r="P7" s="1">
        <v>0</v>
      </c>
      <c r="Q7" s="1"/>
      <c r="R7" s="1"/>
      <c r="S7" s="1">
        <v>537.3379000000001</v>
      </c>
      <c r="T7" s="1">
        <f t="shared" si="3"/>
        <v>174.07940000000002</v>
      </c>
      <c r="U7" s="5">
        <f t="shared" ref="U7:U11" si="7">12*T7-S7-R7-Q7-P7-O7-F7</f>
        <v>754.3596100000002</v>
      </c>
      <c r="V7" s="1">
        <f t="shared" si="4"/>
        <v>11.999999999999998</v>
      </c>
      <c r="W7" s="1">
        <f t="shared" si="5"/>
        <v>7.6665773779091602</v>
      </c>
      <c r="X7" s="1">
        <v>156.54300000000001</v>
      </c>
      <c r="Y7" s="1">
        <v>115.7188</v>
      </c>
      <c r="Z7" s="1">
        <v>123.2384</v>
      </c>
      <c r="AA7" s="1">
        <v>165.91419999999999</v>
      </c>
      <c r="AB7" s="1">
        <v>160.22540000000001</v>
      </c>
      <c r="AC7" s="1">
        <v>155.3356</v>
      </c>
      <c r="AD7" s="1">
        <v>161.36680000000001</v>
      </c>
      <c r="AE7" s="1">
        <v>149.6454</v>
      </c>
      <c r="AF7" s="1">
        <v>178.84819999999999</v>
      </c>
      <c r="AG7" s="1">
        <v>149.67179999999999</v>
      </c>
      <c r="AH7" s="1"/>
      <c r="AI7" s="1">
        <f t="shared" si="6"/>
        <v>754.3596100000002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1488.1</v>
      </c>
      <c r="D8" s="1">
        <v>67.325999999999993</v>
      </c>
      <c r="E8" s="1">
        <v>774.78800000000001</v>
      </c>
      <c r="F8" s="1">
        <v>534.08299999999997</v>
      </c>
      <c r="G8" s="7">
        <v>1</v>
      </c>
      <c r="H8" s="1">
        <v>45</v>
      </c>
      <c r="I8" s="1" t="s">
        <v>39</v>
      </c>
      <c r="J8" s="1"/>
      <c r="K8" s="1">
        <v>760.81799999999998</v>
      </c>
      <c r="L8" s="1">
        <f t="shared" si="2"/>
        <v>13.970000000000027</v>
      </c>
      <c r="M8" s="1"/>
      <c r="N8" s="1"/>
      <c r="O8" s="1">
        <v>513.50300000000004</v>
      </c>
      <c r="P8" s="1">
        <v>0</v>
      </c>
      <c r="Q8" s="1"/>
      <c r="R8" s="1"/>
      <c r="S8" s="1">
        <v>65.352286000000035</v>
      </c>
      <c r="T8" s="1">
        <f t="shared" si="3"/>
        <v>154.95760000000001</v>
      </c>
      <c r="U8" s="5">
        <f t="shared" si="7"/>
        <v>746.55291399999999</v>
      </c>
      <c r="V8" s="1">
        <f t="shared" si="4"/>
        <v>11.999999999999998</v>
      </c>
      <c r="W8" s="1">
        <f t="shared" si="5"/>
        <v>7.1822116888748919</v>
      </c>
      <c r="X8" s="1">
        <v>140.4342</v>
      </c>
      <c r="Y8" s="1">
        <v>130.178</v>
      </c>
      <c r="Z8" s="1">
        <v>141.642</v>
      </c>
      <c r="AA8" s="1">
        <v>157.6602</v>
      </c>
      <c r="AB8" s="1">
        <v>153.99100000000001</v>
      </c>
      <c r="AC8" s="1">
        <v>162.184</v>
      </c>
      <c r="AD8" s="1">
        <v>168.56280000000001</v>
      </c>
      <c r="AE8" s="1">
        <v>152.89080000000001</v>
      </c>
      <c r="AF8" s="1">
        <v>189.7098</v>
      </c>
      <c r="AG8" s="1">
        <v>156.5736</v>
      </c>
      <c r="AH8" s="1"/>
      <c r="AI8" s="1">
        <f t="shared" si="6"/>
        <v>746.55291399999999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43</v>
      </c>
      <c r="C9" s="1">
        <v>34</v>
      </c>
      <c r="D9" s="1"/>
      <c r="E9" s="1">
        <v>10</v>
      </c>
      <c r="F9" s="1">
        <v>17</v>
      </c>
      <c r="G9" s="7">
        <v>0.4</v>
      </c>
      <c r="H9" s="1">
        <v>50</v>
      </c>
      <c r="I9" s="1" t="s">
        <v>39</v>
      </c>
      <c r="J9" s="1"/>
      <c r="K9" s="1">
        <v>10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v>6</v>
      </c>
      <c r="T9" s="1">
        <f t="shared" si="3"/>
        <v>2</v>
      </c>
      <c r="U9" s="5"/>
      <c r="V9" s="1">
        <f t="shared" si="4"/>
        <v>11.5</v>
      </c>
      <c r="W9" s="1">
        <f t="shared" si="5"/>
        <v>11.5</v>
      </c>
      <c r="X9" s="1">
        <v>2.6</v>
      </c>
      <c r="Y9" s="1">
        <v>1.4</v>
      </c>
      <c r="Z9" s="1">
        <v>0.2</v>
      </c>
      <c r="AA9" s="1">
        <v>1</v>
      </c>
      <c r="AB9" s="1">
        <v>3.2</v>
      </c>
      <c r="AC9" s="1">
        <v>2.6</v>
      </c>
      <c r="AD9" s="1">
        <v>0.4</v>
      </c>
      <c r="AE9" s="1">
        <v>0</v>
      </c>
      <c r="AF9" s="1">
        <v>0</v>
      </c>
      <c r="AG9" s="1">
        <v>0</v>
      </c>
      <c r="AH9" s="1" t="s">
        <v>44</v>
      </c>
      <c r="AI9" s="1">
        <f t="shared" si="6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43</v>
      </c>
      <c r="C10" s="1">
        <v>297</v>
      </c>
      <c r="D10" s="1">
        <v>259</v>
      </c>
      <c r="E10" s="1">
        <v>274</v>
      </c>
      <c r="F10" s="1">
        <v>214</v>
      </c>
      <c r="G10" s="7">
        <v>0.45</v>
      </c>
      <c r="H10" s="1">
        <v>45</v>
      </c>
      <c r="I10" s="1" t="s">
        <v>39</v>
      </c>
      <c r="J10" s="1"/>
      <c r="K10" s="1">
        <v>281</v>
      </c>
      <c r="L10" s="1">
        <f t="shared" si="2"/>
        <v>-7</v>
      </c>
      <c r="M10" s="1"/>
      <c r="N10" s="1"/>
      <c r="O10" s="1">
        <v>0</v>
      </c>
      <c r="P10" s="1"/>
      <c r="Q10" s="1"/>
      <c r="R10" s="1"/>
      <c r="S10" s="1">
        <v>119.708</v>
      </c>
      <c r="T10" s="1">
        <f t="shared" si="3"/>
        <v>54.8</v>
      </c>
      <c r="U10" s="5">
        <f t="shared" si="7"/>
        <v>323.89199999999994</v>
      </c>
      <c r="V10" s="1">
        <f t="shared" si="4"/>
        <v>11.999999999999998</v>
      </c>
      <c r="W10" s="1">
        <f t="shared" si="5"/>
        <v>6.0895620437956204</v>
      </c>
      <c r="X10" s="1">
        <v>47.6</v>
      </c>
      <c r="Y10" s="1">
        <v>31.2</v>
      </c>
      <c r="Z10" s="1">
        <v>38.4</v>
      </c>
      <c r="AA10" s="1">
        <v>60.4</v>
      </c>
      <c r="AB10" s="1">
        <v>57.4</v>
      </c>
      <c r="AC10" s="1">
        <v>77</v>
      </c>
      <c r="AD10" s="1">
        <v>68.599999999999994</v>
      </c>
      <c r="AE10" s="1">
        <v>57</v>
      </c>
      <c r="AF10" s="1">
        <v>64.400000000000006</v>
      </c>
      <c r="AG10" s="1">
        <v>51.8</v>
      </c>
      <c r="AH10" s="1"/>
      <c r="AI10" s="1">
        <f t="shared" si="6"/>
        <v>145.75139999999999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43</v>
      </c>
      <c r="C11" s="1">
        <v>315</v>
      </c>
      <c r="D11" s="1">
        <v>555</v>
      </c>
      <c r="E11" s="1">
        <v>350</v>
      </c>
      <c r="F11" s="1">
        <v>413</v>
      </c>
      <c r="G11" s="7">
        <v>0.45</v>
      </c>
      <c r="H11" s="1">
        <v>45</v>
      </c>
      <c r="I11" s="1" t="s">
        <v>39</v>
      </c>
      <c r="J11" s="1"/>
      <c r="K11" s="1">
        <v>359</v>
      </c>
      <c r="L11" s="1">
        <f t="shared" si="2"/>
        <v>-9</v>
      </c>
      <c r="M11" s="1"/>
      <c r="N11" s="1"/>
      <c r="O11" s="1">
        <v>64.700000000000145</v>
      </c>
      <c r="P11" s="1">
        <v>0</v>
      </c>
      <c r="Q11" s="1"/>
      <c r="R11" s="1"/>
      <c r="S11" s="1">
        <v>60</v>
      </c>
      <c r="T11" s="1">
        <f t="shared" si="3"/>
        <v>70</v>
      </c>
      <c r="U11" s="5">
        <f t="shared" si="7"/>
        <v>302.29999999999984</v>
      </c>
      <c r="V11" s="1">
        <f t="shared" si="4"/>
        <v>12</v>
      </c>
      <c r="W11" s="1">
        <f t="shared" si="5"/>
        <v>7.6814285714285733</v>
      </c>
      <c r="X11" s="1">
        <v>63.8</v>
      </c>
      <c r="Y11" s="1">
        <v>57.2</v>
      </c>
      <c r="Z11" s="1">
        <v>72.2</v>
      </c>
      <c r="AA11" s="1">
        <v>90</v>
      </c>
      <c r="AB11" s="1">
        <v>77.2</v>
      </c>
      <c r="AC11" s="1">
        <v>93.8</v>
      </c>
      <c r="AD11" s="1">
        <v>88.6</v>
      </c>
      <c r="AE11" s="1">
        <v>85.2</v>
      </c>
      <c r="AF11" s="1">
        <v>90.6</v>
      </c>
      <c r="AG11" s="1">
        <v>71.400000000000006</v>
      </c>
      <c r="AH11" s="1"/>
      <c r="AI11" s="1">
        <f t="shared" si="6"/>
        <v>136.03499999999994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9" t="s">
        <v>47</v>
      </c>
      <c r="B12" s="9" t="s">
        <v>43</v>
      </c>
      <c r="C12" s="9"/>
      <c r="D12" s="9"/>
      <c r="E12" s="9"/>
      <c r="F12" s="9"/>
      <c r="G12" s="10">
        <v>0</v>
      </c>
      <c r="H12" s="9"/>
      <c r="I12" s="9" t="s">
        <v>39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v>0</v>
      </c>
      <c r="T12" s="9">
        <f t="shared" si="3"/>
        <v>0</v>
      </c>
      <c r="U12" s="11"/>
      <c r="V12" s="9" t="e">
        <f t="shared" si="4"/>
        <v>#DIV/0!</v>
      </c>
      <c r="W12" s="9" t="e">
        <f t="shared" si="5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48</v>
      </c>
      <c r="AI12" s="9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43</v>
      </c>
      <c r="C13" s="1">
        <v>112</v>
      </c>
      <c r="D13" s="1">
        <v>80</v>
      </c>
      <c r="E13" s="1">
        <v>108</v>
      </c>
      <c r="F13" s="1">
        <v>52</v>
      </c>
      <c r="G13" s="7">
        <v>0.3</v>
      </c>
      <c r="H13" s="1">
        <v>40</v>
      </c>
      <c r="I13" s="1" t="s">
        <v>39</v>
      </c>
      <c r="J13" s="1"/>
      <c r="K13" s="1">
        <v>114</v>
      </c>
      <c r="L13" s="1">
        <f t="shared" si="2"/>
        <v>-6</v>
      </c>
      <c r="M13" s="1"/>
      <c r="N13" s="1"/>
      <c r="O13" s="1">
        <v>127.0000000000001</v>
      </c>
      <c r="P13" s="1">
        <v>0</v>
      </c>
      <c r="Q13" s="1"/>
      <c r="R13" s="1"/>
      <c r="S13" s="1">
        <v>0</v>
      </c>
      <c r="T13" s="1">
        <f t="shared" si="3"/>
        <v>21.6</v>
      </c>
      <c r="U13" s="5">
        <f t="shared" ref="U13:U24" si="8">12*T13-S13-R13-Q13-P13-O13-F13</f>
        <v>80.199999999999932</v>
      </c>
      <c r="V13" s="1">
        <f t="shared" si="4"/>
        <v>12.000000000000002</v>
      </c>
      <c r="W13" s="1">
        <f t="shared" si="5"/>
        <v>8.2870370370370416</v>
      </c>
      <c r="X13" s="1">
        <v>19.8</v>
      </c>
      <c r="Y13" s="1">
        <v>20.2</v>
      </c>
      <c r="Z13" s="1">
        <v>21.4</v>
      </c>
      <c r="AA13" s="1">
        <v>22.4</v>
      </c>
      <c r="AB13" s="1">
        <v>23.8</v>
      </c>
      <c r="AC13" s="1">
        <v>23</v>
      </c>
      <c r="AD13" s="1">
        <v>19.8</v>
      </c>
      <c r="AE13" s="1">
        <v>18</v>
      </c>
      <c r="AF13" s="1">
        <v>25.6</v>
      </c>
      <c r="AG13" s="1">
        <v>22.4</v>
      </c>
      <c r="AH13" s="1"/>
      <c r="AI13" s="1">
        <f t="shared" ref="AI13:AI24" si="9">G13*U13</f>
        <v>24.059999999999977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43</v>
      </c>
      <c r="C14" s="1">
        <v>33</v>
      </c>
      <c r="D14" s="1">
        <v>129</v>
      </c>
      <c r="E14" s="1">
        <v>81</v>
      </c>
      <c r="F14" s="1">
        <v>47</v>
      </c>
      <c r="G14" s="7">
        <v>0.17</v>
      </c>
      <c r="H14" s="1">
        <v>180</v>
      </c>
      <c r="I14" s="1" t="s">
        <v>39</v>
      </c>
      <c r="J14" s="1"/>
      <c r="K14" s="1">
        <v>97</v>
      </c>
      <c r="L14" s="1">
        <f t="shared" si="2"/>
        <v>-16</v>
      </c>
      <c r="M14" s="1"/>
      <c r="N14" s="1"/>
      <c r="O14" s="1">
        <v>145.19999999999999</v>
      </c>
      <c r="P14" s="1">
        <v>0</v>
      </c>
      <c r="Q14" s="1"/>
      <c r="R14" s="1"/>
      <c r="S14" s="1">
        <v>0</v>
      </c>
      <c r="T14" s="1">
        <f t="shared" si="3"/>
        <v>16.2</v>
      </c>
      <c r="U14" s="5">
        <v>8</v>
      </c>
      <c r="V14" s="1">
        <f t="shared" si="4"/>
        <v>12.358024691358025</v>
      </c>
      <c r="W14" s="1">
        <f t="shared" si="5"/>
        <v>11.864197530864198</v>
      </c>
      <c r="X14" s="1">
        <v>18</v>
      </c>
      <c r="Y14" s="1">
        <v>19.2</v>
      </c>
      <c r="Z14" s="1">
        <v>22</v>
      </c>
      <c r="AA14" s="1">
        <v>18.8</v>
      </c>
      <c r="AB14" s="1">
        <v>15.8</v>
      </c>
      <c r="AC14" s="1">
        <v>17.600000000000001</v>
      </c>
      <c r="AD14" s="1">
        <v>19.8</v>
      </c>
      <c r="AE14" s="1">
        <v>14.8</v>
      </c>
      <c r="AF14" s="1">
        <v>20.6</v>
      </c>
      <c r="AG14" s="1">
        <v>21.8</v>
      </c>
      <c r="AH14" s="1"/>
      <c r="AI14" s="1">
        <f t="shared" si="9"/>
        <v>1.36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38</v>
      </c>
      <c r="C15" s="1">
        <v>355.66500000000002</v>
      </c>
      <c r="D15" s="1">
        <v>376.53500000000003</v>
      </c>
      <c r="E15" s="1">
        <v>319.30500000000001</v>
      </c>
      <c r="F15" s="1">
        <v>335.226</v>
      </c>
      <c r="G15" s="7">
        <v>1</v>
      </c>
      <c r="H15" s="1">
        <v>70</v>
      </c>
      <c r="I15" s="1" t="s">
        <v>39</v>
      </c>
      <c r="J15" s="1"/>
      <c r="K15" s="1">
        <v>298.58</v>
      </c>
      <c r="L15" s="1">
        <f t="shared" si="2"/>
        <v>20.725000000000023</v>
      </c>
      <c r="M15" s="1"/>
      <c r="N15" s="1"/>
      <c r="O15" s="1">
        <v>394.52032000000008</v>
      </c>
      <c r="P15" s="1">
        <v>0</v>
      </c>
      <c r="Q15" s="1"/>
      <c r="R15" s="1"/>
      <c r="S15" s="1">
        <v>0</v>
      </c>
      <c r="T15" s="1">
        <f t="shared" si="3"/>
        <v>63.861000000000004</v>
      </c>
      <c r="U15" s="5">
        <f t="shared" si="8"/>
        <v>36.585680000000025</v>
      </c>
      <c r="V15" s="1">
        <f t="shared" si="4"/>
        <v>12.000000000000002</v>
      </c>
      <c r="W15" s="1">
        <f t="shared" si="5"/>
        <v>11.4271044925698</v>
      </c>
      <c r="X15" s="1">
        <v>64.120199999999997</v>
      </c>
      <c r="Y15" s="1">
        <v>71.404200000000003</v>
      </c>
      <c r="Z15" s="1">
        <v>76.710000000000008</v>
      </c>
      <c r="AA15" s="1">
        <v>82.161599999999993</v>
      </c>
      <c r="AB15" s="1">
        <v>77.837599999999995</v>
      </c>
      <c r="AC15" s="1">
        <v>83.318399999999997</v>
      </c>
      <c r="AD15" s="1">
        <v>95.534199999999998</v>
      </c>
      <c r="AE15" s="1">
        <v>52.246799999999993</v>
      </c>
      <c r="AF15" s="1">
        <v>66.222200000000001</v>
      </c>
      <c r="AG15" s="1">
        <v>84.409000000000006</v>
      </c>
      <c r="AH15" s="1"/>
      <c r="AI15" s="1">
        <f t="shared" si="9"/>
        <v>36.585680000000025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38</v>
      </c>
      <c r="C16" s="1">
        <v>3939.51</v>
      </c>
      <c r="D16" s="1">
        <v>224.51599999999999</v>
      </c>
      <c r="E16" s="1">
        <v>1703.6790000000001</v>
      </c>
      <c r="F16" s="1">
        <v>1947.501</v>
      </c>
      <c r="G16" s="7">
        <v>1</v>
      </c>
      <c r="H16" s="1">
        <v>50</v>
      </c>
      <c r="I16" s="1" t="s">
        <v>39</v>
      </c>
      <c r="J16" s="1"/>
      <c r="K16" s="1">
        <v>1815</v>
      </c>
      <c r="L16" s="1">
        <f t="shared" si="2"/>
        <v>-111.32099999999991</v>
      </c>
      <c r="M16" s="1"/>
      <c r="N16" s="1"/>
      <c r="O16" s="1">
        <v>0</v>
      </c>
      <c r="P16" s="1"/>
      <c r="Q16" s="1"/>
      <c r="R16" s="1"/>
      <c r="S16" s="1">
        <v>486.04578000000032</v>
      </c>
      <c r="T16" s="1">
        <f t="shared" si="3"/>
        <v>340.73580000000004</v>
      </c>
      <c r="U16" s="5">
        <f t="shared" si="8"/>
        <v>1655.2828200000001</v>
      </c>
      <c r="V16" s="1">
        <f t="shared" si="4"/>
        <v>11.999999999999998</v>
      </c>
      <c r="W16" s="1">
        <f t="shared" si="5"/>
        <v>7.1420343268890436</v>
      </c>
      <c r="X16" s="1">
        <v>301.46600000000001</v>
      </c>
      <c r="Y16" s="1">
        <v>223.81219999999999</v>
      </c>
      <c r="Z16" s="1">
        <v>225.41679999999999</v>
      </c>
      <c r="AA16" s="1">
        <v>363.58780000000002</v>
      </c>
      <c r="AB16" s="1">
        <v>414.27560000000011</v>
      </c>
      <c r="AC16" s="1">
        <v>403.12939999999998</v>
      </c>
      <c r="AD16" s="1">
        <v>368.91160000000002</v>
      </c>
      <c r="AE16" s="1">
        <v>333.24779999999998</v>
      </c>
      <c r="AF16" s="1">
        <v>396.964</v>
      </c>
      <c r="AG16" s="1">
        <v>364.63580000000002</v>
      </c>
      <c r="AH16" s="1"/>
      <c r="AI16" s="1">
        <f t="shared" si="9"/>
        <v>1655.2828200000001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38</v>
      </c>
      <c r="C17" s="1">
        <v>129.78299999999999</v>
      </c>
      <c r="D17" s="1">
        <v>36.761000000000003</v>
      </c>
      <c r="E17" s="1">
        <v>68.968000000000004</v>
      </c>
      <c r="F17" s="1">
        <v>78.358000000000004</v>
      </c>
      <c r="G17" s="7">
        <v>1</v>
      </c>
      <c r="H17" s="1">
        <v>60</v>
      </c>
      <c r="I17" s="1" t="s">
        <v>39</v>
      </c>
      <c r="J17" s="1"/>
      <c r="K17" s="1">
        <v>61.78</v>
      </c>
      <c r="L17" s="1">
        <f t="shared" si="2"/>
        <v>7.1880000000000024</v>
      </c>
      <c r="M17" s="1"/>
      <c r="N17" s="1"/>
      <c r="O17" s="1">
        <v>85.78780000000009</v>
      </c>
      <c r="P17" s="1">
        <v>0</v>
      </c>
      <c r="Q17" s="1"/>
      <c r="R17" s="1"/>
      <c r="S17" s="1">
        <v>0</v>
      </c>
      <c r="T17" s="1">
        <f t="shared" si="3"/>
        <v>13.793600000000001</v>
      </c>
      <c r="U17" s="5"/>
      <c r="V17" s="1">
        <f t="shared" si="4"/>
        <v>11.90014209488459</v>
      </c>
      <c r="W17" s="1">
        <f t="shared" si="5"/>
        <v>11.90014209488459</v>
      </c>
      <c r="X17" s="1">
        <v>9.2590000000000003</v>
      </c>
      <c r="Y17" s="1">
        <v>15.664400000000001</v>
      </c>
      <c r="Z17" s="1">
        <v>19.814599999999999</v>
      </c>
      <c r="AA17" s="1">
        <v>17.560199999999998</v>
      </c>
      <c r="AB17" s="1">
        <v>20.452200000000001</v>
      </c>
      <c r="AC17" s="1">
        <v>22.732399999999998</v>
      </c>
      <c r="AD17" s="1">
        <v>16.6022</v>
      </c>
      <c r="AE17" s="1">
        <v>18.7286</v>
      </c>
      <c r="AF17" s="1">
        <v>18.415600000000001</v>
      </c>
      <c r="AG17" s="1">
        <v>10.8032</v>
      </c>
      <c r="AH17" s="1"/>
      <c r="AI17" s="1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38</v>
      </c>
      <c r="C18" s="1">
        <v>66.143000000000001</v>
      </c>
      <c r="D18" s="1">
        <v>36.795000000000002</v>
      </c>
      <c r="E18" s="1">
        <v>49.35</v>
      </c>
      <c r="F18" s="1">
        <v>47.429000000000002</v>
      </c>
      <c r="G18" s="7">
        <v>1</v>
      </c>
      <c r="H18" s="1">
        <v>60</v>
      </c>
      <c r="I18" s="1" t="s">
        <v>39</v>
      </c>
      <c r="J18" s="1"/>
      <c r="K18" s="1">
        <v>42.68</v>
      </c>
      <c r="L18" s="1">
        <f t="shared" si="2"/>
        <v>6.6700000000000017</v>
      </c>
      <c r="M18" s="1"/>
      <c r="N18" s="1"/>
      <c r="O18" s="1">
        <v>0</v>
      </c>
      <c r="P18" s="1"/>
      <c r="Q18" s="1"/>
      <c r="R18" s="1"/>
      <c r="S18" s="1">
        <v>0</v>
      </c>
      <c r="T18" s="1">
        <f t="shared" si="3"/>
        <v>9.870000000000001</v>
      </c>
      <c r="U18" s="5">
        <f t="shared" si="8"/>
        <v>71.01100000000001</v>
      </c>
      <c r="V18" s="1">
        <f t="shared" si="4"/>
        <v>12</v>
      </c>
      <c r="W18" s="1">
        <f t="shared" si="5"/>
        <v>4.8053698074974669</v>
      </c>
      <c r="X18" s="1">
        <v>4.0758000000000001</v>
      </c>
      <c r="Y18" s="1">
        <v>5.8464</v>
      </c>
      <c r="Z18" s="1">
        <v>11.7798</v>
      </c>
      <c r="AA18" s="1">
        <v>9.9963999999999995</v>
      </c>
      <c r="AB18" s="1">
        <v>9.1463999999999999</v>
      </c>
      <c r="AC18" s="1">
        <v>10.711600000000001</v>
      </c>
      <c r="AD18" s="1">
        <v>10.7</v>
      </c>
      <c r="AE18" s="1">
        <v>9.6920000000000002</v>
      </c>
      <c r="AF18" s="1">
        <v>6.7256</v>
      </c>
      <c r="AG18" s="1">
        <v>4.0734000000000004</v>
      </c>
      <c r="AH18" s="1"/>
      <c r="AI18" s="1">
        <f t="shared" si="9"/>
        <v>71.01100000000001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38</v>
      </c>
      <c r="C19" s="1">
        <v>33.521000000000001</v>
      </c>
      <c r="D19" s="1"/>
      <c r="E19" s="1">
        <v>24.375</v>
      </c>
      <c r="F19" s="1">
        <v>5.7619999999999996</v>
      </c>
      <c r="G19" s="7">
        <v>1</v>
      </c>
      <c r="H19" s="1">
        <v>180</v>
      </c>
      <c r="I19" s="1" t="s">
        <v>39</v>
      </c>
      <c r="J19" s="1"/>
      <c r="K19" s="1">
        <v>24.27</v>
      </c>
      <c r="L19" s="1">
        <f t="shared" si="2"/>
        <v>0.10500000000000043</v>
      </c>
      <c r="M19" s="1"/>
      <c r="N19" s="1"/>
      <c r="O19" s="1">
        <v>9.2449999999999992</v>
      </c>
      <c r="P19" s="1">
        <v>0</v>
      </c>
      <c r="Q19" s="1"/>
      <c r="R19" s="1"/>
      <c r="S19" s="1">
        <v>12.956400000000009</v>
      </c>
      <c r="T19" s="1">
        <f t="shared" si="3"/>
        <v>4.875</v>
      </c>
      <c r="U19" s="5">
        <f t="shared" si="8"/>
        <v>30.536599999999993</v>
      </c>
      <c r="V19" s="1">
        <f t="shared" si="4"/>
        <v>12</v>
      </c>
      <c r="W19" s="1">
        <f t="shared" si="5"/>
        <v>5.736082051282053</v>
      </c>
      <c r="X19" s="1">
        <v>3.3774000000000002</v>
      </c>
      <c r="Y19" s="1">
        <v>2.6214</v>
      </c>
      <c r="Z19" s="1">
        <v>3.2532000000000001</v>
      </c>
      <c r="AA19" s="1">
        <v>2.9756</v>
      </c>
      <c r="AB19" s="1">
        <v>3.4765999999999999</v>
      </c>
      <c r="AC19" s="1">
        <v>3.2033999999999998</v>
      </c>
      <c r="AD19" s="1">
        <v>2.6796000000000002</v>
      </c>
      <c r="AE19" s="1">
        <v>5.3262</v>
      </c>
      <c r="AF19" s="1">
        <v>5.8662000000000001</v>
      </c>
      <c r="AG19" s="1">
        <v>3.2307999999999999</v>
      </c>
      <c r="AH19" s="1"/>
      <c r="AI19" s="1">
        <f t="shared" si="9"/>
        <v>30.536599999999993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38</v>
      </c>
      <c r="C20" s="1">
        <v>450.88299999999998</v>
      </c>
      <c r="D20" s="1">
        <v>302.73399999999998</v>
      </c>
      <c r="E20" s="1">
        <v>397.75799999999998</v>
      </c>
      <c r="F20" s="1">
        <v>262.10300000000001</v>
      </c>
      <c r="G20" s="7">
        <v>1</v>
      </c>
      <c r="H20" s="1">
        <v>60</v>
      </c>
      <c r="I20" s="1" t="s">
        <v>39</v>
      </c>
      <c r="J20" s="1"/>
      <c r="K20" s="1">
        <v>372.9</v>
      </c>
      <c r="L20" s="1">
        <f t="shared" si="2"/>
        <v>24.858000000000004</v>
      </c>
      <c r="M20" s="1"/>
      <c r="N20" s="1"/>
      <c r="O20" s="1">
        <v>596.73440999999957</v>
      </c>
      <c r="P20" s="1">
        <v>0</v>
      </c>
      <c r="Q20" s="1"/>
      <c r="R20" s="1"/>
      <c r="S20" s="1">
        <v>0</v>
      </c>
      <c r="T20" s="1">
        <f t="shared" si="3"/>
        <v>79.551599999999993</v>
      </c>
      <c r="U20" s="5">
        <f t="shared" si="8"/>
        <v>95.781790000000285</v>
      </c>
      <c r="V20" s="1">
        <f t="shared" si="4"/>
        <v>12</v>
      </c>
      <c r="W20" s="1">
        <f t="shared" si="5"/>
        <v>10.795979087787043</v>
      </c>
      <c r="X20" s="1">
        <v>73.747199999999992</v>
      </c>
      <c r="Y20" s="1">
        <v>84.715599999999995</v>
      </c>
      <c r="Z20" s="1">
        <v>89.979399999999998</v>
      </c>
      <c r="AA20" s="1">
        <v>85.64500000000001</v>
      </c>
      <c r="AB20" s="1">
        <v>82.814400000000006</v>
      </c>
      <c r="AC20" s="1">
        <v>99.254800000000003</v>
      </c>
      <c r="AD20" s="1">
        <v>109.6948</v>
      </c>
      <c r="AE20" s="1">
        <v>108.2616</v>
      </c>
      <c r="AF20" s="1">
        <v>128.46600000000001</v>
      </c>
      <c r="AG20" s="1">
        <v>94.878799999999998</v>
      </c>
      <c r="AH20" s="1"/>
      <c r="AI20" s="1">
        <f t="shared" si="9"/>
        <v>95.781790000000285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38</v>
      </c>
      <c r="C21" s="1">
        <v>212.10300000000001</v>
      </c>
      <c r="D21" s="1">
        <v>134.90600000000001</v>
      </c>
      <c r="E21" s="1">
        <v>109.035</v>
      </c>
      <c r="F21" s="1">
        <v>217.477</v>
      </c>
      <c r="G21" s="7">
        <v>1</v>
      </c>
      <c r="H21" s="1">
        <v>70</v>
      </c>
      <c r="I21" s="1" t="s">
        <v>39</v>
      </c>
      <c r="J21" s="1"/>
      <c r="K21" s="1">
        <v>109.86</v>
      </c>
      <c r="L21" s="1">
        <f t="shared" si="2"/>
        <v>-0.82500000000000284</v>
      </c>
      <c r="M21" s="1"/>
      <c r="N21" s="1"/>
      <c r="O21" s="1">
        <v>0</v>
      </c>
      <c r="P21" s="1"/>
      <c r="Q21" s="1"/>
      <c r="R21" s="1"/>
      <c r="S21" s="1">
        <v>0</v>
      </c>
      <c r="T21" s="1">
        <f t="shared" si="3"/>
        <v>21.806999999999999</v>
      </c>
      <c r="U21" s="5">
        <f t="shared" si="8"/>
        <v>44.206999999999965</v>
      </c>
      <c r="V21" s="1">
        <f t="shared" si="4"/>
        <v>12</v>
      </c>
      <c r="W21" s="1">
        <f t="shared" si="5"/>
        <v>9.9728068968679793</v>
      </c>
      <c r="X21" s="1">
        <v>21.227</v>
      </c>
      <c r="Y21" s="1">
        <v>14.3834</v>
      </c>
      <c r="Z21" s="1">
        <v>19.766999999999999</v>
      </c>
      <c r="AA21" s="1">
        <v>31.105599999999999</v>
      </c>
      <c r="AB21" s="1">
        <v>31.758400000000002</v>
      </c>
      <c r="AC21" s="1">
        <v>22.8048</v>
      </c>
      <c r="AD21" s="1">
        <v>16.5824</v>
      </c>
      <c r="AE21" s="1">
        <v>21.981400000000001</v>
      </c>
      <c r="AF21" s="1">
        <v>25.205400000000001</v>
      </c>
      <c r="AG21" s="1">
        <v>18.808800000000002</v>
      </c>
      <c r="AH21" s="1"/>
      <c r="AI21" s="1">
        <f t="shared" si="9"/>
        <v>44.206999999999965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38</v>
      </c>
      <c r="C22" s="1">
        <v>322</v>
      </c>
      <c r="D22" s="1">
        <v>60.338999999999999</v>
      </c>
      <c r="E22" s="1">
        <v>224.934</v>
      </c>
      <c r="F22" s="1">
        <v>124.771</v>
      </c>
      <c r="G22" s="7">
        <v>1</v>
      </c>
      <c r="H22" s="1">
        <v>70</v>
      </c>
      <c r="I22" s="1" t="s">
        <v>39</v>
      </c>
      <c r="J22" s="1"/>
      <c r="K22" s="1">
        <v>216.3</v>
      </c>
      <c r="L22" s="1">
        <f t="shared" si="2"/>
        <v>8.6339999999999861</v>
      </c>
      <c r="M22" s="1"/>
      <c r="N22" s="1"/>
      <c r="O22" s="1">
        <v>233.99840000000009</v>
      </c>
      <c r="P22" s="1">
        <v>0</v>
      </c>
      <c r="Q22" s="1"/>
      <c r="R22" s="1"/>
      <c r="S22" s="1">
        <v>7.313599999999866</v>
      </c>
      <c r="T22" s="1">
        <f t="shared" si="3"/>
        <v>44.986800000000002</v>
      </c>
      <c r="U22" s="5">
        <f t="shared" si="8"/>
        <v>173.75860000000006</v>
      </c>
      <c r="V22" s="1">
        <f t="shared" si="4"/>
        <v>11.999999999999998</v>
      </c>
      <c r="W22" s="1">
        <f t="shared" si="5"/>
        <v>8.137564796784833</v>
      </c>
      <c r="X22" s="1">
        <v>38.965000000000003</v>
      </c>
      <c r="Y22" s="1">
        <v>37.324399999999997</v>
      </c>
      <c r="Z22" s="1">
        <v>42.604799999999997</v>
      </c>
      <c r="AA22" s="1">
        <v>42.156199999999998</v>
      </c>
      <c r="AB22" s="1">
        <v>46.545400000000001</v>
      </c>
      <c r="AC22" s="1">
        <v>57.740400000000001</v>
      </c>
      <c r="AD22" s="1">
        <v>61.052200000000013</v>
      </c>
      <c r="AE22" s="1">
        <v>53.941800000000001</v>
      </c>
      <c r="AF22" s="1">
        <v>51.120199999999997</v>
      </c>
      <c r="AG22" s="1">
        <v>36.6006</v>
      </c>
      <c r="AH22" s="1"/>
      <c r="AI22" s="1">
        <f t="shared" si="9"/>
        <v>173.75860000000006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38</v>
      </c>
      <c r="C23" s="1">
        <v>3.3639999999999999</v>
      </c>
      <c r="D23" s="1">
        <v>17.978000000000002</v>
      </c>
      <c r="E23" s="1">
        <v>21.673999999999999</v>
      </c>
      <c r="F23" s="1">
        <v>-0.33200000000000002</v>
      </c>
      <c r="G23" s="7">
        <v>1</v>
      </c>
      <c r="H23" s="1">
        <v>180</v>
      </c>
      <c r="I23" s="1" t="s">
        <v>39</v>
      </c>
      <c r="J23" s="1"/>
      <c r="K23" s="1">
        <v>24.07</v>
      </c>
      <c r="L23" s="1">
        <f t="shared" si="2"/>
        <v>-2.3960000000000008</v>
      </c>
      <c r="M23" s="1"/>
      <c r="N23" s="1"/>
      <c r="O23" s="1">
        <v>34.476599999999998</v>
      </c>
      <c r="P23" s="1">
        <v>0</v>
      </c>
      <c r="Q23" s="1"/>
      <c r="R23" s="1"/>
      <c r="S23" s="1">
        <v>0</v>
      </c>
      <c r="T23" s="1">
        <f t="shared" si="3"/>
        <v>4.3347999999999995</v>
      </c>
      <c r="U23" s="5">
        <f t="shared" si="8"/>
        <v>17.872999999999998</v>
      </c>
      <c r="V23" s="1">
        <f t="shared" si="4"/>
        <v>12</v>
      </c>
      <c r="W23" s="1">
        <f t="shared" si="5"/>
        <v>7.8768570637630342</v>
      </c>
      <c r="X23" s="1">
        <v>3.0522</v>
      </c>
      <c r="Y23" s="1">
        <v>3.3224</v>
      </c>
      <c r="Z23" s="1">
        <v>4.6915999999999993</v>
      </c>
      <c r="AA23" s="1">
        <v>3.9258000000000002</v>
      </c>
      <c r="AB23" s="1">
        <v>4.0861999999999998</v>
      </c>
      <c r="AC23" s="1">
        <v>3.0114000000000001</v>
      </c>
      <c r="AD23" s="1">
        <v>1.6878</v>
      </c>
      <c r="AE23" s="1">
        <v>2.2938000000000001</v>
      </c>
      <c r="AF23" s="1">
        <v>4.5103999999999997</v>
      </c>
      <c r="AG23" s="1">
        <v>4.2845999999999993</v>
      </c>
      <c r="AH23" s="1"/>
      <c r="AI23" s="1">
        <f t="shared" si="9"/>
        <v>17.872999999999998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38</v>
      </c>
      <c r="C24" s="1">
        <v>274.07900000000001</v>
      </c>
      <c r="D24" s="1">
        <v>225.137</v>
      </c>
      <c r="E24" s="1">
        <v>185.43100000000001</v>
      </c>
      <c r="F24" s="1">
        <v>275.11</v>
      </c>
      <c r="G24" s="7">
        <v>1</v>
      </c>
      <c r="H24" s="1">
        <v>70</v>
      </c>
      <c r="I24" s="1" t="s">
        <v>39</v>
      </c>
      <c r="J24" s="1"/>
      <c r="K24" s="1">
        <v>174.26</v>
      </c>
      <c r="L24" s="1">
        <f t="shared" si="2"/>
        <v>11.171000000000021</v>
      </c>
      <c r="M24" s="1"/>
      <c r="N24" s="1"/>
      <c r="O24" s="1">
        <v>79.139999999999972</v>
      </c>
      <c r="P24" s="1">
        <v>-79.2</v>
      </c>
      <c r="Q24" s="1"/>
      <c r="R24" s="1"/>
      <c r="S24" s="1">
        <v>0</v>
      </c>
      <c r="T24" s="1">
        <f t="shared" si="3"/>
        <v>37.086200000000005</v>
      </c>
      <c r="U24" s="5">
        <f t="shared" si="8"/>
        <v>169.98440000000005</v>
      </c>
      <c r="V24" s="1">
        <f t="shared" si="4"/>
        <v>12</v>
      </c>
      <c r="W24" s="1">
        <f t="shared" si="5"/>
        <v>7.4165053308238633</v>
      </c>
      <c r="X24" s="1">
        <v>30.3794</v>
      </c>
      <c r="Y24" s="1">
        <v>37.165799999999997</v>
      </c>
      <c r="Z24" s="1">
        <v>46.671199999999999</v>
      </c>
      <c r="AA24" s="1">
        <v>51.576599999999999</v>
      </c>
      <c r="AB24" s="1">
        <v>50.810199999999988</v>
      </c>
      <c r="AC24" s="1">
        <v>51.419199999999996</v>
      </c>
      <c r="AD24" s="1">
        <v>53.342599999999997</v>
      </c>
      <c r="AE24" s="1">
        <v>51.205800000000004</v>
      </c>
      <c r="AF24" s="1">
        <v>58.679999999999993</v>
      </c>
      <c r="AG24" s="1">
        <v>46.426400000000001</v>
      </c>
      <c r="AH24" s="1"/>
      <c r="AI24" s="1">
        <f t="shared" si="9"/>
        <v>169.98440000000005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62</v>
      </c>
      <c r="B25" s="9" t="s">
        <v>38</v>
      </c>
      <c r="C25" s="9">
        <v>1.0980000000000001</v>
      </c>
      <c r="D25" s="9"/>
      <c r="E25" s="9">
        <v>-0.7</v>
      </c>
      <c r="F25" s="9">
        <v>1.0980000000000001</v>
      </c>
      <c r="G25" s="10">
        <v>0</v>
      </c>
      <c r="H25" s="9">
        <v>35</v>
      </c>
      <c r="I25" s="9" t="s">
        <v>63</v>
      </c>
      <c r="J25" s="9"/>
      <c r="K25" s="9">
        <v>16</v>
      </c>
      <c r="L25" s="9">
        <f t="shared" si="2"/>
        <v>-16.7</v>
      </c>
      <c r="M25" s="9"/>
      <c r="N25" s="9"/>
      <c r="O25" s="9">
        <v>0</v>
      </c>
      <c r="P25" s="9"/>
      <c r="Q25" s="9"/>
      <c r="R25" s="9"/>
      <c r="S25" s="9">
        <v>0</v>
      </c>
      <c r="T25" s="9">
        <f t="shared" si="3"/>
        <v>-0.13999999999999999</v>
      </c>
      <c r="U25" s="11"/>
      <c r="V25" s="9">
        <f t="shared" si="4"/>
        <v>-7.8428571428571443</v>
      </c>
      <c r="W25" s="9">
        <f t="shared" si="5"/>
        <v>-7.8428571428571443</v>
      </c>
      <c r="X25" s="9">
        <v>0</v>
      </c>
      <c r="Y25" s="9">
        <v>4.6292</v>
      </c>
      <c r="Z25" s="9">
        <v>6.452</v>
      </c>
      <c r="AA25" s="9">
        <v>6.3102</v>
      </c>
      <c r="AB25" s="9">
        <v>5.6124000000000001</v>
      </c>
      <c r="AC25" s="9">
        <v>3.0931999999999999</v>
      </c>
      <c r="AD25" s="9">
        <v>2.9478</v>
      </c>
      <c r="AE25" s="9">
        <v>4.7827999999999999</v>
      </c>
      <c r="AF25" s="9">
        <v>7.0242000000000004</v>
      </c>
      <c r="AG25" s="9">
        <v>5.6067999999999998</v>
      </c>
      <c r="AH25" s="9"/>
      <c r="AI25" s="9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64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v>0</v>
      </c>
      <c r="T26" s="9">
        <f t="shared" si="3"/>
        <v>0</v>
      </c>
      <c r="U26" s="11"/>
      <c r="V26" s="9" t="e">
        <f t="shared" si="4"/>
        <v>#DIV/0!</v>
      </c>
      <c r="W26" s="9" t="e">
        <f t="shared" si="5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48</v>
      </c>
      <c r="AI26" s="9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38</v>
      </c>
      <c r="C27" s="1">
        <v>11.324</v>
      </c>
      <c r="D27" s="1">
        <v>365.863</v>
      </c>
      <c r="E27" s="1">
        <v>270.16800000000001</v>
      </c>
      <c r="F27" s="1">
        <v>21.829000000000001</v>
      </c>
      <c r="G27" s="7">
        <v>1</v>
      </c>
      <c r="H27" s="1">
        <v>30</v>
      </c>
      <c r="I27" s="1" t="s">
        <v>39</v>
      </c>
      <c r="J27" s="1"/>
      <c r="K27" s="1">
        <v>287.39999999999998</v>
      </c>
      <c r="L27" s="1">
        <f t="shared" si="2"/>
        <v>-17.231999999999971</v>
      </c>
      <c r="M27" s="1"/>
      <c r="N27" s="1"/>
      <c r="O27" s="1">
        <v>273.78600000000017</v>
      </c>
      <c r="P27" s="1">
        <v>0</v>
      </c>
      <c r="Q27" s="1"/>
      <c r="R27" s="1"/>
      <c r="S27" s="1">
        <v>0</v>
      </c>
      <c r="T27" s="1">
        <f t="shared" si="3"/>
        <v>54.0336</v>
      </c>
      <c r="U27" s="5">
        <f t="shared" ref="U27:U33" si="10">12*T27-S27-R27-Q27-P27-O27-F27</f>
        <v>352.78819999999979</v>
      </c>
      <c r="V27" s="1">
        <f t="shared" si="4"/>
        <v>12</v>
      </c>
      <c r="W27" s="1">
        <f t="shared" si="5"/>
        <v>5.4709477066121854</v>
      </c>
      <c r="X27" s="1">
        <v>33.3504</v>
      </c>
      <c r="Y27" s="1">
        <v>39.0062</v>
      </c>
      <c r="Z27" s="1">
        <v>53.301000000000002</v>
      </c>
      <c r="AA27" s="1">
        <v>46.706800000000001</v>
      </c>
      <c r="AB27" s="1">
        <v>23.161200000000001</v>
      </c>
      <c r="AC27" s="1">
        <v>34.602600000000002</v>
      </c>
      <c r="AD27" s="1">
        <v>39.710599999999999</v>
      </c>
      <c r="AE27" s="1">
        <v>34.586599999999997</v>
      </c>
      <c r="AF27" s="1">
        <v>40.651400000000002</v>
      </c>
      <c r="AG27" s="1">
        <v>18.385000000000002</v>
      </c>
      <c r="AH27" s="1"/>
      <c r="AI27" s="1">
        <f t="shared" ref="AI27:AI33" si="11">G27*U27</f>
        <v>352.78819999999979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38</v>
      </c>
      <c r="C28" s="1">
        <v>9.7530000000000001</v>
      </c>
      <c r="D28" s="1"/>
      <c r="E28" s="1">
        <v>0.58199999999999996</v>
      </c>
      <c r="F28" s="1">
        <v>5.2210000000000001</v>
      </c>
      <c r="G28" s="7">
        <v>1</v>
      </c>
      <c r="H28" s="1">
        <v>40</v>
      </c>
      <c r="I28" s="14" t="s">
        <v>67</v>
      </c>
      <c r="J28" s="1"/>
      <c r="K28" s="1">
        <v>95.2</v>
      </c>
      <c r="L28" s="1">
        <f t="shared" si="2"/>
        <v>-94.618000000000009</v>
      </c>
      <c r="M28" s="1"/>
      <c r="N28" s="1"/>
      <c r="O28" s="1">
        <v>200</v>
      </c>
      <c r="P28" s="1">
        <v>-207</v>
      </c>
      <c r="Q28" s="1"/>
      <c r="R28" s="1"/>
      <c r="S28" s="1">
        <v>118.87426600000001</v>
      </c>
      <c r="T28" s="1">
        <f t="shared" si="3"/>
        <v>0.11639999999999999</v>
      </c>
      <c r="U28" s="5">
        <v>120</v>
      </c>
      <c r="V28" s="1">
        <f t="shared" si="4"/>
        <v>2036.9009106529213</v>
      </c>
      <c r="W28" s="1">
        <f t="shared" si="5"/>
        <v>1005.9730756013747</v>
      </c>
      <c r="X28" s="1">
        <v>1.6801999999999999</v>
      </c>
      <c r="Y28" s="1">
        <v>37.1038</v>
      </c>
      <c r="Z28" s="1">
        <v>73.638800000000003</v>
      </c>
      <c r="AA28" s="1">
        <v>62.238599999999998</v>
      </c>
      <c r="AB28" s="1">
        <v>32.152799999999999</v>
      </c>
      <c r="AC28" s="1">
        <v>66.114800000000002</v>
      </c>
      <c r="AD28" s="1">
        <v>89.90979999999999</v>
      </c>
      <c r="AE28" s="1">
        <v>73.314800000000005</v>
      </c>
      <c r="AF28" s="1">
        <v>79.865399999999994</v>
      </c>
      <c r="AG28" s="1">
        <v>55.552999999999997</v>
      </c>
      <c r="AH28" s="1"/>
      <c r="AI28" s="1">
        <f t="shared" si="11"/>
        <v>120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3.6539999999999999</v>
      </c>
      <c r="D29" s="1">
        <v>6.7969999999999997</v>
      </c>
      <c r="E29" s="1">
        <v>-4.8109999999999999</v>
      </c>
      <c r="F29" s="1">
        <v>-0.41</v>
      </c>
      <c r="G29" s="7">
        <v>1</v>
      </c>
      <c r="H29" s="1">
        <v>30</v>
      </c>
      <c r="I29" s="14" t="s">
        <v>67</v>
      </c>
      <c r="J29" s="1"/>
      <c r="K29" s="1">
        <v>16.600000000000001</v>
      </c>
      <c r="L29" s="1">
        <f t="shared" si="2"/>
        <v>-21.411000000000001</v>
      </c>
      <c r="M29" s="1"/>
      <c r="N29" s="1"/>
      <c r="O29" s="1">
        <v>200</v>
      </c>
      <c r="P29" s="1">
        <v>0</v>
      </c>
      <c r="Q29" s="1"/>
      <c r="R29" s="1"/>
      <c r="S29" s="1">
        <v>192.87093200000001</v>
      </c>
      <c r="T29" s="1">
        <f t="shared" si="3"/>
        <v>-0.96219999999999994</v>
      </c>
      <c r="U29" s="5">
        <v>200</v>
      </c>
      <c r="V29" s="1">
        <f t="shared" si="4"/>
        <v>-615.73574308875493</v>
      </c>
      <c r="W29" s="1">
        <f t="shared" si="5"/>
        <v>-407.87874870089382</v>
      </c>
      <c r="X29" s="1">
        <v>10.6404</v>
      </c>
      <c r="Y29" s="1">
        <v>28.9634</v>
      </c>
      <c r="Z29" s="1">
        <v>20.459</v>
      </c>
      <c r="AA29" s="1">
        <v>-1.2302</v>
      </c>
      <c r="AB29" s="1">
        <v>10.5242</v>
      </c>
      <c r="AC29" s="1">
        <v>51.875800000000012</v>
      </c>
      <c r="AD29" s="1">
        <v>106.5702</v>
      </c>
      <c r="AE29" s="1">
        <v>91.686000000000007</v>
      </c>
      <c r="AF29" s="1">
        <v>71.770200000000003</v>
      </c>
      <c r="AG29" s="1">
        <v>57.282799999999988</v>
      </c>
      <c r="AH29" s="1"/>
      <c r="AI29" s="1">
        <f t="shared" si="11"/>
        <v>200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-6.8019999999999996</v>
      </c>
      <c r="D30" s="1"/>
      <c r="E30" s="1">
        <v>-2.738</v>
      </c>
      <c r="F30" s="1">
        <v>-6.8019999999999996</v>
      </c>
      <c r="G30" s="7">
        <v>1</v>
      </c>
      <c r="H30" s="1">
        <v>40</v>
      </c>
      <c r="I30" s="14" t="s">
        <v>67</v>
      </c>
      <c r="J30" s="1"/>
      <c r="K30" s="1"/>
      <c r="L30" s="1">
        <f t="shared" si="2"/>
        <v>-2.738</v>
      </c>
      <c r="M30" s="1"/>
      <c r="N30" s="1"/>
      <c r="O30" s="1">
        <v>500</v>
      </c>
      <c r="P30" s="1">
        <v>-504</v>
      </c>
      <c r="Q30" s="1">
        <v>480</v>
      </c>
      <c r="R30" s="1"/>
      <c r="S30" s="1">
        <v>200.06740199999999</v>
      </c>
      <c r="T30" s="1">
        <f t="shared" si="3"/>
        <v>-0.54759999999999998</v>
      </c>
      <c r="U30" s="5">
        <v>400</v>
      </c>
      <c r="V30" s="1">
        <f t="shared" si="4"/>
        <v>-1952.6395215485757</v>
      </c>
      <c r="W30" s="1">
        <f t="shared" si="5"/>
        <v>-1222.1793316289263</v>
      </c>
      <c r="X30" s="1">
        <v>-0.10059999999999999</v>
      </c>
      <c r="Y30" s="1">
        <v>-0.82639999999999991</v>
      </c>
      <c r="Z30" s="1">
        <v>0.14080000000000001</v>
      </c>
      <c r="AA30" s="1">
        <v>2.6922000000000001</v>
      </c>
      <c r="AB30" s="1">
        <v>93.157600000000002</v>
      </c>
      <c r="AC30" s="1">
        <v>186.66319999999999</v>
      </c>
      <c r="AD30" s="1">
        <v>177.22620000000001</v>
      </c>
      <c r="AE30" s="1">
        <v>205.678</v>
      </c>
      <c r="AF30" s="1">
        <v>192.21559999999999</v>
      </c>
      <c r="AG30" s="1">
        <v>70.557199999999995</v>
      </c>
      <c r="AH30" s="1"/>
      <c r="AI30" s="1">
        <f t="shared" si="11"/>
        <v>400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39</v>
      </c>
      <c r="J31" s="1"/>
      <c r="K31" s="1"/>
      <c r="L31" s="1">
        <f t="shared" si="2"/>
        <v>0</v>
      </c>
      <c r="M31" s="1"/>
      <c r="N31" s="1"/>
      <c r="O31" s="1">
        <v>20</v>
      </c>
      <c r="P31" s="1">
        <v>0</v>
      </c>
      <c r="Q31" s="1"/>
      <c r="R31" s="1"/>
      <c r="S31" s="1">
        <v>0</v>
      </c>
      <c r="T31" s="1">
        <f t="shared" si="3"/>
        <v>0</v>
      </c>
      <c r="U31" s="5">
        <v>10</v>
      </c>
      <c r="V31" s="1" t="e">
        <f t="shared" si="4"/>
        <v>#DIV/0!</v>
      </c>
      <c r="W31" s="1" t="e">
        <f t="shared" si="5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0.87280000000000002</v>
      </c>
      <c r="AD31" s="1">
        <v>8.621599999999999</v>
      </c>
      <c r="AE31" s="1">
        <v>7.7488000000000001</v>
      </c>
      <c r="AF31" s="1">
        <v>-0.42280000000000001</v>
      </c>
      <c r="AG31" s="1">
        <v>-0.42280000000000001</v>
      </c>
      <c r="AH31" s="1"/>
      <c r="AI31" s="1">
        <f t="shared" si="11"/>
        <v>10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39.773000000000003</v>
      </c>
      <c r="D32" s="1">
        <v>5.944</v>
      </c>
      <c r="E32" s="1">
        <v>22.143999999999998</v>
      </c>
      <c r="F32" s="1">
        <v>11.597</v>
      </c>
      <c r="G32" s="7">
        <v>1</v>
      </c>
      <c r="H32" s="1">
        <v>30</v>
      </c>
      <c r="I32" s="1" t="s">
        <v>39</v>
      </c>
      <c r="J32" s="1"/>
      <c r="K32" s="1">
        <v>41.1</v>
      </c>
      <c r="L32" s="1">
        <f t="shared" si="2"/>
        <v>-18.956000000000003</v>
      </c>
      <c r="M32" s="1"/>
      <c r="N32" s="1"/>
      <c r="O32" s="1">
        <v>103.854</v>
      </c>
      <c r="P32" s="1">
        <v>0</v>
      </c>
      <c r="Q32" s="1"/>
      <c r="R32" s="1"/>
      <c r="S32" s="1">
        <v>0</v>
      </c>
      <c r="T32" s="1">
        <f t="shared" si="3"/>
        <v>4.4287999999999998</v>
      </c>
      <c r="U32" s="5"/>
      <c r="V32" s="1">
        <f t="shared" si="4"/>
        <v>26.068235187861273</v>
      </c>
      <c r="W32" s="1">
        <f t="shared" si="5"/>
        <v>26.068235187861273</v>
      </c>
      <c r="X32" s="1">
        <v>9.4892000000000003</v>
      </c>
      <c r="Y32" s="1">
        <v>9.4754000000000005</v>
      </c>
      <c r="Z32" s="1">
        <v>3.5449999999999999</v>
      </c>
      <c r="AA32" s="1">
        <v>0</v>
      </c>
      <c r="AB32" s="1">
        <v>5.3902000000000001</v>
      </c>
      <c r="AC32" s="1">
        <v>10.913</v>
      </c>
      <c r="AD32" s="1">
        <v>11.9476</v>
      </c>
      <c r="AE32" s="1">
        <v>7.6019999999999994</v>
      </c>
      <c r="AF32" s="1">
        <v>9.0299999999999994</v>
      </c>
      <c r="AG32" s="1">
        <v>13.668799999999999</v>
      </c>
      <c r="AH32" s="1"/>
      <c r="AI32" s="1">
        <f t="shared" si="11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38</v>
      </c>
      <c r="C33" s="1">
        <v>13.178000000000001</v>
      </c>
      <c r="D33" s="1">
        <v>177.84200000000001</v>
      </c>
      <c r="E33" s="1">
        <v>63.881999999999998</v>
      </c>
      <c r="F33" s="1">
        <v>101.512</v>
      </c>
      <c r="G33" s="7">
        <v>1</v>
      </c>
      <c r="H33" s="1">
        <v>50</v>
      </c>
      <c r="I33" s="1" t="s">
        <v>39</v>
      </c>
      <c r="J33" s="1"/>
      <c r="K33" s="1">
        <v>61.2</v>
      </c>
      <c r="L33" s="1">
        <f t="shared" si="2"/>
        <v>2.6819999999999951</v>
      </c>
      <c r="M33" s="1"/>
      <c r="N33" s="1"/>
      <c r="O33" s="1"/>
      <c r="P33" s="1"/>
      <c r="Q33" s="1"/>
      <c r="R33" s="1"/>
      <c r="S33" s="1">
        <v>0</v>
      </c>
      <c r="T33" s="1">
        <f t="shared" si="3"/>
        <v>12.776399999999999</v>
      </c>
      <c r="U33" s="5">
        <f t="shared" si="10"/>
        <v>51.8048</v>
      </c>
      <c r="V33" s="1">
        <f t="shared" si="4"/>
        <v>12.000000000000002</v>
      </c>
      <c r="W33" s="1">
        <f t="shared" si="5"/>
        <v>7.9452740991202537</v>
      </c>
      <c r="X33" s="1">
        <v>6.4742000000000006</v>
      </c>
      <c r="Y33" s="1">
        <v>12.1784</v>
      </c>
      <c r="Z33" s="1">
        <v>24.013999999999999</v>
      </c>
      <c r="AA33" s="1">
        <v>21.271599999999999</v>
      </c>
      <c r="AB33" s="1">
        <v>12.952199999999999</v>
      </c>
      <c r="AC33" s="1">
        <v>13.867599999999999</v>
      </c>
      <c r="AD33" s="1">
        <v>15.708600000000001</v>
      </c>
      <c r="AE33" s="1">
        <v>12.254200000000001</v>
      </c>
      <c r="AF33" s="1">
        <v>11.743399999999999</v>
      </c>
      <c r="AG33" s="1">
        <v>12.266</v>
      </c>
      <c r="AH33" s="1"/>
      <c r="AI33" s="1">
        <f t="shared" si="11"/>
        <v>51.8048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9" t="s">
        <v>73</v>
      </c>
      <c r="B34" s="9" t="s">
        <v>38</v>
      </c>
      <c r="C34" s="9">
        <v>35.039000000000001</v>
      </c>
      <c r="D34" s="9">
        <v>0.91200000000000003</v>
      </c>
      <c r="E34" s="9">
        <v>29.971</v>
      </c>
      <c r="F34" s="9">
        <v>2.282</v>
      </c>
      <c r="G34" s="10">
        <v>0</v>
      </c>
      <c r="H34" s="9">
        <v>50</v>
      </c>
      <c r="I34" s="9" t="s">
        <v>63</v>
      </c>
      <c r="J34" s="9"/>
      <c r="K34" s="9">
        <v>30.3</v>
      </c>
      <c r="L34" s="9">
        <f t="shared" si="2"/>
        <v>-0.32900000000000063</v>
      </c>
      <c r="M34" s="9"/>
      <c r="N34" s="9"/>
      <c r="O34" s="9">
        <v>0</v>
      </c>
      <c r="P34" s="9"/>
      <c r="Q34" s="9"/>
      <c r="R34" s="9"/>
      <c r="S34" s="9">
        <v>0</v>
      </c>
      <c r="T34" s="9">
        <f t="shared" si="3"/>
        <v>5.9942000000000002</v>
      </c>
      <c r="U34" s="11"/>
      <c r="V34" s="9">
        <f t="shared" si="4"/>
        <v>0.38070134463314537</v>
      </c>
      <c r="W34" s="9">
        <f t="shared" si="5"/>
        <v>0.38070134463314537</v>
      </c>
      <c r="X34" s="9">
        <v>6.5543999999999993</v>
      </c>
      <c r="Y34" s="9">
        <v>7.2969999999999997</v>
      </c>
      <c r="Z34" s="9">
        <v>12.2094</v>
      </c>
      <c r="AA34" s="9">
        <v>12.5466</v>
      </c>
      <c r="AB34" s="9">
        <v>9.8046000000000006</v>
      </c>
      <c r="AC34" s="9">
        <v>10.172000000000001</v>
      </c>
      <c r="AD34" s="9">
        <v>9.0811999999999991</v>
      </c>
      <c r="AE34" s="9">
        <v>5.2960000000000003</v>
      </c>
      <c r="AF34" s="9">
        <v>9.1239999999999988</v>
      </c>
      <c r="AG34" s="9">
        <v>9.2742000000000004</v>
      </c>
      <c r="AH34" s="9"/>
      <c r="AI34" s="9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38</v>
      </c>
      <c r="C35" s="1">
        <v>61.201999999999998</v>
      </c>
      <c r="D35" s="1">
        <v>106.12</v>
      </c>
      <c r="E35" s="1">
        <v>52.539000000000001</v>
      </c>
      <c r="F35" s="1">
        <v>89.415000000000006</v>
      </c>
      <c r="G35" s="7">
        <v>1</v>
      </c>
      <c r="H35" s="1">
        <v>50</v>
      </c>
      <c r="I35" s="1" t="s">
        <v>39</v>
      </c>
      <c r="J35" s="1"/>
      <c r="K35" s="1">
        <v>51.8</v>
      </c>
      <c r="L35" s="1">
        <f t="shared" si="2"/>
        <v>0.73900000000000432</v>
      </c>
      <c r="M35" s="1"/>
      <c r="N35" s="1"/>
      <c r="O35" s="1">
        <v>0</v>
      </c>
      <c r="P35" s="1"/>
      <c r="Q35" s="1"/>
      <c r="R35" s="1"/>
      <c r="S35" s="1">
        <v>0</v>
      </c>
      <c r="T35" s="1">
        <f t="shared" si="3"/>
        <v>10.5078</v>
      </c>
      <c r="U35" s="5">
        <f t="shared" ref="U35:U45" si="12">12*T35-S35-R35-Q35-P35-O35-F35</f>
        <v>36.678599999999989</v>
      </c>
      <c r="V35" s="1">
        <f t="shared" si="4"/>
        <v>12</v>
      </c>
      <c r="W35" s="1">
        <f t="shared" si="5"/>
        <v>8.5093930223262735</v>
      </c>
      <c r="X35" s="1">
        <v>5.4367999999999999</v>
      </c>
      <c r="Y35" s="1">
        <v>6.6819999999999986</v>
      </c>
      <c r="Z35" s="1">
        <v>14.173999999999999</v>
      </c>
      <c r="AA35" s="1">
        <v>14.984400000000001</v>
      </c>
      <c r="AB35" s="1">
        <v>12.6342</v>
      </c>
      <c r="AC35" s="1">
        <v>12.2704</v>
      </c>
      <c r="AD35" s="1">
        <v>9.8894000000000002</v>
      </c>
      <c r="AE35" s="1">
        <v>6.7754000000000003</v>
      </c>
      <c r="AF35" s="1">
        <v>9.1257999999999999</v>
      </c>
      <c r="AG35" s="1">
        <v>9.4567999999999994</v>
      </c>
      <c r="AH35" s="1"/>
      <c r="AI35" s="1">
        <f t="shared" ref="AI35:AI45" si="13">G35*U35</f>
        <v>36.678599999999989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43</v>
      </c>
      <c r="C36" s="1">
        <v>807</v>
      </c>
      <c r="D36" s="1">
        <v>396</v>
      </c>
      <c r="E36" s="1">
        <v>1084</v>
      </c>
      <c r="F36" s="1">
        <v>52</v>
      </c>
      <c r="G36" s="7">
        <v>0.4</v>
      </c>
      <c r="H36" s="1">
        <v>45</v>
      </c>
      <c r="I36" s="14" t="s">
        <v>67</v>
      </c>
      <c r="J36" s="1"/>
      <c r="K36" s="1">
        <v>1221</v>
      </c>
      <c r="L36" s="1">
        <f t="shared" si="2"/>
        <v>-137</v>
      </c>
      <c r="M36" s="1"/>
      <c r="N36" s="1"/>
      <c r="O36" s="1">
        <v>500</v>
      </c>
      <c r="P36" s="1">
        <v>0</v>
      </c>
      <c r="Q36" s="1"/>
      <c r="R36" s="1"/>
      <c r="S36" s="1">
        <v>610.90800000000002</v>
      </c>
      <c r="T36" s="1">
        <f t="shared" si="3"/>
        <v>216.8</v>
      </c>
      <c r="U36" s="5">
        <v>500</v>
      </c>
      <c r="V36" s="1">
        <f t="shared" si="4"/>
        <v>7.6702398523985229</v>
      </c>
      <c r="W36" s="1">
        <f t="shared" si="5"/>
        <v>5.363966789667896</v>
      </c>
      <c r="X36" s="1">
        <v>207.6</v>
      </c>
      <c r="Y36" s="1">
        <v>159.19999999999999</v>
      </c>
      <c r="Z36" s="1">
        <v>176.4</v>
      </c>
      <c r="AA36" s="1">
        <v>250</v>
      </c>
      <c r="AB36" s="1">
        <v>263.39999999999998</v>
      </c>
      <c r="AC36" s="1">
        <v>260</v>
      </c>
      <c r="AD36" s="1">
        <v>238.2</v>
      </c>
      <c r="AE36" s="1">
        <v>222</v>
      </c>
      <c r="AF36" s="1">
        <v>266.76</v>
      </c>
      <c r="AG36" s="1">
        <v>234.56</v>
      </c>
      <c r="AH36" s="1"/>
      <c r="AI36" s="1">
        <f t="shared" si="13"/>
        <v>200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43</v>
      </c>
      <c r="C37" s="1">
        <v>406</v>
      </c>
      <c r="D37" s="1">
        <v>61</v>
      </c>
      <c r="E37" s="1">
        <v>158</v>
      </c>
      <c r="F37" s="1">
        <v>290</v>
      </c>
      <c r="G37" s="7">
        <v>0.45</v>
      </c>
      <c r="H37" s="1">
        <v>50</v>
      </c>
      <c r="I37" s="1" t="s">
        <v>39</v>
      </c>
      <c r="J37" s="1"/>
      <c r="K37" s="1">
        <v>158</v>
      </c>
      <c r="L37" s="1">
        <f t="shared" si="2"/>
        <v>0</v>
      </c>
      <c r="M37" s="1"/>
      <c r="N37" s="1"/>
      <c r="O37" s="1">
        <v>80.200000000000017</v>
      </c>
      <c r="P37" s="1">
        <v>0</v>
      </c>
      <c r="Q37" s="1"/>
      <c r="R37" s="1"/>
      <c r="S37" s="1">
        <v>0</v>
      </c>
      <c r="T37" s="1">
        <f t="shared" si="3"/>
        <v>31.6</v>
      </c>
      <c r="U37" s="5">
        <f t="shared" si="12"/>
        <v>9</v>
      </c>
      <c r="V37" s="1">
        <f t="shared" si="4"/>
        <v>12.000000000000002</v>
      </c>
      <c r="W37" s="1">
        <f t="shared" si="5"/>
        <v>11.715189873417723</v>
      </c>
      <c r="X37" s="1">
        <v>33.799999999999997</v>
      </c>
      <c r="Y37" s="1">
        <v>31.2</v>
      </c>
      <c r="Z37" s="1">
        <v>42</v>
      </c>
      <c r="AA37" s="1">
        <v>45.4</v>
      </c>
      <c r="AB37" s="1">
        <v>60</v>
      </c>
      <c r="AC37" s="1">
        <v>71</v>
      </c>
      <c r="AD37" s="1">
        <v>44.6</v>
      </c>
      <c r="AE37" s="1">
        <v>24</v>
      </c>
      <c r="AF37" s="1">
        <v>40.4</v>
      </c>
      <c r="AG37" s="1">
        <v>47.8</v>
      </c>
      <c r="AH37" s="1"/>
      <c r="AI37" s="1">
        <f t="shared" si="13"/>
        <v>4.05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43</v>
      </c>
      <c r="C38" s="1">
        <v>152</v>
      </c>
      <c r="D38" s="1">
        <v>6</v>
      </c>
      <c r="E38" s="1">
        <v>139</v>
      </c>
      <c r="F38" s="1">
        <v>17</v>
      </c>
      <c r="G38" s="7">
        <v>0.4</v>
      </c>
      <c r="H38" s="1">
        <v>45</v>
      </c>
      <c r="I38" s="14" t="s">
        <v>67</v>
      </c>
      <c r="J38" s="1"/>
      <c r="K38" s="1">
        <v>253</v>
      </c>
      <c r="L38" s="1">
        <f t="shared" ref="L38:L69" si="14">E38-K38</f>
        <v>-114</v>
      </c>
      <c r="M38" s="1"/>
      <c r="N38" s="1"/>
      <c r="O38" s="1">
        <v>180</v>
      </c>
      <c r="P38" s="1">
        <v>0</v>
      </c>
      <c r="Q38" s="1"/>
      <c r="R38" s="1"/>
      <c r="S38" s="1">
        <v>158.86199999999999</v>
      </c>
      <c r="T38" s="1">
        <f t="shared" ref="T38:T69" si="15">E38/5</f>
        <v>27.8</v>
      </c>
      <c r="U38" s="5">
        <v>150</v>
      </c>
      <c r="V38" s="1">
        <f t="shared" ref="V38:V69" si="16">(F38+O38+P38+Q38+R38+S38+U38)/T38</f>
        <v>18.196474820143884</v>
      </c>
      <c r="W38" s="1">
        <f t="shared" ref="W38:W69" si="17">(F38+O38+P38+Q38+R38+S38)/T38</f>
        <v>12.800791366906473</v>
      </c>
      <c r="X38" s="1">
        <v>61.4</v>
      </c>
      <c r="Y38" s="1">
        <v>43.8</v>
      </c>
      <c r="Z38" s="1">
        <v>19.8</v>
      </c>
      <c r="AA38" s="1">
        <v>19</v>
      </c>
      <c r="AB38" s="1">
        <v>23.4</v>
      </c>
      <c r="AC38" s="1">
        <v>63</v>
      </c>
      <c r="AD38" s="1">
        <v>70.400000000000006</v>
      </c>
      <c r="AE38" s="1">
        <v>69.8</v>
      </c>
      <c r="AF38" s="1">
        <v>86.6</v>
      </c>
      <c r="AG38" s="1">
        <v>51.2</v>
      </c>
      <c r="AH38" s="1"/>
      <c r="AI38" s="1">
        <f t="shared" si="13"/>
        <v>60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43</v>
      </c>
      <c r="C39" s="1">
        <v>76</v>
      </c>
      <c r="D39" s="1">
        <v>6</v>
      </c>
      <c r="E39" s="1">
        <v>56</v>
      </c>
      <c r="F39" s="1">
        <v>14</v>
      </c>
      <c r="G39" s="7">
        <v>0.4</v>
      </c>
      <c r="H39" s="1">
        <v>40</v>
      </c>
      <c r="I39" s="14" t="s">
        <v>67</v>
      </c>
      <c r="J39" s="1"/>
      <c r="K39" s="1">
        <v>60</v>
      </c>
      <c r="L39" s="1">
        <f t="shared" si="14"/>
        <v>-4</v>
      </c>
      <c r="M39" s="1"/>
      <c r="N39" s="1"/>
      <c r="O39" s="1">
        <v>40</v>
      </c>
      <c r="P39" s="1">
        <v>0</v>
      </c>
      <c r="Q39" s="1"/>
      <c r="R39" s="1"/>
      <c r="S39" s="1">
        <v>40</v>
      </c>
      <c r="T39" s="1">
        <f t="shared" si="15"/>
        <v>11.2</v>
      </c>
      <c r="U39" s="5">
        <v>30</v>
      </c>
      <c r="V39" s="1">
        <f t="shared" si="16"/>
        <v>11.071428571428573</v>
      </c>
      <c r="W39" s="1">
        <f t="shared" si="17"/>
        <v>8.3928571428571441</v>
      </c>
      <c r="X39" s="1">
        <v>12</v>
      </c>
      <c r="Y39" s="1">
        <v>6.6</v>
      </c>
      <c r="Z39" s="1">
        <v>6.2</v>
      </c>
      <c r="AA39" s="1">
        <v>6</v>
      </c>
      <c r="AB39" s="1">
        <v>6.6</v>
      </c>
      <c r="AC39" s="1">
        <v>14.2</v>
      </c>
      <c r="AD39" s="1">
        <v>15.4</v>
      </c>
      <c r="AE39" s="1">
        <v>8.1999999999999993</v>
      </c>
      <c r="AF39" s="1">
        <v>4.5999999999999996</v>
      </c>
      <c r="AG39" s="1">
        <v>2.4</v>
      </c>
      <c r="AH39" s="1"/>
      <c r="AI39" s="1">
        <f t="shared" si="13"/>
        <v>12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38</v>
      </c>
      <c r="C40" s="1">
        <v>2.488</v>
      </c>
      <c r="D40" s="1"/>
      <c r="E40" s="1"/>
      <c r="F40" s="1"/>
      <c r="G40" s="7">
        <v>1</v>
      </c>
      <c r="H40" s="1">
        <v>45</v>
      </c>
      <c r="I40" s="1" t="s">
        <v>39</v>
      </c>
      <c r="J40" s="1"/>
      <c r="K40" s="1">
        <v>4.4000000000000004</v>
      </c>
      <c r="L40" s="1">
        <f t="shared" si="14"/>
        <v>-4.4000000000000004</v>
      </c>
      <c r="M40" s="1"/>
      <c r="N40" s="1"/>
      <c r="O40" s="1">
        <v>30</v>
      </c>
      <c r="P40" s="1">
        <v>0</v>
      </c>
      <c r="Q40" s="1"/>
      <c r="R40" s="1"/>
      <c r="S40" s="1">
        <v>30</v>
      </c>
      <c r="T40" s="1">
        <f t="shared" si="15"/>
        <v>0</v>
      </c>
      <c r="U40" s="5">
        <v>20</v>
      </c>
      <c r="V40" s="1" t="e">
        <f t="shared" si="16"/>
        <v>#DIV/0!</v>
      </c>
      <c r="W40" s="1" t="e">
        <f t="shared" si="17"/>
        <v>#DIV/0!</v>
      </c>
      <c r="X40" s="1">
        <v>0</v>
      </c>
      <c r="Y40" s="1">
        <v>0</v>
      </c>
      <c r="Z40" s="1">
        <v>2.0533999999999999</v>
      </c>
      <c r="AA40" s="1">
        <v>4.7110000000000003</v>
      </c>
      <c r="AB40" s="1">
        <v>5.5636000000000001</v>
      </c>
      <c r="AC40" s="1">
        <v>4.6311999999999998</v>
      </c>
      <c r="AD40" s="1">
        <v>2.2968000000000002</v>
      </c>
      <c r="AE40" s="1">
        <v>2.3052000000000001</v>
      </c>
      <c r="AF40" s="1">
        <v>2.8776000000000002</v>
      </c>
      <c r="AG40" s="1">
        <v>1.722</v>
      </c>
      <c r="AH40" s="1"/>
      <c r="AI40" s="1">
        <f t="shared" si="13"/>
        <v>20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43</v>
      </c>
      <c r="C41" s="1">
        <v>1015</v>
      </c>
      <c r="D41" s="1">
        <v>20</v>
      </c>
      <c r="E41" s="1">
        <v>289</v>
      </c>
      <c r="F41" s="1">
        <v>694</v>
      </c>
      <c r="G41" s="7">
        <v>0.1</v>
      </c>
      <c r="H41" s="1">
        <v>731</v>
      </c>
      <c r="I41" s="1" t="s">
        <v>39</v>
      </c>
      <c r="J41" s="1"/>
      <c r="K41" s="1">
        <v>247</v>
      </c>
      <c r="L41" s="1">
        <f t="shared" si="14"/>
        <v>42</v>
      </c>
      <c r="M41" s="1"/>
      <c r="N41" s="1"/>
      <c r="O41" s="1">
        <v>0</v>
      </c>
      <c r="P41" s="1"/>
      <c r="Q41" s="1"/>
      <c r="R41" s="1"/>
      <c r="S41" s="1">
        <v>0</v>
      </c>
      <c r="T41" s="1">
        <f t="shared" si="15"/>
        <v>57.8</v>
      </c>
      <c r="U41" s="5"/>
      <c r="V41" s="1">
        <f t="shared" si="16"/>
        <v>12.006920415224915</v>
      </c>
      <c r="W41" s="1">
        <f t="shared" si="17"/>
        <v>12.006920415224915</v>
      </c>
      <c r="X41" s="1">
        <v>47.8</v>
      </c>
      <c r="Y41" s="1">
        <v>59.6</v>
      </c>
      <c r="Z41" s="1">
        <v>64.2</v>
      </c>
      <c r="AA41" s="1">
        <v>86</v>
      </c>
      <c r="AB41" s="1">
        <v>87.2</v>
      </c>
      <c r="AC41" s="1">
        <v>66.599999999999994</v>
      </c>
      <c r="AD41" s="1">
        <v>65.400000000000006</v>
      </c>
      <c r="AE41" s="1">
        <v>37.6</v>
      </c>
      <c r="AF41" s="1">
        <v>47</v>
      </c>
      <c r="AG41" s="1">
        <v>61</v>
      </c>
      <c r="AH41" s="1"/>
      <c r="AI41" s="1">
        <f t="shared" si="1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43</v>
      </c>
      <c r="C42" s="1">
        <v>10</v>
      </c>
      <c r="D42" s="1"/>
      <c r="E42" s="1">
        <v>-4</v>
      </c>
      <c r="F42" s="1">
        <v>5</v>
      </c>
      <c r="G42" s="7">
        <v>0.35</v>
      </c>
      <c r="H42" s="1">
        <v>40</v>
      </c>
      <c r="I42" s="1" t="s">
        <v>39</v>
      </c>
      <c r="J42" s="1"/>
      <c r="K42" s="1">
        <v>98</v>
      </c>
      <c r="L42" s="1">
        <f t="shared" si="14"/>
        <v>-102</v>
      </c>
      <c r="M42" s="1"/>
      <c r="N42" s="1"/>
      <c r="O42" s="1">
        <v>11</v>
      </c>
      <c r="P42" s="1">
        <v>-4.2</v>
      </c>
      <c r="Q42" s="1"/>
      <c r="R42" s="1"/>
      <c r="S42" s="1">
        <v>100</v>
      </c>
      <c r="T42" s="1">
        <f t="shared" si="15"/>
        <v>-0.8</v>
      </c>
      <c r="U42" s="5">
        <v>100</v>
      </c>
      <c r="V42" s="1">
        <f t="shared" si="16"/>
        <v>-264.75</v>
      </c>
      <c r="W42" s="1">
        <f t="shared" si="17"/>
        <v>-139.75</v>
      </c>
      <c r="X42" s="1">
        <v>3.8</v>
      </c>
      <c r="Y42" s="1">
        <v>1.4</v>
      </c>
      <c r="Z42" s="1">
        <v>-3</v>
      </c>
      <c r="AA42" s="1">
        <v>5.6</v>
      </c>
      <c r="AB42" s="1">
        <v>29.2</v>
      </c>
      <c r="AC42" s="1">
        <v>53.2</v>
      </c>
      <c r="AD42" s="1">
        <v>48</v>
      </c>
      <c r="AE42" s="1">
        <v>28</v>
      </c>
      <c r="AF42" s="1">
        <v>33.799999999999997</v>
      </c>
      <c r="AG42" s="1">
        <v>35.200000000000003</v>
      </c>
      <c r="AH42" s="1"/>
      <c r="AI42" s="1">
        <f t="shared" si="13"/>
        <v>35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38</v>
      </c>
      <c r="C43" s="1">
        <v>103.61799999999999</v>
      </c>
      <c r="D43" s="1">
        <v>117.595</v>
      </c>
      <c r="E43" s="1">
        <v>110.137</v>
      </c>
      <c r="F43" s="1">
        <v>92.116</v>
      </c>
      <c r="G43" s="7">
        <v>1</v>
      </c>
      <c r="H43" s="1">
        <v>40</v>
      </c>
      <c r="I43" s="1" t="s">
        <v>39</v>
      </c>
      <c r="J43" s="1"/>
      <c r="K43" s="1">
        <v>115.7</v>
      </c>
      <c r="L43" s="1">
        <f t="shared" si="14"/>
        <v>-5.5630000000000024</v>
      </c>
      <c r="M43" s="1"/>
      <c r="N43" s="1"/>
      <c r="O43" s="1">
        <v>131.11619999999999</v>
      </c>
      <c r="P43" s="1">
        <v>0</v>
      </c>
      <c r="Q43" s="1"/>
      <c r="R43" s="1"/>
      <c r="S43" s="1">
        <v>0</v>
      </c>
      <c r="T43" s="1">
        <f t="shared" si="15"/>
        <v>22.0274</v>
      </c>
      <c r="U43" s="5">
        <f t="shared" si="12"/>
        <v>41.096600000000009</v>
      </c>
      <c r="V43" s="1">
        <f t="shared" si="16"/>
        <v>12</v>
      </c>
      <c r="W43" s="1">
        <f t="shared" si="17"/>
        <v>10.134296376331296</v>
      </c>
      <c r="X43" s="1">
        <v>19.802399999999999</v>
      </c>
      <c r="Y43" s="1">
        <v>21.879200000000001</v>
      </c>
      <c r="Z43" s="1">
        <v>21.395800000000001</v>
      </c>
      <c r="AA43" s="1">
        <v>23.605599999999999</v>
      </c>
      <c r="AB43" s="1">
        <v>23.142399999999999</v>
      </c>
      <c r="AC43" s="1">
        <v>25.816199999999998</v>
      </c>
      <c r="AD43" s="1">
        <v>21.3096</v>
      </c>
      <c r="AE43" s="1">
        <v>20.192399999999999</v>
      </c>
      <c r="AF43" s="1">
        <v>27.465599999999998</v>
      </c>
      <c r="AG43" s="1">
        <v>16.9666</v>
      </c>
      <c r="AH43" s="1"/>
      <c r="AI43" s="1">
        <f t="shared" si="13"/>
        <v>41.096600000000009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43</v>
      </c>
      <c r="C44" s="1">
        <v>28</v>
      </c>
      <c r="D44" s="1">
        <v>6</v>
      </c>
      <c r="E44" s="1">
        <v>31</v>
      </c>
      <c r="F44" s="1">
        <v>1</v>
      </c>
      <c r="G44" s="7">
        <v>0.4</v>
      </c>
      <c r="H44" s="1">
        <v>40</v>
      </c>
      <c r="I44" s="14" t="s">
        <v>67</v>
      </c>
      <c r="J44" s="1"/>
      <c r="K44" s="1">
        <v>75</v>
      </c>
      <c r="L44" s="1">
        <f t="shared" si="14"/>
        <v>-44</v>
      </c>
      <c r="M44" s="1"/>
      <c r="N44" s="1"/>
      <c r="O44" s="1">
        <v>120</v>
      </c>
      <c r="P44" s="1">
        <v>0</v>
      </c>
      <c r="Q44" s="1"/>
      <c r="R44" s="1"/>
      <c r="S44" s="1">
        <v>40</v>
      </c>
      <c r="T44" s="1">
        <f t="shared" si="15"/>
        <v>6.2</v>
      </c>
      <c r="U44" s="5">
        <v>40</v>
      </c>
      <c r="V44" s="1">
        <f t="shared" si="16"/>
        <v>32.41935483870968</v>
      </c>
      <c r="W44" s="1">
        <f t="shared" si="17"/>
        <v>25.967741935483872</v>
      </c>
      <c r="X44" s="1">
        <v>16.399999999999999</v>
      </c>
      <c r="Y44" s="1">
        <v>13.2</v>
      </c>
      <c r="Z44" s="1">
        <v>1</v>
      </c>
      <c r="AA44" s="1">
        <v>0</v>
      </c>
      <c r="AB44" s="1">
        <v>-0.4</v>
      </c>
      <c r="AC44" s="1">
        <v>1.6</v>
      </c>
      <c r="AD44" s="1">
        <v>15.4</v>
      </c>
      <c r="AE44" s="1">
        <v>26.8</v>
      </c>
      <c r="AF44" s="1">
        <v>22.6</v>
      </c>
      <c r="AG44" s="1">
        <v>12.6</v>
      </c>
      <c r="AH44" s="1"/>
      <c r="AI44" s="1">
        <f t="shared" si="13"/>
        <v>16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43</v>
      </c>
      <c r="C45" s="1">
        <v>191</v>
      </c>
      <c r="D45" s="1">
        <v>6</v>
      </c>
      <c r="E45" s="1">
        <v>109</v>
      </c>
      <c r="F45" s="1">
        <v>73</v>
      </c>
      <c r="G45" s="7">
        <v>0.4</v>
      </c>
      <c r="H45" s="1">
        <v>45</v>
      </c>
      <c r="I45" s="14" t="s">
        <v>67</v>
      </c>
      <c r="J45" s="1"/>
      <c r="K45" s="1">
        <v>112</v>
      </c>
      <c r="L45" s="1">
        <f t="shared" si="14"/>
        <v>-3</v>
      </c>
      <c r="M45" s="1"/>
      <c r="N45" s="1"/>
      <c r="O45" s="1">
        <v>80</v>
      </c>
      <c r="P45" s="1">
        <v>0</v>
      </c>
      <c r="Q45" s="1"/>
      <c r="R45" s="1"/>
      <c r="S45" s="1">
        <v>90</v>
      </c>
      <c r="T45" s="1">
        <f t="shared" si="15"/>
        <v>21.8</v>
      </c>
      <c r="U45" s="5">
        <f t="shared" si="12"/>
        <v>18.600000000000023</v>
      </c>
      <c r="V45" s="1">
        <f t="shared" si="16"/>
        <v>12</v>
      </c>
      <c r="W45" s="1">
        <f t="shared" si="17"/>
        <v>11.146788990825687</v>
      </c>
      <c r="X45" s="1">
        <v>26.4</v>
      </c>
      <c r="Y45" s="1">
        <v>14.8</v>
      </c>
      <c r="Z45" s="1">
        <v>2.4</v>
      </c>
      <c r="AA45" s="1">
        <v>0</v>
      </c>
      <c r="AB45" s="1">
        <v>18</v>
      </c>
      <c r="AC45" s="1">
        <v>37.6</v>
      </c>
      <c r="AD45" s="1">
        <v>30.2</v>
      </c>
      <c r="AE45" s="1">
        <v>22.4</v>
      </c>
      <c r="AF45" s="1">
        <v>21.8</v>
      </c>
      <c r="AG45" s="1">
        <v>19.600000000000001</v>
      </c>
      <c r="AH45" s="1"/>
      <c r="AI45" s="1">
        <f t="shared" si="13"/>
        <v>7.4400000000000093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9" t="s">
        <v>85</v>
      </c>
      <c r="B46" s="9" t="s">
        <v>38</v>
      </c>
      <c r="C46" s="9">
        <v>3.63</v>
      </c>
      <c r="D46" s="9"/>
      <c r="E46" s="9">
        <v>-2.1829999999999998</v>
      </c>
      <c r="F46" s="9">
        <v>2.2000000000000002</v>
      </c>
      <c r="G46" s="10">
        <v>0</v>
      </c>
      <c r="H46" s="9">
        <v>40</v>
      </c>
      <c r="I46" s="9" t="s">
        <v>63</v>
      </c>
      <c r="J46" s="9"/>
      <c r="K46" s="9">
        <v>30.9</v>
      </c>
      <c r="L46" s="9">
        <f t="shared" si="14"/>
        <v>-33.082999999999998</v>
      </c>
      <c r="M46" s="9"/>
      <c r="N46" s="9"/>
      <c r="O46" s="9">
        <v>0</v>
      </c>
      <c r="P46" s="9"/>
      <c r="Q46" s="9"/>
      <c r="R46" s="9"/>
      <c r="S46" s="9">
        <v>0</v>
      </c>
      <c r="T46" s="9">
        <f t="shared" si="15"/>
        <v>-0.43659999999999999</v>
      </c>
      <c r="U46" s="11"/>
      <c r="V46" s="9">
        <f t="shared" si="16"/>
        <v>-5.0389372423270737</v>
      </c>
      <c r="W46" s="9">
        <f t="shared" si="17"/>
        <v>-5.0389372423270737</v>
      </c>
      <c r="X46" s="9">
        <v>-0.43659999999999999</v>
      </c>
      <c r="Y46" s="9">
        <v>-0.28799999999999998</v>
      </c>
      <c r="Z46" s="9">
        <v>0.14779999999999999</v>
      </c>
      <c r="AA46" s="9">
        <v>9.0436000000000014</v>
      </c>
      <c r="AB46" s="9">
        <v>13.8338</v>
      </c>
      <c r="AC46" s="9">
        <v>14.6386</v>
      </c>
      <c r="AD46" s="9">
        <v>12.710599999999999</v>
      </c>
      <c r="AE46" s="9">
        <v>6.6037999999999997</v>
      </c>
      <c r="AF46" s="9">
        <v>9.2596000000000007</v>
      </c>
      <c r="AG46" s="9">
        <v>9.5682000000000009</v>
      </c>
      <c r="AH46" s="9"/>
      <c r="AI46" s="9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38</v>
      </c>
      <c r="C47" s="1">
        <v>193.14599999999999</v>
      </c>
      <c r="D47" s="1">
        <v>47.814999999999998</v>
      </c>
      <c r="E47" s="1">
        <v>104.639</v>
      </c>
      <c r="F47" s="1">
        <v>116.729</v>
      </c>
      <c r="G47" s="7">
        <v>1</v>
      </c>
      <c r="H47" s="1">
        <v>40</v>
      </c>
      <c r="I47" s="1" t="s">
        <v>39</v>
      </c>
      <c r="J47" s="1"/>
      <c r="K47" s="1">
        <v>105.8</v>
      </c>
      <c r="L47" s="1">
        <f t="shared" si="14"/>
        <v>-1.1610000000000014</v>
      </c>
      <c r="M47" s="1"/>
      <c r="N47" s="1"/>
      <c r="O47" s="1">
        <v>45.519800000000018</v>
      </c>
      <c r="P47" s="1">
        <v>0</v>
      </c>
      <c r="Q47" s="1"/>
      <c r="R47" s="1"/>
      <c r="S47" s="1">
        <v>0</v>
      </c>
      <c r="T47" s="1">
        <f t="shared" si="15"/>
        <v>20.927799999999998</v>
      </c>
      <c r="U47" s="5">
        <f t="shared" ref="U47:U72" si="18">12*T47-S47-R47-Q47-P47-O47-F47</f>
        <v>88.88479999999997</v>
      </c>
      <c r="V47" s="1">
        <f t="shared" si="16"/>
        <v>12.000000000000002</v>
      </c>
      <c r="W47" s="1">
        <f t="shared" si="17"/>
        <v>7.7527881573791815</v>
      </c>
      <c r="X47" s="1">
        <v>16.421600000000002</v>
      </c>
      <c r="Y47" s="1">
        <v>18.161000000000001</v>
      </c>
      <c r="Z47" s="1">
        <v>19.6008</v>
      </c>
      <c r="AA47" s="1">
        <v>24.483599999999999</v>
      </c>
      <c r="AB47" s="1">
        <v>29.43</v>
      </c>
      <c r="AC47" s="1">
        <v>32.792200000000001</v>
      </c>
      <c r="AD47" s="1">
        <v>25.5106</v>
      </c>
      <c r="AE47" s="1">
        <v>21.378599999999999</v>
      </c>
      <c r="AF47" s="1">
        <v>28.646000000000001</v>
      </c>
      <c r="AG47" s="1">
        <v>20.747199999999999</v>
      </c>
      <c r="AH47" s="1"/>
      <c r="AI47" s="1">
        <f t="shared" ref="AI47:AI72" si="19">G47*U47</f>
        <v>88.88479999999997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43</v>
      </c>
      <c r="C48" s="1">
        <v>826</v>
      </c>
      <c r="D48" s="1">
        <v>133</v>
      </c>
      <c r="E48" s="1">
        <v>445</v>
      </c>
      <c r="F48" s="1">
        <v>401</v>
      </c>
      <c r="G48" s="7">
        <v>0.35</v>
      </c>
      <c r="H48" s="1">
        <v>40</v>
      </c>
      <c r="I48" s="1" t="s">
        <v>39</v>
      </c>
      <c r="J48" s="1"/>
      <c r="K48" s="1">
        <v>460</v>
      </c>
      <c r="L48" s="1">
        <f t="shared" si="14"/>
        <v>-15</v>
      </c>
      <c r="M48" s="1"/>
      <c r="N48" s="1"/>
      <c r="O48" s="1">
        <v>0</v>
      </c>
      <c r="P48" s="1"/>
      <c r="Q48" s="1"/>
      <c r="R48" s="1"/>
      <c r="S48" s="1">
        <v>70.799999999999955</v>
      </c>
      <c r="T48" s="1">
        <f t="shared" si="15"/>
        <v>89</v>
      </c>
      <c r="U48" s="5">
        <f t="shared" si="18"/>
        <v>596.20000000000005</v>
      </c>
      <c r="V48" s="1">
        <f t="shared" si="16"/>
        <v>12</v>
      </c>
      <c r="W48" s="1">
        <f t="shared" si="17"/>
        <v>5.3011235955056177</v>
      </c>
      <c r="X48" s="1">
        <v>59.8</v>
      </c>
      <c r="Y48" s="1">
        <v>29.4</v>
      </c>
      <c r="Z48" s="1">
        <v>28.2</v>
      </c>
      <c r="AA48" s="1">
        <v>68</v>
      </c>
      <c r="AB48" s="1">
        <v>90.8</v>
      </c>
      <c r="AC48" s="1">
        <v>100.4</v>
      </c>
      <c r="AD48" s="1">
        <v>88.8</v>
      </c>
      <c r="AE48" s="1">
        <v>72.599999999999994</v>
      </c>
      <c r="AF48" s="1">
        <v>95.6</v>
      </c>
      <c r="AG48" s="1">
        <v>83</v>
      </c>
      <c r="AH48" s="1"/>
      <c r="AI48" s="1">
        <f t="shared" si="19"/>
        <v>208.67000000000002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43</v>
      </c>
      <c r="C49" s="1">
        <v>170</v>
      </c>
      <c r="D49" s="1">
        <v>6</v>
      </c>
      <c r="E49" s="1">
        <v>168</v>
      </c>
      <c r="F49" s="1">
        <v>6</v>
      </c>
      <c r="G49" s="7">
        <v>0.4</v>
      </c>
      <c r="H49" s="1">
        <v>40</v>
      </c>
      <c r="I49" s="14" t="s">
        <v>67</v>
      </c>
      <c r="J49" s="1"/>
      <c r="K49" s="1">
        <v>258</v>
      </c>
      <c r="L49" s="1">
        <f t="shared" si="14"/>
        <v>-90</v>
      </c>
      <c r="M49" s="1"/>
      <c r="N49" s="1"/>
      <c r="O49" s="1">
        <v>200</v>
      </c>
      <c r="P49" s="1">
        <v>0</v>
      </c>
      <c r="Q49" s="1"/>
      <c r="R49" s="1"/>
      <c r="S49" s="1">
        <v>192.83199999999999</v>
      </c>
      <c r="T49" s="1">
        <f t="shared" si="15"/>
        <v>33.6</v>
      </c>
      <c r="U49" s="5">
        <v>50</v>
      </c>
      <c r="V49" s="1">
        <f t="shared" si="16"/>
        <v>13.358095238095236</v>
      </c>
      <c r="W49" s="1">
        <f t="shared" si="17"/>
        <v>11.87</v>
      </c>
      <c r="X49" s="1">
        <v>70.400000000000006</v>
      </c>
      <c r="Y49" s="1">
        <v>38.799999999999997</v>
      </c>
      <c r="Z49" s="1">
        <v>-0.4</v>
      </c>
      <c r="AA49" s="1">
        <v>4.8</v>
      </c>
      <c r="AB49" s="1">
        <v>60.6</v>
      </c>
      <c r="AC49" s="1">
        <v>80.400000000000006</v>
      </c>
      <c r="AD49" s="1">
        <v>31</v>
      </c>
      <c r="AE49" s="1">
        <v>47</v>
      </c>
      <c r="AF49" s="1">
        <v>79.599999999999994</v>
      </c>
      <c r="AG49" s="1">
        <v>60</v>
      </c>
      <c r="AH49" s="1"/>
      <c r="AI49" s="1">
        <f t="shared" si="19"/>
        <v>20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38</v>
      </c>
      <c r="C50" s="1">
        <v>70.408000000000001</v>
      </c>
      <c r="D50" s="1">
        <v>110.491</v>
      </c>
      <c r="E50" s="1">
        <v>41.866</v>
      </c>
      <c r="F50" s="1">
        <v>136.06100000000001</v>
      </c>
      <c r="G50" s="7">
        <v>1</v>
      </c>
      <c r="H50" s="1">
        <v>50</v>
      </c>
      <c r="I50" s="1" t="s">
        <v>39</v>
      </c>
      <c r="J50" s="1"/>
      <c r="K50" s="1">
        <v>39.299999999999997</v>
      </c>
      <c r="L50" s="1">
        <f t="shared" si="14"/>
        <v>2.5660000000000025</v>
      </c>
      <c r="M50" s="1"/>
      <c r="N50" s="1"/>
      <c r="O50" s="1">
        <v>0</v>
      </c>
      <c r="P50" s="1"/>
      <c r="Q50" s="1"/>
      <c r="R50" s="1"/>
      <c r="S50" s="1">
        <v>0</v>
      </c>
      <c r="T50" s="1">
        <f t="shared" si="15"/>
        <v>8.3732000000000006</v>
      </c>
      <c r="U50" s="5"/>
      <c r="V50" s="1">
        <f t="shared" si="16"/>
        <v>16.249581999713371</v>
      </c>
      <c r="W50" s="1">
        <f t="shared" si="17"/>
        <v>16.249581999713371</v>
      </c>
      <c r="X50" s="1">
        <v>5.0987999999999998</v>
      </c>
      <c r="Y50" s="1">
        <v>3.4666000000000001</v>
      </c>
      <c r="Z50" s="1">
        <v>8.6292000000000009</v>
      </c>
      <c r="AA50" s="1">
        <v>14.634600000000001</v>
      </c>
      <c r="AB50" s="1">
        <v>11.626799999999999</v>
      </c>
      <c r="AC50" s="1">
        <v>6.9311999999999996</v>
      </c>
      <c r="AD50" s="1">
        <v>5.5941999999999998</v>
      </c>
      <c r="AE50" s="1">
        <v>8.6849999999999987</v>
      </c>
      <c r="AF50" s="1">
        <v>11.409000000000001</v>
      </c>
      <c r="AG50" s="1">
        <v>5.1622000000000003</v>
      </c>
      <c r="AH50" s="16" t="s">
        <v>54</v>
      </c>
      <c r="AI50" s="1">
        <f t="shared" si="19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38</v>
      </c>
      <c r="C51" s="1">
        <v>239.66900000000001</v>
      </c>
      <c r="D51" s="1">
        <v>2.6880000000000002</v>
      </c>
      <c r="E51" s="1">
        <v>106.001</v>
      </c>
      <c r="F51" s="1">
        <v>127.965</v>
      </c>
      <c r="G51" s="7">
        <v>1</v>
      </c>
      <c r="H51" s="1">
        <v>50</v>
      </c>
      <c r="I51" s="1" t="s">
        <v>39</v>
      </c>
      <c r="J51" s="1"/>
      <c r="K51" s="1">
        <v>95.8</v>
      </c>
      <c r="L51" s="1">
        <f t="shared" si="14"/>
        <v>10.201000000000008</v>
      </c>
      <c r="M51" s="1"/>
      <c r="N51" s="1"/>
      <c r="O51" s="1">
        <v>70.564000000000021</v>
      </c>
      <c r="P51" s="1">
        <v>0</v>
      </c>
      <c r="Q51" s="1"/>
      <c r="R51" s="1"/>
      <c r="S51" s="1">
        <v>0</v>
      </c>
      <c r="T51" s="1">
        <f t="shared" si="15"/>
        <v>21.200200000000002</v>
      </c>
      <c r="U51" s="5">
        <f t="shared" si="18"/>
        <v>55.873400000000004</v>
      </c>
      <c r="V51" s="1">
        <f t="shared" si="16"/>
        <v>12</v>
      </c>
      <c r="W51" s="1">
        <f t="shared" si="17"/>
        <v>9.3644871274799293</v>
      </c>
      <c r="X51" s="1">
        <v>14.8202</v>
      </c>
      <c r="Y51" s="1">
        <v>20.593</v>
      </c>
      <c r="Z51" s="1">
        <v>27.026800000000001</v>
      </c>
      <c r="AA51" s="1">
        <v>24.317599999999999</v>
      </c>
      <c r="AB51" s="1">
        <v>22.387</v>
      </c>
      <c r="AC51" s="1">
        <v>17.299399999999999</v>
      </c>
      <c r="AD51" s="1">
        <v>20.2286</v>
      </c>
      <c r="AE51" s="1">
        <v>30.904399999999999</v>
      </c>
      <c r="AF51" s="1">
        <v>32.477800000000002</v>
      </c>
      <c r="AG51" s="1">
        <v>18.959</v>
      </c>
      <c r="AH51" s="1"/>
      <c r="AI51" s="1">
        <f t="shared" si="19"/>
        <v>55.873400000000004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38</v>
      </c>
      <c r="C52" s="1">
        <v>11.65</v>
      </c>
      <c r="D52" s="1"/>
      <c r="E52" s="1">
        <v>2.8969999999999998</v>
      </c>
      <c r="F52" s="1">
        <v>-0.125</v>
      </c>
      <c r="G52" s="7">
        <v>1</v>
      </c>
      <c r="H52" s="1">
        <v>45</v>
      </c>
      <c r="I52" s="14" t="s">
        <v>67</v>
      </c>
      <c r="J52" s="1"/>
      <c r="K52" s="1">
        <v>23.4</v>
      </c>
      <c r="L52" s="1">
        <f t="shared" si="14"/>
        <v>-20.503</v>
      </c>
      <c r="M52" s="1"/>
      <c r="N52" s="1"/>
      <c r="O52" s="1">
        <v>300</v>
      </c>
      <c r="P52" s="1">
        <v>-306</v>
      </c>
      <c r="Q52" s="1"/>
      <c r="R52" s="1"/>
      <c r="S52" s="1">
        <v>137.17553000000001</v>
      </c>
      <c r="T52" s="1">
        <f t="shared" si="15"/>
        <v>0.57939999999999992</v>
      </c>
      <c r="U52" s="5">
        <v>80</v>
      </c>
      <c r="V52" s="1">
        <f t="shared" si="16"/>
        <v>364.25704176734558</v>
      </c>
      <c r="W52" s="1">
        <f t="shared" si="17"/>
        <v>226.18317224715227</v>
      </c>
      <c r="X52" s="1">
        <v>19.140999999999998</v>
      </c>
      <c r="Y52" s="1">
        <v>23.854800000000001</v>
      </c>
      <c r="Z52" s="1">
        <v>5.6736000000000004</v>
      </c>
      <c r="AA52" s="1">
        <v>9.59</v>
      </c>
      <c r="AB52" s="1">
        <v>25.247399999999999</v>
      </c>
      <c r="AC52" s="1">
        <v>16.625399999999999</v>
      </c>
      <c r="AD52" s="1">
        <v>0.30599999999999999</v>
      </c>
      <c r="AE52" s="1">
        <v>1.5204</v>
      </c>
      <c r="AF52" s="1">
        <v>10.6396</v>
      </c>
      <c r="AG52" s="1">
        <v>9.4252000000000002</v>
      </c>
      <c r="AH52" s="1"/>
      <c r="AI52" s="1">
        <f t="shared" si="19"/>
        <v>80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43</v>
      </c>
      <c r="C53" s="1">
        <v>196</v>
      </c>
      <c r="D53" s="1">
        <v>53</v>
      </c>
      <c r="E53" s="1">
        <v>98</v>
      </c>
      <c r="F53" s="1">
        <v>128</v>
      </c>
      <c r="G53" s="7">
        <v>0.45</v>
      </c>
      <c r="H53" s="1">
        <v>50</v>
      </c>
      <c r="I53" s="1" t="s">
        <v>39</v>
      </c>
      <c r="J53" s="1"/>
      <c r="K53" s="1">
        <v>103</v>
      </c>
      <c r="L53" s="1">
        <f t="shared" si="14"/>
        <v>-5</v>
      </c>
      <c r="M53" s="1"/>
      <c r="N53" s="1"/>
      <c r="O53" s="1">
        <v>95.600000000000051</v>
      </c>
      <c r="P53" s="1">
        <v>0</v>
      </c>
      <c r="Q53" s="1"/>
      <c r="R53" s="1"/>
      <c r="S53" s="1">
        <v>0</v>
      </c>
      <c r="T53" s="1">
        <f t="shared" si="15"/>
        <v>19.600000000000001</v>
      </c>
      <c r="U53" s="5">
        <f t="shared" si="18"/>
        <v>11.599999999999966</v>
      </c>
      <c r="V53" s="1">
        <f t="shared" si="16"/>
        <v>12</v>
      </c>
      <c r="W53" s="1">
        <f t="shared" si="17"/>
        <v>11.408163265306124</v>
      </c>
      <c r="X53" s="1">
        <v>21.8</v>
      </c>
      <c r="Y53" s="1">
        <v>20.2</v>
      </c>
      <c r="Z53" s="1">
        <v>25.4</v>
      </c>
      <c r="AA53" s="1">
        <v>24.4</v>
      </c>
      <c r="AB53" s="1">
        <v>20.8</v>
      </c>
      <c r="AC53" s="1">
        <v>31</v>
      </c>
      <c r="AD53" s="1">
        <v>31.8</v>
      </c>
      <c r="AE53" s="1">
        <v>22.2</v>
      </c>
      <c r="AF53" s="1">
        <v>21.8</v>
      </c>
      <c r="AG53" s="1">
        <v>22.8</v>
      </c>
      <c r="AH53" s="1"/>
      <c r="AI53" s="1">
        <f t="shared" si="19"/>
        <v>5.2199999999999847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43</v>
      </c>
      <c r="C54" s="1">
        <v>412</v>
      </c>
      <c r="D54" s="1">
        <v>200</v>
      </c>
      <c r="E54" s="1">
        <v>120</v>
      </c>
      <c r="F54" s="1">
        <v>478</v>
      </c>
      <c r="G54" s="7">
        <v>0.45</v>
      </c>
      <c r="H54" s="1">
        <v>50</v>
      </c>
      <c r="I54" s="1" t="s">
        <v>39</v>
      </c>
      <c r="J54" s="1"/>
      <c r="K54" s="1">
        <v>130</v>
      </c>
      <c r="L54" s="1">
        <f t="shared" si="14"/>
        <v>-10</v>
      </c>
      <c r="M54" s="1"/>
      <c r="N54" s="1"/>
      <c r="O54" s="1">
        <v>0</v>
      </c>
      <c r="P54" s="1"/>
      <c r="Q54" s="1"/>
      <c r="R54" s="1"/>
      <c r="S54" s="1">
        <v>0</v>
      </c>
      <c r="T54" s="1">
        <f t="shared" si="15"/>
        <v>24</v>
      </c>
      <c r="U54" s="5"/>
      <c r="V54" s="1">
        <f t="shared" si="16"/>
        <v>19.916666666666668</v>
      </c>
      <c r="W54" s="1">
        <f t="shared" si="17"/>
        <v>19.916666666666668</v>
      </c>
      <c r="X54" s="1">
        <v>25.8</v>
      </c>
      <c r="Y54" s="1">
        <v>20.8</v>
      </c>
      <c r="Z54" s="1">
        <v>32.200000000000003</v>
      </c>
      <c r="AA54" s="1">
        <v>52.2</v>
      </c>
      <c r="AB54" s="1">
        <v>55.2</v>
      </c>
      <c r="AC54" s="1">
        <v>40.4</v>
      </c>
      <c r="AD54" s="1">
        <v>26.6</v>
      </c>
      <c r="AE54" s="1">
        <v>33.4</v>
      </c>
      <c r="AF54" s="1">
        <v>48.6</v>
      </c>
      <c r="AG54" s="1">
        <v>40.6</v>
      </c>
      <c r="AH54" s="16" t="s">
        <v>54</v>
      </c>
      <c r="AI54" s="1">
        <f t="shared" si="19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43</v>
      </c>
      <c r="C55" s="1">
        <v>162</v>
      </c>
      <c r="D55" s="1">
        <v>1</v>
      </c>
      <c r="E55" s="1">
        <v>116</v>
      </c>
      <c r="F55" s="1">
        <v>35</v>
      </c>
      <c r="G55" s="7">
        <v>0.4</v>
      </c>
      <c r="H55" s="1">
        <v>40</v>
      </c>
      <c r="I55" s="1" t="s">
        <v>39</v>
      </c>
      <c r="J55" s="1"/>
      <c r="K55" s="1">
        <v>118</v>
      </c>
      <c r="L55" s="1">
        <f t="shared" si="14"/>
        <v>-2</v>
      </c>
      <c r="M55" s="1"/>
      <c r="N55" s="1"/>
      <c r="O55" s="1">
        <v>96.000000000000028</v>
      </c>
      <c r="P55" s="1">
        <v>0</v>
      </c>
      <c r="Q55" s="1"/>
      <c r="R55" s="1"/>
      <c r="S55" s="1">
        <v>63.399999999999949</v>
      </c>
      <c r="T55" s="1">
        <f t="shared" si="15"/>
        <v>23.2</v>
      </c>
      <c r="U55" s="5">
        <f t="shared" si="18"/>
        <v>84</v>
      </c>
      <c r="V55" s="1">
        <f t="shared" si="16"/>
        <v>12</v>
      </c>
      <c r="W55" s="1">
        <f t="shared" si="17"/>
        <v>8.3793103448275854</v>
      </c>
      <c r="X55" s="1">
        <v>22.4</v>
      </c>
      <c r="Y55" s="1">
        <v>14.8</v>
      </c>
      <c r="Z55" s="1">
        <v>21.2</v>
      </c>
      <c r="AA55" s="1">
        <v>21.8</v>
      </c>
      <c r="AB55" s="1">
        <v>20.2</v>
      </c>
      <c r="AC55" s="1">
        <v>32.6</v>
      </c>
      <c r="AD55" s="1">
        <v>27.8</v>
      </c>
      <c r="AE55" s="1">
        <v>19</v>
      </c>
      <c r="AF55" s="1">
        <v>19</v>
      </c>
      <c r="AG55" s="1">
        <v>9.1999999999999993</v>
      </c>
      <c r="AH55" s="1"/>
      <c r="AI55" s="1">
        <f t="shared" si="19"/>
        <v>33.6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43</v>
      </c>
      <c r="C56" s="1">
        <v>125</v>
      </c>
      <c r="D56" s="1">
        <v>7</v>
      </c>
      <c r="E56" s="1">
        <v>104</v>
      </c>
      <c r="F56" s="1">
        <v>15</v>
      </c>
      <c r="G56" s="7">
        <v>0.4</v>
      </c>
      <c r="H56" s="1">
        <v>40</v>
      </c>
      <c r="I56" s="14" t="s">
        <v>67</v>
      </c>
      <c r="J56" s="1"/>
      <c r="K56" s="1">
        <v>103</v>
      </c>
      <c r="L56" s="1">
        <f t="shared" si="14"/>
        <v>1</v>
      </c>
      <c r="M56" s="1"/>
      <c r="N56" s="1"/>
      <c r="O56" s="1">
        <v>80</v>
      </c>
      <c r="P56" s="1">
        <v>0</v>
      </c>
      <c r="Q56" s="1"/>
      <c r="R56" s="1"/>
      <c r="S56" s="1">
        <v>102.982</v>
      </c>
      <c r="T56" s="1">
        <f t="shared" si="15"/>
        <v>20.8</v>
      </c>
      <c r="U56" s="5">
        <f t="shared" si="18"/>
        <v>51.618000000000023</v>
      </c>
      <c r="V56" s="1">
        <f t="shared" si="16"/>
        <v>12</v>
      </c>
      <c r="W56" s="1">
        <f t="shared" si="17"/>
        <v>9.5183653846153842</v>
      </c>
      <c r="X56" s="1">
        <v>25.4</v>
      </c>
      <c r="Y56" s="1">
        <v>15.6</v>
      </c>
      <c r="Z56" s="1">
        <v>12.8</v>
      </c>
      <c r="AA56" s="1">
        <v>14.4</v>
      </c>
      <c r="AB56" s="1">
        <v>16.600000000000001</v>
      </c>
      <c r="AC56" s="1">
        <v>31.6</v>
      </c>
      <c r="AD56" s="1">
        <v>18.2</v>
      </c>
      <c r="AE56" s="1">
        <v>-0.8</v>
      </c>
      <c r="AF56" s="1">
        <v>8.8000000000000007</v>
      </c>
      <c r="AG56" s="1">
        <v>15.6</v>
      </c>
      <c r="AH56" s="1"/>
      <c r="AI56" s="1">
        <f t="shared" si="19"/>
        <v>20.647200000000012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77.606999999999999</v>
      </c>
      <c r="D57" s="1">
        <v>132.99100000000001</v>
      </c>
      <c r="E57" s="1">
        <v>94.585999999999999</v>
      </c>
      <c r="F57" s="1">
        <v>105.065</v>
      </c>
      <c r="G57" s="7">
        <v>1</v>
      </c>
      <c r="H57" s="1">
        <v>50</v>
      </c>
      <c r="I57" s="1" t="s">
        <v>39</v>
      </c>
      <c r="J57" s="1"/>
      <c r="K57" s="1">
        <v>91.9</v>
      </c>
      <c r="L57" s="1">
        <f t="shared" si="14"/>
        <v>2.6859999999999928</v>
      </c>
      <c r="M57" s="1"/>
      <c r="N57" s="1"/>
      <c r="O57" s="1">
        <v>19.71</v>
      </c>
      <c r="P57" s="1">
        <v>0</v>
      </c>
      <c r="Q57" s="1"/>
      <c r="R57" s="1"/>
      <c r="S57" s="1">
        <v>0</v>
      </c>
      <c r="T57" s="1">
        <f t="shared" si="15"/>
        <v>18.917200000000001</v>
      </c>
      <c r="U57" s="5">
        <f t="shared" si="18"/>
        <v>102.23140000000001</v>
      </c>
      <c r="V57" s="1">
        <f t="shared" si="16"/>
        <v>12</v>
      </c>
      <c r="W57" s="1">
        <f t="shared" si="17"/>
        <v>6.5958492800202988</v>
      </c>
      <c r="X57" s="1">
        <v>14.224399999999999</v>
      </c>
      <c r="Y57" s="1">
        <v>14.7386</v>
      </c>
      <c r="Z57" s="1">
        <v>21.672000000000001</v>
      </c>
      <c r="AA57" s="1">
        <v>21.163</v>
      </c>
      <c r="AB57" s="1">
        <v>17.197600000000001</v>
      </c>
      <c r="AC57" s="1">
        <v>18.852</v>
      </c>
      <c r="AD57" s="1">
        <v>18.622800000000002</v>
      </c>
      <c r="AE57" s="1">
        <v>15.298999999999999</v>
      </c>
      <c r="AF57" s="1">
        <v>19.466200000000001</v>
      </c>
      <c r="AG57" s="1">
        <v>19.613600000000002</v>
      </c>
      <c r="AH57" s="1"/>
      <c r="AI57" s="1">
        <f t="shared" si="19"/>
        <v>102.23140000000001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43</v>
      </c>
      <c r="C58" s="1">
        <v>106</v>
      </c>
      <c r="D58" s="1">
        <v>301</v>
      </c>
      <c r="E58" s="1">
        <v>128</v>
      </c>
      <c r="F58" s="1">
        <v>227</v>
      </c>
      <c r="G58" s="7">
        <v>0.1</v>
      </c>
      <c r="H58" s="1">
        <v>731</v>
      </c>
      <c r="I58" s="1" t="s">
        <v>39</v>
      </c>
      <c r="J58" s="1"/>
      <c r="K58" s="1">
        <v>118</v>
      </c>
      <c r="L58" s="1">
        <f t="shared" si="14"/>
        <v>10</v>
      </c>
      <c r="M58" s="1"/>
      <c r="N58" s="1"/>
      <c r="O58" s="1">
        <v>267.00000000000011</v>
      </c>
      <c r="P58" s="1">
        <v>0</v>
      </c>
      <c r="Q58" s="1"/>
      <c r="R58" s="1"/>
      <c r="S58" s="1">
        <v>0</v>
      </c>
      <c r="T58" s="1">
        <f t="shared" si="15"/>
        <v>25.6</v>
      </c>
      <c r="U58" s="5"/>
      <c r="V58" s="1">
        <f t="shared" si="16"/>
        <v>19.296875000000004</v>
      </c>
      <c r="W58" s="1">
        <f t="shared" si="17"/>
        <v>19.296875000000004</v>
      </c>
      <c r="X58" s="1">
        <v>16.2</v>
      </c>
      <c r="Y58" s="1">
        <v>44</v>
      </c>
      <c r="Z58" s="1">
        <v>53</v>
      </c>
      <c r="AA58" s="1">
        <v>43.4</v>
      </c>
      <c r="AB58" s="1">
        <v>37.799999999999997</v>
      </c>
      <c r="AC58" s="1">
        <v>25.4</v>
      </c>
      <c r="AD58" s="1">
        <v>33</v>
      </c>
      <c r="AE58" s="1">
        <v>46</v>
      </c>
      <c r="AF58" s="1">
        <v>45.8</v>
      </c>
      <c r="AG58" s="1">
        <v>44</v>
      </c>
      <c r="AH58" s="15" t="s">
        <v>98</v>
      </c>
      <c r="AI58" s="1">
        <f t="shared" si="1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38</v>
      </c>
      <c r="C59" s="1">
        <v>73.141999999999996</v>
      </c>
      <c r="D59" s="1">
        <v>112.56399999999999</v>
      </c>
      <c r="E59" s="1">
        <v>78.308000000000007</v>
      </c>
      <c r="F59" s="1">
        <v>92.548000000000002</v>
      </c>
      <c r="G59" s="7">
        <v>1</v>
      </c>
      <c r="H59" s="1">
        <v>50</v>
      </c>
      <c r="I59" s="1" t="s">
        <v>39</v>
      </c>
      <c r="J59" s="1"/>
      <c r="K59" s="1">
        <v>65.05</v>
      </c>
      <c r="L59" s="1">
        <f t="shared" si="14"/>
        <v>13.25800000000001</v>
      </c>
      <c r="M59" s="1"/>
      <c r="N59" s="1"/>
      <c r="O59" s="1">
        <v>0</v>
      </c>
      <c r="P59" s="1"/>
      <c r="Q59" s="1"/>
      <c r="R59" s="1"/>
      <c r="S59" s="1">
        <v>0</v>
      </c>
      <c r="T59" s="1">
        <f t="shared" si="15"/>
        <v>15.661600000000002</v>
      </c>
      <c r="U59" s="5">
        <f t="shared" si="18"/>
        <v>95.391200000000026</v>
      </c>
      <c r="V59" s="1">
        <f t="shared" si="16"/>
        <v>12</v>
      </c>
      <c r="W59" s="1">
        <f t="shared" si="17"/>
        <v>5.9092302191346979</v>
      </c>
      <c r="X59" s="1">
        <v>8.7063999999999986</v>
      </c>
      <c r="Y59" s="1">
        <v>10.54</v>
      </c>
      <c r="Z59" s="1">
        <v>16.8352</v>
      </c>
      <c r="AA59" s="1">
        <v>17.306999999999999</v>
      </c>
      <c r="AB59" s="1">
        <v>15.000999999999999</v>
      </c>
      <c r="AC59" s="1">
        <v>12.8538</v>
      </c>
      <c r="AD59" s="1">
        <v>14.462999999999999</v>
      </c>
      <c r="AE59" s="1">
        <v>19.234200000000001</v>
      </c>
      <c r="AF59" s="1">
        <v>21.715800000000002</v>
      </c>
      <c r="AG59" s="1">
        <v>16.465399999999999</v>
      </c>
      <c r="AH59" s="1"/>
      <c r="AI59" s="1">
        <f t="shared" si="19"/>
        <v>95.391200000000026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38</v>
      </c>
      <c r="C60" s="1">
        <v>28.611000000000001</v>
      </c>
      <c r="D60" s="1">
        <v>49.548000000000002</v>
      </c>
      <c r="E60" s="1">
        <v>31.558</v>
      </c>
      <c r="F60" s="1">
        <v>45.228999999999999</v>
      </c>
      <c r="G60" s="7">
        <v>1</v>
      </c>
      <c r="H60" s="1">
        <v>55</v>
      </c>
      <c r="I60" s="1" t="s">
        <v>39</v>
      </c>
      <c r="J60" s="1"/>
      <c r="K60" s="1">
        <v>27.9</v>
      </c>
      <c r="L60" s="1">
        <f t="shared" si="14"/>
        <v>3.6580000000000013</v>
      </c>
      <c r="M60" s="1"/>
      <c r="N60" s="1"/>
      <c r="O60" s="1">
        <v>0</v>
      </c>
      <c r="P60" s="1"/>
      <c r="Q60" s="1"/>
      <c r="R60" s="1"/>
      <c r="S60" s="1">
        <v>0</v>
      </c>
      <c r="T60" s="1">
        <f t="shared" si="15"/>
        <v>6.3116000000000003</v>
      </c>
      <c r="U60" s="5">
        <f t="shared" si="18"/>
        <v>30.510200000000012</v>
      </c>
      <c r="V60" s="1">
        <f t="shared" si="16"/>
        <v>12.000000000000002</v>
      </c>
      <c r="W60" s="1">
        <f t="shared" si="17"/>
        <v>7.1660117878192526</v>
      </c>
      <c r="X60" s="1">
        <v>1.65</v>
      </c>
      <c r="Y60" s="1">
        <v>4.9256000000000002</v>
      </c>
      <c r="Z60" s="1">
        <v>7.6627999999999998</v>
      </c>
      <c r="AA60" s="1">
        <v>7.9290000000000003</v>
      </c>
      <c r="AB60" s="1">
        <v>6.2595999999999998</v>
      </c>
      <c r="AC60" s="1">
        <v>4.0456000000000003</v>
      </c>
      <c r="AD60" s="1">
        <v>5.1433999999999997</v>
      </c>
      <c r="AE60" s="1">
        <v>5.1475999999999997</v>
      </c>
      <c r="AF60" s="1">
        <v>5.4037999999999986</v>
      </c>
      <c r="AG60" s="1">
        <v>4.0573999999999986</v>
      </c>
      <c r="AH60" s="1"/>
      <c r="AI60" s="1">
        <f t="shared" si="19"/>
        <v>30.510200000000012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43</v>
      </c>
      <c r="C61" s="1">
        <v>398</v>
      </c>
      <c r="D61" s="1">
        <v>81</v>
      </c>
      <c r="E61" s="1">
        <v>163</v>
      </c>
      <c r="F61" s="1">
        <v>264</v>
      </c>
      <c r="G61" s="7">
        <v>0.1</v>
      </c>
      <c r="H61" s="1">
        <v>731</v>
      </c>
      <c r="I61" s="1" t="s">
        <v>39</v>
      </c>
      <c r="J61" s="1"/>
      <c r="K61" s="1">
        <v>111</v>
      </c>
      <c r="L61" s="1">
        <f t="shared" si="14"/>
        <v>52</v>
      </c>
      <c r="M61" s="1"/>
      <c r="N61" s="1"/>
      <c r="O61" s="1">
        <v>132.1999999999999</v>
      </c>
      <c r="P61" s="1">
        <v>0</v>
      </c>
      <c r="Q61" s="1"/>
      <c r="R61" s="1"/>
      <c r="S61" s="1">
        <v>0</v>
      </c>
      <c r="T61" s="1">
        <f t="shared" si="15"/>
        <v>32.6</v>
      </c>
      <c r="U61" s="5"/>
      <c r="V61" s="1">
        <f t="shared" si="16"/>
        <v>12.153374233128831</v>
      </c>
      <c r="W61" s="1">
        <f t="shared" si="17"/>
        <v>12.153374233128831</v>
      </c>
      <c r="X61" s="1">
        <v>33.200000000000003</v>
      </c>
      <c r="Y61" s="1">
        <v>38.4</v>
      </c>
      <c r="Z61" s="1">
        <v>39</v>
      </c>
      <c r="AA61" s="1">
        <v>48.6</v>
      </c>
      <c r="AB61" s="1">
        <v>60.4</v>
      </c>
      <c r="AC61" s="1">
        <v>36.200000000000003</v>
      </c>
      <c r="AD61" s="1">
        <v>27</v>
      </c>
      <c r="AE61" s="1">
        <v>41.2</v>
      </c>
      <c r="AF61" s="1">
        <v>38.799999999999997</v>
      </c>
      <c r="AG61" s="1">
        <v>36</v>
      </c>
      <c r="AH61" s="1"/>
      <c r="AI61" s="1">
        <f t="shared" si="19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43</v>
      </c>
      <c r="C62" s="1">
        <v>81</v>
      </c>
      <c r="D62" s="1">
        <v>20</v>
      </c>
      <c r="E62" s="1">
        <v>18</v>
      </c>
      <c r="F62" s="1">
        <v>82</v>
      </c>
      <c r="G62" s="7">
        <v>0.4</v>
      </c>
      <c r="H62" s="1">
        <v>50</v>
      </c>
      <c r="I62" s="1" t="s">
        <v>39</v>
      </c>
      <c r="J62" s="1"/>
      <c r="K62" s="1">
        <v>18</v>
      </c>
      <c r="L62" s="1">
        <f t="shared" si="14"/>
        <v>0</v>
      </c>
      <c r="M62" s="1"/>
      <c r="N62" s="1"/>
      <c r="O62" s="1">
        <v>0</v>
      </c>
      <c r="P62" s="1"/>
      <c r="Q62" s="1"/>
      <c r="R62" s="1"/>
      <c r="S62" s="1">
        <v>0</v>
      </c>
      <c r="T62" s="1">
        <f t="shared" si="15"/>
        <v>3.6</v>
      </c>
      <c r="U62" s="5"/>
      <c r="V62" s="1">
        <f t="shared" si="16"/>
        <v>22.777777777777779</v>
      </c>
      <c r="W62" s="1">
        <f t="shared" si="17"/>
        <v>22.777777777777779</v>
      </c>
      <c r="X62" s="1">
        <v>2.6</v>
      </c>
      <c r="Y62" s="1">
        <v>3.6</v>
      </c>
      <c r="Z62" s="1">
        <v>4</v>
      </c>
      <c r="AA62" s="1">
        <v>9</v>
      </c>
      <c r="AB62" s="1">
        <v>10</v>
      </c>
      <c r="AC62" s="1">
        <v>3</v>
      </c>
      <c r="AD62" s="1">
        <v>1.2</v>
      </c>
      <c r="AE62" s="1">
        <v>5</v>
      </c>
      <c r="AF62" s="1">
        <v>7.6</v>
      </c>
      <c r="AG62" s="1">
        <v>4.8</v>
      </c>
      <c r="AH62" s="16" t="s">
        <v>54</v>
      </c>
      <c r="AI62" s="1">
        <f t="shared" si="19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38</v>
      </c>
      <c r="C63" s="1">
        <v>1.2010000000000001</v>
      </c>
      <c r="D63" s="1">
        <v>68.864000000000004</v>
      </c>
      <c r="E63" s="1">
        <v>67.918000000000006</v>
      </c>
      <c r="F63" s="1">
        <v>-0.39200000000000002</v>
      </c>
      <c r="G63" s="7">
        <v>1</v>
      </c>
      <c r="H63" s="1">
        <v>40</v>
      </c>
      <c r="I63" s="1" t="s">
        <v>39</v>
      </c>
      <c r="J63" s="1"/>
      <c r="K63" s="1">
        <v>73.7</v>
      </c>
      <c r="L63" s="1">
        <f t="shared" si="14"/>
        <v>-5.7819999999999965</v>
      </c>
      <c r="M63" s="1"/>
      <c r="N63" s="1"/>
      <c r="O63" s="1">
        <v>40.59899999999999</v>
      </c>
      <c r="P63" s="1">
        <v>0</v>
      </c>
      <c r="Q63" s="1"/>
      <c r="R63" s="1"/>
      <c r="S63" s="1">
        <v>79.005799999999994</v>
      </c>
      <c r="T63" s="1">
        <f t="shared" si="15"/>
        <v>13.583600000000001</v>
      </c>
      <c r="U63" s="5">
        <f t="shared" si="18"/>
        <v>43.790400000000012</v>
      </c>
      <c r="V63" s="1">
        <f t="shared" si="16"/>
        <v>11.999999999999998</v>
      </c>
      <c r="W63" s="1">
        <f t="shared" si="17"/>
        <v>8.7762301598987005</v>
      </c>
      <c r="X63" s="1">
        <v>14.9016</v>
      </c>
      <c r="Y63" s="1">
        <v>6.7847999999999997</v>
      </c>
      <c r="Z63" s="1">
        <v>7.556</v>
      </c>
      <c r="AA63" s="1">
        <v>3.6623999999999999</v>
      </c>
      <c r="AB63" s="1">
        <v>4.5907999999999998</v>
      </c>
      <c r="AC63" s="1">
        <v>4.3612000000000002</v>
      </c>
      <c r="AD63" s="1">
        <v>1.5891999999999999</v>
      </c>
      <c r="AE63" s="1">
        <v>3.0236000000000001</v>
      </c>
      <c r="AF63" s="1">
        <v>3.0611999999999999</v>
      </c>
      <c r="AG63" s="1">
        <v>0.83219999999999994</v>
      </c>
      <c r="AH63" s="1" t="s">
        <v>104</v>
      </c>
      <c r="AI63" s="1">
        <f t="shared" si="19"/>
        <v>43.790400000000012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38</v>
      </c>
      <c r="C64" s="1">
        <v>7.391</v>
      </c>
      <c r="D64" s="1">
        <v>84.114000000000004</v>
      </c>
      <c r="E64" s="1">
        <v>81.146000000000001</v>
      </c>
      <c r="F64" s="1">
        <v>2.4380000000000002</v>
      </c>
      <c r="G64" s="7">
        <v>1</v>
      </c>
      <c r="H64" s="1">
        <v>40</v>
      </c>
      <c r="I64" s="1" t="s">
        <v>39</v>
      </c>
      <c r="J64" s="1"/>
      <c r="K64" s="1">
        <v>103</v>
      </c>
      <c r="L64" s="1">
        <f t="shared" si="14"/>
        <v>-21.853999999999999</v>
      </c>
      <c r="M64" s="1"/>
      <c r="N64" s="1"/>
      <c r="O64" s="1">
        <v>80.492000000000004</v>
      </c>
      <c r="P64" s="1">
        <v>0</v>
      </c>
      <c r="Q64" s="1"/>
      <c r="R64" s="1"/>
      <c r="S64" s="1">
        <v>69.732799999999997</v>
      </c>
      <c r="T64" s="1">
        <f t="shared" si="15"/>
        <v>16.229199999999999</v>
      </c>
      <c r="U64" s="5">
        <f t="shared" si="18"/>
        <v>42.087599999999981</v>
      </c>
      <c r="V64" s="1">
        <f t="shared" si="16"/>
        <v>12</v>
      </c>
      <c r="W64" s="1">
        <f t="shared" si="17"/>
        <v>9.4066743893722435</v>
      </c>
      <c r="X64" s="1">
        <v>13.7578</v>
      </c>
      <c r="Y64" s="1">
        <v>11.1006</v>
      </c>
      <c r="Z64" s="1">
        <v>15.066599999999999</v>
      </c>
      <c r="AA64" s="1">
        <v>7.2840000000000007</v>
      </c>
      <c r="AB64" s="1">
        <v>7.2656000000000009</v>
      </c>
      <c r="AC64" s="1">
        <v>7.7450000000000001</v>
      </c>
      <c r="AD64" s="1">
        <v>3.6516000000000002</v>
      </c>
      <c r="AE64" s="1">
        <v>5.5808</v>
      </c>
      <c r="AF64" s="1">
        <v>9.1449999999999996</v>
      </c>
      <c r="AG64" s="1">
        <v>8.0937999999999999</v>
      </c>
      <c r="AH64" s="1" t="s">
        <v>104</v>
      </c>
      <c r="AI64" s="1">
        <f t="shared" si="19"/>
        <v>42.087599999999981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43</v>
      </c>
      <c r="C65" s="1">
        <v>441</v>
      </c>
      <c r="D65" s="1">
        <v>12</v>
      </c>
      <c r="E65" s="1">
        <v>124</v>
      </c>
      <c r="F65" s="1">
        <v>323</v>
      </c>
      <c r="G65" s="7">
        <v>0.4</v>
      </c>
      <c r="H65" s="1">
        <v>40</v>
      </c>
      <c r="I65" s="1" t="s">
        <v>39</v>
      </c>
      <c r="J65" s="1"/>
      <c r="K65" s="1">
        <v>373</v>
      </c>
      <c r="L65" s="1">
        <f t="shared" si="14"/>
        <v>-249</v>
      </c>
      <c r="M65" s="1"/>
      <c r="N65" s="1"/>
      <c r="O65" s="1">
        <v>277.00000000000011</v>
      </c>
      <c r="P65" s="1">
        <v>0</v>
      </c>
      <c r="Q65" s="1"/>
      <c r="R65" s="1"/>
      <c r="S65" s="1">
        <v>18.199999999999928</v>
      </c>
      <c r="T65" s="1">
        <f t="shared" si="15"/>
        <v>24.8</v>
      </c>
      <c r="U65" s="5"/>
      <c r="V65" s="1">
        <f t="shared" si="16"/>
        <v>24.927419354838712</v>
      </c>
      <c r="W65" s="1">
        <f t="shared" si="17"/>
        <v>24.927419354838712</v>
      </c>
      <c r="X65" s="1">
        <v>56.2</v>
      </c>
      <c r="Y65" s="1">
        <v>44.2</v>
      </c>
      <c r="Z65" s="1">
        <v>14.2</v>
      </c>
      <c r="AA65" s="1">
        <v>1.4</v>
      </c>
      <c r="AB65" s="1">
        <v>13.8</v>
      </c>
      <c r="AC65" s="1">
        <v>63.8</v>
      </c>
      <c r="AD65" s="1">
        <v>81.2</v>
      </c>
      <c r="AE65" s="1">
        <v>86.2</v>
      </c>
      <c r="AF65" s="1">
        <v>112.6</v>
      </c>
      <c r="AG65" s="1">
        <v>85.6</v>
      </c>
      <c r="AH65" s="16" t="s">
        <v>54</v>
      </c>
      <c r="AI65" s="1">
        <f t="shared" si="19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43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4" t="s">
        <v>67</v>
      </c>
      <c r="J66" s="1"/>
      <c r="K66" s="1">
        <v>223</v>
      </c>
      <c r="L66" s="1">
        <f t="shared" si="14"/>
        <v>-224</v>
      </c>
      <c r="M66" s="1"/>
      <c r="N66" s="1"/>
      <c r="O66" s="1">
        <v>200</v>
      </c>
      <c r="P66" s="1">
        <v>0</v>
      </c>
      <c r="Q66" s="1"/>
      <c r="R66" s="1"/>
      <c r="S66" s="1">
        <v>250.13399999999999</v>
      </c>
      <c r="T66" s="1">
        <f t="shared" si="15"/>
        <v>-0.2</v>
      </c>
      <c r="U66" s="5">
        <v>100</v>
      </c>
      <c r="V66" s="1">
        <f t="shared" si="16"/>
        <v>-2805.67</v>
      </c>
      <c r="W66" s="1">
        <f t="shared" si="17"/>
        <v>-2305.67</v>
      </c>
      <c r="X66" s="1">
        <v>-0.2</v>
      </c>
      <c r="Y66" s="1">
        <v>-0.2</v>
      </c>
      <c r="Z66" s="1">
        <v>0</v>
      </c>
      <c r="AA66" s="1">
        <v>0</v>
      </c>
      <c r="AB66" s="1">
        <v>45.2</v>
      </c>
      <c r="AC66" s="1">
        <v>92.6</v>
      </c>
      <c r="AD66" s="1">
        <v>69</v>
      </c>
      <c r="AE66" s="1">
        <v>57.4</v>
      </c>
      <c r="AF66" s="1">
        <v>72.400000000000006</v>
      </c>
      <c r="AG66" s="1">
        <v>47.8</v>
      </c>
      <c r="AH66" s="1"/>
      <c r="AI66" s="1">
        <f t="shared" si="19"/>
        <v>40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38</v>
      </c>
      <c r="C67" s="1">
        <v>230.51300000000001</v>
      </c>
      <c r="D67" s="1">
        <v>127.739</v>
      </c>
      <c r="E67" s="1">
        <v>137.255</v>
      </c>
      <c r="F67" s="1">
        <v>185.417</v>
      </c>
      <c r="G67" s="7">
        <v>1</v>
      </c>
      <c r="H67" s="1">
        <v>40</v>
      </c>
      <c r="I67" s="14" t="s">
        <v>67</v>
      </c>
      <c r="J67" s="1"/>
      <c r="K67" s="1">
        <v>131.80000000000001</v>
      </c>
      <c r="L67" s="1">
        <f t="shared" si="14"/>
        <v>5.4549999999999841</v>
      </c>
      <c r="M67" s="1"/>
      <c r="N67" s="1"/>
      <c r="O67" s="1">
        <v>167.22020000000001</v>
      </c>
      <c r="P67" s="1">
        <v>-167.4</v>
      </c>
      <c r="Q67" s="1"/>
      <c r="R67" s="1"/>
      <c r="S67" s="1">
        <v>44.907600000000002</v>
      </c>
      <c r="T67" s="1">
        <f t="shared" si="15"/>
        <v>27.451000000000001</v>
      </c>
      <c r="U67" s="5">
        <v>80</v>
      </c>
      <c r="V67" s="1">
        <f t="shared" si="16"/>
        <v>11.29812392991148</v>
      </c>
      <c r="W67" s="1">
        <f t="shared" si="17"/>
        <v>8.3838402972569313</v>
      </c>
      <c r="X67" s="1">
        <v>27.457799999999999</v>
      </c>
      <c r="Y67" s="1">
        <v>33.810199999999988</v>
      </c>
      <c r="Z67" s="1">
        <v>30.891400000000001</v>
      </c>
      <c r="AA67" s="1">
        <v>39.8172</v>
      </c>
      <c r="AB67" s="1">
        <v>43.403599999999997</v>
      </c>
      <c r="AC67" s="1">
        <v>22.808599999999998</v>
      </c>
      <c r="AD67" s="1">
        <v>12.564399999999999</v>
      </c>
      <c r="AE67" s="1">
        <v>29.346399999999999</v>
      </c>
      <c r="AF67" s="1">
        <v>40.2258</v>
      </c>
      <c r="AG67" s="1">
        <v>30.734999999999999</v>
      </c>
      <c r="AH67" s="1"/>
      <c r="AI67" s="1">
        <f t="shared" si="19"/>
        <v>80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38</v>
      </c>
      <c r="C68" s="1">
        <v>83.293999999999997</v>
      </c>
      <c r="D68" s="1">
        <v>212.5</v>
      </c>
      <c r="E68" s="1">
        <v>140.86699999999999</v>
      </c>
      <c r="F68" s="1">
        <v>115.176</v>
      </c>
      <c r="G68" s="7">
        <v>1</v>
      </c>
      <c r="H68" s="1">
        <v>40</v>
      </c>
      <c r="I68" s="14" t="s">
        <v>67</v>
      </c>
      <c r="J68" s="1"/>
      <c r="K68" s="1">
        <v>132.19999999999999</v>
      </c>
      <c r="L68" s="1">
        <f t="shared" si="14"/>
        <v>8.6670000000000016</v>
      </c>
      <c r="M68" s="1"/>
      <c r="N68" s="1"/>
      <c r="O68" s="1">
        <v>214.60051999999999</v>
      </c>
      <c r="P68" s="1">
        <v>-216</v>
      </c>
      <c r="Q68" s="1"/>
      <c r="R68" s="1"/>
      <c r="S68" s="1">
        <v>98.13888</v>
      </c>
      <c r="T68" s="1">
        <f t="shared" si="15"/>
        <v>28.173399999999997</v>
      </c>
      <c r="U68" s="5">
        <v>70</v>
      </c>
      <c r="V68" s="1">
        <f t="shared" si="16"/>
        <v>10.006438697494801</v>
      </c>
      <c r="W68" s="1">
        <f t="shared" si="17"/>
        <v>7.5218255517615917</v>
      </c>
      <c r="X68" s="1">
        <v>25.8324</v>
      </c>
      <c r="Y68" s="1">
        <v>32.492199999999997</v>
      </c>
      <c r="Z68" s="1">
        <v>34.5336</v>
      </c>
      <c r="AA68" s="1">
        <v>33.2986</v>
      </c>
      <c r="AB68" s="1">
        <v>24.674399999999999</v>
      </c>
      <c r="AC68" s="1">
        <v>33.698399999999999</v>
      </c>
      <c r="AD68" s="1">
        <v>35.2834</v>
      </c>
      <c r="AE68" s="1">
        <v>31.5944</v>
      </c>
      <c r="AF68" s="1">
        <v>36.930199999999999</v>
      </c>
      <c r="AG68" s="1">
        <v>26.832999999999998</v>
      </c>
      <c r="AH68" s="1"/>
      <c r="AI68" s="1">
        <f t="shared" si="19"/>
        <v>70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38</v>
      </c>
      <c r="C69" s="1">
        <v>378.11399999999998</v>
      </c>
      <c r="D69" s="1">
        <v>303.47000000000003</v>
      </c>
      <c r="E69" s="1">
        <v>304.61700000000002</v>
      </c>
      <c r="F69" s="1">
        <v>257.78199999999998</v>
      </c>
      <c r="G69" s="7">
        <v>1</v>
      </c>
      <c r="H69" s="1">
        <v>40</v>
      </c>
      <c r="I69" s="1" t="s">
        <v>39</v>
      </c>
      <c r="J69" s="1"/>
      <c r="K69" s="1">
        <v>306.27999999999997</v>
      </c>
      <c r="L69" s="1">
        <f t="shared" si="14"/>
        <v>-1.6629999999999541</v>
      </c>
      <c r="M69" s="1"/>
      <c r="N69" s="1"/>
      <c r="O69" s="1">
        <v>167.7784900000002</v>
      </c>
      <c r="P69" s="1">
        <v>0</v>
      </c>
      <c r="Q69" s="1"/>
      <c r="R69" s="1"/>
      <c r="S69" s="1">
        <v>0</v>
      </c>
      <c r="T69" s="1">
        <f t="shared" si="15"/>
        <v>60.923400000000001</v>
      </c>
      <c r="U69" s="5">
        <f t="shared" si="18"/>
        <v>305.52030999999982</v>
      </c>
      <c r="V69" s="1">
        <f t="shared" si="16"/>
        <v>11.999999999999998</v>
      </c>
      <c r="W69" s="1">
        <f t="shared" si="17"/>
        <v>6.9851730205471165</v>
      </c>
      <c r="X69" s="1">
        <v>43.718000000000004</v>
      </c>
      <c r="Y69" s="1">
        <v>53.330599999999997</v>
      </c>
      <c r="Z69" s="1">
        <v>67.684799999999996</v>
      </c>
      <c r="AA69" s="1">
        <v>69.110199999999992</v>
      </c>
      <c r="AB69" s="1">
        <v>62.149800000000013</v>
      </c>
      <c r="AC69" s="1">
        <v>77.261200000000002</v>
      </c>
      <c r="AD69" s="1">
        <v>84.820999999999998</v>
      </c>
      <c r="AE69" s="1">
        <v>67.469399999999993</v>
      </c>
      <c r="AF69" s="1">
        <v>80.919799999999995</v>
      </c>
      <c r="AG69" s="1">
        <v>73.772799999999989</v>
      </c>
      <c r="AH69" s="1"/>
      <c r="AI69" s="1">
        <f t="shared" si="19"/>
        <v>305.52030999999982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38</v>
      </c>
      <c r="C70" s="1">
        <v>164.71299999999999</v>
      </c>
      <c r="D70" s="1">
        <v>119.98</v>
      </c>
      <c r="E70" s="1">
        <v>117.288</v>
      </c>
      <c r="F70" s="1">
        <v>138.27600000000001</v>
      </c>
      <c r="G70" s="7">
        <v>1</v>
      </c>
      <c r="H70" s="1">
        <v>40</v>
      </c>
      <c r="I70" s="1" t="s">
        <v>39</v>
      </c>
      <c r="J70" s="1"/>
      <c r="K70" s="1">
        <v>112</v>
      </c>
      <c r="L70" s="1">
        <f t="shared" ref="L70:L101" si="20">E70-K70</f>
        <v>5.2879999999999967</v>
      </c>
      <c r="M70" s="1"/>
      <c r="N70" s="1"/>
      <c r="O70" s="1">
        <v>149.33540000000011</v>
      </c>
      <c r="P70" s="1">
        <v>0</v>
      </c>
      <c r="Q70" s="1"/>
      <c r="R70" s="1"/>
      <c r="S70" s="1">
        <v>0</v>
      </c>
      <c r="T70" s="1">
        <f t="shared" ref="T70:T101" si="21">E70/5</f>
        <v>23.457599999999999</v>
      </c>
      <c r="U70" s="5"/>
      <c r="V70" s="1">
        <f t="shared" ref="V70:V101" si="22">(F70+O70+P70+Q70+R70+S70+U70)/T70</f>
        <v>12.260904781392815</v>
      </c>
      <c r="W70" s="1">
        <f t="shared" ref="W70:W101" si="23">(F70+O70+P70+Q70+R70+S70)/T70</f>
        <v>12.260904781392815</v>
      </c>
      <c r="X70" s="1">
        <v>20.8584</v>
      </c>
      <c r="Y70" s="1">
        <v>27.188800000000001</v>
      </c>
      <c r="Z70" s="1">
        <v>28.836200000000002</v>
      </c>
      <c r="AA70" s="1">
        <v>31.062999999999999</v>
      </c>
      <c r="AB70" s="1">
        <v>31.611599999999999</v>
      </c>
      <c r="AC70" s="1">
        <v>37.389200000000002</v>
      </c>
      <c r="AD70" s="1">
        <v>31.877600000000001</v>
      </c>
      <c r="AE70" s="1">
        <v>27.787199999999999</v>
      </c>
      <c r="AF70" s="1">
        <v>32.726599999999998</v>
      </c>
      <c r="AG70" s="1">
        <v>26.318200000000001</v>
      </c>
      <c r="AH70" s="1"/>
      <c r="AI70" s="1">
        <f t="shared" si="19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43</v>
      </c>
      <c r="C71" s="1">
        <v>62</v>
      </c>
      <c r="D71" s="1"/>
      <c r="E71" s="1">
        <v>8</v>
      </c>
      <c r="F71" s="1">
        <v>54</v>
      </c>
      <c r="G71" s="7">
        <v>0.6</v>
      </c>
      <c r="H71" s="1">
        <v>70</v>
      </c>
      <c r="I71" s="1" t="s">
        <v>39</v>
      </c>
      <c r="J71" s="1"/>
      <c r="K71" s="1">
        <v>6</v>
      </c>
      <c r="L71" s="1">
        <f t="shared" si="20"/>
        <v>2</v>
      </c>
      <c r="M71" s="1"/>
      <c r="N71" s="1"/>
      <c r="O71" s="1">
        <v>0</v>
      </c>
      <c r="P71" s="1"/>
      <c r="Q71" s="1"/>
      <c r="R71" s="1"/>
      <c r="S71" s="1">
        <v>0</v>
      </c>
      <c r="T71" s="1">
        <f t="shared" si="21"/>
        <v>1.6</v>
      </c>
      <c r="U71" s="5"/>
      <c r="V71" s="1">
        <f t="shared" si="22"/>
        <v>33.75</v>
      </c>
      <c r="W71" s="1">
        <f t="shared" si="23"/>
        <v>33.75</v>
      </c>
      <c r="X71" s="1">
        <v>1.6</v>
      </c>
      <c r="Y71" s="1">
        <v>0.6</v>
      </c>
      <c r="Z71" s="1">
        <v>1</v>
      </c>
      <c r="AA71" s="1">
        <v>0.8</v>
      </c>
      <c r="AB71" s="1">
        <v>1.2</v>
      </c>
      <c r="AC71" s="1">
        <v>2.4</v>
      </c>
      <c r="AD71" s="1">
        <v>1.6</v>
      </c>
      <c r="AE71" s="1">
        <v>5</v>
      </c>
      <c r="AF71" s="1">
        <v>5.4</v>
      </c>
      <c r="AG71" s="1">
        <v>2</v>
      </c>
      <c r="AH71" s="16" t="s">
        <v>54</v>
      </c>
      <c r="AI71" s="1">
        <f t="shared" si="19"/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302.16800000000001</v>
      </c>
      <c r="D72" s="1">
        <v>20.745999999999999</v>
      </c>
      <c r="E72" s="1">
        <v>247.762</v>
      </c>
      <c r="F72" s="1">
        <v>15.558</v>
      </c>
      <c r="G72" s="7">
        <v>1</v>
      </c>
      <c r="H72" s="1">
        <v>30</v>
      </c>
      <c r="I72" s="1" t="s">
        <v>39</v>
      </c>
      <c r="J72" s="1"/>
      <c r="K72" s="1">
        <v>390.15</v>
      </c>
      <c r="L72" s="1">
        <f t="shared" si="20"/>
        <v>-142.38799999999998</v>
      </c>
      <c r="M72" s="1"/>
      <c r="N72" s="1"/>
      <c r="O72" s="1">
        <v>335.12999999999988</v>
      </c>
      <c r="P72" s="1">
        <v>0</v>
      </c>
      <c r="Q72" s="1"/>
      <c r="R72" s="1"/>
      <c r="S72" s="1">
        <v>404.66844600000007</v>
      </c>
      <c r="T72" s="1">
        <f t="shared" si="21"/>
        <v>49.552399999999999</v>
      </c>
      <c r="U72" s="5"/>
      <c r="V72" s="1">
        <f t="shared" si="22"/>
        <v>15.243589533503927</v>
      </c>
      <c r="W72" s="1">
        <f t="shared" si="23"/>
        <v>15.243589533503927</v>
      </c>
      <c r="X72" s="1">
        <v>72.886200000000002</v>
      </c>
      <c r="Y72" s="1">
        <v>41.464399999999998</v>
      </c>
      <c r="Z72" s="1">
        <v>16.122800000000002</v>
      </c>
      <c r="AA72" s="1">
        <v>65.612400000000008</v>
      </c>
      <c r="AB72" s="1">
        <v>95.952399999999997</v>
      </c>
      <c r="AC72" s="1">
        <v>85.349000000000004</v>
      </c>
      <c r="AD72" s="1">
        <v>80.937399999999997</v>
      </c>
      <c r="AE72" s="1">
        <v>39.692799999999998</v>
      </c>
      <c r="AF72" s="1">
        <v>48.635199999999998</v>
      </c>
      <c r="AG72" s="1">
        <v>81.170600000000007</v>
      </c>
      <c r="AH72" s="1"/>
      <c r="AI72" s="1">
        <f t="shared" si="19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9" t="s">
        <v>114</v>
      </c>
      <c r="B73" s="9" t="s">
        <v>43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20"/>
        <v>0</v>
      </c>
      <c r="M73" s="9"/>
      <c r="N73" s="9"/>
      <c r="O73" s="9">
        <v>0</v>
      </c>
      <c r="P73" s="9"/>
      <c r="Q73" s="9"/>
      <c r="R73" s="9"/>
      <c r="S73" s="9">
        <v>0</v>
      </c>
      <c r="T73" s="9">
        <f t="shared" si="21"/>
        <v>0</v>
      </c>
      <c r="U73" s="11"/>
      <c r="V73" s="9" t="e">
        <f t="shared" si="22"/>
        <v>#DIV/0!</v>
      </c>
      <c r="W73" s="9" t="e">
        <f t="shared" si="23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48</v>
      </c>
      <c r="AI73" s="9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43</v>
      </c>
      <c r="C74" s="1">
        <v>202</v>
      </c>
      <c r="D74" s="1"/>
      <c r="E74" s="1">
        <v>60</v>
      </c>
      <c r="F74" s="1">
        <v>142</v>
      </c>
      <c r="G74" s="7">
        <v>0.6</v>
      </c>
      <c r="H74" s="1">
        <v>60</v>
      </c>
      <c r="I74" s="1" t="s">
        <v>39</v>
      </c>
      <c r="J74" s="1"/>
      <c r="K74" s="1">
        <v>48</v>
      </c>
      <c r="L74" s="1">
        <f t="shared" si="20"/>
        <v>12</v>
      </c>
      <c r="M74" s="1"/>
      <c r="N74" s="1"/>
      <c r="O74" s="1">
        <v>0</v>
      </c>
      <c r="P74" s="1"/>
      <c r="Q74" s="1"/>
      <c r="R74" s="1"/>
      <c r="S74" s="1">
        <v>42.800000000000011</v>
      </c>
      <c r="T74" s="1">
        <f t="shared" si="21"/>
        <v>12</v>
      </c>
      <c r="U74" s="5"/>
      <c r="V74" s="1">
        <f t="shared" si="22"/>
        <v>15.4</v>
      </c>
      <c r="W74" s="1">
        <f t="shared" si="23"/>
        <v>15.4</v>
      </c>
      <c r="X74" s="1">
        <v>16.8</v>
      </c>
      <c r="Y74" s="1">
        <v>10</v>
      </c>
      <c r="Z74" s="1">
        <v>13.4</v>
      </c>
      <c r="AA74" s="1">
        <v>8.1999999999999993</v>
      </c>
      <c r="AB74" s="1">
        <v>3.2</v>
      </c>
      <c r="AC74" s="1">
        <v>24</v>
      </c>
      <c r="AD74" s="1">
        <v>23</v>
      </c>
      <c r="AE74" s="1">
        <v>12.4</v>
      </c>
      <c r="AF74" s="1">
        <v>11.8</v>
      </c>
      <c r="AG74" s="1">
        <v>3.8</v>
      </c>
      <c r="AH74" s="1"/>
      <c r="AI74" s="1">
        <f>G74*U74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43</v>
      </c>
      <c r="C75" s="1">
        <v>140</v>
      </c>
      <c r="D75" s="1">
        <v>58</v>
      </c>
      <c r="E75" s="1">
        <v>68</v>
      </c>
      <c r="F75" s="1">
        <v>119</v>
      </c>
      <c r="G75" s="7">
        <v>0.4</v>
      </c>
      <c r="H75" s="1">
        <v>90</v>
      </c>
      <c r="I75" s="1" t="s">
        <v>39</v>
      </c>
      <c r="J75" s="1"/>
      <c r="K75" s="1">
        <v>71</v>
      </c>
      <c r="L75" s="1">
        <f t="shared" si="20"/>
        <v>-3</v>
      </c>
      <c r="M75" s="1"/>
      <c r="N75" s="1"/>
      <c r="O75" s="1">
        <v>0</v>
      </c>
      <c r="P75" s="1"/>
      <c r="Q75" s="1"/>
      <c r="R75" s="1"/>
      <c r="S75" s="1">
        <v>0</v>
      </c>
      <c r="T75" s="1">
        <f t="shared" si="21"/>
        <v>13.6</v>
      </c>
      <c r="U75" s="5">
        <f t="shared" ref="U74:U78" si="24">12*T75-S75-R75-Q75-P75-O75-F75</f>
        <v>44.199999999999989</v>
      </c>
      <c r="V75" s="1">
        <f t="shared" si="22"/>
        <v>12</v>
      </c>
      <c r="W75" s="1">
        <f t="shared" si="23"/>
        <v>8.75</v>
      </c>
      <c r="X75" s="1">
        <v>5.4</v>
      </c>
      <c r="Y75" s="1">
        <v>5.6</v>
      </c>
      <c r="Z75" s="1">
        <v>9.8000000000000007</v>
      </c>
      <c r="AA75" s="1">
        <v>16.600000000000001</v>
      </c>
      <c r="AB75" s="1">
        <v>17.2</v>
      </c>
      <c r="AC75" s="1">
        <v>18.399999999999999</v>
      </c>
      <c r="AD75" s="1">
        <v>20</v>
      </c>
      <c r="AE75" s="1">
        <v>20.6</v>
      </c>
      <c r="AF75" s="1">
        <v>25.4</v>
      </c>
      <c r="AG75" s="1">
        <v>19.2</v>
      </c>
      <c r="AH75" s="1"/>
      <c r="AI75" s="1">
        <f>G75*U75</f>
        <v>17.679999999999996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43</v>
      </c>
      <c r="C76" s="1">
        <v>44</v>
      </c>
      <c r="D76" s="1">
        <v>162</v>
      </c>
      <c r="E76" s="1">
        <v>131</v>
      </c>
      <c r="F76" s="1">
        <v>62</v>
      </c>
      <c r="G76" s="7">
        <v>0.33</v>
      </c>
      <c r="H76" s="1">
        <v>60</v>
      </c>
      <c r="I76" s="1" t="s">
        <v>39</v>
      </c>
      <c r="J76" s="1"/>
      <c r="K76" s="1">
        <v>129</v>
      </c>
      <c r="L76" s="1">
        <f t="shared" si="20"/>
        <v>2</v>
      </c>
      <c r="M76" s="1"/>
      <c r="N76" s="1"/>
      <c r="O76" s="1">
        <v>149</v>
      </c>
      <c r="P76" s="1">
        <v>0</v>
      </c>
      <c r="Q76" s="1"/>
      <c r="R76" s="1"/>
      <c r="S76" s="1">
        <v>0</v>
      </c>
      <c r="T76" s="1">
        <f t="shared" si="21"/>
        <v>26.2</v>
      </c>
      <c r="U76" s="5">
        <f t="shared" si="24"/>
        <v>103.39999999999998</v>
      </c>
      <c r="V76" s="1">
        <f t="shared" si="22"/>
        <v>12</v>
      </c>
      <c r="W76" s="1">
        <f t="shared" si="23"/>
        <v>8.0534351145038165</v>
      </c>
      <c r="X76" s="1">
        <v>20.399999999999999</v>
      </c>
      <c r="Y76" s="1">
        <v>23.4</v>
      </c>
      <c r="Z76" s="1">
        <v>26.6</v>
      </c>
      <c r="AA76" s="1">
        <v>29</v>
      </c>
      <c r="AB76" s="1">
        <v>25</v>
      </c>
      <c r="AC76" s="1">
        <v>24.2</v>
      </c>
      <c r="AD76" s="1">
        <v>33.6</v>
      </c>
      <c r="AE76" s="1">
        <v>25.6</v>
      </c>
      <c r="AF76" s="1">
        <v>14.8</v>
      </c>
      <c r="AG76" s="1">
        <v>21</v>
      </c>
      <c r="AH76" s="1"/>
      <c r="AI76" s="1">
        <f>G76*U76</f>
        <v>34.121999999999993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43</v>
      </c>
      <c r="C77" s="1">
        <v>68</v>
      </c>
      <c r="D77" s="1">
        <v>98</v>
      </c>
      <c r="E77" s="1">
        <v>65</v>
      </c>
      <c r="F77" s="1">
        <v>93</v>
      </c>
      <c r="G77" s="7">
        <v>0.35</v>
      </c>
      <c r="H77" s="1">
        <v>90</v>
      </c>
      <c r="I77" s="1" t="s">
        <v>39</v>
      </c>
      <c r="J77" s="1"/>
      <c r="K77" s="1">
        <v>61</v>
      </c>
      <c r="L77" s="1">
        <f t="shared" si="20"/>
        <v>4</v>
      </c>
      <c r="M77" s="1"/>
      <c r="N77" s="1"/>
      <c r="O77" s="1">
        <v>0</v>
      </c>
      <c r="P77" s="1"/>
      <c r="Q77" s="1"/>
      <c r="R77" s="1"/>
      <c r="S77" s="1">
        <v>0</v>
      </c>
      <c r="T77" s="1">
        <f t="shared" si="21"/>
        <v>13</v>
      </c>
      <c r="U77" s="5">
        <f t="shared" si="24"/>
        <v>63</v>
      </c>
      <c r="V77" s="1">
        <f t="shared" si="22"/>
        <v>12</v>
      </c>
      <c r="W77" s="1">
        <f t="shared" si="23"/>
        <v>7.1538461538461542</v>
      </c>
      <c r="X77" s="1">
        <v>5.4</v>
      </c>
      <c r="Y77" s="1">
        <v>7.2</v>
      </c>
      <c r="Z77" s="1">
        <v>11</v>
      </c>
      <c r="AA77" s="1">
        <v>15</v>
      </c>
      <c r="AB77" s="1">
        <v>12.8</v>
      </c>
      <c r="AC77" s="1">
        <v>11.2</v>
      </c>
      <c r="AD77" s="1">
        <v>13.4</v>
      </c>
      <c r="AE77" s="1">
        <v>13.6</v>
      </c>
      <c r="AF77" s="1">
        <v>20.8</v>
      </c>
      <c r="AG77" s="1">
        <v>21.8</v>
      </c>
      <c r="AH77" s="1"/>
      <c r="AI77" s="1">
        <f>G77*U77</f>
        <v>22.049999999999997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43</v>
      </c>
      <c r="C78" s="1">
        <v>313</v>
      </c>
      <c r="D78" s="1">
        <v>50</v>
      </c>
      <c r="E78" s="1">
        <v>118</v>
      </c>
      <c r="F78" s="1">
        <v>239</v>
      </c>
      <c r="G78" s="7">
        <v>0.37</v>
      </c>
      <c r="H78" s="1">
        <v>50</v>
      </c>
      <c r="I78" s="1" t="s">
        <v>39</v>
      </c>
      <c r="J78" s="1"/>
      <c r="K78" s="1">
        <v>118</v>
      </c>
      <c r="L78" s="1">
        <f t="shared" si="20"/>
        <v>0</v>
      </c>
      <c r="M78" s="1"/>
      <c r="N78" s="1"/>
      <c r="O78" s="1">
        <v>0</v>
      </c>
      <c r="P78" s="1"/>
      <c r="Q78" s="1"/>
      <c r="R78" s="1"/>
      <c r="S78" s="1">
        <v>0</v>
      </c>
      <c r="T78" s="1">
        <f t="shared" si="21"/>
        <v>23.6</v>
      </c>
      <c r="U78" s="5">
        <f t="shared" si="24"/>
        <v>44.200000000000045</v>
      </c>
      <c r="V78" s="1">
        <f t="shared" si="22"/>
        <v>12.000000000000002</v>
      </c>
      <c r="W78" s="1">
        <f t="shared" si="23"/>
        <v>10.127118644067796</v>
      </c>
      <c r="X78" s="1">
        <v>22.4</v>
      </c>
      <c r="Y78" s="1">
        <v>18.399999999999999</v>
      </c>
      <c r="Z78" s="1">
        <v>26</v>
      </c>
      <c r="AA78" s="1">
        <v>33.4</v>
      </c>
      <c r="AB78" s="1">
        <v>42.4</v>
      </c>
      <c r="AC78" s="1">
        <v>46</v>
      </c>
      <c r="AD78" s="1">
        <v>32</v>
      </c>
      <c r="AE78" s="1">
        <v>24.8</v>
      </c>
      <c r="AF78" s="1">
        <v>30.8</v>
      </c>
      <c r="AG78" s="1">
        <v>26.4</v>
      </c>
      <c r="AH78" s="1"/>
      <c r="AI78" s="1">
        <f>G78*U78</f>
        <v>16.354000000000017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9" t="s">
        <v>120</v>
      </c>
      <c r="B79" s="9" t="s">
        <v>43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20"/>
        <v>0</v>
      </c>
      <c r="M79" s="9"/>
      <c r="N79" s="9"/>
      <c r="O79" s="9">
        <v>0</v>
      </c>
      <c r="P79" s="9"/>
      <c r="Q79" s="9"/>
      <c r="R79" s="9"/>
      <c r="S79" s="9">
        <v>0</v>
      </c>
      <c r="T79" s="9">
        <f t="shared" si="21"/>
        <v>0</v>
      </c>
      <c r="U79" s="11"/>
      <c r="V79" s="9" t="e">
        <f t="shared" si="22"/>
        <v>#DIV/0!</v>
      </c>
      <c r="W79" s="9" t="e">
        <f t="shared" si="23"/>
        <v>#DIV/0!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 t="s">
        <v>48</v>
      </c>
      <c r="AI79" s="9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43</v>
      </c>
      <c r="C80" s="1">
        <v>46</v>
      </c>
      <c r="D80" s="1"/>
      <c r="E80" s="1">
        <v>43</v>
      </c>
      <c r="F80" s="1">
        <v>3</v>
      </c>
      <c r="G80" s="7">
        <v>0.33</v>
      </c>
      <c r="H80" s="1">
        <v>40</v>
      </c>
      <c r="I80" s="1" t="s">
        <v>39</v>
      </c>
      <c r="J80" s="1"/>
      <c r="K80" s="1">
        <v>42</v>
      </c>
      <c r="L80" s="1">
        <f t="shared" si="20"/>
        <v>1</v>
      </c>
      <c r="M80" s="1"/>
      <c r="N80" s="1"/>
      <c r="O80" s="1">
        <v>61.000000000000007</v>
      </c>
      <c r="P80" s="1">
        <v>0</v>
      </c>
      <c r="Q80" s="1"/>
      <c r="R80" s="1"/>
      <c r="S80" s="1">
        <v>13.4</v>
      </c>
      <c r="T80" s="1">
        <f t="shared" si="21"/>
        <v>8.6</v>
      </c>
      <c r="U80" s="5">
        <f t="shared" ref="U80:U83" si="25">12*T80-S80-R80-Q80-P80-O80-F80</f>
        <v>25.799999999999976</v>
      </c>
      <c r="V80" s="1">
        <f t="shared" si="22"/>
        <v>12</v>
      </c>
      <c r="W80" s="1">
        <f t="shared" si="23"/>
        <v>9.0000000000000018</v>
      </c>
      <c r="X80" s="1">
        <v>8.4</v>
      </c>
      <c r="Y80" s="1">
        <v>6</v>
      </c>
      <c r="Z80" s="1">
        <v>5.6</v>
      </c>
      <c r="AA80" s="1">
        <v>8.1999999999999993</v>
      </c>
      <c r="AB80" s="1">
        <v>11</v>
      </c>
      <c r="AC80" s="1">
        <v>10.8</v>
      </c>
      <c r="AD80" s="1">
        <v>10.199999999999999</v>
      </c>
      <c r="AE80" s="1">
        <v>7.4</v>
      </c>
      <c r="AF80" s="1">
        <v>7.6</v>
      </c>
      <c r="AG80" s="1">
        <v>6</v>
      </c>
      <c r="AH80" s="1"/>
      <c r="AI80" s="1">
        <f>G80*U80</f>
        <v>8.5139999999999922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122</v>
      </c>
      <c r="B81" s="1" t="s">
        <v>43</v>
      </c>
      <c r="C81" s="1">
        <v>391</v>
      </c>
      <c r="D81" s="1">
        <v>6</v>
      </c>
      <c r="E81" s="1">
        <v>61</v>
      </c>
      <c r="F81" s="1">
        <v>325</v>
      </c>
      <c r="G81" s="7">
        <v>0.4</v>
      </c>
      <c r="H81" s="1">
        <v>55</v>
      </c>
      <c r="I81" s="1" t="s">
        <v>39</v>
      </c>
      <c r="J81" s="1"/>
      <c r="K81" s="1">
        <v>65</v>
      </c>
      <c r="L81" s="1">
        <f t="shared" si="20"/>
        <v>-4</v>
      </c>
      <c r="M81" s="1"/>
      <c r="N81" s="1"/>
      <c r="O81" s="1">
        <v>0</v>
      </c>
      <c r="P81" s="1"/>
      <c r="Q81" s="1"/>
      <c r="R81" s="1"/>
      <c r="S81" s="1">
        <v>0</v>
      </c>
      <c r="T81" s="1">
        <f t="shared" si="21"/>
        <v>12.2</v>
      </c>
      <c r="U81" s="5"/>
      <c r="V81" s="1">
        <f t="shared" si="22"/>
        <v>26.639344262295083</v>
      </c>
      <c r="W81" s="1">
        <f t="shared" si="23"/>
        <v>26.639344262295083</v>
      </c>
      <c r="X81" s="1">
        <v>13.8</v>
      </c>
      <c r="Y81" s="1">
        <v>9</v>
      </c>
      <c r="Z81" s="1">
        <v>12.6</v>
      </c>
      <c r="AA81" s="1">
        <v>8.6</v>
      </c>
      <c r="AB81" s="1">
        <v>7.4</v>
      </c>
      <c r="AC81" s="1">
        <v>43</v>
      </c>
      <c r="AD81" s="1">
        <v>39.4</v>
      </c>
      <c r="AE81" s="1">
        <v>4</v>
      </c>
      <c r="AF81" s="1">
        <v>4.2</v>
      </c>
      <c r="AG81" s="1">
        <v>14.8</v>
      </c>
      <c r="AH81" s="16" t="s">
        <v>54</v>
      </c>
      <c r="AI81" s="1">
        <f>G81*U81</f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123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1" t="s">
        <v>39</v>
      </c>
      <c r="J82" s="1"/>
      <c r="K82" s="1">
        <v>15</v>
      </c>
      <c r="L82" s="1">
        <f t="shared" si="20"/>
        <v>-15</v>
      </c>
      <c r="M82" s="1"/>
      <c r="N82" s="1"/>
      <c r="O82" s="1">
        <v>80</v>
      </c>
      <c r="P82" s="1">
        <v>-24.15</v>
      </c>
      <c r="Q82" s="1"/>
      <c r="R82" s="1"/>
      <c r="S82" s="1">
        <v>0</v>
      </c>
      <c r="T82" s="1">
        <f t="shared" si="21"/>
        <v>0</v>
      </c>
      <c r="U82" s="5"/>
      <c r="V82" s="1" t="e">
        <f t="shared" si="22"/>
        <v>#DIV/0!</v>
      </c>
      <c r="W82" s="1" t="e">
        <f t="shared" si="23"/>
        <v>#DIV/0!</v>
      </c>
      <c r="X82" s="1">
        <v>2.4</v>
      </c>
      <c r="Y82" s="1">
        <v>6.2</v>
      </c>
      <c r="Z82" s="1">
        <v>7</v>
      </c>
      <c r="AA82" s="1">
        <v>8</v>
      </c>
      <c r="AB82" s="1">
        <v>6.4</v>
      </c>
      <c r="AC82" s="1">
        <v>3.4</v>
      </c>
      <c r="AD82" s="1">
        <v>2.2000000000000002</v>
      </c>
      <c r="AE82" s="1">
        <v>0.6</v>
      </c>
      <c r="AF82" s="1">
        <v>4.8</v>
      </c>
      <c r="AG82" s="1">
        <v>8.4</v>
      </c>
      <c r="AH82" s="1"/>
      <c r="AI82" s="1">
        <f>G82*U82</f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124</v>
      </c>
      <c r="B83" s="1" t="s">
        <v>43</v>
      </c>
      <c r="C83" s="1">
        <v>2</v>
      </c>
      <c r="D83" s="1"/>
      <c r="E83" s="1"/>
      <c r="F83" s="1">
        <v>2</v>
      </c>
      <c r="G83" s="7">
        <v>0.35</v>
      </c>
      <c r="H83" s="1">
        <v>45</v>
      </c>
      <c r="I83" s="1" t="s">
        <v>39</v>
      </c>
      <c r="J83" s="1"/>
      <c r="K83" s="1">
        <v>14</v>
      </c>
      <c r="L83" s="1">
        <f t="shared" si="20"/>
        <v>-14</v>
      </c>
      <c r="M83" s="1"/>
      <c r="N83" s="1"/>
      <c r="O83" s="1">
        <v>60</v>
      </c>
      <c r="P83" s="1">
        <v>0</v>
      </c>
      <c r="Q83" s="1"/>
      <c r="R83" s="1"/>
      <c r="S83" s="1">
        <v>0</v>
      </c>
      <c r="T83" s="1">
        <f t="shared" si="21"/>
        <v>0</v>
      </c>
      <c r="U83" s="5"/>
      <c r="V83" s="1" t="e">
        <f t="shared" si="22"/>
        <v>#DIV/0!</v>
      </c>
      <c r="W83" s="1" t="e">
        <f t="shared" si="23"/>
        <v>#DIV/0!</v>
      </c>
      <c r="X83" s="1">
        <v>1.4</v>
      </c>
      <c r="Y83" s="1">
        <v>5.4</v>
      </c>
      <c r="Z83" s="1">
        <v>8.1999999999999993</v>
      </c>
      <c r="AA83" s="1">
        <v>9</v>
      </c>
      <c r="AB83" s="1">
        <v>5</v>
      </c>
      <c r="AC83" s="1">
        <v>1.8</v>
      </c>
      <c r="AD83" s="1">
        <v>6.2</v>
      </c>
      <c r="AE83" s="1">
        <v>6.6</v>
      </c>
      <c r="AF83" s="1">
        <v>4</v>
      </c>
      <c r="AG83" s="1">
        <v>2.6</v>
      </c>
      <c r="AH83" s="1"/>
      <c r="AI83" s="1">
        <f>G83*U83</f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125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39</v>
      </c>
      <c r="J84" s="9"/>
      <c r="K84" s="9"/>
      <c r="L84" s="9">
        <f t="shared" si="20"/>
        <v>0</v>
      </c>
      <c r="M84" s="9"/>
      <c r="N84" s="9"/>
      <c r="O84" s="9">
        <v>0</v>
      </c>
      <c r="P84" s="9"/>
      <c r="Q84" s="9"/>
      <c r="R84" s="9"/>
      <c r="S84" s="9">
        <v>0</v>
      </c>
      <c r="T84" s="9">
        <f t="shared" si="21"/>
        <v>0</v>
      </c>
      <c r="U84" s="11"/>
      <c r="V84" s="9" t="e">
        <f t="shared" si="22"/>
        <v>#DIV/0!</v>
      </c>
      <c r="W84" s="9" t="e">
        <f t="shared" si="23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48</v>
      </c>
      <c r="AI84" s="9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126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20"/>
        <v>0</v>
      </c>
      <c r="M85" s="9"/>
      <c r="N85" s="9"/>
      <c r="O85" s="9">
        <v>0</v>
      </c>
      <c r="P85" s="9"/>
      <c r="Q85" s="9"/>
      <c r="R85" s="9"/>
      <c r="S85" s="9">
        <v>0</v>
      </c>
      <c r="T85" s="9">
        <f t="shared" si="21"/>
        <v>0</v>
      </c>
      <c r="U85" s="11"/>
      <c r="V85" s="9" t="e">
        <f t="shared" si="22"/>
        <v>#DIV/0!</v>
      </c>
      <c r="W85" s="9" t="e">
        <f t="shared" si="23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48</v>
      </c>
      <c r="AI85" s="9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127</v>
      </c>
      <c r="B86" s="9" t="s">
        <v>43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63</v>
      </c>
      <c r="J86" s="9"/>
      <c r="K86" s="9">
        <v>10</v>
      </c>
      <c r="L86" s="9">
        <f t="shared" si="20"/>
        <v>-10</v>
      </c>
      <c r="M86" s="9"/>
      <c r="N86" s="9"/>
      <c r="O86" s="9">
        <v>0</v>
      </c>
      <c r="P86" s="9"/>
      <c r="Q86" s="9"/>
      <c r="R86" s="9"/>
      <c r="S86" s="9">
        <v>0</v>
      </c>
      <c r="T86" s="9">
        <f t="shared" si="21"/>
        <v>0</v>
      </c>
      <c r="U86" s="11"/>
      <c r="V86" s="9" t="e">
        <f t="shared" si="22"/>
        <v>#DIV/0!</v>
      </c>
      <c r="W86" s="9" t="e">
        <f t="shared" si="23"/>
        <v>#DIV/0!</v>
      </c>
      <c r="X86" s="9">
        <v>2</v>
      </c>
      <c r="Y86" s="9">
        <v>2</v>
      </c>
      <c r="Z86" s="9">
        <v>0</v>
      </c>
      <c r="AA86" s="9">
        <v>8.6</v>
      </c>
      <c r="AB86" s="9">
        <v>17.399999999999999</v>
      </c>
      <c r="AC86" s="9">
        <v>27.4</v>
      </c>
      <c r="AD86" s="9">
        <v>18.600000000000001</v>
      </c>
      <c r="AE86" s="9">
        <v>2.6</v>
      </c>
      <c r="AF86" s="9">
        <v>14.4</v>
      </c>
      <c r="AG86" s="9">
        <v>16.2</v>
      </c>
      <c r="AH86" s="9"/>
      <c r="AI86" s="9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128</v>
      </c>
      <c r="B87" s="1" t="s">
        <v>38</v>
      </c>
      <c r="C87" s="1">
        <v>35.844999999999999</v>
      </c>
      <c r="D87" s="1"/>
      <c r="E87" s="1">
        <v>2.8660000000000001</v>
      </c>
      <c r="F87" s="1">
        <v>31.547999999999998</v>
      </c>
      <c r="G87" s="7">
        <v>1</v>
      </c>
      <c r="H87" s="1">
        <v>55</v>
      </c>
      <c r="I87" s="1" t="s">
        <v>39</v>
      </c>
      <c r="J87" s="1"/>
      <c r="K87" s="1">
        <v>1.8</v>
      </c>
      <c r="L87" s="1">
        <f t="shared" si="20"/>
        <v>1.0660000000000001</v>
      </c>
      <c r="M87" s="1"/>
      <c r="N87" s="1"/>
      <c r="O87" s="1">
        <v>0</v>
      </c>
      <c r="P87" s="1"/>
      <c r="Q87" s="1"/>
      <c r="R87" s="1"/>
      <c r="S87" s="1">
        <v>0</v>
      </c>
      <c r="T87" s="1">
        <f t="shared" si="21"/>
        <v>0.57320000000000004</v>
      </c>
      <c r="U87" s="5"/>
      <c r="V87" s="1">
        <f t="shared" si="22"/>
        <v>55.038381018841584</v>
      </c>
      <c r="W87" s="1">
        <f t="shared" si="23"/>
        <v>55.038381018841584</v>
      </c>
      <c r="X87" s="1">
        <v>0.57420000000000004</v>
      </c>
      <c r="Y87" s="1">
        <v>0.57440000000000002</v>
      </c>
      <c r="Z87" s="1">
        <v>1.1494</v>
      </c>
      <c r="AA87" s="1">
        <v>2.0078</v>
      </c>
      <c r="AB87" s="1">
        <v>2.8702000000000001</v>
      </c>
      <c r="AC87" s="1">
        <v>2.3037999999999998</v>
      </c>
      <c r="AD87" s="1">
        <v>0.86639999999999995</v>
      </c>
      <c r="AE87" s="1">
        <v>1.159</v>
      </c>
      <c r="AF87" s="1">
        <v>1.4476</v>
      </c>
      <c r="AG87" s="1">
        <v>0.86639999999999995</v>
      </c>
      <c r="AH87" s="16" t="s">
        <v>54</v>
      </c>
      <c r="AI87" s="1">
        <f>G87*U87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129</v>
      </c>
      <c r="B88" s="1" t="s">
        <v>38</v>
      </c>
      <c r="C88" s="1">
        <v>436.25200000000001</v>
      </c>
      <c r="D88" s="1">
        <v>84.84</v>
      </c>
      <c r="E88" s="1">
        <v>176.99199999999999</v>
      </c>
      <c r="F88" s="1">
        <v>310.154</v>
      </c>
      <c r="G88" s="7">
        <v>1</v>
      </c>
      <c r="H88" s="1">
        <v>60</v>
      </c>
      <c r="I88" s="1" t="s">
        <v>39</v>
      </c>
      <c r="J88" s="1"/>
      <c r="K88" s="1">
        <v>171.56</v>
      </c>
      <c r="L88" s="1">
        <f t="shared" si="20"/>
        <v>5.4319999999999879</v>
      </c>
      <c r="M88" s="1"/>
      <c r="N88" s="1"/>
      <c r="O88" s="1">
        <v>112.86</v>
      </c>
      <c r="P88" s="1">
        <v>0</v>
      </c>
      <c r="Q88" s="1"/>
      <c r="R88" s="1"/>
      <c r="S88" s="1">
        <v>0</v>
      </c>
      <c r="T88" s="1">
        <f t="shared" si="21"/>
        <v>35.398399999999995</v>
      </c>
      <c r="U88" s="5">
        <v>4</v>
      </c>
      <c r="V88" s="1">
        <f t="shared" si="22"/>
        <v>12.063087597179535</v>
      </c>
      <c r="W88" s="1">
        <f t="shared" si="23"/>
        <v>11.950088139576932</v>
      </c>
      <c r="X88" s="1">
        <v>35.738399999999999</v>
      </c>
      <c r="Y88" s="1">
        <v>39.966799999999999</v>
      </c>
      <c r="Z88" s="1">
        <v>42.334800000000001</v>
      </c>
      <c r="AA88" s="1">
        <v>54.258799999999987</v>
      </c>
      <c r="AB88" s="1">
        <v>64.385599999999997</v>
      </c>
      <c r="AC88" s="1">
        <v>65.792000000000002</v>
      </c>
      <c r="AD88" s="1">
        <v>54.653599999999997</v>
      </c>
      <c r="AE88" s="1">
        <v>52.551599999999993</v>
      </c>
      <c r="AF88" s="1">
        <v>69.242800000000003</v>
      </c>
      <c r="AG88" s="1">
        <v>51.0944</v>
      </c>
      <c r="AH88" s="1"/>
      <c r="AI88" s="1">
        <f>G88*U88</f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130</v>
      </c>
      <c r="B89" s="9" t="s">
        <v>43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20"/>
        <v>0</v>
      </c>
      <c r="M89" s="9"/>
      <c r="N89" s="9"/>
      <c r="O89" s="9">
        <v>0</v>
      </c>
      <c r="P89" s="9"/>
      <c r="Q89" s="9"/>
      <c r="R89" s="9"/>
      <c r="S89" s="9">
        <v>0</v>
      </c>
      <c r="T89" s="9">
        <f t="shared" si="21"/>
        <v>0</v>
      </c>
      <c r="U89" s="11"/>
      <c r="V89" s="9" t="e">
        <f t="shared" si="22"/>
        <v>#DIV/0!</v>
      </c>
      <c r="W89" s="9" t="e">
        <f t="shared" si="23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48</v>
      </c>
      <c r="AI89" s="9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131</v>
      </c>
      <c r="B90" s="1" t="s">
        <v>38</v>
      </c>
      <c r="C90" s="1">
        <v>3082.1329999999998</v>
      </c>
      <c r="D90" s="1">
        <v>1530.3710000000001</v>
      </c>
      <c r="E90" s="1">
        <v>1527.597</v>
      </c>
      <c r="F90" s="1">
        <v>2653.1460000000002</v>
      </c>
      <c r="G90" s="7">
        <v>1</v>
      </c>
      <c r="H90" s="1">
        <v>60</v>
      </c>
      <c r="I90" s="1" t="s">
        <v>39</v>
      </c>
      <c r="J90" s="1"/>
      <c r="K90" s="1">
        <v>1627</v>
      </c>
      <c r="L90" s="1">
        <f t="shared" si="20"/>
        <v>-99.40300000000002</v>
      </c>
      <c r="M90" s="1"/>
      <c r="N90" s="1"/>
      <c r="O90" s="1">
        <v>0</v>
      </c>
      <c r="P90" s="1"/>
      <c r="Q90" s="1"/>
      <c r="R90" s="1"/>
      <c r="S90" s="1">
        <v>0</v>
      </c>
      <c r="T90" s="1">
        <f t="shared" si="21"/>
        <v>305.51940000000002</v>
      </c>
      <c r="U90" s="5">
        <f t="shared" ref="U90:U92" si="26">12*T90-S90-R90-Q90-P90-O90-F90</f>
        <v>1013.0868</v>
      </c>
      <c r="V90" s="1">
        <f t="shared" si="22"/>
        <v>12</v>
      </c>
      <c r="W90" s="1">
        <f t="shared" si="23"/>
        <v>8.6840508327785404</v>
      </c>
      <c r="X90" s="1">
        <v>261.89159999999998</v>
      </c>
      <c r="Y90" s="1">
        <v>278.6728</v>
      </c>
      <c r="Z90" s="1">
        <v>349.59500000000003</v>
      </c>
      <c r="AA90" s="1">
        <v>386.44279999999998</v>
      </c>
      <c r="AB90" s="1">
        <v>349.46839999999997</v>
      </c>
      <c r="AC90" s="1">
        <v>330.30160000000001</v>
      </c>
      <c r="AD90" s="1">
        <v>346.56220000000002</v>
      </c>
      <c r="AE90" s="1">
        <v>373.70159999999998</v>
      </c>
      <c r="AF90" s="1">
        <v>399.83</v>
      </c>
      <c r="AG90" s="1">
        <v>296.8424</v>
      </c>
      <c r="AH90" s="1"/>
      <c r="AI90" s="1">
        <f>G90*U90</f>
        <v>1013.0868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132</v>
      </c>
      <c r="B91" s="1" t="s">
        <v>38</v>
      </c>
      <c r="C91" s="1">
        <v>2734.875</v>
      </c>
      <c r="D91" s="1">
        <v>2044.2280000000001</v>
      </c>
      <c r="E91" s="1">
        <v>1336.912</v>
      </c>
      <c r="F91" s="1">
        <v>3196.4029999999998</v>
      </c>
      <c r="G91" s="7">
        <v>1</v>
      </c>
      <c r="H91" s="1">
        <v>60</v>
      </c>
      <c r="I91" s="1" t="s">
        <v>39</v>
      </c>
      <c r="J91" s="1"/>
      <c r="K91" s="1">
        <v>1405</v>
      </c>
      <c r="L91" s="1">
        <f t="shared" si="20"/>
        <v>-68.087999999999965</v>
      </c>
      <c r="M91" s="1"/>
      <c r="N91" s="1"/>
      <c r="O91" s="1">
        <v>0</v>
      </c>
      <c r="P91" s="1"/>
      <c r="Q91" s="1"/>
      <c r="R91" s="1">
        <v>300</v>
      </c>
      <c r="S91" s="1">
        <v>0</v>
      </c>
      <c r="T91" s="1">
        <f t="shared" si="21"/>
        <v>267.38240000000002</v>
      </c>
      <c r="U91" s="5"/>
      <c r="V91" s="1">
        <f t="shared" si="22"/>
        <v>13.076414154409562</v>
      </c>
      <c r="W91" s="1">
        <f t="shared" si="23"/>
        <v>13.076414154409562</v>
      </c>
      <c r="X91" s="1">
        <v>257.27859999999998</v>
      </c>
      <c r="Y91" s="1">
        <v>302.92239999999998</v>
      </c>
      <c r="Z91" s="1">
        <v>335.65300000000002</v>
      </c>
      <c r="AA91" s="1">
        <v>342.85480000000001</v>
      </c>
      <c r="AB91" s="1">
        <v>355.83800000000002</v>
      </c>
      <c r="AC91" s="1">
        <v>333.839</v>
      </c>
      <c r="AD91" s="1">
        <v>299.80560000000003</v>
      </c>
      <c r="AE91" s="1">
        <v>327.33319999999998</v>
      </c>
      <c r="AF91" s="1">
        <v>409.26220000000001</v>
      </c>
      <c r="AG91" s="1">
        <v>319.29379999999998</v>
      </c>
      <c r="AH91" s="1"/>
      <c r="AI91" s="1">
        <f>G91*U91</f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133</v>
      </c>
      <c r="B92" s="1" t="s">
        <v>38</v>
      </c>
      <c r="C92" s="1">
        <v>2773.0259999999998</v>
      </c>
      <c r="D92" s="1">
        <v>4115.259</v>
      </c>
      <c r="E92" s="1">
        <v>2164.9119999999998</v>
      </c>
      <c r="F92" s="1">
        <v>4111.0640000000003</v>
      </c>
      <c r="G92" s="7">
        <v>1</v>
      </c>
      <c r="H92" s="1">
        <v>60</v>
      </c>
      <c r="I92" s="1" t="s">
        <v>39</v>
      </c>
      <c r="J92" s="1"/>
      <c r="K92" s="1">
        <v>2342.5</v>
      </c>
      <c r="L92" s="1">
        <f t="shared" si="20"/>
        <v>-177.58800000000019</v>
      </c>
      <c r="M92" s="1"/>
      <c r="N92" s="1"/>
      <c r="O92" s="1">
        <v>501.15139999999798</v>
      </c>
      <c r="P92" s="1">
        <v>0</v>
      </c>
      <c r="Q92" s="1"/>
      <c r="R92" s="1">
        <v>1000</v>
      </c>
      <c r="S92" s="1">
        <v>0</v>
      </c>
      <c r="T92" s="1">
        <f t="shared" si="21"/>
        <v>432.98239999999998</v>
      </c>
      <c r="U92" s="5"/>
      <c r="V92" s="1">
        <f t="shared" si="22"/>
        <v>12.961763341881792</v>
      </c>
      <c r="W92" s="1">
        <f t="shared" si="23"/>
        <v>12.961763341881792</v>
      </c>
      <c r="X92" s="1">
        <v>418.18819999999988</v>
      </c>
      <c r="Y92" s="1">
        <v>465.66320000000002</v>
      </c>
      <c r="Z92" s="1">
        <v>537.89380000000006</v>
      </c>
      <c r="AA92" s="1">
        <v>509.97379999999998</v>
      </c>
      <c r="AB92" s="1">
        <v>493.71719999999988</v>
      </c>
      <c r="AC92" s="1">
        <v>528.36019999999996</v>
      </c>
      <c r="AD92" s="1">
        <v>520.89139999999998</v>
      </c>
      <c r="AE92" s="1">
        <v>526.52819999999997</v>
      </c>
      <c r="AF92" s="1">
        <v>579.12779999999998</v>
      </c>
      <c r="AG92" s="1">
        <v>471.89260000000002</v>
      </c>
      <c r="AH92" s="1"/>
      <c r="AI92" s="1">
        <f>G92*U92</f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134</v>
      </c>
      <c r="B93" s="9" t="s">
        <v>38</v>
      </c>
      <c r="C93" s="9"/>
      <c r="D93" s="9"/>
      <c r="E93" s="9"/>
      <c r="F93" s="9"/>
      <c r="G93" s="10">
        <v>0</v>
      </c>
      <c r="H93" s="9"/>
      <c r="I93" s="9" t="s">
        <v>39</v>
      </c>
      <c r="J93" s="9"/>
      <c r="K93" s="9"/>
      <c r="L93" s="9">
        <f t="shared" si="20"/>
        <v>0</v>
      </c>
      <c r="M93" s="9"/>
      <c r="N93" s="9"/>
      <c r="O93" s="9">
        <v>0</v>
      </c>
      <c r="P93" s="9"/>
      <c r="Q93" s="9"/>
      <c r="R93" s="9"/>
      <c r="S93" s="9">
        <v>0</v>
      </c>
      <c r="T93" s="9">
        <f t="shared" si="21"/>
        <v>0</v>
      </c>
      <c r="U93" s="11"/>
      <c r="V93" s="9" t="e">
        <f t="shared" si="22"/>
        <v>#DIV/0!</v>
      </c>
      <c r="W93" s="9" t="e">
        <f t="shared" si="23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48</v>
      </c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135</v>
      </c>
      <c r="B94" s="1" t="s">
        <v>43</v>
      </c>
      <c r="C94" s="1">
        <v>264</v>
      </c>
      <c r="D94" s="1">
        <v>9</v>
      </c>
      <c r="E94" s="1">
        <v>243</v>
      </c>
      <c r="F94" s="1">
        <v>13</v>
      </c>
      <c r="G94" s="7">
        <v>0.3</v>
      </c>
      <c r="H94" s="1">
        <v>40</v>
      </c>
      <c r="I94" s="1" t="s">
        <v>39</v>
      </c>
      <c r="J94" s="1"/>
      <c r="K94" s="1">
        <v>233</v>
      </c>
      <c r="L94" s="1">
        <f t="shared" si="20"/>
        <v>10</v>
      </c>
      <c r="M94" s="1"/>
      <c r="N94" s="1"/>
      <c r="O94" s="1">
        <v>0</v>
      </c>
      <c r="P94" s="1"/>
      <c r="Q94" s="1"/>
      <c r="R94" s="1"/>
      <c r="S94" s="1">
        <v>245.25800000000001</v>
      </c>
      <c r="T94" s="1">
        <f t="shared" si="21"/>
        <v>48.6</v>
      </c>
      <c r="U94" s="5">
        <f>12*T94-S94-R94-Q94-P94-O94-F94</f>
        <v>324.94200000000001</v>
      </c>
      <c r="V94" s="1">
        <f t="shared" si="22"/>
        <v>12</v>
      </c>
      <c r="W94" s="1">
        <f t="shared" si="23"/>
        <v>5.3139506172839512</v>
      </c>
      <c r="X94" s="1">
        <v>42.6</v>
      </c>
      <c r="Y94" s="1">
        <v>15.2</v>
      </c>
      <c r="Z94" s="1">
        <v>0.6</v>
      </c>
      <c r="AA94" s="1">
        <v>35</v>
      </c>
      <c r="AB94" s="1">
        <v>57.4</v>
      </c>
      <c r="AC94" s="1">
        <v>28.8</v>
      </c>
      <c r="AD94" s="1">
        <v>12.6</v>
      </c>
      <c r="AE94" s="1">
        <v>25</v>
      </c>
      <c r="AF94" s="1">
        <v>32.4</v>
      </c>
      <c r="AG94" s="1">
        <v>26.6</v>
      </c>
      <c r="AH94" s="1"/>
      <c r="AI94" s="1">
        <f>G94*U94</f>
        <v>97.482600000000005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136</v>
      </c>
      <c r="B95" s="9" t="s">
        <v>43</v>
      </c>
      <c r="C95" s="9"/>
      <c r="D95" s="9"/>
      <c r="E95" s="9"/>
      <c r="F95" s="9"/>
      <c r="G95" s="10">
        <v>0</v>
      </c>
      <c r="H95" s="9"/>
      <c r="I95" s="9" t="s">
        <v>39</v>
      </c>
      <c r="J95" s="9"/>
      <c r="K95" s="9"/>
      <c r="L95" s="9">
        <f t="shared" si="20"/>
        <v>0</v>
      </c>
      <c r="M95" s="9"/>
      <c r="N95" s="9"/>
      <c r="O95" s="9">
        <v>0</v>
      </c>
      <c r="P95" s="9"/>
      <c r="Q95" s="9"/>
      <c r="R95" s="9"/>
      <c r="S95" s="9">
        <v>0</v>
      </c>
      <c r="T95" s="9">
        <f t="shared" si="21"/>
        <v>0</v>
      </c>
      <c r="U95" s="11"/>
      <c r="V95" s="9" t="e">
        <f t="shared" si="22"/>
        <v>#DIV/0!</v>
      </c>
      <c r="W95" s="9" t="e">
        <f t="shared" si="23"/>
        <v>#DIV/0!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 t="s">
        <v>48</v>
      </c>
      <c r="AI95" s="9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137</v>
      </c>
      <c r="B96" s="1" t="s">
        <v>43</v>
      </c>
      <c r="C96" s="1">
        <v>114</v>
      </c>
      <c r="D96" s="1">
        <v>1</v>
      </c>
      <c r="E96" s="1">
        <v>35</v>
      </c>
      <c r="F96" s="1">
        <v>71</v>
      </c>
      <c r="G96" s="7">
        <v>7.0000000000000007E-2</v>
      </c>
      <c r="H96" s="1">
        <v>90</v>
      </c>
      <c r="I96" s="1" t="s">
        <v>39</v>
      </c>
      <c r="J96" s="1"/>
      <c r="K96" s="1">
        <v>37</v>
      </c>
      <c r="L96" s="1">
        <f t="shared" si="20"/>
        <v>-2</v>
      </c>
      <c r="M96" s="1"/>
      <c r="N96" s="1"/>
      <c r="O96" s="1">
        <v>98.999999999999986</v>
      </c>
      <c r="P96" s="1">
        <v>0</v>
      </c>
      <c r="Q96" s="1"/>
      <c r="R96" s="1"/>
      <c r="S96" s="1">
        <v>0</v>
      </c>
      <c r="T96" s="1">
        <f t="shared" si="21"/>
        <v>7</v>
      </c>
      <c r="U96" s="5"/>
      <c r="V96" s="1">
        <f t="shared" si="22"/>
        <v>24.285714285714285</v>
      </c>
      <c r="W96" s="1">
        <f t="shared" si="23"/>
        <v>24.285714285714285</v>
      </c>
      <c r="X96" s="1">
        <v>4.4000000000000004</v>
      </c>
      <c r="Y96" s="1">
        <v>14.2</v>
      </c>
      <c r="Z96" s="1">
        <v>17</v>
      </c>
      <c r="AA96" s="1">
        <v>9.4</v>
      </c>
      <c r="AB96" s="1">
        <v>9.4</v>
      </c>
      <c r="AC96" s="1">
        <v>12</v>
      </c>
      <c r="AD96" s="1">
        <v>13</v>
      </c>
      <c r="AE96" s="1">
        <v>14.6</v>
      </c>
      <c r="AF96" s="1">
        <v>15</v>
      </c>
      <c r="AG96" s="1">
        <v>10</v>
      </c>
      <c r="AH96" s="16" t="s">
        <v>54</v>
      </c>
      <c r="AI96" s="1">
        <f>G96*U96</f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3" t="s">
        <v>138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14" t="s">
        <v>67</v>
      </c>
      <c r="J97" s="1"/>
      <c r="K97" s="1">
        <v>2</v>
      </c>
      <c r="L97" s="1">
        <f t="shared" si="20"/>
        <v>-2</v>
      </c>
      <c r="M97" s="1"/>
      <c r="N97" s="1"/>
      <c r="O97" s="1">
        <v>80</v>
      </c>
      <c r="P97" s="1">
        <v>-6.3</v>
      </c>
      <c r="Q97" s="1"/>
      <c r="R97" s="1"/>
      <c r="S97" s="1">
        <v>0</v>
      </c>
      <c r="T97" s="1">
        <f t="shared" si="21"/>
        <v>0</v>
      </c>
      <c r="U97" s="5">
        <v>50</v>
      </c>
      <c r="V97" s="1" t="e">
        <f t="shared" si="22"/>
        <v>#DIV/0!</v>
      </c>
      <c r="W97" s="1" t="e">
        <f t="shared" si="23"/>
        <v>#DIV/0!</v>
      </c>
      <c r="X97" s="1">
        <v>0</v>
      </c>
      <c r="Y97" s="1">
        <v>7.2</v>
      </c>
      <c r="Z97" s="1">
        <v>11.2</v>
      </c>
      <c r="AA97" s="1">
        <v>7.2</v>
      </c>
      <c r="AB97" s="1">
        <v>3.2</v>
      </c>
      <c r="AC97" s="1">
        <v>0</v>
      </c>
      <c r="AD97" s="1">
        <v>0</v>
      </c>
      <c r="AE97" s="1">
        <v>4</v>
      </c>
      <c r="AF97" s="1">
        <v>10.4</v>
      </c>
      <c r="AG97" s="1">
        <v>9.8000000000000007</v>
      </c>
      <c r="AH97" s="1"/>
      <c r="AI97" s="1">
        <f>G97*U97</f>
        <v>3.5000000000000004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139</v>
      </c>
      <c r="B98" s="1" t="s">
        <v>43</v>
      </c>
      <c r="C98" s="1">
        <v>121</v>
      </c>
      <c r="D98" s="1">
        <v>1</v>
      </c>
      <c r="E98" s="1">
        <v>46</v>
      </c>
      <c r="F98" s="1">
        <v>65</v>
      </c>
      <c r="G98" s="7">
        <v>7.0000000000000007E-2</v>
      </c>
      <c r="H98" s="1">
        <v>90</v>
      </c>
      <c r="I98" s="1" t="s">
        <v>39</v>
      </c>
      <c r="J98" s="1"/>
      <c r="K98" s="1">
        <v>48</v>
      </c>
      <c r="L98" s="1">
        <f t="shared" si="20"/>
        <v>-2</v>
      </c>
      <c r="M98" s="1"/>
      <c r="N98" s="1"/>
      <c r="O98" s="1">
        <v>44</v>
      </c>
      <c r="P98" s="1">
        <v>0</v>
      </c>
      <c r="Q98" s="1"/>
      <c r="R98" s="1"/>
      <c r="S98" s="1">
        <v>0</v>
      </c>
      <c r="T98" s="1">
        <f t="shared" si="21"/>
        <v>9.1999999999999993</v>
      </c>
      <c r="U98" s="5"/>
      <c r="V98" s="1">
        <f t="shared" si="22"/>
        <v>11.847826086956523</v>
      </c>
      <c r="W98" s="1">
        <f t="shared" si="23"/>
        <v>11.847826086956523</v>
      </c>
      <c r="X98" s="1">
        <v>5</v>
      </c>
      <c r="Y98" s="1">
        <v>11</v>
      </c>
      <c r="Z98" s="1">
        <v>12.6</v>
      </c>
      <c r="AA98" s="1">
        <v>7</v>
      </c>
      <c r="AB98" s="1">
        <v>9.4</v>
      </c>
      <c r="AC98" s="1">
        <v>15.4</v>
      </c>
      <c r="AD98" s="1">
        <v>14.2</v>
      </c>
      <c r="AE98" s="1">
        <v>10.6</v>
      </c>
      <c r="AF98" s="1">
        <v>8.4</v>
      </c>
      <c r="AG98" s="1">
        <v>4.2</v>
      </c>
      <c r="AH98" s="1"/>
      <c r="AI98" s="1">
        <f>G98*U98</f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140</v>
      </c>
      <c r="B99" s="9" t="s">
        <v>43</v>
      </c>
      <c r="C99" s="9">
        <v>7</v>
      </c>
      <c r="D99" s="9"/>
      <c r="E99" s="9">
        <v>-2</v>
      </c>
      <c r="F99" s="9">
        <v>7</v>
      </c>
      <c r="G99" s="10">
        <v>0</v>
      </c>
      <c r="H99" s="9">
        <v>90</v>
      </c>
      <c r="I99" s="9" t="s">
        <v>63</v>
      </c>
      <c r="J99" s="9"/>
      <c r="K99" s="9">
        <v>27</v>
      </c>
      <c r="L99" s="9">
        <f t="shared" si="20"/>
        <v>-29</v>
      </c>
      <c r="M99" s="9"/>
      <c r="N99" s="9"/>
      <c r="O99" s="9">
        <v>0</v>
      </c>
      <c r="P99" s="9"/>
      <c r="Q99" s="9"/>
      <c r="R99" s="9"/>
      <c r="S99" s="9">
        <v>0</v>
      </c>
      <c r="T99" s="9">
        <f t="shared" si="21"/>
        <v>-0.4</v>
      </c>
      <c r="U99" s="11"/>
      <c r="V99" s="9">
        <f t="shared" si="22"/>
        <v>-17.5</v>
      </c>
      <c r="W99" s="9">
        <f t="shared" si="23"/>
        <v>-17.5</v>
      </c>
      <c r="X99" s="9">
        <v>0</v>
      </c>
      <c r="Y99" s="9">
        <v>8.8000000000000007</v>
      </c>
      <c r="Z99" s="9">
        <v>14</v>
      </c>
      <c r="AA99" s="9">
        <v>12.6</v>
      </c>
      <c r="AB99" s="9">
        <v>14</v>
      </c>
      <c r="AC99" s="9">
        <v>15</v>
      </c>
      <c r="AD99" s="9">
        <v>12.6</v>
      </c>
      <c r="AE99" s="9">
        <v>7.6</v>
      </c>
      <c r="AF99" s="9">
        <v>9.1999999999999993</v>
      </c>
      <c r="AG99" s="9">
        <v>8.8000000000000007</v>
      </c>
      <c r="AH99" s="9"/>
      <c r="AI99" s="9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141</v>
      </c>
      <c r="B100" s="9" t="s">
        <v>43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63</v>
      </c>
      <c r="J100" s="9"/>
      <c r="K100" s="9">
        <v>11</v>
      </c>
      <c r="L100" s="9">
        <f t="shared" si="20"/>
        <v>-12</v>
      </c>
      <c r="M100" s="9"/>
      <c r="N100" s="9"/>
      <c r="O100" s="9">
        <v>0</v>
      </c>
      <c r="P100" s="9"/>
      <c r="Q100" s="9"/>
      <c r="R100" s="9"/>
      <c r="S100" s="9">
        <v>0</v>
      </c>
      <c r="T100" s="9">
        <f t="shared" si="21"/>
        <v>-0.2</v>
      </c>
      <c r="U100" s="11"/>
      <c r="V100" s="9">
        <f t="shared" si="22"/>
        <v>-5</v>
      </c>
      <c r="W100" s="9">
        <f t="shared" si="23"/>
        <v>-5</v>
      </c>
      <c r="X100" s="9">
        <v>-0.2</v>
      </c>
      <c r="Y100" s="9">
        <v>-1.8</v>
      </c>
      <c r="Z100" s="9">
        <v>-1.8</v>
      </c>
      <c r="AA100" s="9">
        <v>0</v>
      </c>
      <c r="AB100" s="9">
        <v>0</v>
      </c>
      <c r="AC100" s="9">
        <v>-0.2</v>
      </c>
      <c r="AD100" s="9">
        <v>-0.8</v>
      </c>
      <c r="AE100" s="9">
        <v>2.8</v>
      </c>
      <c r="AF100" s="9">
        <v>11</v>
      </c>
      <c r="AG100" s="9">
        <v>10</v>
      </c>
      <c r="AH100" s="9" t="s">
        <v>142</v>
      </c>
      <c r="AI100" s="9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143</v>
      </c>
      <c r="B101" s="9" t="s">
        <v>43</v>
      </c>
      <c r="C101" s="9"/>
      <c r="D101" s="9"/>
      <c r="E101" s="9"/>
      <c r="F101" s="9"/>
      <c r="G101" s="10">
        <v>0</v>
      </c>
      <c r="H101" s="9"/>
      <c r="I101" s="9" t="s">
        <v>39</v>
      </c>
      <c r="J101" s="9"/>
      <c r="K101" s="9"/>
      <c r="L101" s="9">
        <f t="shared" si="20"/>
        <v>0</v>
      </c>
      <c r="M101" s="9"/>
      <c r="N101" s="9"/>
      <c r="O101" s="9">
        <v>0</v>
      </c>
      <c r="P101" s="9"/>
      <c r="Q101" s="9"/>
      <c r="R101" s="9"/>
      <c r="S101" s="9">
        <v>0</v>
      </c>
      <c r="T101" s="9">
        <f t="shared" si="21"/>
        <v>0</v>
      </c>
      <c r="U101" s="11"/>
      <c r="V101" s="9" t="e">
        <f t="shared" si="22"/>
        <v>#DIV/0!</v>
      </c>
      <c r="W101" s="9" t="e">
        <f t="shared" si="23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48</v>
      </c>
      <c r="AI101" s="9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144</v>
      </c>
      <c r="B102" s="9" t="s">
        <v>38</v>
      </c>
      <c r="C102" s="9">
        <v>-3.173</v>
      </c>
      <c r="D102" s="9"/>
      <c r="E102" s="9">
        <v>-1.6</v>
      </c>
      <c r="F102" s="9">
        <v>-3.173</v>
      </c>
      <c r="G102" s="10">
        <v>0</v>
      </c>
      <c r="H102" s="9"/>
      <c r="I102" s="9" t="s">
        <v>39</v>
      </c>
      <c r="J102" s="9"/>
      <c r="K102" s="9">
        <v>1</v>
      </c>
      <c r="L102" s="9">
        <f t="shared" ref="L102:L133" si="27">E102-K102</f>
        <v>-2.6</v>
      </c>
      <c r="M102" s="9"/>
      <c r="N102" s="9"/>
      <c r="O102" s="9">
        <v>0</v>
      </c>
      <c r="P102" s="9"/>
      <c r="Q102" s="9"/>
      <c r="R102" s="9"/>
      <c r="S102" s="9">
        <v>0</v>
      </c>
      <c r="T102" s="9">
        <f t="shared" ref="T102:T133" si="28">E102/5</f>
        <v>-0.32</v>
      </c>
      <c r="U102" s="11"/>
      <c r="V102" s="9">
        <f t="shared" ref="V102:V133" si="29">(F102+O102+P102+Q102+R102+S102+U102)/T102</f>
        <v>9.9156250000000004</v>
      </c>
      <c r="W102" s="9">
        <f t="shared" ref="W102:W133" si="30">(F102+O102+P102+Q102+R102+S102)/T102</f>
        <v>9.9156250000000004</v>
      </c>
      <c r="X102" s="9">
        <v>-0.31919999999999998</v>
      </c>
      <c r="Y102" s="9">
        <v>-0.31919999999999998</v>
      </c>
      <c r="Z102" s="9">
        <v>-5.4399999999999997E-2</v>
      </c>
      <c r="AA102" s="9">
        <v>0.63460000000000005</v>
      </c>
      <c r="AB102" s="9">
        <v>4.1537999999999986</v>
      </c>
      <c r="AC102" s="9">
        <v>6.4096000000000002</v>
      </c>
      <c r="AD102" s="9">
        <v>3.5326</v>
      </c>
      <c r="AE102" s="9">
        <v>2.8809999999999998</v>
      </c>
      <c r="AF102" s="9">
        <v>7.3634000000000004</v>
      </c>
      <c r="AG102" s="9">
        <v>8.003400000000001</v>
      </c>
      <c r="AH102" s="9" t="s">
        <v>48</v>
      </c>
      <c r="AI102" s="9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145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27"/>
        <v>0</v>
      </c>
      <c r="M103" s="9"/>
      <c r="N103" s="9"/>
      <c r="O103" s="9">
        <v>0</v>
      </c>
      <c r="P103" s="9"/>
      <c r="Q103" s="9"/>
      <c r="R103" s="9"/>
      <c r="S103" s="9">
        <v>0</v>
      </c>
      <c r="T103" s="9">
        <f t="shared" si="28"/>
        <v>0</v>
      </c>
      <c r="U103" s="11"/>
      <c r="V103" s="9" t="e">
        <f t="shared" si="29"/>
        <v>#DIV/0!</v>
      </c>
      <c r="W103" s="9" t="e">
        <f t="shared" si="30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48</v>
      </c>
      <c r="AI103" s="9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9" t="s">
        <v>146</v>
      </c>
      <c r="B104" s="9" t="s">
        <v>43</v>
      </c>
      <c r="C104" s="9"/>
      <c r="D104" s="9"/>
      <c r="E104" s="9"/>
      <c r="F104" s="9"/>
      <c r="G104" s="10">
        <v>0</v>
      </c>
      <c r="H104" s="9"/>
      <c r="I104" s="9" t="s">
        <v>39</v>
      </c>
      <c r="J104" s="9"/>
      <c r="K104" s="9"/>
      <c r="L104" s="9">
        <f t="shared" si="27"/>
        <v>0</v>
      </c>
      <c r="M104" s="9"/>
      <c r="N104" s="9"/>
      <c r="O104" s="9">
        <v>0</v>
      </c>
      <c r="P104" s="9"/>
      <c r="Q104" s="9"/>
      <c r="R104" s="9"/>
      <c r="S104" s="9">
        <v>0</v>
      </c>
      <c r="T104" s="9">
        <f t="shared" si="28"/>
        <v>0</v>
      </c>
      <c r="U104" s="11"/>
      <c r="V104" s="9" t="e">
        <f t="shared" si="29"/>
        <v>#DIV/0!</v>
      </c>
      <c r="W104" s="9" t="e">
        <f t="shared" si="30"/>
        <v>#DIV/0!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48</v>
      </c>
      <c r="AI104" s="9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147</v>
      </c>
      <c r="B105" s="1" t="s">
        <v>43</v>
      </c>
      <c r="C105" s="1">
        <v>72</v>
      </c>
      <c r="D105" s="1">
        <v>33</v>
      </c>
      <c r="E105" s="1">
        <v>58</v>
      </c>
      <c r="F105" s="1">
        <v>41</v>
      </c>
      <c r="G105" s="7">
        <v>0.08</v>
      </c>
      <c r="H105" s="1">
        <v>45</v>
      </c>
      <c r="I105" s="1" t="s">
        <v>39</v>
      </c>
      <c r="J105" s="1"/>
      <c r="K105" s="1">
        <v>53</v>
      </c>
      <c r="L105" s="1">
        <f t="shared" si="27"/>
        <v>5</v>
      </c>
      <c r="M105" s="1"/>
      <c r="N105" s="1"/>
      <c r="O105" s="1">
        <v>114.8</v>
      </c>
      <c r="P105" s="1">
        <v>0</v>
      </c>
      <c r="Q105" s="1"/>
      <c r="R105" s="1"/>
      <c r="S105" s="1">
        <v>0</v>
      </c>
      <c r="T105" s="1">
        <f t="shared" si="28"/>
        <v>11.6</v>
      </c>
      <c r="U105" s="5"/>
      <c r="V105" s="1">
        <f t="shared" si="29"/>
        <v>13.431034482758623</v>
      </c>
      <c r="W105" s="1">
        <f t="shared" si="30"/>
        <v>13.431034482758623</v>
      </c>
      <c r="X105" s="1">
        <v>5.4</v>
      </c>
      <c r="Y105" s="1">
        <v>13.6</v>
      </c>
      <c r="Z105" s="1">
        <v>20</v>
      </c>
      <c r="AA105" s="1">
        <v>12.6</v>
      </c>
      <c r="AB105" s="1">
        <v>5</v>
      </c>
      <c r="AC105" s="1">
        <v>10</v>
      </c>
      <c r="AD105" s="1">
        <v>18.399999999999999</v>
      </c>
      <c r="AE105" s="1">
        <v>18.8</v>
      </c>
      <c r="AF105" s="1">
        <v>17.2</v>
      </c>
      <c r="AG105" s="1">
        <v>7.4</v>
      </c>
      <c r="AH105" s="15" t="s">
        <v>98</v>
      </c>
      <c r="AI105" s="1">
        <f>G105*U105</f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148</v>
      </c>
      <c r="B106" s="1" t="s">
        <v>43</v>
      </c>
      <c r="C106" s="1">
        <v>79</v>
      </c>
      <c r="D106" s="1">
        <v>2</v>
      </c>
      <c r="E106" s="1">
        <v>49</v>
      </c>
      <c r="F106" s="1">
        <v>21</v>
      </c>
      <c r="G106" s="7">
        <v>0.08</v>
      </c>
      <c r="H106" s="1">
        <v>45</v>
      </c>
      <c r="I106" s="1" t="s">
        <v>39</v>
      </c>
      <c r="J106" s="1"/>
      <c r="K106" s="1">
        <v>56</v>
      </c>
      <c r="L106" s="1">
        <f t="shared" si="27"/>
        <v>-7</v>
      </c>
      <c r="M106" s="1"/>
      <c r="N106" s="1"/>
      <c r="O106" s="1">
        <v>191</v>
      </c>
      <c r="P106" s="1">
        <v>0</v>
      </c>
      <c r="Q106" s="1"/>
      <c r="R106" s="1"/>
      <c r="S106" s="1">
        <v>0</v>
      </c>
      <c r="T106" s="1">
        <f t="shared" si="28"/>
        <v>9.8000000000000007</v>
      </c>
      <c r="U106" s="5"/>
      <c r="V106" s="1">
        <f t="shared" si="29"/>
        <v>21.632653061224488</v>
      </c>
      <c r="W106" s="1">
        <f t="shared" si="30"/>
        <v>21.632653061224488</v>
      </c>
      <c r="X106" s="1">
        <v>4.2</v>
      </c>
      <c r="Y106" s="1">
        <v>18</v>
      </c>
      <c r="Z106" s="1">
        <v>20</v>
      </c>
      <c r="AA106" s="1">
        <v>9.4</v>
      </c>
      <c r="AB106" s="1">
        <v>5.4</v>
      </c>
      <c r="AC106" s="1">
        <v>9.4</v>
      </c>
      <c r="AD106" s="1">
        <v>16.8</v>
      </c>
      <c r="AE106" s="1">
        <v>22.2</v>
      </c>
      <c r="AF106" s="1">
        <v>22</v>
      </c>
      <c r="AG106" s="1">
        <v>19</v>
      </c>
      <c r="AH106" s="16" t="s">
        <v>54</v>
      </c>
      <c r="AI106" s="1">
        <f>G106*U106</f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9" t="s">
        <v>149</v>
      </c>
      <c r="B107" s="9" t="s">
        <v>43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27"/>
        <v>0</v>
      </c>
      <c r="M107" s="9"/>
      <c r="N107" s="9"/>
      <c r="O107" s="9">
        <v>0</v>
      </c>
      <c r="P107" s="9"/>
      <c r="Q107" s="9"/>
      <c r="R107" s="9"/>
      <c r="S107" s="9">
        <v>0</v>
      </c>
      <c r="T107" s="9">
        <f t="shared" si="28"/>
        <v>0</v>
      </c>
      <c r="U107" s="11"/>
      <c r="V107" s="9" t="e">
        <f t="shared" si="29"/>
        <v>#DIV/0!</v>
      </c>
      <c r="W107" s="9" t="e">
        <f t="shared" si="30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48</v>
      </c>
      <c r="AI107" s="9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150</v>
      </c>
      <c r="B108" s="1" t="s">
        <v>38</v>
      </c>
      <c r="C108" s="1">
        <v>137.73099999999999</v>
      </c>
      <c r="D108" s="1">
        <v>202.024</v>
      </c>
      <c r="E108" s="1">
        <v>203.38399999999999</v>
      </c>
      <c r="F108" s="1">
        <v>45.512999999999998</v>
      </c>
      <c r="G108" s="7">
        <v>1</v>
      </c>
      <c r="H108" s="1">
        <v>40</v>
      </c>
      <c r="I108" s="1" t="s">
        <v>39</v>
      </c>
      <c r="J108" s="1"/>
      <c r="K108" s="1">
        <v>202.53100000000001</v>
      </c>
      <c r="L108" s="1">
        <f t="shared" si="27"/>
        <v>0.85299999999998022</v>
      </c>
      <c r="M108" s="1"/>
      <c r="N108" s="1"/>
      <c r="O108" s="1">
        <v>210.60420000000019</v>
      </c>
      <c r="P108" s="1">
        <v>0</v>
      </c>
      <c r="Q108" s="1"/>
      <c r="R108" s="1"/>
      <c r="S108" s="1">
        <v>0</v>
      </c>
      <c r="T108" s="1">
        <f t="shared" si="28"/>
        <v>40.6768</v>
      </c>
      <c r="U108" s="5">
        <f t="shared" ref="U108:U110" si="31">12*T108-S108-R108-Q108-P108-O108-F108</f>
        <v>232.00439999999983</v>
      </c>
      <c r="V108" s="1">
        <f t="shared" si="29"/>
        <v>12.000000000000002</v>
      </c>
      <c r="W108" s="1">
        <f t="shared" si="30"/>
        <v>6.2963949966565753</v>
      </c>
      <c r="X108" s="1">
        <v>32.158000000000001</v>
      </c>
      <c r="Y108" s="1">
        <v>35.068199999999997</v>
      </c>
      <c r="Z108" s="1">
        <v>38.737400000000001</v>
      </c>
      <c r="AA108" s="1">
        <v>37.202199999999998</v>
      </c>
      <c r="AB108" s="1">
        <v>32.511200000000002</v>
      </c>
      <c r="AC108" s="1">
        <v>39.205399999999997</v>
      </c>
      <c r="AD108" s="1">
        <v>47.357999999999997</v>
      </c>
      <c r="AE108" s="1">
        <v>40.43</v>
      </c>
      <c r="AF108" s="1">
        <v>48.8384</v>
      </c>
      <c r="AG108" s="1">
        <v>44.055</v>
      </c>
      <c r="AH108" s="1"/>
      <c r="AI108" s="1">
        <f>G108*U108</f>
        <v>232.00439999999983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151</v>
      </c>
      <c r="B109" s="1" t="s">
        <v>38</v>
      </c>
      <c r="C109" s="1">
        <v>192.471</v>
      </c>
      <c r="D109" s="1">
        <v>199.15199999999999</v>
      </c>
      <c r="E109" s="1">
        <v>190.03700000000001</v>
      </c>
      <c r="F109" s="1">
        <v>109.626</v>
      </c>
      <c r="G109" s="7">
        <v>1</v>
      </c>
      <c r="H109" s="1">
        <v>40</v>
      </c>
      <c r="I109" s="1" t="s">
        <v>39</v>
      </c>
      <c r="J109" s="1"/>
      <c r="K109" s="1">
        <v>192.5</v>
      </c>
      <c r="L109" s="1">
        <f t="shared" si="27"/>
        <v>-2.4629999999999939</v>
      </c>
      <c r="M109" s="1"/>
      <c r="N109" s="1"/>
      <c r="O109" s="1">
        <v>161.62299999999999</v>
      </c>
      <c r="P109" s="1">
        <v>0</v>
      </c>
      <c r="Q109" s="1"/>
      <c r="R109" s="1"/>
      <c r="S109" s="1">
        <v>0</v>
      </c>
      <c r="T109" s="1">
        <f t="shared" si="28"/>
        <v>38.007400000000004</v>
      </c>
      <c r="U109" s="5">
        <f t="shared" si="31"/>
        <v>184.83980000000005</v>
      </c>
      <c r="V109" s="1">
        <f t="shared" si="29"/>
        <v>12.000000000000002</v>
      </c>
      <c r="W109" s="1">
        <f t="shared" si="30"/>
        <v>7.1367417923877978</v>
      </c>
      <c r="X109" s="1">
        <v>31.772600000000001</v>
      </c>
      <c r="Y109" s="1">
        <v>34.806199999999997</v>
      </c>
      <c r="Z109" s="1">
        <v>35.509799999999998</v>
      </c>
      <c r="AA109" s="1">
        <v>40.703800000000001</v>
      </c>
      <c r="AB109" s="1">
        <v>41.782600000000002</v>
      </c>
      <c r="AC109" s="1">
        <v>43.181199999999997</v>
      </c>
      <c r="AD109" s="1">
        <v>44.637</v>
      </c>
      <c r="AE109" s="1">
        <v>44.8142</v>
      </c>
      <c r="AF109" s="1">
        <v>56.320599999999999</v>
      </c>
      <c r="AG109" s="1">
        <v>47.069200000000002</v>
      </c>
      <c r="AH109" s="1"/>
      <c r="AI109" s="1">
        <f>G109*U109</f>
        <v>184.83980000000005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152</v>
      </c>
      <c r="B110" s="1" t="s">
        <v>38</v>
      </c>
      <c r="C110" s="1">
        <v>245</v>
      </c>
      <c r="D110" s="1">
        <v>234.76400000000001</v>
      </c>
      <c r="E110" s="1">
        <v>307.25700000000001</v>
      </c>
      <c r="F110" s="1">
        <v>70.069000000000003</v>
      </c>
      <c r="G110" s="7">
        <v>1</v>
      </c>
      <c r="H110" s="1">
        <v>40</v>
      </c>
      <c r="I110" s="14" t="s">
        <v>67</v>
      </c>
      <c r="J110" s="1"/>
      <c r="K110" s="1">
        <v>308.60000000000002</v>
      </c>
      <c r="L110" s="1">
        <f t="shared" si="27"/>
        <v>-1.3430000000000177</v>
      </c>
      <c r="M110" s="1"/>
      <c r="N110" s="1"/>
      <c r="O110" s="1">
        <v>228.42232000000021</v>
      </c>
      <c r="P110" s="1">
        <v>-231</v>
      </c>
      <c r="Q110" s="1"/>
      <c r="R110" s="1"/>
      <c r="S110" s="1">
        <v>169.62715800000001</v>
      </c>
      <c r="T110" s="1">
        <f t="shared" si="28"/>
        <v>61.4514</v>
      </c>
      <c r="U110" s="5">
        <v>180</v>
      </c>
      <c r="V110" s="1">
        <f t="shared" si="29"/>
        <v>6.7877782768171304</v>
      </c>
      <c r="W110" s="1">
        <f t="shared" si="30"/>
        <v>3.8586342703339582</v>
      </c>
      <c r="X110" s="1">
        <v>45.332599999999999</v>
      </c>
      <c r="Y110" s="1">
        <v>44.720799999999997</v>
      </c>
      <c r="Z110" s="1">
        <v>51.527799999999999</v>
      </c>
      <c r="AA110" s="1">
        <v>51.247799999999998</v>
      </c>
      <c r="AB110" s="1">
        <v>50.388800000000003</v>
      </c>
      <c r="AC110" s="1">
        <v>57.012800000000013</v>
      </c>
      <c r="AD110" s="1">
        <v>65.165199999999999</v>
      </c>
      <c r="AE110" s="1">
        <v>60.9452</v>
      </c>
      <c r="AF110" s="1">
        <v>70.5732</v>
      </c>
      <c r="AG110" s="1">
        <v>62.651200000000003</v>
      </c>
      <c r="AH110" s="1"/>
      <c r="AI110" s="1">
        <f>G110*U110</f>
        <v>180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9" t="s">
        <v>153</v>
      </c>
      <c r="B111" s="9" t="s">
        <v>43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27"/>
        <v>0</v>
      </c>
      <c r="M111" s="9"/>
      <c r="N111" s="9"/>
      <c r="O111" s="9">
        <v>0</v>
      </c>
      <c r="P111" s="9"/>
      <c r="Q111" s="9"/>
      <c r="R111" s="9"/>
      <c r="S111" s="9">
        <v>0</v>
      </c>
      <c r="T111" s="9">
        <f t="shared" si="28"/>
        <v>0</v>
      </c>
      <c r="U111" s="11"/>
      <c r="V111" s="9" t="e">
        <f t="shared" si="29"/>
        <v>#DIV/0!</v>
      </c>
      <c r="W111" s="9" t="e">
        <f t="shared" si="30"/>
        <v>#DIV/0!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 t="s">
        <v>48</v>
      </c>
      <c r="AI111" s="9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154</v>
      </c>
      <c r="B112" s="9" t="s">
        <v>43</v>
      </c>
      <c r="C112" s="9"/>
      <c r="D112" s="9"/>
      <c r="E112" s="9"/>
      <c r="F112" s="9"/>
      <c r="G112" s="10">
        <v>0</v>
      </c>
      <c r="H112" s="9"/>
      <c r="I112" s="9" t="s">
        <v>39</v>
      </c>
      <c r="J112" s="9"/>
      <c r="K112" s="9"/>
      <c r="L112" s="9">
        <f t="shared" si="27"/>
        <v>0</v>
      </c>
      <c r="M112" s="9"/>
      <c r="N112" s="9"/>
      <c r="O112" s="9">
        <v>0</v>
      </c>
      <c r="P112" s="9"/>
      <c r="Q112" s="9"/>
      <c r="R112" s="9"/>
      <c r="S112" s="9">
        <v>0</v>
      </c>
      <c r="T112" s="9">
        <f t="shared" si="28"/>
        <v>0</v>
      </c>
      <c r="U112" s="11"/>
      <c r="V112" s="9" t="e">
        <f t="shared" si="29"/>
        <v>#DIV/0!</v>
      </c>
      <c r="W112" s="9" t="e">
        <f t="shared" si="30"/>
        <v>#DIV/0!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48</v>
      </c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155</v>
      </c>
      <c r="B113" s="1" t="s">
        <v>43</v>
      </c>
      <c r="C113" s="1">
        <v>26</v>
      </c>
      <c r="D113" s="1">
        <v>5</v>
      </c>
      <c r="E113" s="1">
        <v>-10</v>
      </c>
      <c r="F113" s="1">
        <v>4</v>
      </c>
      <c r="G113" s="7">
        <v>0.28000000000000003</v>
      </c>
      <c r="H113" s="1">
        <v>40</v>
      </c>
      <c r="I113" s="1" t="s">
        <v>39</v>
      </c>
      <c r="J113" s="1"/>
      <c r="K113" s="1">
        <v>101</v>
      </c>
      <c r="L113" s="1">
        <f t="shared" si="27"/>
        <v>-111</v>
      </c>
      <c r="M113" s="1"/>
      <c r="N113" s="1"/>
      <c r="O113" s="1">
        <v>500</v>
      </c>
      <c r="P113" s="1">
        <v>-53.48</v>
      </c>
      <c r="Q113" s="1"/>
      <c r="R113" s="1"/>
      <c r="S113" s="1">
        <v>0</v>
      </c>
      <c r="T113" s="1">
        <f t="shared" si="28"/>
        <v>-2</v>
      </c>
      <c r="U113" s="5"/>
      <c r="V113" s="1">
        <f t="shared" si="29"/>
        <v>-225.26</v>
      </c>
      <c r="W113" s="1">
        <f t="shared" si="30"/>
        <v>-225.26</v>
      </c>
      <c r="X113" s="1">
        <v>7</v>
      </c>
      <c r="Y113" s="1">
        <v>46</v>
      </c>
      <c r="Z113" s="1">
        <v>56.4</v>
      </c>
      <c r="AA113" s="1">
        <v>36.6</v>
      </c>
      <c r="AB113" s="1">
        <v>18.8</v>
      </c>
      <c r="AC113" s="1">
        <v>1.8</v>
      </c>
      <c r="AD113" s="1">
        <v>20</v>
      </c>
      <c r="AE113" s="1">
        <v>41</v>
      </c>
      <c r="AF113" s="1">
        <v>38.799999999999997</v>
      </c>
      <c r="AG113" s="1">
        <v>14.8</v>
      </c>
      <c r="AH113" s="1"/>
      <c r="AI113" s="1">
        <f>G113*U113</f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156</v>
      </c>
      <c r="B114" s="1" t="s">
        <v>43</v>
      </c>
      <c r="C114" s="1">
        <v>122</v>
      </c>
      <c r="D114" s="1">
        <v>6</v>
      </c>
      <c r="E114" s="1">
        <v>112</v>
      </c>
      <c r="F114" s="1">
        <v>2</v>
      </c>
      <c r="G114" s="7">
        <v>0.28000000000000003</v>
      </c>
      <c r="H114" s="1">
        <v>40</v>
      </c>
      <c r="I114" s="1" t="s">
        <v>39</v>
      </c>
      <c r="J114" s="1"/>
      <c r="K114" s="1">
        <v>160</v>
      </c>
      <c r="L114" s="1">
        <f t="shared" si="27"/>
        <v>-48</v>
      </c>
      <c r="M114" s="1"/>
      <c r="N114" s="1"/>
      <c r="O114" s="1">
        <v>520</v>
      </c>
      <c r="P114" s="1">
        <v>-146.16</v>
      </c>
      <c r="Q114" s="1"/>
      <c r="R114" s="1"/>
      <c r="S114" s="1">
        <v>50</v>
      </c>
      <c r="T114" s="1">
        <f t="shared" si="28"/>
        <v>22.4</v>
      </c>
      <c r="U114" s="5"/>
      <c r="V114" s="1">
        <f t="shared" si="29"/>
        <v>19.01071428571429</v>
      </c>
      <c r="W114" s="1">
        <f t="shared" si="30"/>
        <v>19.01071428571429</v>
      </c>
      <c r="X114" s="1">
        <v>34.6</v>
      </c>
      <c r="Y114" s="1">
        <v>45.2</v>
      </c>
      <c r="Z114" s="1">
        <v>45.8</v>
      </c>
      <c r="AA114" s="1">
        <v>35</v>
      </c>
      <c r="AB114" s="1">
        <v>34.799999999999997</v>
      </c>
      <c r="AC114" s="1">
        <v>40.4</v>
      </c>
      <c r="AD114" s="1">
        <v>38.6</v>
      </c>
      <c r="AE114" s="1">
        <v>25</v>
      </c>
      <c r="AF114" s="1">
        <v>12.8</v>
      </c>
      <c r="AG114" s="1">
        <v>8.6</v>
      </c>
      <c r="AH114" s="1"/>
      <c r="AI114" s="1">
        <f>G114*U114</f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157</v>
      </c>
      <c r="B115" s="1" t="s">
        <v>43</v>
      </c>
      <c r="C115" s="1">
        <v>110</v>
      </c>
      <c r="D115" s="1">
        <v>164</v>
      </c>
      <c r="E115" s="1">
        <v>196</v>
      </c>
      <c r="F115" s="1">
        <v>31</v>
      </c>
      <c r="G115" s="7">
        <v>0.28000000000000003</v>
      </c>
      <c r="H115" s="1">
        <v>40</v>
      </c>
      <c r="I115" s="1" t="s">
        <v>39</v>
      </c>
      <c r="J115" s="1"/>
      <c r="K115" s="1">
        <v>209</v>
      </c>
      <c r="L115" s="1">
        <f t="shared" si="27"/>
        <v>-13</v>
      </c>
      <c r="M115" s="1"/>
      <c r="N115" s="1"/>
      <c r="O115" s="1">
        <v>403.39999999999992</v>
      </c>
      <c r="P115" s="1">
        <v>0</v>
      </c>
      <c r="Q115" s="1"/>
      <c r="R115" s="1"/>
      <c r="S115" s="1">
        <v>0</v>
      </c>
      <c r="T115" s="1">
        <f t="shared" si="28"/>
        <v>39.200000000000003</v>
      </c>
      <c r="U115" s="5">
        <f t="shared" ref="U113:U115" si="32">12*T115-S115-R115-Q115-P115-O115-F115</f>
        <v>36.000000000000114</v>
      </c>
      <c r="V115" s="1">
        <f t="shared" si="29"/>
        <v>12</v>
      </c>
      <c r="W115" s="1">
        <f t="shared" si="30"/>
        <v>11.081632653061222</v>
      </c>
      <c r="X115" s="1">
        <v>30.6</v>
      </c>
      <c r="Y115" s="1">
        <v>43.4</v>
      </c>
      <c r="Z115" s="1">
        <v>43</v>
      </c>
      <c r="AA115" s="1">
        <v>33</v>
      </c>
      <c r="AB115" s="1">
        <v>34.799999999999997</v>
      </c>
      <c r="AC115" s="1">
        <v>39</v>
      </c>
      <c r="AD115" s="1">
        <v>39.6</v>
      </c>
      <c r="AE115" s="1">
        <v>31.8</v>
      </c>
      <c r="AF115" s="1">
        <v>39</v>
      </c>
      <c r="AG115" s="1">
        <v>32.200000000000003</v>
      </c>
      <c r="AH115" s="1"/>
      <c r="AI115" s="1">
        <f>G115*U115</f>
        <v>10.080000000000032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9" t="s">
        <v>158</v>
      </c>
      <c r="B116" s="9" t="s">
        <v>43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/>
      <c r="L116" s="9">
        <f t="shared" si="27"/>
        <v>0</v>
      </c>
      <c r="M116" s="9"/>
      <c r="N116" s="9"/>
      <c r="O116" s="9">
        <v>0</v>
      </c>
      <c r="P116" s="9"/>
      <c r="Q116" s="9"/>
      <c r="R116" s="9"/>
      <c r="S116" s="9">
        <v>0</v>
      </c>
      <c r="T116" s="9">
        <f t="shared" si="28"/>
        <v>0</v>
      </c>
      <c r="U116" s="11"/>
      <c r="V116" s="9" t="e">
        <f t="shared" si="29"/>
        <v>#DIV/0!</v>
      </c>
      <c r="W116" s="9" t="e">
        <f t="shared" si="30"/>
        <v>#DIV/0!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 t="s">
        <v>48</v>
      </c>
      <c r="AI116" s="9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159</v>
      </c>
      <c r="B117" s="1" t="s">
        <v>38</v>
      </c>
      <c r="C117" s="1">
        <v>57.024999999999999</v>
      </c>
      <c r="D117" s="1">
        <v>15.073</v>
      </c>
      <c r="E117" s="1">
        <v>49.351999999999997</v>
      </c>
      <c r="F117" s="1">
        <v>21.712</v>
      </c>
      <c r="G117" s="7">
        <v>1</v>
      </c>
      <c r="H117" s="1">
        <v>60</v>
      </c>
      <c r="I117" s="1" t="s">
        <v>39</v>
      </c>
      <c r="J117" s="1"/>
      <c r="K117" s="1">
        <v>65</v>
      </c>
      <c r="L117" s="1">
        <f t="shared" si="27"/>
        <v>-15.648000000000003</v>
      </c>
      <c r="M117" s="1"/>
      <c r="N117" s="1"/>
      <c r="O117" s="1">
        <v>200</v>
      </c>
      <c r="P117" s="1">
        <v>0</v>
      </c>
      <c r="Q117" s="1"/>
      <c r="R117" s="1"/>
      <c r="S117" s="1">
        <v>0</v>
      </c>
      <c r="T117" s="1">
        <f t="shared" si="28"/>
        <v>9.8704000000000001</v>
      </c>
      <c r="U117" s="5"/>
      <c r="V117" s="1">
        <f t="shared" si="29"/>
        <v>22.462311557788944</v>
      </c>
      <c r="W117" s="1">
        <f t="shared" si="30"/>
        <v>22.462311557788944</v>
      </c>
      <c r="X117" s="1">
        <v>11.0616</v>
      </c>
      <c r="Y117" s="1">
        <v>18.499199999999998</v>
      </c>
      <c r="Z117" s="1">
        <v>18.447199999999999</v>
      </c>
      <c r="AA117" s="1">
        <v>12.635400000000001</v>
      </c>
      <c r="AB117" s="1">
        <v>14.976000000000001</v>
      </c>
      <c r="AC117" s="1">
        <v>20.262599999999999</v>
      </c>
      <c r="AD117" s="1">
        <v>18.412800000000001</v>
      </c>
      <c r="AE117" s="1">
        <v>15.7308</v>
      </c>
      <c r="AF117" s="1">
        <v>19.185199999999998</v>
      </c>
      <c r="AG117" s="1">
        <v>9.5001999999999995</v>
      </c>
      <c r="AH117" s="1"/>
      <c r="AI117" s="1">
        <f>G117*U117</f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160</v>
      </c>
      <c r="B118" s="1" t="s">
        <v>38</v>
      </c>
      <c r="C118" s="1">
        <v>142.096</v>
      </c>
      <c r="D118" s="1"/>
      <c r="E118" s="1">
        <v>38.823</v>
      </c>
      <c r="F118" s="1">
        <v>99.665000000000006</v>
      </c>
      <c r="G118" s="7">
        <v>1</v>
      </c>
      <c r="H118" s="1">
        <v>50</v>
      </c>
      <c r="I118" s="1" t="s">
        <v>39</v>
      </c>
      <c r="J118" s="1"/>
      <c r="K118" s="1">
        <v>40</v>
      </c>
      <c r="L118" s="1">
        <f t="shared" si="27"/>
        <v>-1.1769999999999996</v>
      </c>
      <c r="M118" s="1"/>
      <c r="N118" s="1"/>
      <c r="O118" s="1">
        <v>0</v>
      </c>
      <c r="P118" s="1"/>
      <c r="Q118" s="1"/>
      <c r="R118" s="1"/>
      <c r="S118" s="1">
        <v>0</v>
      </c>
      <c r="T118" s="1">
        <f t="shared" si="28"/>
        <v>7.7645999999999997</v>
      </c>
      <c r="U118" s="5"/>
      <c r="V118" s="1">
        <f t="shared" si="29"/>
        <v>12.835818973289031</v>
      </c>
      <c r="W118" s="1">
        <f t="shared" si="30"/>
        <v>12.835818973289031</v>
      </c>
      <c r="X118" s="1">
        <v>5.4868000000000006</v>
      </c>
      <c r="Y118" s="1">
        <v>7.4721999999999991</v>
      </c>
      <c r="Z118" s="1">
        <v>9.9611999999999998</v>
      </c>
      <c r="AA118" s="1">
        <v>8.8994</v>
      </c>
      <c r="AB118" s="1">
        <v>10.405799999999999</v>
      </c>
      <c r="AC118" s="1">
        <v>16.494800000000001</v>
      </c>
      <c r="AD118" s="1">
        <v>16.497199999999999</v>
      </c>
      <c r="AE118" s="1">
        <v>14.1732</v>
      </c>
      <c r="AF118" s="1">
        <v>15.641999999999999</v>
      </c>
      <c r="AG118" s="1">
        <v>12.287000000000001</v>
      </c>
      <c r="AH118" s="16" t="s">
        <v>54</v>
      </c>
      <c r="AI118" s="1">
        <f>G118*U118</f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9" t="s">
        <v>161</v>
      </c>
      <c r="B119" s="9" t="s">
        <v>43</v>
      </c>
      <c r="C119" s="9"/>
      <c r="D119" s="9"/>
      <c r="E119" s="9"/>
      <c r="F119" s="9"/>
      <c r="G119" s="10">
        <v>0</v>
      </c>
      <c r="H119" s="9"/>
      <c r="I119" s="9" t="s">
        <v>39</v>
      </c>
      <c r="J119" s="9"/>
      <c r="K119" s="9"/>
      <c r="L119" s="9">
        <f t="shared" si="27"/>
        <v>0</v>
      </c>
      <c r="M119" s="9"/>
      <c r="N119" s="9"/>
      <c r="O119" s="9">
        <v>0</v>
      </c>
      <c r="P119" s="9"/>
      <c r="Q119" s="9"/>
      <c r="R119" s="9"/>
      <c r="S119" s="9">
        <v>0</v>
      </c>
      <c r="T119" s="9">
        <f t="shared" si="28"/>
        <v>0</v>
      </c>
      <c r="U119" s="11"/>
      <c r="V119" s="9" t="e">
        <f t="shared" si="29"/>
        <v>#DIV/0!</v>
      </c>
      <c r="W119" s="9" t="e">
        <f t="shared" si="30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48</v>
      </c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9" t="s">
        <v>162</v>
      </c>
      <c r="B120" s="9" t="s">
        <v>43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27"/>
        <v>0</v>
      </c>
      <c r="M120" s="9"/>
      <c r="N120" s="9"/>
      <c r="O120" s="9">
        <v>0</v>
      </c>
      <c r="P120" s="9"/>
      <c r="Q120" s="9"/>
      <c r="R120" s="9"/>
      <c r="S120" s="9">
        <v>0</v>
      </c>
      <c r="T120" s="9">
        <f t="shared" si="28"/>
        <v>0</v>
      </c>
      <c r="U120" s="11"/>
      <c r="V120" s="9" t="e">
        <f t="shared" si="29"/>
        <v>#DIV/0!</v>
      </c>
      <c r="W120" s="9" t="e">
        <f t="shared" si="30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48</v>
      </c>
      <c r="AI120" s="9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163</v>
      </c>
      <c r="B121" s="1" t="s">
        <v>38</v>
      </c>
      <c r="C121" s="1">
        <v>30.206</v>
      </c>
      <c r="D121" s="1">
        <v>190.90700000000001</v>
      </c>
      <c r="E121" s="1">
        <v>100.86</v>
      </c>
      <c r="F121" s="1">
        <v>88.012</v>
      </c>
      <c r="G121" s="7">
        <v>1</v>
      </c>
      <c r="H121" s="1">
        <v>60</v>
      </c>
      <c r="I121" s="1" t="s">
        <v>39</v>
      </c>
      <c r="J121" s="1"/>
      <c r="K121" s="1">
        <v>108.9</v>
      </c>
      <c r="L121" s="1">
        <f t="shared" si="27"/>
        <v>-8.0400000000000063</v>
      </c>
      <c r="M121" s="1"/>
      <c r="N121" s="1"/>
      <c r="O121" s="1">
        <v>15.185800000000009</v>
      </c>
      <c r="P121" s="1">
        <v>0</v>
      </c>
      <c r="Q121" s="1"/>
      <c r="R121" s="1"/>
      <c r="S121" s="1">
        <v>22.95079999999999</v>
      </c>
      <c r="T121" s="1">
        <f t="shared" si="28"/>
        <v>20.172000000000001</v>
      </c>
      <c r="U121" s="5">
        <f t="shared" ref="U121:U132" si="33">12*T121-S121-R121-Q121-P121-O121-F121</f>
        <v>115.91540000000003</v>
      </c>
      <c r="V121" s="1">
        <f t="shared" si="29"/>
        <v>12</v>
      </c>
      <c r="W121" s="1">
        <f t="shared" si="30"/>
        <v>6.2536486218520722</v>
      </c>
      <c r="X121" s="1">
        <v>15.214600000000001</v>
      </c>
      <c r="Y121" s="1">
        <v>14.1698</v>
      </c>
      <c r="Z121" s="1">
        <v>20.410399999999999</v>
      </c>
      <c r="AA121" s="1">
        <v>21.778199999999998</v>
      </c>
      <c r="AB121" s="1">
        <v>13.795400000000001</v>
      </c>
      <c r="AC121" s="1">
        <v>8.7471999999999994</v>
      </c>
      <c r="AD121" s="1">
        <v>11.3284</v>
      </c>
      <c r="AE121" s="1">
        <v>16.998000000000001</v>
      </c>
      <c r="AF121" s="1">
        <v>21.1784</v>
      </c>
      <c r="AG121" s="1">
        <v>9.8439999999999994</v>
      </c>
      <c r="AH121" s="1"/>
      <c r="AI121" s="1">
        <f t="shared" ref="AI121:AI132" si="34">G121*U121</f>
        <v>115.91540000000003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164</v>
      </c>
      <c r="B122" s="1" t="s">
        <v>38</v>
      </c>
      <c r="C122" s="1">
        <v>344.33699999999999</v>
      </c>
      <c r="D122" s="1">
        <v>27.469000000000001</v>
      </c>
      <c r="E122" s="1">
        <v>169.33699999999999</v>
      </c>
      <c r="F122" s="1">
        <v>164.947</v>
      </c>
      <c r="G122" s="7">
        <v>1</v>
      </c>
      <c r="H122" s="1">
        <v>60</v>
      </c>
      <c r="I122" s="1" t="s">
        <v>39</v>
      </c>
      <c r="J122" s="1"/>
      <c r="K122" s="1">
        <v>168.25</v>
      </c>
      <c r="L122" s="1">
        <f t="shared" si="27"/>
        <v>1.0869999999999891</v>
      </c>
      <c r="M122" s="1"/>
      <c r="N122" s="1"/>
      <c r="O122" s="1">
        <v>167.00659999999999</v>
      </c>
      <c r="P122" s="1">
        <v>0</v>
      </c>
      <c r="Q122" s="1"/>
      <c r="R122" s="1"/>
      <c r="S122" s="1">
        <v>33.732400000000013</v>
      </c>
      <c r="T122" s="1">
        <f t="shared" si="28"/>
        <v>33.867399999999996</v>
      </c>
      <c r="U122" s="5">
        <f t="shared" si="33"/>
        <v>40.72279999999995</v>
      </c>
      <c r="V122" s="1">
        <f t="shared" si="29"/>
        <v>12</v>
      </c>
      <c r="W122" s="1">
        <f t="shared" si="30"/>
        <v>10.797581154738777</v>
      </c>
      <c r="X122" s="1">
        <v>37.478999999999999</v>
      </c>
      <c r="Y122" s="1">
        <v>34.275799999999997</v>
      </c>
      <c r="Z122" s="1">
        <v>36.581000000000003</v>
      </c>
      <c r="AA122" s="1">
        <v>40.446399999999997</v>
      </c>
      <c r="AB122" s="1">
        <v>52.765599999999992</v>
      </c>
      <c r="AC122" s="1">
        <v>58.024800000000013</v>
      </c>
      <c r="AD122" s="1">
        <v>40.68</v>
      </c>
      <c r="AE122" s="1">
        <v>30.541399999999999</v>
      </c>
      <c r="AF122" s="1">
        <v>38.330199999999998</v>
      </c>
      <c r="AG122" s="1">
        <v>36.979799999999997</v>
      </c>
      <c r="AH122" s="1"/>
      <c r="AI122" s="1">
        <f t="shared" si="34"/>
        <v>40.72279999999995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165</v>
      </c>
      <c r="B123" s="1" t="s">
        <v>38</v>
      </c>
      <c r="C123" s="1">
        <v>166.023</v>
      </c>
      <c r="D123" s="1">
        <v>1.379</v>
      </c>
      <c r="E123" s="1">
        <v>48.104999999999997</v>
      </c>
      <c r="F123" s="1">
        <v>102.90900000000001</v>
      </c>
      <c r="G123" s="7">
        <v>1</v>
      </c>
      <c r="H123" s="1">
        <v>60</v>
      </c>
      <c r="I123" s="1" t="s">
        <v>39</v>
      </c>
      <c r="J123" s="1"/>
      <c r="K123" s="1">
        <v>46.1</v>
      </c>
      <c r="L123" s="1">
        <f t="shared" si="27"/>
        <v>2.0049999999999955</v>
      </c>
      <c r="M123" s="1"/>
      <c r="N123" s="1"/>
      <c r="O123" s="1">
        <v>20.742999999999991</v>
      </c>
      <c r="P123" s="1">
        <v>0</v>
      </c>
      <c r="Q123" s="1"/>
      <c r="R123" s="1"/>
      <c r="S123" s="1">
        <v>0</v>
      </c>
      <c r="T123" s="1">
        <f t="shared" si="28"/>
        <v>9.6209999999999987</v>
      </c>
      <c r="U123" s="5"/>
      <c r="V123" s="1">
        <f t="shared" si="29"/>
        <v>12.852302255482799</v>
      </c>
      <c r="W123" s="1">
        <f t="shared" si="30"/>
        <v>12.852302255482799</v>
      </c>
      <c r="X123" s="1">
        <v>8.5533999999999999</v>
      </c>
      <c r="Y123" s="1">
        <v>12.0816</v>
      </c>
      <c r="Z123" s="1">
        <v>11.7842</v>
      </c>
      <c r="AA123" s="1">
        <v>5.2182000000000004</v>
      </c>
      <c r="AB123" s="1">
        <v>9.017199999999999</v>
      </c>
      <c r="AC123" s="1">
        <v>19.734200000000001</v>
      </c>
      <c r="AD123" s="1">
        <v>18.6568</v>
      </c>
      <c r="AE123" s="1">
        <v>9.5117999999999991</v>
      </c>
      <c r="AF123" s="1">
        <v>9.5025999999999993</v>
      </c>
      <c r="AG123" s="1">
        <v>9.9976000000000003</v>
      </c>
      <c r="AH123" s="1"/>
      <c r="AI123" s="1">
        <f t="shared" si="34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166</v>
      </c>
      <c r="B124" s="1" t="s">
        <v>38</v>
      </c>
      <c r="C124" s="1">
        <v>1821.374</v>
      </c>
      <c r="D124" s="1">
        <v>626.798</v>
      </c>
      <c r="E124" s="1">
        <v>827.47900000000004</v>
      </c>
      <c r="F124" s="1">
        <v>1455.174</v>
      </c>
      <c r="G124" s="7">
        <v>1</v>
      </c>
      <c r="H124" s="1">
        <v>60</v>
      </c>
      <c r="I124" s="1" t="s">
        <v>39</v>
      </c>
      <c r="J124" s="1"/>
      <c r="K124" s="1">
        <v>902.5</v>
      </c>
      <c r="L124" s="1">
        <f t="shared" si="27"/>
        <v>-75.020999999999958</v>
      </c>
      <c r="M124" s="1"/>
      <c r="N124" s="1"/>
      <c r="O124" s="1">
        <v>392.5905999999992</v>
      </c>
      <c r="P124" s="1">
        <v>0</v>
      </c>
      <c r="Q124" s="1"/>
      <c r="R124" s="1"/>
      <c r="S124" s="1">
        <v>0</v>
      </c>
      <c r="T124" s="1">
        <f t="shared" si="28"/>
        <v>165.4958</v>
      </c>
      <c r="U124" s="5">
        <f t="shared" si="33"/>
        <v>138.18500000000085</v>
      </c>
      <c r="V124" s="1">
        <f t="shared" si="29"/>
        <v>12</v>
      </c>
      <c r="W124" s="1">
        <f t="shared" si="30"/>
        <v>11.16502412750051</v>
      </c>
      <c r="X124" s="1">
        <v>148.43340000000001</v>
      </c>
      <c r="Y124" s="1">
        <v>180.2364</v>
      </c>
      <c r="Z124" s="1">
        <v>202.20419999999999</v>
      </c>
      <c r="AA124" s="1">
        <v>198.17320000000001</v>
      </c>
      <c r="AB124" s="1">
        <v>185.0686</v>
      </c>
      <c r="AC124" s="1">
        <v>197.94739999999999</v>
      </c>
      <c r="AD124" s="1">
        <v>193.87379999999999</v>
      </c>
      <c r="AE124" s="1">
        <v>177.26840000000001</v>
      </c>
      <c r="AF124" s="1">
        <v>143.54259999999999</v>
      </c>
      <c r="AG124" s="1">
        <v>73.318599999999989</v>
      </c>
      <c r="AH124" s="1"/>
      <c r="AI124" s="1">
        <f t="shared" si="34"/>
        <v>138.18500000000085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167</v>
      </c>
      <c r="B125" s="1" t="s">
        <v>43</v>
      </c>
      <c r="C125" s="1">
        <v>20</v>
      </c>
      <c r="D125" s="1">
        <v>2</v>
      </c>
      <c r="E125" s="1">
        <v>18</v>
      </c>
      <c r="F125" s="1">
        <v>4</v>
      </c>
      <c r="G125" s="7">
        <v>0.25</v>
      </c>
      <c r="H125" s="1">
        <v>1096</v>
      </c>
      <c r="I125" s="1" t="s">
        <v>39</v>
      </c>
      <c r="J125" s="1"/>
      <c r="K125" s="1">
        <v>36</v>
      </c>
      <c r="L125" s="1">
        <f t="shared" si="27"/>
        <v>-18</v>
      </c>
      <c r="M125" s="1"/>
      <c r="N125" s="1"/>
      <c r="O125" s="1">
        <v>500</v>
      </c>
      <c r="P125" s="1">
        <v>-126</v>
      </c>
      <c r="Q125" s="1"/>
      <c r="R125" s="1"/>
      <c r="S125" s="1">
        <v>0</v>
      </c>
      <c r="T125" s="1">
        <f t="shared" si="28"/>
        <v>3.6</v>
      </c>
      <c r="U125" s="5"/>
      <c r="V125" s="1">
        <f t="shared" si="29"/>
        <v>105</v>
      </c>
      <c r="W125" s="1">
        <f t="shared" si="30"/>
        <v>105</v>
      </c>
      <c r="X125" s="1">
        <v>5.4</v>
      </c>
      <c r="Y125" s="1">
        <v>25.8</v>
      </c>
      <c r="Z125" s="1">
        <v>33</v>
      </c>
      <c r="AA125" s="1">
        <v>10.6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 t="s">
        <v>168</v>
      </c>
      <c r="AI125" s="1">
        <f t="shared" si="34"/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169</v>
      </c>
      <c r="B126" s="1" t="s">
        <v>43</v>
      </c>
      <c r="C126" s="1">
        <v>36</v>
      </c>
      <c r="D126" s="1">
        <v>2</v>
      </c>
      <c r="E126" s="12">
        <f>33+E133</f>
        <v>40</v>
      </c>
      <c r="F126" s="12">
        <f>5+F133</f>
        <v>14</v>
      </c>
      <c r="G126" s="7">
        <v>0.32500000000000001</v>
      </c>
      <c r="H126" s="1">
        <v>1096</v>
      </c>
      <c r="I126" s="1" t="s">
        <v>39</v>
      </c>
      <c r="J126" s="1"/>
      <c r="K126" s="1">
        <v>33</v>
      </c>
      <c r="L126" s="1">
        <f t="shared" si="27"/>
        <v>7</v>
      </c>
      <c r="M126" s="1"/>
      <c r="N126" s="1"/>
      <c r="O126" s="1">
        <v>500</v>
      </c>
      <c r="P126" s="1">
        <v>-163.80000000000001</v>
      </c>
      <c r="Q126" s="1"/>
      <c r="R126" s="1"/>
      <c r="S126" s="1">
        <v>0</v>
      </c>
      <c r="T126" s="1">
        <f t="shared" si="28"/>
        <v>8</v>
      </c>
      <c r="U126" s="5"/>
      <c r="V126" s="1">
        <f t="shared" si="29"/>
        <v>43.774999999999999</v>
      </c>
      <c r="W126" s="1">
        <f t="shared" si="30"/>
        <v>43.774999999999999</v>
      </c>
      <c r="X126" s="1">
        <v>5.6</v>
      </c>
      <c r="Y126" s="1">
        <v>22</v>
      </c>
      <c r="Z126" s="1">
        <v>22.4</v>
      </c>
      <c r="AA126" s="1">
        <v>3.2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168</v>
      </c>
      <c r="AI126" s="1">
        <f t="shared" si="34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170</v>
      </c>
      <c r="B127" s="1" t="s">
        <v>43</v>
      </c>
      <c r="C127" s="1">
        <v>28</v>
      </c>
      <c r="D127" s="1">
        <v>2</v>
      </c>
      <c r="E127" s="1">
        <v>26</v>
      </c>
      <c r="F127" s="1">
        <v>4</v>
      </c>
      <c r="G127" s="7">
        <v>0.25</v>
      </c>
      <c r="H127" s="1">
        <v>1096</v>
      </c>
      <c r="I127" s="1" t="s">
        <v>39</v>
      </c>
      <c r="J127" s="1"/>
      <c r="K127" s="1">
        <v>40</v>
      </c>
      <c r="L127" s="1">
        <f t="shared" si="27"/>
        <v>-14</v>
      </c>
      <c r="M127" s="1"/>
      <c r="N127" s="1"/>
      <c r="O127" s="1">
        <v>500</v>
      </c>
      <c r="P127" s="1">
        <v>0</v>
      </c>
      <c r="Q127" s="1"/>
      <c r="R127" s="1"/>
      <c r="S127" s="1">
        <v>0</v>
      </c>
      <c r="T127" s="1">
        <f t="shared" si="28"/>
        <v>5.2</v>
      </c>
      <c r="U127" s="5"/>
      <c r="V127" s="1">
        <f t="shared" si="29"/>
        <v>96.92307692307692</v>
      </c>
      <c r="W127" s="1">
        <f t="shared" si="30"/>
        <v>96.92307692307692</v>
      </c>
      <c r="X127" s="1">
        <v>8.1999999999999993</v>
      </c>
      <c r="Y127" s="1">
        <v>27.6</v>
      </c>
      <c r="Z127" s="1">
        <v>29.4</v>
      </c>
      <c r="AA127" s="1">
        <v>7.2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168</v>
      </c>
      <c r="AI127" s="1">
        <f t="shared" si="34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3" t="s">
        <v>171</v>
      </c>
      <c r="B128" s="1" t="s">
        <v>43</v>
      </c>
      <c r="C128" s="1"/>
      <c r="D128" s="1"/>
      <c r="E128" s="1">
        <v>-5</v>
      </c>
      <c r="F128" s="1"/>
      <c r="G128" s="7">
        <v>0.3</v>
      </c>
      <c r="H128" s="1">
        <v>40</v>
      </c>
      <c r="I128" s="14" t="s">
        <v>67</v>
      </c>
      <c r="J128" s="1"/>
      <c r="K128" s="1">
        <v>2</v>
      </c>
      <c r="L128" s="1">
        <f t="shared" si="27"/>
        <v>-7</v>
      </c>
      <c r="M128" s="1"/>
      <c r="N128" s="1"/>
      <c r="O128" s="1">
        <v>100</v>
      </c>
      <c r="P128" s="1">
        <v>-30.6</v>
      </c>
      <c r="Q128" s="1"/>
      <c r="R128" s="1"/>
      <c r="S128" s="1">
        <v>60</v>
      </c>
      <c r="T128" s="1">
        <f t="shared" si="28"/>
        <v>-1</v>
      </c>
      <c r="U128" s="5">
        <v>180</v>
      </c>
      <c r="V128" s="1">
        <f t="shared" si="29"/>
        <v>-309.39999999999998</v>
      </c>
      <c r="W128" s="1">
        <f t="shared" si="30"/>
        <v>-129.4</v>
      </c>
      <c r="X128" s="1">
        <v>-1.2</v>
      </c>
      <c r="Y128" s="1">
        <v>-0.6</v>
      </c>
      <c r="Z128" s="1">
        <v>15.2</v>
      </c>
      <c r="AA128" s="1">
        <v>36.4</v>
      </c>
      <c r="AB128" s="1">
        <v>36.6</v>
      </c>
      <c r="AC128" s="1">
        <v>59.8</v>
      </c>
      <c r="AD128" s="1">
        <v>60</v>
      </c>
      <c r="AE128" s="1">
        <v>36.4</v>
      </c>
      <c r="AF128" s="1">
        <v>44.4</v>
      </c>
      <c r="AG128" s="1">
        <v>39</v>
      </c>
      <c r="AH128" s="1"/>
      <c r="AI128" s="1">
        <f t="shared" si="34"/>
        <v>54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172</v>
      </c>
      <c r="B129" s="1" t="s">
        <v>43</v>
      </c>
      <c r="C129" s="1">
        <v>5</v>
      </c>
      <c r="D129" s="1">
        <v>3</v>
      </c>
      <c r="E129" s="1">
        <v>3</v>
      </c>
      <c r="F129" s="1">
        <v>1</v>
      </c>
      <c r="G129" s="7">
        <v>0.3</v>
      </c>
      <c r="H129" s="1">
        <v>40</v>
      </c>
      <c r="I129" s="1" t="s">
        <v>39</v>
      </c>
      <c r="J129" s="1"/>
      <c r="K129" s="1">
        <v>24</v>
      </c>
      <c r="L129" s="1">
        <f t="shared" si="27"/>
        <v>-21</v>
      </c>
      <c r="M129" s="1"/>
      <c r="N129" s="1"/>
      <c r="O129" s="1">
        <v>80</v>
      </c>
      <c r="P129" s="1">
        <v>-25.2</v>
      </c>
      <c r="Q129" s="1"/>
      <c r="R129" s="1"/>
      <c r="S129" s="1">
        <v>8</v>
      </c>
      <c r="T129" s="1">
        <f t="shared" si="28"/>
        <v>0.6</v>
      </c>
      <c r="U129" s="5"/>
      <c r="V129" s="1">
        <f t="shared" si="29"/>
        <v>106.33333333333333</v>
      </c>
      <c r="W129" s="1">
        <f t="shared" si="30"/>
        <v>106.33333333333333</v>
      </c>
      <c r="X129" s="1">
        <v>5.8</v>
      </c>
      <c r="Y129" s="1">
        <v>6.8</v>
      </c>
      <c r="Z129" s="1">
        <v>1.4</v>
      </c>
      <c r="AA129" s="1">
        <v>-0.2</v>
      </c>
      <c r="AB129" s="1">
        <v>-0.8</v>
      </c>
      <c r="AC129" s="1">
        <v>15.8</v>
      </c>
      <c r="AD129" s="1">
        <v>16</v>
      </c>
      <c r="AE129" s="1">
        <v>-1.2</v>
      </c>
      <c r="AF129" s="1">
        <v>-0.6</v>
      </c>
      <c r="AG129" s="1">
        <v>-1.2</v>
      </c>
      <c r="AH129" s="1" t="s">
        <v>173</v>
      </c>
      <c r="AI129" s="1">
        <f t="shared" si="34"/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174</v>
      </c>
      <c r="B130" s="1" t="s">
        <v>38</v>
      </c>
      <c r="C130" s="1">
        <v>41.645000000000003</v>
      </c>
      <c r="D130" s="1">
        <v>10.775</v>
      </c>
      <c r="E130" s="1">
        <v>10.752000000000001</v>
      </c>
      <c r="F130" s="1">
        <v>40.316000000000003</v>
      </c>
      <c r="G130" s="7">
        <v>1</v>
      </c>
      <c r="H130" s="1">
        <v>50</v>
      </c>
      <c r="I130" s="1" t="s">
        <v>39</v>
      </c>
      <c r="J130" s="1"/>
      <c r="K130" s="1">
        <v>10.199999999999999</v>
      </c>
      <c r="L130" s="1">
        <f t="shared" si="27"/>
        <v>0.55200000000000138</v>
      </c>
      <c r="M130" s="1"/>
      <c r="N130" s="1"/>
      <c r="O130" s="1">
        <v>0</v>
      </c>
      <c r="P130" s="1"/>
      <c r="Q130" s="1"/>
      <c r="R130" s="1"/>
      <c r="S130" s="1">
        <v>0</v>
      </c>
      <c r="T130" s="1">
        <f t="shared" si="28"/>
        <v>2.1504000000000003</v>
      </c>
      <c r="U130" s="5"/>
      <c r="V130" s="1">
        <f t="shared" si="29"/>
        <v>18.74813988095238</v>
      </c>
      <c r="W130" s="1">
        <f t="shared" si="30"/>
        <v>18.74813988095238</v>
      </c>
      <c r="X130" s="1">
        <v>2.1423999999999999</v>
      </c>
      <c r="Y130" s="1">
        <v>2.9592000000000001</v>
      </c>
      <c r="Z130" s="1">
        <v>2.4420000000000002</v>
      </c>
      <c r="AA130" s="1">
        <v>4.0430000000000001</v>
      </c>
      <c r="AB130" s="1">
        <v>4.5990000000000002</v>
      </c>
      <c r="AC130" s="1">
        <v>3.5379999999999998</v>
      </c>
      <c r="AD130" s="1">
        <v>1.901</v>
      </c>
      <c r="AE130" s="1">
        <v>1.0864</v>
      </c>
      <c r="AF130" s="1">
        <v>2.4331999999999998</v>
      </c>
      <c r="AG130" s="1">
        <v>1.623</v>
      </c>
      <c r="AH130" s="16" t="s">
        <v>54</v>
      </c>
      <c r="AI130" s="1">
        <f t="shared" si="34"/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175</v>
      </c>
      <c r="B131" s="1" t="s">
        <v>43</v>
      </c>
      <c r="C131" s="1">
        <v>34</v>
      </c>
      <c r="D131" s="1">
        <v>1</v>
      </c>
      <c r="E131" s="1">
        <v>20</v>
      </c>
      <c r="F131" s="1">
        <v>6</v>
      </c>
      <c r="G131" s="7">
        <v>0.3</v>
      </c>
      <c r="H131" s="1">
        <v>40</v>
      </c>
      <c r="I131" s="14" t="s">
        <v>67</v>
      </c>
      <c r="J131" s="1"/>
      <c r="K131" s="1">
        <v>41</v>
      </c>
      <c r="L131" s="1">
        <f t="shared" si="27"/>
        <v>-21</v>
      </c>
      <c r="M131" s="1"/>
      <c r="N131" s="1"/>
      <c r="O131" s="1">
        <v>100</v>
      </c>
      <c r="P131" s="1">
        <v>0</v>
      </c>
      <c r="Q131" s="1"/>
      <c r="R131" s="1"/>
      <c r="S131" s="1">
        <v>19.599999999999991</v>
      </c>
      <c r="T131" s="1">
        <f t="shared" si="28"/>
        <v>4</v>
      </c>
      <c r="U131" s="5">
        <v>20</v>
      </c>
      <c r="V131" s="1">
        <f t="shared" si="29"/>
        <v>36.4</v>
      </c>
      <c r="W131" s="1">
        <f t="shared" si="30"/>
        <v>31.4</v>
      </c>
      <c r="X131" s="1">
        <v>11.6</v>
      </c>
      <c r="Y131" s="1">
        <v>31.2</v>
      </c>
      <c r="Z131" s="1">
        <v>39.6</v>
      </c>
      <c r="AA131" s="1">
        <v>28.2</v>
      </c>
      <c r="AB131" s="1">
        <v>23.2</v>
      </c>
      <c r="AC131" s="1">
        <v>15.8</v>
      </c>
      <c r="AD131" s="1">
        <v>14.6</v>
      </c>
      <c r="AE131" s="1">
        <v>30</v>
      </c>
      <c r="AF131" s="1">
        <v>42.6</v>
      </c>
      <c r="AG131" s="1">
        <v>23.8</v>
      </c>
      <c r="AH131" s="1"/>
      <c r="AI131" s="1">
        <f t="shared" si="34"/>
        <v>6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176</v>
      </c>
      <c r="B132" s="1" t="s">
        <v>43</v>
      </c>
      <c r="C132" s="1">
        <v>117</v>
      </c>
      <c r="D132" s="1">
        <v>3</v>
      </c>
      <c r="E132" s="1">
        <v>43</v>
      </c>
      <c r="F132" s="1">
        <v>68</v>
      </c>
      <c r="G132" s="7">
        <v>0.12</v>
      </c>
      <c r="H132" s="1">
        <v>45</v>
      </c>
      <c r="I132" s="1" t="s">
        <v>39</v>
      </c>
      <c r="J132" s="1"/>
      <c r="K132" s="1">
        <v>38</v>
      </c>
      <c r="L132" s="1">
        <f t="shared" si="27"/>
        <v>5</v>
      </c>
      <c r="M132" s="1"/>
      <c r="N132" s="1"/>
      <c r="O132" s="1">
        <v>104</v>
      </c>
      <c r="P132" s="1">
        <v>-12.6</v>
      </c>
      <c r="Q132" s="1"/>
      <c r="R132" s="1"/>
      <c r="S132" s="1">
        <v>0</v>
      </c>
      <c r="T132" s="1">
        <f t="shared" si="28"/>
        <v>8.6</v>
      </c>
      <c r="U132" s="5"/>
      <c r="V132" s="1">
        <f t="shared" si="29"/>
        <v>18.534883720930235</v>
      </c>
      <c r="W132" s="1">
        <f t="shared" si="30"/>
        <v>18.534883720930235</v>
      </c>
      <c r="X132" s="1">
        <v>9</v>
      </c>
      <c r="Y132" s="1">
        <v>13.4</v>
      </c>
      <c r="Z132" s="1">
        <v>15</v>
      </c>
      <c r="AA132" s="1">
        <v>11.8</v>
      </c>
      <c r="AB132" s="1">
        <v>14.6</v>
      </c>
      <c r="AC132" s="1">
        <v>17.600000000000001</v>
      </c>
      <c r="AD132" s="1">
        <v>14.6</v>
      </c>
      <c r="AE132" s="1">
        <v>7.4</v>
      </c>
      <c r="AF132" s="1">
        <v>3.6</v>
      </c>
      <c r="AG132" s="1">
        <v>3.2</v>
      </c>
      <c r="AH132" s="15" t="s">
        <v>98</v>
      </c>
      <c r="AI132" s="1">
        <f t="shared" si="34"/>
        <v>0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9" t="s">
        <v>177</v>
      </c>
      <c r="B133" s="9" t="s">
        <v>43</v>
      </c>
      <c r="C133" s="9">
        <v>40</v>
      </c>
      <c r="D133" s="9"/>
      <c r="E133" s="12">
        <v>7</v>
      </c>
      <c r="F133" s="12">
        <v>9</v>
      </c>
      <c r="G133" s="10">
        <v>0</v>
      </c>
      <c r="H133" s="9"/>
      <c r="I133" s="9" t="s">
        <v>178</v>
      </c>
      <c r="J133" s="9" t="s">
        <v>169</v>
      </c>
      <c r="K133" s="9">
        <v>7</v>
      </c>
      <c r="L133" s="9">
        <f t="shared" si="27"/>
        <v>0</v>
      </c>
      <c r="M133" s="9"/>
      <c r="N133" s="9"/>
      <c r="O133" s="9">
        <v>0</v>
      </c>
      <c r="P133" s="9"/>
      <c r="Q133" s="9"/>
      <c r="R133" s="9"/>
      <c r="S133" s="9">
        <v>0</v>
      </c>
      <c r="T133" s="9">
        <f t="shared" si="28"/>
        <v>1.4</v>
      </c>
      <c r="U133" s="11"/>
      <c r="V133" s="9">
        <f t="shared" si="29"/>
        <v>6.4285714285714288</v>
      </c>
      <c r="W133" s="9">
        <f t="shared" si="30"/>
        <v>6.4285714285714288</v>
      </c>
      <c r="X133" s="9">
        <v>2.4</v>
      </c>
      <c r="Y133" s="9">
        <v>2</v>
      </c>
      <c r="Z133" s="9">
        <v>0.6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/>
      <c r="AI133" s="9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2026-08-13T12:44:03Z</dcterms:created>
  <dcterms:modified xsi:type="dcterms:W3CDTF">2026-08-13T13:03:15Z</dcterms:modified>
</cp:coreProperties>
</file>