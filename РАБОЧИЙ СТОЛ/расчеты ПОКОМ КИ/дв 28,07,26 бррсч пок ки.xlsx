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91E1297E-10C5-4EC5-AE0D-0DC6E9BA573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7" i="1" l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6" i="1"/>
  <c r="AJ5" i="1" s="1"/>
  <c r="S121" i="1"/>
  <c r="S44" i="1"/>
  <c r="U5" i="1" l="1"/>
  <c r="S7" i="1" l="1"/>
  <c r="S8" i="1"/>
  <c r="S9" i="1"/>
  <c r="V9" i="1" s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V25" i="1" s="1"/>
  <c r="S26" i="1"/>
  <c r="V26" i="1" s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W65" i="1" s="1"/>
  <c r="S66" i="1"/>
  <c r="S67" i="1"/>
  <c r="S68" i="1"/>
  <c r="S69" i="1"/>
  <c r="V69" i="1" s="1"/>
  <c r="S70" i="1"/>
  <c r="S71" i="1"/>
  <c r="S72" i="1"/>
  <c r="S73" i="1"/>
  <c r="S74" i="1"/>
  <c r="S75" i="1"/>
  <c r="S76" i="1"/>
  <c r="V76" i="1" s="1"/>
  <c r="S77" i="1"/>
  <c r="S78" i="1"/>
  <c r="S79" i="1"/>
  <c r="S80" i="1"/>
  <c r="S81" i="1"/>
  <c r="S82" i="1"/>
  <c r="V82" i="1" s="1"/>
  <c r="S83" i="1"/>
  <c r="V83" i="1" s="1"/>
  <c r="S84" i="1"/>
  <c r="V84" i="1" s="1"/>
  <c r="S85" i="1"/>
  <c r="S86" i="1"/>
  <c r="V86" i="1" s="1"/>
  <c r="S87" i="1"/>
  <c r="S88" i="1"/>
  <c r="S89" i="1"/>
  <c r="S90" i="1"/>
  <c r="V90" i="1" s="1"/>
  <c r="S91" i="1"/>
  <c r="S92" i="1"/>
  <c r="V92" i="1" s="1"/>
  <c r="S93" i="1"/>
  <c r="S94" i="1"/>
  <c r="S95" i="1"/>
  <c r="S96" i="1"/>
  <c r="S97" i="1"/>
  <c r="V97" i="1" s="1"/>
  <c r="S98" i="1"/>
  <c r="V98" i="1" s="1"/>
  <c r="S99" i="1"/>
  <c r="S100" i="1"/>
  <c r="V100" i="1" s="1"/>
  <c r="S101" i="1"/>
  <c r="V101" i="1" s="1"/>
  <c r="S102" i="1"/>
  <c r="S103" i="1"/>
  <c r="S104" i="1"/>
  <c r="V104" i="1" s="1"/>
  <c r="S105" i="1"/>
  <c r="S106" i="1"/>
  <c r="S107" i="1"/>
  <c r="S108" i="1"/>
  <c r="V108" i="1" s="1"/>
  <c r="S109" i="1"/>
  <c r="V109" i="1" s="1"/>
  <c r="S110" i="1"/>
  <c r="S111" i="1"/>
  <c r="S112" i="1"/>
  <c r="S113" i="1"/>
  <c r="S114" i="1"/>
  <c r="S115" i="1"/>
  <c r="S116" i="1"/>
  <c r="S117" i="1"/>
  <c r="S118" i="1"/>
  <c r="S119" i="1"/>
  <c r="S120" i="1"/>
  <c r="S122" i="1"/>
  <c r="S123" i="1"/>
  <c r="S124" i="1"/>
  <c r="S125" i="1"/>
  <c r="S126" i="1"/>
  <c r="S127" i="1"/>
  <c r="V127" i="1" s="1"/>
  <c r="S128" i="1"/>
  <c r="V128" i="1" s="1"/>
  <c r="S129" i="1"/>
  <c r="V129" i="1" s="1"/>
  <c r="S6" i="1"/>
  <c r="T6" i="1" s="1"/>
  <c r="AI129" i="1"/>
  <c r="L129" i="1"/>
  <c r="AI128" i="1"/>
  <c r="L128" i="1"/>
  <c r="AI127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AI104" i="1"/>
  <c r="L104" i="1"/>
  <c r="L103" i="1"/>
  <c r="L102" i="1"/>
  <c r="L101" i="1"/>
  <c r="AI100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AI26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AI6" i="1"/>
  <c r="L6" i="1"/>
  <c r="AG5" i="1"/>
  <c r="AF5" i="1"/>
  <c r="AE5" i="1"/>
  <c r="AD5" i="1"/>
  <c r="AC5" i="1"/>
  <c r="AB5" i="1"/>
  <c r="AA5" i="1"/>
  <c r="Z5" i="1"/>
  <c r="Y5" i="1"/>
  <c r="X5" i="1"/>
  <c r="R5" i="1"/>
  <c r="Q5" i="1"/>
  <c r="P5" i="1"/>
  <c r="O5" i="1"/>
  <c r="N5" i="1"/>
  <c r="M5" i="1"/>
  <c r="K5" i="1"/>
  <c r="F5" i="1"/>
  <c r="E5" i="1"/>
  <c r="L5" i="1" l="1"/>
  <c r="W129" i="1"/>
  <c r="T126" i="1"/>
  <c r="AI126" i="1" s="1"/>
  <c r="AI124" i="1"/>
  <c r="T122" i="1"/>
  <c r="AI122" i="1" s="1"/>
  <c r="T120" i="1"/>
  <c r="AI120" i="1" s="1"/>
  <c r="AI118" i="1"/>
  <c r="T116" i="1"/>
  <c r="AI116" i="1" s="1"/>
  <c r="AI114" i="1"/>
  <c r="AI112" i="1"/>
  <c r="AI110" i="1"/>
  <c r="AI106" i="1"/>
  <c r="T102" i="1"/>
  <c r="AI102" i="1" s="1"/>
  <c r="V96" i="1"/>
  <c r="T94" i="1"/>
  <c r="AI94" i="1" s="1"/>
  <c r="AI88" i="1"/>
  <c r="T80" i="1"/>
  <c r="AI80" i="1" s="1"/>
  <c r="T78" i="1"/>
  <c r="AI78" i="1" s="1"/>
  <c r="T74" i="1"/>
  <c r="AI74" i="1" s="1"/>
  <c r="T72" i="1"/>
  <c r="AI72" i="1" s="1"/>
  <c r="AI70" i="1"/>
  <c r="AI68" i="1"/>
  <c r="AI66" i="1"/>
  <c r="AI64" i="1"/>
  <c r="AI62" i="1"/>
  <c r="T60" i="1"/>
  <c r="AI60" i="1" s="1"/>
  <c r="AI58" i="1"/>
  <c r="AI56" i="1"/>
  <c r="T54" i="1"/>
  <c r="AI54" i="1" s="1"/>
  <c r="T52" i="1"/>
  <c r="AI52" i="1" s="1"/>
  <c r="T50" i="1"/>
  <c r="AI50" i="1" s="1"/>
  <c r="AI48" i="1"/>
  <c r="AI46" i="1"/>
  <c r="AI44" i="1"/>
  <c r="T42" i="1"/>
  <c r="V42" i="1" s="1"/>
  <c r="AI40" i="1"/>
  <c r="AI38" i="1"/>
  <c r="AI36" i="1"/>
  <c r="AI34" i="1"/>
  <c r="AI32" i="1"/>
  <c r="AI30" i="1"/>
  <c r="T28" i="1"/>
  <c r="AI28" i="1" s="1"/>
  <c r="AI24" i="1"/>
  <c r="AI22" i="1"/>
  <c r="AI20" i="1"/>
  <c r="T18" i="1"/>
  <c r="AI18" i="1" s="1"/>
  <c r="AI16" i="1"/>
  <c r="AI14" i="1"/>
  <c r="AI12" i="1"/>
  <c r="AI10" i="1"/>
  <c r="AI8" i="1"/>
  <c r="S5" i="1"/>
  <c r="T125" i="1"/>
  <c r="AI125" i="1" s="1"/>
  <c r="V123" i="1"/>
  <c r="AI123" i="1"/>
  <c r="V121" i="1"/>
  <c r="AI121" i="1"/>
  <c r="V119" i="1"/>
  <c r="AI119" i="1"/>
  <c r="V117" i="1"/>
  <c r="AI117" i="1"/>
  <c r="V115" i="1"/>
  <c r="AI115" i="1"/>
  <c r="T113" i="1"/>
  <c r="AI113" i="1" s="1"/>
  <c r="V111" i="1"/>
  <c r="AI111" i="1"/>
  <c r="V107" i="1"/>
  <c r="AI107" i="1"/>
  <c r="V105" i="1"/>
  <c r="AI105" i="1"/>
  <c r="T103" i="1"/>
  <c r="AI103" i="1" s="1"/>
  <c r="V99" i="1"/>
  <c r="AI99" i="1"/>
  <c r="T95" i="1"/>
  <c r="AI95" i="1" s="1"/>
  <c r="T93" i="1"/>
  <c r="AI93" i="1" s="1"/>
  <c r="T91" i="1"/>
  <c r="AI91" i="1" s="1"/>
  <c r="V89" i="1"/>
  <c r="AI89" i="1"/>
  <c r="V87" i="1"/>
  <c r="AI87" i="1"/>
  <c r="V85" i="1"/>
  <c r="AI85" i="1"/>
  <c r="V81" i="1"/>
  <c r="AI81" i="1"/>
  <c r="V79" i="1"/>
  <c r="AI79" i="1"/>
  <c r="T77" i="1"/>
  <c r="AI77" i="1" s="1"/>
  <c r="V75" i="1"/>
  <c r="AI75" i="1"/>
  <c r="T73" i="1"/>
  <c r="AI73" i="1" s="1"/>
  <c r="V71" i="1"/>
  <c r="AI71" i="1"/>
  <c r="T67" i="1"/>
  <c r="AI67" i="1" s="1"/>
  <c r="T65" i="1"/>
  <c r="AI65" i="1" s="1"/>
  <c r="T63" i="1"/>
  <c r="AI63" i="1" s="1"/>
  <c r="T61" i="1"/>
  <c r="AI61" i="1" s="1"/>
  <c r="T59" i="1"/>
  <c r="AI59" i="1" s="1"/>
  <c r="V57" i="1"/>
  <c r="AI57" i="1"/>
  <c r="T55" i="1"/>
  <c r="AI55" i="1" s="1"/>
  <c r="V53" i="1"/>
  <c r="AI53" i="1"/>
  <c r="V51" i="1"/>
  <c r="AI51" i="1"/>
  <c r="V49" i="1"/>
  <c r="AI49" i="1"/>
  <c r="V47" i="1"/>
  <c r="AI47" i="1"/>
  <c r="V45" i="1"/>
  <c r="AI45" i="1"/>
  <c r="T43" i="1"/>
  <c r="AI43" i="1" s="1"/>
  <c r="V41" i="1"/>
  <c r="AI41" i="1"/>
  <c r="V39" i="1"/>
  <c r="AI39" i="1"/>
  <c r="T37" i="1"/>
  <c r="AI37" i="1" s="1"/>
  <c r="T35" i="1"/>
  <c r="AI35" i="1" s="1"/>
  <c r="V33" i="1"/>
  <c r="AI33" i="1"/>
  <c r="T31" i="1"/>
  <c r="AI31" i="1" s="1"/>
  <c r="V29" i="1"/>
  <c r="AI29" i="1"/>
  <c r="T27" i="1"/>
  <c r="AI27" i="1" s="1"/>
  <c r="T23" i="1"/>
  <c r="AI23" i="1" s="1"/>
  <c r="V21" i="1"/>
  <c r="AI21" i="1"/>
  <c r="V19" i="1"/>
  <c r="AI19" i="1"/>
  <c r="T17" i="1"/>
  <c r="AI17" i="1" s="1"/>
  <c r="V15" i="1"/>
  <c r="AI15" i="1"/>
  <c r="V13" i="1"/>
  <c r="AI13" i="1"/>
  <c r="T11" i="1"/>
  <c r="AI11" i="1" s="1"/>
  <c r="V7" i="1"/>
  <c r="W97" i="1"/>
  <c r="W33" i="1"/>
  <c r="W113" i="1"/>
  <c r="W81" i="1"/>
  <c r="W49" i="1"/>
  <c r="W17" i="1"/>
  <c r="W121" i="1"/>
  <c r="W105" i="1"/>
  <c r="W89" i="1"/>
  <c r="W73" i="1"/>
  <c r="W57" i="1"/>
  <c r="W41" i="1"/>
  <c r="W25" i="1"/>
  <c r="W9" i="1"/>
  <c r="W6" i="1"/>
  <c r="V6" i="1"/>
  <c r="W125" i="1"/>
  <c r="W117" i="1"/>
  <c r="W109" i="1"/>
  <c r="W101" i="1"/>
  <c r="W93" i="1"/>
  <c r="W85" i="1"/>
  <c r="W77" i="1"/>
  <c r="W69" i="1"/>
  <c r="W61" i="1"/>
  <c r="W53" i="1"/>
  <c r="W45" i="1"/>
  <c r="W37" i="1"/>
  <c r="W29" i="1"/>
  <c r="W21" i="1"/>
  <c r="W13" i="1"/>
  <c r="W127" i="1"/>
  <c r="W123" i="1"/>
  <c r="W119" i="1"/>
  <c r="W115" i="1"/>
  <c r="W111" i="1"/>
  <c r="W107" i="1"/>
  <c r="W103" i="1"/>
  <c r="W99" i="1"/>
  <c r="W95" i="1"/>
  <c r="W91" i="1"/>
  <c r="W87" i="1"/>
  <c r="W83" i="1"/>
  <c r="W79" i="1"/>
  <c r="W75" i="1"/>
  <c r="W71" i="1"/>
  <c r="W67" i="1"/>
  <c r="W63" i="1"/>
  <c r="W59" i="1"/>
  <c r="W55" i="1"/>
  <c r="W51" i="1"/>
  <c r="W47" i="1"/>
  <c r="W43" i="1"/>
  <c r="W39" i="1"/>
  <c r="W35" i="1"/>
  <c r="W31" i="1"/>
  <c r="W27" i="1"/>
  <c r="W23" i="1"/>
  <c r="W19" i="1"/>
  <c r="W15" i="1"/>
  <c r="W11" i="1"/>
  <c r="W7" i="1"/>
  <c r="W98" i="1"/>
  <c r="W96" i="1"/>
  <c r="W94" i="1"/>
  <c r="W92" i="1"/>
  <c r="W90" i="1"/>
  <c r="W88" i="1"/>
  <c r="W86" i="1"/>
  <c r="W84" i="1"/>
  <c r="W82" i="1"/>
  <c r="W80" i="1"/>
  <c r="W78" i="1"/>
  <c r="W76" i="1"/>
  <c r="W74" i="1"/>
  <c r="W72" i="1"/>
  <c r="W70" i="1"/>
  <c r="W68" i="1"/>
  <c r="W66" i="1"/>
  <c r="W64" i="1"/>
  <c r="W62" i="1"/>
  <c r="W60" i="1"/>
  <c r="W58" i="1"/>
  <c r="W56" i="1"/>
  <c r="W54" i="1"/>
  <c r="W52" i="1"/>
  <c r="W50" i="1"/>
  <c r="W48" i="1"/>
  <c r="W46" i="1"/>
  <c r="W44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W128" i="1"/>
  <c r="W126" i="1"/>
  <c r="W124" i="1"/>
  <c r="W122" i="1"/>
  <c r="W120" i="1"/>
  <c r="W118" i="1"/>
  <c r="W116" i="1"/>
  <c r="W114" i="1"/>
  <c r="W112" i="1"/>
  <c r="W110" i="1"/>
  <c r="W108" i="1"/>
  <c r="W106" i="1"/>
  <c r="W104" i="1"/>
  <c r="W102" i="1"/>
  <c r="W100" i="1"/>
  <c r="V11" i="1" l="1"/>
  <c r="V17" i="1"/>
  <c r="V23" i="1"/>
  <c r="V27" i="1"/>
  <c r="V31" i="1"/>
  <c r="V35" i="1"/>
  <c r="V37" i="1"/>
  <c r="V43" i="1"/>
  <c r="V55" i="1"/>
  <c r="V59" i="1"/>
  <c r="V61" i="1"/>
  <c r="V63" i="1"/>
  <c r="V65" i="1"/>
  <c r="V67" i="1"/>
  <c r="V73" i="1"/>
  <c r="V77" i="1"/>
  <c r="V91" i="1"/>
  <c r="V93" i="1"/>
  <c r="V95" i="1"/>
  <c r="V103" i="1"/>
  <c r="V113" i="1"/>
  <c r="V125" i="1"/>
  <c r="AI7" i="1"/>
  <c r="AI5" i="1" s="1"/>
  <c r="T5" i="1"/>
  <c r="V8" i="1"/>
  <c r="V10" i="1"/>
  <c r="V12" i="1"/>
  <c r="V14" i="1"/>
  <c r="V16" i="1"/>
  <c r="V18" i="1"/>
  <c r="V20" i="1"/>
  <c r="V22" i="1"/>
  <c r="V24" i="1"/>
  <c r="V28" i="1"/>
  <c r="V30" i="1"/>
  <c r="V32" i="1"/>
  <c r="V34" i="1"/>
  <c r="V36" i="1"/>
  <c r="V38" i="1"/>
  <c r="V40" i="1"/>
  <c r="V44" i="1"/>
  <c r="V46" i="1"/>
  <c r="V48" i="1"/>
  <c r="V50" i="1"/>
  <c r="V52" i="1"/>
  <c r="V54" i="1"/>
  <c r="V56" i="1"/>
  <c r="V58" i="1"/>
  <c r="V60" i="1"/>
  <c r="V62" i="1"/>
  <c r="V64" i="1"/>
  <c r="V66" i="1"/>
  <c r="V68" i="1"/>
  <c r="V70" i="1"/>
  <c r="V72" i="1"/>
  <c r="V74" i="1"/>
  <c r="V78" i="1"/>
  <c r="V80" i="1"/>
  <c r="V88" i="1"/>
  <c r="V94" i="1"/>
  <c r="V102" i="1"/>
  <c r="V106" i="1"/>
  <c r="V110" i="1"/>
  <c r="V112" i="1"/>
  <c r="V114" i="1"/>
  <c r="V116" i="1"/>
  <c r="V118" i="1"/>
  <c r="V120" i="1"/>
  <c r="V122" i="1"/>
  <c r="V124" i="1"/>
  <c r="V126" i="1"/>
</calcChain>
</file>

<file path=xl/sharedStrings.xml><?xml version="1.0" encoding="utf-8"?>
<sst xmlns="http://schemas.openxmlformats.org/spreadsheetml/2006/main" count="449" uniqueCount="172">
  <si>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</si>
  <si>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</si>
  <si>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</si>
  <si>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</si>
  <si>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</si>
  <si>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</si>
  <si>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</si>
  <si>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</si>
  <si>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</si>
  <si>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</si>
  <si>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</si>
  <si>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</si>
  <si>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</si>
  <si>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</si>
  <si>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</si>
  <si>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</si>
  <si>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</si>
  <si>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</si>
  <si>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</si>
  <si>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</si>
  <si>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</si>
  <si>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</si>
  <si>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25,07,</t>
  </si>
  <si>
    <t>25,07,(недогруз)</t>
  </si>
  <si>
    <t>25,07,(дозаказ)</t>
  </si>
  <si>
    <t>28,07,</t>
  </si>
  <si>
    <t>23,07,</t>
  </si>
  <si>
    <t>21,07,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</si>
  <si>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</si>
  <si>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</si>
  <si>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</si>
  <si>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</si>
  <si>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</si>
  <si>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</si>
  <si>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</si>
  <si>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</si>
  <si>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</si>
  <si>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</si>
  <si>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</si>
  <si>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</si>
  <si>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нужно увеличить продажи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</si>
  <si>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</si>
  <si>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</si>
  <si>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</si>
  <si>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</si>
  <si>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</si>
  <si>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</si>
  <si>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</si>
  <si>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</si>
  <si>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</si>
  <si>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</si>
  <si>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</si>
  <si>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</si>
  <si>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</si>
  <si>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</si>
  <si>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</si>
  <si>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</si>
  <si>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</si>
  <si>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</si>
  <si>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</si>
  <si>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нужно увеличить продажи!!!</t>
  </si>
  <si>
    <t xml:space="preserve"> 244  Колбаса Сервелат Кремлевский, ВЕС. ПОКОМ</t>
  </si>
  <si>
    <t xml:space="preserve"> 247  Сардельки Нежные, ВЕС.  ПОКОМ</t>
  </si>
  <si>
    <t>заказываем с 22,07,26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</si>
  <si>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</si>
  <si>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</si>
  <si>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</si>
  <si>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</si>
  <si>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</si>
  <si>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</si>
  <si>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</si>
  <si>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</si>
  <si>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</si>
  <si>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</si>
  <si>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</si>
  <si>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</si>
  <si>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</si>
  <si>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</si>
  <si>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</si>
  <si>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</si>
  <si>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>не в матрице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</si>
  <si>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</si>
  <si>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</si>
  <si>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</si>
  <si>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</si>
  <si>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</si>
  <si>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</si>
  <si>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</si>
  <si>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</si>
  <si>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</si>
  <si>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</si>
  <si>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</si>
  <si>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</si>
  <si>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</si>
  <si>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</si>
  <si>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</si>
  <si>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</si>
  <si>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</si>
  <si>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</si>
  <si>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</si>
  <si>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</si>
  <si>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</si>
  <si>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</si>
  <si>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</si>
  <si>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</si>
  <si>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</si>
  <si>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</si>
  <si>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</si>
  <si>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</si>
  <si>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</si>
  <si>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</si>
  <si>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</si>
  <si>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</si>
  <si>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</si>
  <si>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</si>
  <si>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</si>
  <si>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</si>
  <si>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</si>
  <si>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</si>
  <si>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</si>
  <si>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</si>
  <si>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</si>
  <si>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</si>
  <si>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</si>
  <si>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</si>
  <si>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</si>
  <si>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</si>
  <si>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</si>
  <si>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</si>
  <si>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</si>
  <si>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</si>
  <si>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</si>
  <si>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</si>
  <si>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</si>
  <si>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</si>
  <si>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</si>
  <si>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</si>
  <si>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</si>
  <si>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</si>
  <si>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</si>
  <si>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</si>
  <si>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</si>
  <si>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</si>
  <si>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</si>
  <si>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</si>
  <si>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</si>
  <si>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</si>
  <si>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</si>
  <si>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</si>
  <si>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</si>
  <si>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</si>
  <si>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</si>
  <si>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</si>
  <si>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новинка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</si>
  <si>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</si>
  <si>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</si>
  <si>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</si>
  <si>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</si>
  <si>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</si>
  <si>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</si>
  <si>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</si>
  <si>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</si>
  <si>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</si>
  <si>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</si>
  <si>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</si>
  <si>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</si>
  <si>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</si>
  <si>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Консервы Буженина в пряном маринаде ТМ Стародворье банка металлическая ф/в 0,25 кг РК</t>
  </si>
  <si>
    <t>Консервы Гречка по-купечески с говядиной и овощами ТМ Стародворье банка металлическая ф/в 0,325 кг РК</t>
  </si>
  <si>
    <t>Консервы Индейка томленая в собственном соку ТМ Стародворье банка металлическая ф/в 0,25 кг РК</t>
  </si>
  <si>
    <t>заказ</t>
  </si>
  <si>
    <t>01,09,предзаказ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</si>
</sst>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0" borderId="1" xfId="1" applyNumberFormat="1" applyFill="1"/>
    <xf numFmtId="2" fontId="1" fillId="0" borderId="1" xfId="1" applyNumberFormat="1" applyFill="1"/>
    <xf numFmtId="164" fontId="1" fillId="0" borderId="2" xfId="1" applyNumberFormat="1" applyFill="1" applyBorder="1"/>
    <xf numFmtId="0" fontId="0" fillId="0" borderId="0" xfId="0" applyFill="1" applyBorder="1"/>
    <xf numFmtId="164" fontId="1" fillId="5" borderId="1" xfId="1" applyNumberFormat="1" applyFill="1"/>
    <xf numFmtId="164" fontId="4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4" sqref="AH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1" width="7" customWidth="1"/>
    <col min="22" max="23" width="5" customWidth="1"/>
    <col min="24" max="33" width="6" customWidth="1"/>
    <col min="34" max="34" width="41.42578125" customWidth="1"/>
    <col min="35" max="36" width="7" customWidth="1"/>
    <col min="37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170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25</v>
      </c>
      <c r="T4" s="1"/>
      <c r="U4" s="1" t="s">
        <v>171</v>
      </c>
      <c r="V4" s="1"/>
      <c r="W4" s="1"/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/>
      <c r="AI4" s="1"/>
      <c r="AJ4" s="1" t="s">
        <v>171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SUM(E6:E497)</f>
        <v>23025.270999999997</v>
      </c>
      <c r="F5" s="4">
        <f>SUM(F6:F497)</f>
        <v>24988.272999999997</v>
      </c>
      <c r="G5" s="7"/>
      <c r="H5" s="1"/>
      <c r="I5" s="1"/>
      <c r="J5" s="1"/>
      <c r="K5" s="4">
        <f t="shared" ref="K5:U5" si="0">SUM(K6:K497)</f>
        <v>25992.336000000003</v>
      </c>
      <c r="L5" s="4">
        <f t="shared" si="0"/>
        <v>-2967.0649999999991</v>
      </c>
      <c r="M5" s="4">
        <f t="shared" si="0"/>
        <v>0</v>
      </c>
      <c r="N5" s="4">
        <f t="shared" si="0"/>
        <v>0</v>
      </c>
      <c r="O5" s="4">
        <f t="shared" si="0"/>
        <v>12430.219019999995</v>
      </c>
      <c r="P5" s="4">
        <f t="shared" si="0"/>
        <v>-2850</v>
      </c>
      <c r="Q5" s="4">
        <f t="shared" si="0"/>
        <v>2000</v>
      </c>
      <c r="R5" s="4">
        <f t="shared" si="0"/>
        <v>19345.415836000007</v>
      </c>
      <c r="S5" s="4">
        <f t="shared" si="0"/>
        <v>4605.0541999999987</v>
      </c>
      <c r="T5" s="4">
        <f t="shared" si="0"/>
        <v>2940.7428360000017</v>
      </c>
      <c r="U5" s="4">
        <f t="shared" si="0"/>
        <v>7330</v>
      </c>
      <c r="V5" s="1"/>
      <c r="W5" s="1"/>
      <c r="X5" s="4">
        <f t="shared" ref="X5:AG5" si="1">SUM(X6:X497)</f>
        <v>4925.149199999998</v>
      </c>
      <c r="Y5" s="4">
        <f t="shared" si="1"/>
        <v>4850.1421999999975</v>
      </c>
      <c r="Z5" s="4">
        <f t="shared" si="1"/>
        <v>4686.5707999999968</v>
      </c>
      <c r="AA5" s="4">
        <f t="shared" si="1"/>
        <v>5303.1487999999981</v>
      </c>
      <c r="AB5" s="4">
        <f t="shared" si="1"/>
        <v>5247.0094000000008</v>
      </c>
      <c r="AC5" s="4">
        <f t="shared" si="1"/>
        <v>4844.0314000000017</v>
      </c>
      <c r="AD5" s="4">
        <f t="shared" si="1"/>
        <v>4527.5786000000007</v>
      </c>
      <c r="AE5" s="4">
        <f t="shared" si="1"/>
        <v>4234.4802</v>
      </c>
      <c r="AF5" s="4">
        <f t="shared" si="1"/>
        <v>4593.0796</v>
      </c>
      <c r="AG5" s="4">
        <f t="shared" si="1"/>
        <v>4515.8488000000025</v>
      </c>
      <c r="AH5" s="1"/>
      <c r="AI5" s="4">
        <f>SUM(AI6:AI497)</f>
        <v>1529.434836000001</v>
      </c>
      <c r="AJ5" s="4">
        <f>SUM(AJ6:AJ497)</f>
        <v>5382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36</v>
      </c>
      <c r="B6" s="1" t="s">
        <v>37</v>
      </c>
      <c r="C6" s="1">
        <v>489.50299999999999</v>
      </c>
      <c r="D6" s="1">
        <v>64.516000000000005</v>
      </c>
      <c r="E6" s="1">
        <v>275.55700000000002</v>
      </c>
      <c r="F6" s="1">
        <v>234.036</v>
      </c>
      <c r="G6" s="7">
        <v>1</v>
      </c>
      <c r="H6" s="1">
        <v>50</v>
      </c>
      <c r="I6" s="1" t="s">
        <v>38</v>
      </c>
      <c r="J6" s="1"/>
      <c r="K6" s="1">
        <v>264.60000000000002</v>
      </c>
      <c r="L6" s="1">
        <f t="shared" ref="L6:L37" si="2">E6-K6</f>
        <v>10.956999999999994</v>
      </c>
      <c r="M6" s="1"/>
      <c r="N6" s="1"/>
      <c r="O6" s="1">
        <v>15.92690000000005</v>
      </c>
      <c r="P6" s="1"/>
      <c r="Q6" s="1"/>
      <c r="R6" s="1">
        <v>281.02992799999993</v>
      </c>
      <c r="S6" s="1">
        <f>E6/5</f>
        <v>55.111400000000003</v>
      </c>
      <c r="T6" s="5">
        <f>11*S6-R6-Q6-P6-O6-F6-U6</f>
        <v>75.232572000000062</v>
      </c>
      <c r="U6" s="5"/>
      <c r="V6" s="1">
        <f>(F6+O6+P6+Q6+R6+T6+U6)/S6</f>
        <v>11</v>
      </c>
      <c r="W6" s="1">
        <f>(F6+O6+P6+Q6+R6)/S6</f>
        <v>9.6349000025403075</v>
      </c>
      <c r="X6" s="1">
        <v>50.386399999999988</v>
      </c>
      <c r="Y6" s="1">
        <v>51.108400000000003</v>
      </c>
      <c r="Z6" s="1">
        <v>52.763399999999997</v>
      </c>
      <c r="AA6" s="1">
        <v>58.165599999999998</v>
      </c>
      <c r="AB6" s="1">
        <v>54.690600000000003</v>
      </c>
      <c r="AC6" s="1">
        <v>46.491</v>
      </c>
      <c r="AD6" s="1">
        <v>47.119399999999999</v>
      </c>
      <c r="AE6" s="1">
        <v>53.623600000000003</v>
      </c>
      <c r="AF6" s="1">
        <v>56.045000000000002</v>
      </c>
      <c r="AG6" s="1">
        <v>46.704799999999999</v>
      </c>
      <c r="AH6" s="1"/>
      <c r="AI6" s="1">
        <f>G6*T6</f>
        <v>75.232572000000062</v>
      </c>
      <c r="AJ6" s="1">
        <f>G6*U6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39</v>
      </c>
      <c r="B7" s="1" t="s">
        <v>37</v>
      </c>
      <c r="C7" s="1">
        <v>15.09</v>
      </c>
      <c r="D7" s="1">
        <v>1072.4059999999999</v>
      </c>
      <c r="E7" s="1">
        <v>152.84800000000001</v>
      </c>
      <c r="F7" s="1">
        <v>929.81100000000004</v>
      </c>
      <c r="G7" s="7">
        <v>1</v>
      </c>
      <c r="H7" s="1">
        <v>45</v>
      </c>
      <c r="I7" s="1" t="s">
        <v>38</v>
      </c>
      <c r="J7" s="1"/>
      <c r="K7" s="1">
        <v>214.1</v>
      </c>
      <c r="L7" s="1">
        <f t="shared" si="2"/>
        <v>-61.251999999999981</v>
      </c>
      <c r="M7" s="1"/>
      <c r="N7" s="1"/>
      <c r="O7" s="1">
        <v>0</v>
      </c>
      <c r="P7" s="1"/>
      <c r="Q7" s="1"/>
      <c r="R7" s="1">
        <v>0</v>
      </c>
      <c r="S7" s="1">
        <f t="shared" ref="S7:S70" si="3">E7/5</f>
        <v>30.569600000000001</v>
      </c>
      <c r="T7" s="5"/>
      <c r="U7" s="5"/>
      <c r="V7" s="1">
        <f t="shared" ref="V7:V70" si="4">(F7+O7+P7+Q7+R7+T7+U7)/S7</f>
        <v>30.416197791269759</v>
      </c>
      <c r="W7" s="1">
        <f t="shared" ref="W7:W70" si="5">(F7+O7+P7+Q7+R7)/S7</f>
        <v>30.416197791269759</v>
      </c>
      <c r="X7" s="1">
        <v>17.161999999999999</v>
      </c>
      <c r="Y7" s="1">
        <v>29.265599999999999</v>
      </c>
      <c r="Z7" s="1">
        <v>120.8122</v>
      </c>
      <c r="AA7" s="1">
        <v>121.6172</v>
      </c>
      <c r="AB7" s="1">
        <v>57.033000000000001</v>
      </c>
      <c r="AC7" s="1">
        <v>50.988399999999999</v>
      </c>
      <c r="AD7" s="1">
        <v>57.305199999999999</v>
      </c>
      <c r="AE7" s="1">
        <v>50.251199999999997</v>
      </c>
      <c r="AF7" s="1">
        <v>39.101599999999998</v>
      </c>
      <c r="AG7" s="1">
        <v>44.53</v>
      </c>
      <c r="AH7" s="16" t="s">
        <v>40</v>
      </c>
      <c r="AI7" s="1">
        <f>G7*T7</f>
        <v>0</v>
      </c>
      <c r="AJ7" s="1">
        <f t="shared" ref="AJ7:AJ70" si="6">G7*U7</f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41</v>
      </c>
      <c r="B8" s="1" t="s">
        <v>37</v>
      </c>
      <c r="C8" s="1">
        <v>13.605</v>
      </c>
      <c r="D8" s="1">
        <v>850.98299999999995</v>
      </c>
      <c r="E8" s="1">
        <v>264.99299999999999</v>
      </c>
      <c r="F8" s="1">
        <v>597.322</v>
      </c>
      <c r="G8" s="7">
        <v>1</v>
      </c>
      <c r="H8" s="1">
        <v>45</v>
      </c>
      <c r="I8" s="1" t="s">
        <v>38</v>
      </c>
      <c r="J8" s="1"/>
      <c r="K8" s="1">
        <v>506.2</v>
      </c>
      <c r="L8" s="1">
        <f t="shared" si="2"/>
        <v>-241.20699999999999</v>
      </c>
      <c r="M8" s="1"/>
      <c r="N8" s="1"/>
      <c r="O8" s="1">
        <v>107.90758000000019</v>
      </c>
      <c r="P8" s="1"/>
      <c r="Q8" s="1"/>
      <c r="R8" s="1">
        <v>0</v>
      </c>
      <c r="S8" s="1">
        <f t="shared" si="3"/>
        <v>52.998599999999996</v>
      </c>
      <c r="T8" s="5"/>
      <c r="U8" s="5">
        <v>400</v>
      </c>
      <c r="V8" s="1">
        <f t="shared" si="4"/>
        <v>20.853939160657077</v>
      </c>
      <c r="W8" s="1">
        <f t="shared" si="5"/>
        <v>13.306569984867529</v>
      </c>
      <c r="X8" s="1">
        <v>41.674400000000013</v>
      </c>
      <c r="Y8" s="1">
        <v>95.290599999999998</v>
      </c>
      <c r="Z8" s="1">
        <v>107.0196</v>
      </c>
      <c r="AA8" s="1">
        <v>70.07419999999999</v>
      </c>
      <c r="AB8" s="1">
        <v>65.295199999999994</v>
      </c>
      <c r="AC8" s="1">
        <v>58.473199999999999</v>
      </c>
      <c r="AD8" s="1">
        <v>43.594799999999999</v>
      </c>
      <c r="AE8" s="1">
        <v>39.247</v>
      </c>
      <c r="AF8" s="1">
        <v>44.662799999999997</v>
      </c>
      <c r="AG8" s="1">
        <v>47.197400000000002</v>
      </c>
      <c r="AH8" s="1"/>
      <c r="AI8" s="1">
        <f>G8*T8</f>
        <v>0</v>
      </c>
      <c r="AJ8" s="1">
        <f t="shared" si="6"/>
        <v>400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9" t="s">
        <v>42</v>
      </c>
      <c r="B9" s="9" t="s">
        <v>43</v>
      </c>
      <c r="C9" s="9"/>
      <c r="D9" s="9"/>
      <c r="E9" s="9"/>
      <c r="F9" s="9"/>
      <c r="G9" s="10">
        <v>0</v>
      </c>
      <c r="H9" s="9"/>
      <c r="I9" s="9" t="s">
        <v>38</v>
      </c>
      <c r="J9" s="9"/>
      <c r="K9" s="9"/>
      <c r="L9" s="9">
        <f t="shared" si="2"/>
        <v>0</v>
      </c>
      <c r="M9" s="9"/>
      <c r="N9" s="9"/>
      <c r="O9" s="9">
        <v>0</v>
      </c>
      <c r="P9" s="9"/>
      <c r="Q9" s="9"/>
      <c r="R9" s="9">
        <v>0</v>
      </c>
      <c r="S9" s="9">
        <f t="shared" si="3"/>
        <v>0</v>
      </c>
      <c r="T9" s="11"/>
      <c r="U9" s="11"/>
      <c r="V9" s="9" t="e">
        <f t="shared" si="4"/>
        <v>#DIV/0!</v>
      </c>
      <c r="W9" s="9" t="e">
        <f t="shared" si="5"/>
        <v>#DIV/0!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 t="s">
        <v>44</v>
      </c>
      <c r="AI9" s="9"/>
      <c r="AJ9" s="1">
        <f t="shared" si="6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45</v>
      </c>
      <c r="B10" s="1" t="s">
        <v>43</v>
      </c>
      <c r="C10" s="1">
        <v>460</v>
      </c>
      <c r="D10" s="1">
        <v>505</v>
      </c>
      <c r="E10" s="1">
        <v>606</v>
      </c>
      <c r="F10" s="1">
        <v>341</v>
      </c>
      <c r="G10" s="7">
        <v>0.45</v>
      </c>
      <c r="H10" s="1">
        <v>45</v>
      </c>
      <c r="I10" s="1" t="s">
        <v>38</v>
      </c>
      <c r="J10" s="1"/>
      <c r="K10" s="1">
        <v>651</v>
      </c>
      <c r="L10" s="1">
        <f t="shared" si="2"/>
        <v>-45</v>
      </c>
      <c r="M10" s="1"/>
      <c r="N10" s="1"/>
      <c r="O10" s="1">
        <v>578.44700000000012</v>
      </c>
      <c r="P10" s="1"/>
      <c r="Q10" s="1"/>
      <c r="R10" s="1">
        <v>628.98799999999994</v>
      </c>
      <c r="S10" s="1">
        <f t="shared" si="3"/>
        <v>121.2</v>
      </c>
      <c r="T10" s="5"/>
      <c r="U10" s="5"/>
      <c r="V10" s="1">
        <f t="shared" si="4"/>
        <v>12.775866336633662</v>
      </c>
      <c r="W10" s="1">
        <f t="shared" si="5"/>
        <v>12.775866336633662</v>
      </c>
      <c r="X10" s="1">
        <v>130.4</v>
      </c>
      <c r="Y10" s="1">
        <v>130.80000000000001</v>
      </c>
      <c r="Z10" s="1">
        <v>112.4</v>
      </c>
      <c r="AA10" s="1">
        <v>123</v>
      </c>
      <c r="AB10" s="1">
        <v>122</v>
      </c>
      <c r="AC10" s="1">
        <v>130.80000000000001</v>
      </c>
      <c r="AD10" s="1">
        <v>90.8</v>
      </c>
      <c r="AE10" s="1">
        <v>18.8</v>
      </c>
      <c r="AF10" s="1">
        <v>67</v>
      </c>
      <c r="AG10" s="1">
        <v>159.80000000000001</v>
      </c>
      <c r="AH10" s="1"/>
      <c r="AI10" s="1">
        <f t="shared" ref="AI10:AI24" si="7">G10*T10</f>
        <v>0</v>
      </c>
      <c r="AJ10" s="1">
        <f t="shared" si="6"/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46</v>
      </c>
      <c r="B11" s="1" t="s">
        <v>43</v>
      </c>
      <c r="C11" s="1">
        <v>25</v>
      </c>
      <c r="D11" s="1">
        <v>1365</v>
      </c>
      <c r="E11" s="1">
        <v>520</v>
      </c>
      <c r="F11" s="1">
        <v>845</v>
      </c>
      <c r="G11" s="7">
        <v>0.45</v>
      </c>
      <c r="H11" s="1">
        <v>45</v>
      </c>
      <c r="I11" s="1" t="s">
        <v>38</v>
      </c>
      <c r="J11" s="1"/>
      <c r="K11" s="1">
        <v>749</v>
      </c>
      <c r="L11" s="1">
        <f t="shared" si="2"/>
        <v>-229</v>
      </c>
      <c r="M11" s="1"/>
      <c r="N11" s="1"/>
      <c r="O11" s="1">
        <v>188.00999999999979</v>
      </c>
      <c r="P11" s="1"/>
      <c r="Q11" s="1"/>
      <c r="R11" s="1">
        <v>0</v>
      </c>
      <c r="S11" s="1">
        <f t="shared" si="3"/>
        <v>104</v>
      </c>
      <c r="T11" s="5">
        <f t="shared" ref="T11:T23" si="8">11*S11-R11-Q11-P11-O11-F11-U11</f>
        <v>110.99000000000024</v>
      </c>
      <c r="U11" s="5"/>
      <c r="V11" s="1">
        <f t="shared" si="4"/>
        <v>11</v>
      </c>
      <c r="W11" s="1">
        <f t="shared" si="5"/>
        <v>9.9327884615384594</v>
      </c>
      <c r="X11" s="1">
        <v>95.2</v>
      </c>
      <c r="Y11" s="1">
        <v>133.4</v>
      </c>
      <c r="Z11" s="1">
        <v>138</v>
      </c>
      <c r="AA11" s="1">
        <v>155.19999999999999</v>
      </c>
      <c r="AB11" s="1">
        <v>140.19999999999999</v>
      </c>
      <c r="AC11" s="1">
        <v>109</v>
      </c>
      <c r="AD11" s="1">
        <v>125</v>
      </c>
      <c r="AE11" s="1">
        <v>115.6</v>
      </c>
      <c r="AF11" s="1">
        <v>125.6</v>
      </c>
      <c r="AG11" s="1">
        <v>126</v>
      </c>
      <c r="AH11" s="1"/>
      <c r="AI11" s="1">
        <f t="shared" si="7"/>
        <v>49.945500000000109</v>
      </c>
      <c r="AJ11" s="1">
        <f t="shared" si="6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47</v>
      </c>
      <c r="B12" s="1" t="s">
        <v>43</v>
      </c>
      <c r="C12" s="1">
        <v>188</v>
      </c>
      <c r="D12" s="1">
        <v>125</v>
      </c>
      <c r="E12" s="1">
        <v>74</v>
      </c>
      <c r="F12" s="1">
        <v>237</v>
      </c>
      <c r="G12" s="7">
        <v>0.17</v>
      </c>
      <c r="H12" s="1">
        <v>180</v>
      </c>
      <c r="I12" s="1" t="s">
        <v>38</v>
      </c>
      <c r="J12" s="1"/>
      <c r="K12" s="1">
        <v>82</v>
      </c>
      <c r="L12" s="1">
        <f t="shared" si="2"/>
        <v>-8</v>
      </c>
      <c r="M12" s="1"/>
      <c r="N12" s="1"/>
      <c r="O12" s="1">
        <v>0</v>
      </c>
      <c r="P12" s="1"/>
      <c r="Q12" s="1"/>
      <c r="R12" s="1">
        <v>0</v>
      </c>
      <c r="S12" s="1">
        <f t="shared" si="3"/>
        <v>14.8</v>
      </c>
      <c r="T12" s="5"/>
      <c r="U12" s="5"/>
      <c r="V12" s="1">
        <f t="shared" si="4"/>
        <v>16.013513513513512</v>
      </c>
      <c r="W12" s="1">
        <f t="shared" si="5"/>
        <v>16.013513513513512</v>
      </c>
      <c r="X12" s="1">
        <v>20</v>
      </c>
      <c r="Y12" s="1">
        <v>20.2</v>
      </c>
      <c r="Z12" s="1">
        <v>24.8</v>
      </c>
      <c r="AA12" s="1">
        <v>23.6</v>
      </c>
      <c r="AB12" s="1">
        <v>20.6</v>
      </c>
      <c r="AC12" s="1">
        <v>16.399999999999999</v>
      </c>
      <c r="AD12" s="1">
        <v>10.199999999999999</v>
      </c>
      <c r="AE12" s="1">
        <v>11</v>
      </c>
      <c r="AF12" s="1">
        <v>13.6</v>
      </c>
      <c r="AG12" s="1">
        <v>17.2</v>
      </c>
      <c r="AH12" s="1"/>
      <c r="AI12" s="1">
        <f t="shared" si="7"/>
        <v>0</v>
      </c>
      <c r="AJ12" s="1">
        <f t="shared" si="6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48</v>
      </c>
      <c r="B13" s="1" t="s">
        <v>43</v>
      </c>
      <c r="C13" s="1">
        <v>7</v>
      </c>
      <c r="D13" s="1">
        <v>295</v>
      </c>
      <c r="E13" s="1">
        <v>105</v>
      </c>
      <c r="F13" s="1">
        <v>195</v>
      </c>
      <c r="G13" s="7">
        <v>0.3</v>
      </c>
      <c r="H13" s="1">
        <v>40</v>
      </c>
      <c r="I13" s="1" t="s">
        <v>38</v>
      </c>
      <c r="J13" s="1"/>
      <c r="K13" s="1">
        <v>112</v>
      </c>
      <c r="L13" s="1">
        <f t="shared" si="2"/>
        <v>-7</v>
      </c>
      <c r="M13" s="1"/>
      <c r="N13" s="1"/>
      <c r="O13" s="1">
        <v>40.639999999999993</v>
      </c>
      <c r="P13" s="1"/>
      <c r="Q13" s="1"/>
      <c r="R13" s="1">
        <v>0</v>
      </c>
      <c r="S13" s="1">
        <f t="shared" si="3"/>
        <v>21</v>
      </c>
      <c r="T13" s="5"/>
      <c r="U13" s="5"/>
      <c r="V13" s="1">
        <f t="shared" si="4"/>
        <v>11.220952380952379</v>
      </c>
      <c r="W13" s="1">
        <f t="shared" si="5"/>
        <v>11.220952380952379</v>
      </c>
      <c r="X13" s="1">
        <v>13.6</v>
      </c>
      <c r="Y13" s="1">
        <v>30.4</v>
      </c>
      <c r="Z13" s="1">
        <v>28.8</v>
      </c>
      <c r="AA13" s="1">
        <v>27.8</v>
      </c>
      <c r="AB13" s="1">
        <v>31.8</v>
      </c>
      <c r="AC13" s="1">
        <v>25.6</v>
      </c>
      <c r="AD13" s="1">
        <v>14.2</v>
      </c>
      <c r="AE13" s="1">
        <v>10.199999999999999</v>
      </c>
      <c r="AF13" s="1">
        <v>20.8</v>
      </c>
      <c r="AG13" s="1">
        <v>31</v>
      </c>
      <c r="AH13" s="1"/>
      <c r="AI13" s="1">
        <f t="shared" si="7"/>
        <v>0</v>
      </c>
      <c r="AJ13" s="1">
        <f t="shared" si="6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49</v>
      </c>
      <c r="B14" s="1" t="s">
        <v>43</v>
      </c>
      <c r="C14" s="1">
        <v>249</v>
      </c>
      <c r="D14" s="1">
        <v>140</v>
      </c>
      <c r="E14" s="1">
        <v>138</v>
      </c>
      <c r="F14" s="1">
        <v>249</v>
      </c>
      <c r="G14" s="7">
        <v>0.17</v>
      </c>
      <c r="H14" s="1">
        <v>180</v>
      </c>
      <c r="I14" s="1" t="s">
        <v>38</v>
      </c>
      <c r="J14" s="1"/>
      <c r="K14" s="1">
        <v>146</v>
      </c>
      <c r="L14" s="1">
        <f t="shared" si="2"/>
        <v>-8</v>
      </c>
      <c r="M14" s="1"/>
      <c r="N14" s="1"/>
      <c r="O14" s="1">
        <v>0</v>
      </c>
      <c r="P14" s="1"/>
      <c r="Q14" s="1"/>
      <c r="R14" s="1">
        <v>57.910000000000053</v>
      </c>
      <c r="S14" s="1">
        <f t="shared" si="3"/>
        <v>27.6</v>
      </c>
      <c r="T14" s="5"/>
      <c r="U14" s="5"/>
      <c r="V14" s="1">
        <f t="shared" si="4"/>
        <v>11.119927536231886</v>
      </c>
      <c r="W14" s="1">
        <f t="shared" si="5"/>
        <v>11.119927536231886</v>
      </c>
      <c r="X14" s="1">
        <v>28.6</v>
      </c>
      <c r="Y14" s="1">
        <v>30.2</v>
      </c>
      <c r="Z14" s="1">
        <v>40.200000000000003</v>
      </c>
      <c r="AA14" s="1">
        <v>31.4</v>
      </c>
      <c r="AB14" s="1">
        <v>25.6</v>
      </c>
      <c r="AC14" s="1">
        <v>24</v>
      </c>
      <c r="AD14" s="1">
        <v>16.2</v>
      </c>
      <c r="AE14" s="1">
        <v>15</v>
      </c>
      <c r="AF14" s="1">
        <v>12.2</v>
      </c>
      <c r="AG14" s="1">
        <v>19.600000000000001</v>
      </c>
      <c r="AH14" s="1"/>
      <c r="AI14" s="1">
        <f t="shared" si="7"/>
        <v>0</v>
      </c>
      <c r="AJ14" s="1">
        <f t="shared" si="6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50</v>
      </c>
      <c r="B15" s="1" t="s">
        <v>37</v>
      </c>
      <c r="C15" s="1">
        <v>574.245</v>
      </c>
      <c r="D15" s="1">
        <v>331.666</v>
      </c>
      <c r="E15" s="1">
        <v>503.18200000000002</v>
      </c>
      <c r="F15" s="1">
        <v>377.63099999999997</v>
      </c>
      <c r="G15" s="7">
        <v>1</v>
      </c>
      <c r="H15" s="1">
        <v>70</v>
      </c>
      <c r="I15" s="1" t="s">
        <v>38</v>
      </c>
      <c r="J15" s="1"/>
      <c r="K15" s="1">
        <v>499.38</v>
      </c>
      <c r="L15" s="1">
        <f t="shared" si="2"/>
        <v>3.8020000000000209</v>
      </c>
      <c r="M15" s="1"/>
      <c r="N15" s="1"/>
      <c r="O15" s="1">
        <v>315.61676999999997</v>
      </c>
      <c r="P15" s="1"/>
      <c r="Q15" s="1"/>
      <c r="R15" s="1">
        <v>433.85743800000012</v>
      </c>
      <c r="S15" s="1">
        <f t="shared" si="3"/>
        <v>100.63640000000001</v>
      </c>
      <c r="T15" s="5"/>
      <c r="U15" s="5"/>
      <c r="V15" s="1">
        <f t="shared" si="4"/>
        <v>11.199776701074361</v>
      </c>
      <c r="W15" s="1">
        <f t="shared" si="5"/>
        <v>11.199776701074361</v>
      </c>
      <c r="X15" s="1">
        <v>101.03440000000001</v>
      </c>
      <c r="Y15" s="1">
        <v>101.12820000000001</v>
      </c>
      <c r="Z15" s="1">
        <v>101.80880000000001</v>
      </c>
      <c r="AA15" s="1">
        <v>108.13339999999999</v>
      </c>
      <c r="AB15" s="1">
        <v>101.485</v>
      </c>
      <c r="AC15" s="1">
        <v>95.054000000000002</v>
      </c>
      <c r="AD15" s="1">
        <v>97.219200000000001</v>
      </c>
      <c r="AE15" s="1">
        <v>95.599800000000002</v>
      </c>
      <c r="AF15" s="1">
        <v>102.29300000000001</v>
      </c>
      <c r="AG15" s="1">
        <v>68.812399999999997</v>
      </c>
      <c r="AH15" s="1"/>
      <c r="AI15" s="1">
        <f t="shared" si="7"/>
        <v>0</v>
      </c>
      <c r="AJ15" s="1">
        <f t="shared" si="6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37</v>
      </c>
      <c r="C16" s="1">
        <v>1655.91</v>
      </c>
      <c r="D16" s="1">
        <v>1909.5160000000001</v>
      </c>
      <c r="E16" s="1">
        <v>2131.4160000000002</v>
      </c>
      <c r="F16" s="1">
        <v>1290.9670000000001</v>
      </c>
      <c r="G16" s="7">
        <v>1</v>
      </c>
      <c r="H16" s="1">
        <v>50</v>
      </c>
      <c r="I16" s="1" t="s">
        <v>38</v>
      </c>
      <c r="J16" s="1"/>
      <c r="K16" s="1">
        <v>2175.4369999999999</v>
      </c>
      <c r="L16" s="1">
        <f t="shared" si="2"/>
        <v>-44.020999999999731</v>
      </c>
      <c r="M16" s="1"/>
      <c r="N16" s="1"/>
      <c r="O16" s="1">
        <v>1720.5381400000001</v>
      </c>
      <c r="P16" s="1"/>
      <c r="Q16" s="1"/>
      <c r="R16" s="1">
        <v>2763.6706399999998</v>
      </c>
      <c r="S16" s="1">
        <f t="shared" si="3"/>
        <v>426.28320000000002</v>
      </c>
      <c r="T16" s="5"/>
      <c r="U16" s="5">
        <v>2500</v>
      </c>
      <c r="V16" s="1">
        <f t="shared" si="4"/>
        <v>19.412390119995344</v>
      </c>
      <c r="W16" s="1">
        <f t="shared" si="5"/>
        <v>13.547744269537246</v>
      </c>
      <c r="X16" s="1">
        <v>485.00200000000012</v>
      </c>
      <c r="Y16" s="1">
        <v>444.64399999999989</v>
      </c>
      <c r="Z16" s="1">
        <v>417.89479999999998</v>
      </c>
      <c r="AA16" s="1">
        <v>444.3236</v>
      </c>
      <c r="AB16" s="1">
        <v>493.88639999999998</v>
      </c>
      <c r="AC16" s="1">
        <v>433.84800000000001</v>
      </c>
      <c r="AD16" s="1">
        <v>434.37839999999989</v>
      </c>
      <c r="AE16" s="1">
        <v>429.15240000000011</v>
      </c>
      <c r="AF16" s="1">
        <v>496.16739999999999</v>
      </c>
      <c r="AG16" s="1">
        <v>412.55460000000011</v>
      </c>
      <c r="AH16" s="1"/>
      <c r="AI16" s="1">
        <f t="shared" si="7"/>
        <v>0</v>
      </c>
      <c r="AJ16" s="1">
        <f t="shared" si="6"/>
        <v>2500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37</v>
      </c>
      <c r="C17" s="1">
        <v>5.2789999999999999</v>
      </c>
      <c r="D17" s="1">
        <v>213.435</v>
      </c>
      <c r="E17" s="1">
        <v>88.18</v>
      </c>
      <c r="F17" s="1">
        <v>129.65</v>
      </c>
      <c r="G17" s="7">
        <v>1</v>
      </c>
      <c r="H17" s="1">
        <v>60</v>
      </c>
      <c r="I17" s="1" t="s">
        <v>38</v>
      </c>
      <c r="J17" s="1"/>
      <c r="K17" s="1">
        <v>81.7</v>
      </c>
      <c r="L17" s="1">
        <f t="shared" si="2"/>
        <v>6.480000000000004</v>
      </c>
      <c r="M17" s="1"/>
      <c r="N17" s="1"/>
      <c r="O17" s="1">
        <v>0</v>
      </c>
      <c r="P17" s="1"/>
      <c r="Q17" s="1"/>
      <c r="R17" s="1">
        <v>0</v>
      </c>
      <c r="S17" s="1">
        <f t="shared" si="3"/>
        <v>17.636000000000003</v>
      </c>
      <c r="T17" s="5">
        <f t="shared" si="8"/>
        <v>64.346000000000032</v>
      </c>
      <c r="U17" s="5"/>
      <c r="V17" s="1">
        <f t="shared" si="4"/>
        <v>11</v>
      </c>
      <c r="W17" s="1">
        <f t="shared" si="5"/>
        <v>7.3514402358811513</v>
      </c>
      <c r="X17" s="1">
        <v>7.6536</v>
      </c>
      <c r="Y17" s="1">
        <v>10.663399999999999</v>
      </c>
      <c r="Z17" s="1">
        <v>17.847000000000001</v>
      </c>
      <c r="AA17" s="1">
        <v>16.242799999999999</v>
      </c>
      <c r="AB17" s="1">
        <v>14.605600000000001</v>
      </c>
      <c r="AC17" s="1">
        <v>13.058199999999999</v>
      </c>
      <c r="AD17" s="1">
        <v>15.687200000000001</v>
      </c>
      <c r="AE17" s="1">
        <v>14.436199999999999</v>
      </c>
      <c r="AF17" s="1">
        <v>16.920999999999999</v>
      </c>
      <c r="AG17" s="1">
        <v>17.105399999999999</v>
      </c>
      <c r="AH17" s="1"/>
      <c r="AI17" s="1">
        <f t="shared" si="7"/>
        <v>64.346000000000032</v>
      </c>
      <c r="AJ17" s="1">
        <f t="shared" si="6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37</v>
      </c>
      <c r="C18" s="1">
        <v>44.334000000000003</v>
      </c>
      <c r="D18" s="1">
        <v>37.484000000000002</v>
      </c>
      <c r="E18" s="1">
        <v>31.047999999999998</v>
      </c>
      <c r="F18" s="1">
        <v>48.125</v>
      </c>
      <c r="G18" s="7">
        <v>1</v>
      </c>
      <c r="H18" s="1">
        <v>60</v>
      </c>
      <c r="I18" s="1" t="s">
        <v>38</v>
      </c>
      <c r="J18" s="1"/>
      <c r="K18" s="1">
        <v>27.7</v>
      </c>
      <c r="L18" s="1">
        <f t="shared" si="2"/>
        <v>3.347999999999999</v>
      </c>
      <c r="M18" s="1"/>
      <c r="N18" s="1"/>
      <c r="O18" s="1">
        <v>0</v>
      </c>
      <c r="P18" s="1"/>
      <c r="Q18" s="1"/>
      <c r="R18" s="1">
        <v>0</v>
      </c>
      <c r="S18" s="1">
        <f t="shared" si="3"/>
        <v>6.2096</v>
      </c>
      <c r="T18" s="5">
        <f t="shared" si="8"/>
        <v>20.180599999999998</v>
      </c>
      <c r="U18" s="5"/>
      <c r="V18" s="1">
        <f t="shared" si="4"/>
        <v>11</v>
      </c>
      <c r="W18" s="1">
        <f t="shared" si="5"/>
        <v>7.7500966245812934</v>
      </c>
      <c r="X18" s="1">
        <v>4.9654000000000007</v>
      </c>
      <c r="Y18" s="1">
        <v>3.7240000000000002</v>
      </c>
      <c r="Z18" s="1">
        <v>4.6079999999999997</v>
      </c>
      <c r="AA18" s="1">
        <v>6.5492000000000008</v>
      </c>
      <c r="AB18" s="1">
        <v>9.0280000000000005</v>
      </c>
      <c r="AC18" s="1">
        <v>8.1191999999999993</v>
      </c>
      <c r="AD18" s="1">
        <v>9.7012</v>
      </c>
      <c r="AE18" s="1">
        <v>9.1652000000000005</v>
      </c>
      <c r="AF18" s="1">
        <v>10.414</v>
      </c>
      <c r="AG18" s="1">
        <v>8.4854000000000003</v>
      </c>
      <c r="AH18" s="1"/>
      <c r="AI18" s="1">
        <f t="shared" si="7"/>
        <v>20.180599999999998</v>
      </c>
      <c r="AJ18" s="1">
        <f t="shared" si="6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54</v>
      </c>
      <c r="B19" s="1" t="s">
        <v>37</v>
      </c>
      <c r="C19" s="1">
        <v>7.101</v>
      </c>
      <c r="D19" s="1">
        <v>58.389000000000003</v>
      </c>
      <c r="E19" s="1">
        <v>12.553000000000001</v>
      </c>
      <c r="F19" s="1">
        <v>52.936999999999998</v>
      </c>
      <c r="G19" s="7">
        <v>1</v>
      </c>
      <c r="H19" s="1">
        <v>180</v>
      </c>
      <c r="I19" s="1" t="s">
        <v>38</v>
      </c>
      <c r="J19" s="1"/>
      <c r="K19" s="1">
        <v>13.65</v>
      </c>
      <c r="L19" s="1">
        <f t="shared" si="2"/>
        <v>-1.0969999999999995</v>
      </c>
      <c r="M19" s="1"/>
      <c r="N19" s="1"/>
      <c r="O19" s="1">
        <v>0</v>
      </c>
      <c r="P19" s="1"/>
      <c r="Q19" s="1"/>
      <c r="R19" s="1">
        <v>0</v>
      </c>
      <c r="S19" s="1">
        <f t="shared" si="3"/>
        <v>2.5106000000000002</v>
      </c>
      <c r="T19" s="5"/>
      <c r="U19" s="5"/>
      <c r="V19" s="1">
        <f t="shared" si="4"/>
        <v>21.085397912849515</v>
      </c>
      <c r="W19" s="1">
        <f t="shared" si="5"/>
        <v>21.085397912849515</v>
      </c>
      <c r="X19" s="1">
        <v>4.2141999999999999</v>
      </c>
      <c r="Y19" s="1">
        <v>3.7368000000000001</v>
      </c>
      <c r="Z19" s="1">
        <v>4.8635999999999999</v>
      </c>
      <c r="AA19" s="1">
        <v>4.5688000000000004</v>
      </c>
      <c r="AB19" s="1">
        <v>4.2078000000000007</v>
      </c>
      <c r="AC19" s="1">
        <v>4.0621999999999998</v>
      </c>
      <c r="AD19" s="1">
        <v>2.8765999999999998</v>
      </c>
      <c r="AE19" s="1">
        <v>1.7242</v>
      </c>
      <c r="AF19" s="1">
        <v>1.1576</v>
      </c>
      <c r="AG19" s="1">
        <v>1.0666</v>
      </c>
      <c r="AH19" s="1"/>
      <c r="AI19" s="1">
        <f t="shared" si="7"/>
        <v>0</v>
      </c>
      <c r="AJ19" s="1">
        <f t="shared" si="6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37</v>
      </c>
      <c r="C20" s="1">
        <v>417.863</v>
      </c>
      <c r="D20" s="1">
        <v>375.40199999999999</v>
      </c>
      <c r="E20" s="1">
        <v>380.286</v>
      </c>
      <c r="F20" s="1">
        <v>401.46</v>
      </c>
      <c r="G20" s="7">
        <v>1</v>
      </c>
      <c r="H20" s="1">
        <v>60</v>
      </c>
      <c r="I20" s="1" t="s">
        <v>38</v>
      </c>
      <c r="J20" s="1"/>
      <c r="K20" s="1">
        <v>345.7</v>
      </c>
      <c r="L20" s="1">
        <f t="shared" si="2"/>
        <v>34.586000000000013</v>
      </c>
      <c r="M20" s="1"/>
      <c r="N20" s="1"/>
      <c r="O20" s="1">
        <v>198.69689999999991</v>
      </c>
      <c r="P20" s="1"/>
      <c r="Q20" s="1"/>
      <c r="R20" s="1">
        <v>338.90512799999988</v>
      </c>
      <c r="S20" s="1">
        <f t="shared" si="3"/>
        <v>76.057199999999995</v>
      </c>
      <c r="T20" s="5"/>
      <c r="U20" s="5"/>
      <c r="V20" s="1">
        <f t="shared" si="4"/>
        <v>12.346786734194788</v>
      </c>
      <c r="W20" s="1">
        <f t="shared" si="5"/>
        <v>12.346786734194788</v>
      </c>
      <c r="X20" s="1">
        <v>82.202399999999997</v>
      </c>
      <c r="Y20" s="1">
        <v>88.697599999999994</v>
      </c>
      <c r="Z20" s="1">
        <v>89.646000000000001</v>
      </c>
      <c r="AA20" s="1">
        <v>88.110399999999998</v>
      </c>
      <c r="AB20" s="1">
        <v>82.381200000000007</v>
      </c>
      <c r="AC20" s="1">
        <v>76.139800000000008</v>
      </c>
      <c r="AD20" s="1">
        <v>91.680800000000005</v>
      </c>
      <c r="AE20" s="1">
        <v>92.388800000000003</v>
      </c>
      <c r="AF20" s="1">
        <v>96.874600000000001</v>
      </c>
      <c r="AG20" s="1">
        <v>72.781599999999997</v>
      </c>
      <c r="AH20" s="1"/>
      <c r="AI20" s="1">
        <f t="shared" si="7"/>
        <v>0</v>
      </c>
      <c r="AJ20" s="1">
        <f t="shared" si="6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37</v>
      </c>
      <c r="C21" s="1">
        <v>42.261000000000003</v>
      </c>
      <c r="D21" s="1">
        <v>178.654</v>
      </c>
      <c r="E21" s="1">
        <v>79.152000000000001</v>
      </c>
      <c r="F21" s="1">
        <v>141.78100000000001</v>
      </c>
      <c r="G21" s="7">
        <v>1</v>
      </c>
      <c r="H21" s="1">
        <v>70</v>
      </c>
      <c r="I21" s="1" t="s">
        <v>38</v>
      </c>
      <c r="J21" s="1"/>
      <c r="K21" s="1">
        <v>73.5</v>
      </c>
      <c r="L21" s="1">
        <f t="shared" si="2"/>
        <v>5.652000000000001</v>
      </c>
      <c r="M21" s="1"/>
      <c r="N21" s="1"/>
      <c r="O21" s="1">
        <v>48.640599999999978</v>
      </c>
      <c r="P21" s="1"/>
      <c r="Q21" s="1"/>
      <c r="R21" s="1">
        <v>0</v>
      </c>
      <c r="S21" s="1">
        <f t="shared" si="3"/>
        <v>15.830400000000001</v>
      </c>
      <c r="T21" s="5"/>
      <c r="U21" s="5"/>
      <c r="V21" s="1">
        <f t="shared" si="4"/>
        <v>12.028855872245805</v>
      </c>
      <c r="W21" s="1">
        <f t="shared" si="5"/>
        <v>12.028855872245805</v>
      </c>
      <c r="X21" s="1">
        <v>19.5242</v>
      </c>
      <c r="Y21" s="1">
        <v>23.744399999999999</v>
      </c>
      <c r="Z21" s="1">
        <v>22.281199999999998</v>
      </c>
      <c r="AA21" s="1">
        <v>26.270199999999999</v>
      </c>
      <c r="AB21" s="1">
        <v>28.505600000000001</v>
      </c>
      <c r="AC21" s="1">
        <v>26.021799999999999</v>
      </c>
      <c r="AD21" s="1">
        <v>23.624600000000001</v>
      </c>
      <c r="AE21" s="1">
        <v>19.945599999999999</v>
      </c>
      <c r="AF21" s="1">
        <v>26.001000000000001</v>
      </c>
      <c r="AG21" s="1">
        <v>23.799199999999999</v>
      </c>
      <c r="AH21" s="1"/>
      <c r="AI21" s="1">
        <f t="shared" si="7"/>
        <v>0</v>
      </c>
      <c r="AJ21" s="1">
        <f t="shared" si="6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57</v>
      </c>
      <c r="B22" s="1" t="s">
        <v>37</v>
      </c>
      <c r="C22" s="1">
        <v>307.98</v>
      </c>
      <c r="D22" s="1">
        <v>94.097999999999999</v>
      </c>
      <c r="E22" s="1">
        <v>165.53</v>
      </c>
      <c r="F22" s="1">
        <v>237.459</v>
      </c>
      <c r="G22" s="7">
        <v>1</v>
      </c>
      <c r="H22" s="1">
        <v>70</v>
      </c>
      <c r="I22" s="1" t="s">
        <v>38</v>
      </c>
      <c r="J22" s="1"/>
      <c r="K22" s="1">
        <v>151</v>
      </c>
      <c r="L22" s="1">
        <f t="shared" si="2"/>
        <v>14.530000000000001</v>
      </c>
      <c r="M22" s="1"/>
      <c r="N22" s="1"/>
      <c r="O22" s="1">
        <v>75.577450000000056</v>
      </c>
      <c r="P22" s="1"/>
      <c r="Q22" s="1"/>
      <c r="R22" s="1">
        <v>51.41640000000001</v>
      </c>
      <c r="S22" s="1">
        <f t="shared" si="3"/>
        <v>33.106000000000002</v>
      </c>
      <c r="T22" s="5"/>
      <c r="U22" s="5"/>
      <c r="V22" s="1">
        <f t="shared" si="4"/>
        <v>11.008664592520995</v>
      </c>
      <c r="W22" s="1">
        <f t="shared" si="5"/>
        <v>11.008664592520995</v>
      </c>
      <c r="X22" s="1">
        <v>38.613</v>
      </c>
      <c r="Y22" s="1">
        <v>42.749600000000001</v>
      </c>
      <c r="Z22" s="1">
        <v>46.347000000000001</v>
      </c>
      <c r="AA22" s="1">
        <v>45.730200000000004</v>
      </c>
      <c r="AB22" s="1">
        <v>49.275599999999997</v>
      </c>
      <c r="AC22" s="1">
        <v>48.636000000000003</v>
      </c>
      <c r="AD22" s="1">
        <v>32.852600000000002</v>
      </c>
      <c r="AE22" s="1">
        <v>19.3628</v>
      </c>
      <c r="AF22" s="1">
        <v>28.8674</v>
      </c>
      <c r="AG22" s="1">
        <v>34.682400000000001</v>
      </c>
      <c r="AH22" s="1"/>
      <c r="AI22" s="1">
        <f t="shared" si="7"/>
        <v>0</v>
      </c>
      <c r="AJ22" s="1">
        <f t="shared" si="6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58</v>
      </c>
      <c r="B23" s="1" t="s">
        <v>37</v>
      </c>
      <c r="C23" s="1">
        <v>18.788</v>
      </c>
      <c r="D23" s="1">
        <v>24.574999999999999</v>
      </c>
      <c r="E23" s="1">
        <v>34.954000000000001</v>
      </c>
      <c r="F23" s="1">
        <v>8.4090000000000007</v>
      </c>
      <c r="G23" s="7">
        <v>1</v>
      </c>
      <c r="H23" s="1">
        <v>180</v>
      </c>
      <c r="I23" s="1" t="s">
        <v>38</v>
      </c>
      <c r="J23" s="1"/>
      <c r="K23" s="1">
        <v>31.98</v>
      </c>
      <c r="L23" s="1">
        <f t="shared" si="2"/>
        <v>2.9740000000000002</v>
      </c>
      <c r="M23" s="1"/>
      <c r="N23" s="1"/>
      <c r="O23" s="1">
        <v>0</v>
      </c>
      <c r="P23" s="1"/>
      <c r="Q23" s="1"/>
      <c r="R23" s="1">
        <v>46.570999999999998</v>
      </c>
      <c r="S23" s="1">
        <f t="shared" si="3"/>
        <v>6.9908000000000001</v>
      </c>
      <c r="T23" s="5">
        <f t="shared" si="8"/>
        <v>21.918799999999997</v>
      </c>
      <c r="U23" s="5"/>
      <c r="V23" s="1">
        <f t="shared" si="4"/>
        <v>10.999999999999998</v>
      </c>
      <c r="W23" s="1">
        <f t="shared" si="5"/>
        <v>7.8646220747267828</v>
      </c>
      <c r="X23" s="1">
        <v>5.9451999999999998</v>
      </c>
      <c r="Y23" s="1">
        <v>3.044</v>
      </c>
      <c r="Z23" s="1">
        <v>3.5346000000000002</v>
      </c>
      <c r="AA23" s="1">
        <v>4.4659999999999993</v>
      </c>
      <c r="AB23" s="1">
        <v>4.6436000000000002</v>
      </c>
      <c r="AC23" s="1">
        <v>4.6448</v>
      </c>
      <c r="AD23" s="1">
        <v>2.6063999999999998</v>
      </c>
      <c r="AE23" s="1">
        <v>2.6286</v>
      </c>
      <c r="AF23" s="1">
        <v>2.681</v>
      </c>
      <c r="AG23" s="1">
        <v>4.7835999999999999</v>
      </c>
      <c r="AH23" s="1"/>
      <c r="AI23" s="1">
        <f t="shared" si="7"/>
        <v>21.918799999999997</v>
      </c>
      <c r="AJ23" s="1">
        <f t="shared" si="6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59</v>
      </c>
      <c r="B24" s="1" t="s">
        <v>37</v>
      </c>
      <c r="C24" s="1">
        <v>718.31399999999996</v>
      </c>
      <c r="D24" s="1">
        <v>17.486999999999998</v>
      </c>
      <c r="E24" s="1">
        <v>217.45599999999999</v>
      </c>
      <c r="F24" s="1">
        <v>512.79200000000003</v>
      </c>
      <c r="G24" s="7">
        <v>1</v>
      </c>
      <c r="H24" s="1">
        <v>70</v>
      </c>
      <c r="I24" s="1" t="s">
        <v>38</v>
      </c>
      <c r="J24" s="1"/>
      <c r="K24" s="1">
        <v>199.9</v>
      </c>
      <c r="L24" s="1">
        <f t="shared" si="2"/>
        <v>17.555999999999983</v>
      </c>
      <c r="M24" s="1"/>
      <c r="N24" s="1"/>
      <c r="O24" s="1">
        <v>0</v>
      </c>
      <c r="P24" s="1"/>
      <c r="Q24" s="1"/>
      <c r="R24" s="1">
        <v>0</v>
      </c>
      <c r="S24" s="1">
        <f t="shared" si="3"/>
        <v>43.491199999999999</v>
      </c>
      <c r="T24" s="5"/>
      <c r="U24" s="5"/>
      <c r="V24" s="1">
        <f t="shared" si="4"/>
        <v>11.790707085571334</v>
      </c>
      <c r="W24" s="1">
        <f t="shared" si="5"/>
        <v>11.790707085571334</v>
      </c>
      <c r="X24" s="1">
        <v>38.692599999999999</v>
      </c>
      <c r="Y24" s="1">
        <v>45.932200000000002</v>
      </c>
      <c r="Z24" s="1">
        <v>42.074399999999997</v>
      </c>
      <c r="AA24" s="1">
        <v>40.281599999999997</v>
      </c>
      <c r="AB24" s="1">
        <v>49.956400000000002</v>
      </c>
      <c r="AC24" s="1">
        <v>44.857199999999999</v>
      </c>
      <c r="AD24" s="1">
        <v>48.375</v>
      </c>
      <c r="AE24" s="1">
        <v>48.767600000000002</v>
      </c>
      <c r="AF24" s="1">
        <v>49.643599999999999</v>
      </c>
      <c r="AG24" s="1">
        <v>36.218200000000003</v>
      </c>
      <c r="AH24" s="16" t="s">
        <v>40</v>
      </c>
      <c r="AI24" s="1">
        <f t="shared" si="7"/>
        <v>0</v>
      </c>
      <c r="AJ24" s="1">
        <f t="shared" si="6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9" t="s">
        <v>61</v>
      </c>
      <c r="B25" s="9" t="s">
        <v>37</v>
      </c>
      <c r="C25" s="9"/>
      <c r="D25" s="9"/>
      <c r="E25" s="9"/>
      <c r="F25" s="9"/>
      <c r="G25" s="10">
        <v>0</v>
      </c>
      <c r="H25" s="9"/>
      <c r="I25" s="9" t="s">
        <v>38</v>
      </c>
      <c r="J25" s="9"/>
      <c r="K25" s="9"/>
      <c r="L25" s="9">
        <f t="shared" si="2"/>
        <v>0</v>
      </c>
      <c r="M25" s="9"/>
      <c r="N25" s="9"/>
      <c r="O25" s="9">
        <v>0</v>
      </c>
      <c r="P25" s="9"/>
      <c r="Q25" s="9"/>
      <c r="R25" s="9">
        <v>0</v>
      </c>
      <c r="S25" s="9">
        <f t="shared" si="3"/>
        <v>0</v>
      </c>
      <c r="T25" s="11"/>
      <c r="U25" s="11"/>
      <c r="V25" s="9" t="e">
        <f t="shared" si="4"/>
        <v>#DIV/0!</v>
      </c>
      <c r="W25" s="9" t="e">
        <f t="shared" si="5"/>
        <v>#DIV/0!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 t="s">
        <v>44</v>
      </c>
      <c r="AI25" s="9"/>
      <c r="AJ25" s="1">
        <f t="shared" si="6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s="15" customFormat="1" x14ac:dyDescent="0.25">
      <c r="A26" s="12" t="s">
        <v>62</v>
      </c>
      <c r="B26" s="12" t="s">
        <v>37</v>
      </c>
      <c r="C26" s="12"/>
      <c r="D26" s="12"/>
      <c r="E26" s="12"/>
      <c r="F26" s="12"/>
      <c r="G26" s="13">
        <v>1</v>
      </c>
      <c r="H26" s="12"/>
      <c r="I26" s="12" t="s">
        <v>38</v>
      </c>
      <c r="J26" s="12"/>
      <c r="K26" s="12"/>
      <c r="L26" s="12">
        <f t="shared" si="2"/>
        <v>0</v>
      </c>
      <c r="M26" s="12"/>
      <c r="N26" s="12"/>
      <c r="O26" s="12">
        <v>150</v>
      </c>
      <c r="P26" s="12"/>
      <c r="Q26" s="12"/>
      <c r="R26" s="12">
        <v>0</v>
      </c>
      <c r="S26" s="12">
        <f t="shared" si="3"/>
        <v>0</v>
      </c>
      <c r="T26" s="14"/>
      <c r="U26" s="14"/>
      <c r="V26" s="12" t="e">
        <f t="shared" si="4"/>
        <v>#DIV/0!</v>
      </c>
      <c r="W26" s="12" t="e">
        <f t="shared" si="5"/>
        <v>#DIV/0!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 t="s">
        <v>63</v>
      </c>
      <c r="AI26" s="12">
        <f t="shared" ref="AI26:AI41" si="9">G26*T26</f>
        <v>0</v>
      </c>
      <c r="AJ26" s="1">
        <f t="shared" si="6"/>
        <v>0</v>
      </c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</row>
    <row r="27" spans="1:49" x14ac:dyDescent="0.25">
      <c r="A27" s="1" t="s">
        <v>64</v>
      </c>
      <c r="B27" s="1" t="s">
        <v>37</v>
      </c>
      <c r="C27" s="1">
        <v>1.476</v>
      </c>
      <c r="D27" s="1">
        <v>372.50099999999998</v>
      </c>
      <c r="E27" s="1">
        <v>172.70599999999999</v>
      </c>
      <c r="F27" s="1">
        <v>162.94999999999999</v>
      </c>
      <c r="G27" s="7">
        <v>1</v>
      </c>
      <c r="H27" s="1">
        <v>40</v>
      </c>
      <c r="I27" s="1" t="s">
        <v>38</v>
      </c>
      <c r="J27" s="1"/>
      <c r="K27" s="1">
        <v>229.17599999999999</v>
      </c>
      <c r="L27" s="1">
        <f t="shared" si="2"/>
        <v>-56.47</v>
      </c>
      <c r="M27" s="1"/>
      <c r="N27" s="1"/>
      <c r="O27" s="1">
        <v>0</v>
      </c>
      <c r="P27" s="1"/>
      <c r="Q27" s="1"/>
      <c r="R27" s="1">
        <v>136.31720000000001</v>
      </c>
      <c r="S27" s="1">
        <f t="shared" si="3"/>
        <v>34.541199999999996</v>
      </c>
      <c r="T27" s="5">
        <f t="shared" ref="T27:T67" si="10">11*S27-R27-Q27-P27-O27-F27-U27</f>
        <v>80.685999999999979</v>
      </c>
      <c r="U27" s="5"/>
      <c r="V27" s="1">
        <f t="shared" si="4"/>
        <v>11</v>
      </c>
      <c r="W27" s="1">
        <f t="shared" si="5"/>
        <v>8.6640649427350542</v>
      </c>
      <c r="X27" s="1">
        <v>38.505600000000001</v>
      </c>
      <c r="Y27" s="1">
        <v>32.977800000000002</v>
      </c>
      <c r="Z27" s="1">
        <v>14.902200000000001</v>
      </c>
      <c r="AA27" s="1">
        <v>40.676000000000002</v>
      </c>
      <c r="AB27" s="1">
        <v>54.751800000000003</v>
      </c>
      <c r="AC27" s="1">
        <v>34.035200000000003</v>
      </c>
      <c r="AD27" s="1">
        <v>15.829800000000001</v>
      </c>
      <c r="AE27" s="1">
        <v>24.122599999999998</v>
      </c>
      <c r="AF27" s="1">
        <v>49.462800000000001</v>
      </c>
      <c r="AG27" s="1">
        <v>52.084400000000002</v>
      </c>
      <c r="AH27" s="1"/>
      <c r="AI27" s="1">
        <f t="shared" si="9"/>
        <v>80.685999999999979</v>
      </c>
      <c r="AJ27" s="1">
        <f t="shared" si="6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65</v>
      </c>
      <c r="B28" s="1" t="s">
        <v>37</v>
      </c>
      <c r="C28" s="1">
        <v>588.81600000000003</v>
      </c>
      <c r="D28" s="1">
        <v>193.535</v>
      </c>
      <c r="E28" s="1">
        <v>176.43899999999999</v>
      </c>
      <c r="F28" s="1">
        <v>10.726000000000001</v>
      </c>
      <c r="G28" s="7">
        <v>1</v>
      </c>
      <c r="H28" s="1">
        <v>30</v>
      </c>
      <c r="I28" s="1" t="s">
        <v>38</v>
      </c>
      <c r="J28" s="1"/>
      <c r="K28" s="1">
        <v>321.928</v>
      </c>
      <c r="L28" s="1">
        <f t="shared" si="2"/>
        <v>-145.489</v>
      </c>
      <c r="M28" s="1"/>
      <c r="N28" s="1"/>
      <c r="O28" s="1">
        <v>0</v>
      </c>
      <c r="P28" s="1"/>
      <c r="Q28" s="1"/>
      <c r="R28" s="1">
        <v>66.767200000000031</v>
      </c>
      <c r="S28" s="1">
        <f t="shared" si="3"/>
        <v>35.287799999999997</v>
      </c>
      <c r="T28" s="5">
        <f t="shared" si="10"/>
        <v>310.67259999999999</v>
      </c>
      <c r="U28" s="5"/>
      <c r="V28" s="1">
        <f t="shared" si="4"/>
        <v>11</v>
      </c>
      <c r="W28" s="1">
        <f t="shared" si="5"/>
        <v>2.1960337567091188</v>
      </c>
      <c r="X28" s="1">
        <v>16.3886</v>
      </c>
      <c r="Y28" s="1">
        <v>14.622999999999999</v>
      </c>
      <c r="Z28" s="1">
        <v>57.747199999999999</v>
      </c>
      <c r="AA28" s="1">
        <v>92.522199999999998</v>
      </c>
      <c r="AB28" s="1">
        <v>52.175400000000003</v>
      </c>
      <c r="AC28" s="1">
        <v>48.465800000000002</v>
      </c>
      <c r="AD28" s="1">
        <v>53.796000000000006</v>
      </c>
      <c r="AE28" s="1">
        <v>36.897000000000013</v>
      </c>
      <c r="AF28" s="1">
        <v>13.9148</v>
      </c>
      <c r="AG28" s="1">
        <v>17.303599999999999</v>
      </c>
      <c r="AH28" s="1"/>
      <c r="AI28" s="1">
        <f t="shared" si="9"/>
        <v>310.67259999999999</v>
      </c>
      <c r="AJ28" s="1">
        <f t="shared" si="6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66</v>
      </c>
      <c r="B29" s="1" t="s">
        <v>37</v>
      </c>
      <c r="C29" s="1">
        <v>703.31600000000003</v>
      </c>
      <c r="D29" s="1">
        <v>746.56399999999996</v>
      </c>
      <c r="E29" s="1">
        <v>1105.7739999999999</v>
      </c>
      <c r="F29" s="1">
        <v>292.79700000000003</v>
      </c>
      <c r="G29" s="7">
        <v>1</v>
      </c>
      <c r="H29" s="1">
        <v>40</v>
      </c>
      <c r="I29" s="1" t="s">
        <v>38</v>
      </c>
      <c r="J29" s="1"/>
      <c r="K29" s="1">
        <v>1073.086</v>
      </c>
      <c r="L29" s="1">
        <f t="shared" si="2"/>
        <v>32.687999999999874</v>
      </c>
      <c r="M29" s="1"/>
      <c r="N29" s="1"/>
      <c r="O29" s="1">
        <v>1095.0018099999991</v>
      </c>
      <c r="P29" s="1">
        <v>-1098</v>
      </c>
      <c r="Q29" s="1"/>
      <c r="R29" s="1">
        <v>1700</v>
      </c>
      <c r="S29" s="1">
        <f t="shared" si="3"/>
        <v>221.15479999999997</v>
      </c>
      <c r="T29" s="5"/>
      <c r="U29" s="5">
        <v>1200</v>
      </c>
      <c r="V29" s="1">
        <f t="shared" si="4"/>
        <v>14.423375888743992</v>
      </c>
      <c r="W29" s="1">
        <f t="shared" si="5"/>
        <v>8.9973123350702746</v>
      </c>
      <c r="X29" s="1">
        <v>290.73820000000001</v>
      </c>
      <c r="Y29" s="1">
        <v>221.20740000000001</v>
      </c>
      <c r="Z29" s="1">
        <v>21.023</v>
      </c>
      <c r="AA29" s="1">
        <v>97.070799999999991</v>
      </c>
      <c r="AB29" s="1">
        <v>200.02199999999999</v>
      </c>
      <c r="AC29" s="1">
        <v>174.52520000000001</v>
      </c>
      <c r="AD29" s="1">
        <v>208.46619999999999</v>
      </c>
      <c r="AE29" s="1">
        <v>206.2114</v>
      </c>
      <c r="AF29" s="1">
        <v>208.54480000000001</v>
      </c>
      <c r="AG29" s="1">
        <v>217.6456</v>
      </c>
      <c r="AH29" s="1"/>
      <c r="AI29" s="1">
        <f t="shared" si="9"/>
        <v>0</v>
      </c>
      <c r="AJ29" s="1">
        <f t="shared" si="6"/>
        <v>1200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67</v>
      </c>
      <c r="B30" s="1" t="s">
        <v>37</v>
      </c>
      <c r="C30" s="1">
        <v>4.3899999999999997</v>
      </c>
      <c r="D30" s="1"/>
      <c r="E30" s="1">
        <v>4.53</v>
      </c>
      <c r="F30" s="1">
        <v>-0.14000000000000001</v>
      </c>
      <c r="G30" s="7">
        <v>1</v>
      </c>
      <c r="H30" s="1">
        <v>40</v>
      </c>
      <c r="I30" s="1" t="s">
        <v>38</v>
      </c>
      <c r="J30" s="1"/>
      <c r="K30" s="1">
        <v>4</v>
      </c>
      <c r="L30" s="1">
        <f t="shared" si="2"/>
        <v>0.53000000000000025</v>
      </c>
      <c r="M30" s="1"/>
      <c r="N30" s="1"/>
      <c r="O30" s="1">
        <v>34.947200000000002</v>
      </c>
      <c r="P30" s="1">
        <v>-36</v>
      </c>
      <c r="Q30" s="1"/>
      <c r="R30" s="1">
        <v>40</v>
      </c>
      <c r="S30" s="1">
        <f t="shared" si="3"/>
        <v>0.90600000000000003</v>
      </c>
      <c r="T30" s="5"/>
      <c r="U30" s="5"/>
      <c r="V30" s="1">
        <f t="shared" si="4"/>
        <v>42.833554083885211</v>
      </c>
      <c r="W30" s="1">
        <f t="shared" si="5"/>
        <v>42.833554083885211</v>
      </c>
      <c r="X30" s="1">
        <v>5.2767999999999997</v>
      </c>
      <c r="Y30" s="1">
        <v>4.3708</v>
      </c>
      <c r="Z30" s="1">
        <v>-0.6048</v>
      </c>
      <c r="AA30" s="1">
        <v>-0.6048</v>
      </c>
      <c r="AB30" s="1">
        <v>0</v>
      </c>
      <c r="AC30" s="1">
        <v>0</v>
      </c>
      <c r="AD30" s="1">
        <v>0</v>
      </c>
      <c r="AE30" s="1">
        <v>0</v>
      </c>
      <c r="AF30" s="1">
        <v>-1.0800000000000001E-2</v>
      </c>
      <c r="AG30" s="1">
        <v>1.5007999999999999</v>
      </c>
      <c r="AH30" s="1"/>
      <c r="AI30" s="1">
        <f t="shared" si="9"/>
        <v>0</v>
      </c>
      <c r="AJ30" s="1">
        <f t="shared" si="6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68</v>
      </c>
      <c r="B31" s="1" t="s">
        <v>37</v>
      </c>
      <c r="C31" s="1">
        <v>57.94</v>
      </c>
      <c r="D31" s="1">
        <v>35.545999999999999</v>
      </c>
      <c r="E31" s="1">
        <v>78.046999999999997</v>
      </c>
      <c r="F31" s="1">
        <v>0.26</v>
      </c>
      <c r="G31" s="7">
        <v>1</v>
      </c>
      <c r="H31" s="1">
        <v>30</v>
      </c>
      <c r="I31" s="1" t="s">
        <v>38</v>
      </c>
      <c r="J31" s="1"/>
      <c r="K31" s="1">
        <v>98.2</v>
      </c>
      <c r="L31" s="1">
        <f t="shared" si="2"/>
        <v>-20.153000000000006</v>
      </c>
      <c r="M31" s="1"/>
      <c r="N31" s="1"/>
      <c r="O31" s="1">
        <v>21.31999999999999</v>
      </c>
      <c r="P31" s="1"/>
      <c r="Q31" s="1"/>
      <c r="R31" s="1">
        <v>133.51599999999999</v>
      </c>
      <c r="S31" s="1">
        <f t="shared" si="3"/>
        <v>15.609399999999999</v>
      </c>
      <c r="T31" s="5">
        <f t="shared" si="10"/>
        <v>16.607400000000005</v>
      </c>
      <c r="U31" s="5"/>
      <c r="V31" s="1">
        <f t="shared" si="4"/>
        <v>11</v>
      </c>
      <c r="W31" s="1">
        <f t="shared" si="5"/>
        <v>9.9360641664637956</v>
      </c>
      <c r="X31" s="1">
        <v>19.0808</v>
      </c>
      <c r="Y31" s="1">
        <v>10.242800000000001</v>
      </c>
      <c r="Z31" s="1">
        <v>10.489800000000001</v>
      </c>
      <c r="AA31" s="1">
        <v>15.446199999999999</v>
      </c>
      <c r="AB31" s="1">
        <v>15.259600000000001</v>
      </c>
      <c r="AC31" s="1">
        <v>18.017800000000001</v>
      </c>
      <c r="AD31" s="1">
        <v>21.190799999999999</v>
      </c>
      <c r="AE31" s="1">
        <v>19.9696</v>
      </c>
      <c r="AF31" s="1">
        <v>15.2096</v>
      </c>
      <c r="AG31" s="1">
        <v>8.0359999999999996</v>
      </c>
      <c r="AH31" s="1"/>
      <c r="AI31" s="1">
        <f t="shared" si="9"/>
        <v>16.607400000000005</v>
      </c>
      <c r="AJ31" s="1">
        <f t="shared" si="6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69</v>
      </c>
      <c r="B32" s="1" t="s">
        <v>37</v>
      </c>
      <c r="C32" s="1">
        <v>8.1259999999999994</v>
      </c>
      <c r="D32" s="1">
        <v>264.55599999999998</v>
      </c>
      <c r="E32" s="1">
        <v>36.683</v>
      </c>
      <c r="F32" s="1">
        <v>231.399</v>
      </c>
      <c r="G32" s="7">
        <v>1</v>
      </c>
      <c r="H32" s="1">
        <v>50</v>
      </c>
      <c r="I32" s="1" t="s">
        <v>38</v>
      </c>
      <c r="J32" s="1"/>
      <c r="K32" s="1">
        <v>96.4</v>
      </c>
      <c r="L32" s="1">
        <f t="shared" si="2"/>
        <v>-59.717000000000006</v>
      </c>
      <c r="M32" s="1"/>
      <c r="N32" s="1"/>
      <c r="O32" s="1">
        <v>101.01625</v>
      </c>
      <c r="P32" s="1"/>
      <c r="Q32" s="1"/>
      <c r="R32" s="1">
        <v>0</v>
      </c>
      <c r="S32" s="1">
        <f t="shared" si="3"/>
        <v>7.3365999999999998</v>
      </c>
      <c r="T32" s="5"/>
      <c r="U32" s="5"/>
      <c r="V32" s="1">
        <f t="shared" si="4"/>
        <v>45.309169097402069</v>
      </c>
      <c r="W32" s="1">
        <f t="shared" si="5"/>
        <v>45.309169097402069</v>
      </c>
      <c r="X32" s="1">
        <v>20.953199999999999</v>
      </c>
      <c r="Y32" s="1">
        <v>32.764400000000002</v>
      </c>
      <c r="Z32" s="1">
        <v>27.847000000000001</v>
      </c>
      <c r="AA32" s="1">
        <v>21.542999999999999</v>
      </c>
      <c r="AB32" s="1">
        <v>17.402000000000001</v>
      </c>
      <c r="AC32" s="1">
        <v>24.775200000000002</v>
      </c>
      <c r="AD32" s="1">
        <v>14.6998</v>
      </c>
      <c r="AE32" s="1">
        <v>18.186</v>
      </c>
      <c r="AF32" s="1">
        <v>27.366599999999998</v>
      </c>
      <c r="AG32" s="1">
        <v>31.243400000000001</v>
      </c>
      <c r="AH32" s="1"/>
      <c r="AI32" s="1">
        <f t="shared" si="9"/>
        <v>0</v>
      </c>
      <c r="AJ32" s="1">
        <f t="shared" si="6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70</v>
      </c>
      <c r="B33" s="1" t="s">
        <v>37</v>
      </c>
      <c r="C33" s="1">
        <v>3.6379999999999999</v>
      </c>
      <c r="D33" s="1">
        <v>254.64</v>
      </c>
      <c r="E33" s="1">
        <v>53.262</v>
      </c>
      <c r="F33" s="1">
        <v>201.34299999999999</v>
      </c>
      <c r="G33" s="7">
        <v>1</v>
      </c>
      <c r="H33" s="1">
        <v>50</v>
      </c>
      <c r="I33" s="1" t="s">
        <v>38</v>
      </c>
      <c r="J33" s="1"/>
      <c r="K33" s="1">
        <v>75.900000000000006</v>
      </c>
      <c r="L33" s="1">
        <f t="shared" si="2"/>
        <v>-22.638000000000005</v>
      </c>
      <c r="M33" s="1"/>
      <c r="N33" s="1"/>
      <c r="O33" s="1">
        <v>0</v>
      </c>
      <c r="P33" s="1"/>
      <c r="Q33" s="1"/>
      <c r="R33" s="1">
        <v>0</v>
      </c>
      <c r="S33" s="1">
        <f t="shared" si="3"/>
        <v>10.6524</v>
      </c>
      <c r="T33" s="5"/>
      <c r="U33" s="5"/>
      <c r="V33" s="1">
        <f t="shared" si="4"/>
        <v>18.901186587060192</v>
      </c>
      <c r="W33" s="1">
        <f t="shared" si="5"/>
        <v>18.901186587060192</v>
      </c>
      <c r="X33" s="1">
        <v>7.8666</v>
      </c>
      <c r="Y33" s="1">
        <v>12.2232</v>
      </c>
      <c r="Z33" s="1">
        <v>20.489599999999999</v>
      </c>
      <c r="AA33" s="1">
        <v>20.728200000000001</v>
      </c>
      <c r="AB33" s="1">
        <v>15.374000000000001</v>
      </c>
      <c r="AC33" s="1">
        <v>15.021800000000001</v>
      </c>
      <c r="AD33" s="1">
        <v>11.911799999999999</v>
      </c>
      <c r="AE33" s="1">
        <v>5.1412000000000004</v>
      </c>
      <c r="AF33" s="1">
        <v>10.9086</v>
      </c>
      <c r="AG33" s="1">
        <v>18.507999999999999</v>
      </c>
      <c r="AH33" s="1"/>
      <c r="AI33" s="1">
        <f t="shared" si="9"/>
        <v>0</v>
      </c>
      <c r="AJ33" s="1">
        <f t="shared" si="6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71</v>
      </c>
      <c r="B34" s="1" t="s">
        <v>43</v>
      </c>
      <c r="C34" s="1">
        <v>526</v>
      </c>
      <c r="D34" s="1">
        <v>2660</v>
      </c>
      <c r="E34" s="1">
        <v>1682</v>
      </c>
      <c r="F34" s="1">
        <v>1487</v>
      </c>
      <c r="G34" s="7">
        <v>0.4</v>
      </c>
      <c r="H34" s="1">
        <v>45</v>
      </c>
      <c r="I34" s="1" t="s">
        <v>38</v>
      </c>
      <c r="J34" s="1"/>
      <c r="K34" s="1">
        <v>1728</v>
      </c>
      <c r="L34" s="1">
        <f t="shared" si="2"/>
        <v>-46</v>
      </c>
      <c r="M34" s="1"/>
      <c r="N34" s="1"/>
      <c r="O34" s="1">
        <v>924.41500000000053</v>
      </c>
      <c r="P34" s="1">
        <v>-930</v>
      </c>
      <c r="Q34" s="1"/>
      <c r="R34" s="1">
        <v>1786.5056</v>
      </c>
      <c r="S34" s="1">
        <f t="shared" si="3"/>
        <v>336.4</v>
      </c>
      <c r="T34" s="5"/>
      <c r="U34" s="5">
        <v>2300</v>
      </c>
      <c r="V34" s="1">
        <f t="shared" si="4"/>
        <v>16.551488109393581</v>
      </c>
      <c r="W34" s="1">
        <f t="shared" si="5"/>
        <v>9.7143894173602874</v>
      </c>
      <c r="X34" s="1">
        <v>363</v>
      </c>
      <c r="Y34" s="1">
        <v>355.6</v>
      </c>
      <c r="Z34" s="1">
        <v>357.8</v>
      </c>
      <c r="AA34" s="1">
        <v>387.50299999999999</v>
      </c>
      <c r="AB34" s="1">
        <v>375.50299999999999</v>
      </c>
      <c r="AC34" s="1">
        <v>320.60000000000002</v>
      </c>
      <c r="AD34" s="1">
        <v>255</v>
      </c>
      <c r="AE34" s="1">
        <v>249.2</v>
      </c>
      <c r="AF34" s="1">
        <v>344.4</v>
      </c>
      <c r="AG34" s="1">
        <v>336.6</v>
      </c>
      <c r="AH34" s="1"/>
      <c r="AI34" s="1">
        <f t="shared" si="9"/>
        <v>0</v>
      </c>
      <c r="AJ34" s="1">
        <f t="shared" si="6"/>
        <v>920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72</v>
      </c>
      <c r="B35" s="1" t="s">
        <v>43</v>
      </c>
      <c r="C35" s="1">
        <v>112</v>
      </c>
      <c r="D35" s="1">
        <v>459</v>
      </c>
      <c r="E35" s="1">
        <v>305</v>
      </c>
      <c r="F35" s="1">
        <v>262</v>
      </c>
      <c r="G35" s="7">
        <v>0.45</v>
      </c>
      <c r="H35" s="1">
        <v>50</v>
      </c>
      <c r="I35" s="1" t="s">
        <v>38</v>
      </c>
      <c r="J35" s="1"/>
      <c r="K35" s="1">
        <v>334</v>
      </c>
      <c r="L35" s="1">
        <f t="shared" si="2"/>
        <v>-29</v>
      </c>
      <c r="M35" s="1"/>
      <c r="N35" s="1"/>
      <c r="O35" s="1">
        <v>336.18999999999988</v>
      </c>
      <c r="P35" s="1"/>
      <c r="Q35" s="1"/>
      <c r="R35" s="1">
        <v>0</v>
      </c>
      <c r="S35" s="1">
        <f t="shared" si="3"/>
        <v>61</v>
      </c>
      <c r="T35" s="5">
        <f t="shared" si="10"/>
        <v>72.810000000000116</v>
      </c>
      <c r="U35" s="5"/>
      <c r="V35" s="1">
        <f t="shared" si="4"/>
        <v>11</v>
      </c>
      <c r="W35" s="1">
        <f t="shared" si="5"/>
        <v>9.806393442622948</v>
      </c>
      <c r="X35" s="1">
        <v>66.8</v>
      </c>
      <c r="Y35" s="1">
        <v>81</v>
      </c>
      <c r="Z35" s="1">
        <v>67.8</v>
      </c>
      <c r="AA35" s="1">
        <v>74.8</v>
      </c>
      <c r="AB35" s="1">
        <v>65.599999999999994</v>
      </c>
      <c r="AC35" s="1">
        <v>63.8</v>
      </c>
      <c r="AD35" s="1">
        <v>64.2</v>
      </c>
      <c r="AE35" s="1">
        <v>55</v>
      </c>
      <c r="AF35" s="1">
        <v>60.2</v>
      </c>
      <c r="AG35" s="1">
        <v>45.4</v>
      </c>
      <c r="AH35" s="1"/>
      <c r="AI35" s="1">
        <f t="shared" si="9"/>
        <v>32.764500000000055</v>
      </c>
      <c r="AJ35" s="1">
        <f t="shared" si="6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73</v>
      </c>
      <c r="B36" s="1" t="s">
        <v>43</v>
      </c>
      <c r="C36" s="1">
        <v>340</v>
      </c>
      <c r="D36" s="1">
        <v>835</v>
      </c>
      <c r="E36" s="1">
        <v>684</v>
      </c>
      <c r="F36" s="1">
        <v>486</v>
      </c>
      <c r="G36" s="7">
        <v>0.4</v>
      </c>
      <c r="H36" s="1">
        <v>45</v>
      </c>
      <c r="I36" s="1" t="s">
        <v>38</v>
      </c>
      <c r="J36" s="1"/>
      <c r="K36" s="1">
        <v>700</v>
      </c>
      <c r="L36" s="1">
        <f t="shared" si="2"/>
        <v>-16</v>
      </c>
      <c r="M36" s="1"/>
      <c r="N36" s="1"/>
      <c r="O36" s="1">
        <v>285.26999999999981</v>
      </c>
      <c r="P36" s="1"/>
      <c r="Q36" s="1"/>
      <c r="R36" s="1">
        <v>810.41000000000031</v>
      </c>
      <c r="S36" s="1">
        <f t="shared" si="3"/>
        <v>136.80000000000001</v>
      </c>
      <c r="T36" s="5"/>
      <c r="U36" s="5"/>
      <c r="V36" s="1">
        <f t="shared" si="4"/>
        <v>11.561988304093568</v>
      </c>
      <c r="W36" s="1">
        <f t="shared" si="5"/>
        <v>11.561988304093568</v>
      </c>
      <c r="X36" s="1">
        <v>134</v>
      </c>
      <c r="Y36" s="1">
        <v>123.8</v>
      </c>
      <c r="Z36" s="1">
        <v>108.4</v>
      </c>
      <c r="AA36" s="1">
        <v>141.80000000000001</v>
      </c>
      <c r="AB36" s="1">
        <v>155.80000000000001</v>
      </c>
      <c r="AC36" s="1">
        <v>127.8</v>
      </c>
      <c r="AD36" s="1">
        <v>123</v>
      </c>
      <c r="AE36" s="1">
        <v>109.2</v>
      </c>
      <c r="AF36" s="1">
        <v>150.6</v>
      </c>
      <c r="AG36" s="1">
        <v>138</v>
      </c>
      <c r="AH36" s="1"/>
      <c r="AI36" s="1">
        <f t="shared" si="9"/>
        <v>0</v>
      </c>
      <c r="AJ36" s="1">
        <f t="shared" si="6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74</v>
      </c>
      <c r="B37" s="1" t="s">
        <v>43</v>
      </c>
      <c r="C37" s="1">
        <v>48</v>
      </c>
      <c r="D37" s="1">
        <v>200</v>
      </c>
      <c r="E37" s="1">
        <v>136</v>
      </c>
      <c r="F37" s="1">
        <v>105</v>
      </c>
      <c r="G37" s="7">
        <v>0.4</v>
      </c>
      <c r="H37" s="1">
        <v>40</v>
      </c>
      <c r="I37" s="1" t="s">
        <v>38</v>
      </c>
      <c r="J37" s="1"/>
      <c r="K37" s="1">
        <v>157</v>
      </c>
      <c r="L37" s="1">
        <f t="shared" si="2"/>
        <v>-21</v>
      </c>
      <c r="M37" s="1"/>
      <c r="N37" s="1"/>
      <c r="O37" s="1">
        <v>0</v>
      </c>
      <c r="P37" s="1"/>
      <c r="Q37" s="1"/>
      <c r="R37" s="1">
        <v>168</v>
      </c>
      <c r="S37" s="1">
        <f t="shared" si="3"/>
        <v>27.2</v>
      </c>
      <c r="T37" s="5">
        <f t="shared" si="10"/>
        <v>26.199999999999989</v>
      </c>
      <c r="U37" s="5"/>
      <c r="V37" s="1">
        <f t="shared" si="4"/>
        <v>11</v>
      </c>
      <c r="W37" s="1">
        <f t="shared" si="5"/>
        <v>10.036764705882353</v>
      </c>
      <c r="X37" s="1">
        <v>26</v>
      </c>
      <c r="Y37" s="1">
        <v>11</v>
      </c>
      <c r="Z37" s="1">
        <v>9</v>
      </c>
      <c r="AA37" s="1">
        <v>29.8</v>
      </c>
      <c r="AB37" s="1">
        <v>28.6</v>
      </c>
      <c r="AC37" s="1">
        <v>21.4</v>
      </c>
      <c r="AD37" s="1">
        <v>16.8</v>
      </c>
      <c r="AE37" s="1">
        <v>-0.2</v>
      </c>
      <c r="AF37" s="1">
        <v>8</v>
      </c>
      <c r="AG37" s="1">
        <v>23</v>
      </c>
      <c r="AH37" s="1"/>
      <c r="AI37" s="1">
        <f t="shared" si="9"/>
        <v>10.479999999999997</v>
      </c>
      <c r="AJ37" s="1">
        <f t="shared" si="6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75</v>
      </c>
      <c r="B38" s="1" t="s">
        <v>37</v>
      </c>
      <c r="C38" s="1">
        <v>4.33</v>
      </c>
      <c r="D38" s="1">
        <v>86.498000000000005</v>
      </c>
      <c r="E38" s="1">
        <v>22.344999999999999</v>
      </c>
      <c r="F38" s="1">
        <v>66.561000000000007</v>
      </c>
      <c r="G38" s="7">
        <v>1</v>
      </c>
      <c r="H38" s="1">
        <v>45</v>
      </c>
      <c r="I38" s="1" t="s">
        <v>38</v>
      </c>
      <c r="J38" s="1"/>
      <c r="K38" s="1">
        <v>31</v>
      </c>
      <c r="L38" s="1">
        <f t="shared" ref="L38:L69" si="11">E38-K38</f>
        <v>-8.6550000000000011</v>
      </c>
      <c r="M38" s="1"/>
      <c r="N38" s="1"/>
      <c r="O38" s="1">
        <v>0</v>
      </c>
      <c r="P38" s="1"/>
      <c r="Q38" s="1"/>
      <c r="R38" s="1">
        <v>0</v>
      </c>
      <c r="S38" s="1">
        <f t="shared" si="3"/>
        <v>4.4689999999999994</v>
      </c>
      <c r="T38" s="5"/>
      <c r="U38" s="5"/>
      <c r="V38" s="1">
        <f t="shared" si="4"/>
        <v>14.893936003580222</v>
      </c>
      <c r="W38" s="1">
        <f t="shared" si="5"/>
        <v>14.893936003580222</v>
      </c>
      <c r="X38" s="1">
        <v>1.9303999999999999</v>
      </c>
      <c r="Y38" s="1">
        <v>2.2482000000000002</v>
      </c>
      <c r="Z38" s="1">
        <v>5.7770000000000001</v>
      </c>
      <c r="AA38" s="1">
        <v>6.0679999999999996</v>
      </c>
      <c r="AB38" s="1">
        <v>3.7372000000000001</v>
      </c>
      <c r="AC38" s="1">
        <v>2.1223999999999998</v>
      </c>
      <c r="AD38" s="1">
        <v>1.2802</v>
      </c>
      <c r="AE38" s="1">
        <v>5.2165999999999997</v>
      </c>
      <c r="AF38" s="1">
        <v>5.4985999999999997</v>
      </c>
      <c r="AG38" s="1">
        <v>1.4361999999999999</v>
      </c>
      <c r="AH38" s="1"/>
      <c r="AI38" s="1">
        <f t="shared" si="9"/>
        <v>0</v>
      </c>
      <c r="AJ38" s="1">
        <f t="shared" si="6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76</v>
      </c>
      <c r="B39" s="1" t="s">
        <v>43</v>
      </c>
      <c r="C39" s="1">
        <v>110</v>
      </c>
      <c r="D39" s="1">
        <v>79</v>
      </c>
      <c r="E39" s="1">
        <v>97</v>
      </c>
      <c r="F39" s="1">
        <v>92</v>
      </c>
      <c r="G39" s="7">
        <v>0.1</v>
      </c>
      <c r="H39" s="1">
        <v>731</v>
      </c>
      <c r="I39" s="1" t="s">
        <v>38</v>
      </c>
      <c r="J39" s="1"/>
      <c r="K39" s="1">
        <v>97</v>
      </c>
      <c r="L39" s="1">
        <f t="shared" si="11"/>
        <v>0</v>
      </c>
      <c r="M39" s="1"/>
      <c r="N39" s="1"/>
      <c r="O39" s="1">
        <v>123.4</v>
      </c>
      <c r="P39" s="1"/>
      <c r="Q39" s="1"/>
      <c r="R39" s="1">
        <v>8.3999999999999488</v>
      </c>
      <c r="S39" s="1">
        <f t="shared" si="3"/>
        <v>19.399999999999999</v>
      </c>
      <c r="T39" s="5"/>
      <c r="U39" s="5"/>
      <c r="V39" s="1">
        <f t="shared" si="4"/>
        <v>11.536082474226802</v>
      </c>
      <c r="W39" s="1">
        <f t="shared" si="5"/>
        <v>11.536082474226802</v>
      </c>
      <c r="X39" s="1">
        <v>23.4</v>
      </c>
      <c r="Y39" s="1">
        <v>27.4</v>
      </c>
      <c r="Z39" s="1">
        <v>21.2</v>
      </c>
      <c r="AA39" s="1">
        <v>16</v>
      </c>
      <c r="AB39" s="1">
        <v>12.8</v>
      </c>
      <c r="AC39" s="1">
        <v>11.6</v>
      </c>
      <c r="AD39" s="1">
        <v>6.8</v>
      </c>
      <c r="AE39" s="1">
        <v>6.8</v>
      </c>
      <c r="AF39" s="1">
        <v>12</v>
      </c>
      <c r="AG39" s="1">
        <v>9.1999999999999993</v>
      </c>
      <c r="AH39" s="1"/>
      <c r="AI39" s="1">
        <f t="shared" si="9"/>
        <v>0</v>
      </c>
      <c r="AJ39" s="1">
        <f t="shared" si="6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77</v>
      </c>
      <c r="B40" s="1" t="s">
        <v>43</v>
      </c>
      <c r="C40" s="1">
        <v>178</v>
      </c>
      <c r="D40" s="1">
        <v>58</v>
      </c>
      <c r="E40" s="1">
        <v>142</v>
      </c>
      <c r="F40" s="1">
        <v>91</v>
      </c>
      <c r="G40" s="7">
        <v>0.35</v>
      </c>
      <c r="H40" s="1">
        <v>40</v>
      </c>
      <c r="I40" s="1" t="s">
        <v>38</v>
      </c>
      <c r="J40" s="1"/>
      <c r="K40" s="1">
        <v>140</v>
      </c>
      <c r="L40" s="1">
        <f t="shared" si="11"/>
        <v>2</v>
      </c>
      <c r="M40" s="1"/>
      <c r="N40" s="1"/>
      <c r="O40" s="1">
        <v>0</v>
      </c>
      <c r="P40" s="1"/>
      <c r="Q40" s="1"/>
      <c r="R40" s="1">
        <v>247</v>
      </c>
      <c r="S40" s="1">
        <f t="shared" si="3"/>
        <v>28.4</v>
      </c>
      <c r="T40" s="5"/>
      <c r="U40" s="5"/>
      <c r="V40" s="1">
        <f t="shared" si="4"/>
        <v>11.901408450704226</v>
      </c>
      <c r="W40" s="1">
        <f t="shared" si="5"/>
        <v>11.901408450704226</v>
      </c>
      <c r="X40" s="1">
        <v>33</v>
      </c>
      <c r="Y40" s="1">
        <v>19.600000000000001</v>
      </c>
      <c r="Z40" s="1">
        <v>-0.4</v>
      </c>
      <c r="AA40" s="1">
        <v>12.2</v>
      </c>
      <c r="AB40" s="1">
        <v>26.4</v>
      </c>
      <c r="AC40" s="1">
        <v>27.4</v>
      </c>
      <c r="AD40" s="1">
        <v>18</v>
      </c>
      <c r="AE40" s="1">
        <v>8</v>
      </c>
      <c r="AF40" s="1">
        <v>5</v>
      </c>
      <c r="AG40" s="1">
        <v>13.2</v>
      </c>
      <c r="AH40" s="1"/>
      <c r="AI40" s="1">
        <f t="shared" si="9"/>
        <v>0</v>
      </c>
      <c r="AJ40" s="1">
        <f t="shared" si="6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78</v>
      </c>
      <c r="B41" s="1" t="s">
        <v>37</v>
      </c>
      <c r="C41" s="1"/>
      <c r="D41" s="1">
        <v>122.724</v>
      </c>
      <c r="E41" s="1">
        <v>35.659999999999997</v>
      </c>
      <c r="F41" s="1">
        <v>86.364000000000004</v>
      </c>
      <c r="G41" s="7">
        <v>1</v>
      </c>
      <c r="H41" s="1">
        <v>40</v>
      </c>
      <c r="I41" s="1" t="s">
        <v>38</v>
      </c>
      <c r="J41" s="1"/>
      <c r="K41" s="1">
        <v>39</v>
      </c>
      <c r="L41" s="1">
        <f t="shared" si="11"/>
        <v>-3.3400000000000034</v>
      </c>
      <c r="M41" s="1"/>
      <c r="N41" s="1"/>
      <c r="O41" s="1">
        <v>0</v>
      </c>
      <c r="P41" s="1"/>
      <c r="Q41" s="1"/>
      <c r="R41" s="1">
        <v>0</v>
      </c>
      <c r="S41" s="1">
        <f t="shared" si="3"/>
        <v>7.1319999999999997</v>
      </c>
      <c r="T41" s="5"/>
      <c r="U41" s="5"/>
      <c r="V41" s="1">
        <f t="shared" si="4"/>
        <v>12.109366236679755</v>
      </c>
      <c r="W41" s="1">
        <f t="shared" si="5"/>
        <v>12.109366236679755</v>
      </c>
      <c r="X41" s="1">
        <v>-0.14000000000000001</v>
      </c>
      <c r="Y41" s="1">
        <v>1.7484</v>
      </c>
      <c r="Z41" s="1">
        <v>8.5668000000000006</v>
      </c>
      <c r="AA41" s="1">
        <v>10.9542</v>
      </c>
      <c r="AB41" s="1">
        <v>3.12</v>
      </c>
      <c r="AC41" s="1">
        <v>-2.3201999999999998</v>
      </c>
      <c r="AD41" s="1">
        <v>4.6399999999999997</v>
      </c>
      <c r="AE41" s="1">
        <v>12.0344</v>
      </c>
      <c r="AF41" s="1">
        <v>8.6964000000000006</v>
      </c>
      <c r="AG41" s="1">
        <v>-0.28560000000000002</v>
      </c>
      <c r="AH41" s="1"/>
      <c r="AI41" s="1">
        <f t="shared" si="9"/>
        <v>0</v>
      </c>
      <c r="AJ41" s="1">
        <f t="shared" si="6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9" t="s">
        <v>79</v>
      </c>
      <c r="B42" s="9" t="s">
        <v>43</v>
      </c>
      <c r="C42" s="9">
        <v>31</v>
      </c>
      <c r="D42" s="9">
        <v>57</v>
      </c>
      <c r="E42" s="9">
        <v>35</v>
      </c>
      <c r="F42" s="9">
        <v>53</v>
      </c>
      <c r="G42" s="10">
        <v>0</v>
      </c>
      <c r="H42" s="9">
        <v>50</v>
      </c>
      <c r="I42" s="9" t="s">
        <v>80</v>
      </c>
      <c r="J42" s="9"/>
      <c r="K42" s="9">
        <v>35</v>
      </c>
      <c r="L42" s="9">
        <f t="shared" si="11"/>
        <v>0</v>
      </c>
      <c r="M42" s="9"/>
      <c r="N42" s="9"/>
      <c r="O42" s="9">
        <v>0</v>
      </c>
      <c r="P42" s="9"/>
      <c r="Q42" s="9"/>
      <c r="R42" s="9">
        <v>0</v>
      </c>
      <c r="S42" s="9">
        <f t="shared" si="3"/>
        <v>7</v>
      </c>
      <c r="T42" s="5">
        <f t="shared" si="10"/>
        <v>24</v>
      </c>
      <c r="U42" s="11"/>
      <c r="V42" s="9">
        <f t="shared" si="4"/>
        <v>11</v>
      </c>
      <c r="W42" s="9">
        <f t="shared" si="5"/>
        <v>7.5714285714285712</v>
      </c>
      <c r="X42" s="9">
        <v>4.5999999999999996</v>
      </c>
      <c r="Y42" s="9">
        <v>4.5999999999999996</v>
      </c>
      <c r="Z42" s="9">
        <v>6.6</v>
      </c>
      <c r="AA42" s="9">
        <v>8.1999999999999993</v>
      </c>
      <c r="AB42" s="9">
        <v>9.6</v>
      </c>
      <c r="AC42" s="9">
        <v>7.4</v>
      </c>
      <c r="AD42" s="9">
        <v>10</v>
      </c>
      <c r="AE42" s="9">
        <v>9.8000000000000007</v>
      </c>
      <c r="AF42" s="9">
        <v>11.4</v>
      </c>
      <c r="AG42" s="9">
        <v>7.8</v>
      </c>
      <c r="AH42" s="9"/>
      <c r="AI42" s="9"/>
      <c r="AJ42" s="1">
        <f t="shared" si="6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81</v>
      </c>
      <c r="B43" s="1" t="s">
        <v>43</v>
      </c>
      <c r="C43" s="1">
        <v>65</v>
      </c>
      <c r="D43" s="1">
        <v>9</v>
      </c>
      <c r="E43" s="1">
        <v>56</v>
      </c>
      <c r="F43" s="1">
        <v>1</v>
      </c>
      <c r="G43" s="7">
        <v>0.4</v>
      </c>
      <c r="H43" s="1">
        <v>40</v>
      </c>
      <c r="I43" s="1" t="s">
        <v>38</v>
      </c>
      <c r="J43" s="1"/>
      <c r="K43" s="1">
        <v>269</v>
      </c>
      <c r="L43" s="1">
        <f t="shared" si="11"/>
        <v>-213</v>
      </c>
      <c r="M43" s="1"/>
      <c r="N43" s="1"/>
      <c r="O43" s="1">
        <v>0</v>
      </c>
      <c r="P43" s="1"/>
      <c r="Q43" s="1"/>
      <c r="R43" s="1">
        <v>0</v>
      </c>
      <c r="S43" s="1">
        <f t="shared" si="3"/>
        <v>11.2</v>
      </c>
      <c r="T43" s="5">
        <f t="shared" si="10"/>
        <v>122.19999999999999</v>
      </c>
      <c r="U43" s="5"/>
      <c r="V43" s="1">
        <f t="shared" si="4"/>
        <v>11</v>
      </c>
      <c r="W43" s="1">
        <f t="shared" si="5"/>
        <v>8.9285714285714288E-2</v>
      </c>
      <c r="X43" s="1">
        <v>18.8</v>
      </c>
      <c r="Y43" s="1">
        <v>25.6</v>
      </c>
      <c r="Z43" s="1">
        <v>53</v>
      </c>
      <c r="AA43" s="1">
        <v>54</v>
      </c>
      <c r="AB43" s="1">
        <v>22.6</v>
      </c>
      <c r="AC43" s="1">
        <v>23.4</v>
      </c>
      <c r="AD43" s="1">
        <v>28.8</v>
      </c>
      <c r="AE43" s="1">
        <v>24</v>
      </c>
      <c r="AF43" s="1">
        <v>37.799999999999997</v>
      </c>
      <c r="AG43" s="1">
        <v>30.8</v>
      </c>
      <c r="AH43" s="1"/>
      <c r="AI43" s="1">
        <f t="shared" ref="AI43:AI68" si="12">G43*T43</f>
        <v>48.879999999999995</v>
      </c>
      <c r="AJ43" s="1">
        <f t="shared" si="6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82</v>
      </c>
      <c r="B44" s="1" t="s">
        <v>43</v>
      </c>
      <c r="C44" s="1">
        <v>26</v>
      </c>
      <c r="D44" s="1">
        <v>105</v>
      </c>
      <c r="E44" s="1">
        <v>127</v>
      </c>
      <c r="F44" s="1">
        <v>-1</v>
      </c>
      <c r="G44" s="7">
        <v>0.4</v>
      </c>
      <c r="H44" s="1">
        <v>45</v>
      </c>
      <c r="I44" s="1" t="s">
        <v>38</v>
      </c>
      <c r="J44" s="1"/>
      <c r="K44" s="1">
        <v>235</v>
      </c>
      <c r="L44" s="1">
        <f t="shared" si="11"/>
        <v>-108</v>
      </c>
      <c r="M44" s="1"/>
      <c r="N44" s="1"/>
      <c r="O44" s="1">
        <v>275.2</v>
      </c>
      <c r="P44" s="1">
        <v>-276</v>
      </c>
      <c r="Q44" s="1"/>
      <c r="R44" s="1">
        <v>400</v>
      </c>
      <c r="S44" s="1">
        <f t="shared" si="3"/>
        <v>25.4</v>
      </c>
      <c r="T44" s="5">
        <v>50</v>
      </c>
      <c r="U44" s="5"/>
      <c r="V44" s="1">
        <f t="shared" si="4"/>
        <v>17.645669291338582</v>
      </c>
      <c r="W44" s="1">
        <f t="shared" si="5"/>
        <v>15.677165354330709</v>
      </c>
      <c r="X44" s="1">
        <v>53.4</v>
      </c>
      <c r="Y44" s="1">
        <v>48.2</v>
      </c>
      <c r="Z44" s="1">
        <v>27.4</v>
      </c>
      <c r="AA44" s="1">
        <v>39.4</v>
      </c>
      <c r="AB44" s="1">
        <v>37.799999999999997</v>
      </c>
      <c r="AC44" s="1">
        <v>38.6</v>
      </c>
      <c r="AD44" s="1">
        <v>36.4</v>
      </c>
      <c r="AE44" s="1">
        <v>23.2</v>
      </c>
      <c r="AF44" s="1">
        <v>13.8</v>
      </c>
      <c r="AG44" s="1">
        <v>26.4</v>
      </c>
      <c r="AH44" s="1"/>
      <c r="AI44" s="1">
        <f t="shared" si="12"/>
        <v>20</v>
      </c>
      <c r="AJ44" s="1">
        <f t="shared" si="6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83</v>
      </c>
      <c r="B45" s="1" t="s">
        <v>37</v>
      </c>
      <c r="C45" s="1">
        <v>17.788</v>
      </c>
      <c r="D45" s="1">
        <v>204.672</v>
      </c>
      <c r="E45" s="1">
        <v>63.512</v>
      </c>
      <c r="F45" s="1">
        <v>156.041</v>
      </c>
      <c r="G45" s="7">
        <v>1</v>
      </c>
      <c r="H45" s="1">
        <v>40</v>
      </c>
      <c r="I45" s="1" t="s">
        <v>38</v>
      </c>
      <c r="J45" s="1"/>
      <c r="K45" s="1">
        <v>128</v>
      </c>
      <c r="L45" s="1">
        <f t="shared" si="11"/>
        <v>-64.488</v>
      </c>
      <c r="M45" s="1"/>
      <c r="N45" s="1"/>
      <c r="O45" s="1">
        <v>57.320999999999998</v>
      </c>
      <c r="P45" s="1"/>
      <c r="Q45" s="1"/>
      <c r="R45" s="1">
        <v>0</v>
      </c>
      <c r="S45" s="1">
        <f t="shared" si="3"/>
        <v>12.702400000000001</v>
      </c>
      <c r="T45" s="5"/>
      <c r="U45" s="5"/>
      <c r="V45" s="1">
        <f t="shared" si="4"/>
        <v>16.796983247260357</v>
      </c>
      <c r="W45" s="1">
        <f t="shared" si="5"/>
        <v>16.796983247260357</v>
      </c>
      <c r="X45" s="1">
        <v>19.9008</v>
      </c>
      <c r="Y45" s="1">
        <v>25.02</v>
      </c>
      <c r="Z45" s="1">
        <v>23.82</v>
      </c>
      <c r="AA45" s="1">
        <v>23.102399999999999</v>
      </c>
      <c r="AB45" s="1">
        <v>16.805800000000001</v>
      </c>
      <c r="AC45" s="1">
        <v>22.568000000000001</v>
      </c>
      <c r="AD45" s="1">
        <v>21.9788</v>
      </c>
      <c r="AE45" s="1">
        <v>8.1810000000000009</v>
      </c>
      <c r="AF45" s="1">
        <v>9.0269999999999992</v>
      </c>
      <c r="AG45" s="1">
        <v>22.357800000000001</v>
      </c>
      <c r="AH45" s="1"/>
      <c r="AI45" s="1">
        <f t="shared" si="12"/>
        <v>0</v>
      </c>
      <c r="AJ45" s="1">
        <f t="shared" si="6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84</v>
      </c>
      <c r="B46" s="1" t="s">
        <v>43</v>
      </c>
      <c r="C46" s="1">
        <v>142</v>
      </c>
      <c r="D46" s="1">
        <v>271</v>
      </c>
      <c r="E46" s="1">
        <v>263</v>
      </c>
      <c r="F46" s="1">
        <v>144</v>
      </c>
      <c r="G46" s="7">
        <v>0.35</v>
      </c>
      <c r="H46" s="1">
        <v>40</v>
      </c>
      <c r="I46" s="1" t="s">
        <v>38</v>
      </c>
      <c r="J46" s="1"/>
      <c r="K46" s="1">
        <v>264</v>
      </c>
      <c r="L46" s="1">
        <f t="shared" si="11"/>
        <v>-1</v>
      </c>
      <c r="M46" s="1"/>
      <c r="N46" s="1"/>
      <c r="O46" s="1">
        <v>103.6</v>
      </c>
      <c r="P46" s="1"/>
      <c r="Q46" s="1"/>
      <c r="R46" s="1">
        <v>525.11199999999985</v>
      </c>
      <c r="S46" s="1">
        <f t="shared" si="3"/>
        <v>52.6</v>
      </c>
      <c r="T46" s="5"/>
      <c r="U46" s="5">
        <v>200</v>
      </c>
      <c r="V46" s="1">
        <f t="shared" si="4"/>
        <v>18.492623574144485</v>
      </c>
      <c r="W46" s="1">
        <f t="shared" si="5"/>
        <v>14.690342205323191</v>
      </c>
      <c r="X46" s="1">
        <v>65.599999999999994</v>
      </c>
      <c r="Y46" s="1">
        <v>46.2</v>
      </c>
      <c r="Z46" s="1">
        <v>30.6</v>
      </c>
      <c r="AA46" s="1">
        <v>58.6</v>
      </c>
      <c r="AB46" s="1">
        <v>64.400000000000006</v>
      </c>
      <c r="AC46" s="1">
        <v>53</v>
      </c>
      <c r="AD46" s="1">
        <v>37.6</v>
      </c>
      <c r="AE46" s="1">
        <v>35.799999999999997</v>
      </c>
      <c r="AF46" s="1">
        <v>36</v>
      </c>
      <c r="AG46" s="1">
        <v>47.6</v>
      </c>
      <c r="AH46" s="1"/>
      <c r="AI46" s="1">
        <f t="shared" si="12"/>
        <v>0</v>
      </c>
      <c r="AJ46" s="1">
        <f t="shared" si="6"/>
        <v>70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85</v>
      </c>
      <c r="B47" s="1" t="s">
        <v>43</v>
      </c>
      <c r="C47" s="1"/>
      <c r="D47" s="1">
        <v>354</v>
      </c>
      <c r="E47" s="1">
        <v>179</v>
      </c>
      <c r="F47" s="1">
        <v>170</v>
      </c>
      <c r="G47" s="7">
        <v>0.4</v>
      </c>
      <c r="H47" s="1">
        <v>40</v>
      </c>
      <c r="I47" s="1" t="s">
        <v>38</v>
      </c>
      <c r="J47" s="1"/>
      <c r="K47" s="1">
        <v>421</v>
      </c>
      <c r="L47" s="1">
        <f t="shared" si="11"/>
        <v>-242</v>
      </c>
      <c r="M47" s="1"/>
      <c r="N47" s="1"/>
      <c r="O47" s="1">
        <v>0</v>
      </c>
      <c r="P47" s="1"/>
      <c r="Q47" s="1"/>
      <c r="R47" s="1">
        <v>200</v>
      </c>
      <c r="S47" s="1">
        <f t="shared" si="3"/>
        <v>35.799999999999997</v>
      </c>
      <c r="T47" s="5"/>
      <c r="U47" s="5">
        <v>280</v>
      </c>
      <c r="V47" s="1">
        <f t="shared" si="4"/>
        <v>18.156424581005588</v>
      </c>
      <c r="W47" s="1">
        <f t="shared" si="5"/>
        <v>10.335195530726258</v>
      </c>
      <c r="X47" s="1">
        <v>5.6</v>
      </c>
      <c r="Y47" s="1">
        <v>1</v>
      </c>
      <c r="Z47" s="1">
        <v>56</v>
      </c>
      <c r="AA47" s="1">
        <v>90.8</v>
      </c>
      <c r="AB47" s="1">
        <v>85.6</v>
      </c>
      <c r="AC47" s="1">
        <v>77.8</v>
      </c>
      <c r="AD47" s="1">
        <v>66.702799999999996</v>
      </c>
      <c r="AE47" s="1">
        <v>56.702800000000003</v>
      </c>
      <c r="AF47" s="1">
        <v>71</v>
      </c>
      <c r="AG47" s="1">
        <v>69.599999999999994</v>
      </c>
      <c r="AH47" s="1"/>
      <c r="AI47" s="1">
        <f t="shared" si="12"/>
        <v>0</v>
      </c>
      <c r="AJ47" s="1">
        <f t="shared" si="6"/>
        <v>112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86</v>
      </c>
      <c r="B48" s="1" t="s">
        <v>37</v>
      </c>
      <c r="C48" s="1">
        <v>2.73</v>
      </c>
      <c r="D48" s="1">
        <v>227.78200000000001</v>
      </c>
      <c r="E48" s="1">
        <v>70.909000000000006</v>
      </c>
      <c r="F48" s="1">
        <v>156.261</v>
      </c>
      <c r="G48" s="7">
        <v>1</v>
      </c>
      <c r="H48" s="1">
        <v>50</v>
      </c>
      <c r="I48" s="1" t="s">
        <v>38</v>
      </c>
      <c r="J48" s="1"/>
      <c r="K48" s="1">
        <v>99</v>
      </c>
      <c r="L48" s="1">
        <f t="shared" si="11"/>
        <v>-28.090999999999994</v>
      </c>
      <c r="M48" s="1"/>
      <c r="N48" s="1"/>
      <c r="O48" s="1">
        <v>0</v>
      </c>
      <c r="P48" s="1"/>
      <c r="Q48" s="1"/>
      <c r="R48" s="1">
        <v>0</v>
      </c>
      <c r="S48" s="1">
        <f t="shared" si="3"/>
        <v>14.181800000000001</v>
      </c>
      <c r="T48" s="5"/>
      <c r="U48" s="5"/>
      <c r="V48" s="1">
        <f t="shared" si="4"/>
        <v>11.018417972330733</v>
      </c>
      <c r="W48" s="1">
        <f t="shared" si="5"/>
        <v>11.018417972330733</v>
      </c>
      <c r="X48" s="1">
        <v>13.4892</v>
      </c>
      <c r="Y48" s="1">
        <v>18.758400000000002</v>
      </c>
      <c r="Z48" s="1">
        <v>21.601400000000002</v>
      </c>
      <c r="AA48" s="1">
        <v>23.608799999999999</v>
      </c>
      <c r="AB48" s="1">
        <v>18.345400000000001</v>
      </c>
      <c r="AC48" s="1">
        <v>14.846399999999999</v>
      </c>
      <c r="AD48" s="1">
        <v>11.8916</v>
      </c>
      <c r="AE48" s="1">
        <v>9.4711999999999996</v>
      </c>
      <c r="AF48" s="1">
        <v>16.225200000000001</v>
      </c>
      <c r="AG48" s="1">
        <v>19.845600000000001</v>
      </c>
      <c r="AH48" s="1"/>
      <c r="AI48" s="1">
        <f t="shared" si="12"/>
        <v>0</v>
      </c>
      <c r="AJ48" s="1">
        <f t="shared" si="6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87</v>
      </c>
      <c r="B49" s="1" t="s">
        <v>37</v>
      </c>
      <c r="C49" s="1">
        <v>505.93900000000002</v>
      </c>
      <c r="D49" s="1">
        <v>4.1150000000000002</v>
      </c>
      <c r="E49" s="1">
        <v>150.34299999999999</v>
      </c>
      <c r="F49" s="1">
        <v>347.892</v>
      </c>
      <c r="G49" s="7">
        <v>1</v>
      </c>
      <c r="H49" s="1">
        <v>50</v>
      </c>
      <c r="I49" s="1" t="s">
        <v>38</v>
      </c>
      <c r="J49" s="1"/>
      <c r="K49" s="1">
        <v>150.6</v>
      </c>
      <c r="L49" s="1">
        <f t="shared" si="11"/>
        <v>-0.257000000000005</v>
      </c>
      <c r="M49" s="1"/>
      <c r="N49" s="1"/>
      <c r="O49" s="1">
        <v>0</v>
      </c>
      <c r="P49" s="1"/>
      <c r="Q49" s="1"/>
      <c r="R49" s="1">
        <v>0</v>
      </c>
      <c r="S49" s="1">
        <f t="shared" si="3"/>
        <v>30.068599999999996</v>
      </c>
      <c r="T49" s="5"/>
      <c r="U49" s="5"/>
      <c r="V49" s="1">
        <f t="shared" si="4"/>
        <v>11.569943396100918</v>
      </c>
      <c r="W49" s="1">
        <f t="shared" si="5"/>
        <v>11.569943396100918</v>
      </c>
      <c r="X49" s="1">
        <v>29.352599999999999</v>
      </c>
      <c r="Y49" s="1">
        <v>27.397400000000001</v>
      </c>
      <c r="Z49" s="1">
        <v>30.834</v>
      </c>
      <c r="AA49" s="1">
        <v>34.377200000000002</v>
      </c>
      <c r="AB49" s="1">
        <v>30.298400000000001</v>
      </c>
      <c r="AC49" s="1">
        <v>23.753599999999999</v>
      </c>
      <c r="AD49" s="1">
        <v>27.530799999999999</v>
      </c>
      <c r="AE49" s="1">
        <v>25.306999999999999</v>
      </c>
      <c r="AF49" s="1">
        <v>31.5168</v>
      </c>
      <c r="AG49" s="1">
        <v>27.968</v>
      </c>
      <c r="AH49" s="1"/>
      <c r="AI49" s="1">
        <f t="shared" si="12"/>
        <v>0</v>
      </c>
      <c r="AJ49" s="1">
        <f t="shared" si="6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88</v>
      </c>
      <c r="B50" s="1" t="s">
        <v>37</v>
      </c>
      <c r="C50" s="1">
        <v>31.861999999999998</v>
      </c>
      <c r="D50" s="1">
        <v>141.67599999999999</v>
      </c>
      <c r="E50" s="1">
        <v>176.23099999999999</v>
      </c>
      <c r="F50" s="1">
        <v>-1.575</v>
      </c>
      <c r="G50" s="7">
        <v>1</v>
      </c>
      <c r="H50" s="1">
        <v>45</v>
      </c>
      <c r="I50" s="1" t="s">
        <v>38</v>
      </c>
      <c r="J50" s="1"/>
      <c r="K50" s="1">
        <v>166.3</v>
      </c>
      <c r="L50" s="1">
        <f t="shared" si="11"/>
        <v>9.9309999999999832</v>
      </c>
      <c r="M50" s="1"/>
      <c r="N50" s="1"/>
      <c r="O50" s="1">
        <v>208.71799999999999</v>
      </c>
      <c r="P50" s="1">
        <v>-216</v>
      </c>
      <c r="Q50" s="1"/>
      <c r="R50" s="1">
        <v>250</v>
      </c>
      <c r="S50" s="1">
        <f t="shared" si="3"/>
        <v>35.246200000000002</v>
      </c>
      <c r="T50" s="5">
        <f t="shared" si="10"/>
        <v>146.56520000000003</v>
      </c>
      <c r="U50" s="5"/>
      <c r="V50" s="1">
        <f t="shared" si="4"/>
        <v>11</v>
      </c>
      <c r="W50" s="1">
        <f t="shared" si="5"/>
        <v>6.8416737123434581</v>
      </c>
      <c r="X50" s="1">
        <v>41.248800000000003</v>
      </c>
      <c r="Y50" s="1">
        <v>33.955399999999997</v>
      </c>
      <c r="Z50" s="1">
        <v>1.6262000000000001</v>
      </c>
      <c r="AA50" s="1">
        <v>13.767799999999999</v>
      </c>
      <c r="AB50" s="1">
        <v>26.409400000000002</v>
      </c>
      <c r="AC50" s="1">
        <v>23.374400000000001</v>
      </c>
      <c r="AD50" s="1">
        <v>24.1386</v>
      </c>
      <c r="AE50" s="1">
        <v>22.309200000000001</v>
      </c>
      <c r="AF50" s="1">
        <v>27.3674</v>
      </c>
      <c r="AG50" s="1">
        <v>27.667200000000001</v>
      </c>
      <c r="AH50" s="1"/>
      <c r="AI50" s="1">
        <f t="shared" si="12"/>
        <v>146.56520000000003</v>
      </c>
      <c r="AJ50" s="1">
        <f t="shared" si="6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89</v>
      </c>
      <c r="B51" s="1" t="s">
        <v>43</v>
      </c>
      <c r="C51" s="1">
        <v>19</v>
      </c>
      <c r="D51" s="1">
        <v>456</v>
      </c>
      <c r="E51" s="1">
        <v>138</v>
      </c>
      <c r="F51" s="1">
        <v>332</v>
      </c>
      <c r="G51" s="7">
        <v>0.45</v>
      </c>
      <c r="H51" s="1">
        <v>50</v>
      </c>
      <c r="I51" s="1" t="s">
        <v>38</v>
      </c>
      <c r="J51" s="1"/>
      <c r="K51" s="1">
        <v>145</v>
      </c>
      <c r="L51" s="1">
        <f t="shared" si="11"/>
        <v>-7</v>
      </c>
      <c r="M51" s="1"/>
      <c r="N51" s="1"/>
      <c r="O51" s="1">
        <v>0</v>
      </c>
      <c r="P51" s="1"/>
      <c r="Q51" s="1"/>
      <c r="R51" s="1">
        <v>0</v>
      </c>
      <c r="S51" s="1">
        <f t="shared" si="3"/>
        <v>27.6</v>
      </c>
      <c r="T51" s="5"/>
      <c r="U51" s="5"/>
      <c r="V51" s="1">
        <f t="shared" si="4"/>
        <v>12.028985507246377</v>
      </c>
      <c r="W51" s="1">
        <f t="shared" si="5"/>
        <v>12.028985507246377</v>
      </c>
      <c r="X51" s="1">
        <v>20.8</v>
      </c>
      <c r="Y51" s="1">
        <v>35.4</v>
      </c>
      <c r="Z51" s="1">
        <v>42.4</v>
      </c>
      <c r="AA51" s="1">
        <v>34.4</v>
      </c>
      <c r="AB51" s="1">
        <v>31</v>
      </c>
      <c r="AC51" s="1">
        <v>32</v>
      </c>
      <c r="AD51" s="1">
        <v>33.200000000000003</v>
      </c>
      <c r="AE51" s="1">
        <v>23.6</v>
      </c>
      <c r="AF51" s="1">
        <v>26.4</v>
      </c>
      <c r="AG51" s="1">
        <v>28.2</v>
      </c>
      <c r="AH51" s="1"/>
      <c r="AI51" s="1">
        <f t="shared" si="12"/>
        <v>0</v>
      </c>
      <c r="AJ51" s="1">
        <f t="shared" si="6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90</v>
      </c>
      <c r="B52" s="1" t="s">
        <v>43</v>
      </c>
      <c r="C52" s="1">
        <v>5</v>
      </c>
      <c r="D52" s="1">
        <v>612</v>
      </c>
      <c r="E52" s="1">
        <v>233</v>
      </c>
      <c r="F52" s="1">
        <v>329</v>
      </c>
      <c r="G52" s="7">
        <v>0.45</v>
      </c>
      <c r="H52" s="1">
        <v>50</v>
      </c>
      <c r="I52" s="1" t="s">
        <v>38</v>
      </c>
      <c r="J52" s="1"/>
      <c r="K52" s="1">
        <v>311</v>
      </c>
      <c r="L52" s="1">
        <f t="shared" si="11"/>
        <v>-78</v>
      </c>
      <c r="M52" s="1"/>
      <c r="N52" s="1"/>
      <c r="O52" s="1">
        <v>0</v>
      </c>
      <c r="P52" s="1"/>
      <c r="Q52" s="1"/>
      <c r="R52" s="1">
        <v>0</v>
      </c>
      <c r="S52" s="1">
        <f t="shared" si="3"/>
        <v>46.6</v>
      </c>
      <c r="T52" s="5">
        <f t="shared" si="10"/>
        <v>183.60000000000002</v>
      </c>
      <c r="U52" s="5"/>
      <c r="V52" s="1">
        <f t="shared" si="4"/>
        <v>11</v>
      </c>
      <c r="W52" s="1">
        <f t="shared" si="5"/>
        <v>7.0600858369098711</v>
      </c>
      <c r="X52" s="1">
        <v>38.4</v>
      </c>
      <c r="Y52" s="1">
        <v>47.2</v>
      </c>
      <c r="Z52" s="1">
        <v>63.6</v>
      </c>
      <c r="AA52" s="1">
        <v>69.599999999999994</v>
      </c>
      <c r="AB52" s="1">
        <v>55.4</v>
      </c>
      <c r="AC52" s="1">
        <v>41</v>
      </c>
      <c r="AD52" s="1">
        <v>59</v>
      </c>
      <c r="AE52" s="1">
        <v>55.2</v>
      </c>
      <c r="AF52" s="1">
        <v>53</v>
      </c>
      <c r="AG52" s="1">
        <v>54.4</v>
      </c>
      <c r="AH52" s="1"/>
      <c r="AI52" s="1">
        <f t="shared" si="12"/>
        <v>82.620000000000019</v>
      </c>
      <c r="AJ52" s="1">
        <f t="shared" si="6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91</v>
      </c>
      <c r="B53" s="1" t="s">
        <v>43</v>
      </c>
      <c r="C53" s="1">
        <v>3</v>
      </c>
      <c r="D53" s="1">
        <v>39</v>
      </c>
      <c r="E53" s="1">
        <v>26</v>
      </c>
      <c r="F53" s="1">
        <v>12</v>
      </c>
      <c r="G53" s="7">
        <v>0.4</v>
      </c>
      <c r="H53" s="1">
        <v>40</v>
      </c>
      <c r="I53" s="1" t="s">
        <v>38</v>
      </c>
      <c r="J53" s="1"/>
      <c r="K53" s="1">
        <v>28</v>
      </c>
      <c r="L53" s="1">
        <f t="shared" si="11"/>
        <v>-2</v>
      </c>
      <c r="M53" s="1"/>
      <c r="N53" s="1"/>
      <c r="O53" s="1">
        <v>30.400000000000009</v>
      </c>
      <c r="P53" s="1">
        <v>-30</v>
      </c>
      <c r="Q53" s="1"/>
      <c r="R53" s="1">
        <v>48</v>
      </c>
      <c r="S53" s="1">
        <f t="shared" si="3"/>
        <v>5.2</v>
      </c>
      <c r="T53" s="5"/>
      <c r="U53" s="5"/>
      <c r="V53" s="1">
        <f t="shared" si="4"/>
        <v>11.615384615384617</v>
      </c>
      <c r="W53" s="1">
        <f t="shared" si="5"/>
        <v>11.615384615384617</v>
      </c>
      <c r="X53" s="1">
        <v>8.4</v>
      </c>
      <c r="Y53" s="1">
        <v>6.2</v>
      </c>
      <c r="Z53" s="1">
        <v>0.6</v>
      </c>
      <c r="AA53" s="1">
        <v>1</v>
      </c>
      <c r="AB53" s="1">
        <v>7.6</v>
      </c>
      <c r="AC53" s="1">
        <v>7.8</v>
      </c>
      <c r="AD53" s="1">
        <v>0.4</v>
      </c>
      <c r="AE53" s="1">
        <v>-0.2</v>
      </c>
      <c r="AF53" s="1">
        <v>0</v>
      </c>
      <c r="AG53" s="1">
        <v>0</v>
      </c>
      <c r="AH53" s="1"/>
      <c r="AI53" s="1">
        <f t="shared" si="12"/>
        <v>0</v>
      </c>
      <c r="AJ53" s="1">
        <f t="shared" si="6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92</v>
      </c>
      <c r="B54" s="1" t="s">
        <v>43</v>
      </c>
      <c r="C54" s="1">
        <v>39</v>
      </c>
      <c r="D54" s="1">
        <v>91</v>
      </c>
      <c r="E54" s="1">
        <v>93</v>
      </c>
      <c r="F54" s="1">
        <v>26</v>
      </c>
      <c r="G54" s="7">
        <v>0.4</v>
      </c>
      <c r="H54" s="1">
        <v>40</v>
      </c>
      <c r="I54" s="1" t="s">
        <v>38</v>
      </c>
      <c r="J54" s="1"/>
      <c r="K54" s="1">
        <v>104</v>
      </c>
      <c r="L54" s="1">
        <f t="shared" si="11"/>
        <v>-11</v>
      </c>
      <c r="M54" s="1"/>
      <c r="N54" s="1"/>
      <c r="O54" s="1">
        <v>0</v>
      </c>
      <c r="P54" s="1"/>
      <c r="Q54" s="1"/>
      <c r="R54" s="1">
        <v>15.80000000000001</v>
      </c>
      <c r="S54" s="1">
        <f t="shared" si="3"/>
        <v>18.600000000000001</v>
      </c>
      <c r="T54" s="5">
        <f t="shared" si="10"/>
        <v>162.80000000000001</v>
      </c>
      <c r="U54" s="5"/>
      <c r="V54" s="1">
        <f t="shared" si="4"/>
        <v>11</v>
      </c>
      <c r="W54" s="1">
        <f t="shared" si="5"/>
        <v>2.2473118279569895</v>
      </c>
      <c r="X54" s="1">
        <v>9.4</v>
      </c>
      <c r="Y54" s="1">
        <v>6.2</v>
      </c>
      <c r="Z54" s="1">
        <v>10.199999999999999</v>
      </c>
      <c r="AA54" s="1">
        <v>12</v>
      </c>
      <c r="AB54" s="1">
        <v>12.4</v>
      </c>
      <c r="AC54" s="1">
        <v>10.8</v>
      </c>
      <c r="AD54" s="1">
        <v>1.4</v>
      </c>
      <c r="AE54" s="1">
        <v>4.5999999999999996</v>
      </c>
      <c r="AF54" s="1">
        <v>11.8</v>
      </c>
      <c r="AG54" s="1">
        <v>11</v>
      </c>
      <c r="AH54" s="1"/>
      <c r="AI54" s="1">
        <f t="shared" si="12"/>
        <v>65.12</v>
      </c>
      <c r="AJ54" s="1">
        <f t="shared" si="6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93</v>
      </c>
      <c r="B55" s="1" t="s">
        <v>37</v>
      </c>
      <c r="C55" s="1">
        <v>221.863</v>
      </c>
      <c r="D55" s="1">
        <v>4.0330000000000004</v>
      </c>
      <c r="E55" s="1">
        <v>79.977999999999994</v>
      </c>
      <c r="F55" s="1">
        <v>144.55099999999999</v>
      </c>
      <c r="G55" s="7">
        <v>1</v>
      </c>
      <c r="H55" s="1">
        <v>50</v>
      </c>
      <c r="I55" s="1" t="s">
        <v>38</v>
      </c>
      <c r="J55" s="1"/>
      <c r="K55" s="1">
        <v>79.5</v>
      </c>
      <c r="L55" s="1">
        <f t="shared" si="11"/>
        <v>0.47799999999999443</v>
      </c>
      <c r="M55" s="1"/>
      <c r="N55" s="1"/>
      <c r="O55" s="1">
        <v>0</v>
      </c>
      <c r="P55" s="1"/>
      <c r="Q55" s="1"/>
      <c r="R55" s="1">
        <v>0</v>
      </c>
      <c r="S55" s="1">
        <f t="shared" si="3"/>
        <v>15.9956</v>
      </c>
      <c r="T55" s="5">
        <f t="shared" si="10"/>
        <v>31.400599999999997</v>
      </c>
      <c r="U55" s="5"/>
      <c r="V55" s="1">
        <f t="shared" si="4"/>
        <v>11</v>
      </c>
      <c r="W55" s="1">
        <f t="shared" si="5"/>
        <v>9.0369226537297749</v>
      </c>
      <c r="X55" s="1">
        <v>14.400600000000001</v>
      </c>
      <c r="Y55" s="1">
        <v>10.9184</v>
      </c>
      <c r="Z55" s="1">
        <v>9.3290000000000006</v>
      </c>
      <c r="AA55" s="1">
        <v>14.9518</v>
      </c>
      <c r="AB55" s="1">
        <v>16.250800000000002</v>
      </c>
      <c r="AC55" s="1">
        <v>13.851000000000001</v>
      </c>
      <c r="AD55" s="1">
        <v>12.593400000000001</v>
      </c>
      <c r="AE55" s="1">
        <v>9.694799999999999</v>
      </c>
      <c r="AF55" s="1">
        <v>12.5252</v>
      </c>
      <c r="AG55" s="1">
        <v>10.475199999999999</v>
      </c>
      <c r="AH55" s="1"/>
      <c r="AI55" s="1">
        <f t="shared" si="12"/>
        <v>31.400599999999997</v>
      </c>
      <c r="AJ55" s="1">
        <f t="shared" si="6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94</v>
      </c>
      <c r="B56" s="1" t="s">
        <v>43</v>
      </c>
      <c r="C56" s="1">
        <v>244</v>
      </c>
      <c r="D56" s="1">
        <v>19</v>
      </c>
      <c r="E56" s="1">
        <v>52</v>
      </c>
      <c r="F56" s="1">
        <v>211</v>
      </c>
      <c r="G56" s="7">
        <v>0.1</v>
      </c>
      <c r="H56" s="1">
        <v>731</v>
      </c>
      <c r="I56" s="1" t="s">
        <v>38</v>
      </c>
      <c r="J56" s="1"/>
      <c r="K56" s="1">
        <v>52</v>
      </c>
      <c r="L56" s="1">
        <f t="shared" si="11"/>
        <v>0</v>
      </c>
      <c r="M56" s="1"/>
      <c r="N56" s="1"/>
      <c r="O56" s="1">
        <v>0</v>
      </c>
      <c r="P56" s="1"/>
      <c r="Q56" s="1"/>
      <c r="R56" s="1">
        <v>0</v>
      </c>
      <c r="S56" s="1">
        <f t="shared" si="3"/>
        <v>10.4</v>
      </c>
      <c r="T56" s="5"/>
      <c r="U56" s="5"/>
      <c r="V56" s="1">
        <f t="shared" si="4"/>
        <v>20.288461538461537</v>
      </c>
      <c r="W56" s="1">
        <f t="shared" si="5"/>
        <v>20.288461538461537</v>
      </c>
      <c r="X56" s="1">
        <v>7.8</v>
      </c>
      <c r="Y56" s="1">
        <v>11</v>
      </c>
      <c r="Z56" s="1">
        <v>13.6</v>
      </c>
      <c r="AA56" s="1">
        <v>13.2</v>
      </c>
      <c r="AB56" s="1">
        <v>11.6</v>
      </c>
      <c r="AC56" s="1">
        <v>10.4</v>
      </c>
      <c r="AD56" s="1">
        <v>12.4</v>
      </c>
      <c r="AE56" s="1">
        <v>11.8</v>
      </c>
      <c r="AF56" s="1">
        <v>9.6</v>
      </c>
      <c r="AG56" s="1">
        <v>10</v>
      </c>
      <c r="AH56" s="17" t="s">
        <v>60</v>
      </c>
      <c r="AI56" s="1">
        <f t="shared" si="12"/>
        <v>0</v>
      </c>
      <c r="AJ56" s="1">
        <f t="shared" si="6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95</v>
      </c>
      <c r="B57" s="1" t="s">
        <v>37</v>
      </c>
      <c r="C57" s="1">
        <v>247.023</v>
      </c>
      <c r="D57" s="1">
        <v>38.698999999999998</v>
      </c>
      <c r="E57" s="1">
        <v>143.47800000000001</v>
      </c>
      <c r="F57" s="1">
        <v>143.22200000000001</v>
      </c>
      <c r="G57" s="7">
        <v>1</v>
      </c>
      <c r="H57" s="1">
        <v>50</v>
      </c>
      <c r="I57" s="1" t="s">
        <v>38</v>
      </c>
      <c r="J57" s="1"/>
      <c r="K57" s="1">
        <v>134.69999999999999</v>
      </c>
      <c r="L57" s="1">
        <f t="shared" si="11"/>
        <v>8.77800000000002</v>
      </c>
      <c r="M57" s="1"/>
      <c r="N57" s="1"/>
      <c r="O57" s="1">
        <v>114.8202999999999</v>
      </c>
      <c r="P57" s="1"/>
      <c r="Q57" s="1"/>
      <c r="R57" s="1">
        <v>98.677000000000049</v>
      </c>
      <c r="S57" s="1">
        <f t="shared" si="3"/>
        <v>28.695600000000002</v>
      </c>
      <c r="T57" s="5"/>
      <c r="U57" s="5"/>
      <c r="V57" s="1">
        <f t="shared" si="4"/>
        <v>12.431149723302525</v>
      </c>
      <c r="W57" s="1">
        <f t="shared" si="5"/>
        <v>12.431149723302525</v>
      </c>
      <c r="X57" s="1">
        <v>35.496600000000001</v>
      </c>
      <c r="Y57" s="1">
        <v>35.494799999999998</v>
      </c>
      <c r="Z57" s="1">
        <v>30.4786</v>
      </c>
      <c r="AA57" s="1">
        <v>39.569600000000001</v>
      </c>
      <c r="AB57" s="1">
        <v>35.916200000000003</v>
      </c>
      <c r="AC57" s="1">
        <v>27.1142</v>
      </c>
      <c r="AD57" s="1">
        <v>24.8506</v>
      </c>
      <c r="AE57" s="1">
        <v>27.480799999999999</v>
      </c>
      <c r="AF57" s="1">
        <v>35.6648</v>
      </c>
      <c r="AG57" s="1">
        <v>31.4526</v>
      </c>
      <c r="AH57" s="1"/>
      <c r="AI57" s="1">
        <f t="shared" si="12"/>
        <v>0</v>
      </c>
      <c r="AJ57" s="1">
        <f t="shared" si="6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96</v>
      </c>
      <c r="B58" s="1" t="s">
        <v>37</v>
      </c>
      <c r="C58" s="1">
        <v>27.526</v>
      </c>
      <c r="D58" s="1">
        <v>67.778000000000006</v>
      </c>
      <c r="E58" s="1">
        <v>39.664000000000001</v>
      </c>
      <c r="F58" s="1">
        <v>55.64</v>
      </c>
      <c r="G58" s="7">
        <v>1</v>
      </c>
      <c r="H58" s="1">
        <v>55</v>
      </c>
      <c r="I58" s="1" t="s">
        <v>38</v>
      </c>
      <c r="J58" s="1"/>
      <c r="K58" s="1">
        <v>38.1</v>
      </c>
      <c r="L58" s="1">
        <f t="shared" si="11"/>
        <v>1.5640000000000001</v>
      </c>
      <c r="M58" s="1"/>
      <c r="N58" s="1"/>
      <c r="O58" s="1">
        <v>0</v>
      </c>
      <c r="P58" s="1"/>
      <c r="Q58" s="1"/>
      <c r="R58" s="1">
        <v>42.642399999999988</v>
      </c>
      <c r="S58" s="1">
        <f t="shared" si="3"/>
        <v>7.9328000000000003</v>
      </c>
      <c r="T58" s="5"/>
      <c r="U58" s="5"/>
      <c r="V58" s="1">
        <f t="shared" si="4"/>
        <v>12.389370713997579</v>
      </c>
      <c r="W58" s="1">
        <f t="shared" si="5"/>
        <v>12.389370713997579</v>
      </c>
      <c r="X58" s="1">
        <v>9.3141999999999996</v>
      </c>
      <c r="Y58" s="1">
        <v>6.2875999999999994</v>
      </c>
      <c r="Z58" s="1">
        <v>7.8018000000000001</v>
      </c>
      <c r="AA58" s="1">
        <v>9.2653999999999996</v>
      </c>
      <c r="AB58" s="1">
        <v>6.8365999999999998</v>
      </c>
      <c r="AC58" s="1">
        <v>8.6145999999999994</v>
      </c>
      <c r="AD58" s="1">
        <v>6.7657999999999996</v>
      </c>
      <c r="AE58" s="1">
        <v>3.2637999999999998</v>
      </c>
      <c r="AF58" s="1">
        <v>3.5434000000000001</v>
      </c>
      <c r="AG58" s="1">
        <v>4.3601999999999999</v>
      </c>
      <c r="AH58" s="1"/>
      <c r="AI58" s="1">
        <f t="shared" si="12"/>
        <v>0</v>
      </c>
      <c r="AJ58" s="1">
        <f t="shared" si="6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97</v>
      </c>
      <c r="B59" s="1" t="s">
        <v>43</v>
      </c>
      <c r="C59" s="1">
        <v>178</v>
      </c>
      <c r="D59" s="1">
        <v>4</v>
      </c>
      <c r="E59" s="1">
        <v>84</v>
      </c>
      <c r="F59" s="1">
        <v>98</v>
      </c>
      <c r="G59" s="7">
        <v>0.1</v>
      </c>
      <c r="H59" s="1">
        <v>731</v>
      </c>
      <c r="I59" s="1" t="s">
        <v>38</v>
      </c>
      <c r="J59" s="1"/>
      <c r="K59" s="1">
        <v>81</v>
      </c>
      <c r="L59" s="1">
        <f t="shared" si="11"/>
        <v>3</v>
      </c>
      <c r="M59" s="1"/>
      <c r="N59" s="1"/>
      <c r="O59" s="1">
        <v>0</v>
      </c>
      <c r="P59" s="1"/>
      <c r="Q59" s="1"/>
      <c r="R59" s="1">
        <v>0</v>
      </c>
      <c r="S59" s="1">
        <f t="shared" si="3"/>
        <v>16.8</v>
      </c>
      <c r="T59" s="5">
        <f t="shared" si="10"/>
        <v>86.800000000000011</v>
      </c>
      <c r="U59" s="5"/>
      <c r="V59" s="1">
        <f t="shared" si="4"/>
        <v>11</v>
      </c>
      <c r="W59" s="1">
        <f t="shared" si="5"/>
        <v>5.833333333333333</v>
      </c>
      <c r="X59" s="1">
        <v>10.8</v>
      </c>
      <c r="Y59" s="1">
        <v>12.8</v>
      </c>
      <c r="Z59" s="1">
        <v>10.199999999999999</v>
      </c>
      <c r="AA59" s="1">
        <v>12.6</v>
      </c>
      <c r="AB59" s="1">
        <v>14.6</v>
      </c>
      <c r="AC59" s="1">
        <v>10.4</v>
      </c>
      <c r="AD59" s="1">
        <v>2.6</v>
      </c>
      <c r="AE59" s="1">
        <v>2.2000000000000002</v>
      </c>
      <c r="AF59" s="1">
        <v>6.6</v>
      </c>
      <c r="AG59" s="1">
        <v>12</v>
      </c>
      <c r="AH59" s="1"/>
      <c r="AI59" s="1">
        <f t="shared" si="12"/>
        <v>8.6800000000000015</v>
      </c>
      <c r="AJ59" s="1">
        <f t="shared" si="6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98</v>
      </c>
      <c r="B60" s="1" t="s">
        <v>43</v>
      </c>
      <c r="C60" s="1">
        <v>-3</v>
      </c>
      <c r="D60" s="1">
        <v>22</v>
      </c>
      <c r="E60" s="1">
        <v>10</v>
      </c>
      <c r="F60" s="1">
        <v>6</v>
      </c>
      <c r="G60" s="7">
        <v>0.4</v>
      </c>
      <c r="H60" s="1">
        <v>50</v>
      </c>
      <c r="I60" s="1" t="s">
        <v>38</v>
      </c>
      <c r="J60" s="1"/>
      <c r="K60" s="1">
        <v>13</v>
      </c>
      <c r="L60" s="1">
        <f t="shared" si="11"/>
        <v>-3</v>
      </c>
      <c r="M60" s="1"/>
      <c r="N60" s="1"/>
      <c r="O60" s="1">
        <v>0</v>
      </c>
      <c r="P60" s="1"/>
      <c r="Q60" s="1"/>
      <c r="R60" s="1">
        <v>0</v>
      </c>
      <c r="S60" s="1">
        <f t="shared" si="3"/>
        <v>2</v>
      </c>
      <c r="T60" s="5">
        <f t="shared" si="10"/>
        <v>16</v>
      </c>
      <c r="U60" s="5"/>
      <c r="V60" s="1">
        <f t="shared" si="4"/>
        <v>11</v>
      </c>
      <c r="W60" s="1">
        <f t="shared" si="5"/>
        <v>3</v>
      </c>
      <c r="X60" s="1">
        <v>0.8</v>
      </c>
      <c r="Y60" s="1">
        <v>0.8</v>
      </c>
      <c r="Z60" s="1">
        <v>1.6</v>
      </c>
      <c r="AA60" s="1">
        <v>3.2</v>
      </c>
      <c r="AB60" s="1">
        <v>2.4</v>
      </c>
      <c r="AC60" s="1">
        <v>1.8</v>
      </c>
      <c r="AD60" s="1">
        <v>3.2</v>
      </c>
      <c r="AE60" s="1">
        <v>2.8</v>
      </c>
      <c r="AF60" s="1">
        <v>2.2000000000000002</v>
      </c>
      <c r="AG60" s="1">
        <v>2.2000000000000002</v>
      </c>
      <c r="AH60" s="1"/>
      <c r="AI60" s="1">
        <f t="shared" si="12"/>
        <v>6.4</v>
      </c>
      <c r="AJ60" s="1">
        <f t="shared" si="6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99</v>
      </c>
      <c r="B61" s="1" t="s">
        <v>37</v>
      </c>
      <c r="C61" s="1">
        <v>9.5220000000000002</v>
      </c>
      <c r="D61" s="1">
        <v>210.286</v>
      </c>
      <c r="E61" s="1">
        <v>89.614999999999995</v>
      </c>
      <c r="F61" s="1">
        <v>130.19300000000001</v>
      </c>
      <c r="G61" s="7">
        <v>1</v>
      </c>
      <c r="H61" s="1">
        <v>40</v>
      </c>
      <c r="I61" s="1" t="s">
        <v>38</v>
      </c>
      <c r="J61" s="1"/>
      <c r="K61" s="1">
        <v>96.6</v>
      </c>
      <c r="L61" s="1">
        <f t="shared" si="11"/>
        <v>-6.9849999999999994</v>
      </c>
      <c r="M61" s="1"/>
      <c r="N61" s="1"/>
      <c r="O61" s="1">
        <v>0</v>
      </c>
      <c r="P61" s="1"/>
      <c r="Q61" s="1"/>
      <c r="R61" s="1">
        <v>62.483800000000002</v>
      </c>
      <c r="S61" s="1">
        <f t="shared" si="3"/>
        <v>17.922999999999998</v>
      </c>
      <c r="T61" s="5">
        <f t="shared" si="10"/>
        <v>4.4761999999999773</v>
      </c>
      <c r="U61" s="5"/>
      <c r="V61" s="1">
        <f t="shared" si="4"/>
        <v>11</v>
      </c>
      <c r="W61" s="1">
        <f t="shared" si="5"/>
        <v>10.750253863750491</v>
      </c>
      <c r="X61" s="1">
        <v>17.2974</v>
      </c>
      <c r="Y61" s="1">
        <v>4.2414000000000014</v>
      </c>
      <c r="Z61" s="1">
        <v>8.469199999999999</v>
      </c>
      <c r="AA61" s="1">
        <v>20.630199999999999</v>
      </c>
      <c r="AB61" s="1">
        <v>17.4864</v>
      </c>
      <c r="AC61" s="1">
        <v>11.520799999999999</v>
      </c>
      <c r="AD61" s="1">
        <v>10.605399999999999</v>
      </c>
      <c r="AE61" s="1">
        <v>7.9319999999999986</v>
      </c>
      <c r="AF61" s="1">
        <v>11.8162</v>
      </c>
      <c r="AG61" s="1">
        <v>10.5372</v>
      </c>
      <c r="AH61" s="1"/>
      <c r="AI61" s="1">
        <f t="shared" si="12"/>
        <v>4.4761999999999773</v>
      </c>
      <c r="AJ61" s="1">
        <f t="shared" si="6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100</v>
      </c>
      <c r="B62" s="1" t="s">
        <v>37</v>
      </c>
      <c r="C62" s="1">
        <v>2.7240000000000002</v>
      </c>
      <c r="D62" s="1">
        <v>57.058999999999997</v>
      </c>
      <c r="E62" s="1">
        <v>27.222999999999999</v>
      </c>
      <c r="F62" s="1">
        <v>32.56</v>
      </c>
      <c r="G62" s="7">
        <v>1</v>
      </c>
      <c r="H62" s="1">
        <v>40</v>
      </c>
      <c r="I62" s="1" t="s">
        <v>38</v>
      </c>
      <c r="J62" s="1"/>
      <c r="K62" s="1">
        <v>35.200000000000003</v>
      </c>
      <c r="L62" s="1">
        <f t="shared" si="11"/>
        <v>-7.9770000000000039</v>
      </c>
      <c r="M62" s="1"/>
      <c r="N62" s="1"/>
      <c r="O62" s="1">
        <v>39.8459</v>
      </c>
      <c r="P62" s="1"/>
      <c r="Q62" s="1"/>
      <c r="R62" s="1">
        <v>7.124799999999988</v>
      </c>
      <c r="S62" s="1">
        <f t="shared" si="3"/>
        <v>5.4445999999999994</v>
      </c>
      <c r="T62" s="5"/>
      <c r="U62" s="5"/>
      <c r="V62" s="1">
        <f t="shared" si="4"/>
        <v>14.607262241486978</v>
      </c>
      <c r="W62" s="1">
        <f t="shared" si="5"/>
        <v>14.607262241486978</v>
      </c>
      <c r="X62" s="1">
        <v>7.3133999999999997</v>
      </c>
      <c r="Y62" s="1">
        <v>8.4963999999999995</v>
      </c>
      <c r="Z62" s="1">
        <v>5.2677999999999994</v>
      </c>
      <c r="AA62" s="1">
        <v>2.68</v>
      </c>
      <c r="AB62" s="1">
        <v>5.5876000000000001</v>
      </c>
      <c r="AC62" s="1">
        <v>5.6307999999999998</v>
      </c>
      <c r="AD62" s="1">
        <v>3.1223999999999998</v>
      </c>
      <c r="AE62" s="1">
        <v>1.8411999999999999</v>
      </c>
      <c r="AF62" s="1">
        <v>2.9407999999999999</v>
      </c>
      <c r="AG62" s="1">
        <v>1.5386</v>
      </c>
      <c r="AH62" s="1"/>
      <c r="AI62" s="1">
        <f t="shared" si="12"/>
        <v>0</v>
      </c>
      <c r="AJ62" s="1">
        <f t="shared" si="6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101</v>
      </c>
      <c r="B63" s="1" t="s">
        <v>43</v>
      </c>
      <c r="C63" s="1">
        <v>370</v>
      </c>
      <c r="D63" s="1">
        <v>754</v>
      </c>
      <c r="E63" s="1">
        <v>528</v>
      </c>
      <c r="F63" s="1">
        <v>593</v>
      </c>
      <c r="G63" s="7">
        <v>0.4</v>
      </c>
      <c r="H63" s="1">
        <v>40</v>
      </c>
      <c r="I63" s="1" t="s">
        <v>38</v>
      </c>
      <c r="J63" s="1"/>
      <c r="K63" s="1">
        <v>541</v>
      </c>
      <c r="L63" s="1">
        <f t="shared" si="11"/>
        <v>-13</v>
      </c>
      <c r="M63" s="1"/>
      <c r="N63" s="1"/>
      <c r="O63" s="1">
        <v>0</v>
      </c>
      <c r="P63" s="1"/>
      <c r="Q63" s="1"/>
      <c r="R63" s="1">
        <v>385.25199999999978</v>
      </c>
      <c r="S63" s="1">
        <f t="shared" si="3"/>
        <v>105.6</v>
      </c>
      <c r="T63" s="5">
        <f t="shared" si="10"/>
        <v>183.34800000000018</v>
      </c>
      <c r="U63" s="5"/>
      <c r="V63" s="1">
        <f t="shared" si="4"/>
        <v>11</v>
      </c>
      <c r="W63" s="1">
        <f t="shared" si="5"/>
        <v>9.2637499999999982</v>
      </c>
      <c r="X63" s="1">
        <v>92.6</v>
      </c>
      <c r="Y63" s="1">
        <v>65.8</v>
      </c>
      <c r="Z63" s="1">
        <v>9.1999999999999993</v>
      </c>
      <c r="AA63" s="1">
        <v>52.6</v>
      </c>
      <c r="AB63" s="1">
        <v>111.4</v>
      </c>
      <c r="AC63" s="1">
        <v>104.6</v>
      </c>
      <c r="AD63" s="1">
        <v>52.2</v>
      </c>
      <c r="AE63" s="1">
        <v>16</v>
      </c>
      <c r="AF63" s="1">
        <v>33.6</v>
      </c>
      <c r="AG63" s="1">
        <v>61.2</v>
      </c>
      <c r="AH63" s="1"/>
      <c r="AI63" s="1">
        <f t="shared" si="12"/>
        <v>73.339200000000076</v>
      </c>
      <c r="AJ63" s="1">
        <f t="shared" si="6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102</v>
      </c>
      <c r="B64" s="1" t="s">
        <v>43</v>
      </c>
      <c r="C64" s="1">
        <v>223</v>
      </c>
      <c r="D64" s="1">
        <v>166</v>
      </c>
      <c r="E64" s="1">
        <v>360</v>
      </c>
      <c r="F64" s="1">
        <v>13</v>
      </c>
      <c r="G64" s="7">
        <v>0.4</v>
      </c>
      <c r="H64" s="1">
        <v>40</v>
      </c>
      <c r="I64" s="1" t="s">
        <v>38</v>
      </c>
      <c r="J64" s="1"/>
      <c r="K64" s="1">
        <v>383</v>
      </c>
      <c r="L64" s="1">
        <f t="shared" si="11"/>
        <v>-23</v>
      </c>
      <c r="M64" s="1"/>
      <c r="N64" s="1"/>
      <c r="O64" s="1">
        <v>104.3</v>
      </c>
      <c r="P64" s="1">
        <v>-108</v>
      </c>
      <c r="Q64" s="1"/>
      <c r="R64" s="1">
        <v>491.20000000000022</v>
      </c>
      <c r="S64" s="1">
        <f t="shared" si="3"/>
        <v>72</v>
      </c>
      <c r="T64" s="5"/>
      <c r="U64" s="5">
        <v>450</v>
      </c>
      <c r="V64" s="1">
        <f t="shared" si="4"/>
        <v>13.201388888888893</v>
      </c>
      <c r="W64" s="1">
        <f t="shared" si="5"/>
        <v>6.9513888888888919</v>
      </c>
      <c r="X64" s="1">
        <v>66.2</v>
      </c>
      <c r="Y64" s="1">
        <v>60.8</v>
      </c>
      <c r="Z64" s="1">
        <v>62.2</v>
      </c>
      <c r="AA64" s="1">
        <v>77.400000000000006</v>
      </c>
      <c r="AB64" s="1">
        <v>76.8</v>
      </c>
      <c r="AC64" s="1">
        <v>71.2</v>
      </c>
      <c r="AD64" s="1">
        <v>36.200000000000003</v>
      </c>
      <c r="AE64" s="1">
        <v>29</v>
      </c>
      <c r="AF64" s="1">
        <v>73.2</v>
      </c>
      <c r="AG64" s="1">
        <v>78.2</v>
      </c>
      <c r="AH64" s="1"/>
      <c r="AI64" s="1">
        <f t="shared" si="12"/>
        <v>0</v>
      </c>
      <c r="AJ64" s="1">
        <f t="shared" si="6"/>
        <v>180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103</v>
      </c>
      <c r="B65" s="1" t="s">
        <v>37</v>
      </c>
      <c r="C65" s="1">
        <v>16.515999999999998</v>
      </c>
      <c r="D65" s="1">
        <v>374.36</v>
      </c>
      <c r="E65" s="1">
        <v>146.72800000000001</v>
      </c>
      <c r="F65" s="1">
        <v>244.19800000000001</v>
      </c>
      <c r="G65" s="7">
        <v>1</v>
      </c>
      <c r="H65" s="1">
        <v>40</v>
      </c>
      <c r="I65" s="1" t="s">
        <v>38</v>
      </c>
      <c r="J65" s="1"/>
      <c r="K65" s="1">
        <v>155.30000000000001</v>
      </c>
      <c r="L65" s="1">
        <f t="shared" si="11"/>
        <v>-8.5720000000000027</v>
      </c>
      <c r="M65" s="1"/>
      <c r="N65" s="1"/>
      <c r="O65" s="1">
        <v>0</v>
      </c>
      <c r="P65" s="1"/>
      <c r="Q65" s="1"/>
      <c r="R65" s="1">
        <v>0</v>
      </c>
      <c r="S65" s="1">
        <f t="shared" si="3"/>
        <v>29.345600000000001</v>
      </c>
      <c r="T65" s="5">
        <f t="shared" si="10"/>
        <v>78.6036</v>
      </c>
      <c r="U65" s="5"/>
      <c r="V65" s="1">
        <f t="shared" si="4"/>
        <v>11</v>
      </c>
      <c r="W65" s="1">
        <f t="shared" si="5"/>
        <v>8.3214519382803562</v>
      </c>
      <c r="X65" s="1">
        <v>27.9176</v>
      </c>
      <c r="Y65" s="1">
        <v>32.401799999999987</v>
      </c>
      <c r="Z65" s="1">
        <v>36.8142</v>
      </c>
      <c r="AA65" s="1">
        <v>33.589199999999998</v>
      </c>
      <c r="AB65" s="1">
        <v>33.845399999999998</v>
      </c>
      <c r="AC65" s="1">
        <v>30.9146</v>
      </c>
      <c r="AD65" s="1">
        <v>30.956199999999999</v>
      </c>
      <c r="AE65" s="1">
        <v>29.2182</v>
      </c>
      <c r="AF65" s="1">
        <v>22.8276</v>
      </c>
      <c r="AG65" s="1">
        <v>21.452000000000002</v>
      </c>
      <c r="AH65" s="1"/>
      <c r="AI65" s="1">
        <f t="shared" si="12"/>
        <v>78.6036</v>
      </c>
      <c r="AJ65" s="1">
        <f t="shared" si="6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104</v>
      </c>
      <c r="B66" s="1" t="s">
        <v>37</v>
      </c>
      <c r="C66" s="1">
        <v>104.133</v>
      </c>
      <c r="D66" s="1">
        <v>149.137</v>
      </c>
      <c r="E66" s="1">
        <v>153.15199999999999</v>
      </c>
      <c r="F66" s="1">
        <v>44.697000000000003</v>
      </c>
      <c r="G66" s="7">
        <v>1</v>
      </c>
      <c r="H66" s="1">
        <v>40</v>
      </c>
      <c r="I66" s="1" t="s">
        <v>38</v>
      </c>
      <c r="J66" s="1"/>
      <c r="K66" s="1">
        <v>169.9</v>
      </c>
      <c r="L66" s="1">
        <f t="shared" si="11"/>
        <v>-16.748000000000019</v>
      </c>
      <c r="M66" s="1"/>
      <c r="N66" s="1"/>
      <c r="O66" s="1">
        <v>75.090400000000088</v>
      </c>
      <c r="P66" s="1"/>
      <c r="Q66" s="1"/>
      <c r="R66" s="1">
        <v>229.19019999999981</v>
      </c>
      <c r="S66" s="1">
        <f t="shared" si="3"/>
        <v>30.630399999999998</v>
      </c>
      <c r="T66" s="5"/>
      <c r="U66" s="5"/>
      <c r="V66" s="1">
        <f t="shared" si="4"/>
        <v>11.393178019222729</v>
      </c>
      <c r="W66" s="1">
        <f t="shared" si="5"/>
        <v>11.393178019222729</v>
      </c>
      <c r="X66" s="1">
        <v>35.2286</v>
      </c>
      <c r="Y66" s="1">
        <v>27.577400000000001</v>
      </c>
      <c r="Z66" s="1">
        <v>23.778400000000001</v>
      </c>
      <c r="AA66" s="1">
        <v>29.741199999999999</v>
      </c>
      <c r="AB66" s="1">
        <v>31.115600000000001</v>
      </c>
      <c r="AC66" s="1">
        <v>35.332799999999999</v>
      </c>
      <c r="AD66" s="1">
        <v>22.806999999999999</v>
      </c>
      <c r="AE66" s="1">
        <v>21.435199999999998</v>
      </c>
      <c r="AF66" s="1">
        <v>32.426400000000001</v>
      </c>
      <c r="AG66" s="1">
        <v>32.516800000000003</v>
      </c>
      <c r="AH66" s="1"/>
      <c r="AI66" s="1">
        <f t="shared" si="12"/>
        <v>0</v>
      </c>
      <c r="AJ66" s="1">
        <f t="shared" si="6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105</v>
      </c>
      <c r="B67" s="1" t="s">
        <v>37</v>
      </c>
      <c r="C67" s="1">
        <v>195.751</v>
      </c>
      <c r="D67" s="1">
        <v>637.13400000000001</v>
      </c>
      <c r="E67" s="1">
        <v>359.36500000000001</v>
      </c>
      <c r="F67" s="1">
        <v>420.589</v>
      </c>
      <c r="G67" s="7">
        <v>1</v>
      </c>
      <c r="H67" s="1">
        <v>40</v>
      </c>
      <c r="I67" s="1" t="s">
        <v>38</v>
      </c>
      <c r="J67" s="1"/>
      <c r="K67" s="1">
        <v>353.43799999999999</v>
      </c>
      <c r="L67" s="1">
        <f t="shared" si="11"/>
        <v>5.9270000000000209</v>
      </c>
      <c r="M67" s="1"/>
      <c r="N67" s="1"/>
      <c r="O67" s="1">
        <v>0</v>
      </c>
      <c r="P67" s="1"/>
      <c r="Q67" s="1"/>
      <c r="R67" s="1">
        <v>352.89833599999969</v>
      </c>
      <c r="S67" s="1">
        <f t="shared" si="3"/>
        <v>71.873000000000005</v>
      </c>
      <c r="T67" s="5">
        <f t="shared" si="10"/>
        <v>17.115664000000379</v>
      </c>
      <c r="U67" s="5"/>
      <c r="V67" s="1">
        <f t="shared" si="4"/>
        <v>11</v>
      </c>
      <c r="W67" s="1">
        <f t="shared" si="5"/>
        <v>10.761862396171018</v>
      </c>
      <c r="X67" s="1">
        <v>68.0488</v>
      </c>
      <c r="Y67" s="1">
        <v>44.416800000000002</v>
      </c>
      <c r="Z67" s="1">
        <v>80.647599999999997</v>
      </c>
      <c r="AA67" s="1">
        <v>104.0168</v>
      </c>
      <c r="AB67" s="1">
        <v>79.371600000000001</v>
      </c>
      <c r="AC67" s="1">
        <v>74.468199999999996</v>
      </c>
      <c r="AD67" s="1">
        <v>94.776600000000002</v>
      </c>
      <c r="AE67" s="1">
        <v>87.792000000000002</v>
      </c>
      <c r="AF67" s="1">
        <v>47.000999999999998</v>
      </c>
      <c r="AG67" s="1">
        <v>84.773400000000009</v>
      </c>
      <c r="AH67" s="1"/>
      <c r="AI67" s="1">
        <f t="shared" si="12"/>
        <v>17.115664000000379</v>
      </c>
      <c r="AJ67" s="1">
        <f t="shared" si="6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106</v>
      </c>
      <c r="B68" s="1" t="s">
        <v>37</v>
      </c>
      <c r="C68" s="1">
        <v>6.2969999999999997</v>
      </c>
      <c r="D68" s="1">
        <v>396.40199999999999</v>
      </c>
      <c r="E68" s="1">
        <v>82.046999999999997</v>
      </c>
      <c r="F68" s="1">
        <v>317.012</v>
      </c>
      <c r="G68" s="7">
        <v>1</v>
      </c>
      <c r="H68" s="1">
        <v>40</v>
      </c>
      <c r="I68" s="1" t="s">
        <v>38</v>
      </c>
      <c r="J68" s="1"/>
      <c r="K68" s="1">
        <v>187.5</v>
      </c>
      <c r="L68" s="1">
        <f t="shared" si="11"/>
        <v>-105.453</v>
      </c>
      <c r="M68" s="1"/>
      <c r="N68" s="1"/>
      <c r="O68" s="1">
        <v>206.82642000000001</v>
      </c>
      <c r="P68" s="1"/>
      <c r="Q68" s="1"/>
      <c r="R68" s="1">
        <v>0</v>
      </c>
      <c r="S68" s="1">
        <f t="shared" si="3"/>
        <v>16.409399999999998</v>
      </c>
      <c r="T68" s="5"/>
      <c r="U68" s="5"/>
      <c r="V68" s="1">
        <f t="shared" si="4"/>
        <v>31.92306970395018</v>
      </c>
      <c r="W68" s="1">
        <f t="shared" si="5"/>
        <v>31.92306970395018</v>
      </c>
      <c r="X68" s="1">
        <v>37.777799999999999</v>
      </c>
      <c r="Y68" s="1">
        <v>58.898200000000003</v>
      </c>
      <c r="Z68" s="1">
        <v>45.1404</v>
      </c>
      <c r="AA68" s="1">
        <v>32.860199999999999</v>
      </c>
      <c r="AB68" s="1">
        <v>31.357600000000001</v>
      </c>
      <c r="AC68" s="1">
        <v>34.3932</v>
      </c>
      <c r="AD68" s="1">
        <v>31.567399999999999</v>
      </c>
      <c r="AE68" s="1">
        <v>32.791800000000002</v>
      </c>
      <c r="AF68" s="1">
        <v>35.088000000000001</v>
      </c>
      <c r="AG68" s="1">
        <v>35.678199999999997</v>
      </c>
      <c r="AH68" s="1"/>
      <c r="AI68" s="1">
        <f t="shared" si="12"/>
        <v>0</v>
      </c>
      <c r="AJ68" s="1">
        <f t="shared" si="6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9" t="s">
        <v>107</v>
      </c>
      <c r="B69" s="9" t="s">
        <v>43</v>
      </c>
      <c r="C69" s="9"/>
      <c r="D69" s="9"/>
      <c r="E69" s="9"/>
      <c r="F69" s="9"/>
      <c r="G69" s="10">
        <v>0</v>
      </c>
      <c r="H69" s="9"/>
      <c r="I69" s="9" t="s">
        <v>38</v>
      </c>
      <c r="J69" s="9"/>
      <c r="K69" s="9"/>
      <c r="L69" s="9">
        <f t="shared" si="11"/>
        <v>0</v>
      </c>
      <c r="M69" s="9"/>
      <c r="N69" s="9"/>
      <c r="O69" s="9">
        <v>0</v>
      </c>
      <c r="P69" s="9"/>
      <c r="Q69" s="9"/>
      <c r="R69" s="9">
        <v>0</v>
      </c>
      <c r="S69" s="9">
        <f t="shared" si="3"/>
        <v>0</v>
      </c>
      <c r="T69" s="11"/>
      <c r="U69" s="11"/>
      <c r="V69" s="9" t="e">
        <f t="shared" si="4"/>
        <v>#DIV/0!</v>
      </c>
      <c r="W69" s="9" t="e">
        <f t="shared" si="5"/>
        <v>#DIV/0!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 t="s">
        <v>44</v>
      </c>
      <c r="AI69" s="9"/>
      <c r="AJ69" s="1">
        <f t="shared" si="6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108</v>
      </c>
      <c r="B70" s="1" t="s">
        <v>37</v>
      </c>
      <c r="C70" s="1">
        <v>90.74</v>
      </c>
      <c r="D70" s="1">
        <v>238.20400000000001</v>
      </c>
      <c r="E70" s="1">
        <v>149.32499999999999</v>
      </c>
      <c r="F70" s="1">
        <v>154.98599999999999</v>
      </c>
      <c r="G70" s="7">
        <v>1</v>
      </c>
      <c r="H70" s="1">
        <v>30</v>
      </c>
      <c r="I70" s="1" t="s">
        <v>38</v>
      </c>
      <c r="J70" s="1"/>
      <c r="K70" s="1">
        <v>181.8</v>
      </c>
      <c r="L70" s="1">
        <f t="shared" ref="L70:L101" si="13">E70-K70</f>
        <v>-32.475000000000023</v>
      </c>
      <c r="M70" s="1"/>
      <c r="N70" s="1"/>
      <c r="O70" s="1">
        <v>137.10410999999979</v>
      </c>
      <c r="P70" s="1"/>
      <c r="Q70" s="1"/>
      <c r="R70" s="1">
        <v>41.889800000000122</v>
      </c>
      <c r="S70" s="1">
        <f t="shared" si="3"/>
        <v>29.864999999999998</v>
      </c>
      <c r="T70" s="5"/>
      <c r="U70" s="5"/>
      <c r="V70" s="1">
        <f t="shared" si="4"/>
        <v>11.182987108655615</v>
      </c>
      <c r="W70" s="1">
        <f t="shared" si="5"/>
        <v>11.182987108655615</v>
      </c>
      <c r="X70" s="1">
        <v>35.738799999999998</v>
      </c>
      <c r="Y70" s="1">
        <v>40.323999999999977</v>
      </c>
      <c r="Z70" s="1">
        <v>35.8322</v>
      </c>
      <c r="AA70" s="1">
        <v>35.826999999999998</v>
      </c>
      <c r="AB70" s="1">
        <v>37.896599999999999</v>
      </c>
      <c r="AC70" s="1">
        <v>39.866</v>
      </c>
      <c r="AD70" s="1">
        <v>52.215400000000002</v>
      </c>
      <c r="AE70" s="1">
        <v>54.083199999999998</v>
      </c>
      <c r="AF70" s="1">
        <v>43.1066</v>
      </c>
      <c r="AG70" s="1">
        <v>38.0274</v>
      </c>
      <c r="AH70" s="1"/>
      <c r="AI70" s="1">
        <f t="shared" ref="AI70:AI75" si="14">G70*T70</f>
        <v>0</v>
      </c>
      <c r="AJ70" s="1">
        <f t="shared" si="6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109</v>
      </c>
      <c r="B71" s="1" t="s">
        <v>43</v>
      </c>
      <c r="C71" s="1">
        <v>12</v>
      </c>
      <c r="D71" s="1">
        <v>243</v>
      </c>
      <c r="E71" s="1">
        <v>66</v>
      </c>
      <c r="F71" s="1">
        <v>186</v>
      </c>
      <c r="G71" s="7">
        <v>0.6</v>
      </c>
      <c r="H71" s="1">
        <v>60</v>
      </c>
      <c r="I71" s="1" t="s">
        <v>38</v>
      </c>
      <c r="J71" s="1"/>
      <c r="K71" s="1">
        <v>83</v>
      </c>
      <c r="L71" s="1">
        <f t="shared" si="13"/>
        <v>-17</v>
      </c>
      <c r="M71" s="1"/>
      <c r="N71" s="1"/>
      <c r="O71" s="1">
        <v>0</v>
      </c>
      <c r="P71" s="1"/>
      <c r="Q71" s="1"/>
      <c r="R71" s="1">
        <v>0</v>
      </c>
      <c r="S71" s="1">
        <f t="shared" ref="S71:S129" si="15">E71/5</f>
        <v>13.2</v>
      </c>
      <c r="T71" s="5"/>
      <c r="U71" s="5"/>
      <c r="V71" s="1">
        <f t="shared" ref="V71:V129" si="16">(F71+O71+P71+Q71+R71+T71+U71)/S71</f>
        <v>14.090909090909092</v>
      </c>
      <c r="W71" s="1">
        <f t="shared" ref="W71:W129" si="17">(F71+O71+P71+Q71+R71)/S71</f>
        <v>14.090909090909092</v>
      </c>
      <c r="X71" s="1">
        <v>11.8</v>
      </c>
      <c r="Y71" s="1">
        <v>20.399999999999999</v>
      </c>
      <c r="Z71" s="1">
        <v>20.2</v>
      </c>
      <c r="AA71" s="1">
        <v>18.8</v>
      </c>
      <c r="AB71" s="1">
        <v>23.4</v>
      </c>
      <c r="AC71" s="1">
        <v>19.2</v>
      </c>
      <c r="AD71" s="1">
        <v>16</v>
      </c>
      <c r="AE71" s="1">
        <v>11.6</v>
      </c>
      <c r="AF71" s="1">
        <v>19.2</v>
      </c>
      <c r="AG71" s="1">
        <v>27.4</v>
      </c>
      <c r="AH71" s="1"/>
      <c r="AI71" s="1">
        <f t="shared" si="14"/>
        <v>0</v>
      </c>
      <c r="AJ71" s="1">
        <f t="shared" ref="AJ71:AJ129" si="18">G71*U71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110</v>
      </c>
      <c r="B72" s="1" t="s">
        <v>43</v>
      </c>
      <c r="C72" s="1">
        <v>130</v>
      </c>
      <c r="D72" s="1">
        <v>297</v>
      </c>
      <c r="E72" s="1">
        <v>206</v>
      </c>
      <c r="F72" s="1">
        <v>221</v>
      </c>
      <c r="G72" s="7">
        <v>0.6</v>
      </c>
      <c r="H72" s="1">
        <v>60</v>
      </c>
      <c r="I72" s="1" t="s">
        <v>38</v>
      </c>
      <c r="J72" s="1"/>
      <c r="K72" s="1">
        <v>183</v>
      </c>
      <c r="L72" s="1">
        <f t="shared" si="13"/>
        <v>23</v>
      </c>
      <c r="M72" s="1"/>
      <c r="N72" s="1"/>
      <c r="O72" s="1">
        <v>0</v>
      </c>
      <c r="P72" s="1"/>
      <c r="Q72" s="1"/>
      <c r="R72" s="1">
        <v>125.3100000000001</v>
      </c>
      <c r="S72" s="1">
        <f t="shared" si="15"/>
        <v>41.2</v>
      </c>
      <c r="T72" s="5">
        <f t="shared" ref="T72:T74" si="19">11*S72-R72-Q72-P72-O72-F72-U72</f>
        <v>106.88999999999993</v>
      </c>
      <c r="U72" s="5"/>
      <c r="V72" s="1">
        <f t="shared" si="16"/>
        <v>11</v>
      </c>
      <c r="W72" s="1">
        <f t="shared" si="17"/>
        <v>8.4055825242718463</v>
      </c>
      <c r="X72" s="1">
        <v>32.6</v>
      </c>
      <c r="Y72" s="1">
        <v>37.200000000000003</v>
      </c>
      <c r="Z72" s="1">
        <v>36.200000000000003</v>
      </c>
      <c r="AA72" s="1">
        <v>28.2</v>
      </c>
      <c r="AB72" s="1">
        <v>30.8</v>
      </c>
      <c r="AC72" s="1">
        <v>32</v>
      </c>
      <c r="AD72" s="1">
        <v>38.799999999999997</v>
      </c>
      <c r="AE72" s="1">
        <v>28.8</v>
      </c>
      <c r="AF72" s="1">
        <v>29.2</v>
      </c>
      <c r="AG72" s="1">
        <v>30.8</v>
      </c>
      <c r="AH72" s="1"/>
      <c r="AI72" s="1">
        <f t="shared" si="14"/>
        <v>64.133999999999958</v>
      </c>
      <c r="AJ72" s="1">
        <f t="shared" si="18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111</v>
      </c>
      <c r="B73" s="1" t="s">
        <v>43</v>
      </c>
      <c r="C73" s="1">
        <v>66</v>
      </c>
      <c r="D73" s="1">
        <v>136</v>
      </c>
      <c r="E73" s="1">
        <v>113</v>
      </c>
      <c r="F73" s="1">
        <v>93</v>
      </c>
      <c r="G73" s="7">
        <v>0.4</v>
      </c>
      <c r="H73" s="1">
        <v>90</v>
      </c>
      <c r="I73" s="1" t="s">
        <v>38</v>
      </c>
      <c r="J73" s="1"/>
      <c r="K73" s="1">
        <v>117</v>
      </c>
      <c r="L73" s="1">
        <f t="shared" si="13"/>
        <v>-4</v>
      </c>
      <c r="M73" s="1"/>
      <c r="N73" s="1"/>
      <c r="O73" s="1">
        <v>6</v>
      </c>
      <c r="P73" s="1"/>
      <c r="Q73" s="1"/>
      <c r="R73" s="1">
        <v>108.6</v>
      </c>
      <c r="S73" s="1">
        <f t="shared" si="15"/>
        <v>22.6</v>
      </c>
      <c r="T73" s="5">
        <f t="shared" si="19"/>
        <v>41.000000000000028</v>
      </c>
      <c r="U73" s="5"/>
      <c r="V73" s="1">
        <f t="shared" si="16"/>
        <v>11</v>
      </c>
      <c r="W73" s="1">
        <f t="shared" si="17"/>
        <v>9.1858407079646014</v>
      </c>
      <c r="X73" s="1">
        <v>21.8</v>
      </c>
      <c r="Y73" s="1">
        <v>17.8</v>
      </c>
      <c r="Z73" s="1">
        <v>17.2</v>
      </c>
      <c r="AA73" s="1">
        <v>23.2</v>
      </c>
      <c r="AB73" s="1">
        <v>27</v>
      </c>
      <c r="AC73" s="1">
        <v>24.4</v>
      </c>
      <c r="AD73" s="1">
        <v>24.8</v>
      </c>
      <c r="AE73" s="1">
        <v>25</v>
      </c>
      <c r="AF73" s="1">
        <v>18.2</v>
      </c>
      <c r="AG73" s="1">
        <v>14.8</v>
      </c>
      <c r="AH73" s="1"/>
      <c r="AI73" s="1">
        <f t="shared" si="14"/>
        <v>16.400000000000013</v>
      </c>
      <c r="AJ73" s="1">
        <f t="shared" si="18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112</v>
      </c>
      <c r="B74" s="1" t="s">
        <v>43</v>
      </c>
      <c r="C74" s="1">
        <v>38</v>
      </c>
      <c r="D74" s="1">
        <v>218</v>
      </c>
      <c r="E74" s="1">
        <v>131</v>
      </c>
      <c r="F74" s="1">
        <v>127</v>
      </c>
      <c r="G74" s="7">
        <v>0.33</v>
      </c>
      <c r="H74" s="1">
        <v>60</v>
      </c>
      <c r="I74" s="1" t="s">
        <v>38</v>
      </c>
      <c r="J74" s="1"/>
      <c r="K74" s="1">
        <v>133</v>
      </c>
      <c r="L74" s="1">
        <f t="shared" si="13"/>
        <v>-2</v>
      </c>
      <c r="M74" s="1"/>
      <c r="N74" s="1"/>
      <c r="O74" s="1">
        <v>81.639999999999901</v>
      </c>
      <c r="P74" s="1"/>
      <c r="Q74" s="1"/>
      <c r="R74" s="1">
        <v>68.000000000000114</v>
      </c>
      <c r="S74" s="1">
        <f t="shared" si="15"/>
        <v>26.2</v>
      </c>
      <c r="T74" s="5">
        <f t="shared" si="19"/>
        <v>11.559999999999974</v>
      </c>
      <c r="U74" s="5"/>
      <c r="V74" s="1">
        <f t="shared" si="16"/>
        <v>10.999999999999998</v>
      </c>
      <c r="W74" s="1">
        <f t="shared" si="17"/>
        <v>10.558778625954199</v>
      </c>
      <c r="X74" s="1">
        <v>28.6</v>
      </c>
      <c r="Y74" s="1">
        <v>30.2</v>
      </c>
      <c r="Z74" s="1">
        <v>28.8</v>
      </c>
      <c r="AA74" s="1">
        <v>29.6</v>
      </c>
      <c r="AB74" s="1">
        <v>27.4</v>
      </c>
      <c r="AC74" s="1">
        <v>29.6</v>
      </c>
      <c r="AD74" s="1">
        <v>32.4</v>
      </c>
      <c r="AE74" s="1">
        <v>26.2</v>
      </c>
      <c r="AF74" s="1">
        <v>26.8</v>
      </c>
      <c r="AG74" s="1">
        <v>23.4</v>
      </c>
      <c r="AH74" s="1"/>
      <c r="AI74" s="1">
        <f t="shared" si="14"/>
        <v>3.8147999999999915</v>
      </c>
      <c r="AJ74" s="1">
        <f t="shared" si="18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113</v>
      </c>
      <c r="B75" s="1" t="s">
        <v>43</v>
      </c>
      <c r="C75" s="1">
        <v>141</v>
      </c>
      <c r="D75" s="1">
        <v>169</v>
      </c>
      <c r="E75" s="1">
        <v>110</v>
      </c>
      <c r="F75" s="1">
        <v>200</v>
      </c>
      <c r="G75" s="7">
        <v>0.35</v>
      </c>
      <c r="H75" s="1">
        <v>90</v>
      </c>
      <c r="I75" s="1" t="s">
        <v>38</v>
      </c>
      <c r="J75" s="1"/>
      <c r="K75" s="1">
        <v>110</v>
      </c>
      <c r="L75" s="1">
        <f t="shared" si="13"/>
        <v>0</v>
      </c>
      <c r="M75" s="1"/>
      <c r="N75" s="1"/>
      <c r="O75" s="1">
        <v>39.400000000000013</v>
      </c>
      <c r="P75" s="1"/>
      <c r="Q75" s="1"/>
      <c r="R75" s="1">
        <v>61.999999999999943</v>
      </c>
      <c r="S75" s="1">
        <f t="shared" si="15"/>
        <v>22</v>
      </c>
      <c r="T75" s="5"/>
      <c r="U75" s="5"/>
      <c r="V75" s="1">
        <f t="shared" si="16"/>
        <v>13.7</v>
      </c>
      <c r="W75" s="1">
        <f t="shared" si="17"/>
        <v>13.7</v>
      </c>
      <c r="X75" s="1">
        <v>30.2</v>
      </c>
      <c r="Y75" s="1">
        <v>31</v>
      </c>
      <c r="Z75" s="1">
        <v>18.600000000000001</v>
      </c>
      <c r="AA75" s="1">
        <v>26.4</v>
      </c>
      <c r="AB75" s="1">
        <v>40</v>
      </c>
      <c r="AC75" s="1">
        <v>36.4</v>
      </c>
      <c r="AD75" s="1">
        <v>27.2</v>
      </c>
      <c r="AE75" s="1">
        <v>28.4</v>
      </c>
      <c r="AF75" s="1">
        <v>22.2</v>
      </c>
      <c r="AG75" s="1">
        <v>19.8</v>
      </c>
      <c r="AH75" s="1"/>
      <c r="AI75" s="1">
        <f t="shared" si="14"/>
        <v>0</v>
      </c>
      <c r="AJ75" s="1">
        <f t="shared" si="18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9" t="s">
        <v>114</v>
      </c>
      <c r="B76" s="9" t="s">
        <v>43</v>
      </c>
      <c r="C76" s="9"/>
      <c r="D76" s="9"/>
      <c r="E76" s="9"/>
      <c r="F76" s="9"/>
      <c r="G76" s="10">
        <v>0</v>
      </c>
      <c r="H76" s="9"/>
      <c r="I76" s="9" t="s">
        <v>38</v>
      </c>
      <c r="J76" s="9"/>
      <c r="K76" s="9"/>
      <c r="L76" s="9">
        <f t="shared" si="13"/>
        <v>0</v>
      </c>
      <c r="M76" s="9"/>
      <c r="N76" s="9"/>
      <c r="O76" s="9">
        <v>0</v>
      </c>
      <c r="P76" s="9"/>
      <c r="Q76" s="9"/>
      <c r="R76" s="9">
        <v>0</v>
      </c>
      <c r="S76" s="9">
        <f t="shared" si="15"/>
        <v>0</v>
      </c>
      <c r="T76" s="11"/>
      <c r="U76" s="11"/>
      <c r="V76" s="9" t="e">
        <f t="shared" si="16"/>
        <v>#DIV/0!</v>
      </c>
      <c r="W76" s="9" t="e">
        <f t="shared" si="17"/>
        <v>#DIV/0!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 t="s">
        <v>44</v>
      </c>
      <c r="AI76" s="9"/>
      <c r="AJ76" s="1">
        <f t="shared" si="18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115</v>
      </c>
      <c r="B77" s="1" t="s">
        <v>43</v>
      </c>
      <c r="C77" s="1">
        <v>68</v>
      </c>
      <c r="D77" s="1">
        <v>33</v>
      </c>
      <c r="E77" s="1">
        <v>101</v>
      </c>
      <c r="F77" s="1"/>
      <c r="G77" s="7">
        <v>0.6</v>
      </c>
      <c r="H77" s="1">
        <v>70</v>
      </c>
      <c r="I77" s="1" t="s">
        <v>38</v>
      </c>
      <c r="J77" s="1"/>
      <c r="K77" s="1">
        <v>91</v>
      </c>
      <c r="L77" s="1">
        <f t="shared" si="13"/>
        <v>10</v>
      </c>
      <c r="M77" s="1"/>
      <c r="N77" s="1"/>
      <c r="O77" s="1">
        <v>32.200000000000003</v>
      </c>
      <c r="P77" s="1"/>
      <c r="Q77" s="1"/>
      <c r="R77" s="1">
        <v>122.6</v>
      </c>
      <c r="S77" s="1">
        <f t="shared" si="15"/>
        <v>20.2</v>
      </c>
      <c r="T77" s="5">
        <f t="shared" ref="T77:T80" si="20">11*S77-R77-Q77-P77-O77-F77-U77</f>
        <v>67.399999999999991</v>
      </c>
      <c r="U77" s="5"/>
      <c r="V77" s="1">
        <f t="shared" si="16"/>
        <v>11</v>
      </c>
      <c r="W77" s="1">
        <f t="shared" si="17"/>
        <v>7.663366336633664</v>
      </c>
      <c r="X77" s="1">
        <v>17.399999999999999</v>
      </c>
      <c r="Y77" s="1">
        <v>11.6</v>
      </c>
      <c r="Z77" s="1">
        <v>2</v>
      </c>
      <c r="AA77" s="1">
        <v>8.6</v>
      </c>
      <c r="AB77" s="1">
        <v>13.6</v>
      </c>
      <c r="AC77" s="1">
        <v>13.8</v>
      </c>
      <c r="AD77" s="1">
        <v>18.2</v>
      </c>
      <c r="AE77" s="1">
        <v>16.399999999999999</v>
      </c>
      <c r="AF77" s="1">
        <v>12.2</v>
      </c>
      <c r="AG77" s="1">
        <v>10.8</v>
      </c>
      <c r="AH77" s="1"/>
      <c r="AI77" s="1">
        <f>G77*T77</f>
        <v>40.439999999999991</v>
      </c>
      <c r="AJ77" s="1">
        <f t="shared" si="18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116</v>
      </c>
      <c r="B78" s="1" t="s">
        <v>43</v>
      </c>
      <c r="C78" s="1">
        <v>-10</v>
      </c>
      <c r="D78" s="1">
        <v>175</v>
      </c>
      <c r="E78" s="1">
        <v>44</v>
      </c>
      <c r="F78" s="1">
        <v>91</v>
      </c>
      <c r="G78" s="7">
        <v>0.33</v>
      </c>
      <c r="H78" s="1">
        <v>40</v>
      </c>
      <c r="I78" s="1" t="s">
        <v>38</v>
      </c>
      <c r="J78" s="1"/>
      <c r="K78" s="1">
        <v>72</v>
      </c>
      <c r="L78" s="1">
        <f t="shared" si="13"/>
        <v>-28</v>
      </c>
      <c r="M78" s="1"/>
      <c r="N78" s="1"/>
      <c r="O78" s="1">
        <v>0</v>
      </c>
      <c r="P78" s="1"/>
      <c r="Q78" s="1"/>
      <c r="R78" s="1">
        <v>0</v>
      </c>
      <c r="S78" s="1">
        <f t="shared" si="15"/>
        <v>8.8000000000000007</v>
      </c>
      <c r="T78" s="5">
        <f t="shared" si="20"/>
        <v>5.8000000000000114</v>
      </c>
      <c r="U78" s="5"/>
      <c r="V78" s="1">
        <f t="shared" si="16"/>
        <v>11</v>
      </c>
      <c r="W78" s="1">
        <f t="shared" si="17"/>
        <v>10.34090909090909</v>
      </c>
      <c r="X78" s="1">
        <v>5.4</v>
      </c>
      <c r="Y78" s="1">
        <v>11.6</v>
      </c>
      <c r="Z78" s="1">
        <v>9</v>
      </c>
      <c r="AA78" s="1">
        <v>16.2</v>
      </c>
      <c r="AB78" s="1">
        <v>13.4</v>
      </c>
      <c r="AC78" s="1">
        <v>10</v>
      </c>
      <c r="AD78" s="1">
        <v>8.4</v>
      </c>
      <c r="AE78" s="1">
        <v>9.8000000000000007</v>
      </c>
      <c r="AF78" s="1">
        <v>5</v>
      </c>
      <c r="AG78" s="1">
        <v>-0.2</v>
      </c>
      <c r="AH78" s="1"/>
      <c r="AI78" s="1">
        <f>G78*T78</f>
        <v>1.9140000000000039</v>
      </c>
      <c r="AJ78" s="1">
        <f t="shared" si="18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117</v>
      </c>
      <c r="B79" s="1" t="s">
        <v>43</v>
      </c>
      <c r="C79" s="1">
        <v>2</v>
      </c>
      <c r="D79" s="1">
        <v>48</v>
      </c>
      <c r="E79" s="1">
        <v>29</v>
      </c>
      <c r="F79" s="1">
        <v>21</v>
      </c>
      <c r="G79" s="7">
        <v>0.4</v>
      </c>
      <c r="H79" s="1">
        <v>55</v>
      </c>
      <c r="I79" s="1" t="s">
        <v>38</v>
      </c>
      <c r="J79" s="1"/>
      <c r="K79" s="1">
        <v>31</v>
      </c>
      <c r="L79" s="1">
        <f t="shared" si="13"/>
        <v>-2</v>
      </c>
      <c r="M79" s="1"/>
      <c r="N79" s="1"/>
      <c r="O79" s="1">
        <v>78.643999999999991</v>
      </c>
      <c r="P79" s="1"/>
      <c r="Q79" s="1"/>
      <c r="R79" s="1">
        <v>7.9560000000000208</v>
      </c>
      <c r="S79" s="1">
        <f t="shared" si="15"/>
        <v>5.8</v>
      </c>
      <c r="T79" s="5"/>
      <c r="U79" s="5"/>
      <c r="V79" s="1">
        <f t="shared" si="16"/>
        <v>18.551724137931036</v>
      </c>
      <c r="W79" s="1">
        <f t="shared" si="17"/>
        <v>18.551724137931036</v>
      </c>
      <c r="X79" s="1">
        <v>10.4</v>
      </c>
      <c r="Y79" s="1">
        <v>12.2</v>
      </c>
      <c r="Z79" s="1">
        <v>7.2</v>
      </c>
      <c r="AA79" s="1">
        <v>7.2</v>
      </c>
      <c r="AB79" s="1">
        <v>9.4</v>
      </c>
      <c r="AC79" s="1">
        <v>9</v>
      </c>
      <c r="AD79" s="1">
        <v>4.2</v>
      </c>
      <c r="AE79" s="1">
        <v>2.8</v>
      </c>
      <c r="AF79" s="1">
        <v>4.8</v>
      </c>
      <c r="AG79" s="1">
        <v>6.8</v>
      </c>
      <c r="AH79" s="1"/>
      <c r="AI79" s="1">
        <f>G79*T79</f>
        <v>0</v>
      </c>
      <c r="AJ79" s="1">
        <f t="shared" si="18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118</v>
      </c>
      <c r="B80" s="1" t="s">
        <v>43</v>
      </c>
      <c r="C80" s="1">
        <v>61</v>
      </c>
      <c r="D80" s="1"/>
      <c r="E80" s="1">
        <v>34</v>
      </c>
      <c r="F80" s="1">
        <v>27</v>
      </c>
      <c r="G80" s="7">
        <v>0.35</v>
      </c>
      <c r="H80" s="1">
        <v>40</v>
      </c>
      <c r="I80" s="1" t="s">
        <v>38</v>
      </c>
      <c r="J80" s="1"/>
      <c r="K80" s="1">
        <v>33</v>
      </c>
      <c r="L80" s="1">
        <f t="shared" si="13"/>
        <v>1</v>
      </c>
      <c r="M80" s="1"/>
      <c r="N80" s="1"/>
      <c r="O80" s="1">
        <v>0</v>
      </c>
      <c r="P80" s="1"/>
      <c r="Q80" s="1"/>
      <c r="R80" s="1">
        <v>8</v>
      </c>
      <c r="S80" s="1">
        <f t="shared" si="15"/>
        <v>6.8</v>
      </c>
      <c r="T80" s="5">
        <f t="shared" si="20"/>
        <v>39.799999999999997</v>
      </c>
      <c r="U80" s="5"/>
      <c r="V80" s="1">
        <f t="shared" si="16"/>
        <v>11</v>
      </c>
      <c r="W80" s="1">
        <f t="shared" si="17"/>
        <v>5.1470588235294121</v>
      </c>
      <c r="X80" s="1">
        <v>4.4000000000000004</v>
      </c>
      <c r="Y80" s="1">
        <v>3.8</v>
      </c>
      <c r="Z80" s="1">
        <v>4.8</v>
      </c>
      <c r="AA80" s="1">
        <v>5</v>
      </c>
      <c r="AB80" s="1">
        <v>5.8</v>
      </c>
      <c r="AC80" s="1">
        <v>6.6</v>
      </c>
      <c r="AD80" s="1">
        <v>7.4</v>
      </c>
      <c r="AE80" s="1">
        <v>5.6</v>
      </c>
      <c r="AF80" s="1">
        <v>9.6</v>
      </c>
      <c r="AG80" s="1">
        <v>9.4</v>
      </c>
      <c r="AH80" s="1"/>
      <c r="AI80" s="1">
        <f>G80*T80</f>
        <v>13.929999999999998</v>
      </c>
      <c r="AJ80" s="1">
        <f t="shared" si="18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119</v>
      </c>
      <c r="B81" s="1" t="s">
        <v>43</v>
      </c>
      <c r="C81" s="1">
        <v>213</v>
      </c>
      <c r="D81" s="1">
        <v>2</v>
      </c>
      <c r="E81" s="1">
        <v>130</v>
      </c>
      <c r="F81" s="1">
        <v>77</v>
      </c>
      <c r="G81" s="7">
        <v>0.35</v>
      </c>
      <c r="H81" s="1">
        <v>45</v>
      </c>
      <c r="I81" s="1" t="s">
        <v>38</v>
      </c>
      <c r="J81" s="1"/>
      <c r="K81" s="1">
        <v>181</v>
      </c>
      <c r="L81" s="1">
        <f t="shared" si="13"/>
        <v>-51</v>
      </c>
      <c r="M81" s="1"/>
      <c r="N81" s="1"/>
      <c r="O81" s="1">
        <v>154.4</v>
      </c>
      <c r="P81" s="1">
        <v>-156</v>
      </c>
      <c r="Q81" s="1"/>
      <c r="R81" s="1">
        <v>234.2</v>
      </c>
      <c r="S81" s="1">
        <f t="shared" si="15"/>
        <v>26</v>
      </c>
      <c r="T81" s="5"/>
      <c r="U81" s="5"/>
      <c r="V81" s="1">
        <f t="shared" si="16"/>
        <v>11.907692307692308</v>
      </c>
      <c r="W81" s="1">
        <f t="shared" si="17"/>
        <v>11.907692307692308</v>
      </c>
      <c r="X81" s="1">
        <v>36.6</v>
      </c>
      <c r="Y81" s="1">
        <v>33.4</v>
      </c>
      <c r="Z81" s="1">
        <v>18.8</v>
      </c>
      <c r="AA81" s="1">
        <v>31.2</v>
      </c>
      <c r="AB81" s="1">
        <v>21.6</v>
      </c>
      <c r="AC81" s="1">
        <v>22.6</v>
      </c>
      <c r="AD81" s="1">
        <v>44.8</v>
      </c>
      <c r="AE81" s="1">
        <v>37.6</v>
      </c>
      <c r="AF81" s="1">
        <v>27.4</v>
      </c>
      <c r="AG81" s="1">
        <v>20.399999999999999</v>
      </c>
      <c r="AH81" s="1"/>
      <c r="AI81" s="1">
        <f>G81*T81</f>
        <v>0</v>
      </c>
      <c r="AJ81" s="1">
        <f t="shared" si="18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9" t="s">
        <v>120</v>
      </c>
      <c r="B82" s="9" t="s">
        <v>43</v>
      </c>
      <c r="C82" s="9"/>
      <c r="D82" s="9"/>
      <c r="E82" s="9"/>
      <c r="F82" s="9"/>
      <c r="G82" s="10">
        <v>0</v>
      </c>
      <c r="H82" s="9"/>
      <c r="I82" s="9" t="s">
        <v>38</v>
      </c>
      <c r="J82" s="9"/>
      <c r="K82" s="9"/>
      <c r="L82" s="9">
        <f t="shared" si="13"/>
        <v>0</v>
      </c>
      <c r="M82" s="9"/>
      <c r="N82" s="9"/>
      <c r="O82" s="9">
        <v>0</v>
      </c>
      <c r="P82" s="9"/>
      <c r="Q82" s="9"/>
      <c r="R82" s="9">
        <v>0</v>
      </c>
      <c r="S82" s="9">
        <f t="shared" si="15"/>
        <v>0</v>
      </c>
      <c r="T82" s="11"/>
      <c r="U82" s="11"/>
      <c r="V82" s="9" t="e">
        <f t="shared" si="16"/>
        <v>#DIV/0!</v>
      </c>
      <c r="W82" s="9" t="e">
        <f t="shared" si="17"/>
        <v>#DIV/0!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 t="s">
        <v>44</v>
      </c>
      <c r="AI82" s="9"/>
      <c r="AJ82" s="1">
        <f t="shared" si="18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9" t="s">
        <v>121</v>
      </c>
      <c r="B83" s="9" t="s">
        <v>37</v>
      </c>
      <c r="C83" s="9"/>
      <c r="D83" s="9"/>
      <c r="E83" s="9"/>
      <c r="F83" s="9"/>
      <c r="G83" s="10">
        <v>0</v>
      </c>
      <c r="H83" s="9"/>
      <c r="I83" s="9" t="s">
        <v>38</v>
      </c>
      <c r="J83" s="9"/>
      <c r="K83" s="9"/>
      <c r="L83" s="9">
        <f t="shared" si="13"/>
        <v>0</v>
      </c>
      <c r="M83" s="9"/>
      <c r="N83" s="9"/>
      <c r="O83" s="9">
        <v>0</v>
      </c>
      <c r="P83" s="9"/>
      <c r="Q83" s="9"/>
      <c r="R83" s="9">
        <v>0</v>
      </c>
      <c r="S83" s="9">
        <f t="shared" si="15"/>
        <v>0</v>
      </c>
      <c r="T83" s="11"/>
      <c r="U83" s="11"/>
      <c r="V83" s="9" t="e">
        <f t="shared" si="16"/>
        <v>#DIV/0!</v>
      </c>
      <c r="W83" s="9" t="e">
        <f t="shared" si="17"/>
        <v>#DIV/0!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 t="s">
        <v>44</v>
      </c>
      <c r="AI83" s="9"/>
      <c r="AJ83" s="1">
        <f t="shared" si="18"/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9" t="s">
        <v>122</v>
      </c>
      <c r="B84" s="9" t="s">
        <v>37</v>
      </c>
      <c r="C84" s="9"/>
      <c r="D84" s="9"/>
      <c r="E84" s="9"/>
      <c r="F84" s="9"/>
      <c r="G84" s="10">
        <v>0</v>
      </c>
      <c r="H84" s="9"/>
      <c r="I84" s="9" t="s">
        <v>38</v>
      </c>
      <c r="J84" s="9"/>
      <c r="K84" s="9"/>
      <c r="L84" s="9">
        <f t="shared" si="13"/>
        <v>0</v>
      </c>
      <c r="M84" s="9"/>
      <c r="N84" s="9"/>
      <c r="O84" s="9">
        <v>0</v>
      </c>
      <c r="P84" s="9"/>
      <c r="Q84" s="9"/>
      <c r="R84" s="9">
        <v>0</v>
      </c>
      <c r="S84" s="9">
        <f t="shared" si="15"/>
        <v>0</v>
      </c>
      <c r="T84" s="11"/>
      <c r="U84" s="11"/>
      <c r="V84" s="9" t="e">
        <f t="shared" si="16"/>
        <v>#DIV/0!</v>
      </c>
      <c r="W84" s="9" t="e">
        <f t="shared" si="17"/>
        <v>#DIV/0!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 t="s">
        <v>44</v>
      </c>
      <c r="AI84" s="9"/>
      <c r="AJ84" s="1">
        <f t="shared" si="18"/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123</v>
      </c>
      <c r="B85" s="1" t="s">
        <v>37</v>
      </c>
      <c r="C85" s="1">
        <v>443.99799999999999</v>
      </c>
      <c r="D85" s="1">
        <v>15.573</v>
      </c>
      <c r="E85" s="1">
        <v>144.84399999999999</v>
      </c>
      <c r="F85" s="1">
        <v>312.17899999999997</v>
      </c>
      <c r="G85" s="7">
        <v>1</v>
      </c>
      <c r="H85" s="1">
        <v>60</v>
      </c>
      <c r="I85" s="1" t="s">
        <v>38</v>
      </c>
      <c r="J85" s="1"/>
      <c r="K85" s="1">
        <v>139.19999999999999</v>
      </c>
      <c r="L85" s="1">
        <f t="shared" si="13"/>
        <v>5.6440000000000055</v>
      </c>
      <c r="M85" s="1"/>
      <c r="N85" s="1"/>
      <c r="O85" s="1">
        <v>92.707400000000007</v>
      </c>
      <c r="P85" s="1"/>
      <c r="Q85" s="1"/>
      <c r="R85" s="1">
        <v>126.48334800000001</v>
      </c>
      <c r="S85" s="1">
        <f t="shared" si="15"/>
        <v>28.968799999999998</v>
      </c>
      <c r="T85" s="5"/>
      <c r="U85" s="5"/>
      <c r="V85" s="1">
        <f t="shared" si="16"/>
        <v>18.34282911270056</v>
      </c>
      <c r="W85" s="1">
        <f t="shared" si="17"/>
        <v>18.34282911270056</v>
      </c>
      <c r="X85" s="1">
        <v>43.807400000000001</v>
      </c>
      <c r="Y85" s="1">
        <v>49.8904</v>
      </c>
      <c r="Z85" s="1">
        <v>45.323</v>
      </c>
      <c r="AA85" s="1">
        <v>52.400599999999997</v>
      </c>
      <c r="AB85" s="1">
        <v>49.375999999999998</v>
      </c>
      <c r="AC85" s="1">
        <v>39.700599999999987</v>
      </c>
      <c r="AD85" s="1">
        <v>34.451799999999999</v>
      </c>
      <c r="AE85" s="1">
        <v>36.162599999999998</v>
      </c>
      <c r="AF85" s="1">
        <v>42.768999999999998</v>
      </c>
      <c r="AG85" s="1">
        <v>39.879199999999997</v>
      </c>
      <c r="AH85" s="1"/>
      <c r="AI85" s="1">
        <f>G85*T85</f>
        <v>0</v>
      </c>
      <c r="AJ85" s="1">
        <f t="shared" si="18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9" t="s">
        <v>124</v>
      </c>
      <c r="B86" s="9" t="s">
        <v>43</v>
      </c>
      <c r="C86" s="9"/>
      <c r="D86" s="9"/>
      <c r="E86" s="9"/>
      <c r="F86" s="9"/>
      <c r="G86" s="10">
        <v>0</v>
      </c>
      <c r="H86" s="9"/>
      <c r="I86" s="9" t="s">
        <v>38</v>
      </c>
      <c r="J86" s="9"/>
      <c r="K86" s="9"/>
      <c r="L86" s="9">
        <f t="shared" si="13"/>
        <v>0</v>
      </c>
      <c r="M86" s="9"/>
      <c r="N86" s="9"/>
      <c r="O86" s="9">
        <v>0</v>
      </c>
      <c r="P86" s="9"/>
      <c r="Q86" s="9"/>
      <c r="R86" s="9">
        <v>0</v>
      </c>
      <c r="S86" s="9">
        <f t="shared" si="15"/>
        <v>0</v>
      </c>
      <c r="T86" s="11"/>
      <c r="U86" s="11"/>
      <c r="V86" s="9" t="e">
        <f t="shared" si="16"/>
        <v>#DIV/0!</v>
      </c>
      <c r="W86" s="9" t="e">
        <f t="shared" si="17"/>
        <v>#DIV/0!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 t="s">
        <v>44</v>
      </c>
      <c r="AI86" s="9"/>
      <c r="AJ86" s="1">
        <f t="shared" si="18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125</v>
      </c>
      <c r="B87" s="1" t="s">
        <v>37</v>
      </c>
      <c r="C87" s="1">
        <v>1116.8040000000001</v>
      </c>
      <c r="D87" s="1">
        <v>1292.9469999999999</v>
      </c>
      <c r="E87" s="1">
        <v>1405.452</v>
      </c>
      <c r="F87" s="1">
        <v>863.39200000000005</v>
      </c>
      <c r="G87" s="7">
        <v>1</v>
      </c>
      <c r="H87" s="1">
        <v>60</v>
      </c>
      <c r="I87" s="1" t="s">
        <v>38</v>
      </c>
      <c r="J87" s="1"/>
      <c r="K87" s="1">
        <v>1452.9939999999999</v>
      </c>
      <c r="L87" s="1">
        <f t="shared" si="13"/>
        <v>-47.541999999999916</v>
      </c>
      <c r="M87" s="1"/>
      <c r="N87" s="1"/>
      <c r="O87" s="1">
        <v>1232.7192</v>
      </c>
      <c r="P87" s="1"/>
      <c r="Q87" s="1">
        <v>800</v>
      </c>
      <c r="R87" s="1">
        <v>1079.123518000001</v>
      </c>
      <c r="S87" s="1">
        <f t="shared" si="15"/>
        <v>281.09039999999999</v>
      </c>
      <c r="T87" s="5"/>
      <c r="U87" s="5"/>
      <c r="V87" s="1">
        <f t="shared" si="16"/>
        <v>14.14219310940538</v>
      </c>
      <c r="W87" s="1">
        <f t="shared" si="17"/>
        <v>14.14219310940538</v>
      </c>
      <c r="X87" s="1">
        <v>332.67239999999998</v>
      </c>
      <c r="Y87" s="1">
        <v>305.48419999999999</v>
      </c>
      <c r="Z87" s="1">
        <v>286.5274</v>
      </c>
      <c r="AA87" s="1">
        <v>307.87279999999998</v>
      </c>
      <c r="AB87" s="1">
        <v>311.91879999999998</v>
      </c>
      <c r="AC87" s="1">
        <v>320.28199999999998</v>
      </c>
      <c r="AD87" s="1">
        <v>299.32</v>
      </c>
      <c r="AE87" s="1">
        <v>306.98520000000002</v>
      </c>
      <c r="AF87" s="1">
        <v>341.51620000000003</v>
      </c>
      <c r="AG87" s="1">
        <v>320.39839999999998</v>
      </c>
      <c r="AH87" s="1"/>
      <c r="AI87" s="1">
        <f>G87*T87</f>
        <v>0</v>
      </c>
      <c r="AJ87" s="1">
        <f t="shared" si="18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126</v>
      </c>
      <c r="B88" s="1" t="s">
        <v>37</v>
      </c>
      <c r="C88" s="1">
        <v>1358.633</v>
      </c>
      <c r="D88" s="1">
        <v>380.03899999999999</v>
      </c>
      <c r="E88" s="1">
        <v>1103.3869999999999</v>
      </c>
      <c r="F88" s="1">
        <v>596.92999999999995</v>
      </c>
      <c r="G88" s="7">
        <v>1</v>
      </c>
      <c r="H88" s="1">
        <v>60</v>
      </c>
      <c r="I88" s="1" t="s">
        <v>38</v>
      </c>
      <c r="J88" s="1"/>
      <c r="K88" s="1">
        <v>1147.5</v>
      </c>
      <c r="L88" s="1">
        <f t="shared" si="13"/>
        <v>-44.113000000000056</v>
      </c>
      <c r="M88" s="1"/>
      <c r="N88" s="1"/>
      <c r="O88" s="1">
        <v>792.60066000000018</v>
      </c>
      <c r="P88" s="1"/>
      <c r="Q88" s="1">
        <v>600</v>
      </c>
      <c r="R88" s="1">
        <v>938.01742599999989</v>
      </c>
      <c r="S88" s="1">
        <f t="shared" si="15"/>
        <v>220.67739999999998</v>
      </c>
      <c r="T88" s="5"/>
      <c r="U88" s="5"/>
      <c r="V88" s="1">
        <f t="shared" si="16"/>
        <v>13.266188952742782</v>
      </c>
      <c r="W88" s="1">
        <f t="shared" si="17"/>
        <v>13.266188952742782</v>
      </c>
      <c r="X88" s="1">
        <v>250.80779999999999</v>
      </c>
      <c r="Y88" s="1">
        <v>213.42420000000001</v>
      </c>
      <c r="Z88" s="1">
        <v>191.51259999999999</v>
      </c>
      <c r="AA88" s="1">
        <v>214.91640000000001</v>
      </c>
      <c r="AB88" s="1">
        <v>247.22239999999999</v>
      </c>
      <c r="AC88" s="1">
        <v>266.541</v>
      </c>
      <c r="AD88" s="1">
        <v>299.10000000000002</v>
      </c>
      <c r="AE88" s="1">
        <v>281.0856</v>
      </c>
      <c r="AF88" s="1">
        <v>239.624</v>
      </c>
      <c r="AG88" s="1">
        <v>205.08500000000001</v>
      </c>
      <c r="AH88" s="1"/>
      <c r="AI88" s="1">
        <f>G88*T88</f>
        <v>0</v>
      </c>
      <c r="AJ88" s="1">
        <f t="shared" si="18"/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127</v>
      </c>
      <c r="B89" s="1" t="s">
        <v>37</v>
      </c>
      <c r="C89" s="1">
        <v>567.39</v>
      </c>
      <c r="D89" s="1">
        <v>3966.1410000000001</v>
      </c>
      <c r="E89" s="1">
        <v>1788.8140000000001</v>
      </c>
      <c r="F89" s="1">
        <v>2729.498</v>
      </c>
      <c r="G89" s="7">
        <v>1</v>
      </c>
      <c r="H89" s="1">
        <v>60</v>
      </c>
      <c r="I89" s="1" t="s">
        <v>38</v>
      </c>
      <c r="J89" s="1"/>
      <c r="K89" s="1">
        <v>1851.4</v>
      </c>
      <c r="L89" s="1">
        <f t="shared" si="13"/>
        <v>-62.586000000000013</v>
      </c>
      <c r="M89" s="1"/>
      <c r="N89" s="1"/>
      <c r="O89" s="1">
        <v>369.72364999999832</v>
      </c>
      <c r="P89" s="1"/>
      <c r="Q89" s="1"/>
      <c r="R89" s="1">
        <v>1814.1795740000009</v>
      </c>
      <c r="S89" s="1">
        <f t="shared" si="15"/>
        <v>357.76280000000003</v>
      </c>
      <c r="T89" s="5"/>
      <c r="U89" s="5"/>
      <c r="V89" s="1">
        <f t="shared" si="16"/>
        <v>13.733683949253525</v>
      </c>
      <c r="W89" s="1">
        <f t="shared" si="17"/>
        <v>13.733683949253525</v>
      </c>
      <c r="X89" s="1">
        <v>414.20119999999997</v>
      </c>
      <c r="Y89" s="1">
        <v>411.19539999999989</v>
      </c>
      <c r="Z89" s="1">
        <v>457.66879999999998</v>
      </c>
      <c r="AA89" s="1">
        <v>475.00880000000001</v>
      </c>
      <c r="AB89" s="1">
        <v>401.34320000000002</v>
      </c>
      <c r="AC89" s="1">
        <v>381.37920000000003</v>
      </c>
      <c r="AD89" s="1">
        <v>392.51780000000002</v>
      </c>
      <c r="AE89" s="1">
        <v>396.423</v>
      </c>
      <c r="AF89" s="1">
        <v>430.05099999999999</v>
      </c>
      <c r="AG89" s="1">
        <v>470.26299999999998</v>
      </c>
      <c r="AH89" s="1"/>
      <c r="AI89" s="1">
        <f>G89*T89</f>
        <v>0</v>
      </c>
      <c r="AJ89" s="1">
        <f t="shared" si="18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9" t="s">
        <v>128</v>
      </c>
      <c r="B90" s="9" t="s">
        <v>37</v>
      </c>
      <c r="C90" s="9"/>
      <c r="D90" s="9"/>
      <c r="E90" s="9"/>
      <c r="F90" s="9"/>
      <c r="G90" s="10">
        <v>0</v>
      </c>
      <c r="H90" s="9"/>
      <c r="I90" s="9" t="s">
        <v>38</v>
      </c>
      <c r="J90" s="9"/>
      <c r="K90" s="9"/>
      <c r="L90" s="9">
        <f t="shared" si="13"/>
        <v>0</v>
      </c>
      <c r="M90" s="9"/>
      <c r="N90" s="9"/>
      <c r="O90" s="9">
        <v>0</v>
      </c>
      <c r="P90" s="9"/>
      <c r="Q90" s="9"/>
      <c r="R90" s="9">
        <v>0</v>
      </c>
      <c r="S90" s="9">
        <f t="shared" si="15"/>
        <v>0</v>
      </c>
      <c r="T90" s="11"/>
      <c r="U90" s="11"/>
      <c r="V90" s="9" t="e">
        <f t="shared" si="16"/>
        <v>#DIV/0!</v>
      </c>
      <c r="W90" s="9" t="e">
        <f t="shared" si="17"/>
        <v>#DIV/0!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 t="s">
        <v>44</v>
      </c>
      <c r="AI90" s="9"/>
      <c r="AJ90" s="1">
        <f t="shared" si="18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129</v>
      </c>
      <c r="B91" s="1" t="s">
        <v>43</v>
      </c>
      <c r="C91" s="1">
        <v>95</v>
      </c>
      <c r="D91" s="1">
        <v>139</v>
      </c>
      <c r="E91" s="1">
        <v>156</v>
      </c>
      <c r="F91" s="1">
        <v>70</v>
      </c>
      <c r="G91" s="7">
        <v>0.3</v>
      </c>
      <c r="H91" s="1">
        <v>40</v>
      </c>
      <c r="I91" s="1" t="s">
        <v>38</v>
      </c>
      <c r="J91" s="1"/>
      <c r="K91" s="1">
        <v>165</v>
      </c>
      <c r="L91" s="1">
        <f t="shared" si="13"/>
        <v>-9</v>
      </c>
      <c r="M91" s="1"/>
      <c r="N91" s="1"/>
      <c r="O91" s="1">
        <v>0</v>
      </c>
      <c r="P91" s="1"/>
      <c r="Q91" s="1"/>
      <c r="R91" s="1">
        <v>142.19999999999999</v>
      </c>
      <c r="S91" s="1">
        <f t="shared" si="15"/>
        <v>31.2</v>
      </c>
      <c r="T91" s="5">
        <f>11*S91-R91-Q91-P91-O91-F91-U91</f>
        <v>131</v>
      </c>
      <c r="U91" s="5"/>
      <c r="V91" s="1">
        <f t="shared" si="16"/>
        <v>11</v>
      </c>
      <c r="W91" s="1">
        <f t="shared" si="17"/>
        <v>6.8012820512820511</v>
      </c>
      <c r="X91" s="1">
        <v>25.6</v>
      </c>
      <c r="Y91" s="1">
        <v>17</v>
      </c>
      <c r="Z91" s="1">
        <v>10.199999999999999</v>
      </c>
      <c r="AA91" s="1">
        <v>23.4</v>
      </c>
      <c r="AB91" s="1">
        <v>31.2</v>
      </c>
      <c r="AC91" s="1">
        <v>28</v>
      </c>
      <c r="AD91" s="1">
        <v>15.6</v>
      </c>
      <c r="AE91" s="1">
        <v>9.6</v>
      </c>
      <c r="AF91" s="1">
        <v>18.399999999999999</v>
      </c>
      <c r="AG91" s="1">
        <v>21</v>
      </c>
      <c r="AH91" s="1"/>
      <c r="AI91" s="1">
        <f>G91*T91</f>
        <v>39.299999999999997</v>
      </c>
      <c r="AJ91" s="1">
        <f t="shared" si="18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9" t="s">
        <v>130</v>
      </c>
      <c r="B92" s="9" t="s">
        <v>43</v>
      </c>
      <c r="C92" s="9"/>
      <c r="D92" s="9"/>
      <c r="E92" s="9"/>
      <c r="F92" s="9"/>
      <c r="G92" s="10">
        <v>0</v>
      </c>
      <c r="H92" s="9"/>
      <c r="I92" s="9" t="s">
        <v>38</v>
      </c>
      <c r="J92" s="9"/>
      <c r="K92" s="9"/>
      <c r="L92" s="9">
        <f t="shared" si="13"/>
        <v>0</v>
      </c>
      <c r="M92" s="9"/>
      <c r="N92" s="9"/>
      <c r="O92" s="9">
        <v>0</v>
      </c>
      <c r="P92" s="9"/>
      <c r="Q92" s="9"/>
      <c r="R92" s="9">
        <v>0</v>
      </c>
      <c r="S92" s="9">
        <f t="shared" si="15"/>
        <v>0</v>
      </c>
      <c r="T92" s="11"/>
      <c r="U92" s="11"/>
      <c r="V92" s="9" t="e">
        <f t="shared" si="16"/>
        <v>#DIV/0!</v>
      </c>
      <c r="W92" s="9" t="e">
        <f t="shared" si="17"/>
        <v>#DIV/0!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 t="s">
        <v>44</v>
      </c>
      <c r="AI92" s="9"/>
      <c r="AJ92" s="1">
        <f t="shared" si="18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131</v>
      </c>
      <c r="B93" s="1" t="s">
        <v>43</v>
      </c>
      <c r="C93" s="1">
        <v>68</v>
      </c>
      <c r="D93" s="1">
        <v>93</v>
      </c>
      <c r="E93" s="1">
        <v>102</v>
      </c>
      <c r="F93" s="1">
        <v>59</v>
      </c>
      <c r="G93" s="7">
        <v>7.0000000000000007E-2</v>
      </c>
      <c r="H93" s="1">
        <v>90</v>
      </c>
      <c r="I93" s="1" t="s">
        <v>38</v>
      </c>
      <c r="J93" s="1"/>
      <c r="K93" s="1">
        <v>112</v>
      </c>
      <c r="L93" s="1">
        <f t="shared" si="13"/>
        <v>-10</v>
      </c>
      <c r="M93" s="1"/>
      <c r="N93" s="1"/>
      <c r="O93" s="1">
        <v>0</v>
      </c>
      <c r="P93" s="1"/>
      <c r="Q93" s="1"/>
      <c r="R93" s="1">
        <v>45.399999999999977</v>
      </c>
      <c r="S93" s="1">
        <f t="shared" si="15"/>
        <v>20.399999999999999</v>
      </c>
      <c r="T93" s="5">
        <f t="shared" ref="T93:T95" si="21">11*S93-R93-Q93-P93-O93-F93-U93</f>
        <v>120</v>
      </c>
      <c r="U93" s="5"/>
      <c r="V93" s="1">
        <f t="shared" si="16"/>
        <v>11</v>
      </c>
      <c r="W93" s="1">
        <f t="shared" si="17"/>
        <v>5.117647058823529</v>
      </c>
      <c r="X93" s="1">
        <v>13</v>
      </c>
      <c r="Y93" s="1">
        <v>11</v>
      </c>
      <c r="Z93" s="1">
        <v>13.2</v>
      </c>
      <c r="AA93" s="1">
        <v>16.399999999999999</v>
      </c>
      <c r="AB93" s="1">
        <v>17.2</v>
      </c>
      <c r="AC93" s="1">
        <v>14.8</v>
      </c>
      <c r="AD93" s="1">
        <v>11.8</v>
      </c>
      <c r="AE93" s="1">
        <v>10.8</v>
      </c>
      <c r="AF93" s="1">
        <v>11.8</v>
      </c>
      <c r="AG93" s="1">
        <v>12.4</v>
      </c>
      <c r="AH93" s="1"/>
      <c r="AI93" s="1">
        <f>G93*T93</f>
        <v>8.4</v>
      </c>
      <c r="AJ93" s="1">
        <f t="shared" si="18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132</v>
      </c>
      <c r="B94" s="1" t="s">
        <v>43</v>
      </c>
      <c r="C94" s="1">
        <v>-5</v>
      </c>
      <c r="D94" s="1">
        <v>123</v>
      </c>
      <c r="E94" s="1">
        <v>70</v>
      </c>
      <c r="F94" s="1">
        <v>48</v>
      </c>
      <c r="G94" s="7">
        <v>7.0000000000000007E-2</v>
      </c>
      <c r="H94" s="1">
        <v>90</v>
      </c>
      <c r="I94" s="1" t="s">
        <v>38</v>
      </c>
      <c r="J94" s="1"/>
      <c r="K94" s="1">
        <v>83</v>
      </c>
      <c r="L94" s="1">
        <f t="shared" si="13"/>
        <v>-13</v>
      </c>
      <c r="M94" s="1"/>
      <c r="N94" s="1"/>
      <c r="O94" s="1">
        <v>69.800000000000011</v>
      </c>
      <c r="P94" s="1"/>
      <c r="Q94" s="1"/>
      <c r="R94" s="1">
        <v>15.399999999999981</v>
      </c>
      <c r="S94" s="1">
        <f t="shared" si="15"/>
        <v>14</v>
      </c>
      <c r="T94" s="5">
        <f t="shared" si="21"/>
        <v>20.800000000000011</v>
      </c>
      <c r="U94" s="5"/>
      <c r="V94" s="1">
        <f t="shared" si="16"/>
        <v>11</v>
      </c>
      <c r="W94" s="1">
        <f t="shared" si="17"/>
        <v>9.5142857142857142</v>
      </c>
      <c r="X94" s="1">
        <v>15</v>
      </c>
      <c r="Y94" s="1">
        <v>20.8</v>
      </c>
      <c r="Z94" s="1">
        <v>16.8</v>
      </c>
      <c r="AA94" s="1">
        <v>19.2</v>
      </c>
      <c r="AB94" s="1">
        <v>18</v>
      </c>
      <c r="AC94" s="1">
        <v>16</v>
      </c>
      <c r="AD94" s="1">
        <v>13</v>
      </c>
      <c r="AE94" s="1">
        <v>9.1999999999999993</v>
      </c>
      <c r="AF94" s="1">
        <v>4</v>
      </c>
      <c r="AG94" s="1">
        <v>7</v>
      </c>
      <c r="AH94" s="1"/>
      <c r="AI94" s="1">
        <f>G94*T94</f>
        <v>1.4560000000000008</v>
      </c>
      <c r="AJ94" s="1">
        <f t="shared" si="18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133</v>
      </c>
      <c r="B95" s="1" t="s">
        <v>43</v>
      </c>
      <c r="C95" s="1">
        <v>55</v>
      </c>
      <c r="D95" s="1">
        <v>56</v>
      </c>
      <c r="E95" s="1">
        <v>82</v>
      </c>
      <c r="F95" s="1">
        <v>28</v>
      </c>
      <c r="G95" s="7">
        <v>7.0000000000000007E-2</v>
      </c>
      <c r="H95" s="1">
        <v>90</v>
      </c>
      <c r="I95" s="1" t="s">
        <v>38</v>
      </c>
      <c r="J95" s="1"/>
      <c r="K95" s="1">
        <v>93</v>
      </c>
      <c r="L95" s="1">
        <f t="shared" si="13"/>
        <v>-11</v>
      </c>
      <c r="M95" s="1"/>
      <c r="N95" s="1"/>
      <c r="O95" s="1">
        <v>23.800000000000011</v>
      </c>
      <c r="P95" s="1"/>
      <c r="Q95" s="1"/>
      <c r="R95" s="1">
        <v>13.59999999999998</v>
      </c>
      <c r="S95" s="1">
        <f t="shared" si="15"/>
        <v>16.399999999999999</v>
      </c>
      <c r="T95" s="5">
        <f t="shared" si="21"/>
        <v>115</v>
      </c>
      <c r="U95" s="5"/>
      <c r="V95" s="1">
        <f t="shared" si="16"/>
        <v>11</v>
      </c>
      <c r="W95" s="1">
        <f t="shared" si="17"/>
        <v>3.9878048780487805</v>
      </c>
      <c r="X95" s="1">
        <v>10.199999999999999</v>
      </c>
      <c r="Y95" s="1">
        <v>12</v>
      </c>
      <c r="Z95" s="1">
        <v>10.6</v>
      </c>
      <c r="AA95" s="1">
        <v>11.6</v>
      </c>
      <c r="AB95" s="1">
        <v>15.6</v>
      </c>
      <c r="AC95" s="1">
        <v>13.8</v>
      </c>
      <c r="AD95" s="1">
        <v>10</v>
      </c>
      <c r="AE95" s="1">
        <v>7.8</v>
      </c>
      <c r="AF95" s="1">
        <v>0.6</v>
      </c>
      <c r="AG95" s="1">
        <v>2.6</v>
      </c>
      <c r="AH95" s="1"/>
      <c r="AI95" s="1">
        <f>G95*T95</f>
        <v>8.0500000000000007</v>
      </c>
      <c r="AJ95" s="1">
        <f t="shared" si="18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9" t="s">
        <v>134</v>
      </c>
      <c r="B96" s="9" t="s">
        <v>43</v>
      </c>
      <c r="C96" s="9">
        <v>87</v>
      </c>
      <c r="D96" s="9">
        <v>133</v>
      </c>
      <c r="E96" s="9">
        <v>60</v>
      </c>
      <c r="F96" s="9">
        <v>160</v>
      </c>
      <c r="G96" s="10">
        <v>0</v>
      </c>
      <c r="H96" s="9">
        <v>90</v>
      </c>
      <c r="I96" s="9" t="s">
        <v>80</v>
      </c>
      <c r="J96" s="9"/>
      <c r="K96" s="9">
        <v>62</v>
      </c>
      <c r="L96" s="9">
        <f t="shared" si="13"/>
        <v>-2</v>
      </c>
      <c r="M96" s="9"/>
      <c r="N96" s="9"/>
      <c r="O96" s="9">
        <v>0</v>
      </c>
      <c r="P96" s="9"/>
      <c r="Q96" s="9"/>
      <c r="R96" s="9">
        <v>0</v>
      </c>
      <c r="S96" s="9">
        <f t="shared" si="15"/>
        <v>12</v>
      </c>
      <c r="T96" s="5"/>
      <c r="U96" s="11"/>
      <c r="V96" s="9">
        <f t="shared" si="16"/>
        <v>13.333333333333334</v>
      </c>
      <c r="W96" s="9">
        <f t="shared" si="17"/>
        <v>13.333333333333334</v>
      </c>
      <c r="X96" s="9">
        <v>14.4</v>
      </c>
      <c r="Y96" s="9">
        <v>13.8</v>
      </c>
      <c r="Z96" s="9">
        <v>14.8</v>
      </c>
      <c r="AA96" s="9">
        <v>16.2</v>
      </c>
      <c r="AB96" s="9">
        <v>17</v>
      </c>
      <c r="AC96" s="9">
        <v>15.6</v>
      </c>
      <c r="AD96" s="9">
        <v>15.4</v>
      </c>
      <c r="AE96" s="9">
        <v>12.8</v>
      </c>
      <c r="AF96" s="9">
        <v>10.8</v>
      </c>
      <c r="AG96" s="9">
        <v>9.1999999999999993</v>
      </c>
      <c r="AH96" s="9"/>
      <c r="AI96" s="9"/>
      <c r="AJ96" s="1">
        <f t="shared" si="18"/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9" t="s">
        <v>135</v>
      </c>
      <c r="B97" s="9" t="s">
        <v>43</v>
      </c>
      <c r="C97" s="9">
        <v>1</v>
      </c>
      <c r="D97" s="9">
        <v>2</v>
      </c>
      <c r="E97" s="9">
        <v>1</v>
      </c>
      <c r="F97" s="9"/>
      <c r="G97" s="10">
        <v>0</v>
      </c>
      <c r="H97" s="9"/>
      <c r="I97" s="9" t="s">
        <v>80</v>
      </c>
      <c r="J97" s="9"/>
      <c r="K97" s="9">
        <v>31</v>
      </c>
      <c r="L97" s="9">
        <f t="shared" si="13"/>
        <v>-30</v>
      </c>
      <c r="M97" s="9"/>
      <c r="N97" s="9"/>
      <c r="O97" s="9">
        <v>0</v>
      </c>
      <c r="P97" s="9"/>
      <c r="Q97" s="9"/>
      <c r="R97" s="9">
        <v>0</v>
      </c>
      <c r="S97" s="9">
        <f t="shared" si="15"/>
        <v>0.2</v>
      </c>
      <c r="T97" s="11"/>
      <c r="U97" s="11"/>
      <c r="V97" s="9">
        <f t="shared" si="16"/>
        <v>0</v>
      </c>
      <c r="W97" s="9">
        <f t="shared" si="17"/>
        <v>0</v>
      </c>
      <c r="X97" s="9">
        <v>1.4</v>
      </c>
      <c r="Y97" s="9">
        <v>3.4</v>
      </c>
      <c r="Z97" s="9">
        <v>9.1999999999999993</v>
      </c>
      <c r="AA97" s="9">
        <v>10.199999999999999</v>
      </c>
      <c r="AB97" s="9">
        <v>10.199999999999999</v>
      </c>
      <c r="AC97" s="9">
        <v>11.2</v>
      </c>
      <c r="AD97" s="9">
        <v>13.8</v>
      </c>
      <c r="AE97" s="9">
        <v>12.4</v>
      </c>
      <c r="AF97" s="9">
        <v>11</v>
      </c>
      <c r="AG97" s="9">
        <v>10</v>
      </c>
      <c r="AH97" s="9" t="s">
        <v>136</v>
      </c>
      <c r="AI97" s="9"/>
      <c r="AJ97" s="1">
        <f t="shared" si="18"/>
        <v>0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9" t="s">
        <v>137</v>
      </c>
      <c r="B98" s="9" t="s">
        <v>43</v>
      </c>
      <c r="C98" s="9"/>
      <c r="D98" s="9"/>
      <c r="E98" s="9"/>
      <c r="F98" s="9"/>
      <c r="G98" s="10">
        <v>0</v>
      </c>
      <c r="H98" s="9"/>
      <c r="I98" s="9" t="s">
        <v>38</v>
      </c>
      <c r="J98" s="9"/>
      <c r="K98" s="9"/>
      <c r="L98" s="9">
        <f t="shared" si="13"/>
        <v>0</v>
      </c>
      <c r="M98" s="9"/>
      <c r="N98" s="9"/>
      <c r="O98" s="9">
        <v>0</v>
      </c>
      <c r="P98" s="9"/>
      <c r="Q98" s="9"/>
      <c r="R98" s="9">
        <v>0</v>
      </c>
      <c r="S98" s="9">
        <f t="shared" si="15"/>
        <v>0</v>
      </c>
      <c r="T98" s="11"/>
      <c r="U98" s="11"/>
      <c r="V98" s="9" t="e">
        <f t="shared" si="16"/>
        <v>#DIV/0!</v>
      </c>
      <c r="W98" s="9" t="e">
        <f t="shared" si="17"/>
        <v>#DIV/0!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 t="s">
        <v>44</v>
      </c>
      <c r="AI98" s="9"/>
      <c r="AJ98" s="1">
        <f t="shared" si="18"/>
        <v>0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138</v>
      </c>
      <c r="B99" s="1" t="s">
        <v>37</v>
      </c>
      <c r="C99" s="1">
        <v>94.513000000000005</v>
      </c>
      <c r="D99" s="1"/>
      <c r="E99" s="1">
        <v>17.356999999999999</v>
      </c>
      <c r="F99" s="1">
        <v>77.156000000000006</v>
      </c>
      <c r="G99" s="7">
        <v>1</v>
      </c>
      <c r="H99" s="1">
        <v>55</v>
      </c>
      <c r="I99" s="1" t="s">
        <v>38</v>
      </c>
      <c r="J99" s="1"/>
      <c r="K99" s="1">
        <v>14.7</v>
      </c>
      <c r="L99" s="1">
        <f t="shared" si="13"/>
        <v>2.657</v>
      </c>
      <c r="M99" s="1"/>
      <c r="N99" s="1"/>
      <c r="O99" s="1">
        <v>0</v>
      </c>
      <c r="P99" s="1"/>
      <c r="Q99" s="1"/>
      <c r="R99" s="1">
        <v>0</v>
      </c>
      <c r="S99" s="1">
        <f t="shared" si="15"/>
        <v>3.4714</v>
      </c>
      <c r="T99" s="5"/>
      <c r="U99" s="5"/>
      <c r="V99" s="1">
        <f t="shared" si="16"/>
        <v>22.226191162067177</v>
      </c>
      <c r="W99" s="1">
        <f t="shared" si="17"/>
        <v>22.226191162067177</v>
      </c>
      <c r="X99" s="1">
        <v>2.1972</v>
      </c>
      <c r="Y99" s="1">
        <v>3.1594000000000002</v>
      </c>
      <c r="Z99" s="1">
        <v>4.0695999999999994</v>
      </c>
      <c r="AA99" s="1">
        <v>3.1516000000000002</v>
      </c>
      <c r="AB99" s="1">
        <v>3.5156000000000001</v>
      </c>
      <c r="AC99" s="1">
        <v>4.7962000000000007</v>
      </c>
      <c r="AD99" s="1">
        <v>8.3277999999999999</v>
      </c>
      <c r="AE99" s="1">
        <v>89.048400000000001</v>
      </c>
      <c r="AF99" s="1">
        <v>86.158199999999994</v>
      </c>
      <c r="AG99" s="1">
        <v>6.9647999999999994</v>
      </c>
      <c r="AH99" s="17" t="s">
        <v>60</v>
      </c>
      <c r="AI99" s="1">
        <f>G99*T99</f>
        <v>0</v>
      </c>
      <c r="AJ99" s="1">
        <f t="shared" si="18"/>
        <v>0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s="15" customFormat="1" x14ac:dyDescent="0.25">
      <c r="A100" s="12" t="s">
        <v>139</v>
      </c>
      <c r="B100" s="12" t="s">
        <v>43</v>
      </c>
      <c r="C100" s="12"/>
      <c r="D100" s="12"/>
      <c r="E100" s="12"/>
      <c r="F100" s="12"/>
      <c r="G100" s="13">
        <v>0.11</v>
      </c>
      <c r="H100" s="12">
        <v>30</v>
      </c>
      <c r="I100" s="12" t="s">
        <v>38</v>
      </c>
      <c r="J100" s="12"/>
      <c r="K100" s="12"/>
      <c r="L100" s="12">
        <f t="shared" si="13"/>
        <v>0</v>
      </c>
      <c r="M100" s="12"/>
      <c r="N100" s="12"/>
      <c r="O100" s="12">
        <v>20</v>
      </c>
      <c r="P100" s="12"/>
      <c r="Q100" s="12"/>
      <c r="R100" s="12">
        <v>0</v>
      </c>
      <c r="S100" s="12">
        <f t="shared" si="15"/>
        <v>0</v>
      </c>
      <c r="T100" s="14"/>
      <c r="U100" s="14"/>
      <c r="V100" s="12" t="e">
        <f t="shared" si="16"/>
        <v>#DIV/0!</v>
      </c>
      <c r="W100" s="12" t="e">
        <f t="shared" si="17"/>
        <v>#DIV/0!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-0.2</v>
      </c>
      <c r="AD100" s="12">
        <v>-0.4</v>
      </c>
      <c r="AE100" s="12">
        <v>-0.6</v>
      </c>
      <c r="AF100" s="12">
        <v>-0.8</v>
      </c>
      <c r="AG100" s="12">
        <v>-0.4</v>
      </c>
      <c r="AH100" s="12"/>
      <c r="AI100" s="12">
        <f>G100*T100</f>
        <v>0</v>
      </c>
      <c r="AJ100" s="1">
        <f t="shared" si="18"/>
        <v>0</v>
      </c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</row>
    <row r="101" spans="1:49" x14ac:dyDescent="0.25">
      <c r="A101" s="9" t="s">
        <v>140</v>
      </c>
      <c r="B101" s="9" t="s">
        <v>43</v>
      </c>
      <c r="C101" s="9"/>
      <c r="D101" s="9"/>
      <c r="E101" s="9"/>
      <c r="F101" s="9"/>
      <c r="G101" s="10">
        <v>0</v>
      </c>
      <c r="H101" s="9"/>
      <c r="I101" s="9" t="s">
        <v>38</v>
      </c>
      <c r="J101" s="9"/>
      <c r="K101" s="9"/>
      <c r="L101" s="9">
        <f t="shared" si="13"/>
        <v>0</v>
      </c>
      <c r="M101" s="9"/>
      <c r="N101" s="9"/>
      <c r="O101" s="9">
        <v>0</v>
      </c>
      <c r="P101" s="9"/>
      <c r="Q101" s="9"/>
      <c r="R101" s="9">
        <v>0</v>
      </c>
      <c r="S101" s="9">
        <f t="shared" si="15"/>
        <v>0</v>
      </c>
      <c r="T101" s="11"/>
      <c r="U101" s="11"/>
      <c r="V101" s="9" t="e">
        <f t="shared" si="16"/>
        <v>#DIV/0!</v>
      </c>
      <c r="W101" s="9" t="e">
        <f t="shared" si="17"/>
        <v>#DIV/0!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 t="s">
        <v>44</v>
      </c>
      <c r="AI101" s="9"/>
      <c r="AJ101" s="1">
        <f t="shared" si="18"/>
        <v>0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141</v>
      </c>
      <c r="B102" s="1" t="s">
        <v>43</v>
      </c>
      <c r="C102" s="1">
        <v>131</v>
      </c>
      <c r="D102" s="1">
        <v>87</v>
      </c>
      <c r="E102" s="1">
        <v>111</v>
      </c>
      <c r="F102" s="1">
        <v>104</v>
      </c>
      <c r="G102" s="7">
        <v>0.08</v>
      </c>
      <c r="H102" s="1">
        <v>45</v>
      </c>
      <c r="I102" s="1" t="s">
        <v>38</v>
      </c>
      <c r="J102" s="1"/>
      <c r="K102" s="1">
        <v>127</v>
      </c>
      <c r="L102" s="1">
        <f t="shared" ref="L102:L129" si="22">E102-K102</f>
        <v>-16</v>
      </c>
      <c r="M102" s="1"/>
      <c r="N102" s="1"/>
      <c r="O102" s="1">
        <v>0</v>
      </c>
      <c r="P102" s="1"/>
      <c r="Q102" s="1"/>
      <c r="R102" s="1">
        <v>17.800000000000011</v>
      </c>
      <c r="S102" s="1">
        <f t="shared" si="15"/>
        <v>22.2</v>
      </c>
      <c r="T102" s="5">
        <f t="shared" ref="T102:T103" si="23">11*S102-R102-Q102-P102-O102-F102-U102</f>
        <v>122.39999999999998</v>
      </c>
      <c r="U102" s="5"/>
      <c r="V102" s="1">
        <f t="shared" si="16"/>
        <v>11</v>
      </c>
      <c r="W102" s="1">
        <f t="shared" si="17"/>
        <v>5.4864864864864868</v>
      </c>
      <c r="X102" s="1">
        <v>15.4</v>
      </c>
      <c r="Y102" s="1">
        <v>9.8000000000000007</v>
      </c>
      <c r="Z102" s="1">
        <v>10.6</v>
      </c>
      <c r="AA102" s="1">
        <v>19</v>
      </c>
      <c r="AB102" s="1">
        <v>23.2</v>
      </c>
      <c r="AC102" s="1">
        <v>23</v>
      </c>
      <c r="AD102" s="1">
        <v>23.8</v>
      </c>
      <c r="AE102" s="1">
        <v>20.2</v>
      </c>
      <c r="AF102" s="1">
        <v>19.8</v>
      </c>
      <c r="AG102" s="1">
        <v>17.399999999999999</v>
      </c>
      <c r="AH102" s="1"/>
      <c r="AI102" s="1">
        <f t="shared" ref="AI102:AI107" si="24">G102*T102</f>
        <v>9.791999999999998</v>
      </c>
      <c r="AJ102" s="1">
        <f t="shared" si="18"/>
        <v>0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142</v>
      </c>
      <c r="B103" s="1" t="s">
        <v>43</v>
      </c>
      <c r="C103" s="1">
        <v>67</v>
      </c>
      <c r="D103" s="1">
        <v>123</v>
      </c>
      <c r="E103" s="1">
        <v>70</v>
      </c>
      <c r="F103" s="1">
        <v>116</v>
      </c>
      <c r="G103" s="7">
        <v>0.08</v>
      </c>
      <c r="H103" s="1">
        <v>45</v>
      </c>
      <c r="I103" s="1" t="s">
        <v>38</v>
      </c>
      <c r="J103" s="1"/>
      <c r="K103" s="1">
        <v>94</v>
      </c>
      <c r="L103" s="1">
        <f t="shared" si="22"/>
        <v>-24</v>
      </c>
      <c r="M103" s="1"/>
      <c r="N103" s="1"/>
      <c r="O103" s="1">
        <v>6</v>
      </c>
      <c r="P103" s="1"/>
      <c r="Q103" s="1"/>
      <c r="R103" s="1">
        <v>20</v>
      </c>
      <c r="S103" s="1">
        <f t="shared" si="15"/>
        <v>14</v>
      </c>
      <c r="T103" s="5">
        <f t="shared" si="23"/>
        <v>12</v>
      </c>
      <c r="U103" s="5"/>
      <c r="V103" s="1">
        <f t="shared" si="16"/>
        <v>11</v>
      </c>
      <c r="W103" s="1">
        <f t="shared" si="17"/>
        <v>10.142857142857142</v>
      </c>
      <c r="X103" s="1">
        <v>12.4</v>
      </c>
      <c r="Y103" s="1">
        <v>17.399999999999999</v>
      </c>
      <c r="Z103" s="1">
        <v>17</v>
      </c>
      <c r="AA103" s="1">
        <v>11</v>
      </c>
      <c r="AB103" s="1">
        <v>13</v>
      </c>
      <c r="AC103" s="1">
        <v>16.2</v>
      </c>
      <c r="AD103" s="1">
        <v>19.399999999999999</v>
      </c>
      <c r="AE103" s="1">
        <v>16.8</v>
      </c>
      <c r="AF103" s="1">
        <v>17.399999999999999</v>
      </c>
      <c r="AG103" s="1">
        <v>15.8</v>
      </c>
      <c r="AH103" s="1"/>
      <c r="AI103" s="1">
        <f t="shared" si="24"/>
        <v>0.96</v>
      </c>
      <c r="AJ103" s="1">
        <f t="shared" si="18"/>
        <v>0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143</v>
      </c>
      <c r="B104" s="1" t="s">
        <v>43</v>
      </c>
      <c r="C104" s="1">
        <v>19</v>
      </c>
      <c r="D104" s="1"/>
      <c r="E104" s="1">
        <v>1</v>
      </c>
      <c r="F104" s="1">
        <v>18</v>
      </c>
      <c r="G104" s="7">
        <v>0.17</v>
      </c>
      <c r="H104" s="1">
        <v>30</v>
      </c>
      <c r="I104" s="1" t="s">
        <v>38</v>
      </c>
      <c r="J104" s="1"/>
      <c r="K104" s="1">
        <v>1</v>
      </c>
      <c r="L104" s="1">
        <f t="shared" si="22"/>
        <v>0</v>
      </c>
      <c r="M104" s="1"/>
      <c r="N104" s="1"/>
      <c r="O104" s="1">
        <v>0</v>
      </c>
      <c r="P104" s="1"/>
      <c r="Q104" s="1"/>
      <c r="R104" s="1">
        <v>0</v>
      </c>
      <c r="S104" s="1">
        <f t="shared" si="15"/>
        <v>0.2</v>
      </c>
      <c r="T104" s="5"/>
      <c r="U104" s="5"/>
      <c r="V104" s="1">
        <f t="shared" si="16"/>
        <v>90</v>
      </c>
      <c r="W104" s="1">
        <f t="shared" si="17"/>
        <v>90</v>
      </c>
      <c r="X104" s="1">
        <v>0.4</v>
      </c>
      <c r="Y104" s="1">
        <v>0.2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-0.2</v>
      </c>
      <c r="AG104" s="1">
        <v>-0.2</v>
      </c>
      <c r="AH104" s="1"/>
      <c r="AI104" s="1">
        <f t="shared" si="24"/>
        <v>0</v>
      </c>
      <c r="AJ104" s="1">
        <f t="shared" si="18"/>
        <v>0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144</v>
      </c>
      <c r="B105" s="1" t="s">
        <v>37</v>
      </c>
      <c r="C105" s="1">
        <v>90.313999999999993</v>
      </c>
      <c r="D105" s="1">
        <v>228.75200000000001</v>
      </c>
      <c r="E105" s="1">
        <v>131.69200000000001</v>
      </c>
      <c r="F105" s="1">
        <v>172.691</v>
      </c>
      <c r="G105" s="7">
        <v>1</v>
      </c>
      <c r="H105" s="1">
        <v>40</v>
      </c>
      <c r="I105" s="1" t="s">
        <v>38</v>
      </c>
      <c r="J105" s="1"/>
      <c r="K105" s="1">
        <v>145.4</v>
      </c>
      <c r="L105" s="1">
        <f t="shared" si="22"/>
        <v>-13.707999999999998</v>
      </c>
      <c r="M105" s="1"/>
      <c r="N105" s="1"/>
      <c r="O105" s="1">
        <v>0</v>
      </c>
      <c r="P105" s="1"/>
      <c r="Q105" s="1"/>
      <c r="R105" s="1">
        <v>165.37880000000001</v>
      </c>
      <c r="S105" s="1">
        <f t="shared" si="15"/>
        <v>26.3384</v>
      </c>
      <c r="T105" s="5"/>
      <c r="U105" s="5"/>
      <c r="V105" s="1">
        <f t="shared" si="16"/>
        <v>12.83562403183185</v>
      </c>
      <c r="W105" s="1">
        <f t="shared" si="17"/>
        <v>12.83562403183185</v>
      </c>
      <c r="X105" s="1">
        <v>31.392800000000001</v>
      </c>
      <c r="Y105" s="1">
        <v>26.237200000000001</v>
      </c>
      <c r="Z105" s="1">
        <v>30.513999999999999</v>
      </c>
      <c r="AA105" s="1">
        <v>35.223799999999997</v>
      </c>
      <c r="AB105" s="1">
        <v>32.168799999999997</v>
      </c>
      <c r="AC105" s="1">
        <v>34.5154</v>
      </c>
      <c r="AD105" s="1">
        <v>32.029400000000003</v>
      </c>
      <c r="AE105" s="1">
        <v>31.279399999999999</v>
      </c>
      <c r="AF105" s="1">
        <v>34.792999999999999</v>
      </c>
      <c r="AG105" s="1">
        <v>30.675999999999998</v>
      </c>
      <c r="AH105" s="1"/>
      <c r="AI105" s="1">
        <f t="shared" si="24"/>
        <v>0</v>
      </c>
      <c r="AJ105" s="1">
        <f t="shared" si="18"/>
        <v>0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145</v>
      </c>
      <c r="B106" s="1" t="s">
        <v>37</v>
      </c>
      <c r="C106" s="1">
        <v>140.87</v>
      </c>
      <c r="D106" s="1">
        <v>139.149</v>
      </c>
      <c r="E106" s="1">
        <v>109.075</v>
      </c>
      <c r="F106" s="1">
        <v>164.44300000000001</v>
      </c>
      <c r="G106" s="7">
        <v>1</v>
      </c>
      <c r="H106" s="1">
        <v>40</v>
      </c>
      <c r="I106" s="1" t="s">
        <v>38</v>
      </c>
      <c r="J106" s="1"/>
      <c r="K106" s="1">
        <v>111.2</v>
      </c>
      <c r="L106" s="1">
        <f t="shared" si="22"/>
        <v>-2.125</v>
      </c>
      <c r="M106" s="1"/>
      <c r="N106" s="1"/>
      <c r="O106" s="1">
        <v>11.04821000000001</v>
      </c>
      <c r="P106" s="1"/>
      <c r="Q106" s="1"/>
      <c r="R106" s="1">
        <v>108.7192</v>
      </c>
      <c r="S106" s="1">
        <f t="shared" si="15"/>
        <v>21.815000000000001</v>
      </c>
      <c r="T106" s="5"/>
      <c r="U106" s="5"/>
      <c r="V106" s="1">
        <f t="shared" si="16"/>
        <v>13.028210405684163</v>
      </c>
      <c r="W106" s="1">
        <f t="shared" si="17"/>
        <v>13.028210405684163</v>
      </c>
      <c r="X106" s="1">
        <v>26.238600000000002</v>
      </c>
      <c r="Y106" s="1">
        <v>26.207999999999998</v>
      </c>
      <c r="Z106" s="1">
        <v>30.0702</v>
      </c>
      <c r="AA106" s="1">
        <v>27.5472</v>
      </c>
      <c r="AB106" s="1">
        <v>24.343599999999999</v>
      </c>
      <c r="AC106" s="1">
        <v>23.461200000000002</v>
      </c>
      <c r="AD106" s="1">
        <v>22.640799999999999</v>
      </c>
      <c r="AE106" s="1">
        <v>21.380199999999999</v>
      </c>
      <c r="AF106" s="1">
        <v>19.637799999999999</v>
      </c>
      <c r="AG106" s="1">
        <v>19.757400000000001</v>
      </c>
      <c r="AH106" s="1"/>
      <c r="AI106" s="1">
        <f t="shared" si="24"/>
        <v>0</v>
      </c>
      <c r="AJ106" s="1">
        <f t="shared" si="18"/>
        <v>0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146</v>
      </c>
      <c r="B107" s="1" t="s">
        <v>37</v>
      </c>
      <c r="C107" s="1">
        <v>1.462</v>
      </c>
      <c r="D107" s="1">
        <v>365.94200000000001</v>
      </c>
      <c r="E107" s="1">
        <v>101.425</v>
      </c>
      <c r="F107" s="1">
        <v>264.50700000000001</v>
      </c>
      <c r="G107" s="7">
        <v>1</v>
      </c>
      <c r="H107" s="1">
        <v>40</v>
      </c>
      <c r="I107" s="1" t="s">
        <v>38</v>
      </c>
      <c r="J107" s="1"/>
      <c r="K107" s="1">
        <v>122.2</v>
      </c>
      <c r="L107" s="1">
        <f t="shared" si="22"/>
        <v>-20.775000000000006</v>
      </c>
      <c r="M107" s="1"/>
      <c r="N107" s="1"/>
      <c r="O107" s="1">
        <v>0</v>
      </c>
      <c r="P107" s="1"/>
      <c r="Q107" s="1"/>
      <c r="R107" s="1">
        <v>0</v>
      </c>
      <c r="S107" s="1">
        <f t="shared" si="15"/>
        <v>20.285</v>
      </c>
      <c r="T107" s="5"/>
      <c r="U107" s="5"/>
      <c r="V107" s="1">
        <f t="shared" si="16"/>
        <v>13.039536603401528</v>
      </c>
      <c r="W107" s="1">
        <f t="shared" si="17"/>
        <v>13.039536603401528</v>
      </c>
      <c r="X107" s="1">
        <v>3.4573999999999998</v>
      </c>
      <c r="Y107" s="1">
        <v>9.8133999999999997</v>
      </c>
      <c r="Z107" s="1">
        <v>30.8186</v>
      </c>
      <c r="AA107" s="1">
        <v>32.925199999999997</v>
      </c>
      <c r="AB107" s="1">
        <v>17.869199999999999</v>
      </c>
      <c r="AC107" s="1">
        <v>6.8346</v>
      </c>
      <c r="AD107" s="1">
        <v>-0.71160000000000001</v>
      </c>
      <c r="AE107" s="1">
        <v>-0.70979999999999999</v>
      </c>
      <c r="AF107" s="1">
        <v>-0.70679999999999998</v>
      </c>
      <c r="AG107" s="1">
        <v>-0.86</v>
      </c>
      <c r="AH107" s="1"/>
      <c r="AI107" s="1">
        <f t="shared" si="24"/>
        <v>0</v>
      </c>
      <c r="AJ107" s="1">
        <f t="shared" si="18"/>
        <v>0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9" t="s">
        <v>147</v>
      </c>
      <c r="B108" s="9" t="s">
        <v>43</v>
      </c>
      <c r="C108" s="9"/>
      <c r="D108" s="9"/>
      <c r="E108" s="9"/>
      <c r="F108" s="9"/>
      <c r="G108" s="10">
        <v>0</v>
      </c>
      <c r="H108" s="9"/>
      <c r="I108" s="9" t="s">
        <v>38</v>
      </c>
      <c r="J108" s="9"/>
      <c r="K108" s="9"/>
      <c r="L108" s="9">
        <f t="shared" si="22"/>
        <v>0</v>
      </c>
      <c r="M108" s="9"/>
      <c r="N108" s="9"/>
      <c r="O108" s="9">
        <v>0</v>
      </c>
      <c r="P108" s="9"/>
      <c r="Q108" s="9"/>
      <c r="R108" s="9">
        <v>0</v>
      </c>
      <c r="S108" s="9">
        <f t="shared" si="15"/>
        <v>0</v>
      </c>
      <c r="T108" s="11"/>
      <c r="U108" s="11"/>
      <c r="V108" s="9" t="e">
        <f t="shared" si="16"/>
        <v>#DIV/0!</v>
      </c>
      <c r="W108" s="9" t="e">
        <f t="shared" si="17"/>
        <v>#DIV/0!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 t="s">
        <v>44</v>
      </c>
      <c r="AI108" s="9"/>
      <c r="AJ108" s="1">
        <f t="shared" si="18"/>
        <v>0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9" t="s">
        <v>148</v>
      </c>
      <c r="B109" s="9" t="s">
        <v>37</v>
      </c>
      <c r="C109" s="9"/>
      <c r="D109" s="9"/>
      <c r="E109" s="9"/>
      <c r="F109" s="9"/>
      <c r="G109" s="10">
        <v>0</v>
      </c>
      <c r="H109" s="9"/>
      <c r="I109" s="9" t="s">
        <v>38</v>
      </c>
      <c r="J109" s="9"/>
      <c r="K109" s="9"/>
      <c r="L109" s="9">
        <f t="shared" si="22"/>
        <v>0</v>
      </c>
      <c r="M109" s="9"/>
      <c r="N109" s="9"/>
      <c r="O109" s="9">
        <v>0</v>
      </c>
      <c r="P109" s="9"/>
      <c r="Q109" s="9"/>
      <c r="R109" s="9">
        <v>0</v>
      </c>
      <c r="S109" s="9">
        <f t="shared" si="15"/>
        <v>0</v>
      </c>
      <c r="T109" s="11"/>
      <c r="U109" s="11"/>
      <c r="V109" s="9" t="e">
        <f t="shared" si="16"/>
        <v>#DIV/0!</v>
      </c>
      <c r="W109" s="9" t="e">
        <f t="shared" si="17"/>
        <v>#DIV/0!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 t="s">
        <v>44</v>
      </c>
      <c r="AI109" s="9"/>
      <c r="AJ109" s="1">
        <f t="shared" si="18"/>
        <v>0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149</v>
      </c>
      <c r="B110" s="1" t="s">
        <v>43</v>
      </c>
      <c r="C110" s="1">
        <v>417</v>
      </c>
      <c r="D110" s="1">
        <v>101</v>
      </c>
      <c r="E110" s="1">
        <v>228</v>
      </c>
      <c r="F110" s="1">
        <v>274</v>
      </c>
      <c r="G110" s="7">
        <v>0.28000000000000003</v>
      </c>
      <c r="H110" s="1">
        <v>40</v>
      </c>
      <c r="I110" s="1" t="s">
        <v>38</v>
      </c>
      <c r="J110" s="1"/>
      <c r="K110" s="1">
        <v>290</v>
      </c>
      <c r="L110" s="1">
        <f t="shared" si="22"/>
        <v>-62</v>
      </c>
      <c r="M110" s="1"/>
      <c r="N110" s="1"/>
      <c r="O110" s="1">
        <v>131.69999999999999</v>
      </c>
      <c r="P110" s="1"/>
      <c r="Q110" s="1"/>
      <c r="R110" s="1">
        <v>240.0559999999999</v>
      </c>
      <c r="S110" s="1">
        <f t="shared" si="15"/>
        <v>45.6</v>
      </c>
      <c r="T110" s="5"/>
      <c r="U110" s="5"/>
      <c r="V110" s="1">
        <f t="shared" si="16"/>
        <v>14.161315789473681</v>
      </c>
      <c r="W110" s="1">
        <f t="shared" si="17"/>
        <v>14.161315789473681</v>
      </c>
      <c r="X110" s="1">
        <v>52.8</v>
      </c>
      <c r="Y110" s="1">
        <v>57.2</v>
      </c>
      <c r="Z110" s="1">
        <v>51.4</v>
      </c>
      <c r="AA110" s="1">
        <v>46.4</v>
      </c>
      <c r="AB110" s="1">
        <v>51</v>
      </c>
      <c r="AC110" s="1">
        <v>48.8</v>
      </c>
      <c r="AD110" s="1">
        <v>37.4</v>
      </c>
      <c r="AE110" s="1">
        <v>39</v>
      </c>
      <c r="AF110" s="1">
        <v>65</v>
      </c>
      <c r="AG110" s="1">
        <v>52.8</v>
      </c>
      <c r="AH110" s="1"/>
      <c r="AI110" s="1">
        <f t="shared" ref="AI110:AI129" si="25">G110*T110</f>
        <v>0</v>
      </c>
      <c r="AJ110" s="1">
        <f t="shared" si="18"/>
        <v>0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150</v>
      </c>
      <c r="B111" s="1" t="s">
        <v>43</v>
      </c>
      <c r="C111" s="1">
        <v>292</v>
      </c>
      <c r="D111" s="1">
        <v>11</v>
      </c>
      <c r="E111" s="1">
        <v>217</v>
      </c>
      <c r="F111" s="1">
        <v>84</v>
      </c>
      <c r="G111" s="7">
        <v>0.28000000000000003</v>
      </c>
      <c r="H111" s="1">
        <v>40</v>
      </c>
      <c r="I111" s="1" t="s">
        <v>38</v>
      </c>
      <c r="J111" s="1"/>
      <c r="K111" s="1">
        <v>247</v>
      </c>
      <c r="L111" s="1">
        <f t="shared" si="22"/>
        <v>-30</v>
      </c>
      <c r="M111" s="1"/>
      <c r="N111" s="1"/>
      <c r="O111" s="1">
        <v>0</v>
      </c>
      <c r="P111" s="1"/>
      <c r="Q111" s="1"/>
      <c r="R111" s="1">
        <v>411.13200000000001</v>
      </c>
      <c r="S111" s="1">
        <f t="shared" si="15"/>
        <v>43.4</v>
      </c>
      <c r="T111" s="5"/>
      <c r="U111" s="5"/>
      <c r="V111" s="1">
        <f t="shared" si="16"/>
        <v>11.408571428571429</v>
      </c>
      <c r="W111" s="1">
        <f t="shared" si="17"/>
        <v>11.408571428571429</v>
      </c>
      <c r="X111" s="1">
        <v>46.6</v>
      </c>
      <c r="Y111" s="1">
        <v>24</v>
      </c>
      <c r="Z111" s="1">
        <v>-0.2</v>
      </c>
      <c r="AA111" s="1">
        <v>1.8</v>
      </c>
      <c r="AB111" s="1">
        <v>19.2</v>
      </c>
      <c r="AC111" s="1">
        <v>39.200000000000003</v>
      </c>
      <c r="AD111" s="1">
        <v>28.2</v>
      </c>
      <c r="AE111" s="1">
        <v>7.8</v>
      </c>
      <c r="AF111" s="1">
        <v>0</v>
      </c>
      <c r="AG111" s="1">
        <v>0</v>
      </c>
      <c r="AH111" s="1"/>
      <c r="AI111" s="1">
        <f t="shared" si="25"/>
        <v>0</v>
      </c>
      <c r="AJ111" s="1">
        <f t="shared" si="18"/>
        <v>0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151</v>
      </c>
      <c r="B112" s="1" t="s">
        <v>43</v>
      </c>
      <c r="C112" s="1">
        <v>311</v>
      </c>
      <c r="D112" s="1">
        <v>91</v>
      </c>
      <c r="E112" s="1">
        <v>208</v>
      </c>
      <c r="F112" s="1">
        <v>185</v>
      </c>
      <c r="G112" s="7">
        <v>0.28000000000000003</v>
      </c>
      <c r="H112" s="1">
        <v>40</v>
      </c>
      <c r="I112" s="1" t="s">
        <v>38</v>
      </c>
      <c r="J112" s="1"/>
      <c r="K112" s="1">
        <v>305</v>
      </c>
      <c r="L112" s="1">
        <f t="shared" si="22"/>
        <v>-97</v>
      </c>
      <c r="M112" s="1"/>
      <c r="N112" s="1"/>
      <c r="O112" s="1">
        <v>110.07</v>
      </c>
      <c r="P112" s="1"/>
      <c r="Q112" s="1"/>
      <c r="R112" s="1">
        <v>254.9</v>
      </c>
      <c r="S112" s="1">
        <f t="shared" si="15"/>
        <v>41.6</v>
      </c>
      <c r="T112" s="5"/>
      <c r="U112" s="5"/>
      <c r="V112" s="1">
        <f t="shared" si="16"/>
        <v>13.220432692307693</v>
      </c>
      <c r="W112" s="1">
        <f t="shared" si="17"/>
        <v>13.220432692307693</v>
      </c>
      <c r="X112" s="1">
        <v>45</v>
      </c>
      <c r="Y112" s="1">
        <v>46</v>
      </c>
      <c r="Z112" s="1">
        <v>43.4</v>
      </c>
      <c r="AA112" s="1">
        <v>45.8</v>
      </c>
      <c r="AB112" s="1">
        <v>41</v>
      </c>
      <c r="AC112" s="1">
        <v>35.799999999999997</v>
      </c>
      <c r="AD112" s="1">
        <v>46</v>
      </c>
      <c r="AE112" s="1">
        <v>40.6</v>
      </c>
      <c r="AF112" s="1">
        <v>56.2</v>
      </c>
      <c r="AG112" s="1">
        <v>48.6</v>
      </c>
      <c r="AH112" s="1"/>
      <c r="AI112" s="1">
        <f t="shared" si="25"/>
        <v>0</v>
      </c>
      <c r="AJ112" s="1">
        <f t="shared" si="18"/>
        <v>0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152</v>
      </c>
      <c r="B113" s="1" t="s">
        <v>43</v>
      </c>
      <c r="C113" s="1">
        <v>34</v>
      </c>
      <c r="D113" s="1">
        <v>32</v>
      </c>
      <c r="E113" s="1">
        <v>48</v>
      </c>
      <c r="F113" s="1">
        <v>18</v>
      </c>
      <c r="G113" s="7">
        <v>0.09</v>
      </c>
      <c r="H113" s="1">
        <v>45</v>
      </c>
      <c r="I113" s="1" t="s">
        <v>38</v>
      </c>
      <c r="J113" s="1"/>
      <c r="K113" s="1">
        <v>50</v>
      </c>
      <c r="L113" s="1">
        <f t="shared" si="22"/>
        <v>-2</v>
      </c>
      <c r="M113" s="1"/>
      <c r="N113" s="1"/>
      <c r="O113" s="1">
        <v>0</v>
      </c>
      <c r="P113" s="1"/>
      <c r="Q113" s="1"/>
      <c r="R113" s="1">
        <v>38.199999999999989</v>
      </c>
      <c r="S113" s="1">
        <f t="shared" si="15"/>
        <v>9.6</v>
      </c>
      <c r="T113" s="5">
        <f t="shared" ref="T113:T126" si="26">11*S113-R113-Q113-P113-O113-F113-U113</f>
        <v>49.400000000000006</v>
      </c>
      <c r="U113" s="5"/>
      <c r="V113" s="1">
        <f t="shared" si="16"/>
        <v>11</v>
      </c>
      <c r="W113" s="1">
        <f t="shared" si="17"/>
        <v>5.8541666666666661</v>
      </c>
      <c r="X113" s="1">
        <v>6.6</v>
      </c>
      <c r="Y113" s="1">
        <v>2.8</v>
      </c>
      <c r="Z113" s="1">
        <v>4.2</v>
      </c>
      <c r="AA113" s="1">
        <v>6</v>
      </c>
      <c r="AB113" s="1">
        <v>1.8</v>
      </c>
      <c r="AC113" s="1">
        <v>5.6</v>
      </c>
      <c r="AD113" s="1">
        <v>6.4</v>
      </c>
      <c r="AE113" s="1">
        <v>2</v>
      </c>
      <c r="AF113" s="1">
        <v>0</v>
      </c>
      <c r="AG113" s="1">
        <v>0</v>
      </c>
      <c r="AH113" s="1"/>
      <c r="AI113" s="1">
        <f t="shared" si="25"/>
        <v>4.4460000000000006</v>
      </c>
      <c r="AJ113" s="1">
        <f t="shared" si="18"/>
        <v>0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154</v>
      </c>
      <c r="B114" s="1" t="s">
        <v>37</v>
      </c>
      <c r="C114" s="1">
        <v>83.498000000000005</v>
      </c>
      <c r="D114" s="1">
        <v>49.801000000000002</v>
      </c>
      <c r="E114" s="1">
        <v>55.417000000000002</v>
      </c>
      <c r="F114" s="1">
        <v>73.168999999999997</v>
      </c>
      <c r="G114" s="7">
        <v>1</v>
      </c>
      <c r="H114" s="1">
        <v>60</v>
      </c>
      <c r="I114" s="1" t="s">
        <v>38</v>
      </c>
      <c r="J114" s="1"/>
      <c r="K114" s="1">
        <v>57.5</v>
      </c>
      <c r="L114" s="1">
        <f t="shared" si="22"/>
        <v>-2.0829999999999984</v>
      </c>
      <c r="M114" s="1"/>
      <c r="N114" s="1"/>
      <c r="O114" s="1">
        <v>131.92959999999999</v>
      </c>
      <c r="P114" s="1"/>
      <c r="Q114" s="1"/>
      <c r="R114" s="1">
        <v>26.090399999999999</v>
      </c>
      <c r="S114" s="1">
        <f t="shared" si="15"/>
        <v>11.083400000000001</v>
      </c>
      <c r="T114" s="5"/>
      <c r="U114" s="5"/>
      <c r="V114" s="1">
        <f t="shared" si="16"/>
        <v>20.859032426872616</v>
      </c>
      <c r="W114" s="1">
        <f t="shared" si="17"/>
        <v>20.859032426872616</v>
      </c>
      <c r="X114" s="1">
        <v>18.972999999999999</v>
      </c>
      <c r="Y114" s="1">
        <v>21.614599999999999</v>
      </c>
      <c r="Z114" s="1">
        <v>13.019600000000001</v>
      </c>
      <c r="AA114" s="1">
        <v>9.3587999999999987</v>
      </c>
      <c r="AB114" s="1">
        <v>18.064599999999999</v>
      </c>
      <c r="AC114" s="1">
        <v>21.049600000000002</v>
      </c>
      <c r="AD114" s="1">
        <v>5.7427999999999999</v>
      </c>
      <c r="AE114" s="1">
        <v>-0.13300000000000001</v>
      </c>
      <c r="AF114" s="1">
        <v>1.3198000000000001</v>
      </c>
      <c r="AG114" s="1">
        <v>14.398400000000001</v>
      </c>
      <c r="AH114" s="16" t="s">
        <v>40</v>
      </c>
      <c r="AI114" s="1">
        <f t="shared" si="25"/>
        <v>0</v>
      </c>
      <c r="AJ114" s="1">
        <f t="shared" si="18"/>
        <v>0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155</v>
      </c>
      <c r="B115" s="1" t="s">
        <v>37</v>
      </c>
      <c r="C115" s="1">
        <v>92.409000000000006</v>
      </c>
      <c r="D115" s="1">
        <v>107.40900000000001</v>
      </c>
      <c r="E115" s="1">
        <v>67.146000000000001</v>
      </c>
      <c r="F115" s="1">
        <v>135.172</v>
      </c>
      <c r="G115" s="7">
        <v>1</v>
      </c>
      <c r="H115" s="1">
        <v>50</v>
      </c>
      <c r="I115" s="1" t="s">
        <v>38</v>
      </c>
      <c r="J115" s="1"/>
      <c r="K115" s="1">
        <v>65</v>
      </c>
      <c r="L115" s="1">
        <f t="shared" si="22"/>
        <v>2.1460000000000008</v>
      </c>
      <c r="M115" s="1"/>
      <c r="N115" s="1"/>
      <c r="O115" s="1">
        <v>97.419300000000064</v>
      </c>
      <c r="P115" s="1"/>
      <c r="Q115" s="1"/>
      <c r="R115" s="1">
        <v>0</v>
      </c>
      <c r="S115" s="1">
        <f t="shared" si="15"/>
        <v>13.4292</v>
      </c>
      <c r="T115" s="5"/>
      <c r="U115" s="5"/>
      <c r="V115" s="1">
        <f t="shared" si="16"/>
        <v>17.319818008518755</v>
      </c>
      <c r="W115" s="1">
        <f t="shared" si="17"/>
        <v>17.319818008518755</v>
      </c>
      <c r="X115" s="1">
        <v>21.123000000000001</v>
      </c>
      <c r="Y115" s="1">
        <v>25.892800000000001</v>
      </c>
      <c r="Z115" s="1">
        <v>21.508199999999999</v>
      </c>
      <c r="AA115" s="1">
        <v>16.107800000000001</v>
      </c>
      <c r="AB115" s="1">
        <v>20.5518</v>
      </c>
      <c r="AC115" s="1">
        <v>23.8172</v>
      </c>
      <c r="AD115" s="1">
        <v>10.0442</v>
      </c>
      <c r="AE115" s="1">
        <v>4.9964000000000004</v>
      </c>
      <c r="AF115" s="1">
        <v>21.4312</v>
      </c>
      <c r="AG115" s="1">
        <v>33.929199999999987</v>
      </c>
      <c r="AH115" s="1"/>
      <c r="AI115" s="1">
        <f t="shared" si="25"/>
        <v>0</v>
      </c>
      <c r="AJ115" s="1">
        <f t="shared" si="18"/>
        <v>0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 t="s">
        <v>156</v>
      </c>
      <c r="B116" s="1" t="s">
        <v>43</v>
      </c>
      <c r="C116" s="1"/>
      <c r="D116" s="1">
        <v>82</v>
      </c>
      <c r="E116" s="1">
        <v>30</v>
      </c>
      <c r="F116" s="1">
        <v>52</v>
      </c>
      <c r="G116" s="7">
        <v>0.09</v>
      </c>
      <c r="H116" s="1">
        <v>45</v>
      </c>
      <c r="I116" s="1" t="s">
        <v>38</v>
      </c>
      <c r="J116" s="1"/>
      <c r="K116" s="1">
        <v>52</v>
      </c>
      <c r="L116" s="1">
        <f t="shared" si="22"/>
        <v>-22</v>
      </c>
      <c r="M116" s="1"/>
      <c r="N116" s="1"/>
      <c r="O116" s="1">
        <v>0</v>
      </c>
      <c r="P116" s="1"/>
      <c r="Q116" s="1"/>
      <c r="R116" s="1">
        <v>0</v>
      </c>
      <c r="S116" s="1">
        <f t="shared" si="15"/>
        <v>6</v>
      </c>
      <c r="T116" s="5">
        <f t="shared" si="26"/>
        <v>14</v>
      </c>
      <c r="U116" s="5"/>
      <c r="V116" s="1">
        <f t="shared" si="16"/>
        <v>11</v>
      </c>
      <c r="W116" s="1">
        <f t="shared" si="17"/>
        <v>8.6666666666666661</v>
      </c>
      <c r="X116" s="1">
        <v>3.8</v>
      </c>
      <c r="Y116" s="1">
        <v>5.2</v>
      </c>
      <c r="Z116" s="1">
        <v>5.6</v>
      </c>
      <c r="AA116" s="1">
        <v>6.4</v>
      </c>
      <c r="AB116" s="1">
        <v>2.4</v>
      </c>
      <c r="AC116" s="1">
        <v>3.2</v>
      </c>
      <c r="AD116" s="1">
        <v>4</v>
      </c>
      <c r="AE116" s="1">
        <v>2</v>
      </c>
      <c r="AF116" s="1">
        <v>0</v>
      </c>
      <c r="AG116" s="1">
        <v>0</v>
      </c>
      <c r="AH116" s="1"/>
      <c r="AI116" s="1">
        <f t="shared" si="25"/>
        <v>1.26</v>
      </c>
      <c r="AJ116" s="1">
        <f t="shared" si="18"/>
        <v>0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157</v>
      </c>
      <c r="B117" s="1" t="s">
        <v>43</v>
      </c>
      <c r="C117" s="1">
        <v>7</v>
      </c>
      <c r="D117" s="1">
        <v>92</v>
      </c>
      <c r="E117" s="1">
        <v>30</v>
      </c>
      <c r="F117" s="1">
        <v>69</v>
      </c>
      <c r="G117" s="7">
        <v>0.09</v>
      </c>
      <c r="H117" s="1">
        <v>45</v>
      </c>
      <c r="I117" s="1" t="s">
        <v>38</v>
      </c>
      <c r="J117" s="1"/>
      <c r="K117" s="1">
        <v>41</v>
      </c>
      <c r="L117" s="1">
        <f t="shared" si="22"/>
        <v>-11</v>
      </c>
      <c r="M117" s="1"/>
      <c r="N117" s="1"/>
      <c r="O117" s="1">
        <v>0</v>
      </c>
      <c r="P117" s="1"/>
      <c r="Q117" s="1"/>
      <c r="R117" s="1">
        <v>0</v>
      </c>
      <c r="S117" s="1">
        <f t="shared" si="15"/>
        <v>6</v>
      </c>
      <c r="T117" s="5"/>
      <c r="U117" s="5"/>
      <c r="V117" s="1">
        <f t="shared" si="16"/>
        <v>11.5</v>
      </c>
      <c r="W117" s="1">
        <f t="shared" si="17"/>
        <v>11.5</v>
      </c>
      <c r="X117" s="1">
        <v>3.2</v>
      </c>
      <c r="Y117" s="1">
        <v>3.8</v>
      </c>
      <c r="Z117" s="1">
        <v>6.2</v>
      </c>
      <c r="AA117" s="1">
        <v>6.2</v>
      </c>
      <c r="AB117" s="1">
        <v>2</v>
      </c>
      <c r="AC117" s="1">
        <v>3.4</v>
      </c>
      <c r="AD117" s="1">
        <v>4</v>
      </c>
      <c r="AE117" s="1">
        <v>2</v>
      </c>
      <c r="AF117" s="1">
        <v>0</v>
      </c>
      <c r="AG117" s="1">
        <v>0</v>
      </c>
      <c r="AH117" s="1"/>
      <c r="AI117" s="1">
        <f t="shared" si="25"/>
        <v>0</v>
      </c>
      <c r="AJ117" s="1">
        <f t="shared" si="18"/>
        <v>0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158</v>
      </c>
      <c r="B118" s="1" t="s">
        <v>37</v>
      </c>
      <c r="C118" s="1">
        <v>102.143</v>
      </c>
      <c r="D118" s="1">
        <v>8.1859999999999999</v>
      </c>
      <c r="E118" s="1">
        <v>70.965999999999994</v>
      </c>
      <c r="F118" s="1">
        <v>30.361000000000001</v>
      </c>
      <c r="G118" s="7">
        <v>1</v>
      </c>
      <c r="H118" s="1">
        <v>60</v>
      </c>
      <c r="I118" s="1" t="s">
        <v>38</v>
      </c>
      <c r="J118" s="1"/>
      <c r="K118" s="1">
        <v>74.667000000000002</v>
      </c>
      <c r="L118" s="1">
        <f t="shared" si="22"/>
        <v>-3.7010000000000076</v>
      </c>
      <c r="M118" s="1"/>
      <c r="N118" s="1"/>
      <c r="O118" s="1">
        <v>55.992899999999992</v>
      </c>
      <c r="P118" s="1"/>
      <c r="Q118" s="1"/>
      <c r="R118" s="1">
        <v>109.22620000000001</v>
      </c>
      <c r="S118" s="1">
        <f t="shared" si="15"/>
        <v>14.193199999999999</v>
      </c>
      <c r="T118" s="5"/>
      <c r="U118" s="5"/>
      <c r="V118" s="1">
        <f t="shared" si="16"/>
        <v>13.779845278020462</v>
      </c>
      <c r="W118" s="1">
        <f t="shared" si="17"/>
        <v>13.779845278020462</v>
      </c>
      <c r="X118" s="1">
        <v>18.148800000000001</v>
      </c>
      <c r="Y118" s="1">
        <v>14.731400000000001</v>
      </c>
      <c r="Z118" s="1">
        <v>11.702199999999999</v>
      </c>
      <c r="AA118" s="1">
        <v>16.356999999999999</v>
      </c>
      <c r="AB118" s="1">
        <v>14.2948</v>
      </c>
      <c r="AC118" s="1">
        <v>16.265000000000001</v>
      </c>
      <c r="AD118" s="1">
        <v>16.506799999999998</v>
      </c>
      <c r="AE118" s="1">
        <v>13.19</v>
      </c>
      <c r="AF118" s="1">
        <v>15.274800000000001</v>
      </c>
      <c r="AG118" s="1">
        <v>9.7639999999999993</v>
      </c>
      <c r="AH118" s="1"/>
      <c r="AI118" s="1">
        <f t="shared" si="25"/>
        <v>0</v>
      </c>
      <c r="AJ118" s="1">
        <f t="shared" si="18"/>
        <v>0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 t="s">
        <v>159</v>
      </c>
      <c r="B119" s="1" t="s">
        <v>37</v>
      </c>
      <c r="C119" s="1">
        <v>143.63200000000001</v>
      </c>
      <c r="D119" s="1">
        <v>211.99799999999999</v>
      </c>
      <c r="E119" s="1">
        <v>138.29400000000001</v>
      </c>
      <c r="F119" s="1">
        <v>213.089</v>
      </c>
      <c r="G119" s="7">
        <v>1</v>
      </c>
      <c r="H119" s="1">
        <v>60</v>
      </c>
      <c r="I119" s="1" t="s">
        <v>38</v>
      </c>
      <c r="J119" s="1"/>
      <c r="K119" s="1">
        <v>138.1</v>
      </c>
      <c r="L119" s="1">
        <f t="shared" si="22"/>
        <v>0.19400000000001683</v>
      </c>
      <c r="M119" s="1"/>
      <c r="N119" s="1"/>
      <c r="O119" s="1">
        <v>22.74899999999997</v>
      </c>
      <c r="P119" s="1"/>
      <c r="Q119" s="1"/>
      <c r="R119" s="1">
        <v>102.0131999999999</v>
      </c>
      <c r="S119" s="1">
        <f t="shared" si="15"/>
        <v>27.658800000000003</v>
      </c>
      <c r="T119" s="5"/>
      <c r="U119" s="5"/>
      <c r="V119" s="1">
        <f t="shared" si="16"/>
        <v>12.214962326637446</v>
      </c>
      <c r="W119" s="1">
        <f t="shared" si="17"/>
        <v>12.214962326637446</v>
      </c>
      <c r="X119" s="1">
        <v>32.487400000000001</v>
      </c>
      <c r="Y119" s="1">
        <v>32.491</v>
      </c>
      <c r="Z119" s="1">
        <v>33.539200000000001</v>
      </c>
      <c r="AA119" s="1">
        <v>38.166400000000003</v>
      </c>
      <c r="AB119" s="1">
        <v>33.573999999999998</v>
      </c>
      <c r="AC119" s="1">
        <v>28.9922</v>
      </c>
      <c r="AD119" s="1">
        <v>22.5944</v>
      </c>
      <c r="AE119" s="1">
        <v>18.268999999999998</v>
      </c>
      <c r="AF119" s="1">
        <v>24.500800000000002</v>
      </c>
      <c r="AG119" s="1">
        <v>25.675599999999999</v>
      </c>
      <c r="AH119" s="1"/>
      <c r="AI119" s="1">
        <f t="shared" si="25"/>
        <v>0</v>
      </c>
      <c r="AJ119" s="1">
        <f t="shared" si="18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 t="s">
        <v>160</v>
      </c>
      <c r="B120" s="1" t="s">
        <v>37</v>
      </c>
      <c r="C120" s="1">
        <v>93.381</v>
      </c>
      <c r="D120" s="1">
        <v>24.721</v>
      </c>
      <c r="E120" s="1">
        <v>37.338000000000001</v>
      </c>
      <c r="F120" s="1">
        <v>78.603999999999999</v>
      </c>
      <c r="G120" s="7">
        <v>1</v>
      </c>
      <c r="H120" s="1">
        <v>60</v>
      </c>
      <c r="I120" s="1" t="s">
        <v>38</v>
      </c>
      <c r="J120" s="1"/>
      <c r="K120" s="1">
        <v>37.6</v>
      </c>
      <c r="L120" s="1">
        <f t="shared" si="22"/>
        <v>-0.26200000000000045</v>
      </c>
      <c r="M120" s="1"/>
      <c r="N120" s="1"/>
      <c r="O120" s="1">
        <v>0</v>
      </c>
      <c r="P120" s="1"/>
      <c r="Q120" s="1"/>
      <c r="R120" s="1">
        <v>0</v>
      </c>
      <c r="S120" s="1">
        <f t="shared" si="15"/>
        <v>7.4676</v>
      </c>
      <c r="T120" s="5">
        <f t="shared" si="26"/>
        <v>3.5396000000000072</v>
      </c>
      <c r="U120" s="5"/>
      <c r="V120" s="1">
        <f t="shared" si="16"/>
        <v>11</v>
      </c>
      <c r="W120" s="1">
        <f t="shared" si="17"/>
        <v>10.526005677861695</v>
      </c>
      <c r="X120" s="1">
        <v>6.0911999999999997</v>
      </c>
      <c r="Y120" s="1">
        <v>8.3735999999999997</v>
      </c>
      <c r="Z120" s="1">
        <v>6.7864000000000004</v>
      </c>
      <c r="AA120" s="1">
        <v>2.7437999999999998</v>
      </c>
      <c r="AB120" s="1">
        <v>5.9551999999999996</v>
      </c>
      <c r="AC120" s="1">
        <v>7.2919999999999998</v>
      </c>
      <c r="AD120" s="1">
        <v>3.9214000000000002</v>
      </c>
      <c r="AE120" s="1">
        <v>1.7742</v>
      </c>
      <c r="AF120" s="1">
        <v>3.3816000000000002</v>
      </c>
      <c r="AG120" s="1">
        <v>7.7671999999999999</v>
      </c>
      <c r="AH120" s="1"/>
      <c r="AI120" s="1">
        <f t="shared" si="25"/>
        <v>3.5396000000000072</v>
      </c>
      <c r="AJ120" s="1">
        <f t="shared" si="18"/>
        <v>0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 t="s">
        <v>161</v>
      </c>
      <c r="B121" s="1" t="s">
        <v>37</v>
      </c>
      <c r="C121" s="1">
        <v>378.43</v>
      </c>
      <c r="D121" s="1">
        <v>1706.702</v>
      </c>
      <c r="E121" s="1">
        <v>587.18799999999999</v>
      </c>
      <c r="F121" s="1">
        <v>1258.4929999999999</v>
      </c>
      <c r="G121" s="7">
        <v>1</v>
      </c>
      <c r="H121" s="1">
        <v>60</v>
      </c>
      <c r="I121" s="1" t="s">
        <v>38</v>
      </c>
      <c r="J121" s="1"/>
      <c r="K121" s="1">
        <v>1017.5</v>
      </c>
      <c r="L121" s="1">
        <f t="shared" si="22"/>
        <v>-430.31200000000001</v>
      </c>
      <c r="M121" s="1"/>
      <c r="N121" s="1"/>
      <c r="O121" s="1">
        <v>550.88737000000015</v>
      </c>
      <c r="P121" s="1"/>
      <c r="Q121" s="1">
        <v>600</v>
      </c>
      <c r="R121" s="1">
        <v>0</v>
      </c>
      <c r="S121" s="1">
        <f t="shared" si="15"/>
        <v>117.4376</v>
      </c>
      <c r="T121" s="5"/>
      <c r="U121" s="5"/>
      <c r="V121" s="1">
        <f t="shared" si="16"/>
        <v>20.516260294828911</v>
      </c>
      <c r="W121" s="1">
        <f t="shared" si="17"/>
        <v>20.516260294828911</v>
      </c>
      <c r="X121" s="1">
        <v>168.51339999999999</v>
      </c>
      <c r="Y121" s="1">
        <v>198.84460000000001</v>
      </c>
      <c r="Z121" s="1">
        <v>196.62360000000001</v>
      </c>
      <c r="AA121" s="1">
        <v>210.56399999999999</v>
      </c>
      <c r="AB121" s="1">
        <v>163.96199999999999</v>
      </c>
      <c r="AC121" s="1">
        <v>143.77440000000001</v>
      </c>
      <c r="AD121" s="1">
        <v>106.32680000000001</v>
      </c>
      <c r="AE121" s="1">
        <v>144.953</v>
      </c>
      <c r="AF121" s="1">
        <v>0</v>
      </c>
      <c r="AG121" s="1">
        <v>0</v>
      </c>
      <c r="AH121" s="1"/>
      <c r="AI121" s="1">
        <f t="shared" si="25"/>
        <v>0</v>
      </c>
      <c r="AJ121" s="1">
        <f t="shared" si="18"/>
        <v>0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 t="s">
        <v>162</v>
      </c>
      <c r="B122" s="1" t="s">
        <v>43</v>
      </c>
      <c r="C122" s="1">
        <v>12</v>
      </c>
      <c r="D122" s="1">
        <v>487</v>
      </c>
      <c r="E122" s="1">
        <v>192</v>
      </c>
      <c r="F122" s="1">
        <v>301</v>
      </c>
      <c r="G122" s="7">
        <v>0.3</v>
      </c>
      <c r="H122" s="1">
        <v>40</v>
      </c>
      <c r="I122" s="1" t="s">
        <v>38</v>
      </c>
      <c r="J122" s="1"/>
      <c r="K122" s="1">
        <v>215</v>
      </c>
      <c r="L122" s="1">
        <f t="shared" si="22"/>
        <v>-23</v>
      </c>
      <c r="M122" s="1"/>
      <c r="N122" s="1"/>
      <c r="O122" s="1">
        <v>0</v>
      </c>
      <c r="P122" s="1"/>
      <c r="Q122" s="1"/>
      <c r="R122" s="1">
        <v>0</v>
      </c>
      <c r="S122" s="1">
        <f t="shared" si="15"/>
        <v>38.4</v>
      </c>
      <c r="T122" s="5">
        <f t="shared" si="26"/>
        <v>121.39999999999998</v>
      </c>
      <c r="U122" s="5"/>
      <c r="V122" s="1">
        <f t="shared" si="16"/>
        <v>11</v>
      </c>
      <c r="W122" s="1">
        <f t="shared" si="17"/>
        <v>7.838541666666667</v>
      </c>
      <c r="X122" s="1">
        <v>19.399999999999999</v>
      </c>
      <c r="Y122" s="1">
        <v>29</v>
      </c>
      <c r="Z122" s="1">
        <v>46.8</v>
      </c>
      <c r="AA122" s="1">
        <v>49.4</v>
      </c>
      <c r="AB122" s="1">
        <v>40.200000000000003</v>
      </c>
      <c r="AC122" s="1">
        <v>31.4</v>
      </c>
      <c r="AD122" s="1">
        <v>26.8</v>
      </c>
      <c r="AE122" s="1">
        <v>26.2</v>
      </c>
      <c r="AF122" s="1">
        <v>43.2</v>
      </c>
      <c r="AG122" s="1">
        <v>43</v>
      </c>
      <c r="AH122" s="1"/>
      <c r="AI122" s="1">
        <f t="shared" si="25"/>
        <v>36.419999999999995</v>
      </c>
      <c r="AJ122" s="1">
        <f t="shared" si="18"/>
        <v>0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 t="s">
        <v>163</v>
      </c>
      <c r="B123" s="1" t="s">
        <v>43</v>
      </c>
      <c r="C123" s="1">
        <v>10</v>
      </c>
      <c r="D123" s="1">
        <v>489</v>
      </c>
      <c r="E123" s="1">
        <v>92</v>
      </c>
      <c r="F123" s="1">
        <v>398</v>
      </c>
      <c r="G123" s="7">
        <v>0.3</v>
      </c>
      <c r="H123" s="1">
        <v>40</v>
      </c>
      <c r="I123" s="1" t="s">
        <v>38</v>
      </c>
      <c r="J123" s="1"/>
      <c r="K123" s="1">
        <v>119</v>
      </c>
      <c r="L123" s="1">
        <f t="shared" si="22"/>
        <v>-27</v>
      </c>
      <c r="M123" s="1"/>
      <c r="N123" s="1"/>
      <c r="O123" s="1">
        <v>0</v>
      </c>
      <c r="P123" s="1"/>
      <c r="Q123" s="1"/>
      <c r="R123" s="1">
        <v>0</v>
      </c>
      <c r="S123" s="1">
        <f t="shared" si="15"/>
        <v>18.399999999999999</v>
      </c>
      <c r="T123" s="5"/>
      <c r="U123" s="5"/>
      <c r="V123" s="1">
        <f t="shared" si="16"/>
        <v>21.630434782608699</v>
      </c>
      <c r="W123" s="1">
        <f t="shared" si="17"/>
        <v>21.630434782608699</v>
      </c>
      <c r="X123" s="1">
        <v>7.4</v>
      </c>
      <c r="Y123" s="1">
        <v>13.2</v>
      </c>
      <c r="Z123" s="1">
        <v>39.200000000000003</v>
      </c>
      <c r="AA123" s="1">
        <v>42.6</v>
      </c>
      <c r="AB123" s="1">
        <v>33.4</v>
      </c>
      <c r="AC123" s="1">
        <v>20.399999999999999</v>
      </c>
      <c r="AD123" s="1">
        <v>10.4</v>
      </c>
      <c r="AE123" s="1">
        <v>17</v>
      </c>
      <c r="AF123" s="1">
        <v>35.200000000000003</v>
      </c>
      <c r="AG123" s="1">
        <v>25.2</v>
      </c>
      <c r="AH123" s="1"/>
      <c r="AI123" s="1">
        <f t="shared" si="25"/>
        <v>0</v>
      </c>
      <c r="AJ123" s="1">
        <f t="shared" si="18"/>
        <v>0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 t="s">
        <v>164</v>
      </c>
      <c r="B124" s="1" t="s">
        <v>37</v>
      </c>
      <c r="C124" s="1">
        <v>27.385999999999999</v>
      </c>
      <c r="D124" s="1">
        <v>10.74</v>
      </c>
      <c r="E124" s="1">
        <v>13.705</v>
      </c>
      <c r="F124" s="1">
        <v>21.681999999999999</v>
      </c>
      <c r="G124" s="7">
        <v>1</v>
      </c>
      <c r="H124" s="1">
        <v>50</v>
      </c>
      <c r="I124" s="1" t="s">
        <v>38</v>
      </c>
      <c r="J124" s="1"/>
      <c r="K124" s="1">
        <v>15.9</v>
      </c>
      <c r="L124" s="1">
        <f t="shared" si="22"/>
        <v>-2.1950000000000003</v>
      </c>
      <c r="M124" s="1"/>
      <c r="N124" s="1"/>
      <c r="O124" s="1">
        <v>4</v>
      </c>
      <c r="P124" s="1"/>
      <c r="Q124" s="1"/>
      <c r="R124" s="1">
        <v>14.6953</v>
      </c>
      <c r="S124" s="1">
        <f t="shared" si="15"/>
        <v>2.7410000000000001</v>
      </c>
      <c r="T124" s="5"/>
      <c r="U124" s="5"/>
      <c r="V124" s="1">
        <f t="shared" si="16"/>
        <v>14.730864647938708</v>
      </c>
      <c r="W124" s="1">
        <f t="shared" si="17"/>
        <v>14.730864647938708</v>
      </c>
      <c r="X124" s="1">
        <v>3.8424</v>
      </c>
      <c r="Y124" s="1">
        <v>3.2942</v>
      </c>
      <c r="Z124" s="1">
        <v>3.3081999999999998</v>
      </c>
      <c r="AA124" s="1">
        <v>3.577</v>
      </c>
      <c r="AB124" s="1">
        <v>3.5870000000000002</v>
      </c>
      <c r="AC124" s="1">
        <v>3.0451999999999999</v>
      </c>
      <c r="AD124" s="1">
        <v>0.82739999999999991</v>
      </c>
      <c r="AE124" s="1">
        <v>0</v>
      </c>
      <c r="AF124" s="1">
        <v>1.0311999999999999</v>
      </c>
      <c r="AG124" s="1">
        <v>1.3064</v>
      </c>
      <c r="AH124" s="1"/>
      <c r="AI124" s="1">
        <f t="shared" si="25"/>
        <v>0</v>
      </c>
      <c r="AJ124" s="1">
        <f t="shared" si="18"/>
        <v>0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 t="s">
        <v>165</v>
      </c>
      <c r="B125" s="1" t="s">
        <v>43</v>
      </c>
      <c r="C125" s="1">
        <v>120</v>
      </c>
      <c r="D125" s="1">
        <v>146</v>
      </c>
      <c r="E125" s="1">
        <v>108</v>
      </c>
      <c r="F125" s="1">
        <v>155</v>
      </c>
      <c r="G125" s="7">
        <v>0.3</v>
      </c>
      <c r="H125" s="1">
        <v>40</v>
      </c>
      <c r="I125" s="1" t="s">
        <v>38</v>
      </c>
      <c r="J125" s="1"/>
      <c r="K125" s="1">
        <v>113</v>
      </c>
      <c r="L125" s="1">
        <f t="shared" si="22"/>
        <v>-5</v>
      </c>
      <c r="M125" s="1"/>
      <c r="N125" s="1"/>
      <c r="O125" s="1">
        <v>0</v>
      </c>
      <c r="P125" s="1"/>
      <c r="Q125" s="1"/>
      <c r="R125" s="1">
        <v>66.600000000000023</v>
      </c>
      <c r="S125" s="1">
        <f t="shared" si="15"/>
        <v>21.6</v>
      </c>
      <c r="T125" s="5">
        <f t="shared" si="26"/>
        <v>16</v>
      </c>
      <c r="U125" s="5"/>
      <c r="V125" s="1">
        <f t="shared" si="16"/>
        <v>11</v>
      </c>
      <c r="W125" s="1">
        <f t="shared" si="17"/>
        <v>10.25925925925926</v>
      </c>
      <c r="X125" s="1">
        <v>22.8</v>
      </c>
      <c r="Y125" s="1">
        <v>13.4</v>
      </c>
      <c r="Z125" s="1">
        <v>-0.8</v>
      </c>
      <c r="AA125" s="1">
        <v>11.6</v>
      </c>
      <c r="AB125" s="1">
        <v>28.8</v>
      </c>
      <c r="AC125" s="1">
        <v>24</v>
      </c>
      <c r="AD125" s="1">
        <v>22.4</v>
      </c>
      <c r="AE125" s="1">
        <v>18.600000000000001</v>
      </c>
      <c r="AF125" s="1">
        <v>9.1999999999999993</v>
      </c>
      <c r="AG125" s="1">
        <v>1</v>
      </c>
      <c r="AH125" s="1"/>
      <c r="AI125" s="1">
        <f t="shared" si="25"/>
        <v>4.8</v>
      </c>
      <c r="AJ125" s="1">
        <f t="shared" si="18"/>
        <v>0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 t="s">
        <v>166</v>
      </c>
      <c r="B126" s="1" t="s">
        <v>43</v>
      </c>
      <c r="C126" s="1">
        <v>25</v>
      </c>
      <c r="D126" s="1">
        <v>111</v>
      </c>
      <c r="E126" s="1">
        <v>56</v>
      </c>
      <c r="F126" s="1">
        <v>77</v>
      </c>
      <c r="G126" s="7">
        <v>0.12</v>
      </c>
      <c r="H126" s="1">
        <v>45</v>
      </c>
      <c r="I126" s="1" t="s">
        <v>38</v>
      </c>
      <c r="J126" s="1"/>
      <c r="K126" s="1">
        <v>60</v>
      </c>
      <c r="L126" s="1">
        <f t="shared" si="22"/>
        <v>-4</v>
      </c>
      <c r="M126" s="1"/>
      <c r="N126" s="1"/>
      <c r="O126" s="1">
        <v>0</v>
      </c>
      <c r="P126" s="1"/>
      <c r="Q126" s="1"/>
      <c r="R126" s="1">
        <v>10</v>
      </c>
      <c r="S126" s="1">
        <f t="shared" si="15"/>
        <v>11.2</v>
      </c>
      <c r="T126" s="5">
        <f t="shared" si="26"/>
        <v>36.199999999999989</v>
      </c>
      <c r="U126" s="5"/>
      <c r="V126" s="1">
        <f t="shared" si="16"/>
        <v>11</v>
      </c>
      <c r="W126" s="1">
        <f t="shared" si="17"/>
        <v>7.7678571428571432</v>
      </c>
      <c r="X126" s="1">
        <v>9.1999999999999993</v>
      </c>
      <c r="Y126" s="1">
        <v>4.5999999999999996</v>
      </c>
      <c r="Z126" s="1">
        <v>8.1999999999999993</v>
      </c>
      <c r="AA126" s="1">
        <v>12.6</v>
      </c>
      <c r="AB126" s="1">
        <v>9.1999999999999993</v>
      </c>
      <c r="AC126" s="1">
        <v>8.6</v>
      </c>
      <c r="AD126" s="1">
        <v>8.8000000000000007</v>
      </c>
      <c r="AE126" s="1">
        <v>5.4</v>
      </c>
      <c r="AF126" s="1">
        <v>8.8000000000000007</v>
      </c>
      <c r="AG126" s="1">
        <v>8.8000000000000007</v>
      </c>
      <c r="AH126" s="1"/>
      <c r="AI126" s="1">
        <f t="shared" si="25"/>
        <v>4.3439999999999985</v>
      </c>
      <c r="AJ126" s="1">
        <f t="shared" si="18"/>
        <v>0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2" t="s">
        <v>167</v>
      </c>
      <c r="B127" s="1" t="s">
        <v>43</v>
      </c>
      <c r="C127" s="1"/>
      <c r="D127" s="1"/>
      <c r="E127" s="1"/>
      <c r="F127" s="1"/>
      <c r="G127" s="7">
        <v>0.25</v>
      </c>
      <c r="H127" s="1"/>
      <c r="I127" s="1" t="s">
        <v>38</v>
      </c>
      <c r="J127" s="1"/>
      <c r="K127" s="1"/>
      <c r="L127" s="1">
        <f t="shared" si="22"/>
        <v>0</v>
      </c>
      <c r="M127" s="1"/>
      <c r="N127" s="1"/>
      <c r="O127" s="1">
        <v>200</v>
      </c>
      <c r="P127" s="1"/>
      <c r="Q127" s="1"/>
      <c r="R127" s="1">
        <v>0</v>
      </c>
      <c r="S127" s="1">
        <f t="shared" si="15"/>
        <v>0</v>
      </c>
      <c r="T127" s="5"/>
      <c r="U127" s="5"/>
      <c r="V127" s="1" t="e">
        <f t="shared" si="16"/>
        <v>#DIV/0!</v>
      </c>
      <c r="W127" s="1" t="e">
        <f t="shared" si="17"/>
        <v>#DIV/0!</v>
      </c>
      <c r="X127" s="1">
        <v>0</v>
      </c>
      <c r="Y127" s="1">
        <v>0.05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 t="s">
        <v>153</v>
      </c>
      <c r="AI127" s="1">
        <f t="shared" si="25"/>
        <v>0</v>
      </c>
      <c r="AJ127" s="1">
        <f t="shared" si="18"/>
        <v>0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2" t="s">
        <v>168</v>
      </c>
      <c r="B128" s="1" t="s">
        <v>43</v>
      </c>
      <c r="C128" s="1"/>
      <c r="D128" s="1"/>
      <c r="E128" s="1"/>
      <c r="F128" s="1"/>
      <c r="G128" s="7">
        <v>0.32500000000000001</v>
      </c>
      <c r="H128" s="1"/>
      <c r="I128" s="1" t="s">
        <v>38</v>
      </c>
      <c r="J128" s="1"/>
      <c r="K128" s="1"/>
      <c r="L128" s="1">
        <f t="shared" si="22"/>
        <v>0</v>
      </c>
      <c r="M128" s="1"/>
      <c r="N128" s="1"/>
      <c r="O128" s="1">
        <v>200</v>
      </c>
      <c r="P128" s="1"/>
      <c r="Q128" s="1"/>
      <c r="R128" s="1">
        <v>0</v>
      </c>
      <c r="S128" s="1">
        <f t="shared" si="15"/>
        <v>0</v>
      </c>
      <c r="T128" s="5"/>
      <c r="U128" s="5"/>
      <c r="V128" s="1" t="e">
        <f t="shared" si="16"/>
        <v>#DIV/0!</v>
      </c>
      <c r="W128" s="1" t="e">
        <f t="shared" si="17"/>
        <v>#DIV/0!</v>
      </c>
      <c r="X128" s="1">
        <v>0</v>
      </c>
      <c r="Y128" s="1">
        <v>6.5000000000000002E-2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 t="s">
        <v>153</v>
      </c>
      <c r="AI128" s="1">
        <f t="shared" si="25"/>
        <v>0</v>
      </c>
      <c r="AJ128" s="1">
        <f t="shared" si="18"/>
        <v>0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2" t="s">
        <v>169</v>
      </c>
      <c r="B129" s="1" t="s">
        <v>43</v>
      </c>
      <c r="C129" s="1"/>
      <c r="D129" s="1"/>
      <c r="E129" s="1"/>
      <c r="F129" s="1"/>
      <c r="G129" s="7">
        <v>0.25</v>
      </c>
      <c r="H129" s="1"/>
      <c r="I129" s="1" t="s">
        <v>38</v>
      </c>
      <c r="J129" s="1"/>
      <c r="K129" s="1"/>
      <c r="L129" s="1">
        <f t="shared" si="22"/>
        <v>0</v>
      </c>
      <c r="M129" s="1"/>
      <c r="N129" s="1"/>
      <c r="O129" s="1">
        <v>200</v>
      </c>
      <c r="P129" s="1"/>
      <c r="Q129" s="1"/>
      <c r="R129" s="1">
        <v>0</v>
      </c>
      <c r="S129" s="1">
        <f t="shared" si="15"/>
        <v>0</v>
      </c>
      <c r="T129" s="5"/>
      <c r="U129" s="5"/>
      <c r="V129" s="1" t="e">
        <f t="shared" si="16"/>
        <v>#DIV/0!</v>
      </c>
      <c r="W129" s="1" t="e">
        <f t="shared" si="17"/>
        <v>#DIV/0!</v>
      </c>
      <c r="X129" s="1">
        <v>0</v>
      </c>
      <c r="Y129" s="1">
        <v>0.05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 t="s">
        <v>153</v>
      </c>
      <c r="AI129" s="1">
        <f t="shared" si="25"/>
        <v>0</v>
      </c>
      <c r="AJ129" s="1">
        <f t="shared" si="18"/>
        <v>0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2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</sheetData>
  <autoFilter ref="A3:AI129" xr:uid="{F3DC7902-3E44-4B09-A152-2AAEC4776B46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2026-07-28T07:30:56Z</dcterms:created>
  <dcterms:modified xsi:type="dcterms:W3CDTF">2026-07-28T12:05:09Z</dcterms:modified>
</cp:coreProperties>
</file>