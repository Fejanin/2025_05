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1D0240D-2617-4F18-8530-BB35F409E18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Sheet!$A$3:$AG$130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" i="1" l="1"/>
  <c r="S9" i="1"/>
  <c r="AG9" i="1" s="1"/>
  <c r="S12" i="1"/>
  <c r="S13" i="1"/>
  <c r="AG13" i="1" s="1"/>
  <c r="S14" i="1"/>
  <c r="S15" i="1"/>
  <c r="S17" i="1"/>
  <c r="AG17" i="1" s="1"/>
  <c r="S19" i="1"/>
  <c r="S21" i="1"/>
  <c r="S23" i="1"/>
  <c r="S24" i="1"/>
  <c r="S25" i="1"/>
  <c r="AG25" i="1" s="1"/>
  <c r="S26" i="1"/>
  <c r="S27" i="1"/>
  <c r="S28" i="1"/>
  <c r="S30" i="1"/>
  <c r="S32" i="1"/>
  <c r="S33" i="1"/>
  <c r="AG33" i="1" s="1"/>
  <c r="S34" i="1"/>
  <c r="S35" i="1"/>
  <c r="S36" i="1"/>
  <c r="S37" i="1"/>
  <c r="AG37" i="1" s="1"/>
  <c r="S39" i="1"/>
  <c r="S40" i="1"/>
  <c r="S41" i="1"/>
  <c r="AG41" i="1" s="1"/>
  <c r="S42" i="1"/>
  <c r="S43" i="1"/>
  <c r="S46" i="1"/>
  <c r="S47" i="1"/>
  <c r="S50" i="1"/>
  <c r="S51" i="1"/>
  <c r="S52" i="1"/>
  <c r="S54" i="1"/>
  <c r="AG54" i="1" s="1"/>
  <c r="S55" i="1"/>
  <c r="AG55" i="1" s="1"/>
  <c r="S56" i="1"/>
  <c r="AG56" i="1" s="1"/>
  <c r="S57" i="1"/>
  <c r="S59" i="1"/>
  <c r="AG59" i="1" s="1"/>
  <c r="S60" i="1"/>
  <c r="AG60" i="1" s="1"/>
  <c r="S61" i="1"/>
  <c r="AG61" i="1" s="1"/>
  <c r="S62" i="1"/>
  <c r="AG62" i="1" s="1"/>
  <c r="S63" i="1"/>
  <c r="AG63" i="1" s="1"/>
  <c r="S66" i="1"/>
  <c r="AG66" i="1" s="1"/>
  <c r="S67" i="1"/>
  <c r="AG67" i="1" s="1"/>
  <c r="S68" i="1"/>
  <c r="AG68" i="1" s="1"/>
  <c r="S69" i="1"/>
  <c r="AG69" i="1" s="1"/>
  <c r="S70" i="1"/>
  <c r="AG70" i="1" s="1"/>
  <c r="S73" i="1"/>
  <c r="AG73" i="1" s="1"/>
  <c r="S76" i="1"/>
  <c r="AG76" i="1" s="1"/>
  <c r="S78" i="1"/>
  <c r="AG78" i="1" s="1"/>
  <c r="S79" i="1"/>
  <c r="AG79" i="1" s="1"/>
  <c r="S80" i="1"/>
  <c r="AG80" i="1" s="1"/>
  <c r="S81" i="1"/>
  <c r="AG81" i="1" s="1"/>
  <c r="S82" i="1"/>
  <c r="AG82" i="1" s="1"/>
  <c r="S83" i="1"/>
  <c r="AG83" i="1" s="1"/>
  <c r="S84" i="1"/>
  <c r="AG84" i="1" s="1"/>
  <c r="S85" i="1"/>
  <c r="S87" i="1"/>
  <c r="AG87" i="1" s="1"/>
  <c r="S91" i="1"/>
  <c r="AG91" i="1" s="1"/>
  <c r="S92" i="1"/>
  <c r="AG92" i="1" s="1"/>
  <c r="S93" i="1"/>
  <c r="AG93" i="1" s="1"/>
  <c r="S94" i="1"/>
  <c r="AG94" i="1" s="1"/>
  <c r="S95" i="1"/>
  <c r="AG95" i="1" s="1"/>
  <c r="S96" i="1"/>
  <c r="AG96" i="1" s="1"/>
  <c r="S98" i="1"/>
  <c r="AG98" i="1" s="1"/>
  <c r="S99" i="1"/>
  <c r="AG99" i="1" s="1"/>
  <c r="S100" i="1"/>
  <c r="AG100" i="1" s="1"/>
  <c r="S101" i="1"/>
  <c r="AG101" i="1" s="1"/>
  <c r="S102" i="1"/>
  <c r="AG102" i="1" s="1"/>
  <c r="S104" i="1"/>
  <c r="AG104" i="1" s="1"/>
  <c r="S106" i="1"/>
  <c r="AG106" i="1" s="1"/>
  <c r="S107" i="1"/>
  <c r="AG107" i="1" s="1"/>
  <c r="S109" i="1"/>
  <c r="AG109" i="1" s="1"/>
  <c r="S110" i="1"/>
  <c r="AG110" i="1" s="1"/>
  <c r="S111" i="1"/>
  <c r="AG111" i="1" s="1"/>
  <c r="S112" i="1"/>
  <c r="AG112" i="1" s="1"/>
  <c r="S114" i="1"/>
  <c r="AG114" i="1" s="1"/>
  <c r="S115" i="1"/>
  <c r="AG115" i="1" s="1"/>
  <c r="S116" i="1"/>
  <c r="AG116" i="1" s="1"/>
  <c r="S117" i="1"/>
  <c r="AG117" i="1" s="1"/>
  <c r="S119" i="1"/>
  <c r="AG119" i="1" s="1"/>
  <c r="S120" i="1"/>
  <c r="AG120" i="1" s="1"/>
  <c r="S121" i="1"/>
  <c r="S122" i="1"/>
  <c r="AG122" i="1" s="1"/>
  <c r="S123" i="1"/>
  <c r="AG123" i="1" s="1"/>
  <c r="S124" i="1"/>
  <c r="AG124" i="1" s="1"/>
  <c r="S125" i="1"/>
  <c r="AG125" i="1" s="1"/>
  <c r="S127" i="1"/>
  <c r="AG127" i="1" s="1"/>
  <c r="S128" i="1"/>
  <c r="AG128" i="1" s="1"/>
  <c r="S129" i="1"/>
  <c r="AG129" i="1" s="1"/>
  <c r="S130" i="1"/>
  <c r="AG130" i="1" s="1"/>
  <c r="AG21" i="1"/>
  <c r="AG57" i="1"/>
  <c r="AG85" i="1"/>
  <c r="AG121" i="1"/>
  <c r="AG47" i="1" l="1"/>
  <c r="AG35" i="1"/>
  <c r="AG27" i="1"/>
  <c r="AG23" i="1"/>
  <c r="AG19" i="1"/>
  <c r="AG15" i="1"/>
  <c r="AG51" i="1"/>
  <c r="AG43" i="1"/>
  <c r="AG39" i="1"/>
  <c r="AG52" i="1"/>
  <c r="AG50" i="1"/>
  <c r="AG46" i="1"/>
  <c r="AG42" i="1"/>
  <c r="AG40" i="1"/>
  <c r="AG36" i="1"/>
  <c r="AG34" i="1"/>
  <c r="AG32" i="1"/>
  <c r="AG30" i="1"/>
  <c r="AG28" i="1"/>
  <c r="AG26" i="1"/>
  <c r="AG24" i="1"/>
  <c r="AG14" i="1"/>
  <c r="AG12" i="1"/>
  <c r="Q130" i="1"/>
  <c r="L130" i="1"/>
  <c r="Q129" i="1"/>
  <c r="L129" i="1"/>
  <c r="Q128" i="1"/>
  <c r="T128" i="1" s="1"/>
  <c r="L128" i="1"/>
  <c r="Q127" i="1"/>
  <c r="L127" i="1"/>
  <c r="Q126" i="1"/>
  <c r="U126" i="1" s="1"/>
  <c r="L126" i="1"/>
  <c r="Q125" i="1"/>
  <c r="U125" i="1" s="1"/>
  <c r="L125" i="1"/>
  <c r="Q124" i="1"/>
  <c r="T124" i="1" s="1"/>
  <c r="L124" i="1"/>
  <c r="Q123" i="1"/>
  <c r="U123" i="1" s="1"/>
  <c r="L123" i="1"/>
  <c r="Q122" i="1"/>
  <c r="L122" i="1"/>
  <c r="Q121" i="1"/>
  <c r="T121" i="1" s="1"/>
  <c r="L121" i="1"/>
  <c r="Q120" i="1"/>
  <c r="L120" i="1"/>
  <c r="Q119" i="1"/>
  <c r="T119" i="1" s="1"/>
  <c r="L119" i="1"/>
  <c r="Q118" i="1"/>
  <c r="R118" i="1" s="1"/>
  <c r="S118" i="1" s="1"/>
  <c r="L118" i="1"/>
  <c r="Q117" i="1"/>
  <c r="T117" i="1" s="1"/>
  <c r="L117" i="1"/>
  <c r="Q116" i="1"/>
  <c r="L116" i="1"/>
  <c r="Q115" i="1"/>
  <c r="T115" i="1" s="1"/>
  <c r="L115" i="1"/>
  <c r="Q114" i="1"/>
  <c r="T114" i="1" s="1"/>
  <c r="L114" i="1"/>
  <c r="Q113" i="1"/>
  <c r="R113" i="1" s="1"/>
  <c r="S113" i="1" s="1"/>
  <c r="L113" i="1"/>
  <c r="Q112" i="1"/>
  <c r="L112" i="1"/>
  <c r="Q111" i="1"/>
  <c r="T111" i="1" s="1"/>
  <c r="L111" i="1"/>
  <c r="Q110" i="1"/>
  <c r="L110" i="1"/>
  <c r="Q109" i="1"/>
  <c r="T109" i="1" s="1"/>
  <c r="L109" i="1"/>
  <c r="Q108" i="1"/>
  <c r="U108" i="1" s="1"/>
  <c r="L108" i="1"/>
  <c r="Q107" i="1"/>
  <c r="T107" i="1" s="1"/>
  <c r="L107" i="1"/>
  <c r="Q106" i="1"/>
  <c r="L106" i="1"/>
  <c r="Q105" i="1"/>
  <c r="U105" i="1" s="1"/>
  <c r="L105" i="1"/>
  <c r="Q104" i="1"/>
  <c r="T104" i="1" s="1"/>
  <c r="L104" i="1"/>
  <c r="Q103" i="1"/>
  <c r="U103" i="1" s="1"/>
  <c r="L103" i="1"/>
  <c r="Q102" i="1"/>
  <c r="L102" i="1"/>
  <c r="Q101" i="1"/>
  <c r="U101" i="1" s="1"/>
  <c r="L101" i="1"/>
  <c r="Q100" i="1"/>
  <c r="T100" i="1" s="1"/>
  <c r="L100" i="1"/>
  <c r="Q99" i="1"/>
  <c r="U99" i="1" s="1"/>
  <c r="L99" i="1"/>
  <c r="Q98" i="1"/>
  <c r="L98" i="1"/>
  <c r="Q97" i="1"/>
  <c r="U97" i="1" s="1"/>
  <c r="L97" i="1"/>
  <c r="Q96" i="1"/>
  <c r="T96" i="1" s="1"/>
  <c r="L96" i="1"/>
  <c r="Q95" i="1"/>
  <c r="U95" i="1" s="1"/>
  <c r="L95" i="1"/>
  <c r="Q94" i="1"/>
  <c r="L94" i="1"/>
  <c r="Q93" i="1"/>
  <c r="L93" i="1"/>
  <c r="Q92" i="1"/>
  <c r="L92" i="1"/>
  <c r="Q91" i="1"/>
  <c r="U91" i="1" s="1"/>
  <c r="L91" i="1"/>
  <c r="Q90" i="1"/>
  <c r="L90" i="1"/>
  <c r="F90" i="1"/>
  <c r="Q89" i="1"/>
  <c r="U89" i="1" s="1"/>
  <c r="L89" i="1"/>
  <c r="Q88" i="1"/>
  <c r="U88" i="1" s="1"/>
  <c r="L88" i="1"/>
  <c r="Q87" i="1"/>
  <c r="U87" i="1" s="1"/>
  <c r="L87" i="1"/>
  <c r="Q86" i="1"/>
  <c r="U86" i="1" s="1"/>
  <c r="L86" i="1"/>
  <c r="Q85" i="1"/>
  <c r="L85" i="1"/>
  <c r="Q84" i="1"/>
  <c r="T84" i="1" s="1"/>
  <c r="L84" i="1"/>
  <c r="Q83" i="1"/>
  <c r="T83" i="1" s="1"/>
  <c r="L83" i="1"/>
  <c r="Q82" i="1"/>
  <c r="L82" i="1"/>
  <c r="Q81" i="1"/>
  <c r="T81" i="1" s="1"/>
  <c r="L81" i="1"/>
  <c r="Q80" i="1"/>
  <c r="L80" i="1"/>
  <c r="Q79" i="1"/>
  <c r="L79" i="1"/>
  <c r="Q78" i="1"/>
  <c r="L78" i="1"/>
  <c r="Q77" i="1"/>
  <c r="L77" i="1"/>
  <c r="Q76" i="1"/>
  <c r="L76" i="1"/>
  <c r="Q75" i="1"/>
  <c r="U75" i="1" s="1"/>
  <c r="L75" i="1"/>
  <c r="Q74" i="1"/>
  <c r="U74" i="1" s="1"/>
  <c r="L74" i="1"/>
  <c r="Q73" i="1"/>
  <c r="T73" i="1" s="1"/>
  <c r="L73" i="1"/>
  <c r="Q72" i="1"/>
  <c r="U72" i="1" s="1"/>
  <c r="L72" i="1"/>
  <c r="Q71" i="1"/>
  <c r="U71" i="1" s="1"/>
  <c r="L71" i="1"/>
  <c r="Q70" i="1"/>
  <c r="L70" i="1"/>
  <c r="Q69" i="1"/>
  <c r="L69" i="1"/>
  <c r="Q68" i="1"/>
  <c r="L68" i="1"/>
  <c r="Q67" i="1"/>
  <c r="L67" i="1"/>
  <c r="Q66" i="1"/>
  <c r="T66" i="1" s="1"/>
  <c r="L66" i="1"/>
  <c r="Q65" i="1"/>
  <c r="R65" i="1" s="1"/>
  <c r="S65" i="1" s="1"/>
  <c r="L65" i="1"/>
  <c r="Q64" i="1"/>
  <c r="U64" i="1" s="1"/>
  <c r="L64" i="1"/>
  <c r="Q63" i="1"/>
  <c r="U63" i="1" s="1"/>
  <c r="L63" i="1"/>
  <c r="Q62" i="1"/>
  <c r="L62" i="1"/>
  <c r="Q61" i="1"/>
  <c r="T61" i="1" s="1"/>
  <c r="L61" i="1"/>
  <c r="Q60" i="1"/>
  <c r="L60" i="1"/>
  <c r="Q59" i="1"/>
  <c r="U59" i="1" s="1"/>
  <c r="L59" i="1"/>
  <c r="Q58" i="1"/>
  <c r="U58" i="1" s="1"/>
  <c r="L58" i="1"/>
  <c r="E57" i="1"/>
  <c r="L57" i="1" s="1"/>
  <c r="Q56" i="1"/>
  <c r="L56" i="1"/>
  <c r="Q55" i="1"/>
  <c r="L55" i="1"/>
  <c r="Q54" i="1"/>
  <c r="T54" i="1" s="1"/>
  <c r="L54" i="1"/>
  <c r="Q53" i="1"/>
  <c r="U53" i="1" s="1"/>
  <c r="L53" i="1"/>
  <c r="Q52" i="1"/>
  <c r="U52" i="1" s="1"/>
  <c r="L52" i="1"/>
  <c r="Q51" i="1"/>
  <c r="U51" i="1" s="1"/>
  <c r="L51" i="1"/>
  <c r="Q50" i="1"/>
  <c r="T50" i="1" s="1"/>
  <c r="L50" i="1"/>
  <c r="Q49" i="1"/>
  <c r="L49" i="1"/>
  <c r="Q48" i="1"/>
  <c r="U48" i="1" s="1"/>
  <c r="L48" i="1"/>
  <c r="Q47" i="1"/>
  <c r="U47" i="1" s="1"/>
  <c r="L47" i="1"/>
  <c r="Q46" i="1"/>
  <c r="T46" i="1" s="1"/>
  <c r="L46" i="1"/>
  <c r="Q45" i="1"/>
  <c r="R45" i="1" s="1"/>
  <c r="S45" i="1" s="1"/>
  <c r="L45" i="1"/>
  <c r="Q44" i="1"/>
  <c r="U44" i="1" s="1"/>
  <c r="L44" i="1"/>
  <c r="Q43" i="1"/>
  <c r="U43" i="1" s="1"/>
  <c r="L43" i="1"/>
  <c r="Q42" i="1"/>
  <c r="T42" i="1" s="1"/>
  <c r="L42" i="1"/>
  <c r="Q41" i="1"/>
  <c r="T41" i="1" s="1"/>
  <c r="L41" i="1"/>
  <c r="Q40" i="1"/>
  <c r="U40" i="1" s="1"/>
  <c r="L40" i="1"/>
  <c r="Q39" i="1"/>
  <c r="U39" i="1" s="1"/>
  <c r="L39" i="1"/>
  <c r="Q38" i="1"/>
  <c r="L38" i="1"/>
  <c r="Q37" i="1"/>
  <c r="L37" i="1"/>
  <c r="Q36" i="1"/>
  <c r="U36" i="1" s="1"/>
  <c r="L36" i="1"/>
  <c r="Q35" i="1"/>
  <c r="T35" i="1" s="1"/>
  <c r="L35" i="1"/>
  <c r="Q34" i="1"/>
  <c r="T34" i="1" s="1"/>
  <c r="L34" i="1"/>
  <c r="Q33" i="1"/>
  <c r="U33" i="1" s="1"/>
  <c r="L33" i="1"/>
  <c r="Q32" i="1"/>
  <c r="U32" i="1" s="1"/>
  <c r="L32" i="1"/>
  <c r="Q31" i="1"/>
  <c r="L31" i="1"/>
  <c r="Q30" i="1"/>
  <c r="U30" i="1" s="1"/>
  <c r="L30" i="1"/>
  <c r="Q29" i="1"/>
  <c r="U29" i="1" s="1"/>
  <c r="L29" i="1"/>
  <c r="Q28" i="1"/>
  <c r="U28" i="1" s="1"/>
  <c r="L28" i="1"/>
  <c r="Q27" i="1"/>
  <c r="U27" i="1" s="1"/>
  <c r="L27" i="1"/>
  <c r="Q26" i="1"/>
  <c r="U26" i="1" s="1"/>
  <c r="L26" i="1"/>
  <c r="Q25" i="1"/>
  <c r="U25" i="1" s="1"/>
  <c r="L25" i="1"/>
  <c r="Q24" i="1"/>
  <c r="T24" i="1" s="1"/>
  <c r="L24" i="1"/>
  <c r="Q23" i="1"/>
  <c r="U23" i="1" s="1"/>
  <c r="L23" i="1"/>
  <c r="Q22" i="1"/>
  <c r="U22" i="1" s="1"/>
  <c r="L22" i="1"/>
  <c r="Q21" i="1"/>
  <c r="L21" i="1"/>
  <c r="Q20" i="1"/>
  <c r="U20" i="1" s="1"/>
  <c r="L20" i="1"/>
  <c r="Q19" i="1"/>
  <c r="T19" i="1" s="1"/>
  <c r="L19" i="1"/>
  <c r="Q18" i="1"/>
  <c r="U18" i="1" s="1"/>
  <c r="L18" i="1"/>
  <c r="Q17" i="1"/>
  <c r="L17" i="1"/>
  <c r="Q16" i="1"/>
  <c r="U16" i="1" s="1"/>
  <c r="L16" i="1"/>
  <c r="Q15" i="1"/>
  <c r="T15" i="1" s="1"/>
  <c r="L15" i="1"/>
  <c r="Q14" i="1"/>
  <c r="U14" i="1" s="1"/>
  <c r="L14" i="1"/>
  <c r="Q13" i="1"/>
  <c r="L13" i="1"/>
  <c r="Q12" i="1"/>
  <c r="U12" i="1" s="1"/>
  <c r="L12" i="1"/>
  <c r="Q11" i="1"/>
  <c r="R11" i="1" s="1"/>
  <c r="S11" i="1" s="1"/>
  <c r="L11" i="1"/>
  <c r="Q10" i="1"/>
  <c r="U10" i="1" s="1"/>
  <c r="L10" i="1"/>
  <c r="Q9" i="1"/>
  <c r="L9" i="1"/>
  <c r="Q8" i="1"/>
  <c r="R8" i="1" s="1"/>
  <c r="L8" i="1"/>
  <c r="Q7" i="1"/>
  <c r="U7" i="1" s="1"/>
  <c r="L7" i="1"/>
  <c r="Q6" i="1"/>
  <c r="L6" i="1"/>
  <c r="AE5" i="1"/>
  <c r="AD5" i="1"/>
  <c r="AC5" i="1"/>
  <c r="AB5" i="1"/>
  <c r="AA5" i="1"/>
  <c r="Z5" i="1"/>
  <c r="Y5" i="1"/>
  <c r="X5" i="1"/>
  <c r="W5" i="1"/>
  <c r="V5" i="1"/>
  <c r="P5" i="1"/>
  <c r="O5" i="1"/>
  <c r="N5" i="1"/>
  <c r="M5" i="1"/>
  <c r="K5" i="1"/>
  <c r="S8" i="1" l="1"/>
  <c r="AG8" i="1" s="1"/>
  <c r="U31" i="1"/>
  <c r="S31" i="1"/>
  <c r="AG31" i="1" s="1"/>
  <c r="T101" i="1"/>
  <c r="T125" i="1"/>
  <c r="T12" i="1"/>
  <c r="T14" i="1"/>
  <c r="T26" i="1"/>
  <c r="T28" i="1"/>
  <c r="T30" i="1"/>
  <c r="T32" i="1"/>
  <c r="T36" i="1"/>
  <c r="T40" i="1"/>
  <c r="T52" i="1"/>
  <c r="T39" i="1"/>
  <c r="T43" i="1"/>
  <c r="T51" i="1"/>
  <c r="T95" i="1"/>
  <c r="U60" i="1"/>
  <c r="T60" i="1"/>
  <c r="U62" i="1"/>
  <c r="T62" i="1"/>
  <c r="AG65" i="1"/>
  <c r="T65" i="1"/>
  <c r="U67" i="1"/>
  <c r="T67" i="1"/>
  <c r="U68" i="1"/>
  <c r="T68" i="1"/>
  <c r="U69" i="1"/>
  <c r="T69" i="1"/>
  <c r="U70" i="1"/>
  <c r="T70" i="1"/>
  <c r="U76" i="1"/>
  <c r="T76" i="1"/>
  <c r="U78" i="1"/>
  <c r="T78" i="1"/>
  <c r="U79" i="1"/>
  <c r="T79" i="1"/>
  <c r="U80" i="1"/>
  <c r="T80" i="1"/>
  <c r="U82" i="1"/>
  <c r="T82" i="1"/>
  <c r="U85" i="1"/>
  <c r="T85" i="1"/>
  <c r="T59" i="1"/>
  <c r="T87" i="1"/>
  <c r="U9" i="1"/>
  <c r="T9" i="1"/>
  <c r="AG11" i="1"/>
  <c r="T11" i="1"/>
  <c r="U13" i="1"/>
  <c r="T13" i="1"/>
  <c r="U17" i="1"/>
  <c r="T17" i="1"/>
  <c r="U21" i="1"/>
  <c r="T21" i="1"/>
  <c r="U37" i="1"/>
  <c r="T37" i="1"/>
  <c r="AG45" i="1"/>
  <c r="T45" i="1"/>
  <c r="U55" i="1"/>
  <c r="T55" i="1"/>
  <c r="U56" i="1"/>
  <c r="T56" i="1"/>
  <c r="F5" i="1"/>
  <c r="U92" i="1"/>
  <c r="T92" i="1"/>
  <c r="U93" i="1"/>
  <c r="T93" i="1"/>
  <c r="U94" i="1"/>
  <c r="T94" i="1"/>
  <c r="U98" i="1"/>
  <c r="T98" i="1"/>
  <c r="U102" i="1"/>
  <c r="T102" i="1"/>
  <c r="U106" i="1"/>
  <c r="T106" i="1"/>
  <c r="U110" i="1"/>
  <c r="T110" i="1"/>
  <c r="U112" i="1"/>
  <c r="T112" i="1"/>
  <c r="T113" i="1"/>
  <c r="AG113" i="1"/>
  <c r="U116" i="1"/>
  <c r="T116" i="1"/>
  <c r="AG118" i="1"/>
  <c r="T118" i="1"/>
  <c r="U120" i="1"/>
  <c r="T120" i="1"/>
  <c r="U122" i="1"/>
  <c r="T122" i="1"/>
  <c r="U127" i="1"/>
  <c r="T127" i="1"/>
  <c r="U129" i="1"/>
  <c r="T129" i="1"/>
  <c r="U130" i="1"/>
  <c r="T130" i="1"/>
  <c r="T63" i="1"/>
  <c r="T91" i="1"/>
  <c r="T99" i="1"/>
  <c r="T123" i="1"/>
  <c r="T23" i="1"/>
  <c r="T27" i="1"/>
  <c r="T47" i="1"/>
  <c r="T33" i="1"/>
  <c r="T25" i="1"/>
  <c r="U66" i="1"/>
  <c r="R10" i="1"/>
  <c r="S10" i="1" s="1"/>
  <c r="R90" i="1"/>
  <c r="U118" i="1"/>
  <c r="U100" i="1"/>
  <c r="R16" i="1"/>
  <c r="S16" i="1" s="1"/>
  <c r="U84" i="1"/>
  <c r="R44" i="1"/>
  <c r="S44" i="1" s="1"/>
  <c r="R108" i="1"/>
  <c r="S108" i="1" s="1"/>
  <c r="U114" i="1"/>
  <c r="R18" i="1"/>
  <c r="S18" i="1" s="1"/>
  <c r="R86" i="1"/>
  <c r="S86" i="1" s="1"/>
  <c r="R20" i="1"/>
  <c r="S20" i="1" s="1"/>
  <c r="R88" i="1"/>
  <c r="S88" i="1" s="1"/>
  <c r="R22" i="1"/>
  <c r="S22" i="1" s="1"/>
  <c r="R64" i="1"/>
  <c r="S64" i="1" s="1"/>
  <c r="R89" i="1"/>
  <c r="S89" i="1" s="1"/>
  <c r="U35" i="1"/>
  <c r="U96" i="1"/>
  <c r="R48" i="1"/>
  <c r="S48" i="1" s="1"/>
  <c r="U83" i="1"/>
  <c r="R49" i="1"/>
  <c r="S49" i="1" s="1"/>
  <c r="R6" i="1"/>
  <c r="S6" i="1" s="1"/>
  <c r="R29" i="1"/>
  <c r="S29" i="1" s="1"/>
  <c r="R97" i="1"/>
  <c r="S97" i="1" s="1"/>
  <c r="U124" i="1"/>
  <c r="R7" i="1"/>
  <c r="S7" i="1" s="1"/>
  <c r="R71" i="1"/>
  <c r="S71" i="1" s="1"/>
  <c r="R72" i="1"/>
  <c r="S72" i="1" s="1"/>
  <c r="R53" i="1"/>
  <c r="S53" i="1" s="1"/>
  <c r="R74" i="1"/>
  <c r="S74" i="1" s="1"/>
  <c r="U24" i="1"/>
  <c r="R75" i="1"/>
  <c r="S75" i="1" s="1"/>
  <c r="R103" i="1"/>
  <c r="S103" i="1" s="1"/>
  <c r="R126" i="1"/>
  <c r="S126" i="1" s="1"/>
  <c r="U113" i="1"/>
  <c r="R77" i="1"/>
  <c r="S77" i="1" s="1"/>
  <c r="R105" i="1"/>
  <c r="S105" i="1" s="1"/>
  <c r="R38" i="1"/>
  <c r="S38" i="1" s="1"/>
  <c r="R58" i="1"/>
  <c r="S58" i="1" s="1"/>
  <c r="U46" i="1"/>
  <c r="L5" i="1"/>
  <c r="U104" i="1"/>
  <c r="U121" i="1"/>
  <c r="U19" i="1"/>
  <c r="U42" i="1"/>
  <c r="U117" i="1"/>
  <c r="U128" i="1"/>
  <c r="U15" i="1"/>
  <c r="U38" i="1"/>
  <c r="U54" i="1"/>
  <c r="U11" i="1"/>
  <c r="U34" i="1"/>
  <c r="U50" i="1"/>
  <c r="U6" i="1"/>
  <c r="U109" i="1"/>
  <c r="U107" i="1"/>
  <c r="U111" i="1"/>
  <c r="U115" i="1"/>
  <c r="U119" i="1"/>
  <c r="U41" i="1"/>
  <c r="U61" i="1"/>
  <c r="U65" i="1"/>
  <c r="U73" i="1"/>
  <c r="U77" i="1"/>
  <c r="U81" i="1"/>
  <c r="U90" i="1"/>
  <c r="Q57" i="1"/>
  <c r="T57" i="1" s="1"/>
  <c r="U45" i="1"/>
  <c r="E5" i="1"/>
  <c r="U49" i="1"/>
  <c r="U8" i="1"/>
  <c r="T31" i="1" l="1"/>
  <c r="T8" i="1"/>
  <c r="S90" i="1"/>
  <c r="AG90" i="1" s="1"/>
  <c r="AG58" i="1"/>
  <c r="T58" i="1"/>
  <c r="T105" i="1"/>
  <c r="AG105" i="1"/>
  <c r="AG103" i="1"/>
  <c r="T103" i="1"/>
  <c r="AG53" i="1"/>
  <c r="T53" i="1"/>
  <c r="AG71" i="1"/>
  <c r="T71" i="1"/>
  <c r="AG29" i="1"/>
  <c r="T29" i="1"/>
  <c r="T49" i="1"/>
  <c r="AG49" i="1"/>
  <c r="AG48" i="1"/>
  <c r="T48" i="1"/>
  <c r="AG64" i="1"/>
  <c r="T64" i="1"/>
  <c r="AG88" i="1"/>
  <c r="T88" i="1"/>
  <c r="AG86" i="1"/>
  <c r="T86" i="1"/>
  <c r="AG44" i="1"/>
  <c r="T44" i="1"/>
  <c r="AG16" i="1"/>
  <c r="T16" i="1"/>
  <c r="AG10" i="1"/>
  <c r="T10" i="1"/>
  <c r="AG38" i="1"/>
  <c r="T38" i="1"/>
  <c r="AG77" i="1"/>
  <c r="T77" i="1"/>
  <c r="AG126" i="1"/>
  <c r="T126" i="1"/>
  <c r="AG75" i="1"/>
  <c r="T75" i="1"/>
  <c r="AG74" i="1"/>
  <c r="T74" i="1"/>
  <c r="AG72" i="1"/>
  <c r="T72" i="1"/>
  <c r="AG7" i="1"/>
  <c r="T7" i="1"/>
  <c r="AG97" i="1"/>
  <c r="T97" i="1"/>
  <c r="AG6" i="1"/>
  <c r="T6" i="1"/>
  <c r="AG89" i="1"/>
  <c r="T89" i="1"/>
  <c r="AG22" i="1"/>
  <c r="T22" i="1"/>
  <c r="AG20" i="1"/>
  <c r="T20" i="1"/>
  <c r="AG18" i="1"/>
  <c r="T18" i="1"/>
  <c r="AG108" i="1"/>
  <c r="T108" i="1"/>
  <c r="R5" i="1"/>
  <c r="U57" i="1"/>
  <c r="Q5" i="1"/>
  <c r="S5" i="1" l="1"/>
  <c r="T90" i="1"/>
  <c r="AG5" i="1"/>
</calcChain>
</file>

<file path=xl/sharedStrings.xml><?xml version="1.0" encoding="utf-8"?>
<sst xmlns="http://schemas.openxmlformats.org/spreadsheetml/2006/main" count="484" uniqueCount="180">
  <si>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</si>
  <si>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</si>
  <si>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</si>
  <si>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</si>
  <si>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</si>
  <si>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</si>
  <si>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</si>
  <si>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</si>
  <si>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</si>
  <si>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</si>
  <si>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</si>
  <si>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</si>
  <si>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</si>
  <si>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</si>
  <si>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</si>
  <si>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</si>
  <si>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</si>
  <si>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</si>
  <si>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</si>
  <si>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</si>
  <si>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</si>
  <si>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</si>
  <si>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26,10,</t>
  </si>
  <si>
    <t>01,11,</t>
  </si>
  <si>
    <t>29,10,</t>
  </si>
  <si>
    <t>27,10,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</si>
  <si>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</si>
  <si>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</si>
  <si>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</si>
  <si>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</si>
  <si>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</si>
  <si>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</si>
  <si>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</si>
  <si>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</si>
  <si>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</si>
  <si>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</si>
  <si>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</si>
  <si>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</si>
  <si>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</si>
  <si>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</si>
  <si>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</si>
  <si>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</si>
  <si>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</si>
  <si>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</si>
  <si>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</si>
  <si>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</si>
  <si>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</si>
  <si>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</si>
  <si>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</si>
  <si>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</si>
  <si>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</si>
  <si>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</si>
  <si>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</si>
  <si>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</si>
  <si>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продажи!!!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</si>
  <si>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</si>
  <si>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</si>
  <si>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>не в матрице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</si>
  <si>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</si>
  <si>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</si>
  <si>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</si>
  <si>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</si>
  <si>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</si>
  <si>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нужно увеличить продажи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</si>
  <si>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</si>
  <si>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</si>
  <si>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</si>
  <si>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</si>
  <si>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</si>
  <si>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</si>
  <si>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</si>
  <si>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</si>
  <si>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</si>
  <si>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</si>
  <si>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</si>
  <si>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</si>
  <si>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</si>
  <si>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</si>
  <si>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</si>
  <si>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</si>
  <si>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</si>
  <si>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</si>
  <si>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</si>
  <si>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</si>
  <si>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</si>
  <si>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</si>
  <si>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</si>
  <si>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</si>
  <si>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</si>
  <si>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</si>
  <si>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</si>
  <si>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</si>
  <si>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</si>
  <si>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</si>
  <si>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</si>
  <si>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</si>
  <si>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</si>
  <si>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</si>
  <si>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</si>
  <si>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</si>
  <si>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</si>
  <si>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</si>
  <si>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</si>
  <si>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</si>
  <si>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</si>
  <si>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</si>
  <si>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</si>
  <si>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</si>
  <si>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</si>
  <si>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</si>
  <si>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</si>
  <si>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</si>
  <si>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</si>
  <si>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</si>
  <si>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</si>
  <si>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</si>
  <si>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168кг списано (10,10,26)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</si>
  <si>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</si>
  <si>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</si>
  <si>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</si>
  <si>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</si>
  <si>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</si>
  <si>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</si>
  <si>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</si>
  <si>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441  Сосиски Сочинки ТМ Стародворье с сочной грудинкой 0,3 кг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</si>
  <si>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</si>
  <si>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</si>
  <si>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</si>
  <si>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</si>
  <si>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</si>
  <si>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</si>
  <si>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</si>
  <si>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</si>
  <si>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</si>
  <si>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</si>
  <si>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</si>
  <si>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</si>
  <si>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</si>
  <si>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</si>
  <si>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</si>
  <si>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</si>
  <si>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</si>
  <si>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</si>
  <si>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</si>
  <si>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</si>
  <si>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</si>
  <si>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</si>
  <si>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</si>
  <si>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</si>
  <si>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</si>
  <si>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</si>
  <si>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</si>
  <si>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</si>
  <si>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</si>
  <si>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</si>
  <si>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</si>
  <si>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</si>
  <si>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</si>
  <si>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</si>
  <si>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</si>
  <si>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</si>
  <si>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</si>
  <si>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 xml:space="preserve"> 640  Шпикачки Зареченские ТС Зареченские продукты в оболочке полиамид в мод.газ.среде НД2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</si>
  <si>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</si>
  <si>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</si>
  <si>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</si>
  <si>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</si>
  <si>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</si>
  <si>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</si>
  <si>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</si>
  <si>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 xml:space="preserve"> 635  Колбаса Сервелат Европейский ТМ Вязанка ВЕС  ПОКОМ</t>
  </si>
  <si>
    <t>SU004314 / новинка</t>
  </si>
  <si>
    <t>нужно увеличить продажи / 23шт списано (10,10,26)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</si>
  <si>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18шт списано (10,10,26)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</si>
  <si>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12шт списано (10,10,26)</t>
    </r>
  </si>
  <si>
    <t>65шт списано по срокам (27,10,26)</t>
  </si>
  <si>
    <t>39кг списано по срокам (27,10,26)</t>
  </si>
  <si>
    <t>дн</t>
  </si>
  <si>
    <t>заказ</t>
  </si>
  <si>
    <t>02,11,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</si>
</sst>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0" borderId="1" xfId="1" applyNumberFormat="1" applyFont="1"/>
    <xf numFmtId="164" fontId="6" fillId="7" borderId="1" xfId="1" applyNumberFormat="1" applyFont="1" applyFill="1"/>
    <xf numFmtId="164" fontId="7" fillId="2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29,10,26%20&#1084;&#1083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V1">
            <v>1.7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7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4" sqref="T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42578125" customWidth="1"/>
    <col min="10" max="10" width="1" customWidth="1"/>
    <col min="11" max="12" width="7" customWidth="1"/>
    <col min="13" max="14" width="0.5703125" customWidth="1"/>
    <col min="15" max="19" width="7" customWidth="1"/>
    <col min="20" max="21" width="5" customWidth="1"/>
    <col min="22" max="31" width="6" customWidth="1"/>
    <col min="32" max="32" width="40.28515625" customWidth="1"/>
    <col min="33" max="33" width="7" customWidth="1"/>
    <col min="34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9">
        <f>[1]Sheet!$V$1-0.5</f>
        <v>1.2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177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18" t="s">
        <v>178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 t="s">
        <v>179</v>
      </c>
      <c r="T4" s="1"/>
      <c r="U4" s="1"/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SUM(E6:E477)</f>
        <v>9465.6069999999982</v>
      </c>
      <c r="F5" s="4">
        <f>SUM(F6:F477)</f>
        <v>18709.385999999999</v>
      </c>
      <c r="G5" s="7"/>
      <c r="H5" s="1"/>
      <c r="I5" s="1"/>
      <c r="J5" s="1"/>
      <c r="K5" s="4">
        <f t="shared" ref="K5:S5" si="0">SUM(K6:K477)</f>
        <v>10366.044000000004</v>
      </c>
      <c r="L5" s="4">
        <f t="shared" si="0"/>
        <v>-900.43700000000001</v>
      </c>
      <c r="M5" s="4">
        <f t="shared" si="0"/>
        <v>0</v>
      </c>
      <c r="N5" s="4">
        <f t="shared" si="0"/>
        <v>0</v>
      </c>
      <c r="O5" s="4">
        <f t="shared" si="0"/>
        <v>2912.2773463359235</v>
      </c>
      <c r="P5" s="4">
        <f t="shared" si="0"/>
        <v>2706.9484376640762</v>
      </c>
      <c r="Q5" s="4">
        <f t="shared" si="0"/>
        <v>1893.1213999999998</v>
      </c>
      <c r="R5" s="4">
        <f t="shared" si="0"/>
        <v>4595.9814399999996</v>
      </c>
      <c r="S5" s="4">
        <f t="shared" si="0"/>
        <v>5777.2607200000002</v>
      </c>
      <c r="T5" s="1"/>
      <c r="U5" s="1"/>
      <c r="V5" s="4">
        <f t="shared" ref="V5:AE5" si="1">SUM(V6:V477)</f>
        <v>1844.6177999999998</v>
      </c>
      <c r="W5" s="4">
        <f t="shared" si="1"/>
        <v>1932.8420000000003</v>
      </c>
      <c r="X5" s="4">
        <f t="shared" si="1"/>
        <v>1830.6703999999993</v>
      </c>
      <c r="Y5" s="4">
        <f t="shared" si="1"/>
        <v>1817.1086000000005</v>
      </c>
      <c r="Z5" s="4">
        <f t="shared" si="1"/>
        <v>1783.8795999999998</v>
      </c>
      <c r="AA5" s="4">
        <f t="shared" si="1"/>
        <v>1889.5805999999998</v>
      </c>
      <c r="AB5" s="4">
        <f t="shared" si="1"/>
        <v>1612.5742000000002</v>
      </c>
      <c r="AC5" s="4">
        <f t="shared" si="1"/>
        <v>1527.6869999999999</v>
      </c>
      <c r="AD5" s="4">
        <f t="shared" si="1"/>
        <v>1485.5253999999995</v>
      </c>
      <c r="AE5" s="4">
        <f t="shared" si="1"/>
        <v>1171.7370000000001</v>
      </c>
      <c r="AF5" s="1"/>
      <c r="AG5" s="4">
        <f>SUM(AG6:AG477)</f>
        <v>4479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35</v>
      </c>
      <c r="B6" s="1" t="s">
        <v>36</v>
      </c>
      <c r="C6" s="1">
        <v>3.84</v>
      </c>
      <c r="D6" s="1">
        <v>236.46799999999999</v>
      </c>
      <c r="E6" s="1">
        <v>115.04600000000001</v>
      </c>
      <c r="F6" s="1">
        <v>121.235</v>
      </c>
      <c r="G6" s="7">
        <v>1</v>
      </c>
      <c r="H6" s="1">
        <v>50</v>
      </c>
      <c r="I6" s="1" t="s">
        <v>37</v>
      </c>
      <c r="J6" s="1"/>
      <c r="K6" s="1">
        <v>128</v>
      </c>
      <c r="L6" s="1">
        <f t="shared" ref="L6:L37" si="2">E6-K6</f>
        <v>-12.953999999999994</v>
      </c>
      <c r="M6" s="1"/>
      <c r="N6" s="1"/>
      <c r="O6" s="1">
        <v>65.184440000000009</v>
      </c>
      <c r="P6" s="1">
        <v>0</v>
      </c>
      <c r="Q6" s="1">
        <f t="shared" ref="Q6:Q37" si="3">E6/5</f>
        <v>23.0092</v>
      </c>
      <c r="R6" s="5">
        <f>12*Q6-P6-O6-F6</f>
        <v>89.690960000000032</v>
      </c>
      <c r="S6" s="5">
        <f>R6</f>
        <v>89.690960000000032</v>
      </c>
      <c r="T6" s="1">
        <f>(F6+O6+P6+S6)/Q6</f>
        <v>12.000000000000002</v>
      </c>
      <c r="U6" s="1">
        <f t="shared" ref="U6:U37" si="4">(F6+O6+P6)/Q6</f>
        <v>8.1019522625732314</v>
      </c>
      <c r="V6" s="1">
        <v>17.994399999999999</v>
      </c>
      <c r="W6" s="1">
        <v>26.908000000000001</v>
      </c>
      <c r="X6" s="1">
        <v>25.582999999999998</v>
      </c>
      <c r="Y6" s="1">
        <v>24.755800000000001</v>
      </c>
      <c r="Z6" s="1">
        <v>19.6492</v>
      </c>
      <c r="AA6" s="1">
        <v>19.663399999999999</v>
      </c>
      <c r="AB6" s="1">
        <v>24.488199999999999</v>
      </c>
      <c r="AC6" s="1">
        <v>15.6044</v>
      </c>
      <c r="AD6" s="1">
        <v>21.5792</v>
      </c>
      <c r="AE6" s="1">
        <v>26.789200000000001</v>
      </c>
      <c r="AF6" s="1"/>
      <c r="AG6" s="1">
        <f>ROUND(G6*S6,0)</f>
        <v>90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38</v>
      </c>
      <c r="B7" s="1" t="s">
        <v>36</v>
      </c>
      <c r="C7" s="1">
        <v>170.09800000000001</v>
      </c>
      <c r="D7" s="1">
        <v>90.855000000000004</v>
      </c>
      <c r="E7" s="1">
        <v>246.035</v>
      </c>
      <c r="F7" s="1">
        <v>2.726</v>
      </c>
      <c r="G7" s="7">
        <v>1</v>
      </c>
      <c r="H7" s="1">
        <v>45</v>
      </c>
      <c r="I7" s="1" t="s">
        <v>37</v>
      </c>
      <c r="J7" s="1"/>
      <c r="K7" s="1">
        <v>389.3</v>
      </c>
      <c r="L7" s="1">
        <f t="shared" si="2"/>
        <v>-143.26500000000001</v>
      </c>
      <c r="M7" s="1"/>
      <c r="N7" s="1"/>
      <c r="O7" s="1">
        <v>74.392664000000011</v>
      </c>
      <c r="P7" s="1">
        <v>266.25253600000002</v>
      </c>
      <c r="Q7" s="1">
        <f t="shared" si="3"/>
        <v>49.207000000000001</v>
      </c>
      <c r="R7" s="5">
        <f t="shared" ref="R7:R8" si="5">12*Q7-P7-O7-F7</f>
        <v>247.11279999999999</v>
      </c>
      <c r="S7" s="5">
        <f>R7+Q7*$S$1</f>
        <v>306.16120000000001</v>
      </c>
      <c r="T7" s="1">
        <f t="shared" ref="T7:T70" si="6">(F7+O7+P7+S7)/Q7</f>
        <v>13.200000000000001</v>
      </c>
      <c r="U7" s="1">
        <f t="shared" si="4"/>
        <v>6.9780966122706127</v>
      </c>
      <c r="V7" s="1">
        <v>45.258800000000001</v>
      </c>
      <c r="W7" s="1">
        <v>27.9358</v>
      </c>
      <c r="X7" s="1">
        <v>21.9556</v>
      </c>
      <c r="Y7" s="1">
        <v>23.580400000000001</v>
      </c>
      <c r="Z7" s="1">
        <v>25.588799999999999</v>
      </c>
      <c r="AA7" s="1">
        <v>22.931799999999999</v>
      </c>
      <c r="AB7" s="1">
        <v>24.117799999999999</v>
      </c>
      <c r="AC7" s="1">
        <v>22.6374</v>
      </c>
      <c r="AD7" s="1">
        <v>20.7254</v>
      </c>
      <c r="AE7" s="1">
        <v>21.689</v>
      </c>
      <c r="AF7" s="1"/>
      <c r="AG7" s="1">
        <f t="shared" ref="AG7:AG70" si="7">ROUND(G7*S7,0)</f>
        <v>306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39</v>
      </c>
      <c r="B8" s="1" t="s">
        <v>36</v>
      </c>
      <c r="C8" s="1">
        <v>74.766000000000005</v>
      </c>
      <c r="D8" s="1">
        <v>90.77</v>
      </c>
      <c r="E8" s="1">
        <v>156.28100000000001</v>
      </c>
      <c r="F8" s="1">
        <v>3.11</v>
      </c>
      <c r="G8" s="7">
        <v>1</v>
      </c>
      <c r="H8" s="1">
        <v>45</v>
      </c>
      <c r="I8" s="1" t="s">
        <v>37</v>
      </c>
      <c r="J8" s="1"/>
      <c r="K8" s="1">
        <v>215.9</v>
      </c>
      <c r="L8" s="1">
        <f t="shared" si="2"/>
        <v>-59.619</v>
      </c>
      <c r="M8" s="1"/>
      <c r="N8" s="1"/>
      <c r="O8" s="1">
        <v>146.13092800000001</v>
      </c>
      <c r="P8" s="1">
        <v>114.791472</v>
      </c>
      <c r="Q8" s="1">
        <f t="shared" si="3"/>
        <v>31.2562</v>
      </c>
      <c r="R8" s="5">
        <f t="shared" si="5"/>
        <v>111.04199999999996</v>
      </c>
      <c r="S8" s="5">
        <f>R8+Q8*$S$1</f>
        <v>148.54943999999995</v>
      </c>
      <c r="T8" s="1">
        <f t="shared" si="6"/>
        <v>13.2</v>
      </c>
      <c r="U8" s="1">
        <f t="shared" si="4"/>
        <v>8.4473608436086298</v>
      </c>
      <c r="V8" s="1">
        <v>29.242799999999999</v>
      </c>
      <c r="W8" s="1">
        <v>26.371600000000001</v>
      </c>
      <c r="X8" s="1">
        <v>19.1694</v>
      </c>
      <c r="Y8" s="1">
        <v>13.953799999999999</v>
      </c>
      <c r="Z8" s="1">
        <v>22.8444</v>
      </c>
      <c r="AA8" s="1">
        <v>26.839200000000002</v>
      </c>
      <c r="AB8" s="1">
        <v>22.239000000000001</v>
      </c>
      <c r="AC8" s="1">
        <v>23.381799999999998</v>
      </c>
      <c r="AD8" s="1">
        <v>24.181999999999999</v>
      </c>
      <c r="AE8" s="1">
        <v>21.139399999999998</v>
      </c>
      <c r="AF8" s="1"/>
      <c r="AG8" s="1">
        <f t="shared" si="7"/>
        <v>149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0" t="s">
        <v>40</v>
      </c>
      <c r="B9" s="10" t="s">
        <v>41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2"/>
        <v>0</v>
      </c>
      <c r="M9" s="10"/>
      <c r="N9" s="10"/>
      <c r="O9" s="10">
        <v>0</v>
      </c>
      <c r="P9" s="10">
        <v>0</v>
      </c>
      <c r="Q9" s="10">
        <f t="shared" si="3"/>
        <v>0</v>
      </c>
      <c r="R9" s="12"/>
      <c r="S9" s="5">
        <f t="shared" ref="S9:S70" si="8">R9</f>
        <v>0</v>
      </c>
      <c r="T9" s="1" t="e">
        <f t="shared" si="6"/>
        <v>#DIV/0!</v>
      </c>
      <c r="U9" s="10" t="e">
        <f t="shared" si="4"/>
        <v>#DIV/0!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 t="s">
        <v>42</v>
      </c>
      <c r="AG9" s="1">
        <f t="shared" si="7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43</v>
      </c>
      <c r="B10" s="1" t="s">
        <v>41</v>
      </c>
      <c r="C10" s="1">
        <v>-48</v>
      </c>
      <c r="D10" s="1">
        <v>624</v>
      </c>
      <c r="E10" s="1">
        <v>320</v>
      </c>
      <c r="F10" s="1">
        <v>256</v>
      </c>
      <c r="G10" s="7">
        <v>0.45</v>
      </c>
      <c r="H10" s="1">
        <v>45</v>
      </c>
      <c r="I10" s="1" t="s">
        <v>37</v>
      </c>
      <c r="J10" s="1"/>
      <c r="K10" s="1">
        <v>317</v>
      </c>
      <c r="L10" s="1">
        <f t="shared" si="2"/>
        <v>3</v>
      </c>
      <c r="M10" s="1"/>
      <c r="N10" s="1"/>
      <c r="O10" s="1">
        <v>0</v>
      </c>
      <c r="P10" s="1">
        <v>0</v>
      </c>
      <c r="Q10" s="1">
        <f t="shared" si="3"/>
        <v>64</v>
      </c>
      <c r="R10" s="5">
        <f>11*Q10-P10-O10-F10</f>
        <v>448</v>
      </c>
      <c r="S10" s="5">
        <f t="shared" si="8"/>
        <v>448</v>
      </c>
      <c r="T10" s="1">
        <f t="shared" si="6"/>
        <v>11</v>
      </c>
      <c r="U10" s="1">
        <f t="shared" si="4"/>
        <v>4</v>
      </c>
      <c r="V10" s="1">
        <v>34.799999999999997</v>
      </c>
      <c r="W10" s="1">
        <v>40.6</v>
      </c>
      <c r="X10" s="1">
        <v>57.6</v>
      </c>
      <c r="Y10" s="1">
        <v>46.6</v>
      </c>
      <c r="Z10" s="1">
        <v>78.2</v>
      </c>
      <c r="AA10" s="1">
        <v>88.2</v>
      </c>
      <c r="AB10" s="1">
        <v>26.2</v>
      </c>
      <c r="AC10" s="1">
        <v>23.6</v>
      </c>
      <c r="AD10" s="1">
        <v>21.8</v>
      </c>
      <c r="AE10" s="1">
        <v>-0.6</v>
      </c>
      <c r="AF10" s="1"/>
      <c r="AG10" s="1">
        <f t="shared" si="7"/>
        <v>202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44</v>
      </c>
      <c r="B11" s="1" t="s">
        <v>41</v>
      </c>
      <c r="C11" s="1">
        <v>246</v>
      </c>
      <c r="D11" s="1">
        <v>376</v>
      </c>
      <c r="E11" s="1">
        <v>425</v>
      </c>
      <c r="F11" s="1">
        <v>192</v>
      </c>
      <c r="G11" s="7">
        <v>0.45</v>
      </c>
      <c r="H11" s="1">
        <v>45</v>
      </c>
      <c r="I11" s="1" t="s">
        <v>37</v>
      </c>
      <c r="J11" s="1"/>
      <c r="K11" s="1">
        <v>423</v>
      </c>
      <c r="L11" s="1">
        <f t="shared" si="2"/>
        <v>2</v>
      </c>
      <c r="M11" s="1"/>
      <c r="N11" s="1"/>
      <c r="O11" s="1">
        <v>58.171056936648156</v>
      </c>
      <c r="P11" s="1">
        <v>354.22894306335189</v>
      </c>
      <c r="Q11" s="1">
        <f t="shared" si="3"/>
        <v>85</v>
      </c>
      <c r="R11" s="5">
        <f t="shared" ref="R11:R20" si="9">12*Q11-P11-O11-F11</f>
        <v>415.6</v>
      </c>
      <c r="S11" s="5">
        <f>R11+Q11*$S$1</f>
        <v>517.6</v>
      </c>
      <c r="T11" s="1">
        <f t="shared" si="6"/>
        <v>13.2</v>
      </c>
      <c r="U11" s="1">
        <f t="shared" si="4"/>
        <v>7.1105882352941183</v>
      </c>
      <c r="V11" s="1">
        <v>70.2</v>
      </c>
      <c r="W11" s="1">
        <v>55.8</v>
      </c>
      <c r="X11" s="1">
        <v>68.400000000000006</v>
      </c>
      <c r="Y11" s="1">
        <v>69.599999999999994</v>
      </c>
      <c r="Z11" s="1">
        <v>71.400000000000006</v>
      </c>
      <c r="AA11" s="1">
        <v>93.2</v>
      </c>
      <c r="AB11" s="1">
        <v>82</v>
      </c>
      <c r="AC11" s="1">
        <v>82.6</v>
      </c>
      <c r="AD11" s="1">
        <v>72.2</v>
      </c>
      <c r="AE11" s="1">
        <v>58.4</v>
      </c>
      <c r="AF11" s="1"/>
      <c r="AG11" s="1">
        <f t="shared" si="7"/>
        <v>233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45</v>
      </c>
      <c r="B12" s="1" t="s">
        <v>41</v>
      </c>
      <c r="C12" s="1">
        <v>-16</v>
      </c>
      <c r="D12" s="1">
        <v>300</v>
      </c>
      <c r="E12" s="1">
        <v>38</v>
      </c>
      <c r="F12" s="1">
        <v>235</v>
      </c>
      <c r="G12" s="7">
        <v>0.17</v>
      </c>
      <c r="H12" s="1">
        <v>180</v>
      </c>
      <c r="I12" s="1" t="s">
        <v>37</v>
      </c>
      <c r="J12" s="1"/>
      <c r="K12" s="1">
        <v>38</v>
      </c>
      <c r="L12" s="1">
        <f t="shared" si="2"/>
        <v>0</v>
      </c>
      <c r="M12" s="1"/>
      <c r="N12" s="1"/>
      <c r="O12" s="1">
        <v>0</v>
      </c>
      <c r="P12" s="1">
        <v>0</v>
      </c>
      <c r="Q12" s="1">
        <f t="shared" si="3"/>
        <v>7.6</v>
      </c>
      <c r="R12" s="5"/>
      <c r="S12" s="5">
        <f t="shared" si="8"/>
        <v>0</v>
      </c>
      <c r="T12" s="1">
        <f t="shared" si="6"/>
        <v>30.921052631578949</v>
      </c>
      <c r="U12" s="1">
        <f t="shared" si="4"/>
        <v>30.921052631578949</v>
      </c>
      <c r="V12" s="1">
        <v>9</v>
      </c>
      <c r="W12" s="1">
        <v>7.4</v>
      </c>
      <c r="X12" s="1">
        <v>4.4000000000000004</v>
      </c>
      <c r="Y12" s="1">
        <v>10.6</v>
      </c>
      <c r="Z12" s="1">
        <v>16.2</v>
      </c>
      <c r="AA12" s="1">
        <v>12</v>
      </c>
      <c r="AB12" s="1">
        <v>7</v>
      </c>
      <c r="AC12" s="1">
        <v>6</v>
      </c>
      <c r="AD12" s="1">
        <v>2.8</v>
      </c>
      <c r="AE12" s="1">
        <v>4.8</v>
      </c>
      <c r="AF12" s="1"/>
      <c r="AG12" s="1">
        <f t="shared" si="7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46</v>
      </c>
      <c r="B13" s="1" t="s">
        <v>41</v>
      </c>
      <c r="C13" s="1">
        <v>16</v>
      </c>
      <c r="D13" s="1">
        <v>25</v>
      </c>
      <c r="E13" s="1">
        <v>7</v>
      </c>
      <c r="F13" s="1">
        <v>27</v>
      </c>
      <c r="G13" s="7">
        <v>0.3</v>
      </c>
      <c r="H13" s="1">
        <v>40</v>
      </c>
      <c r="I13" s="9" t="s">
        <v>47</v>
      </c>
      <c r="J13" s="1"/>
      <c r="K13" s="1">
        <v>11</v>
      </c>
      <c r="L13" s="1">
        <f t="shared" si="2"/>
        <v>-4</v>
      </c>
      <c r="M13" s="1"/>
      <c r="N13" s="1"/>
      <c r="O13" s="1">
        <v>13.8</v>
      </c>
      <c r="P13" s="1">
        <v>0</v>
      </c>
      <c r="Q13" s="1">
        <f t="shared" si="3"/>
        <v>1.4</v>
      </c>
      <c r="R13" s="5"/>
      <c r="S13" s="5">
        <f t="shared" si="8"/>
        <v>0</v>
      </c>
      <c r="T13" s="1">
        <f t="shared" si="6"/>
        <v>29.142857142857142</v>
      </c>
      <c r="U13" s="1">
        <f t="shared" si="4"/>
        <v>29.142857142857142</v>
      </c>
      <c r="V13" s="1">
        <v>2</v>
      </c>
      <c r="W13" s="1">
        <v>4.2</v>
      </c>
      <c r="X13" s="1">
        <v>3.6</v>
      </c>
      <c r="Y13" s="1">
        <v>2.4</v>
      </c>
      <c r="Z13" s="1">
        <v>4.2</v>
      </c>
      <c r="AA13" s="1">
        <v>6.4</v>
      </c>
      <c r="AB13" s="1">
        <v>6.8</v>
      </c>
      <c r="AC13" s="1">
        <v>5.6</v>
      </c>
      <c r="AD13" s="1">
        <v>3</v>
      </c>
      <c r="AE13" s="1">
        <v>0</v>
      </c>
      <c r="AF13" s="14" t="s">
        <v>63</v>
      </c>
      <c r="AG13" s="1">
        <f t="shared" si="7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48</v>
      </c>
      <c r="B14" s="1" t="s">
        <v>41</v>
      </c>
      <c r="C14" s="1">
        <v>76</v>
      </c>
      <c r="D14" s="1">
        <v>211</v>
      </c>
      <c r="E14" s="1">
        <v>59</v>
      </c>
      <c r="F14" s="1">
        <v>217</v>
      </c>
      <c r="G14" s="7">
        <v>0.17</v>
      </c>
      <c r="H14" s="1">
        <v>180</v>
      </c>
      <c r="I14" s="1" t="s">
        <v>37</v>
      </c>
      <c r="J14" s="1"/>
      <c r="K14" s="1">
        <v>59</v>
      </c>
      <c r="L14" s="1">
        <f t="shared" si="2"/>
        <v>0</v>
      </c>
      <c r="M14" s="1"/>
      <c r="N14" s="1"/>
      <c r="O14" s="1">
        <v>0</v>
      </c>
      <c r="P14" s="1">
        <v>0</v>
      </c>
      <c r="Q14" s="1">
        <f t="shared" si="3"/>
        <v>11.8</v>
      </c>
      <c r="R14" s="5"/>
      <c r="S14" s="5">
        <f t="shared" si="8"/>
        <v>0</v>
      </c>
      <c r="T14" s="1">
        <f t="shared" si="6"/>
        <v>18.389830508474574</v>
      </c>
      <c r="U14" s="1">
        <f t="shared" si="4"/>
        <v>18.389830508474574</v>
      </c>
      <c r="V14" s="1">
        <v>16.8</v>
      </c>
      <c r="W14" s="1">
        <v>17.399999999999999</v>
      </c>
      <c r="X14" s="1">
        <v>12.4</v>
      </c>
      <c r="Y14" s="1">
        <v>15.8</v>
      </c>
      <c r="Z14" s="1">
        <v>21.8</v>
      </c>
      <c r="AA14" s="1">
        <v>21.2</v>
      </c>
      <c r="AB14" s="1">
        <v>18.2</v>
      </c>
      <c r="AC14" s="1">
        <v>20.8</v>
      </c>
      <c r="AD14" s="1">
        <v>17.8</v>
      </c>
      <c r="AE14" s="1">
        <v>12.8</v>
      </c>
      <c r="AF14" s="1"/>
      <c r="AG14" s="1">
        <f t="shared" si="7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49</v>
      </c>
      <c r="B15" s="1" t="s">
        <v>36</v>
      </c>
      <c r="C15" s="1">
        <v>17.475999999999999</v>
      </c>
      <c r="D15" s="1">
        <v>929.98199999999997</v>
      </c>
      <c r="E15" s="1">
        <v>236.83199999999999</v>
      </c>
      <c r="F15" s="1">
        <v>693.57899999999995</v>
      </c>
      <c r="G15" s="7">
        <v>1</v>
      </c>
      <c r="H15" s="1">
        <v>70</v>
      </c>
      <c r="I15" s="1" t="s">
        <v>37</v>
      </c>
      <c r="J15" s="1"/>
      <c r="K15" s="1">
        <v>231.3</v>
      </c>
      <c r="L15" s="1">
        <f t="shared" si="2"/>
        <v>5.5319999999999823</v>
      </c>
      <c r="M15" s="1"/>
      <c r="N15" s="1"/>
      <c r="O15" s="1">
        <v>0</v>
      </c>
      <c r="P15" s="1">
        <v>0</v>
      </c>
      <c r="Q15" s="1">
        <f t="shared" si="3"/>
        <v>47.366399999999999</v>
      </c>
      <c r="R15" s="5"/>
      <c r="S15" s="5">
        <f t="shared" si="8"/>
        <v>0</v>
      </c>
      <c r="T15" s="1">
        <f t="shared" si="6"/>
        <v>14.642848094852047</v>
      </c>
      <c r="U15" s="1">
        <f t="shared" si="4"/>
        <v>14.642848094852047</v>
      </c>
      <c r="V15" s="1">
        <v>43.964399999999998</v>
      </c>
      <c r="W15" s="1">
        <v>56.098199999999999</v>
      </c>
      <c r="X15" s="1">
        <v>65.554999999999993</v>
      </c>
      <c r="Y15" s="1">
        <v>87.277599999999993</v>
      </c>
      <c r="Z15" s="1">
        <v>60.310600000000001</v>
      </c>
      <c r="AA15" s="1">
        <v>38.077800000000003</v>
      </c>
      <c r="AB15" s="1">
        <v>38.4358</v>
      </c>
      <c r="AC15" s="1">
        <v>20.296600000000002</v>
      </c>
      <c r="AD15" s="1">
        <v>45.934399999999997</v>
      </c>
      <c r="AE15" s="1">
        <v>54.014000000000003</v>
      </c>
      <c r="AF15" s="1"/>
      <c r="AG15" s="1">
        <f t="shared" si="7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50</v>
      </c>
      <c r="B16" s="1" t="s">
        <v>36</v>
      </c>
      <c r="C16" s="1">
        <v>82.001999999999995</v>
      </c>
      <c r="D16" s="1">
        <v>1648.7260000000001</v>
      </c>
      <c r="E16" s="1">
        <v>725.63900000000001</v>
      </c>
      <c r="F16" s="1">
        <v>924.46699999999998</v>
      </c>
      <c r="G16" s="7">
        <v>1</v>
      </c>
      <c r="H16" s="1">
        <v>50</v>
      </c>
      <c r="I16" s="1" t="s">
        <v>37</v>
      </c>
      <c r="J16" s="1"/>
      <c r="K16" s="1">
        <v>770.00300000000004</v>
      </c>
      <c r="L16" s="1">
        <f t="shared" si="2"/>
        <v>-44.364000000000033</v>
      </c>
      <c r="M16" s="1"/>
      <c r="N16" s="1"/>
      <c r="O16" s="1">
        <v>255.66698400000001</v>
      </c>
      <c r="P16" s="1">
        <v>332.31145599999962</v>
      </c>
      <c r="Q16" s="1">
        <f t="shared" si="3"/>
        <v>145.12780000000001</v>
      </c>
      <c r="R16" s="5">
        <f t="shared" si="9"/>
        <v>229.08816000000058</v>
      </c>
      <c r="S16" s="5">
        <f>R16+Q16*$S$1</f>
        <v>403.24152000000061</v>
      </c>
      <c r="T16" s="1">
        <f t="shared" si="6"/>
        <v>13.200000000000003</v>
      </c>
      <c r="U16" s="1">
        <f t="shared" si="4"/>
        <v>10.421472936267206</v>
      </c>
      <c r="V16" s="1">
        <v>151.5044</v>
      </c>
      <c r="W16" s="1">
        <v>167.2568</v>
      </c>
      <c r="X16" s="1">
        <v>151.7054</v>
      </c>
      <c r="Y16" s="1">
        <v>145.41239999999999</v>
      </c>
      <c r="Z16" s="1">
        <v>152.36940000000001</v>
      </c>
      <c r="AA16" s="1">
        <v>153.6754</v>
      </c>
      <c r="AB16" s="1">
        <v>153.47040000000001</v>
      </c>
      <c r="AC16" s="1">
        <v>191.55760000000001</v>
      </c>
      <c r="AD16" s="1">
        <v>201.6146</v>
      </c>
      <c r="AE16" s="1">
        <v>130.29419999999999</v>
      </c>
      <c r="AF16" s="1"/>
      <c r="AG16" s="1">
        <f t="shared" si="7"/>
        <v>403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51</v>
      </c>
      <c r="B17" s="1" t="s">
        <v>36</v>
      </c>
      <c r="C17" s="1">
        <v>57.368000000000002</v>
      </c>
      <c r="D17" s="1">
        <v>83.536000000000001</v>
      </c>
      <c r="E17" s="1">
        <v>40.131</v>
      </c>
      <c r="F17" s="1">
        <v>84.974000000000004</v>
      </c>
      <c r="G17" s="7">
        <v>1</v>
      </c>
      <c r="H17" s="1">
        <v>60</v>
      </c>
      <c r="I17" s="1" t="s">
        <v>37</v>
      </c>
      <c r="J17" s="1"/>
      <c r="K17" s="1">
        <v>62.5</v>
      </c>
      <c r="L17" s="1">
        <f t="shared" si="2"/>
        <v>-22.369</v>
      </c>
      <c r="M17" s="1"/>
      <c r="N17" s="1"/>
      <c r="O17" s="1">
        <v>17.187199999999962</v>
      </c>
      <c r="P17" s="1">
        <v>0</v>
      </c>
      <c r="Q17" s="1">
        <f t="shared" si="3"/>
        <v>8.0261999999999993</v>
      </c>
      <c r="R17" s="5"/>
      <c r="S17" s="5">
        <f t="shared" si="8"/>
        <v>0</v>
      </c>
      <c r="T17" s="1">
        <f t="shared" si="6"/>
        <v>12.728464279484685</v>
      </c>
      <c r="U17" s="1">
        <f t="shared" si="4"/>
        <v>12.728464279484685</v>
      </c>
      <c r="V17" s="1">
        <v>8.4336000000000002</v>
      </c>
      <c r="W17" s="1">
        <v>11.1334</v>
      </c>
      <c r="X17" s="1">
        <v>10.779</v>
      </c>
      <c r="Y17" s="1">
        <v>13.9788</v>
      </c>
      <c r="Z17" s="1">
        <v>12.2264</v>
      </c>
      <c r="AA17" s="1">
        <v>3.5379999999999998</v>
      </c>
      <c r="AB17" s="1">
        <v>4.5628000000000002</v>
      </c>
      <c r="AC17" s="1">
        <v>15.856400000000001</v>
      </c>
      <c r="AD17" s="1">
        <v>15.5992</v>
      </c>
      <c r="AE17" s="1">
        <v>9.6205999999999996</v>
      </c>
      <c r="AF17" s="1"/>
      <c r="AG17" s="1">
        <f t="shared" si="7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52</v>
      </c>
      <c r="B18" s="1" t="s">
        <v>36</v>
      </c>
      <c r="C18" s="1">
        <v>0.88500000000000001</v>
      </c>
      <c r="D18" s="1">
        <v>106.727</v>
      </c>
      <c r="E18" s="1">
        <v>35.332000000000001</v>
      </c>
      <c r="F18" s="1">
        <v>71.375</v>
      </c>
      <c r="G18" s="7">
        <v>1</v>
      </c>
      <c r="H18" s="1">
        <v>60</v>
      </c>
      <c r="I18" s="1" t="s">
        <v>37</v>
      </c>
      <c r="J18" s="1"/>
      <c r="K18" s="1">
        <v>41</v>
      </c>
      <c r="L18" s="1">
        <f t="shared" si="2"/>
        <v>-5.6679999999999993</v>
      </c>
      <c r="M18" s="1"/>
      <c r="N18" s="1"/>
      <c r="O18" s="1">
        <v>0</v>
      </c>
      <c r="P18" s="1">
        <v>0</v>
      </c>
      <c r="Q18" s="1">
        <f t="shared" si="3"/>
        <v>7.0663999999999998</v>
      </c>
      <c r="R18" s="5">
        <f t="shared" si="9"/>
        <v>13.42179999999999</v>
      </c>
      <c r="S18" s="5">
        <f t="shared" si="8"/>
        <v>13.42179999999999</v>
      </c>
      <c r="T18" s="1">
        <f t="shared" si="6"/>
        <v>11.999999999999998</v>
      </c>
      <c r="U18" s="1">
        <f t="shared" si="4"/>
        <v>10.100617004415261</v>
      </c>
      <c r="V18" s="1">
        <v>0.19</v>
      </c>
      <c r="W18" s="1">
        <v>3.8660000000000001</v>
      </c>
      <c r="X18" s="1">
        <v>8.2656000000000009</v>
      </c>
      <c r="Y18" s="1">
        <v>8.6102000000000007</v>
      </c>
      <c r="Z18" s="1">
        <v>6.8123999999999993</v>
      </c>
      <c r="AA18" s="1">
        <v>2.4491999999999998</v>
      </c>
      <c r="AB18" s="1">
        <v>0.35659999999999997</v>
      </c>
      <c r="AC18" s="1">
        <v>3.3452000000000002</v>
      </c>
      <c r="AD18" s="1">
        <v>6.4581999999999997</v>
      </c>
      <c r="AE18" s="1">
        <v>6.0523999999999996</v>
      </c>
      <c r="AF18" s="1"/>
      <c r="AG18" s="1">
        <f t="shared" si="7"/>
        <v>13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53</v>
      </c>
      <c r="B19" s="1" t="s">
        <v>36</v>
      </c>
      <c r="C19" s="1">
        <v>66.822000000000003</v>
      </c>
      <c r="D19" s="1">
        <v>0.34699999999999998</v>
      </c>
      <c r="E19" s="1">
        <v>1.514</v>
      </c>
      <c r="F19" s="1">
        <v>65.655000000000001</v>
      </c>
      <c r="G19" s="7">
        <v>1</v>
      </c>
      <c r="H19" s="1">
        <v>180</v>
      </c>
      <c r="I19" s="1" t="s">
        <v>37</v>
      </c>
      <c r="J19" s="1"/>
      <c r="K19" s="1">
        <v>1.36</v>
      </c>
      <c r="L19" s="1">
        <f t="shared" si="2"/>
        <v>0.15399999999999991</v>
      </c>
      <c r="M19" s="1"/>
      <c r="N19" s="1"/>
      <c r="O19" s="1">
        <v>0</v>
      </c>
      <c r="P19" s="1">
        <v>0</v>
      </c>
      <c r="Q19" s="1">
        <f t="shared" si="3"/>
        <v>0.30280000000000001</v>
      </c>
      <c r="R19" s="5"/>
      <c r="S19" s="5">
        <f t="shared" si="8"/>
        <v>0</v>
      </c>
      <c r="T19" s="1">
        <f t="shared" si="6"/>
        <v>216.82628797886392</v>
      </c>
      <c r="U19" s="1">
        <f t="shared" si="4"/>
        <v>216.82628797886392</v>
      </c>
      <c r="V19" s="1">
        <v>0.7248</v>
      </c>
      <c r="W19" s="1">
        <v>1.1200000000000001</v>
      </c>
      <c r="X19" s="1">
        <v>1.0484</v>
      </c>
      <c r="Y19" s="1">
        <v>1.3737999999999999</v>
      </c>
      <c r="Z19" s="1">
        <v>1.5928</v>
      </c>
      <c r="AA19" s="1">
        <v>1.4348000000000001</v>
      </c>
      <c r="AB19" s="1">
        <v>1.0733999999999999</v>
      </c>
      <c r="AC19" s="1">
        <v>0.58299999999999996</v>
      </c>
      <c r="AD19" s="1">
        <v>0.36120000000000002</v>
      </c>
      <c r="AE19" s="1">
        <v>0.43280000000000002</v>
      </c>
      <c r="AF19" s="15" t="s">
        <v>54</v>
      </c>
      <c r="AG19" s="1">
        <f t="shared" si="7"/>
        <v>0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55</v>
      </c>
      <c r="B20" s="1" t="s">
        <v>36</v>
      </c>
      <c r="C20" s="1">
        <v>87.355999999999995</v>
      </c>
      <c r="D20" s="1">
        <v>638.38800000000003</v>
      </c>
      <c r="E20" s="1">
        <v>235.77799999999999</v>
      </c>
      <c r="F20" s="1">
        <v>465.42399999999998</v>
      </c>
      <c r="G20" s="7">
        <v>1</v>
      </c>
      <c r="H20" s="1">
        <v>60</v>
      </c>
      <c r="I20" s="1" t="s">
        <v>37</v>
      </c>
      <c r="J20" s="1"/>
      <c r="K20" s="1">
        <v>233</v>
      </c>
      <c r="L20" s="1">
        <f t="shared" si="2"/>
        <v>2.7779999999999916</v>
      </c>
      <c r="M20" s="1"/>
      <c r="N20" s="1"/>
      <c r="O20" s="1">
        <v>0</v>
      </c>
      <c r="P20" s="1">
        <v>0</v>
      </c>
      <c r="Q20" s="1">
        <f t="shared" si="3"/>
        <v>47.1556</v>
      </c>
      <c r="R20" s="5">
        <f t="shared" si="9"/>
        <v>100.44320000000005</v>
      </c>
      <c r="S20" s="5">
        <f>R20+Q20*$S$1</f>
        <v>157.02992000000006</v>
      </c>
      <c r="T20" s="1">
        <f t="shared" si="6"/>
        <v>13.200000000000001</v>
      </c>
      <c r="U20" s="1">
        <f t="shared" si="4"/>
        <v>9.8699624222785829</v>
      </c>
      <c r="V20" s="1">
        <v>37.252600000000001</v>
      </c>
      <c r="W20" s="1">
        <v>39.959000000000003</v>
      </c>
      <c r="X20" s="1">
        <v>51.057400000000001</v>
      </c>
      <c r="Y20" s="1">
        <v>60.873399999999997</v>
      </c>
      <c r="Z20" s="1">
        <v>50.812600000000003</v>
      </c>
      <c r="AA20" s="1">
        <v>48.222799999999999</v>
      </c>
      <c r="AB20" s="1">
        <v>24.840199999999999</v>
      </c>
      <c r="AC20" s="1">
        <v>17.950800000000001</v>
      </c>
      <c r="AD20" s="1">
        <v>46.0608</v>
      </c>
      <c r="AE20" s="1">
        <v>52.321800000000003</v>
      </c>
      <c r="AF20" s="1"/>
      <c r="AG20" s="1">
        <f t="shared" si="7"/>
        <v>157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0" t="s">
        <v>56</v>
      </c>
      <c r="B21" s="10" t="s">
        <v>36</v>
      </c>
      <c r="C21" s="10">
        <v>-2.4980000000000002</v>
      </c>
      <c r="D21" s="10"/>
      <c r="E21" s="10"/>
      <c r="F21" s="13">
        <v>-2.4980000000000002</v>
      </c>
      <c r="G21" s="11">
        <v>0</v>
      </c>
      <c r="H21" s="10"/>
      <c r="I21" s="10" t="s">
        <v>57</v>
      </c>
      <c r="J21" s="10" t="s">
        <v>58</v>
      </c>
      <c r="K21" s="10"/>
      <c r="L21" s="10">
        <f t="shared" si="2"/>
        <v>0</v>
      </c>
      <c r="M21" s="10"/>
      <c r="N21" s="10"/>
      <c r="O21" s="10">
        <v>0</v>
      </c>
      <c r="P21" s="10">
        <v>0</v>
      </c>
      <c r="Q21" s="10">
        <f t="shared" si="3"/>
        <v>0</v>
      </c>
      <c r="R21" s="12"/>
      <c r="S21" s="5">
        <f t="shared" si="8"/>
        <v>0</v>
      </c>
      <c r="T21" s="1" t="e">
        <f t="shared" si="6"/>
        <v>#DIV/0!</v>
      </c>
      <c r="U21" s="10" t="e">
        <f t="shared" si="4"/>
        <v>#DIV/0!</v>
      </c>
      <c r="V21" s="10">
        <v>0</v>
      </c>
      <c r="W21" s="10">
        <v>0</v>
      </c>
      <c r="X21" s="10">
        <v>0.49959999999999999</v>
      </c>
      <c r="Y21" s="10">
        <v>0.49959999999999999</v>
      </c>
      <c r="Z21" s="10">
        <v>0</v>
      </c>
      <c r="AA21" s="10">
        <v>0</v>
      </c>
      <c r="AB21" s="10">
        <v>4.4702000000000002</v>
      </c>
      <c r="AC21" s="10">
        <v>4.4702000000000002</v>
      </c>
      <c r="AD21" s="10">
        <v>0</v>
      </c>
      <c r="AE21" s="10">
        <v>0</v>
      </c>
      <c r="AF21" s="10"/>
      <c r="AG21" s="1">
        <f t="shared" si="7"/>
        <v>0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59</v>
      </c>
      <c r="B22" s="1" t="s">
        <v>36</v>
      </c>
      <c r="C22" s="1">
        <v>87.584999999999994</v>
      </c>
      <c r="D22" s="1">
        <v>107.71</v>
      </c>
      <c r="E22" s="1">
        <v>96.388000000000005</v>
      </c>
      <c r="F22" s="1">
        <v>91.888000000000005</v>
      </c>
      <c r="G22" s="7">
        <v>1</v>
      </c>
      <c r="H22" s="1">
        <v>70</v>
      </c>
      <c r="I22" s="1" t="s">
        <v>37</v>
      </c>
      <c r="J22" s="1"/>
      <c r="K22" s="1">
        <v>98.6</v>
      </c>
      <c r="L22" s="1">
        <f t="shared" si="2"/>
        <v>-2.2119999999999891</v>
      </c>
      <c r="M22" s="1"/>
      <c r="N22" s="1"/>
      <c r="O22" s="1">
        <v>41.989040000000017</v>
      </c>
      <c r="P22" s="1">
        <v>0</v>
      </c>
      <c r="Q22" s="1">
        <f t="shared" si="3"/>
        <v>19.2776</v>
      </c>
      <c r="R22" s="5">
        <f t="shared" ref="R22" si="10">12*Q22-P22-O22-F22</f>
        <v>97.454159999999973</v>
      </c>
      <c r="S22" s="5">
        <f t="shared" si="8"/>
        <v>97.454159999999973</v>
      </c>
      <c r="T22" s="1">
        <f t="shared" si="6"/>
        <v>12</v>
      </c>
      <c r="U22" s="1">
        <f t="shared" si="4"/>
        <v>6.9446943602938136</v>
      </c>
      <c r="V22" s="1">
        <v>15.7432</v>
      </c>
      <c r="W22" s="1">
        <v>20.288</v>
      </c>
      <c r="X22" s="1">
        <v>16.302</v>
      </c>
      <c r="Y22" s="1">
        <v>7.3874000000000004</v>
      </c>
      <c r="Z22" s="1">
        <v>12.8804</v>
      </c>
      <c r="AA22" s="1">
        <v>21.585599999999999</v>
      </c>
      <c r="AB22" s="1">
        <v>18.66</v>
      </c>
      <c r="AC22" s="1">
        <v>13.150600000000001</v>
      </c>
      <c r="AD22" s="1">
        <v>8.1453999999999986</v>
      </c>
      <c r="AE22" s="1">
        <v>4.9426000000000014</v>
      </c>
      <c r="AF22" s="1"/>
      <c r="AG22" s="1">
        <f t="shared" si="7"/>
        <v>97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60</v>
      </c>
      <c r="B23" s="1" t="s">
        <v>36</v>
      </c>
      <c r="C23" s="1">
        <v>4.6310000000000002</v>
      </c>
      <c r="D23" s="1">
        <v>681.56600000000003</v>
      </c>
      <c r="E23" s="1">
        <v>91.843000000000004</v>
      </c>
      <c r="F23" s="1">
        <v>586.09900000000005</v>
      </c>
      <c r="G23" s="7">
        <v>1</v>
      </c>
      <c r="H23" s="1">
        <v>70</v>
      </c>
      <c r="I23" s="1" t="s">
        <v>37</v>
      </c>
      <c r="J23" s="1"/>
      <c r="K23" s="1">
        <v>101.18</v>
      </c>
      <c r="L23" s="1">
        <f t="shared" si="2"/>
        <v>-9.3370000000000033</v>
      </c>
      <c r="M23" s="1"/>
      <c r="N23" s="1"/>
      <c r="O23" s="1">
        <v>0</v>
      </c>
      <c r="P23" s="1">
        <v>0</v>
      </c>
      <c r="Q23" s="1">
        <f t="shared" si="3"/>
        <v>18.368600000000001</v>
      </c>
      <c r="R23" s="5"/>
      <c r="S23" s="5">
        <f t="shared" si="8"/>
        <v>0</v>
      </c>
      <c r="T23" s="1">
        <f t="shared" si="6"/>
        <v>31.907657633134807</v>
      </c>
      <c r="U23" s="1">
        <f t="shared" si="4"/>
        <v>31.907657633134807</v>
      </c>
      <c r="V23" s="1">
        <v>13.879</v>
      </c>
      <c r="W23" s="1">
        <v>28.865200000000002</v>
      </c>
      <c r="X23" s="1">
        <v>38.453600000000002</v>
      </c>
      <c r="Y23" s="1">
        <v>40.891599999999997</v>
      </c>
      <c r="Z23" s="1">
        <v>31.311</v>
      </c>
      <c r="AA23" s="1">
        <v>9.8379999999999992</v>
      </c>
      <c r="AB23" s="1">
        <v>10.2186</v>
      </c>
      <c r="AC23" s="1">
        <v>23.747800000000002</v>
      </c>
      <c r="AD23" s="1">
        <v>26.411799999999999</v>
      </c>
      <c r="AE23" s="1">
        <v>22.914000000000001</v>
      </c>
      <c r="AF23" s="1"/>
      <c r="AG23" s="1">
        <f t="shared" si="7"/>
        <v>0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61</v>
      </c>
      <c r="B24" s="1" t="s">
        <v>36</v>
      </c>
      <c r="C24" s="1">
        <v>43.918999999999997</v>
      </c>
      <c r="D24" s="1"/>
      <c r="E24" s="1">
        <v>2.1309999999999998</v>
      </c>
      <c r="F24" s="1">
        <v>41.787999999999997</v>
      </c>
      <c r="G24" s="7">
        <v>1</v>
      </c>
      <c r="H24" s="1">
        <v>180</v>
      </c>
      <c r="I24" s="1" t="s">
        <v>37</v>
      </c>
      <c r="J24" s="1"/>
      <c r="K24" s="1">
        <v>2.02</v>
      </c>
      <c r="L24" s="1">
        <f t="shared" si="2"/>
        <v>0.11099999999999977</v>
      </c>
      <c r="M24" s="1"/>
      <c r="N24" s="1"/>
      <c r="O24" s="1">
        <v>0</v>
      </c>
      <c r="P24" s="1">
        <v>0</v>
      </c>
      <c r="Q24" s="1">
        <f t="shared" si="3"/>
        <v>0.42619999999999997</v>
      </c>
      <c r="R24" s="5"/>
      <c r="S24" s="5">
        <f t="shared" si="8"/>
        <v>0</v>
      </c>
      <c r="T24" s="1">
        <f t="shared" si="6"/>
        <v>98.047864852182073</v>
      </c>
      <c r="U24" s="1">
        <f t="shared" si="4"/>
        <v>98.047864852182073</v>
      </c>
      <c r="V24" s="1">
        <v>0.49880000000000002</v>
      </c>
      <c r="W24" s="1">
        <v>0.91679999999999995</v>
      </c>
      <c r="X24" s="1">
        <v>1.0511999999999999</v>
      </c>
      <c r="Y24" s="1">
        <v>1.2616000000000001</v>
      </c>
      <c r="Z24" s="1">
        <v>1.4614</v>
      </c>
      <c r="AA24" s="1">
        <v>1.6612</v>
      </c>
      <c r="AB24" s="1">
        <v>1.1819999999999999</v>
      </c>
      <c r="AC24" s="1">
        <v>0.97240000000000004</v>
      </c>
      <c r="AD24" s="1">
        <v>0.84079999999999999</v>
      </c>
      <c r="AE24" s="1">
        <v>0.34420000000000001</v>
      </c>
      <c r="AF24" s="15" t="s">
        <v>54</v>
      </c>
      <c r="AG24" s="1">
        <f t="shared" si="7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62</v>
      </c>
      <c r="B25" s="1" t="s">
        <v>36</v>
      </c>
      <c r="C25" s="1">
        <v>110.965</v>
      </c>
      <c r="D25" s="1">
        <v>601.67200000000003</v>
      </c>
      <c r="E25" s="1">
        <v>145.21299999999999</v>
      </c>
      <c r="F25" s="1">
        <v>554.94399999999996</v>
      </c>
      <c r="G25" s="7">
        <v>1</v>
      </c>
      <c r="H25" s="1">
        <v>70</v>
      </c>
      <c r="I25" s="1" t="s">
        <v>37</v>
      </c>
      <c r="J25" s="1"/>
      <c r="K25" s="1">
        <v>145.19999999999999</v>
      </c>
      <c r="L25" s="1">
        <f t="shared" si="2"/>
        <v>1.300000000000523E-2</v>
      </c>
      <c r="M25" s="1"/>
      <c r="N25" s="1"/>
      <c r="O25" s="1">
        <v>0</v>
      </c>
      <c r="P25" s="1">
        <v>0</v>
      </c>
      <c r="Q25" s="1">
        <f t="shared" si="3"/>
        <v>29.0426</v>
      </c>
      <c r="R25" s="5"/>
      <c r="S25" s="5">
        <f t="shared" si="8"/>
        <v>0</v>
      </c>
      <c r="T25" s="1">
        <f t="shared" si="6"/>
        <v>19.107931108096381</v>
      </c>
      <c r="U25" s="1">
        <f t="shared" si="4"/>
        <v>19.107931108096381</v>
      </c>
      <c r="V25" s="1">
        <v>26.7986</v>
      </c>
      <c r="W25" s="1">
        <v>34.7776</v>
      </c>
      <c r="X25" s="1">
        <v>34.0182</v>
      </c>
      <c r="Y25" s="1">
        <v>33.439</v>
      </c>
      <c r="Z25" s="1">
        <v>37.412999999999997</v>
      </c>
      <c r="AA25" s="1">
        <v>35.633800000000001</v>
      </c>
      <c r="AB25" s="1">
        <v>34.274799999999999</v>
      </c>
      <c r="AC25" s="1">
        <v>25.488199999999999</v>
      </c>
      <c r="AD25" s="1">
        <v>14.996600000000001</v>
      </c>
      <c r="AE25" s="1">
        <v>18.1692</v>
      </c>
      <c r="AF25" s="15" t="s">
        <v>54</v>
      </c>
      <c r="AG25" s="1">
        <f t="shared" si="7"/>
        <v>0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0" t="s">
        <v>64</v>
      </c>
      <c r="B26" s="10" t="s">
        <v>36</v>
      </c>
      <c r="C26" s="10"/>
      <c r="D26" s="10"/>
      <c r="E26" s="10"/>
      <c r="F26" s="10"/>
      <c r="G26" s="11">
        <v>0</v>
      </c>
      <c r="H26" s="10"/>
      <c r="I26" s="10" t="s">
        <v>37</v>
      </c>
      <c r="J26" s="10"/>
      <c r="K26" s="10"/>
      <c r="L26" s="10">
        <f t="shared" si="2"/>
        <v>0</v>
      </c>
      <c r="M26" s="10"/>
      <c r="N26" s="10"/>
      <c r="O26" s="10">
        <v>0</v>
      </c>
      <c r="P26" s="10">
        <v>0</v>
      </c>
      <c r="Q26" s="10">
        <f t="shared" si="3"/>
        <v>0</v>
      </c>
      <c r="R26" s="12"/>
      <c r="S26" s="5">
        <f t="shared" si="8"/>
        <v>0</v>
      </c>
      <c r="T26" s="1" t="e">
        <f t="shared" si="6"/>
        <v>#DIV/0!</v>
      </c>
      <c r="U26" s="10" t="e">
        <f t="shared" si="4"/>
        <v>#DIV/0!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 t="s">
        <v>42</v>
      </c>
      <c r="AG26" s="1">
        <f t="shared" si="7"/>
        <v>0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65</v>
      </c>
      <c r="B27" s="1" t="s">
        <v>36</v>
      </c>
      <c r="C27" s="1">
        <v>68.236000000000004</v>
      </c>
      <c r="D27" s="1">
        <v>17.327999999999999</v>
      </c>
      <c r="E27" s="1">
        <v>14.432</v>
      </c>
      <c r="F27" s="1">
        <v>52.485999999999997</v>
      </c>
      <c r="G27" s="7">
        <v>1</v>
      </c>
      <c r="H27" s="1"/>
      <c r="I27" s="1" t="s">
        <v>37</v>
      </c>
      <c r="J27" s="1"/>
      <c r="K27" s="1">
        <v>21.2</v>
      </c>
      <c r="L27" s="1">
        <f t="shared" si="2"/>
        <v>-6.7679999999999989</v>
      </c>
      <c r="M27" s="1"/>
      <c r="N27" s="1"/>
      <c r="O27" s="1">
        <v>0</v>
      </c>
      <c r="P27" s="1">
        <v>0</v>
      </c>
      <c r="Q27" s="1">
        <f t="shared" si="3"/>
        <v>2.8864000000000001</v>
      </c>
      <c r="R27" s="5"/>
      <c r="S27" s="5">
        <f t="shared" si="8"/>
        <v>0</v>
      </c>
      <c r="T27" s="1">
        <f t="shared" si="6"/>
        <v>18.183896895787139</v>
      </c>
      <c r="U27" s="1">
        <f t="shared" si="4"/>
        <v>18.183896895787139</v>
      </c>
      <c r="V27" s="1">
        <v>3.0777999999999999</v>
      </c>
      <c r="W27" s="1">
        <v>1.6164000000000001</v>
      </c>
      <c r="X27" s="1">
        <v>1.0656000000000001</v>
      </c>
      <c r="Y27" s="1">
        <v>4.2439999999999998</v>
      </c>
      <c r="Z27" s="1">
        <v>4.1135999999999999</v>
      </c>
      <c r="AA27" s="1">
        <v>6.1719999999999997</v>
      </c>
      <c r="AB27" s="1">
        <v>8.7397999999999989</v>
      </c>
      <c r="AC27" s="1">
        <v>4.5697999999999999</v>
      </c>
      <c r="AD27" s="1">
        <v>0.8044</v>
      </c>
      <c r="AE27" s="1">
        <v>1.3652</v>
      </c>
      <c r="AF27" s="15" t="s">
        <v>54</v>
      </c>
      <c r="AG27" s="1">
        <f t="shared" si="7"/>
        <v>0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66</v>
      </c>
      <c r="B28" s="1" t="s">
        <v>36</v>
      </c>
      <c r="C28" s="1">
        <v>34.854999999999997</v>
      </c>
      <c r="D28" s="1">
        <v>8.923</v>
      </c>
      <c r="E28" s="1">
        <v>8.7669999999999995</v>
      </c>
      <c r="F28" s="1">
        <v>33.591999999999999</v>
      </c>
      <c r="G28" s="7">
        <v>1</v>
      </c>
      <c r="H28" s="1">
        <v>40</v>
      </c>
      <c r="I28" s="9" t="s">
        <v>47</v>
      </c>
      <c r="J28" s="1"/>
      <c r="K28" s="1">
        <v>9.1</v>
      </c>
      <c r="L28" s="1">
        <f t="shared" si="2"/>
        <v>-0.33300000000000018</v>
      </c>
      <c r="M28" s="1"/>
      <c r="N28" s="1"/>
      <c r="O28" s="1">
        <v>0</v>
      </c>
      <c r="P28" s="1">
        <v>0</v>
      </c>
      <c r="Q28" s="1">
        <f t="shared" si="3"/>
        <v>1.7533999999999998</v>
      </c>
      <c r="R28" s="5"/>
      <c r="S28" s="5">
        <f t="shared" si="8"/>
        <v>0</v>
      </c>
      <c r="T28" s="1">
        <f t="shared" si="6"/>
        <v>19.158206912284705</v>
      </c>
      <c r="U28" s="1">
        <f t="shared" si="4"/>
        <v>19.158206912284705</v>
      </c>
      <c r="V28" s="1">
        <v>2.0608</v>
      </c>
      <c r="W28" s="1">
        <v>0.61399999999999999</v>
      </c>
      <c r="X28" s="1">
        <v>1.2290000000000001</v>
      </c>
      <c r="Y28" s="1">
        <v>3.0666000000000002</v>
      </c>
      <c r="Z28" s="1">
        <v>2.1442000000000001</v>
      </c>
      <c r="AA28" s="1">
        <v>1.5289999999999999</v>
      </c>
      <c r="AB28" s="1">
        <v>1.5289999999999999</v>
      </c>
      <c r="AC28" s="1">
        <v>0</v>
      </c>
      <c r="AD28" s="1">
        <v>0</v>
      </c>
      <c r="AE28" s="1">
        <v>0</v>
      </c>
      <c r="AF28" s="15" t="s">
        <v>54</v>
      </c>
      <c r="AG28" s="1">
        <f t="shared" si="7"/>
        <v>0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67</v>
      </c>
      <c r="B29" s="1" t="s">
        <v>36</v>
      </c>
      <c r="C29" s="1">
        <v>194.95099999999999</v>
      </c>
      <c r="D29" s="1">
        <v>205.48500000000001</v>
      </c>
      <c r="E29" s="1">
        <v>132.857</v>
      </c>
      <c r="F29" s="1">
        <v>254.13200000000001</v>
      </c>
      <c r="G29" s="7">
        <v>1</v>
      </c>
      <c r="H29" s="1">
        <v>30</v>
      </c>
      <c r="I29" s="1" t="s">
        <v>37</v>
      </c>
      <c r="J29" s="1"/>
      <c r="K29" s="1">
        <v>141.19999999999999</v>
      </c>
      <c r="L29" s="1">
        <f t="shared" si="2"/>
        <v>-8.3429999999999893</v>
      </c>
      <c r="M29" s="1"/>
      <c r="N29" s="1"/>
      <c r="O29" s="1">
        <v>0</v>
      </c>
      <c r="P29" s="1">
        <v>0</v>
      </c>
      <c r="Q29" s="1">
        <f t="shared" si="3"/>
        <v>26.571400000000001</v>
      </c>
      <c r="R29" s="5">
        <f t="shared" ref="R29" si="11">12*Q29-P29-O29-F29</f>
        <v>64.724800000000016</v>
      </c>
      <c r="S29" s="5">
        <f t="shared" si="8"/>
        <v>64.724800000000016</v>
      </c>
      <c r="T29" s="1">
        <f t="shared" si="6"/>
        <v>12</v>
      </c>
      <c r="U29" s="1">
        <f t="shared" si="4"/>
        <v>9.5641178108793667</v>
      </c>
      <c r="V29" s="1">
        <v>24.027200000000001</v>
      </c>
      <c r="W29" s="1">
        <v>19.935400000000001</v>
      </c>
      <c r="X29" s="1">
        <v>12.8134</v>
      </c>
      <c r="Y29" s="1">
        <v>5.1048</v>
      </c>
      <c r="Z29" s="1">
        <v>0</v>
      </c>
      <c r="AA29" s="1">
        <v>0</v>
      </c>
      <c r="AB29" s="1">
        <v>1.0782</v>
      </c>
      <c r="AC29" s="1">
        <v>10.61</v>
      </c>
      <c r="AD29" s="1">
        <v>10.623799999999999</v>
      </c>
      <c r="AE29" s="1">
        <v>1.38</v>
      </c>
      <c r="AF29" s="1"/>
      <c r="AG29" s="1">
        <f t="shared" si="7"/>
        <v>65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0" t="s">
        <v>68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2"/>
        <v>0</v>
      </c>
      <c r="M30" s="10"/>
      <c r="N30" s="10"/>
      <c r="O30" s="10">
        <v>0</v>
      </c>
      <c r="P30" s="10">
        <v>0</v>
      </c>
      <c r="Q30" s="10">
        <f t="shared" si="3"/>
        <v>0</v>
      </c>
      <c r="R30" s="12"/>
      <c r="S30" s="5">
        <f t="shared" si="8"/>
        <v>0</v>
      </c>
      <c r="T30" s="1" t="e">
        <f t="shared" si="6"/>
        <v>#DIV/0!</v>
      </c>
      <c r="U30" s="10" t="e">
        <f t="shared" si="4"/>
        <v>#DIV/0!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 t="s">
        <v>42</v>
      </c>
      <c r="AG30" s="1">
        <f t="shared" si="7"/>
        <v>0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69</v>
      </c>
      <c r="B31" s="1" t="s">
        <v>36</v>
      </c>
      <c r="C31" s="1">
        <v>12.08</v>
      </c>
      <c r="D31" s="1">
        <v>560.048</v>
      </c>
      <c r="E31" s="1">
        <v>223.262</v>
      </c>
      <c r="F31" s="1">
        <v>318.017</v>
      </c>
      <c r="G31" s="7">
        <v>1</v>
      </c>
      <c r="H31" s="1">
        <v>40</v>
      </c>
      <c r="I31" s="1" t="s">
        <v>37</v>
      </c>
      <c r="J31" s="1"/>
      <c r="K31" s="1">
        <v>223.30199999999999</v>
      </c>
      <c r="L31" s="1">
        <f t="shared" si="2"/>
        <v>-3.9999999999992042E-2</v>
      </c>
      <c r="M31" s="1"/>
      <c r="N31" s="1"/>
      <c r="O31" s="1">
        <v>233.9944239999999</v>
      </c>
      <c r="P31" s="1">
        <v>0</v>
      </c>
      <c r="Q31" s="1">
        <f t="shared" si="3"/>
        <v>44.6524</v>
      </c>
      <c r="R31" s="5"/>
      <c r="S31" s="5">
        <f>R31+Q31*$S$1</f>
        <v>53.582879999999996</v>
      </c>
      <c r="T31" s="1">
        <f t="shared" si="6"/>
        <v>13.562413308131253</v>
      </c>
      <c r="U31" s="1">
        <f t="shared" si="4"/>
        <v>12.362413308131252</v>
      </c>
      <c r="V31" s="1">
        <v>46.911799999999999</v>
      </c>
      <c r="W31" s="1">
        <v>69.512799999999999</v>
      </c>
      <c r="X31" s="1">
        <v>61.160200000000003</v>
      </c>
      <c r="Y31" s="1">
        <v>63.699399999999997</v>
      </c>
      <c r="Z31" s="1">
        <v>59.421999999999997</v>
      </c>
      <c r="AA31" s="1">
        <v>44.277200000000001</v>
      </c>
      <c r="AB31" s="1">
        <v>55.958399999999997</v>
      </c>
      <c r="AC31" s="1">
        <v>72.36760000000001</v>
      </c>
      <c r="AD31" s="1">
        <v>47.904000000000003</v>
      </c>
      <c r="AE31" s="1">
        <v>60.401599999999988</v>
      </c>
      <c r="AF31" s="1"/>
      <c r="AG31" s="1">
        <f t="shared" si="7"/>
        <v>54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70</v>
      </c>
      <c r="B32" s="1" t="s">
        <v>36</v>
      </c>
      <c r="C32" s="1">
        <v>44.944000000000003</v>
      </c>
      <c r="D32" s="1">
        <v>2.9159999999999999</v>
      </c>
      <c r="E32" s="1">
        <v>8.6679999999999993</v>
      </c>
      <c r="F32" s="1">
        <v>36.276000000000003</v>
      </c>
      <c r="G32" s="7">
        <v>1</v>
      </c>
      <c r="H32" s="1">
        <v>40</v>
      </c>
      <c r="I32" s="1" t="s">
        <v>37</v>
      </c>
      <c r="J32" s="1"/>
      <c r="K32" s="1">
        <v>10.8</v>
      </c>
      <c r="L32" s="1">
        <f t="shared" si="2"/>
        <v>-2.1320000000000014</v>
      </c>
      <c r="M32" s="1"/>
      <c r="N32" s="1"/>
      <c r="O32" s="1">
        <v>0</v>
      </c>
      <c r="P32" s="1">
        <v>0</v>
      </c>
      <c r="Q32" s="1">
        <f t="shared" si="3"/>
        <v>1.7335999999999998</v>
      </c>
      <c r="R32" s="5"/>
      <c r="S32" s="5">
        <f t="shared" si="8"/>
        <v>0</v>
      </c>
      <c r="T32" s="1">
        <f t="shared" si="6"/>
        <v>20.92524227041994</v>
      </c>
      <c r="U32" s="1">
        <f t="shared" si="4"/>
        <v>20.92524227041994</v>
      </c>
      <c r="V32" s="1">
        <v>1.7347999999999999</v>
      </c>
      <c r="W32" s="1">
        <v>0.86959999999999993</v>
      </c>
      <c r="X32" s="1">
        <v>0</v>
      </c>
      <c r="Y32" s="1">
        <v>0</v>
      </c>
      <c r="Z32" s="1">
        <v>0.28399999999999997</v>
      </c>
      <c r="AA32" s="1">
        <v>0.28399999999999997</v>
      </c>
      <c r="AB32" s="1">
        <v>0</v>
      </c>
      <c r="AC32" s="1">
        <v>0</v>
      </c>
      <c r="AD32" s="1">
        <v>0</v>
      </c>
      <c r="AE32" s="1">
        <v>0</v>
      </c>
      <c r="AF32" s="15" t="s">
        <v>54</v>
      </c>
      <c r="AG32" s="1">
        <f t="shared" si="7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71</v>
      </c>
      <c r="B33" s="1" t="s">
        <v>36</v>
      </c>
      <c r="C33" s="1">
        <v>39.335999999999999</v>
      </c>
      <c r="D33" s="1"/>
      <c r="E33" s="1"/>
      <c r="F33" s="1"/>
      <c r="G33" s="7">
        <v>1</v>
      </c>
      <c r="H33" s="1">
        <v>30</v>
      </c>
      <c r="I33" s="1" t="s">
        <v>37</v>
      </c>
      <c r="J33" s="1"/>
      <c r="K33" s="1"/>
      <c r="L33" s="1">
        <f t="shared" si="2"/>
        <v>0</v>
      </c>
      <c r="M33" s="1"/>
      <c r="N33" s="1"/>
      <c r="O33" s="1">
        <v>0</v>
      </c>
      <c r="P33" s="1">
        <v>0</v>
      </c>
      <c r="Q33" s="1">
        <f t="shared" si="3"/>
        <v>0</v>
      </c>
      <c r="R33" s="5">
        <v>8</v>
      </c>
      <c r="S33" s="5">
        <f t="shared" si="8"/>
        <v>8</v>
      </c>
      <c r="T33" s="1" t="e">
        <f t="shared" si="6"/>
        <v>#DIV/0!</v>
      </c>
      <c r="U33" s="1" t="e">
        <f t="shared" si="4"/>
        <v>#DIV/0!</v>
      </c>
      <c r="V33" s="1">
        <v>0</v>
      </c>
      <c r="W33" s="1">
        <v>0</v>
      </c>
      <c r="X33" s="1">
        <v>0</v>
      </c>
      <c r="Y33" s="1">
        <v>0.26919999999999999</v>
      </c>
      <c r="Z33" s="1">
        <v>0</v>
      </c>
      <c r="AA33" s="1">
        <v>0</v>
      </c>
      <c r="AB33" s="1">
        <v>0.26960000000000001</v>
      </c>
      <c r="AC33" s="1">
        <v>0.26960000000000001</v>
      </c>
      <c r="AD33" s="1">
        <v>0</v>
      </c>
      <c r="AE33" s="1">
        <v>0</v>
      </c>
      <c r="AF33" s="16" t="s">
        <v>176</v>
      </c>
      <c r="AG33" s="1">
        <f t="shared" si="7"/>
        <v>8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72</v>
      </c>
      <c r="B34" s="1" t="s">
        <v>36</v>
      </c>
      <c r="C34" s="1">
        <v>178.45500000000001</v>
      </c>
      <c r="D34" s="1"/>
      <c r="E34" s="1">
        <v>10.135999999999999</v>
      </c>
      <c r="F34" s="1">
        <v>166.499</v>
      </c>
      <c r="G34" s="7">
        <v>1</v>
      </c>
      <c r="H34" s="1">
        <v>50</v>
      </c>
      <c r="I34" s="1" t="s">
        <v>37</v>
      </c>
      <c r="J34" s="1"/>
      <c r="K34" s="1">
        <v>10.4</v>
      </c>
      <c r="L34" s="1">
        <f t="shared" si="2"/>
        <v>-0.26400000000000112</v>
      </c>
      <c r="M34" s="1"/>
      <c r="N34" s="1"/>
      <c r="O34" s="1">
        <v>0</v>
      </c>
      <c r="P34" s="1">
        <v>0</v>
      </c>
      <c r="Q34" s="1">
        <f t="shared" si="3"/>
        <v>2.0271999999999997</v>
      </c>
      <c r="R34" s="5"/>
      <c r="S34" s="5">
        <f t="shared" si="8"/>
        <v>0</v>
      </c>
      <c r="T34" s="1">
        <f t="shared" si="6"/>
        <v>82.132498026835052</v>
      </c>
      <c r="U34" s="1">
        <f t="shared" si="4"/>
        <v>82.132498026835052</v>
      </c>
      <c r="V34" s="1">
        <v>2.5708000000000002</v>
      </c>
      <c r="W34" s="1">
        <v>1.8340000000000001</v>
      </c>
      <c r="X34" s="1">
        <v>1.6386000000000001</v>
      </c>
      <c r="Y34" s="1">
        <v>4.7336</v>
      </c>
      <c r="Z34" s="1">
        <v>5.1031999999999993</v>
      </c>
      <c r="AA34" s="1">
        <v>2.7387999999999999</v>
      </c>
      <c r="AB34" s="1">
        <v>2.1768000000000001</v>
      </c>
      <c r="AC34" s="1">
        <v>2.9064000000000001</v>
      </c>
      <c r="AD34" s="1">
        <v>1.2767999999999999</v>
      </c>
      <c r="AE34" s="1">
        <v>-0.1764</v>
      </c>
      <c r="AF34" s="15" t="s">
        <v>54</v>
      </c>
      <c r="AG34" s="1">
        <f t="shared" si="7"/>
        <v>0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73</v>
      </c>
      <c r="B35" s="1" t="s">
        <v>36</v>
      </c>
      <c r="C35" s="1">
        <v>74.966999999999999</v>
      </c>
      <c r="D35" s="1"/>
      <c r="E35" s="1">
        <v>8.1959999999999997</v>
      </c>
      <c r="F35" s="1">
        <v>66.771000000000001</v>
      </c>
      <c r="G35" s="7">
        <v>1</v>
      </c>
      <c r="H35" s="1">
        <v>50</v>
      </c>
      <c r="I35" s="1" t="s">
        <v>37</v>
      </c>
      <c r="J35" s="1"/>
      <c r="K35" s="1">
        <v>8</v>
      </c>
      <c r="L35" s="1">
        <f t="shared" si="2"/>
        <v>0.19599999999999973</v>
      </c>
      <c r="M35" s="1"/>
      <c r="N35" s="1"/>
      <c r="O35" s="1">
        <v>0</v>
      </c>
      <c r="P35" s="1">
        <v>0</v>
      </c>
      <c r="Q35" s="1">
        <f t="shared" si="3"/>
        <v>1.6392</v>
      </c>
      <c r="R35" s="5"/>
      <c r="S35" s="5">
        <f t="shared" si="8"/>
        <v>0</v>
      </c>
      <c r="T35" s="1">
        <f t="shared" si="6"/>
        <v>40.733894582723281</v>
      </c>
      <c r="U35" s="1">
        <f t="shared" si="4"/>
        <v>40.733894582723281</v>
      </c>
      <c r="V35" s="1">
        <v>1.4588000000000001</v>
      </c>
      <c r="W35" s="1">
        <v>0.73040000000000005</v>
      </c>
      <c r="X35" s="1">
        <v>0.9032</v>
      </c>
      <c r="Y35" s="1">
        <v>1.6294</v>
      </c>
      <c r="Z35" s="1">
        <v>0.72619999999999996</v>
      </c>
      <c r="AA35" s="1">
        <v>0.54480000000000006</v>
      </c>
      <c r="AB35" s="1">
        <v>1.0824</v>
      </c>
      <c r="AC35" s="1">
        <v>0.90259999999999996</v>
      </c>
      <c r="AD35" s="1">
        <v>0</v>
      </c>
      <c r="AE35" s="1">
        <v>0.36520000000000002</v>
      </c>
      <c r="AF35" s="15" t="s">
        <v>54</v>
      </c>
      <c r="AG35" s="1">
        <f t="shared" si="7"/>
        <v>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74</v>
      </c>
      <c r="B36" s="1" t="s">
        <v>41</v>
      </c>
      <c r="C36" s="1">
        <v>-209</v>
      </c>
      <c r="D36" s="1">
        <v>1304</v>
      </c>
      <c r="E36" s="1">
        <v>339</v>
      </c>
      <c r="F36" s="1">
        <v>698</v>
      </c>
      <c r="G36" s="7">
        <v>0.4</v>
      </c>
      <c r="H36" s="1">
        <v>45</v>
      </c>
      <c r="I36" s="1" t="s">
        <v>37</v>
      </c>
      <c r="J36" s="1"/>
      <c r="K36" s="1">
        <v>424</v>
      </c>
      <c r="L36" s="1">
        <f t="shared" si="2"/>
        <v>-85</v>
      </c>
      <c r="M36" s="1"/>
      <c r="N36" s="1"/>
      <c r="O36" s="1">
        <v>841.34400000000016</v>
      </c>
      <c r="P36" s="1">
        <v>0</v>
      </c>
      <c r="Q36" s="1">
        <f t="shared" si="3"/>
        <v>67.8</v>
      </c>
      <c r="R36" s="5"/>
      <c r="S36" s="5">
        <f t="shared" si="8"/>
        <v>0</v>
      </c>
      <c r="T36" s="1">
        <f t="shared" si="6"/>
        <v>22.704188790560472</v>
      </c>
      <c r="U36" s="1">
        <f t="shared" si="4"/>
        <v>22.704188790560472</v>
      </c>
      <c r="V36" s="1">
        <v>143</v>
      </c>
      <c r="W36" s="1">
        <v>166.8</v>
      </c>
      <c r="X36" s="1">
        <v>113</v>
      </c>
      <c r="Y36" s="1">
        <v>63.2</v>
      </c>
      <c r="Z36" s="1">
        <v>53.6</v>
      </c>
      <c r="AA36" s="1">
        <v>102.2</v>
      </c>
      <c r="AB36" s="1">
        <v>53.4</v>
      </c>
      <c r="AC36" s="1">
        <v>26.6</v>
      </c>
      <c r="AD36" s="1">
        <v>28.2</v>
      </c>
      <c r="AE36" s="1">
        <v>39</v>
      </c>
      <c r="AF36" s="1"/>
      <c r="AG36" s="1">
        <f t="shared" si="7"/>
        <v>0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75</v>
      </c>
      <c r="B37" s="1" t="s">
        <v>41</v>
      </c>
      <c r="C37" s="1">
        <v>23</v>
      </c>
      <c r="D37" s="1">
        <v>250</v>
      </c>
      <c r="E37" s="1">
        <v>111</v>
      </c>
      <c r="F37" s="1">
        <v>160</v>
      </c>
      <c r="G37" s="7">
        <v>0.45</v>
      </c>
      <c r="H37" s="1">
        <v>50</v>
      </c>
      <c r="I37" s="1" t="s">
        <v>37</v>
      </c>
      <c r="J37" s="1"/>
      <c r="K37" s="1">
        <v>158</v>
      </c>
      <c r="L37" s="1">
        <f t="shared" si="2"/>
        <v>-47</v>
      </c>
      <c r="M37" s="1"/>
      <c r="N37" s="1"/>
      <c r="O37" s="1">
        <v>133.584</v>
      </c>
      <c r="P37" s="1">
        <v>142.01599999999999</v>
      </c>
      <c r="Q37" s="1">
        <f t="shared" si="3"/>
        <v>22.2</v>
      </c>
      <c r="R37" s="5"/>
      <c r="S37" s="5">
        <f t="shared" si="8"/>
        <v>0</v>
      </c>
      <c r="T37" s="1">
        <f t="shared" si="6"/>
        <v>19.621621621621625</v>
      </c>
      <c r="U37" s="1">
        <f t="shared" si="4"/>
        <v>19.621621621621625</v>
      </c>
      <c r="V37" s="1">
        <v>38</v>
      </c>
      <c r="W37" s="1">
        <v>34.799999999999997</v>
      </c>
      <c r="X37" s="1">
        <v>32.4</v>
      </c>
      <c r="Y37" s="1">
        <v>31</v>
      </c>
      <c r="Z37" s="1">
        <v>32</v>
      </c>
      <c r="AA37" s="1">
        <v>38.4</v>
      </c>
      <c r="AB37" s="1">
        <v>39.4</v>
      </c>
      <c r="AC37" s="1">
        <v>42.2</v>
      </c>
      <c r="AD37" s="1">
        <v>30.8</v>
      </c>
      <c r="AE37" s="1">
        <v>24.6</v>
      </c>
      <c r="AF37" s="1"/>
      <c r="AG37" s="1">
        <f t="shared" si="7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76</v>
      </c>
      <c r="B38" s="1" t="s">
        <v>41</v>
      </c>
      <c r="C38" s="1">
        <v>19</v>
      </c>
      <c r="D38" s="1">
        <v>811</v>
      </c>
      <c r="E38" s="1">
        <v>365</v>
      </c>
      <c r="F38" s="1">
        <v>428</v>
      </c>
      <c r="G38" s="7">
        <v>0.4</v>
      </c>
      <c r="H38" s="1">
        <v>45</v>
      </c>
      <c r="I38" s="9" t="s">
        <v>47</v>
      </c>
      <c r="J38" s="1"/>
      <c r="K38" s="1">
        <v>375</v>
      </c>
      <c r="L38" s="1">
        <f t="shared" ref="L38:L69" si="12">E38-K38</f>
        <v>-10</v>
      </c>
      <c r="M38" s="1"/>
      <c r="N38" s="1"/>
      <c r="O38" s="1">
        <v>0</v>
      </c>
      <c r="P38" s="1">
        <v>0</v>
      </c>
      <c r="Q38" s="1">
        <f t="shared" ref="Q38:Q69" si="13">E38/5</f>
        <v>73</v>
      </c>
      <c r="R38" s="5">
        <f t="shared" ref="R38:R77" si="14">12*Q38-P38-O38-F38</f>
        <v>448</v>
      </c>
      <c r="S38" s="5">
        <f>R38+Q38*$S$1</f>
        <v>535.6</v>
      </c>
      <c r="T38" s="1">
        <f t="shared" si="6"/>
        <v>13.200000000000001</v>
      </c>
      <c r="U38" s="1">
        <f t="shared" ref="U38:U69" si="15">(F38+O38+P38)/Q38</f>
        <v>5.8630136986301373</v>
      </c>
      <c r="V38" s="1">
        <v>55.6</v>
      </c>
      <c r="W38" s="1">
        <v>57.8</v>
      </c>
      <c r="X38" s="1">
        <v>59.2</v>
      </c>
      <c r="Y38" s="1">
        <v>62</v>
      </c>
      <c r="Z38" s="1">
        <v>43.2</v>
      </c>
      <c r="AA38" s="1">
        <v>46</v>
      </c>
      <c r="AB38" s="1">
        <v>28</v>
      </c>
      <c r="AC38" s="1">
        <v>30.6</v>
      </c>
      <c r="AD38" s="1">
        <v>40.799999999999997</v>
      </c>
      <c r="AE38" s="1">
        <v>33</v>
      </c>
      <c r="AF38" s="1"/>
      <c r="AG38" s="1">
        <f t="shared" si="7"/>
        <v>214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77</v>
      </c>
      <c r="B39" s="1" t="s">
        <v>41</v>
      </c>
      <c r="C39" s="1">
        <v>101</v>
      </c>
      <c r="D39" s="1">
        <v>48</v>
      </c>
      <c r="E39" s="1">
        <v>20</v>
      </c>
      <c r="F39" s="1">
        <v>125</v>
      </c>
      <c r="G39" s="7">
        <v>0.4</v>
      </c>
      <c r="H39" s="1">
        <v>40</v>
      </c>
      <c r="I39" s="1" t="s">
        <v>37</v>
      </c>
      <c r="J39" s="1"/>
      <c r="K39" s="1">
        <v>44</v>
      </c>
      <c r="L39" s="1">
        <f t="shared" si="12"/>
        <v>-24</v>
      </c>
      <c r="M39" s="1"/>
      <c r="N39" s="1"/>
      <c r="O39" s="1">
        <v>12.399999999999981</v>
      </c>
      <c r="P39" s="1">
        <v>0</v>
      </c>
      <c r="Q39" s="1">
        <f t="shared" si="13"/>
        <v>4</v>
      </c>
      <c r="R39" s="5"/>
      <c r="S39" s="5">
        <f t="shared" si="8"/>
        <v>0</v>
      </c>
      <c r="T39" s="1">
        <f t="shared" si="6"/>
        <v>34.349999999999994</v>
      </c>
      <c r="U39" s="1">
        <f t="shared" si="15"/>
        <v>34.349999999999994</v>
      </c>
      <c r="V39" s="1">
        <v>11.6</v>
      </c>
      <c r="W39" s="1">
        <v>13.2</v>
      </c>
      <c r="X39" s="1">
        <v>8</v>
      </c>
      <c r="Y39" s="1">
        <v>9.1999999999999993</v>
      </c>
      <c r="Z39" s="1">
        <v>20</v>
      </c>
      <c r="AA39" s="1">
        <v>20.399999999999999</v>
      </c>
      <c r="AB39" s="1">
        <v>16.8</v>
      </c>
      <c r="AC39" s="1">
        <v>14.4</v>
      </c>
      <c r="AD39" s="1">
        <v>0.8</v>
      </c>
      <c r="AE39" s="1">
        <v>0</v>
      </c>
      <c r="AF39" s="15" t="s">
        <v>54</v>
      </c>
      <c r="AG39" s="1">
        <f t="shared" si="7"/>
        <v>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78</v>
      </c>
      <c r="B40" s="1" t="s">
        <v>36</v>
      </c>
      <c r="C40" s="1">
        <v>53.823999999999998</v>
      </c>
      <c r="D40" s="1"/>
      <c r="E40" s="1">
        <v>1.504</v>
      </c>
      <c r="F40" s="1">
        <v>28.18</v>
      </c>
      <c r="G40" s="7">
        <v>1</v>
      </c>
      <c r="H40" s="1">
        <v>45</v>
      </c>
      <c r="I40" s="1" t="s">
        <v>37</v>
      </c>
      <c r="J40" s="1"/>
      <c r="K40" s="1">
        <v>1.3</v>
      </c>
      <c r="L40" s="1">
        <f t="shared" si="12"/>
        <v>0.20399999999999996</v>
      </c>
      <c r="M40" s="1"/>
      <c r="N40" s="1"/>
      <c r="O40" s="1">
        <v>0</v>
      </c>
      <c r="P40" s="1">
        <v>0</v>
      </c>
      <c r="Q40" s="1">
        <f t="shared" si="13"/>
        <v>0.30080000000000001</v>
      </c>
      <c r="R40" s="5"/>
      <c r="S40" s="5">
        <f t="shared" si="8"/>
        <v>0</v>
      </c>
      <c r="T40" s="1">
        <f t="shared" si="6"/>
        <v>93.683510638297861</v>
      </c>
      <c r="U40" s="1">
        <f t="shared" si="15"/>
        <v>93.683510638297861</v>
      </c>
      <c r="V40" s="1">
        <v>0</v>
      </c>
      <c r="W40" s="1">
        <v>0.2838</v>
      </c>
      <c r="X40" s="1">
        <v>0.2838</v>
      </c>
      <c r="Y40" s="1">
        <v>0.5706</v>
      </c>
      <c r="Z40" s="1">
        <v>0.5706</v>
      </c>
      <c r="AA40" s="1">
        <v>0</v>
      </c>
      <c r="AB40" s="1">
        <v>0</v>
      </c>
      <c r="AC40" s="1">
        <v>0.28079999999999999</v>
      </c>
      <c r="AD40" s="1">
        <v>0.28079999999999999</v>
      </c>
      <c r="AE40" s="1">
        <v>0.86159999999999992</v>
      </c>
      <c r="AF40" s="15" t="s">
        <v>54</v>
      </c>
      <c r="AG40" s="1">
        <f t="shared" si="7"/>
        <v>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79</v>
      </c>
      <c r="B41" s="1" t="s">
        <v>41</v>
      </c>
      <c r="C41" s="1">
        <v>202</v>
      </c>
      <c r="D41" s="1">
        <v>5</v>
      </c>
      <c r="E41" s="1">
        <v>29</v>
      </c>
      <c r="F41" s="1">
        <v>171</v>
      </c>
      <c r="G41" s="7">
        <v>0.1</v>
      </c>
      <c r="H41" s="1">
        <v>731</v>
      </c>
      <c r="I41" s="1" t="s">
        <v>37</v>
      </c>
      <c r="J41" s="1"/>
      <c r="K41" s="1">
        <v>34</v>
      </c>
      <c r="L41" s="1">
        <f t="shared" si="12"/>
        <v>-5</v>
      </c>
      <c r="M41" s="1"/>
      <c r="N41" s="1"/>
      <c r="O41" s="1">
        <v>0</v>
      </c>
      <c r="P41" s="1">
        <v>0</v>
      </c>
      <c r="Q41" s="1">
        <f t="shared" si="13"/>
        <v>5.8</v>
      </c>
      <c r="R41" s="5"/>
      <c r="S41" s="5">
        <f t="shared" si="8"/>
        <v>0</v>
      </c>
      <c r="T41" s="1">
        <f t="shared" si="6"/>
        <v>29.482758620689655</v>
      </c>
      <c r="U41" s="1">
        <f t="shared" si="15"/>
        <v>29.482758620689655</v>
      </c>
      <c r="V41" s="1">
        <v>7.6</v>
      </c>
      <c r="W41" s="1">
        <v>10.4</v>
      </c>
      <c r="X41" s="1">
        <v>13.8</v>
      </c>
      <c r="Y41" s="1">
        <v>14.2</v>
      </c>
      <c r="Z41" s="1">
        <v>7.6</v>
      </c>
      <c r="AA41" s="1">
        <v>9.4</v>
      </c>
      <c r="AB41" s="1">
        <v>10</v>
      </c>
      <c r="AC41" s="1">
        <v>7.4</v>
      </c>
      <c r="AD41" s="1">
        <v>3.4</v>
      </c>
      <c r="AE41" s="1">
        <v>6.6</v>
      </c>
      <c r="AF41" s="15" t="s">
        <v>54</v>
      </c>
      <c r="AG41" s="1">
        <f t="shared" si="7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80</v>
      </c>
      <c r="B42" s="1" t="s">
        <v>41</v>
      </c>
      <c r="C42" s="1">
        <v>178</v>
      </c>
      <c r="D42" s="1">
        <v>24</v>
      </c>
      <c r="E42" s="1">
        <v>28</v>
      </c>
      <c r="F42" s="1">
        <v>169</v>
      </c>
      <c r="G42" s="7">
        <v>0.35</v>
      </c>
      <c r="H42" s="1">
        <v>40</v>
      </c>
      <c r="I42" s="9" t="s">
        <v>47</v>
      </c>
      <c r="J42" s="1"/>
      <c r="K42" s="1">
        <v>28</v>
      </c>
      <c r="L42" s="1">
        <f t="shared" si="12"/>
        <v>0</v>
      </c>
      <c r="M42" s="1"/>
      <c r="N42" s="1"/>
      <c r="O42" s="1">
        <v>0</v>
      </c>
      <c r="P42" s="1">
        <v>0</v>
      </c>
      <c r="Q42" s="1">
        <f t="shared" si="13"/>
        <v>5.6</v>
      </c>
      <c r="R42" s="5"/>
      <c r="S42" s="5">
        <f t="shared" si="8"/>
        <v>0</v>
      </c>
      <c r="T42" s="1">
        <f t="shared" si="6"/>
        <v>30.178571428571431</v>
      </c>
      <c r="U42" s="1">
        <f t="shared" si="15"/>
        <v>30.178571428571431</v>
      </c>
      <c r="V42" s="1">
        <v>5.2</v>
      </c>
      <c r="W42" s="1">
        <v>2.8</v>
      </c>
      <c r="X42" s="1">
        <v>1.8</v>
      </c>
      <c r="Y42" s="1">
        <v>1.8</v>
      </c>
      <c r="Z42" s="1">
        <v>0.6</v>
      </c>
      <c r="AA42" s="1">
        <v>0</v>
      </c>
      <c r="AB42" s="1">
        <v>0</v>
      </c>
      <c r="AC42" s="1">
        <v>0</v>
      </c>
      <c r="AD42" s="1">
        <v>0</v>
      </c>
      <c r="AE42" s="1">
        <v>0.2</v>
      </c>
      <c r="AF42" s="15" t="s">
        <v>54</v>
      </c>
      <c r="AG42" s="1">
        <f t="shared" si="7"/>
        <v>0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81</v>
      </c>
      <c r="B43" s="1" t="s">
        <v>36</v>
      </c>
      <c r="C43" s="1">
        <v>56.228000000000002</v>
      </c>
      <c r="D43" s="1">
        <v>117.617</v>
      </c>
      <c r="E43" s="1">
        <v>28.228999999999999</v>
      </c>
      <c r="F43" s="1">
        <v>144.166</v>
      </c>
      <c r="G43" s="7">
        <v>1</v>
      </c>
      <c r="H43" s="1">
        <v>40</v>
      </c>
      <c r="I43" s="1" t="s">
        <v>37</v>
      </c>
      <c r="J43" s="1"/>
      <c r="K43" s="1">
        <v>31.3</v>
      </c>
      <c r="L43" s="1">
        <f t="shared" si="12"/>
        <v>-3.0710000000000015</v>
      </c>
      <c r="M43" s="1"/>
      <c r="N43" s="1"/>
      <c r="O43" s="1">
        <v>0</v>
      </c>
      <c r="P43" s="1">
        <v>0</v>
      </c>
      <c r="Q43" s="1">
        <f t="shared" si="13"/>
        <v>5.6457999999999995</v>
      </c>
      <c r="R43" s="5"/>
      <c r="S43" s="5">
        <f t="shared" si="8"/>
        <v>0</v>
      </c>
      <c r="T43" s="1">
        <f t="shared" si="6"/>
        <v>25.535088030040033</v>
      </c>
      <c r="U43" s="1">
        <f t="shared" si="15"/>
        <v>25.535088030040033</v>
      </c>
      <c r="V43" s="1">
        <v>3.4849999999999999</v>
      </c>
      <c r="W43" s="1">
        <v>4.3949999999999996</v>
      </c>
      <c r="X43" s="1">
        <v>6.7342000000000004</v>
      </c>
      <c r="Y43" s="1">
        <v>8.4418000000000006</v>
      </c>
      <c r="Z43" s="1">
        <v>7.5246000000000004</v>
      </c>
      <c r="AA43" s="1">
        <v>4.3243999999999998</v>
      </c>
      <c r="AB43" s="1">
        <v>5.9077999999999999</v>
      </c>
      <c r="AC43" s="1">
        <v>5.9042000000000003</v>
      </c>
      <c r="AD43" s="1">
        <v>1.0089999999999999</v>
      </c>
      <c r="AE43" s="1">
        <v>0</v>
      </c>
      <c r="AF43" s="15" t="s">
        <v>54</v>
      </c>
      <c r="AG43" s="1">
        <f t="shared" si="7"/>
        <v>0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82</v>
      </c>
      <c r="B44" s="1" t="s">
        <v>41</v>
      </c>
      <c r="C44" s="1">
        <v>-7</v>
      </c>
      <c r="D44" s="1">
        <v>324</v>
      </c>
      <c r="E44" s="1">
        <v>136</v>
      </c>
      <c r="F44" s="1">
        <v>181</v>
      </c>
      <c r="G44" s="7">
        <v>0.4</v>
      </c>
      <c r="H44" s="1">
        <v>40</v>
      </c>
      <c r="I44" s="1" t="s">
        <v>37</v>
      </c>
      <c r="J44" s="1"/>
      <c r="K44" s="1">
        <v>143</v>
      </c>
      <c r="L44" s="1">
        <f t="shared" si="12"/>
        <v>-7</v>
      </c>
      <c r="M44" s="1"/>
      <c r="N44" s="1"/>
      <c r="O44" s="1">
        <v>0</v>
      </c>
      <c r="P44" s="1">
        <v>0</v>
      </c>
      <c r="Q44" s="1">
        <f t="shared" si="13"/>
        <v>27.2</v>
      </c>
      <c r="R44" s="5">
        <f t="shared" si="14"/>
        <v>145.39999999999998</v>
      </c>
      <c r="S44" s="5">
        <f t="shared" si="8"/>
        <v>145.39999999999998</v>
      </c>
      <c r="T44" s="1">
        <f t="shared" si="6"/>
        <v>12</v>
      </c>
      <c r="U44" s="1">
        <f t="shared" si="15"/>
        <v>6.6544117647058822</v>
      </c>
      <c r="V44" s="1">
        <v>14.8</v>
      </c>
      <c r="W44" s="1">
        <v>5.6</v>
      </c>
      <c r="X44" s="1">
        <v>29.2</v>
      </c>
      <c r="Y44" s="1">
        <v>29.6</v>
      </c>
      <c r="Z44" s="1">
        <v>4.8</v>
      </c>
      <c r="AA44" s="1">
        <v>18.2</v>
      </c>
      <c r="AB44" s="1">
        <v>13.4</v>
      </c>
      <c r="AC44" s="1">
        <v>1</v>
      </c>
      <c r="AD44" s="1">
        <v>6.4</v>
      </c>
      <c r="AE44" s="1">
        <v>11.2</v>
      </c>
      <c r="AF44" s="1"/>
      <c r="AG44" s="1">
        <f t="shared" si="7"/>
        <v>58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83</v>
      </c>
      <c r="B45" s="1" t="s">
        <v>41</v>
      </c>
      <c r="C45" s="1">
        <v>-5</v>
      </c>
      <c r="D45" s="1">
        <v>420</v>
      </c>
      <c r="E45" s="1">
        <v>132</v>
      </c>
      <c r="F45" s="1">
        <v>283</v>
      </c>
      <c r="G45" s="7">
        <v>0.4</v>
      </c>
      <c r="H45" s="1">
        <v>45</v>
      </c>
      <c r="I45" s="1" t="s">
        <v>37</v>
      </c>
      <c r="J45" s="1"/>
      <c r="K45" s="1">
        <v>148</v>
      </c>
      <c r="L45" s="1">
        <f t="shared" si="12"/>
        <v>-16</v>
      </c>
      <c r="M45" s="1"/>
      <c r="N45" s="1"/>
      <c r="O45" s="1">
        <v>0</v>
      </c>
      <c r="P45" s="1">
        <v>0</v>
      </c>
      <c r="Q45" s="1">
        <f t="shared" si="13"/>
        <v>26.4</v>
      </c>
      <c r="R45" s="5">
        <f t="shared" si="14"/>
        <v>33.799999999999955</v>
      </c>
      <c r="S45" s="5">
        <f t="shared" si="8"/>
        <v>33.799999999999955</v>
      </c>
      <c r="T45" s="1">
        <f t="shared" si="6"/>
        <v>11.999999999999998</v>
      </c>
      <c r="U45" s="1">
        <f t="shared" si="15"/>
        <v>10.719696969696971</v>
      </c>
      <c r="V45" s="1">
        <v>10.4</v>
      </c>
      <c r="W45" s="1">
        <v>4.5999999999999996</v>
      </c>
      <c r="X45" s="1">
        <v>6.4</v>
      </c>
      <c r="Y45" s="1">
        <v>2.4</v>
      </c>
      <c r="Z45" s="1">
        <v>31.4</v>
      </c>
      <c r="AA45" s="1">
        <v>41.6</v>
      </c>
      <c r="AB45" s="1">
        <v>10.199999999999999</v>
      </c>
      <c r="AC45" s="1">
        <v>2.8</v>
      </c>
      <c r="AD45" s="1">
        <v>16.8</v>
      </c>
      <c r="AE45" s="1">
        <v>13.6</v>
      </c>
      <c r="AF45" s="1"/>
      <c r="AG45" s="1">
        <f t="shared" si="7"/>
        <v>14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84</v>
      </c>
      <c r="B46" s="1" t="s">
        <v>36</v>
      </c>
      <c r="C46" s="1">
        <v>113.587</v>
      </c>
      <c r="D46" s="1">
        <v>148.851</v>
      </c>
      <c r="E46" s="1">
        <v>36.369999999999997</v>
      </c>
      <c r="F46" s="1">
        <v>223.14599999999999</v>
      </c>
      <c r="G46" s="7">
        <v>1</v>
      </c>
      <c r="H46" s="1">
        <v>40</v>
      </c>
      <c r="I46" s="1" t="s">
        <v>37</v>
      </c>
      <c r="J46" s="1"/>
      <c r="K46" s="1">
        <v>41.7</v>
      </c>
      <c r="L46" s="1">
        <f t="shared" si="12"/>
        <v>-5.3300000000000054</v>
      </c>
      <c r="M46" s="1"/>
      <c r="N46" s="1"/>
      <c r="O46" s="1">
        <v>0</v>
      </c>
      <c r="P46" s="1">
        <v>0</v>
      </c>
      <c r="Q46" s="1">
        <f t="shared" si="13"/>
        <v>7.2739999999999991</v>
      </c>
      <c r="R46" s="5"/>
      <c r="S46" s="5">
        <f t="shared" si="8"/>
        <v>0</v>
      </c>
      <c r="T46" s="1">
        <f t="shared" si="6"/>
        <v>30.677206488864449</v>
      </c>
      <c r="U46" s="1">
        <f t="shared" si="15"/>
        <v>30.677206488864449</v>
      </c>
      <c r="V46" s="1">
        <v>7.8086000000000002</v>
      </c>
      <c r="W46" s="1">
        <v>11.5412</v>
      </c>
      <c r="X46" s="1">
        <v>13.599600000000001</v>
      </c>
      <c r="Y46" s="1">
        <v>13.8468</v>
      </c>
      <c r="Z46" s="1">
        <v>12.6638</v>
      </c>
      <c r="AA46" s="1">
        <v>8.3835999999999995</v>
      </c>
      <c r="AB46" s="1">
        <v>14.5374</v>
      </c>
      <c r="AC46" s="1">
        <v>13.6366</v>
      </c>
      <c r="AD46" s="1">
        <v>1.7524</v>
      </c>
      <c r="AE46" s="1">
        <v>0</v>
      </c>
      <c r="AF46" s="15" t="s">
        <v>54</v>
      </c>
      <c r="AG46" s="1">
        <f t="shared" si="7"/>
        <v>0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85</v>
      </c>
      <c r="B47" s="1" t="s">
        <v>41</v>
      </c>
      <c r="C47" s="1">
        <v>150</v>
      </c>
      <c r="D47" s="1">
        <v>38</v>
      </c>
      <c r="E47" s="1">
        <v>42</v>
      </c>
      <c r="F47" s="1">
        <v>140</v>
      </c>
      <c r="G47" s="7">
        <v>0.35</v>
      </c>
      <c r="H47" s="1">
        <v>40</v>
      </c>
      <c r="I47" s="9" t="s">
        <v>47</v>
      </c>
      <c r="J47" s="1"/>
      <c r="K47" s="1">
        <v>44</v>
      </c>
      <c r="L47" s="1">
        <f t="shared" si="12"/>
        <v>-2</v>
      </c>
      <c r="M47" s="1"/>
      <c r="N47" s="1"/>
      <c r="O47" s="1">
        <v>8</v>
      </c>
      <c r="P47" s="1">
        <v>0</v>
      </c>
      <c r="Q47" s="1">
        <f t="shared" si="13"/>
        <v>8.4</v>
      </c>
      <c r="R47" s="5"/>
      <c r="S47" s="5">
        <f t="shared" si="8"/>
        <v>0</v>
      </c>
      <c r="T47" s="1">
        <f t="shared" si="6"/>
        <v>17.619047619047617</v>
      </c>
      <c r="U47" s="1">
        <f t="shared" si="15"/>
        <v>17.619047619047617</v>
      </c>
      <c r="V47" s="1">
        <v>10.8</v>
      </c>
      <c r="W47" s="1">
        <v>15</v>
      </c>
      <c r="X47" s="1">
        <v>12.8</v>
      </c>
      <c r="Y47" s="1">
        <v>6.2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0.2</v>
      </c>
      <c r="AF47" s="1"/>
      <c r="AG47" s="1">
        <f t="shared" si="7"/>
        <v>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86</v>
      </c>
      <c r="B48" s="1" t="s">
        <v>41</v>
      </c>
      <c r="C48" s="1">
        <v>116</v>
      </c>
      <c r="D48" s="1">
        <v>267</v>
      </c>
      <c r="E48" s="1">
        <v>146</v>
      </c>
      <c r="F48" s="1">
        <v>228</v>
      </c>
      <c r="G48" s="7">
        <v>0.4</v>
      </c>
      <c r="H48" s="1">
        <v>40</v>
      </c>
      <c r="I48" s="1" t="s">
        <v>37</v>
      </c>
      <c r="J48" s="1"/>
      <c r="K48" s="1">
        <v>152</v>
      </c>
      <c r="L48" s="1">
        <f t="shared" si="12"/>
        <v>-6</v>
      </c>
      <c r="M48" s="1"/>
      <c r="N48" s="1"/>
      <c r="O48" s="1">
        <v>0</v>
      </c>
      <c r="P48" s="1">
        <v>42.600000000000023</v>
      </c>
      <c r="Q48" s="1">
        <f t="shared" si="13"/>
        <v>29.2</v>
      </c>
      <c r="R48" s="5">
        <f t="shared" si="14"/>
        <v>79.799999999999955</v>
      </c>
      <c r="S48" s="5">
        <f t="shared" si="8"/>
        <v>79.799999999999955</v>
      </c>
      <c r="T48" s="1">
        <f t="shared" si="6"/>
        <v>12</v>
      </c>
      <c r="U48" s="1">
        <f t="shared" si="15"/>
        <v>9.2671232876712342</v>
      </c>
      <c r="V48" s="1">
        <v>29.6</v>
      </c>
      <c r="W48" s="1">
        <v>24.6</v>
      </c>
      <c r="X48" s="1">
        <v>30</v>
      </c>
      <c r="Y48" s="1">
        <v>28</v>
      </c>
      <c r="Z48" s="1">
        <v>28.8</v>
      </c>
      <c r="AA48" s="1">
        <v>33.799999999999997</v>
      </c>
      <c r="AB48" s="1">
        <v>31.8</v>
      </c>
      <c r="AC48" s="1">
        <v>42.4</v>
      </c>
      <c r="AD48" s="1">
        <v>36.200000000000003</v>
      </c>
      <c r="AE48" s="1">
        <v>21.6</v>
      </c>
      <c r="AF48" s="1"/>
      <c r="AG48" s="1">
        <f t="shared" si="7"/>
        <v>32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87</v>
      </c>
      <c r="B49" s="1" t="s">
        <v>36</v>
      </c>
      <c r="C49" s="1">
        <v>-9.3930000000000007</v>
      </c>
      <c r="D49" s="1">
        <v>236.43</v>
      </c>
      <c r="E49" s="1">
        <v>68.093999999999994</v>
      </c>
      <c r="F49" s="1">
        <v>145.37299999999999</v>
      </c>
      <c r="G49" s="7">
        <v>1</v>
      </c>
      <c r="H49" s="1">
        <v>50</v>
      </c>
      <c r="I49" s="1" t="s">
        <v>37</v>
      </c>
      <c r="J49" s="1"/>
      <c r="K49" s="1">
        <v>75.400000000000006</v>
      </c>
      <c r="L49" s="1">
        <f t="shared" si="12"/>
        <v>-7.3060000000000116</v>
      </c>
      <c r="M49" s="1"/>
      <c r="N49" s="1"/>
      <c r="O49" s="1">
        <v>0</v>
      </c>
      <c r="P49" s="1">
        <v>0</v>
      </c>
      <c r="Q49" s="1">
        <f t="shared" si="13"/>
        <v>13.618799999999998</v>
      </c>
      <c r="R49" s="5">
        <f t="shared" si="14"/>
        <v>18.052599999999984</v>
      </c>
      <c r="S49" s="5">
        <f t="shared" si="8"/>
        <v>18.052599999999984</v>
      </c>
      <c r="T49" s="1">
        <f t="shared" si="6"/>
        <v>12</v>
      </c>
      <c r="U49" s="1">
        <f t="shared" si="15"/>
        <v>10.674435339383793</v>
      </c>
      <c r="V49" s="1">
        <v>7.6153999999999993</v>
      </c>
      <c r="W49" s="1">
        <v>11.5558</v>
      </c>
      <c r="X49" s="1">
        <v>17.524999999999999</v>
      </c>
      <c r="Y49" s="1">
        <v>16.215800000000002</v>
      </c>
      <c r="Z49" s="1">
        <v>14.6332</v>
      </c>
      <c r="AA49" s="1">
        <v>11.450200000000001</v>
      </c>
      <c r="AB49" s="1">
        <v>3.2991999999999999</v>
      </c>
      <c r="AC49" s="1">
        <v>0.27300000000000002</v>
      </c>
      <c r="AD49" s="1">
        <v>4.8428000000000004</v>
      </c>
      <c r="AE49" s="1">
        <v>10.234400000000001</v>
      </c>
      <c r="AF49" s="1"/>
      <c r="AG49" s="1">
        <f t="shared" si="7"/>
        <v>18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88</v>
      </c>
      <c r="B50" s="1" t="s">
        <v>36</v>
      </c>
      <c r="C50" s="1">
        <v>183.166</v>
      </c>
      <c r="D50" s="1">
        <v>126.152</v>
      </c>
      <c r="E50" s="1">
        <v>87.694999999999993</v>
      </c>
      <c r="F50" s="1">
        <v>217.51400000000001</v>
      </c>
      <c r="G50" s="7">
        <v>1</v>
      </c>
      <c r="H50" s="1">
        <v>50</v>
      </c>
      <c r="I50" s="1" t="s">
        <v>37</v>
      </c>
      <c r="J50" s="1"/>
      <c r="K50" s="1">
        <v>90.6</v>
      </c>
      <c r="L50" s="1">
        <f t="shared" si="12"/>
        <v>-2.9050000000000011</v>
      </c>
      <c r="M50" s="1"/>
      <c r="N50" s="1"/>
      <c r="O50" s="1">
        <v>0</v>
      </c>
      <c r="P50" s="1">
        <v>0</v>
      </c>
      <c r="Q50" s="1">
        <f t="shared" si="13"/>
        <v>17.538999999999998</v>
      </c>
      <c r="R50" s="5"/>
      <c r="S50" s="5">
        <f t="shared" si="8"/>
        <v>0</v>
      </c>
      <c r="T50" s="1">
        <f t="shared" si="6"/>
        <v>12.401733280118595</v>
      </c>
      <c r="U50" s="1">
        <f t="shared" si="15"/>
        <v>12.401733280118595</v>
      </c>
      <c r="V50" s="1">
        <v>20.354800000000001</v>
      </c>
      <c r="W50" s="1">
        <v>23.73</v>
      </c>
      <c r="X50" s="1">
        <v>17.758800000000001</v>
      </c>
      <c r="Y50" s="1">
        <v>7.7347999999999999</v>
      </c>
      <c r="Z50" s="1">
        <v>-7.1199999999999999E-2</v>
      </c>
      <c r="AA50" s="1">
        <v>10.792199999999999</v>
      </c>
      <c r="AB50" s="1">
        <v>20.430599999999998</v>
      </c>
      <c r="AC50" s="1">
        <v>18.401599999999998</v>
      </c>
      <c r="AD50" s="1">
        <v>12.501200000000001</v>
      </c>
      <c r="AE50" s="1">
        <v>3.7355999999999998</v>
      </c>
      <c r="AF50" s="1"/>
      <c r="AG50" s="1">
        <f t="shared" si="7"/>
        <v>0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89</v>
      </c>
      <c r="B51" s="1" t="s">
        <v>36</v>
      </c>
      <c r="C51" s="1">
        <v>102.62</v>
      </c>
      <c r="D51" s="1"/>
      <c r="E51" s="1">
        <v>15.323</v>
      </c>
      <c r="F51" s="1">
        <v>84.200999999999993</v>
      </c>
      <c r="G51" s="7">
        <v>1</v>
      </c>
      <c r="H51" s="1">
        <v>45</v>
      </c>
      <c r="I51" s="1" t="s">
        <v>37</v>
      </c>
      <c r="J51" s="1"/>
      <c r="K51" s="1">
        <v>14.3</v>
      </c>
      <c r="L51" s="1">
        <f t="shared" si="12"/>
        <v>1.0229999999999997</v>
      </c>
      <c r="M51" s="1"/>
      <c r="N51" s="1"/>
      <c r="O51" s="1">
        <v>0</v>
      </c>
      <c r="P51" s="1">
        <v>0</v>
      </c>
      <c r="Q51" s="1">
        <f t="shared" si="13"/>
        <v>3.0646</v>
      </c>
      <c r="R51" s="5"/>
      <c r="S51" s="5">
        <f t="shared" si="8"/>
        <v>0</v>
      </c>
      <c r="T51" s="1">
        <f t="shared" si="6"/>
        <v>27.47536383214775</v>
      </c>
      <c r="U51" s="1">
        <f t="shared" si="15"/>
        <v>27.47536383214775</v>
      </c>
      <c r="V51" s="1">
        <v>4.2515999999999998</v>
      </c>
      <c r="W51" s="1">
        <v>2.7151999999999998</v>
      </c>
      <c r="X51" s="1">
        <v>2.754</v>
      </c>
      <c r="Y51" s="1">
        <v>2.4527999999999999</v>
      </c>
      <c r="Z51" s="1">
        <v>1.2292000000000001</v>
      </c>
      <c r="AA51" s="1">
        <v>2.7778</v>
      </c>
      <c r="AB51" s="1">
        <v>4.9185999999999996</v>
      </c>
      <c r="AC51" s="1">
        <v>2.7618</v>
      </c>
      <c r="AD51" s="1">
        <v>0</v>
      </c>
      <c r="AE51" s="1">
        <v>0</v>
      </c>
      <c r="AF51" s="15" t="s">
        <v>54</v>
      </c>
      <c r="AG51" s="1">
        <f t="shared" si="7"/>
        <v>0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90</v>
      </c>
      <c r="B52" s="1" t="s">
        <v>41</v>
      </c>
      <c r="C52" s="1">
        <v>19</v>
      </c>
      <c r="D52" s="1">
        <v>152</v>
      </c>
      <c r="E52" s="1">
        <v>39</v>
      </c>
      <c r="F52" s="1">
        <v>129</v>
      </c>
      <c r="G52" s="7">
        <v>0.45</v>
      </c>
      <c r="H52" s="1">
        <v>50</v>
      </c>
      <c r="I52" s="1" t="s">
        <v>37</v>
      </c>
      <c r="J52" s="1"/>
      <c r="K52" s="1">
        <v>62</v>
      </c>
      <c r="L52" s="1">
        <f t="shared" si="12"/>
        <v>-23</v>
      </c>
      <c r="M52" s="1"/>
      <c r="N52" s="1"/>
      <c r="O52" s="1">
        <v>24.59999999999998</v>
      </c>
      <c r="P52" s="1">
        <v>0</v>
      </c>
      <c r="Q52" s="1">
        <f t="shared" si="13"/>
        <v>7.8</v>
      </c>
      <c r="R52" s="5"/>
      <c r="S52" s="5">
        <f t="shared" si="8"/>
        <v>0</v>
      </c>
      <c r="T52" s="1">
        <f t="shared" si="6"/>
        <v>19.69230769230769</v>
      </c>
      <c r="U52" s="1">
        <f t="shared" si="15"/>
        <v>19.69230769230769</v>
      </c>
      <c r="V52" s="1">
        <v>15.2</v>
      </c>
      <c r="W52" s="1">
        <v>15</v>
      </c>
      <c r="X52" s="1">
        <v>12</v>
      </c>
      <c r="Y52" s="1">
        <v>18.600000000000001</v>
      </c>
      <c r="Z52" s="1">
        <v>17.399999999999999</v>
      </c>
      <c r="AA52" s="1">
        <v>14.4</v>
      </c>
      <c r="AB52" s="1">
        <v>9.1999999999999993</v>
      </c>
      <c r="AC52" s="1">
        <v>16</v>
      </c>
      <c r="AD52" s="1">
        <v>15.4</v>
      </c>
      <c r="AE52" s="1">
        <v>9.6</v>
      </c>
      <c r="AF52" s="1"/>
      <c r="AG52" s="1">
        <f t="shared" si="7"/>
        <v>0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91</v>
      </c>
      <c r="B53" s="1" t="s">
        <v>41</v>
      </c>
      <c r="C53" s="1">
        <v>2</v>
      </c>
      <c r="D53" s="1">
        <v>201</v>
      </c>
      <c r="E53" s="1">
        <v>107</v>
      </c>
      <c r="F53" s="1">
        <v>96</v>
      </c>
      <c r="G53" s="7">
        <v>0.45</v>
      </c>
      <c r="H53" s="1">
        <v>50</v>
      </c>
      <c r="I53" s="1" t="s">
        <v>37</v>
      </c>
      <c r="J53" s="1"/>
      <c r="K53" s="1">
        <v>107</v>
      </c>
      <c r="L53" s="1">
        <f t="shared" si="12"/>
        <v>0</v>
      </c>
      <c r="M53" s="1"/>
      <c r="N53" s="1"/>
      <c r="O53" s="1">
        <v>149.91199999999989</v>
      </c>
      <c r="P53" s="1">
        <v>0</v>
      </c>
      <c r="Q53" s="1">
        <f t="shared" si="13"/>
        <v>21.4</v>
      </c>
      <c r="R53" s="5">
        <f t="shared" si="14"/>
        <v>10.888000000000062</v>
      </c>
      <c r="S53" s="5">
        <f t="shared" si="8"/>
        <v>10.888000000000062</v>
      </c>
      <c r="T53" s="1">
        <f t="shared" si="6"/>
        <v>11.999999999999998</v>
      </c>
      <c r="U53" s="1">
        <f t="shared" si="15"/>
        <v>11.491214953271024</v>
      </c>
      <c r="V53" s="1">
        <v>27.6</v>
      </c>
      <c r="W53" s="1">
        <v>31.4</v>
      </c>
      <c r="X53" s="1">
        <v>18.8</v>
      </c>
      <c r="Y53" s="1">
        <v>16.2</v>
      </c>
      <c r="Z53" s="1">
        <v>26.8</v>
      </c>
      <c r="AA53" s="1">
        <v>31.6</v>
      </c>
      <c r="AB53" s="1">
        <v>24.4</v>
      </c>
      <c r="AC53" s="1">
        <v>26</v>
      </c>
      <c r="AD53" s="1">
        <v>25.8</v>
      </c>
      <c r="AE53" s="1">
        <v>21.2</v>
      </c>
      <c r="AF53" s="1"/>
      <c r="AG53" s="1">
        <f t="shared" si="7"/>
        <v>5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92</v>
      </c>
      <c r="B54" s="1" t="s">
        <v>41</v>
      </c>
      <c r="C54" s="1">
        <v>46</v>
      </c>
      <c r="D54" s="1"/>
      <c r="E54" s="1">
        <v>8</v>
      </c>
      <c r="F54" s="1">
        <v>38</v>
      </c>
      <c r="G54" s="7">
        <v>0.4</v>
      </c>
      <c r="H54" s="1">
        <v>40</v>
      </c>
      <c r="I54" s="1" t="s">
        <v>37</v>
      </c>
      <c r="J54" s="1"/>
      <c r="K54" s="1">
        <v>8</v>
      </c>
      <c r="L54" s="1">
        <f t="shared" si="12"/>
        <v>0</v>
      </c>
      <c r="M54" s="1"/>
      <c r="N54" s="1"/>
      <c r="O54" s="1">
        <v>0</v>
      </c>
      <c r="P54" s="1">
        <v>0</v>
      </c>
      <c r="Q54" s="1">
        <f t="shared" si="13"/>
        <v>1.6</v>
      </c>
      <c r="R54" s="5"/>
      <c r="S54" s="5">
        <f t="shared" si="8"/>
        <v>0</v>
      </c>
      <c r="T54" s="1">
        <f t="shared" si="6"/>
        <v>23.75</v>
      </c>
      <c r="U54" s="1">
        <f t="shared" si="15"/>
        <v>23.75</v>
      </c>
      <c r="V54" s="1">
        <v>1.2</v>
      </c>
      <c r="W54" s="1">
        <v>0.4</v>
      </c>
      <c r="X54" s="1">
        <v>0.4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7" t="s">
        <v>173</v>
      </c>
      <c r="AG54" s="1">
        <f t="shared" si="7"/>
        <v>0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93</v>
      </c>
      <c r="B55" s="1" t="s">
        <v>41</v>
      </c>
      <c r="C55" s="1">
        <v>47</v>
      </c>
      <c r="D55" s="1">
        <v>4</v>
      </c>
      <c r="E55" s="1">
        <v>13</v>
      </c>
      <c r="F55" s="1">
        <v>34</v>
      </c>
      <c r="G55" s="7">
        <v>0.4</v>
      </c>
      <c r="H55" s="1">
        <v>40</v>
      </c>
      <c r="I55" s="1" t="s">
        <v>37</v>
      </c>
      <c r="J55" s="1"/>
      <c r="K55" s="1">
        <v>17</v>
      </c>
      <c r="L55" s="1">
        <f t="shared" si="12"/>
        <v>-4</v>
      </c>
      <c r="M55" s="1"/>
      <c r="N55" s="1"/>
      <c r="O55" s="1">
        <v>0</v>
      </c>
      <c r="P55" s="1">
        <v>0</v>
      </c>
      <c r="Q55" s="1">
        <f t="shared" si="13"/>
        <v>2.6</v>
      </c>
      <c r="R55" s="5"/>
      <c r="S55" s="5">
        <f t="shared" si="8"/>
        <v>0</v>
      </c>
      <c r="T55" s="1">
        <f t="shared" si="6"/>
        <v>13.076923076923077</v>
      </c>
      <c r="U55" s="1">
        <f t="shared" si="15"/>
        <v>13.076923076923077</v>
      </c>
      <c r="V55" s="1">
        <v>1</v>
      </c>
      <c r="W55" s="1">
        <v>0.4</v>
      </c>
      <c r="X55" s="1">
        <v>0.4</v>
      </c>
      <c r="Y55" s="1">
        <v>1</v>
      </c>
      <c r="Z55" s="1">
        <v>1.2</v>
      </c>
      <c r="AA55" s="1">
        <v>0.2</v>
      </c>
      <c r="AB55" s="1">
        <v>0</v>
      </c>
      <c r="AC55" s="1">
        <v>0</v>
      </c>
      <c r="AD55" s="1">
        <v>0</v>
      </c>
      <c r="AE55" s="1">
        <v>0</v>
      </c>
      <c r="AF55" s="17" t="s">
        <v>172</v>
      </c>
      <c r="AG55" s="1">
        <f t="shared" si="7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94</v>
      </c>
      <c r="B56" s="1" t="s">
        <v>36</v>
      </c>
      <c r="C56" s="1">
        <v>45.954000000000001</v>
      </c>
      <c r="D56" s="1">
        <v>165.90199999999999</v>
      </c>
      <c r="E56" s="1">
        <v>52.526000000000003</v>
      </c>
      <c r="F56" s="1">
        <v>153.96199999999999</v>
      </c>
      <c r="G56" s="7">
        <v>1</v>
      </c>
      <c r="H56" s="1">
        <v>50</v>
      </c>
      <c r="I56" s="1" t="s">
        <v>37</v>
      </c>
      <c r="J56" s="1"/>
      <c r="K56" s="1">
        <v>55.5</v>
      </c>
      <c r="L56" s="1">
        <f t="shared" si="12"/>
        <v>-2.9739999999999966</v>
      </c>
      <c r="M56" s="1"/>
      <c r="N56" s="1"/>
      <c r="O56" s="1">
        <v>0</v>
      </c>
      <c r="P56" s="1">
        <v>0</v>
      </c>
      <c r="Q56" s="1">
        <f t="shared" si="13"/>
        <v>10.5052</v>
      </c>
      <c r="R56" s="5"/>
      <c r="S56" s="5">
        <f t="shared" si="8"/>
        <v>0</v>
      </c>
      <c r="T56" s="1">
        <f t="shared" si="6"/>
        <v>14.65578951376461</v>
      </c>
      <c r="U56" s="1">
        <f t="shared" si="15"/>
        <v>14.65578951376461</v>
      </c>
      <c r="V56" s="1">
        <v>13.502000000000001</v>
      </c>
      <c r="W56" s="1">
        <v>14.0418</v>
      </c>
      <c r="X56" s="1">
        <v>7.0236000000000001</v>
      </c>
      <c r="Y56" s="1">
        <v>5.9779999999999998</v>
      </c>
      <c r="Z56" s="1">
        <v>9.8171999999999997</v>
      </c>
      <c r="AA56" s="1">
        <v>12.250400000000001</v>
      </c>
      <c r="AB56" s="1">
        <v>12.776199999999999</v>
      </c>
      <c r="AC56" s="1">
        <v>9.5141999999999989</v>
      </c>
      <c r="AD56" s="1">
        <v>3.2652000000000001</v>
      </c>
      <c r="AE56" s="1">
        <v>7.0168000000000008</v>
      </c>
      <c r="AF56" s="1"/>
      <c r="AG56" s="1">
        <f t="shared" si="7"/>
        <v>0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95</v>
      </c>
      <c r="B57" s="1" t="s">
        <v>41</v>
      </c>
      <c r="C57" s="1">
        <v>189</v>
      </c>
      <c r="D57" s="1">
        <v>222</v>
      </c>
      <c r="E57" s="13">
        <f>19+E129</f>
        <v>34</v>
      </c>
      <c r="F57" s="1">
        <v>373</v>
      </c>
      <c r="G57" s="7">
        <v>0.1</v>
      </c>
      <c r="H57" s="1">
        <v>731</v>
      </c>
      <c r="I57" s="1" t="s">
        <v>37</v>
      </c>
      <c r="J57" s="1"/>
      <c r="K57" s="1">
        <v>21</v>
      </c>
      <c r="L57" s="1">
        <f t="shared" si="12"/>
        <v>13</v>
      </c>
      <c r="M57" s="1"/>
      <c r="N57" s="1"/>
      <c r="O57" s="1">
        <v>0</v>
      </c>
      <c r="P57" s="1">
        <v>0</v>
      </c>
      <c r="Q57" s="1">
        <f t="shared" si="13"/>
        <v>6.8</v>
      </c>
      <c r="R57" s="5"/>
      <c r="S57" s="5">
        <f t="shared" si="8"/>
        <v>0</v>
      </c>
      <c r="T57" s="1">
        <f t="shared" si="6"/>
        <v>54.852941176470587</v>
      </c>
      <c r="U57" s="1">
        <f t="shared" si="15"/>
        <v>54.852941176470587</v>
      </c>
      <c r="V57" s="1">
        <v>7.2</v>
      </c>
      <c r="W57" s="1">
        <v>10</v>
      </c>
      <c r="X57" s="1">
        <v>12.8</v>
      </c>
      <c r="Y57" s="1">
        <v>16</v>
      </c>
      <c r="Z57" s="1">
        <v>10.4</v>
      </c>
      <c r="AA57" s="1">
        <v>13.2</v>
      </c>
      <c r="AB57" s="1">
        <v>17</v>
      </c>
      <c r="AC57" s="1">
        <v>12.2</v>
      </c>
      <c r="AD57" s="1">
        <v>6.2</v>
      </c>
      <c r="AE57" s="1">
        <v>5.8</v>
      </c>
      <c r="AF57" s="15" t="s">
        <v>54</v>
      </c>
      <c r="AG57" s="1">
        <f t="shared" si="7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96</v>
      </c>
      <c r="B58" s="1" t="s">
        <v>36</v>
      </c>
      <c r="C58" s="1">
        <v>66.379000000000005</v>
      </c>
      <c r="D58" s="1">
        <v>194.22</v>
      </c>
      <c r="E58" s="1">
        <v>98.477000000000004</v>
      </c>
      <c r="F58" s="1">
        <v>150.017</v>
      </c>
      <c r="G58" s="7">
        <v>1</v>
      </c>
      <c r="H58" s="1">
        <v>50</v>
      </c>
      <c r="I58" s="1" t="s">
        <v>37</v>
      </c>
      <c r="J58" s="1"/>
      <c r="K58" s="1">
        <v>110.8</v>
      </c>
      <c r="L58" s="1">
        <f t="shared" si="12"/>
        <v>-12.322999999999993</v>
      </c>
      <c r="M58" s="1"/>
      <c r="N58" s="1"/>
      <c r="O58" s="1">
        <v>0</v>
      </c>
      <c r="P58" s="1">
        <v>25.010400000000001</v>
      </c>
      <c r="Q58" s="1">
        <f t="shared" si="13"/>
        <v>19.695399999999999</v>
      </c>
      <c r="R58" s="5">
        <f t="shared" si="14"/>
        <v>61.317399999999992</v>
      </c>
      <c r="S58" s="5">
        <f t="shared" si="8"/>
        <v>61.317399999999992</v>
      </c>
      <c r="T58" s="1">
        <f t="shared" si="6"/>
        <v>12</v>
      </c>
      <c r="U58" s="1">
        <f t="shared" si="15"/>
        <v>8.8867146643378661</v>
      </c>
      <c r="V58" s="1">
        <v>19.9634</v>
      </c>
      <c r="W58" s="1">
        <v>16.772600000000001</v>
      </c>
      <c r="X58" s="1">
        <v>6.8120000000000003</v>
      </c>
      <c r="Y58" s="1">
        <v>14.3918</v>
      </c>
      <c r="Z58" s="1">
        <v>25.248799999999999</v>
      </c>
      <c r="AA58" s="1">
        <v>25.1602</v>
      </c>
      <c r="AB58" s="1">
        <v>21.5242</v>
      </c>
      <c r="AC58" s="1">
        <v>11.835599999999999</v>
      </c>
      <c r="AD58" s="1">
        <v>11.785399999999999</v>
      </c>
      <c r="AE58" s="1">
        <v>12.861000000000001</v>
      </c>
      <c r="AF58" s="1"/>
      <c r="AG58" s="1">
        <f t="shared" si="7"/>
        <v>61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97</v>
      </c>
      <c r="B59" s="1" t="s">
        <v>36</v>
      </c>
      <c r="C59" s="1">
        <v>-1.228</v>
      </c>
      <c r="D59" s="1">
        <v>43.875</v>
      </c>
      <c r="E59" s="1">
        <v>6.8230000000000004</v>
      </c>
      <c r="F59" s="1">
        <v>35.823999999999998</v>
      </c>
      <c r="G59" s="7">
        <v>1</v>
      </c>
      <c r="H59" s="1">
        <v>55</v>
      </c>
      <c r="I59" s="1" t="s">
        <v>37</v>
      </c>
      <c r="J59" s="1"/>
      <c r="K59" s="1">
        <v>6.5</v>
      </c>
      <c r="L59" s="1">
        <f t="shared" si="12"/>
        <v>0.3230000000000004</v>
      </c>
      <c r="M59" s="1"/>
      <c r="N59" s="1"/>
      <c r="O59" s="1">
        <v>4.2789999999999981</v>
      </c>
      <c r="P59" s="1">
        <v>0</v>
      </c>
      <c r="Q59" s="1">
        <f t="shared" si="13"/>
        <v>1.3646</v>
      </c>
      <c r="R59" s="5"/>
      <c r="S59" s="5">
        <f t="shared" si="8"/>
        <v>0</v>
      </c>
      <c r="T59" s="1">
        <f t="shared" si="6"/>
        <v>29.388099076652495</v>
      </c>
      <c r="U59" s="1">
        <f t="shared" si="15"/>
        <v>29.388099076652495</v>
      </c>
      <c r="V59" s="1">
        <v>0.54</v>
      </c>
      <c r="W59" s="1">
        <v>2.9611999999999998</v>
      </c>
      <c r="X59" s="1">
        <v>2.9634</v>
      </c>
      <c r="Y59" s="1">
        <v>2.1612</v>
      </c>
      <c r="Z59" s="1">
        <v>2.9718</v>
      </c>
      <c r="AA59" s="1">
        <v>1.3515999999999999</v>
      </c>
      <c r="AB59" s="1">
        <v>0.27039999999999997</v>
      </c>
      <c r="AC59" s="1">
        <v>0</v>
      </c>
      <c r="AD59" s="1">
        <v>0</v>
      </c>
      <c r="AE59" s="1">
        <v>0.54339999999999999</v>
      </c>
      <c r="AF59" s="1"/>
      <c r="AG59" s="1">
        <f t="shared" si="7"/>
        <v>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98</v>
      </c>
      <c r="B60" s="1" t="s">
        <v>41</v>
      </c>
      <c r="C60" s="1">
        <v>113</v>
      </c>
      <c r="D60" s="1">
        <v>223</v>
      </c>
      <c r="E60" s="1">
        <v>32</v>
      </c>
      <c r="F60" s="1">
        <v>300</v>
      </c>
      <c r="G60" s="7">
        <v>0.1</v>
      </c>
      <c r="H60" s="1">
        <v>731</v>
      </c>
      <c r="I60" s="1" t="s">
        <v>37</v>
      </c>
      <c r="J60" s="1"/>
      <c r="K60" s="1">
        <v>34</v>
      </c>
      <c r="L60" s="1">
        <f t="shared" si="12"/>
        <v>-2</v>
      </c>
      <c r="M60" s="1"/>
      <c r="N60" s="1"/>
      <c r="O60" s="1">
        <v>0</v>
      </c>
      <c r="P60" s="1">
        <v>0</v>
      </c>
      <c r="Q60" s="1">
        <f t="shared" si="13"/>
        <v>6.4</v>
      </c>
      <c r="R60" s="5"/>
      <c r="S60" s="5">
        <f t="shared" si="8"/>
        <v>0</v>
      </c>
      <c r="T60" s="1">
        <f t="shared" si="6"/>
        <v>46.875</v>
      </c>
      <c r="U60" s="1">
        <f t="shared" si="15"/>
        <v>46.875</v>
      </c>
      <c r="V60" s="1">
        <v>8.1999999999999993</v>
      </c>
      <c r="W60" s="1">
        <v>10.8</v>
      </c>
      <c r="X60" s="1">
        <v>12.2</v>
      </c>
      <c r="Y60" s="1">
        <v>12</v>
      </c>
      <c r="Z60" s="1">
        <v>8</v>
      </c>
      <c r="AA60" s="1">
        <v>10.199999999999999</v>
      </c>
      <c r="AB60" s="1">
        <v>9.4</v>
      </c>
      <c r="AC60" s="1">
        <v>6.6</v>
      </c>
      <c r="AD60" s="1">
        <v>3.8</v>
      </c>
      <c r="AE60" s="1">
        <v>3.2</v>
      </c>
      <c r="AF60" s="15" t="s">
        <v>54</v>
      </c>
      <c r="AG60" s="1">
        <f t="shared" si="7"/>
        <v>0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99</v>
      </c>
      <c r="B61" s="1" t="s">
        <v>41</v>
      </c>
      <c r="C61" s="1">
        <v>6</v>
      </c>
      <c r="D61" s="1">
        <v>60</v>
      </c>
      <c r="E61" s="1">
        <v>4</v>
      </c>
      <c r="F61" s="1">
        <v>62</v>
      </c>
      <c r="G61" s="7">
        <v>0.4</v>
      </c>
      <c r="H61" s="1">
        <v>50</v>
      </c>
      <c r="I61" s="1" t="s">
        <v>37</v>
      </c>
      <c r="J61" s="1"/>
      <c r="K61" s="1">
        <v>4</v>
      </c>
      <c r="L61" s="1">
        <f t="shared" si="12"/>
        <v>0</v>
      </c>
      <c r="M61" s="1"/>
      <c r="N61" s="1"/>
      <c r="O61" s="1">
        <v>0</v>
      </c>
      <c r="P61" s="1">
        <v>0</v>
      </c>
      <c r="Q61" s="1">
        <f t="shared" si="13"/>
        <v>0.8</v>
      </c>
      <c r="R61" s="5"/>
      <c r="S61" s="5">
        <f t="shared" si="8"/>
        <v>0</v>
      </c>
      <c r="T61" s="1">
        <f t="shared" si="6"/>
        <v>77.5</v>
      </c>
      <c r="U61" s="1">
        <f t="shared" si="15"/>
        <v>77.5</v>
      </c>
      <c r="V61" s="1">
        <v>0.8</v>
      </c>
      <c r="W61" s="1">
        <v>0.6</v>
      </c>
      <c r="X61" s="1">
        <v>0.8</v>
      </c>
      <c r="Y61" s="1">
        <v>0.4</v>
      </c>
      <c r="Z61" s="1">
        <v>0.4</v>
      </c>
      <c r="AA61" s="1">
        <v>0.4</v>
      </c>
      <c r="AB61" s="1">
        <v>0.8</v>
      </c>
      <c r="AC61" s="1">
        <v>1</v>
      </c>
      <c r="AD61" s="1">
        <v>0.4</v>
      </c>
      <c r="AE61" s="1">
        <v>0</v>
      </c>
      <c r="AF61" s="17" t="s">
        <v>174</v>
      </c>
      <c r="AG61" s="1">
        <f t="shared" si="7"/>
        <v>0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100</v>
      </c>
      <c r="B62" s="1" t="s">
        <v>36</v>
      </c>
      <c r="C62" s="1">
        <v>81.33</v>
      </c>
      <c r="D62" s="1"/>
      <c r="E62" s="1">
        <v>25.6</v>
      </c>
      <c r="F62" s="1">
        <v>55.73</v>
      </c>
      <c r="G62" s="7">
        <v>1</v>
      </c>
      <c r="H62" s="1">
        <v>40</v>
      </c>
      <c r="I62" s="1" t="s">
        <v>37</v>
      </c>
      <c r="J62" s="1"/>
      <c r="K62" s="1">
        <v>27.3</v>
      </c>
      <c r="L62" s="1">
        <f t="shared" si="12"/>
        <v>-1.6999999999999993</v>
      </c>
      <c r="M62" s="1"/>
      <c r="N62" s="1"/>
      <c r="O62" s="1">
        <v>14.854799999999999</v>
      </c>
      <c r="P62" s="1">
        <v>0</v>
      </c>
      <c r="Q62" s="1">
        <f t="shared" si="13"/>
        <v>5.12</v>
      </c>
      <c r="R62" s="5"/>
      <c r="S62" s="5">
        <f t="shared" si="8"/>
        <v>0</v>
      </c>
      <c r="T62" s="1">
        <f t="shared" si="6"/>
        <v>13.786093749999999</v>
      </c>
      <c r="U62" s="1">
        <f t="shared" si="15"/>
        <v>13.786093749999999</v>
      </c>
      <c r="V62" s="1">
        <v>7.7384000000000004</v>
      </c>
      <c r="W62" s="1">
        <v>8.0153999999999996</v>
      </c>
      <c r="X62" s="1">
        <v>5.0548000000000002</v>
      </c>
      <c r="Y62" s="1">
        <v>4.7778</v>
      </c>
      <c r="Z62" s="1">
        <v>0</v>
      </c>
      <c r="AA62" s="1">
        <v>4.7404000000000002</v>
      </c>
      <c r="AB62" s="1">
        <v>4.7404000000000002</v>
      </c>
      <c r="AC62" s="1">
        <v>0</v>
      </c>
      <c r="AD62" s="1">
        <v>7.9903999999999993</v>
      </c>
      <c r="AE62" s="1">
        <v>7.9903999999999993</v>
      </c>
      <c r="AF62" s="1"/>
      <c r="AG62" s="1">
        <f t="shared" si="7"/>
        <v>0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101</v>
      </c>
      <c r="B63" s="1" t="s">
        <v>36</v>
      </c>
      <c r="C63" s="1">
        <v>63.09</v>
      </c>
      <c r="D63" s="1"/>
      <c r="E63" s="1">
        <v>4.2350000000000003</v>
      </c>
      <c r="F63" s="1">
        <v>58.854999999999997</v>
      </c>
      <c r="G63" s="7">
        <v>1</v>
      </c>
      <c r="H63" s="1">
        <v>40</v>
      </c>
      <c r="I63" s="1" t="s">
        <v>37</v>
      </c>
      <c r="J63" s="1"/>
      <c r="K63" s="1">
        <v>3.6</v>
      </c>
      <c r="L63" s="1">
        <f t="shared" si="12"/>
        <v>0.63500000000000023</v>
      </c>
      <c r="M63" s="1"/>
      <c r="N63" s="1"/>
      <c r="O63" s="1">
        <v>0</v>
      </c>
      <c r="P63" s="1">
        <v>0</v>
      </c>
      <c r="Q63" s="1">
        <f t="shared" si="13"/>
        <v>0.84700000000000009</v>
      </c>
      <c r="R63" s="5"/>
      <c r="S63" s="5">
        <f t="shared" si="8"/>
        <v>0</v>
      </c>
      <c r="T63" s="1">
        <f t="shared" si="6"/>
        <v>69.486422668240834</v>
      </c>
      <c r="U63" s="1">
        <f t="shared" si="15"/>
        <v>69.486422668240834</v>
      </c>
      <c r="V63" s="1">
        <v>1.0855999999999999</v>
      </c>
      <c r="W63" s="1">
        <v>1.0855999999999999</v>
      </c>
      <c r="X63" s="1">
        <v>1.9076</v>
      </c>
      <c r="Y63" s="1">
        <v>1.9076</v>
      </c>
      <c r="Z63" s="1">
        <v>0.83279999999999998</v>
      </c>
      <c r="AA63" s="1">
        <v>0.83279999999999998</v>
      </c>
      <c r="AB63" s="1">
        <v>0</v>
      </c>
      <c r="AC63" s="1">
        <v>0</v>
      </c>
      <c r="AD63" s="1">
        <v>0</v>
      </c>
      <c r="AE63" s="1">
        <v>0.26440000000000002</v>
      </c>
      <c r="AF63" s="15" t="s">
        <v>54</v>
      </c>
      <c r="AG63" s="1">
        <f t="shared" si="7"/>
        <v>0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102</v>
      </c>
      <c r="B64" s="1" t="s">
        <v>41</v>
      </c>
      <c r="C64" s="1">
        <v>93</v>
      </c>
      <c r="D64" s="1">
        <v>540</v>
      </c>
      <c r="E64" s="1">
        <v>196</v>
      </c>
      <c r="F64" s="1">
        <v>429</v>
      </c>
      <c r="G64" s="7">
        <v>0.4</v>
      </c>
      <c r="H64" s="1">
        <v>40</v>
      </c>
      <c r="I64" s="1" t="s">
        <v>37</v>
      </c>
      <c r="J64" s="1"/>
      <c r="K64" s="1">
        <v>202</v>
      </c>
      <c r="L64" s="1">
        <f t="shared" si="12"/>
        <v>-6</v>
      </c>
      <c r="M64" s="1"/>
      <c r="N64" s="1"/>
      <c r="O64" s="1">
        <v>0</v>
      </c>
      <c r="P64" s="1">
        <v>0</v>
      </c>
      <c r="Q64" s="1">
        <f t="shared" si="13"/>
        <v>39.200000000000003</v>
      </c>
      <c r="R64" s="5">
        <f t="shared" si="14"/>
        <v>41.400000000000034</v>
      </c>
      <c r="S64" s="5">
        <f>R64+Q64*$S$1</f>
        <v>88.440000000000026</v>
      </c>
      <c r="T64" s="1">
        <f t="shared" si="6"/>
        <v>13.200000000000001</v>
      </c>
      <c r="U64" s="1">
        <f t="shared" si="15"/>
        <v>10.943877551020407</v>
      </c>
      <c r="V64" s="1">
        <v>30.4</v>
      </c>
      <c r="W64" s="1">
        <v>24.6</v>
      </c>
      <c r="X64" s="1">
        <v>26.8</v>
      </c>
      <c r="Y64" s="1">
        <v>43.2</v>
      </c>
      <c r="Z64" s="1">
        <v>42.8</v>
      </c>
      <c r="AA64" s="1">
        <v>43.6</v>
      </c>
      <c r="AB64" s="1">
        <v>46.2</v>
      </c>
      <c r="AC64" s="1">
        <v>34.4</v>
      </c>
      <c r="AD64" s="1">
        <v>15.4</v>
      </c>
      <c r="AE64" s="1">
        <v>15.8</v>
      </c>
      <c r="AF64" s="1"/>
      <c r="AG64" s="1">
        <f t="shared" si="7"/>
        <v>35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103</v>
      </c>
      <c r="B65" s="1" t="s">
        <v>41</v>
      </c>
      <c r="C65" s="1">
        <v>-33</v>
      </c>
      <c r="D65" s="1">
        <v>300</v>
      </c>
      <c r="E65" s="1">
        <v>100</v>
      </c>
      <c r="F65" s="1">
        <v>166</v>
      </c>
      <c r="G65" s="7">
        <v>0.4</v>
      </c>
      <c r="H65" s="1">
        <v>40</v>
      </c>
      <c r="I65" s="1" t="s">
        <v>37</v>
      </c>
      <c r="J65" s="1"/>
      <c r="K65" s="1">
        <v>105</v>
      </c>
      <c r="L65" s="1">
        <f t="shared" si="12"/>
        <v>-5</v>
      </c>
      <c r="M65" s="1"/>
      <c r="N65" s="1"/>
      <c r="O65" s="1">
        <v>0</v>
      </c>
      <c r="P65" s="1">
        <v>0</v>
      </c>
      <c r="Q65" s="1">
        <f t="shared" si="13"/>
        <v>20</v>
      </c>
      <c r="R65" s="5">
        <f t="shared" si="14"/>
        <v>74</v>
      </c>
      <c r="S65" s="5">
        <f t="shared" si="8"/>
        <v>74</v>
      </c>
      <c r="T65" s="1">
        <f t="shared" si="6"/>
        <v>12</v>
      </c>
      <c r="U65" s="1">
        <f t="shared" si="15"/>
        <v>8.3000000000000007</v>
      </c>
      <c r="V65" s="1">
        <v>19.2</v>
      </c>
      <c r="W65" s="1">
        <v>18</v>
      </c>
      <c r="X65" s="1">
        <v>13.6</v>
      </c>
      <c r="Y65" s="1">
        <v>9.8000000000000007</v>
      </c>
      <c r="Z65" s="1">
        <v>15.8</v>
      </c>
      <c r="AA65" s="1">
        <v>21.6</v>
      </c>
      <c r="AB65" s="1">
        <v>6</v>
      </c>
      <c r="AC65" s="1">
        <v>0</v>
      </c>
      <c r="AD65" s="1">
        <v>0</v>
      </c>
      <c r="AE65" s="1">
        <v>0</v>
      </c>
      <c r="AF65" s="1"/>
      <c r="AG65" s="1">
        <f t="shared" si="7"/>
        <v>30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104</v>
      </c>
      <c r="B66" s="1" t="s">
        <v>36</v>
      </c>
      <c r="C66" s="1">
        <v>14.25</v>
      </c>
      <c r="D66" s="1">
        <v>217.60599999999999</v>
      </c>
      <c r="E66" s="1">
        <v>31.995999999999999</v>
      </c>
      <c r="F66" s="1">
        <v>198.02699999999999</v>
      </c>
      <c r="G66" s="7">
        <v>1</v>
      </c>
      <c r="H66" s="1">
        <v>40</v>
      </c>
      <c r="I66" s="1" t="s">
        <v>37</v>
      </c>
      <c r="J66" s="1"/>
      <c r="K66" s="1">
        <v>34.1</v>
      </c>
      <c r="L66" s="1">
        <f t="shared" si="12"/>
        <v>-2.1040000000000028</v>
      </c>
      <c r="M66" s="1"/>
      <c r="N66" s="1"/>
      <c r="O66" s="1">
        <v>0</v>
      </c>
      <c r="P66" s="1">
        <v>70</v>
      </c>
      <c r="Q66" s="1">
        <f t="shared" si="13"/>
        <v>6.3991999999999996</v>
      </c>
      <c r="R66" s="5"/>
      <c r="S66" s="5">
        <f t="shared" si="8"/>
        <v>0</v>
      </c>
      <c r="T66" s="1">
        <f t="shared" si="6"/>
        <v>41.884454306788349</v>
      </c>
      <c r="U66" s="1">
        <f t="shared" si="15"/>
        <v>41.884454306788349</v>
      </c>
      <c r="V66" s="1">
        <v>8.0519999999999996</v>
      </c>
      <c r="W66" s="1">
        <v>13.5312</v>
      </c>
      <c r="X66" s="1">
        <v>14.3454</v>
      </c>
      <c r="Y66" s="1">
        <v>7.2096</v>
      </c>
      <c r="Z66" s="1">
        <v>3.2608000000000001</v>
      </c>
      <c r="AA66" s="1">
        <v>3.4409999999999998</v>
      </c>
      <c r="AB66" s="1">
        <v>11.0456</v>
      </c>
      <c r="AC66" s="1">
        <v>15.014200000000001</v>
      </c>
      <c r="AD66" s="1">
        <v>4.5118</v>
      </c>
      <c r="AE66" s="1">
        <v>5.2612000000000014</v>
      </c>
      <c r="AF66" s="14" t="s">
        <v>63</v>
      </c>
      <c r="AG66" s="1">
        <f t="shared" si="7"/>
        <v>0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105</v>
      </c>
      <c r="B67" s="1" t="s">
        <v>36</v>
      </c>
      <c r="C67" s="1">
        <v>121.462</v>
      </c>
      <c r="D67" s="1">
        <v>54.290999999999997</v>
      </c>
      <c r="E67" s="1">
        <v>48.563000000000002</v>
      </c>
      <c r="F67" s="1">
        <v>127.19</v>
      </c>
      <c r="G67" s="7">
        <v>1</v>
      </c>
      <c r="H67" s="1">
        <v>40</v>
      </c>
      <c r="I67" s="1" t="s">
        <v>37</v>
      </c>
      <c r="J67" s="1"/>
      <c r="K67" s="1">
        <v>48.3</v>
      </c>
      <c r="L67" s="1">
        <f t="shared" si="12"/>
        <v>0.26300000000000523</v>
      </c>
      <c r="M67" s="1"/>
      <c r="N67" s="1"/>
      <c r="O67" s="1">
        <v>34.79140000000001</v>
      </c>
      <c r="P67" s="1">
        <v>0</v>
      </c>
      <c r="Q67" s="1">
        <f t="shared" si="13"/>
        <v>9.7126000000000001</v>
      </c>
      <c r="R67" s="5"/>
      <c r="S67" s="5">
        <f t="shared" si="8"/>
        <v>0</v>
      </c>
      <c r="T67" s="1">
        <f t="shared" si="6"/>
        <v>16.677449910425633</v>
      </c>
      <c r="U67" s="1">
        <f t="shared" si="15"/>
        <v>16.677449910425633</v>
      </c>
      <c r="V67" s="1">
        <v>13.303599999999999</v>
      </c>
      <c r="W67" s="1">
        <v>16.658200000000001</v>
      </c>
      <c r="X67" s="1">
        <v>12.859</v>
      </c>
      <c r="Y67" s="1">
        <v>5.6180000000000003</v>
      </c>
      <c r="Z67" s="1">
        <v>0</v>
      </c>
      <c r="AA67" s="1">
        <v>5.3816000000000006</v>
      </c>
      <c r="AB67" s="1">
        <v>16.513000000000002</v>
      </c>
      <c r="AC67" s="1">
        <v>15.0838</v>
      </c>
      <c r="AD67" s="1">
        <v>4.3112000000000004</v>
      </c>
      <c r="AE67" s="1">
        <v>0</v>
      </c>
      <c r="AF67" s="1"/>
      <c r="AG67" s="1">
        <f t="shared" si="7"/>
        <v>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106</v>
      </c>
      <c r="B68" s="1" t="s">
        <v>36</v>
      </c>
      <c r="C68" s="1">
        <v>-17.283999999999999</v>
      </c>
      <c r="D68" s="1">
        <v>361.565</v>
      </c>
      <c r="E68" s="1">
        <v>93.597999999999999</v>
      </c>
      <c r="F68" s="1">
        <v>241.60300000000001</v>
      </c>
      <c r="G68" s="7">
        <v>1</v>
      </c>
      <c r="H68" s="1">
        <v>40</v>
      </c>
      <c r="I68" s="1" t="s">
        <v>37</v>
      </c>
      <c r="J68" s="1"/>
      <c r="K68" s="1">
        <v>91.3</v>
      </c>
      <c r="L68" s="1">
        <f t="shared" si="12"/>
        <v>2.2980000000000018</v>
      </c>
      <c r="M68" s="1"/>
      <c r="N68" s="1"/>
      <c r="O68" s="1">
        <v>0</v>
      </c>
      <c r="P68" s="1">
        <v>0</v>
      </c>
      <c r="Q68" s="1">
        <f t="shared" si="13"/>
        <v>18.7196</v>
      </c>
      <c r="R68" s="5"/>
      <c r="S68" s="5">
        <f t="shared" si="8"/>
        <v>0</v>
      </c>
      <c r="T68" s="1">
        <f t="shared" si="6"/>
        <v>12.906418940575653</v>
      </c>
      <c r="U68" s="1">
        <f t="shared" si="15"/>
        <v>12.906418940575653</v>
      </c>
      <c r="V68" s="1">
        <v>13.801</v>
      </c>
      <c r="W68" s="1">
        <v>11.5732</v>
      </c>
      <c r="X68" s="1">
        <v>16.665600000000001</v>
      </c>
      <c r="Y68" s="1">
        <v>13.021000000000001</v>
      </c>
      <c r="Z68" s="1">
        <v>0</v>
      </c>
      <c r="AA68" s="1">
        <v>0.1852</v>
      </c>
      <c r="AB68" s="1">
        <v>0.73</v>
      </c>
      <c r="AC68" s="1">
        <v>4.1936</v>
      </c>
      <c r="AD68" s="1">
        <v>18.5868</v>
      </c>
      <c r="AE68" s="1">
        <v>23.832799999999999</v>
      </c>
      <c r="AF68" s="1"/>
      <c r="AG68" s="1">
        <f t="shared" si="7"/>
        <v>0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107</v>
      </c>
      <c r="B69" s="1" t="s">
        <v>36</v>
      </c>
      <c r="C69" s="1">
        <v>23.529</v>
      </c>
      <c r="D69" s="1">
        <v>130.339</v>
      </c>
      <c r="E69" s="1">
        <v>35.966000000000001</v>
      </c>
      <c r="F69" s="1">
        <v>115.202</v>
      </c>
      <c r="G69" s="7">
        <v>1</v>
      </c>
      <c r="H69" s="1">
        <v>40</v>
      </c>
      <c r="I69" s="1" t="s">
        <v>37</v>
      </c>
      <c r="J69" s="1"/>
      <c r="K69" s="1">
        <v>39.5</v>
      </c>
      <c r="L69" s="1">
        <f t="shared" si="12"/>
        <v>-3.5339999999999989</v>
      </c>
      <c r="M69" s="1"/>
      <c r="N69" s="1"/>
      <c r="O69" s="1">
        <v>0</v>
      </c>
      <c r="P69" s="1">
        <v>0</v>
      </c>
      <c r="Q69" s="1">
        <f t="shared" si="13"/>
        <v>7.1932</v>
      </c>
      <c r="R69" s="5"/>
      <c r="S69" s="5">
        <f t="shared" si="8"/>
        <v>0</v>
      </c>
      <c r="T69" s="1">
        <f t="shared" si="6"/>
        <v>16.015403436578993</v>
      </c>
      <c r="U69" s="1">
        <f t="shared" si="15"/>
        <v>16.015403436578993</v>
      </c>
      <c r="V69" s="1">
        <v>6.1577999999999999</v>
      </c>
      <c r="W69" s="1">
        <v>2.7395999999999998</v>
      </c>
      <c r="X69" s="1">
        <v>1.4468000000000001</v>
      </c>
      <c r="Y69" s="1">
        <v>1.4468000000000001</v>
      </c>
      <c r="Z69" s="1">
        <v>4.7493999999999996</v>
      </c>
      <c r="AA69" s="1">
        <v>7.492</v>
      </c>
      <c r="AB69" s="1">
        <v>2.5602</v>
      </c>
      <c r="AC69" s="1">
        <v>0</v>
      </c>
      <c r="AD69" s="1">
        <v>0</v>
      </c>
      <c r="AE69" s="1">
        <v>0</v>
      </c>
      <c r="AF69" s="1"/>
      <c r="AG69" s="1">
        <f t="shared" si="7"/>
        <v>0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108</v>
      </c>
      <c r="B70" s="1" t="s">
        <v>36</v>
      </c>
      <c r="C70" s="1">
        <v>127.56399999999999</v>
      </c>
      <c r="D70" s="1">
        <v>6.484</v>
      </c>
      <c r="E70" s="1">
        <v>20.510999999999999</v>
      </c>
      <c r="F70" s="1">
        <v>102.041</v>
      </c>
      <c r="G70" s="7">
        <v>1</v>
      </c>
      <c r="H70" s="1">
        <v>30</v>
      </c>
      <c r="I70" s="9" t="s">
        <v>47</v>
      </c>
      <c r="J70" s="1"/>
      <c r="K70" s="1">
        <v>26.5</v>
      </c>
      <c r="L70" s="1">
        <f t="shared" ref="L70:L101" si="16">E70-K70</f>
        <v>-5.9890000000000008</v>
      </c>
      <c r="M70" s="1"/>
      <c r="N70" s="1"/>
      <c r="O70" s="1">
        <v>0</v>
      </c>
      <c r="P70" s="1">
        <v>0</v>
      </c>
      <c r="Q70" s="1">
        <f t="shared" ref="Q70:Q101" si="17">E70/5</f>
        <v>4.1021999999999998</v>
      </c>
      <c r="R70" s="5"/>
      <c r="S70" s="5">
        <f t="shared" si="8"/>
        <v>0</v>
      </c>
      <c r="T70" s="1">
        <f t="shared" si="6"/>
        <v>24.874701379747453</v>
      </c>
      <c r="U70" s="1">
        <f t="shared" ref="U70:U101" si="18">(F70+O70+P70)/Q70</f>
        <v>24.874701379747453</v>
      </c>
      <c r="V70" s="1">
        <v>4.5381999999999998</v>
      </c>
      <c r="W70" s="1">
        <v>2.1951999999999998</v>
      </c>
      <c r="X70" s="1">
        <v>4.7683999999999997</v>
      </c>
      <c r="Y70" s="1">
        <v>7.6109999999999998</v>
      </c>
      <c r="Z70" s="1">
        <v>5.9893999999999998</v>
      </c>
      <c r="AA70" s="1">
        <v>1.8408</v>
      </c>
      <c r="AB70" s="1">
        <v>0.5272</v>
      </c>
      <c r="AC70" s="1">
        <v>0</v>
      </c>
      <c r="AD70" s="1">
        <v>0</v>
      </c>
      <c r="AE70" s="1">
        <v>4.5743999999999998</v>
      </c>
      <c r="AF70" s="15" t="s">
        <v>54</v>
      </c>
      <c r="AG70" s="1">
        <f t="shared" si="7"/>
        <v>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109</v>
      </c>
      <c r="B71" s="1" t="s">
        <v>41</v>
      </c>
      <c r="C71" s="1">
        <v>97</v>
      </c>
      <c r="D71" s="1">
        <v>83</v>
      </c>
      <c r="E71" s="1">
        <v>79</v>
      </c>
      <c r="F71" s="1">
        <v>98</v>
      </c>
      <c r="G71" s="7">
        <v>0.6</v>
      </c>
      <c r="H71" s="1">
        <v>60</v>
      </c>
      <c r="I71" s="1" t="s">
        <v>37</v>
      </c>
      <c r="J71" s="1"/>
      <c r="K71" s="1">
        <v>85</v>
      </c>
      <c r="L71" s="1">
        <f t="shared" si="16"/>
        <v>-6</v>
      </c>
      <c r="M71" s="1"/>
      <c r="N71" s="1"/>
      <c r="O71" s="1">
        <v>7.3999999999999773</v>
      </c>
      <c r="P71" s="1">
        <v>16.200000000000049</v>
      </c>
      <c r="Q71" s="1">
        <f t="shared" si="17"/>
        <v>15.8</v>
      </c>
      <c r="R71" s="5">
        <f t="shared" si="14"/>
        <v>68</v>
      </c>
      <c r="S71" s="5">
        <f t="shared" ref="S71:S130" si="19">R71</f>
        <v>68</v>
      </c>
      <c r="T71" s="1">
        <f t="shared" ref="T71:T130" si="20">(F71+O71+P71+S71)/Q71</f>
        <v>12.000000000000002</v>
      </c>
      <c r="U71" s="1">
        <f t="shared" si="18"/>
        <v>7.6962025316455707</v>
      </c>
      <c r="V71" s="1">
        <v>16.600000000000001</v>
      </c>
      <c r="W71" s="1">
        <v>15.2</v>
      </c>
      <c r="X71" s="1">
        <v>9.8000000000000007</v>
      </c>
      <c r="Y71" s="1">
        <v>10.8</v>
      </c>
      <c r="Z71" s="1">
        <v>20.399999999999999</v>
      </c>
      <c r="AA71" s="1">
        <v>23</v>
      </c>
      <c r="AB71" s="1">
        <v>3.8</v>
      </c>
      <c r="AC71" s="1">
        <v>3.6</v>
      </c>
      <c r="AD71" s="1">
        <v>5.9474</v>
      </c>
      <c r="AE71" s="1">
        <v>7</v>
      </c>
      <c r="AF71" s="1"/>
      <c r="AG71" s="1">
        <f t="shared" ref="AG71:AG130" si="21">ROUND(G71*S71,0)</f>
        <v>41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110</v>
      </c>
      <c r="B72" s="1" t="s">
        <v>41</v>
      </c>
      <c r="C72" s="1">
        <v>20</v>
      </c>
      <c r="D72" s="1">
        <v>291</v>
      </c>
      <c r="E72" s="1">
        <v>97</v>
      </c>
      <c r="F72" s="1">
        <v>211</v>
      </c>
      <c r="G72" s="7">
        <v>0.6</v>
      </c>
      <c r="H72" s="1">
        <v>60</v>
      </c>
      <c r="I72" s="1" t="s">
        <v>37</v>
      </c>
      <c r="J72" s="1"/>
      <c r="K72" s="1">
        <v>100</v>
      </c>
      <c r="L72" s="1">
        <f t="shared" si="16"/>
        <v>-3</v>
      </c>
      <c r="M72" s="1"/>
      <c r="N72" s="1"/>
      <c r="O72" s="1">
        <v>0</v>
      </c>
      <c r="P72" s="1">
        <v>0</v>
      </c>
      <c r="Q72" s="1">
        <f t="shared" si="17"/>
        <v>19.399999999999999</v>
      </c>
      <c r="R72" s="5">
        <f t="shared" si="14"/>
        <v>21.799999999999983</v>
      </c>
      <c r="S72" s="5">
        <f t="shared" si="19"/>
        <v>21.799999999999983</v>
      </c>
      <c r="T72" s="1">
        <f t="shared" si="20"/>
        <v>12</v>
      </c>
      <c r="U72" s="1">
        <f t="shared" si="18"/>
        <v>10.876288659793815</v>
      </c>
      <c r="V72" s="1">
        <v>6</v>
      </c>
      <c r="W72" s="1">
        <v>3.2</v>
      </c>
      <c r="X72" s="1">
        <v>14</v>
      </c>
      <c r="Y72" s="1">
        <v>20.6</v>
      </c>
      <c r="Z72" s="1">
        <v>28.8</v>
      </c>
      <c r="AA72" s="1">
        <v>29.8</v>
      </c>
      <c r="AB72" s="1">
        <v>6</v>
      </c>
      <c r="AC72" s="1">
        <v>3.6</v>
      </c>
      <c r="AD72" s="1">
        <v>9.4</v>
      </c>
      <c r="AE72" s="1">
        <v>10.6</v>
      </c>
      <c r="AF72" s="1"/>
      <c r="AG72" s="1">
        <f t="shared" si="21"/>
        <v>13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111</v>
      </c>
      <c r="B73" s="1" t="s">
        <v>41</v>
      </c>
      <c r="C73" s="1">
        <v>-9</v>
      </c>
      <c r="D73" s="1">
        <v>146</v>
      </c>
      <c r="E73" s="1">
        <v>23</v>
      </c>
      <c r="F73" s="1">
        <v>107</v>
      </c>
      <c r="G73" s="7">
        <v>0.4</v>
      </c>
      <c r="H73" s="1">
        <v>90</v>
      </c>
      <c r="I73" s="9" t="s">
        <v>47</v>
      </c>
      <c r="J73" s="1"/>
      <c r="K73" s="1">
        <v>27</v>
      </c>
      <c r="L73" s="1">
        <f t="shared" si="16"/>
        <v>-4</v>
      </c>
      <c r="M73" s="1"/>
      <c r="N73" s="1"/>
      <c r="O73" s="1">
        <v>4.6000000000000227</v>
      </c>
      <c r="P73" s="1">
        <v>0</v>
      </c>
      <c r="Q73" s="1">
        <f t="shared" si="17"/>
        <v>4.5999999999999996</v>
      </c>
      <c r="R73" s="5"/>
      <c r="S73" s="5">
        <f t="shared" si="19"/>
        <v>0</v>
      </c>
      <c r="T73" s="1">
        <f t="shared" si="20"/>
        <v>24.260869565217398</v>
      </c>
      <c r="U73" s="1">
        <f t="shared" si="18"/>
        <v>24.260869565217398</v>
      </c>
      <c r="V73" s="1">
        <v>8</v>
      </c>
      <c r="W73" s="1">
        <v>10.4</v>
      </c>
      <c r="X73" s="1">
        <v>6.6</v>
      </c>
      <c r="Y73" s="1">
        <v>8.1999999999999993</v>
      </c>
      <c r="Z73" s="1">
        <v>10</v>
      </c>
      <c r="AA73" s="1">
        <v>8.4</v>
      </c>
      <c r="AB73" s="1">
        <v>9.6</v>
      </c>
      <c r="AC73" s="1">
        <v>6.2</v>
      </c>
      <c r="AD73" s="1">
        <v>1.8</v>
      </c>
      <c r="AE73" s="1">
        <v>5.4</v>
      </c>
      <c r="AF73" s="1"/>
      <c r="AG73" s="1">
        <f t="shared" si="21"/>
        <v>0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112</v>
      </c>
      <c r="B74" s="1" t="s">
        <v>41</v>
      </c>
      <c r="C74" s="1">
        <v>5</v>
      </c>
      <c r="D74" s="1">
        <v>129</v>
      </c>
      <c r="E74" s="1">
        <v>51</v>
      </c>
      <c r="F74" s="1">
        <v>76</v>
      </c>
      <c r="G74" s="7">
        <v>0.33</v>
      </c>
      <c r="H74" s="1">
        <v>60</v>
      </c>
      <c r="I74" s="1" t="s">
        <v>37</v>
      </c>
      <c r="J74" s="1"/>
      <c r="K74" s="1">
        <v>56</v>
      </c>
      <c r="L74" s="1">
        <f t="shared" si="16"/>
        <v>-5</v>
      </c>
      <c r="M74" s="1"/>
      <c r="N74" s="1"/>
      <c r="O74" s="1">
        <v>34.535999999999973</v>
      </c>
      <c r="P74" s="1">
        <v>0</v>
      </c>
      <c r="Q74" s="1">
        <f t="shared" si="17"/>
        <v>10.199999999999999</v>
      </c>
      <c r="R74" s="5">
        <f t="shared" si="14"/>
        <v>11.864000000000019</v>
      </c>
      <c r="S74" s="5">
        <f t="shared" si="19"/>
        <v>11.864000000000019</v>
      </c>
      <c r="T74" s="1">
        <f t="shared" si="20"/>
        <v>12</v>
      </c>
      <c r="U74" s="1">
        <f t="shared" si="18"/>
        <v>10.836862745098037</v>
      </c>
      <c r="V74" s="1">
        <v>10.6</v>
      </c>
      <c r="W74" s="1">
        <v>14.2</v>
      </c>
      <c r="X74" s="1">
        <v>14.8</v>
      </c>
      <c r="Y74" s="1">
        <v>15</v>
      </c>
      <c r="Z74" s="1">
        <v>10.4</v>
      </c>
      <c r="AA74" s="1">
        <v>9.4</v>
      </c>
      <c r="AB74" s="1">
        <v>13.2</v>
      </c>
      <c r="AC74" s="1">
        <v>10</v>
      </c>
      <c r="AD74" s="1">
        <v>9.4</v>
      </c>
      <c r="AE74" s="1">
        <v>7.2</v>
      </c>
      <c r="AF74" s="1"/>
      <c r="AG74" s="1">
        <f t="shared" si="21"/>
        <v>4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113</v>
      </c>
      <c r="B75" s="1" t="s">
        <v>41</v>
      </c>
      <c r="C75" s="1">
        <v>24</v>
      </c>
      <c r="D75" s="1">
        <v>108</v>
      </c>
      <c r="E75" s="1">
        <v>83</v>
      </c>
      <c r="F75" s="1">
        <v>40</v>
      </c>
      <c r="G75" s="7">
        <v>0.35</v>
      </c>
      <c r="H75" s="1">
        <v>90</v>
      </c>
      <c r="I75" s="1" t="s">
        <v>37</v>
      </c>
      <c r="J75" s="1"/>
      <c r="K75" s="1">
        <v>89</v>
      </c>
      <c r="L75" s="1">
        <f t="shared" si="16"/>
        <v>-6</v>
      </c>
      <c r="M75" s="1"/>
      <c r="N75" s="1"/>
      <c r="O75" s="1">
        <v>71.632000000000005</v>
      </c>
      <c r="P75" s="1">
        <v>10.76799999999997</v>
      </c>
      <c r="Q75" s="1">
        <f t="shared" si="17"/>
        <v>16.600000000000001</v>
      </c>
      <c r="R75" s="5">
        <f t="shared" si="14"/>
        <v>76.80000000000004</v>
      </c>
      <c r="S75" s="5">
        <f t="shared" si="19"/>
        <v>76.80000000000004</v>
      </c>
      <c r="T75" s="1">
        <f t="shared" si="20"/>
        <v>12</v>
      </c>
      <c r="U75" s="1">
        <f t="shared" si="18"/>
        <v>7.3734939759036129</v>
      </c>
      <c r="V75" s="1">
        <v>16.399999999999999</v>
      </c>
      <c r="W75" s="1">
        <v>15.4</v>
      </c>
      <c r="X75" s="1">
        <v>12.2</v>
      </c>
      <c r="Y75" s="1">
        <v>14.4</v>
      </c>
      <c r="Z75" s="1">
        <v>14.8</v>
      </c>
      <c r="AA75" s="1">
        <v>13.4</v>
      </c>
      <c r="AB75" s="1">
        <v>13</v>
      </c>
      <c r="AC75" s="1">
        <v>9.1999999999999993</v>
      </c>
      <c r="AD75" s="1">
        <v>2</v>
      </c>
      <c r="AE75" s="1">
        <v>5.8</v>
      </c>
      <c r="AF75" s="1"/>
      <c r="AG75" s="1">
        <f t="shared" si="21"/>
        <v>27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114</v>
      </c>
      <c r="B76" s="1" t="s">
        <v>41</v>
      </c>
      <c r="C76" s="1">
        <v>-2</v>
      </c>
      <c r="D76" s="1">
        <v>34</v>
      </c>
      <c r="E76" s="1">
        <v>4</v>
      </c>
      <c r="F76" s="1">
        <v>28</v>
      </c>
      <c r="G76" s="7">
        <v>0.37</v>
      </c>
      <c r="H76" s="1"/>
      <c r="I76" s="1" t="s">
        <v>37</v>
      </c>
      <c r="J76" s="1"/>
      <c r="K76" s="1">
        <v>4</v>
      </c>
      <c r="L76" s="1">
        <f t="shared" si="16"/>
        <v>0</v>
      </c>
      <c r="M76" s="1"/>
      <c r="N76" s="1"/>
      <c r="O76" s="1">
        <v>0</v>
      </c>
      <c r="P76" s="1">
        <v>0</v>
      </c>
      <c r="Q76" s="1">
        <f t="shared" si="17"/>
        <v>0.8</v>
      </c>
      <c r="R76" s="5"/>
      <c r="S76" s="5">
        <f t="shared" si="19"/>
        <v>0</v>
      </c>
      <c r="T76" s="1">
        <f t="shared" si="20"/>
        <v>35</v>
      </c>
      <c r="U76" s="1">
        <f t="shared" si="18"/>
        <v>35</v>
      </c>
      <c r="V76" s="1">
        <v>0</v>
      </c>
      <c r="W76" s="1">
        <v>0.6</v>
      </c>
      <c r="X76" s="1">
        <v>1.4</v>
      </c>
      <c r="Y76" s="1">
        <v>2</v>
      </c>
      <c r="Z76" s="1">
        <v>2</v>
      </c>
      <c r="AA76" s="1">
        <v>1.6</v>
      </c>
      <c r="AB76" s="1">
        <v>0.4</v>
      </c>
      <c r="AC76" s="1">
        <v>0.2</v>
      </c>
      <c r="AD76" s="1">
        <v>0.4</v>
      </c>
      <c r="AE76" s="1">
        <v>0</v>
      </c>
      <c r="AF76" s="1"/>
      <c r="AG76" s="1">
        <f t="shared" si="21"/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115</v>
      </c>
      <c r="B77" s="1" t="s">
        <v>41</v>
      </c>
      <c r="C77" s="1">
        <v>-36</v>
      </c>
      <c r="D77" s="1">
        <v>219</v>
      </c>
      <c r="E77" s="1">
        <v>60</v>
      </c>
      <c r="F77" s="1">
        <v>120</v>
      </c>
      <c r="G77" s="7">
        <v>0.6</v>
      </c>
      <c r="H77" s="1">
        <v>70</v>
      </c>
      <c r="I77" s="1" t="s">
        <v>37</v>
      </c>
      <c r="J77" s="1"/>
      <c r="K77" s="1">
        <v>63</v>
      </c>
      <c r="L77" s="1">
        <f t="shared" si="16"/>
        <v>-3</v>
      </c>
      <c r="M77" s="1"/>
      <c r="N77" s="1"/>
      <c r="O77" s="1">
        <v>0</v>
      </c>
      <c r="P77" s="1">
        <v>0</v>
      </c>
      <c r="Q77" s="1">
        <f t="shared" si="17"/>
        <v>12</v>
      </c>
      <c r="R77" s="5">
        <f t="shared" si="14"/>
        <v>24</v>
      </c>
      <c r="S77" s="5">
        <f t="shared" si="19"/>
        <v>24</v>
      </c>
      <c r="T77" s="1">
        <f t="shared" si="20"/>
        <v>12</v>
      </c>
      <c r="U77" s="1">
        <f t="shared" si="18"/>
        <v>10</v>
      </c>
      <c r="V77" s="1">
        <v>7.8</v>
      </c>
      <c r="W77" s="1">
        <v>4.2</v>
      </c>
      <c r="X77" s="1">
        <v>10.4</v>
      </c>
      <c r="Y77" s="1">
        <v>17.399999999999999</v>
      </c>
      <c r="Z77" s="1">
        <v>8.1999999999999993</v>
      </c>
      <c r="AA77" s="1">
        <v>1.8</v>
      </c>
      <c r="AB77" s="1">
        <v>1.2</v>
      </c>
      <c r="AC77" s="1">
        <v>4.2</v>
      </c>
      <c r="AD77" s="1">
        <v>7</v>
      </c>
      <c r="AE77" s="1">
        <v>7.6</v>
      </c>
      <c r="AF77" s="1" t="s">
        <v>116</v>
      </c>
      <c r="AG77" s="1">
        <f t="shared" si="21"/>
        <v>14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117</v>
      </c>
      <c r="B78" s="1" t="s">
        <v>41</v>
      </c>
      <c r="C78" s="1">
        <v>58</v>
      </c>
      <c r="D78" s="1">
        <v>96</v>
      </c>
      <c r="E78" s="1">
        <v>23</v>
      </c>
      <c r="F78" s="1">
        <v>131</v>
      </c>
      <c r="G78" s="7">
        <v>0.33</v>
      </c>
      <c r="H78" s="1">
        <v>40</v>
      </c>
      <c r="I78" s="1" t="s">
        <v>37</v>
      </c>
      <c r="J78" s="1"/>
      <c r="K78" s="1">
        <v>23</v>
      </c>
      <c r="L78" s="1">
        <f t="shared" si="16"/>
        <v>0</v>
      </c>
      <c r="M78" s="1"/>
      <c r="N78" s="1"/>
      <c r="O78" s="1">
        <v>0</v>
      </c>
      <c r="P78" s="1">
        <v>0</v>
      </c>
      <c r="Q78" s="1">
        <f t="shared" si="17"/>
        <v>4.5999999999999996</v>
      </c>
      <c r="R78" s="5"/>
      <c r="S78" s="5">
        <f t="shared" si="19"/>
        <v>0</v>
      </c>
      <c r="T78" s="1">
        <f t="shared" si="20"/>
        <v>28.478260869565219</v>
      </c>
      <c r="U78" s="1">
        <f t="shared" si="18"/>
        <v>28.478260869565219</v>
      </c>
      <c r="V78" s="1">
        <v>5.2</v>
      </c>
      <c r="W78" s="1">
        <v>4</v>
      </c>
      <c r="X78" s="1">
        <v>3.6</v>
      </c>
      <c r="Y78" s="1">
        <v>3.6</v>
      </c>
      <c r="Z78" s="1">
        <v>2.4</v>
      </c>
      <c r="AA78" s="1">
        <v>8.4</v>
      </c>
      <c r="AB78" s="1">
        <v>9.6</v>
      </c>
      <c r="AC78" s="1">
        <v>3.6</v>
      </c>
      <c r="AD78" s="1">
        <v>0</v>
      </c>
      <c r="AE78" s="1">
        <v>-0.6</v>
      </c>
      <c r="AF78" s="15" t="s">
        <v>54</v>
      </c>
      <c r="AG78" s="1">
        <f t="shared" si="21"/>
        <v>0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118</v>
      </c>
      <c r="B79" s="1" t="s">
        <v>41</v>
      </c>
      <c r="C79" s="1">
        <v>28</v>
      </c>
      <c r="D79" s="1"/>
      <c r="E79" s="1">
        <v>2</v>
      </c>
      <c r="F79" s="1">
        <v>26</v>
      </c>
      <c r="G79" s="7">
        <v>0.4</v>
      </c>
      <c r="H79" s="1">
        <v>55</v>
      </c>
      <c r="I79" s="1" t="s">
        <v>37</v>
      </c>
      <c r="J79" s="1"/>
      <c r="K79" s="1">
        <v>2</v>
      </c>
      <c r="L79" s="1">
        <f t="shared" si="16"/>
        <v>0</v>
      </c>
      <c r="M79" s="1"/>
      <c r="N79" s="1"/>
      <c r="O79" s="1">
        <v>0</v>
      </c>
      <c r="P79" s="1">
        <v>0</v>
      </c>
      <c r="Q79" s="1">
        <f t="shared" si="17"/>
        <v>0.4</v>
      </c>
      <c r="R79" s="5"/>
      <c r="S79" s="5">
        <f t="shared" si="19"/>
        <v>0</v>
      </c>
      <c r="T79" s="1">
        <f t="shared" si="20"/>
        <v>65</v>
      </c>
      <c r="U79" s="1">
        <f t="shared" si="18"/>
        <v>65</v>
      </c>
      <c r="V79" s="1">
        <v>0.8</v>
      </c>
      <c r="W79" s="1">
        <v>0.8</v>
      </c>
      <c r="X79" s="1">
        <v>0.8</v>
      </c>
      <c r="Y79" s="1">
        <v>1.4</v>
      </c>
      <c r="Z79" s="1">
        <v>1.4</v>
      </c>
      <c r="AA79" s="1">
        <v>0.8</v>
      </c>
      <c r="AB79" s="1">
        <v>0.2</v>
      </c>
      <c r="AC79" s="1">
        <v>2</v>
      </c>
      <c r="AD79" s="1">
        <v>2.2000000000000002</v>
      </c>
      <c r="AE79" s="1">
        <v>0.6</v>
      </c>
      <c r="AF79" s="15" t="s">
        <v>54</v>
      </c>
      <c r="AG79" s="1">
        <f t="shared" si="21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119</v>
      </c>
      <c r="B80" s="1" t="s">
        <v>41</v>
      </c>
      <c r="C80" s="1">
        <v>-1</v>
      </c>
      <c r="D80" s="1">
        <v>105</v>
      </c>
      <c r="E80" s="1">
        <v>2</v>
      </c>
      <c r="F80" s="1">
        <v>97</v>
      </c>
      <c r="G80" s="7">
        <v>0.35</v>
      </c>
      <c r="H80" s="1">
        <v>40</v>
      </c>
      <c r="I80" s="1" t="s">
        <v>37</v>
      </c>
      <c r="J80" s="1"/>
      <c r="K80" s="1">
        <v>9</v>
      </c>
      <c r="L80" s="1">
        <f t="shared" si="16"/>
        <v>-7</v>
      </c>
      <c r="M80" s="1"/>
      <c r="N80" s="1"/>
      <c r="O80" s="1">
        <v>0</v>
      </c>
      <c r="P80" s="1">
        <v>0</v>
      </c>
      <c r="Q80" s="1">
        <f t="shared" si="17"/>
        <v>0.4</v>
      </c>
      <c r="R80" s="5"/>
      <c r="S80" s="5">
        <f t="shared" si="19"/>
        <v>0</v>
      </c>
      <c r="T80" s="1">
        <f t="shared" si="20"/>
        <v>242.5</v>
      </c>
      <c r="U80" s="1">
        <f t="shared" si="18"/>
        <v>242.5</v>
      </c>
      <c r="V80" s="1">
        <v>0.6</v>
      </c>
      <c r="W80" s="1">
        <v>0</v>
      </c>
      <c r="X80" s="1">
        <v>0.6</v>
      </c>
      <c r="Y80" s="1">
        <v>4.2</v>
      </c>
      <c r="Z80" s="1">
        <v>5.4</v>
      </c>
      <c r="AA80" s="1">
        <v>2.8</v>
      </c>
      <c r="AB80" s="1">
        <v>0.4</v>
      </c>
      <c r="AC80" s="1">
        <v>0.2</v>
      </c>
      <c r="AD80" s="1">
        <v>0.4</v>
      </c>
      <c r="AE80" s="1">
        <v>0.4</v>
      </c>
      <c r="AF80" s="1"/>
      <c r="AG80" s="1">
        <f t="shared" si="21"/>
        <v>0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120</v>
      </c>
      <c r="B81" s="1" t="s">
        <v>41</v>
      </c>
      <c r="C81" s="1"/>
      <c r="D81" s="1">
        <v>75</v>
      </c>
      <c r="E81" s="1">
        <v>7</v>
      </c>
      <c r="F81" s="1">
        <v>60</v>
      </c>
      <c r="G81" s="7">
        <v>0.35</v>
      </c>
      <c r="H81" s="1">
        <v>45</v>
      </c>
      <c r="I81" s="1" t="s">
        <v>37</v>
      </c>
      <c r="J81" s="1"/>
      <c r="K81" s="1">
        <v>10</v>
      </c>
      <c r="L81" s="1">
        <f t="shared" si="16"/>
        <v>-3</v>
      </c>
      <c r="M81" s="1"/>
      <c r="N81" s="1"/>
      <c r="O81" s="1">
        <v>0</v>
      </c>
      <c r="P81" s="1">
        <v>0</v>
      </c>
      <c r="Q81" s="1">
        <f t="shared" si="17"/>
        <v>1.4</v>
      </c>
      <c r="R81" s="5"/>
      <c r="S81" s="5">
        <f t="shared" si="19"/>
        <v>0</v>
      </c>
      <c r="T81" s="1">
        <f t="shared" si="20"/>
        <v>42.857142857142861</v>
      </c>
      <c r="U81" s="1">
        <f t="shared" si="18"/>
        <v>42.857142857142861</v>
      </c>
      <c r="V81" s="1">
        <v>1.4</v>
      </c>
      <c r="W81" s="1">
        <v>0.6</v>
      </c>
      <c r="X81" s="1">
        <v>0.8</v>
      </c>
      <c r="Y81" s="1">
        <v>3</v>
      </c>
      <c r="Z81" s="1">
        <v>3.6</v>
      </c>
      <c r="AA81" s="1">
        <v>2.6</v>
      </c>
      <c r="AB81" s="1">
        <v>2.8</v>
      </c>
      <c r="AC81" s="1">
        <v>2.2000000000000002</v>
      </c>
      <c r="AD81" s="1">
        <v>0</v>
      </c>
      <c r="AE81" s="1">
        <v>-0.4</v>
      </c>
      <c r="AF81" s="1"/>
      <c r="AG81" s="1">
        <f t="shared" si="21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0" t="s">
        <v>121</v>
      </c>
      <c r="B82" s="10" t="s">
        <v>41</v>
      </c>
      <c r="C82" s="10"/>
      <c r="D82" s="10"/>
      <c r="E82" s="10"/>
      <c r="F82" s="10"/>
      <c r="G82" s="11">
        <v>0</v>
      </c>
      <c r="H82" s="10"/>
      <c r="I82" s="10" t="s">
        <v>37</v>
      </c>
      <c r="J82" s="10"/>
      <c r="K82" s="10"/>
      <c r="L82" s="10">
        <f t="shared" si="16"/>
        <v>0</v>
      </c>
      <c r="M82" s="10"/>
      <c r="N82" s="10"/>
      <c r="O82" s="10">
        <v>0</v>
      </c>
      <c r="P82" s="10">
        <v>0</v>
      </c>
      <c r="Q82" s="10">
        <f t="shared" si="17"/>
        <v>0</v>
      </c>
      <c r="R82" s="12"/>
      <c r="S82" s="5">
        <f t="shared" si="19"/>
        <v>0</v>
      </c>
      <c r="T82" s="1" t="e">
        <f t="shared" si="20"/>
        <v>#DIV/0!</v>
      </c>
      <c r="U82" s="10" t="e">
        <f t="shared" si="18"/>
        <v>#DIV/0!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 t="s">
        <v>42</v>
      </c>
      <c r="AG82" s="1">
        <f t="shared" si="21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0" t="s">
        <v>122</v>
      </c>
      <c r="B83" s="10" t="s">
        <v>36</v>
      </c>
      <c r="C83" s="10"/>
      <c r="D83" s="10"/>
      <c r="E83" s="10"/>
      <c r="F83" s="10"/>
      <c r="G83" s="11">
        <v>0</v>
      </c>
      <c r="H83" s="10"/>
      <c r="I83" s="10" t="s">
        <v>37</v>
      </c>
      <c r="J83" s="10"/>
      <c r="K83" s="10"/>
      <c r="L83" s="10">
        <f t="shared" si="16"/>
        <v>0</v>
      </c>
      <c r="M83" s="10"/>
      <c r="N83" s="10"/>
      <c r="O83" s="10">
        <v>0</v>
      </c>
      <c r="P83" s="10">
        <v>0</v>
      </c>
      <c r="Q83" s="10">
        <f t="shared" si="17"/>
        <v>0</v>
      </c>
      <c r="R83" s="12"/>
      <c r="S83" s="5">
        <f t="shared" si="19"/>
        <v>0</v>
      </c>
      <c r="T83" s="1" t="e">
        <f t="shared" si="20"/>
        <v>#DIV/0!</v>
      </c>
      <c r="U83" s="10" t="e">
        <f t="shared" si="18"/>
        <v>#DIV/0!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 t="s">
        <v>42</v>
      </c>
      <c r="AG83" s="1">
        <f t="shared" si="21"/>
        <v>0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0" t="s">
        <v>123</v>
      </c>
      <c r="B84" s="10" t="s">
        <v>36</v>
      </c>
      <c r="C84" s="10"/>
      <c r="D84" s="10"/>
      <c r="E84" s="10"/>
      <c r="F84" s="10"/>
      <c r="G84" s="11">
        <v>0</v>
      </c>
      <c r="H84" s="10"/>
      <c r="I84" s="10" t="s">
        <v>37</v>
      </c>
      <c r="J84" s="10"/>
      <c r="K84" s="10"/>
      <c r="L84" s="10">
        <f t="shared" si="16"/>
        <v>0</v>
      </c>
      <c r="M84" s="10"/>
      <c r="N84" s="10"/>
      <c r="O84" s="10">
        <v>0</v>
      </c>
      <c r="P84" s="10">
        <v>0</v>
      </c>
      <c r="Q84" s="10">
        <f t="shared" si="17"/>
        <v>0</v>
      </c>
      <c r="R84" s="12"/>
      <c r="S84" s="5">
        <f t="shared" si="19"/>
        <v>0</v>
      </c>
      <c r="T84" s="1" t="e">
        <f t="shared" si="20"/>
        <v>#DIV/0!</v>
      </c>
      <c r="U84" s="10" t="e">
        <f t="shared" si="18"/>
        <v>#DIV/0!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 t="s">
        <v>42</v>
      </c>
      <c r="AG84" s="1">
        <f t="shared" si="21"/>
        <v>0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0" t="s">
        <v>124</v>
      </c>
      <c r="B85" s="10" t="s">
        <v>41</v>
      </c>
      <c r="C85" s="10">
        <v>-1</v>
      </c>
      <c r="D85" s="10"/>
      <c r="E85" s="10"/>
      <c r="F85" s="10">
        <v>-1</v>
      </c>
      <c r="G85" s="11">
        <v>0</v>
      </c>
      <c r="H85" s="10"/>
      <c r="I85" s="10" t="s">
        <v>57</v>
      </c>
      <c r="J85" s="10"/>
      <c r="K85" s="10"/>
      <c r="L85" s="10">
        <f t="shared" si="16"/>
        <v>0</v>
      </c>
      <c r="M85" s="10"/>
      <c r="N85" s="10"/>
      <c r="O85" s="10">
        <v>0</v>
      </c>
      <c r="P85" s="10">
        <v>0</v>
      </c>
      <c r="Q85" s="10">
        <f t="shared" si="17"/>
        <v>0</v>
      </c>
      <c r="R85" s="12"/>
      <c r="S85" s="5">
        <f t="shared" si="19"/>
        <v>0</v>
      </c>
      <c r="T85" s="1" t="e">
        <f t="shared" si="20"/>
        <v>#DIV/0!</v>
      </c>
      <c r="U85" s="10" t="e">
        <f t="shared" si="18"/>
        <v>#DIV/0!</v>
      </c>
      <c r="V85" s="10">
        <v>0</v>
      </c>
      <c r="W85" s="10">
        <v>0</v>
      </c>
      <c r="X85" s="10">
        <v>0.2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/>
      <c r="AG85" s="1">
        <f t="shared" si="21"/>
        <v>0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125</v>
      </c>
      <c r="B86" s="1" t="s">
        <v>36</v>
      </c>
      <c r="C86" s="1">
        <v>66.528000000000006</v>
      </c>
      <c r="D86" s="1">
        <v>318.70100000000002</v>
      </c>
      <c r="E86" s="1">
        <v>152.80099999999999</v>
      </c>
      <c r="F86" s="1">
        <v>219.19900000000001</v>
      </c>
      <c r="G86" s="7">
        <v>1</v>
      </c>
      <c r="H86" s="1">
        <v>60</v>
      </c>
      <c r="I86" s="1" t="s">
        <v>37</v>
      </c>
      <c r="J86" s="1"/>
      <c r="K86" s="1">
        <v>155.30000000000001</v>
      </c>
      <c r="L86" s="1">
        <f t="shared" si="16"/>
        <v>-2.4990000000000236</v>
      </c>
      <c r="M86" s="1"/>
      <c r="N86" s="1"/>
      <c r="O86" s="1">
        <v>0</v>
      </c>
      <c r="P86" s="1">
        <v>0</v>
      </c>
      <c r="Q86" s="1">
        <f t="shared" si="17"/>
        <v>30.560199999999998</v>
      </c>
      <c r="R86" s="5">
        <f>12*Q86-P86-O86-F86</f>
        <v>147.52339999999998</v>
      </c>
      <c r="S86" s="5">
        <f>R86+Q86*$S$1</f>
        <v>184.19563999999997</v>
      </c>
      <c r="T86" s="1">
        <f t="shared" si="20"/>
        <v>13.2</v>
      </c>
      <c r="U86" s="1">
        <f t="shared" si="18"/>
        <v>7.1726952048743149</v>
      </c>
      <c r="V86" s="1">
        <v>21.4468</v>
      </c>
      <c r="W86" s="1">
        <v>14.8124</v>
      </c>
      <c r="X86" s="1">
        <v>18.060600000000001</v>
      </c>
      <c r="Y86" s="1">
        <v>28.770600000000002</v>
      </c>
      <c r="Z86" s="1">
        <v>23.8322</v>
      </c>
      <c r="AA86" s="1">
        <v>20.955400000000001</v>
      </c>
      <c r="AB86" s="1">
        <v>14.3246</v>
      </c>
      <c r="AC86" s="1">
        <v>2.42</v>
      </c>
      <c r="AD86" s="1">
        <v>12.898199999999999</v>
      </c>
      <c r="AE86" s="1">
        <v>19.516999999999999</v>
      </c>
      <c r="AF86" s="1"/>
      <c r="AG86" s="1">
        <f t="shared" si="21"/>
        <v>184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0" t="s">
        <v>126</v>
      </c>
      <c r="B87" s="10" t="s">
        <v>41</v>
      </c>
      <c r="C87" s="10"/>
      <c r="D87" s="10"/>
      <c r="E87" s="10"/>
      <c r="F87" s="10"/>
      <c r="G87" s="11">
        <v>0</v>
      </c>
      <c r="H87" s="10"/>
      <c r="I87" s="10" t="s">
        <v>37</v>
      </c>
      <c r="J87" s="10"/>
      <c r="K87" s="10"/>
      <c r="L87" s="10">
        <f t="shared" si="16"/>
        <v>0</v>
      </c>
      <c r="M87" s="10"/>
      <c r="N87" s="10"/>
      <c r="O87" s="10">
        <v>0</v>
      </c>
      <c r="P87" s="10">
        <v>0</v>
      </c>
      <c r="Q87" s="10">
        <f t="shared" si="17"/>
        <v>0</v>
      </c>
      <c r="R87" s="12"/>
      <c r="S87" s="5">
        <f t="shared" si="19"/>
        <v>0</v>
      </c>
      <c r="T87" s="1" t="e">
        <f t="shared" si="20"/>
        <v>#DIV/0!</v>
      </c>
      <c r="U87" s="10" t="e">
        <f t="shared" si="18"/>
        <v>#DIV/0!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 t="s">
        <v>42</v>
      </c>
      <c r="AG87" s="1">
        <f t="shared" si="21"/>
        <v>0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127</v>
      </c>
      <c r="B88" s="1" t="s">
        <v>36</v>
      </c>
      <c r="C88" s="1">
        <v>-6.2530000000000001</v>
      </c>
      <c r="D88" s="1">
        <v>1241.039</v>
      </c>
      <c r="E88" s="1">
        <v>472.37700000000001</v>
      </c>
      <c r="F88" s="1">
        <v>709.67499999999995</v>
      </c>
      <c r="G88" s="7">
        <v>1</v>
      </c>
      <c r="H88" s="1">
        <v>60</v>
      </c>
      <c r="I88" s="1" t="s">
        <v>37</v>
      </c>
      <c r="J88" s="1"/>
      <c r="K88" s="1">
        <v>522.5</v>
      </c>
      <c r="L88" s="1">
        <f t="shared" si="16"/>
        <v>-50.12299999999999</v>
      </c>
      <c r="M88" s="1"/>
      <c r="N88" s="1"/>
      <c r="O88" s="1">
        <v>20.616889399275578</v>
      </c>
      <c r="P88" s="1">
        <v>197.7568306007245</v>
      </c>
      <c r="Q88" s="1">
        <f t="shared" si="17"/>
        <v>94.475400000000008</v>
      </c>
      <c r="R88" s="5">
        <f t="shared" ref="R88:R90" si="22">12*Q88-P88-O88-F88</f>
        <v>205.65607999999997</v>
      </c>
      <c r="S88" s="5">
        <f t="shared" ref="S88:S90" si="23">R88+Q88*$S$1</f>
        <v>319.02655999999996</v>
      </c>
      <c r="T88" s="1">
        <f t="shared" si="20"/>
        <v>13.2</v>
      </c>
      <c r="U88" s="1">
        <f t="shared" si="18"/>
        <v>9.8231785205460884</v>
      </c>
      <c r="V88" s="1">
        <v>91.435000000000002</v>
      </c>
      <c r="W88" s="1">
        <v>105.745</v>
      </c>
      <c r="X88" s="1">
        <v>102.8342</v>
      </c>
      <c r="Y88" s="1">
        <v>93.611000000000004</v>
      </c>
      <c r="Z88" s="1">
        <v>73.753999999999991</v>
      </c>
      <c r="AA88" s="1">
        <v>82.291200000000003</v>
      </c>
      <c r="AB88" s="1">
        <v>76.831199999999995</v>
      </c>
      <c r="AC88" s="1">
        <v>111.5638</v>
      </c>
      <c r="AD88" s="1">
        <v>119.0112</v>
      </c>
      <c r="AE88" s="1">
        <v>67.967799999999997</v>
      </c>
      <c r="AF88" s="1"/>
      <c r="AG88" s="1">
        <f t="shared" si="21"/>
        <v>319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128</v>
      </c>
      <c r="B89" s="1" t="s">
        <v>36</v>
      </c>
      <c r="C89" s="1">
        <v>4.4640000000000004</v>
      </c>
      <c r="D89" s="1">
        <v>1133.8779999999999</v>
      </c>
      <c r="E89" s="1">
        <v>477.60399999999998</v>
      </c>
      <c r="F89" s="1">
        <v>616.33399999999995</v>
      </c>
      <c r="G89" s="7">
        <v>1</v>
      </c>
      <c r="H89" s="1">
        <v>60</v>
      </c>
      <c r="I89" s="1" t="s">
        <v>37</v>
      </c>
      <c r="J89" s="1"/>
      <c r="K89" s="1">
        <v>512.5</v>
      </c>
      <c r="L89" s="1">
        <f t="shared" si="16"/>
        <v>-34.896000000000015</v>
      </c>
      <c r="M89" s="1"/>
      <c r="N89" s="1"/>
      <c r="O89" s="1">
        <v>0</v>
      </c>
      <c r="P89" s="1">
        <v>247.19112000000001</v>
      </c>
      <c r="Q89" s="1">
        <f t="shared" si="17"/>
        <v>95.520799999999994</v>
      </c>
      <c r="R89" s="5">
        <f t="shared" si="22"/>
        <v>282.72447999999997</v>
      </c>
      <c r="S89" s="5">
        <f t="shared" si="23"/>
        <v>397.34943999999996</v>
      </c>
      <c r="T89" s="1">
        <f t="shared" si="20"/>
        <v>13.200000000000001</v>
      </c>
      <c r="U89" s="1">
        <f t="shared" si="18"/>
        <v>9.0401788929740956</v>
      </c>
      <c r="V89" s="1">
        <v>79.786199999999994</v>
      </c>
      <c r="W89" s="1">
        <v>76.117800000000003</v>
      </c>
      <c r="X89" s="1">
        <v>90.596199999999996</v>
      </c>
      <c r="Y89" s="1">
        <v>90.205799999999996</v>
      </c>
      <c r="Z89" s="1">
        <v>76.264800000000008</v>
      </c>
      <c r="AA89" s="1">
        <v>80.529399999999995</v>
      </c>
      <c r="AB89" s="1">
        <v>76.1738</v>
      </c>
      <c r="AC89" s="1">
        <v>98.932400000000001</v>
      </c>
      <c r="AD89" s="1">
        <v>67.966399999999993</v>
      </c>
      <c r="AE89" s="1">
        <v>26.086600000000001</v>
      </c>
      <c r="AF89" s="1"/>
      <c r="AG89" s="1">
        <f t="shared" si="21"/>
        <v>397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58</v>
      </c>
      <c r="B90" s="1" t="s">
        <v>36</v>
      </c>
      <c r="C90" s="1">
        <v>99.304000000000002</v>
      </c>
      <c r="D90" s="1">
        <v>1357.9490000000001</v>
      </c>
      <c r="E90" s="1">
        <v>899.97799999999995</v>
      </c>
      <c r="F90" s="13">
        <f>486.588+F21</f>
        <v>484.09000000000003</v>
      </c>
      <c r="G90" s="7">
        <v>1</v>
      </c>
      <c r="H90" s="1">
        <v>60</v>
      </c>
      <c r="I90" s="1" t="s">
        <v>37</v>
      </c>
      <c r="J90" s="1"/>
      <c r="K90" s="1">
        <v>950.5</v>
      </c>
      <c r="L90" s="1">
        <f t="shared" si="16"/>
        <v>-50.522000000000048</v>
      </c>
      <c r="M90" s="1"/>
      <c r="N90" s="1"/>
      <c r="O90" s="1">
        <v>337.30391999999978</v>
      </c>
      <c r="P90" s="1">
        <v>696.99588000000017</v>
      </c>
      <c r="Q90" s="1">
        <f t="shared" si="17"/>
        <v>179.9956</v>
      </c>
      <c r="R90" s="5">
        <f t="shared" si="22"/>
        <v>641.55740000000003</v>
      </c>
      <c r="S90" s="5">
        <f t="shared" si="23"/>
        <v>857.55212000000006</v>
      </c>
      <c r="T90" s="1">
        <f t="shared" si="20"/>
        <v>13.200000000000001</v>
      </c>
      <c r="U90" s="1">
        <f t="shared" si="18"/>
        <v>8.435705095013434</v>
      </c>
      <c r="V90" s="1">
        <v>157.6524</v>
      </c>
      <c r="W90" s="1">
        <v>153.97900000000001</v>
      </c>
      <c r="X90" s="1">
        <v>126.3644</v>
      </c>
      <c r="Y90" s="1">
        <v>133.12180000000001</v>
      </c>
      <c r="Z90" s="1">
        <v>160.41480000000001</v>
      </c>
      <c r="AA90" s="1">
        <v>168.05799999999999</v>
      </c>
      <c r="AB90" s="1">
        <v>164.81059999999999</v>
      </c>
      <c r="AC90" s="1">
        <v>136.1634</v>
      </c>
      <c r="AD90" s="1">
        <v>154.62280000000001</v>
      </c>
      <c r="AE90" s="1">
        <v>109.41240000000001</v>
      </c>
      <c r="AF90" s="1"/>
      <c r="AG90" s="1">
        <f t="shared" si="21"/>
        <v>858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0" t="s">
        <v>129</v>
      </c>
      <c r="B91" s="10" t="s">
        <v>36</v>
      </c>
      <c r="C91" s="10"/>
      <c r="D91" s="10"/>
      <c r="E91" s="10"/>
      <c r="F91" s="10"/>
      <c r="G91" s="11">
        <v>0</v>
      </c>
      <c r="H91" s="10"/>
      <c r="I91" s="10" t="s">
        <v>37</v>
      </c>
      <c r="J91" s="10"/>
      <c r="K91" s="10"/>
      <c r="L91" s="10">
        <f t="shared" si="16"/>
        <v>0</v>
      </c>
      <c r="M91" s="10"/>
      <c r="N91" s="10"/>
      <c r="O91" s="10">
        <v>0</v>
      </c>
      <c r="P91" s="10">
        <v>0</v>
      </c>
      <c r="Q91" s="10">
        <f t="shared" si="17"/>
        <v>0</v>
      </c>
      <c r="R91" s="12"/>
      <c r="S91" s="5">
        <f t="shared" si="19"/>
        <v>0</v>
      </c>
      <c r="T91" s="1" t="e">
        <f t="shared" si="20"/>
        <v>#DIV/0!</v>
      </c>
      <c r="U91" s="10" t="e">
        <f t="shared" si="18"/>
        <v>#DIV/0!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 t="s">
        <v>42</v>
      </c>
      <c r="AG91" s="1">
        <f t="shared" si="21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130</v>
      </c>
      <c r="B92" s="1" t="s">
        <v>41</v>
      </c>
      <c r="C92" s="1">
        <v>110</v>
      </c>
      <c r="D92" s="1">
        <v>54</v>
      </c>
      <c r="E92" s="1">
        <v>44</v>
      </c>
      <c r="F92" s="1">
        <v>117</v>
      </c>
      <c r="G92" s="7">
        <v>0.3</v>
      </c>
      <c r="H92" s="1">
        <v>40</v>
      </c>
      <c r="I92" s="1" t="s">
        <v>37</v>
      </c>
      <c r="J92" s="1"/>
      <c r="K92" s="1">
        <v>45</v>
      </c>
      <c r="L92" s="1">
        <f t="shared" si="16"/>
        <v>-1</v>
      </c>
      <c r="M92" s="1"/>
      <c r="N92" s="1"/>
      <c r="O92" s="1">
        <v>0</v>
      </c>
      <c r="P92" s="1">
        <v>0</v>
      </c>
      <c r="Q92" s="1">
        <f t="shared" si="17"/>
        <v>8.8000000000000007</v>
      </c>
      <c r="R92" s="5"/>
      <c r="S92" s="5">
        <f t="shared" si="19"/>
        <v>0</v>
      </c>
      <c r="T92" s="1">
        <f t="shared" si="20"/>
        <v>13.295454545454545</v>
      </c>
      <c r="U92" s="1">
        <f t="shared" si="18"/>
        <v>13.295454545454545</v>
      </c>
      <c r="V92" s="1">
        <v>6.8</v>
      </c>
      <c r="W92" s="1">
        <v>8</v>
      </c>
      <c r="X92" s="1">
        <v>4.8</v>
      </c>
      <c r="Y92" s="1">
        <v>1.2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4" t="s">
        <v>63</v>
      </c>
      <c r="AG92" s="1">
        <f t="shared" si="21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0" t="s">
        <v>131</v>
      </c>
      <c r="B93" s="10" t="s">
        <v>41</v>
      </c>
      <c r="C93" s="10"/>
      <c r="D93" s="10"/>
      <c r="E93" s="10"/>
      <c r="F93" s="10"/>
      <c r="G93" s="11">
        <v>0</v>
      </c>
      <c r="H93" s="10"/>
      <c r="I93" s="10" t="s">
        <v>47</v>
      </c>
      <c r="J93" s="10"/>
      <c r="K93" s="10"/>
      <c r="L93" s="10">
        <f t="shared" si="16"/>
        <v>0</v>
      </c>
      <c r="M93" s="10"/>
      <c r="N93" s="10"/>
      <c r="O93" s="10">
        <v>0</v>
      </c>
      <c r="P93" s="10">
        <v>0</v>
      </c>
      <c r="Q93" s="10">
        <f t="shared" si="17"/>
        <v>0</v>
      </c>
      <c r="R93" s="12"/>
      <c r="S93" s="5">
        <f t="shared" si="19"/>
        <v>0</v>
      </c>
      <c r="T93" s="1" t="e">
        <f t="shared" si="20"/>
        <v>#DIV/0!</v>
      </c>
      <c r="U93" s="10" t="e">
        <f t="shared" si="18"/>
        <v>#DIV/0!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 t="s">
        <v>42</v>
      </c>
      <c r="AG93" s="1">
        <f t="shared" si="21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132</v>
      </c>
      <c r="B94" s="1" t="s">
        <v>41</v>
      </c>
      <c r="C94" s="1">
        <v>127</v>
      </c>
      <c r="D94" s="1">
        <v>93</v>
      </c>
      <c r="E94" s="1">
        <v>15</v>
      </c>
      <c r="F94" s="1">
        <v>199</v>
      </c>
      <c r="G94" s="7">
        <v>7.0000000000000007E-2</v>
      </c>
      <c r="H94" s="1">
        <v>90</v>
      </c>
      <c r="I94" s="1" t="s">
        <v>37</v>
      </c>
      <c r="J94" s="1"/>
      <c r="K94" s="1">
        <v>19</v>
      </c>
      <c r="L94" s="1">
        <f t="shared" si="16"/>
        <v>-4</v>
      </c>
      <c r="M94" s="1"/>
      <c r="N94" s="1"/>
      <c r="O94" s="1">
        <v>0</v>
      </c>
      <c r="P94" s="1">
        <v>0</v>
      </c>
      <c r="Q94" s="1">
        <f t="shared" si="17"/>
        <v>3</v>
      </c>
      <c r="R94" s="5"/>
      <c r="S94" s="5">
        <f t="shared" si="19"/>
        <v>0</v>
      </c>
      <c r="T94" s="1">
        <f t="shared" si="20"/>
        <v>66.333333333333329</v>
      </c>
      <c r="U94" s="1">
        <f t="shared" si="18"/>
        <v>66.333333333333329</v>
      </c>
      <c r="V94" s="1">
        <v>2.8</v>
      </c>
      <c r="W94" s="1">
        <v>3.4</v>
      </c>
      <c r="X94" s="1">
        <v>2</v>
      </c>
      <c r="Y94" s="1">
        <v>0.6</v>
      </c>
      <c r="Z94" s="1">
        <v>0.6</v>
      </c>
      <c r="AA94" s="1">
        <v>5.2</v>
      </c>
      <c r="AB94" s="1">
        <v>6</v>
      </c>
      <c r="AC94" s="1">
        <v>2</v>
      </c>
      <c r="AD94" s="1">
        <v>0.6</v>
      </c>
      <c r="AE94" s="1">
        <v>0</v>
      </c>
      <c r="AF94" s="15" t="s">
        <v>54</v>
      </c>
      <c r="AG94" s="1">
        <f t="shared" si="21"/>
        <v>0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133</v>
      </c>
      <c r="B95" s="1" t="s">
        <v>41</v>
      </c>
      <c r="C95" s="1">
        <v>64</v>
      </c>
      <c r="D95" s="1">
        <v>91</v>
      </c>
      <c r="E95" s="1">
        <v>24</v>
      </c>
      <c r="F95" s="1">
        <v>124</v>
      </c>
      <c r="G95" s="7">
        <v>7.0000000000000007E-2</v>
      </c>
      <c r="H95" s="1">
        <v>90</v>
      </c>
      <c r="I95" s="1" t="s">
        <v>37</v>
      </c>
      <c r="J95" s="1"/>
      <c r="K95" s="1">
        <v>27</v>
      </c>
      <c r="L95" s="1">
        <f t="shared" si="16"/>
        <v>-3</v>
      </c>
      <c r="M95" s="1"/>
      <c r="N95" s="1"/>
      <c r="O95" s="1">
        <v>0</v>
      </c>
      <c r="P95" s="1">
        <v>0</v>
      </c>
      <c r="Q95" s="1">
        <f t="shared" si="17"/>
        <v>4.8</v>
      </c>
      <c r="R95" s="5"/>
      <c r="S95" s="5">
        <f t="shared" si="19"/>
        <v>0</v>
      </c>
      <c r="T95" s="1">
        <f t="shared" si="20"/>
        <v>25.833333333333336</v>
      </c>
      <c r="U95" s="1">
        <f t="shared" si="18"/>
        <v>25.833333333333336</v>
      </c>
      <c r="V95" s="1">
        <v>4.4000000000000004</v>
      </c>
      <c r="W95" s="1">
        <v>4.8</v>
      </c>
      <c r="X95" s="1">
        <v>3.8</v>
      </c>
      <c r="Y95" s="1">
        <v>1</v>
      </c>
      <c r="Z95" s="1">
        <v>0</v>
      </c>
      <c r="AA95" s="1">
        <v>0</v>
      </c>
      <c r="AB95" s="1">
        <v>0</v>
      </c>
      <c r="AC95" s="1">
        <v>0.6</v>
      </c>
      <c r="AD95" s="1">
        <v>0.6</v>
      </c>
      <c r="AE95" s="1">
        <v>0</v>
      </c>
      <c r="AF95" s="15" t="s">
        <v>54</v>
      </c>
      <c r="AG95" s="1">
        <f t="shared" si="21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134</v>
      </c>
      <c r="B96" s="1" t="s">
        <v>41</v>
      </c>
      <c r="C96" s="1">
        <v>68</v>
      </c>
      <c r="D96" s="1">
        <v>111</v>
      </c>
      <c r="E96" s="1">
        <v>14</v>
      </c>
      <c r="F96" s="1">
        <v>160</v>
      </c>
      <c r="G96" s="7">
        <v>7.0000000000000007E-2</v>
      </c>
      <c r="H96" s="1">
        <v>90</v>
      </c>
      <c r="I96" s="1" t="s">
        <v>37</v>
      </c>
      <c r="J96" s="1"/>
      <c r="K96" s="1">
        <v>17</v>
      </c>
      <c r="L96" s="1">
        <f t="shared" si="16"/>
        <v>-3</v>
      </c>
      <c r="M96" s="1"/>
      <c r="N96" s="1"/>
      <c r="O96" s="1">
        <v>0</v>
      </c>
      <c r="P96" s="1">
        <v>0</v>
      </c>
      <c r="Q96" s="1">
        <f t="shared" si="17"/>
        <v>2.8</v>
      </c>
      <c r="R96" s="5"/>
      <c r="S96" s="5">
        <f t="shared" si="19"/>
        <v>0</v>
      </c>
      <c r="T96" s="1">
        <f t="shared" si="20"/>
        <v>57.142857142857146</v>
      </c>
      <c r="U96" s="1">
        <f t="shared" si="18"/>
        <v>57.142857142857146</v>
      </c>
      <c r="V96" s="1">
        <v>4</v>
      </c>
      <c r="W96" s="1">
        <v>4</v>
      </c>
      <c r="X96" s="1">
        <v>4</v>
      </c>
      <c r="Y96" s="1">
        <v>5</v>
      </c>
      <c r="Z96" s="1">
        <v>8.8000000000000007</v>
      </c>
      <c r="AA96" s="1">
        <v>11</v>
      </c>
      <c r="AB96" s="1">
        <v>5.6</v>
      </c>
      <c r="AC96" s="1">
        <v>3.8</v>
      </c>
      <c r="AD96" s="1">
        <v>2.6</v>
      </c>
      <c r="AE96" s="1">
        <v>0.8</v>
      </c>
      <c r="AF96" s="15" t="s">
        <v>54</v>
      </c>
      <c r="AG96" s="1">
        <f t="shared" si="21"/>
        <v>0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135</v>
      </c>
      <c r="B97" s="1" t="s">
        <v>41</v>
      </c>
      <c r="C97" s="1">
        <v>30</v>
      </c>
      <c r="D97" s="1">
        <v>18</v>
      </c>
      <c r="E97" s="1">
        <v>20</v>
      </c>
      <c r="F97" s="1">
        <v>26</v>
      </c>
      <c r="G97" s="7">
        <v>0.3</v>
      </c>
      <c r="H97" s="1"/>
      <c r="I97" s="1" t="s">
        <v>37</v>
      </c>
      <c r="J97" s="1"/>
      <c r="K97" s="1">
        <v>22</v>
      </c>
      <c r="L97" s="1">
        <f t="shared" si="16"/>
        <v>-2</v>
      </c>
      <c r="M97" s="1"/>
      <c r="N97" s="1"/>
      <c r="O97" s="1">
        <v>0</v>
      </c>
      <c r="P97" s="1">
        <v>0</v>
      </c>
      <c r="Q97" s="1">
        <f t="shared" si="17"/>
        <v>4</v>
      </c>
      <c r="R97" s="5">
        <f t="shared" ref="R97" si="24">12*Q97-P97-O97-F97</f>
        <v>22</v>
      </c>
      <c r="S97" s="5">
        <f t="shared" si="19"/>
        <v>22</v>
      </c>
      <c r="T97" s="1">
        <f t="shared" si="20"/>
        <v>12</v>
      </c>
      <c r="U97" s="1">
        <f t="shared" si="18"/>
        <v>6.5</v>
      </c>
      <c r="V97" s="1">
        <v>1.8</v>
      </c>
      <c r="W97" s="1">
        <v>2.4</v>
      </c>
      <c r="X97" s="1">
        <v>4.2</v>
      </c>
      <c r="Y97" s="1">
        <v>3.4</v>
      </c>
      <c r="Z97" s="1">
        <v>4</v>
      </c>
      <c r="AA97" s="1">
        <v>5.8</v>
      </c>
      <c r="AB97" s="1">
        <v>4.8</v>
      </c>
      <c r="AC97" s="1">
        <v>6</v>
      </c>
      <c r="AD97" s="1">
        <v>4</v>
      </c>
      <c r="AE97" s="1">
        <v>0</v>
      </c>
      <c r="AF97" s="1"/>
      <c r="AG97" s="1">
        <f t="shared" si="21"/>
        <v>7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136</v>
      </c>
      <c r="B98" s="1" t="s">
        <v>41</v>
      </c>
      <c r="C98" s="1">
        <v>65</v>
      </c>
      <c r="D98" s="1"/>
      <c r="E98" s="1"/>
      <c r="F98" s="1"/>
      <c r="G98" s="7">
        <v>0.11</v>
      </c>
      <c r="H98" s="1">
        <v>30</v>
      </c>
      <c r="I98" s="1" t="s">
        <v>37</v>
      </c>
      <c r="J98" s="1"/>
      <c r="K98" s="1"/>
      <c r="L98" s="1">
        <f t="shared" si="16"/>
        <v>0</v>
      </c>
      <c r="M98" s="1"/>
      <c r="N98" s="1"/>
      <c r="O98" s="1">
        <v>0</v>
      </c>
      <c r="P98" s="1">
        <v>0</v>
      </c>
      <c r="Q98" s="1">
        <f t="shared" si="17"/>
        <v>0</v>
      </c>
      <c r="R98" s="5">
        <v>15</v>
      </c>
      <c r="S98" s="5">
        <f t="shared" si="19"/>
        <v>15</v>
      </c>
      <c r="T98" s="1" t="e">
        <f t="shared" si="20"/>
        <v>#DIV/0!</v>
      </c>
      <c r="U98" s="1" t="e">
        <f t="shared" si="18"/>
        <v>#DIV/0!</v>
      </c>
      <c r="V98" s="1">
        <v>0</v>
      </c>
      <c r="W98" s="1">
        <v>-0.2</v>
      </c>
      <c r="X98" s="1">
        <v>-0.2</v>
      </c>
      <c r="Y98" s="1">
        <v>0.2</v>
      </c>
      <c r="Z98" s="1">
        <v>0.2</v>
      </c>
      <c r="AA98" s="1">
        <v>0.2</v>
      </c>
      <c r="AB98" s="1">
        <v>4.2</v>
      </c>
      <c r="AC98" s="1">
        <v>4</v>
      </c>
      <c r="AD98" s="1">
        <v>2</v>
      </c>
      <c r="AE98" s="1">
        <v>2</v>
      </c>
      <c r="AF98" s="16" t="s">
        <v>175</v>
      </c>
      <c r="AG98" s="1">
        <f t="shared" si="21"/>
        <v>2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0" t="s">
        <v>137</v>
      </c>
      <c r="B99" s="10" t="s">
        <v>41</v>
      </c>
      <c r="C99" s="10"/>
      <c r="D99" s="10"/>
      <c r="E99" s="10"/>
      <c r="F99" s="10"/>
      <c r="G99" s="11">
        <v>0</v>
      </c>
      <c r="H99" s="10"/>
      <c r="I99" s="10" t="s">
        <v>37</v>
      </c>
      <c r="J99" s="10"/>
      <c r="K99" s="10"/>
      <c r="L99" s="10">
        <f t="shared" si="16"/>
        <v>0</v>
      </c>
      <c r="M99" s="10"/>
      <c r="N99" s="10"/>
      <c r="O99" s="10">
        <v>0</v>
      </c>
      <c r="P99" s="10">
        <v>0</v>
      </c>
      <c r="Q99" s="10">
        <f t="shared" si="17"/>
        <v>0</v>
      </c>
      <c r="R99" s="12"/>
      <c r="S99" s="5">
        <f t="shared" si="19"/>
        <v>0</v>
      </c>
      <c r="T99" s="1" t="e">
        <f t="shared" si="20"/>
        <v>#DIV/0!</v>
      </c>
      <c r="U99" s="10" t="e">
        <f t="shared" si="18"/>
        <v>#DIV/0!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 t="s">
        <v>42</v>
      </c>
      <c r="AG99" s="1">
        <f t="shared" si="21"/>
        <v>0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138</v>
      </c>
      <c r="B100" s="1" t="s">
        <v>41</v>
      </c>
      <c r="C100" s="1">
        <v>11</v>
      </c>
      <c r="D100" s="1">
        <v>152</v>
      </c>
      <c r="E100" s="1">
        <v>27</v>
      </c>
      <c r="F100" s="1">
        <v>131</v>
      </c>
      <c r="G100" s="7">
        <v>0.08</v>
      </c>
      <c r="H100" s="1">
        <v>45</v>
      </c>
      <c r="I100" s="1" t="s">
        <v>37</v>
      </c>
      <c r="J100" s="1"/>
      <c r="K100" s="1">
        <v>32</v>
      </c>
      <c r="L100" s="1">
        <f t="shared" si="16"/>
        <v>-5</v>
      </c>
      <c r="M100" s="1"/>
      <c r="N100" s="1"/>
      <c r="O100" s="1">
        <v>0</v>
      </c>
      <c r="P100" s="1">
        <v>0</v>
      </c>
      <c r="Q100" s="1">
        <f t="shared" si="17"/>
        <v>5.4</v>
      </c>
      <c r="R100" s="5"/>
      <c r="S100" s="5">
        <f t="shared" si="19"/>
        <v>0</v>
      </c>
      <c r="T100" s="1">
        <f t="shared" si="20"/>
        <v>24.259259259259256</v>
      </c>
      <c r="U100" s="1">
        <f t="shared" si="18"/>
        <v>24.259259259259256</v>
      </c>
      <c r="V100" s="1">
        <v>9.4</v>
      </c>
      <c r="W100" s="1">
        <v>10.199999999999999</v>
      </c>
      <c r="X100" s="1">
        <v>7.8</v>
      </c>
      <c r="Y100" s="1">
        <v>11.2</v>
      </c>
      <c r="Z100" s="1">
        <v>11</v>
      </c>
      <c r="AA100" s="1">
        <v>8.1999999999999993</v>
      </c>
      <c r="AB100" s="1">
        <v>3.4</v>
      </c>
      <c r="AC100" s="1">
        <v>0</v>
      </c>
      <c r="AD100" s="1">
        <v>0</v>
      </c>
      <c r="AE100" s="1">
        <v>-0.2</v>
      </c>
      <c r="AF100" s="1"/>
      <c r="AG100" s="1">
        <f t="shared" si="21"/>
        <v>0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 t="s">
        <v>139</v>
      </c>
      <c r="B101" s="1" t="s">
        <v>41</v>
      </c>
      <c r="C101" s="1">
        <v>45</v>
      </c>
      <c r="D101" s="1">
        <v>110</v>
      </c>
      <c r="E101" s="1">
        <v>32</v>
      </c>
      <c r="F101" s="1">
        <v>117</v>
      </c>
      <c r="G101" s="7">
        <v>0.08</v>
      </c>
      <c r="H101" s="1">
        <v>45</v>
      </c>
      <c r="I101" s="1" t="s">
        <v>37</v>
      </c>
      <c r="J101" s="1"/>
      <c r="K101" s="1">
        <v>34</v>
      </c>
      <c r="L101" s="1">
        <f t="shared" si="16"/>
        <v>-2</v>
      </c>
      <c r="M101" s="1"/>
      <c r="N101" s="1"/>
      <c r="O101" s="1">
        <v>0</v>
      </c>
      <c r="P101" s="1">
        <v>0</v>
      </c>
      <c r="Q101" s="1">
        <f t="shared" si="17"/>
        <v>6.4</v>
      </c>
      <c r="R101" s="5"/>
      <c r="S101" s="5">
        <f t="shared" si="19"/>
        <v>0</v>
      </c>
      <c r="T101" s="1">
        <f t="shared" si="20"/>
        <v>18.28125</v>
      </c>
      <c r="U101" s="1">
        <f t="shared" si="18"/>
        <v>18.28125</v>
      </c>
      <c r="V101" s="1">
        <v>5.2</v>
      </c>
      <c r="W101" s="1">
        <v>4.5999999999999996</v>
      </c>
      <c r="X101" s="1">
        <v>1</v>
      </c>
      <c r="Y101" s="1">
        <v>0.4</v>
      </c>
      <c r="Z101" s="1">
        <v>8.1999999999999993</v>
      </c>
      <c r="AA101" s="1">
        <v>13.4</v>
      </c>
      <c r="AB101" s="1">
        <v>9.4</v>
      </c>
      <c r="AC101" s="1">
        <v>6.8</v>
      </c>
      <c r="AD101" s="1">
        <v>4</v>
      </c>
      <c r="AE101" s="1">
        <v>1</v>
      </c>
      <c r="AF101" s="15" t="s">
        <v>54</v>
      </c>
      <c r="AG101" s="1">
        <f t="shared" si="21"/>
        <v>0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140</v>
      </c>
      <c r="B102" s="1" t="s">
        <v>41</v>
      </c>
      <c r="C102" s="1">
        <v>16</v>
      </c>
      <c r="D102" s="1">
        <v>8</v>
      </c>
      <c r="E102" s="1">
        <v>2</v>
      </c>
      <c r="F102" s="1">
        <v>22</v>
      </c>
      <c r="G102" s="7">
        <v>0.17</v>
      </c>
      <c r="H102" s="1">
        <v>30</v>
      </c>
      <c r="I102" s="1" t="s">
        <v>37</v>
      </c>
      <c r="J102" s="1"/>
      <c r="K102" s="1">
        <v>22</v>
      </c>
      <c r="L102" s="1">
        <f t="shared" ref="L102:L130" si="25">E102-K102</f>
        <v>-20</v>
      </c>
      <c r="M102" s="1"/>
      <c r="N102" s="1"/>
      <c r="O102" s="1">
        <v>0</v>
      </c>
      <c r="P102" s="1">
        <v>0</v>
      </c>
      <c r="Q102" s="1">
        <f t="shared" ref="Q102:Q130" si="26">E102/5</f>
        <v>0.4</v>
      </c>
      <c r="R102" s="5"/>
      <c r="S102" s="5">
        <f t="shared" si="19"/>
        <v>0</v>
      </c>
      <c r="T102" s="1">
        <f t="shared" si="20"/>
        <v>55</v>
      </c>
      <c r="U102" s="1">
        <f t="shared" ref="U102:U130" si="27">(F102+O102+P102)/Q102</f>
        <v>55</v>
      </c>
      <c r="V102" s="1">
        <v>1.4</v>
      </c>
      <c r="W102" s="1">
        <v>1</v>
      </c>
      <c r="X102" s="1">
        <v>2</v>
      </c>
      <c r="Y102" s="1">
        <v>2.2000000000000002</v>
      </c>
      <c r="Z102" s="1">
        <v>2.2000000000000002</v>
      </c>
      <c r="AA102" s="1">
        <v>2</v>
      </c>
      <c r="AB102" s="1">
        <v>0</v>
      </c>
      <c r="AC102" s="1">
        <v>0</v>
      </c>
      <c r="AD102" s="1">
        <v>0</v>
      </c>
      <c r="AE102" s="1">
        <v>0</v>
      </c>
      <c r="AF102" s="15" t="s">
        <v>54</v>
      </c>
      <c r="AG102" s="1">
        <f t="shared" si="21"/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 t="s">
        <v>141</v>
      </c>
      <c r="B103" s="1" t="s">
        <v>36</v>
      </c>
      <c r="C103" s="1">
        <v>134.02000000000001</v>
      </c>
      <c r="D103" s="1">
        <v>106.20399999999999</v>
      </c>
      <c r="E103" s="1">
        <v>79.488</v>
      </c>
      <c r="F103" s="1">
        <v>145.46600000000001</v>
      </c>
      <c r="G103" s="7">
        <v>1</v>
      </c>
      <c r="H103" s="1">
        <v>40</v>
      </c>
      <c r="I103" s="1" t="s">
        <v>37</v>
      </c>
      <c r="J103" s="1"/>
      <c r="K103" s="1">
        <v>89.1</v>
      </c>
      <c r="L103" s="1">
        <f t="shared" si="25"/>
        <v>-9.6119999999999948</v>
      </c>
      <c r="M103" s="1"/>
      <c r="N103" s="1"/>
      <c r="O103" s="1">
        <v>0</v>
      </c>
      <c r="P103" s="1">
        <v>3.6404000000000001</v>
      </c>
      <c r="Q103" s="1">
        <f t="shared" si="26"/>
        <v>15.897600000000001</v>
      </c>
      <c r="R103" s="5">
        <f t="shared" ref="R103:R105" si="28">12*Q103-P103-O103-F103</f>
        <v>41.664800000000014</v>
      </c>
      <c r="S103" s="5">
        <f t="shared" si="19"/>
        <v>41.664800000000014</v>
      </c>
      <c r="T103" s="1">
        <f t="shared" si="20"/>
        <v>12.000000000000002</v>
      </c>
      <c r="U103" s="1">
        <f t="shared" si="27"/>
        <v>9.3791767310789051</v>
      </c>
      <c r="V103" s="1">
        <v>15.615399999999999</v>
      </c>
      <c r="W103" s="1">
        <v>15.5924</v>
      </c>
      <c r="X103" s="1">
        <v>11.635199999999999</v>
      </c>
      <c r="Y103" s="1">
        <v>5.8108000000000004</v>
      </c>
      <c r="Z103" s="1">
        <v>6.2143999999999986</v>
      </c>
      <c r="AA103" s="1">
        <v>6.7900000000000009</v>
      </c>
      <c r="AB103" s="1">
        <v>2.7458</v>
      </c>
      <c r="AC103" s="1">
        <v>0</v>
      </c>
      <c r="AD103" s="1">
        <v>0</v>
      </c>
      <c r="AE103" s="1">
        <v>0</v>
      </c>
      <c r="AF103" s="1"/>
      <c r="AG103" s="1">
        <f t="shared" si="21"/>
        <v>42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 t="s">
        <v>142</v>
      </c>
      <c r="B104" s="1" t="s">
        <v>36</v>
      </c>
      <c r="C104" s="1">
        <v>29.28</v>
      </c>
      <c r="D104" s="1">
        <v>194.61500000000001</v>
      </c>
      <c r="E104" s="1">
        <v>58.05</v>
      </c>
      <c r="F104" s="1">
        <v>152.18100000000001</v>
      </c>
      <c r="G104" s="7">
        <v>1</v>
      </c>
      <c r="H104" s="1">
        <v>40</v>
      </c>
      <c r="I104" s="1" t="s">
        <v>37</v>
      </c>
      <c r="J104" s="1"/>
      <c r="K104" s="1">
        <v>61.7</v>
      </c>
      <c r="L104" s="1">
        <f t="shared" si="25"/>
        <v>-3.6500000000000057</v>
      </c>
      <c r="M104" s="1"/>
      <c r="N104" s="1"/>
      <c r="O104" s="1">
        <v>0</v>
      </c>
      <c r="P104" s="1">
        <v>0</v>
      </c>
      <c r="Q104" s="1">
        <f t="shared" si="26"/>
        <v>11.61</v>
      </c>
      <c r="R104" s="5"/>
      <c r="S104" s="5">
        <f t="shared" si="19"/>
        <v>0</v>
      </c>
      <c r="T104" s="1">
        <f t="shared" si="20"/>
        <v>13.107751937984498</v>
      </c>
      <c r="U104" s="1">
        <f t="shared" si="27"/>
        <v>13.107751937984498</v>
      </c>
      <c r="V104" s="1">
        <v>11.327400000000001</v>
      </c>
      <c r="W104" s="1">
        <v>9.4464000000000006</v>
      </c>
      <c r="X104" s="1">
        <v>9.4197999999999986</v>
      </c>
      <c r="Y104" s="1">
        <v>15.959199999999999</v>
      </c>
      <c r="Z104" s="1">
        <v>17.477399999999999</v>
      </c>
      <c r="AA104" s="1">
        <v>11.980600000000001</v>
      </c>
      <c r="AB104" s="1">
        <v>12.179600000000001</v>
      </c>
      <c r="AC104" s="1">
        <v>7.9207999999999998</v>
      </c>
      <c r="AD104" s="1">
        <v>2.3073999999999999</v>
      </c>
      <c r="AE104" s="1">
        <v>0</v>
      </c>
      <c r="AF104" s="1"/>
      <c r="AG104" s="1">
        <f t="shared" si="21"/>
        <v>0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 t="s">
        <v>143</v>
      </c>
      <c r="B105" s="1" t="s">
        <v>36</v>
      </c>
      <c r="C105" s="1">
        <v>38.198</v>
      </c>
      <c r="D105" s="1">
        <v>114.95</v>
      </c>
      <c r="E105" s="1">
        <v>52.442</v>
      </c>
      <c r="F105" s="1">
        <v>94.927999999999997</v>
      </c>
      <c r="G105" s="7">
        <v>1</v>
      </c>
      <c r="H105" s="1">
        <v>40</v>
      </c>
      <c r="I105" s="9" t="s">
        <v>47</v>
      </c>
      <c r="J105" s="1"/>
      <c r="K105" s="1">
        <v>55.2</v>
      </c>
      <c r="L105" s="1">
        <f t="shared" si="25"/>
        <v>-2.7580000000000027</v>
      </c>
      <c r="M105" s="1"/>
      <c r="N105" s="1"/>
      <c r="O105" s="1">
        <v>0</v>
      </c>
      <c r="P105" s="1">
        <v>0</v>
      </c>
      <c r="Q105" s="1">
        <f t="shared" si="26"/>
        <v>10.4884</v>
      </c>
      <c r="R105" s="5">
        <f t="shared" si="28"/>
        <v>30.932800000000015</v>
      </c>
      <c r="S105" s="5">
        <f t="shared" si="19"/>
        <v>30.932800000000015</v>
      </c>
      <c r="T105" s="1">
        <f t="shared" si="20"/>
        <v>12</v>
      </c>
      <c r="U105" s="1">
        <f t="shared" si="27"/>
        <v>9.0507608405476514</v>
      </c>
      <c r="V105" s="1">
        <v>8.9873999999999992</v>
      </c>
      <c r="W105" s="1">
        <v>6.8426</v>
      </c>
      <c r="X105" s="1">
        <v>2.7746</v>
      </c>
      <c r="Y105" s="1">
        <v>0.99499999999999988</v>
      </c>
      <c r="Z105" s="1">
        <v>1.2778</v>
      </c>
      <c r="AA105" s="1">
        <v>0.2828</v>
      </c>
      <c r="AB105" s="1">
        <v>0</v>
      </c>
      <c r="AC105" s="1">
        <v>0</v>
      </c>
      <c r="AD105" s="1">
        <v>0</v>
      </c>
      <c r="AE105" s="1">
        <v>-0.14399999999999999</v>
      </c>
      <c r="AF105" s="1"/>
      <c r="AG105" s="1">
        <f t="shared" si="21"/>
        <v>31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0" t="s">
        <v>144</v>
      </c>
      <c r="B106" s="10" t="s">
        <v>41</v>
      </c>
      <c r="C106" s="10"/>
      <c r="D106" s="10"/>
      <c r="E106" s="10"/>
      <c r="F106" s="10"/>
      <c r="G106" s="11">
        <v>0</v>
      </c>
      <c r="H106" s="10"/>
      <c r="I106" s="10" t="s">
        <v>37</v>
      </c>
      <c r="J106" s="10"/>
      <c r="K106" s="10"/>
      <c r="L106" s="10">
        <f t="shared" si="25"/>
        <v>0</v>
      </c>
      <c r="M106" s="10"/>
      <c r="N106" s="10"/>
      <c r="O106" s="10">
        <v>0</v>
      </c>
      <c r="P106" s="10">
        <v>0</v>
      </c>
      <c r="Q106" s="10">
        <f t="shared" si="26"/>
        <v>0</v>
      </c>
      <c r="R106" s="12"/>
      <c r="S106" s="5">
        <f t="shared" si="19"/>
        <v>0</v>
      </c>
      <c r="T106" s="1" t="e">
        <f t="shared" si="20"/>
        <v>#DIV/0!</v>
      </c>
      <c r="U106" s="10" t="e">
        <f t="shared" si="27"/>
        <v>#DIV/0!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 t="s">
        <v>145</v>
      </c>
      <c r="AG106" s="1">
        <f t="shared" si="21"/>
        <v>0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 t="s">
        <v>146</v>
      </c>
      <c r="B107" s="1" t="s">
        <v>41</v>
      </c>
      <c r="C107" s="1">
        <v>6</v>
      </c>
      <c r="D107" s="1"/>
      <c r="E107" s="1">
        <v>7</v>
      </c>
      <c r="F107" s="1">
        <v>-1</v>
      </c>
      <c r="G107" s="7">
        <v>0.28000000000000003</v>
      </c>
      <c r="H107" s="1">
        <v>40</v>
      </c>
      <c r="I107" s="9" t="s">
        <v>47</v>
      </c>
      <c r="J107" s="1"/>
      <c r="K107" s="1">
        <v>20</v>
      </c>
      <c r="L107" s="1">
        <f t="shared" si="25"/>
        <v>-13</v>
      </c>
      <c r="M107" s="1"/>
      <c r="N107" s="1"/>
      <c r="O107" s="1">
        <v>16.599999999999991</v>
      </c>
      <c r="P107" s="1">
        <v>30</v>
      </c>
      <c r="Q107" s="1">
        <f t="shared" si="26"/>
        <v>1.4</v>
      </c>
      <c r="R107" s="5">
        <v>10</v>
      </c>
      <c r="S107" s="5">
        <f t="shared" si="19"/>
        <v>10</v>
      </c>
      <c r="T107" s="1">
        <f t="shared" si="20"/>
        <v>39.714285714285715</v>
      </c>
      <c r="U107" s="1">
        <f t="shared" si="27"/>
        <v>32.571428571428569</v>
      </c>
      <c r="V107" s="1">
        <v>3.6</v>
      </c>
      <c r="W107" s="1">
        <v>3.8</v>
      </c>
      <c r="X107" s="1">
        <v>1.6</v>
      </c>
      <c r="Y107" s="1">
        <v>0.4</v>
      </c>
      <c r="Z107" s="1">
        <v>13.6</v>
      </c>
      <c r="AA107" s="1">
        <v>14.8</v>
      </c>
      <c r="AB107" s="1">
        <v>1.4</v>
      </c>
      <c r="AC107" s="1">
        <v>0</v>
      </c>
      <c r="AD107" s="1">
        <v>0</v>
      </c>
      <c r="AE107" s="1">
        <v>-0.4</v>
      </c>
      <c r="AF107" s="1"/>
      <c r="AG107" s="1">
        <f t="shared" si="21"/>
        <v>3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147</v>
      </c>
      <c r="B108" s="1" t="s">
        <v>41</v>
      </c>
      <c r="C108" s="1">
        <v>86</v>
      </c>
      <c r="D108" s="1">
        <v>103</v>
      </c>
      <c r="E108" s="1">
        <v>63</v>
      </c>
      <c r="F108" s="1">
        <v>116</v>
      </c>
      <c r="G108" s="7">
        <v>0.28000000000000003</v>
      </c>
      <c r="H108" s="1">
        <v>40</v>
      </c>
      <c r="I108" s="9" t="s">
        <v>47</v>
      </c>
      <c r="J108" s="1"/>
      <c r="K108" s="1">
        <v>68</v>
      </c>
      <c r="L108" s="1">
        <f t="shared" si="25"/>
        <v>-5</v>
      </c>
      <c r="M108" s="1"/>
      <c r="N108" s="1"/>
      <c r="O108" s="1">
        <v>0</v>
      </c>
      <c r="P108" s="1">
        <v>0</v>
      </c>
      <c r="Q108" s="1">
        <f t="shared" si="26"/>
        <v>12.6</v>
      </c>
      <c r="R108" s="5">
        <f t="shared" ref="R108:R118" si="29">12*Q108-P108-O108-F108</f>
        <v>35.199999999999989</v>
      </c>
      <c r="S108" s="5">
        <f t="shared" si="19"/>
        <v>35.199999999999989</v>
      </c>
      <c r="T108" s="1">
        <f t="shared" si="20"/>
        <v>12</v>
      </c>
      <c r="U108" s="1">
        <f t="shared" si="27"/>
        <v>9.2063492063492074</v>
      </c>
      <c r="V108" s="1">
        <v>14</v>
      </c>
      <c r="W108" s="1">
        <v>13.6</v>
      </c>
      <c r="X108" s="1">
        <v>11.2</v>
      </c>
      <c r="Y108" s="1">
        <v>17.8</v>
      </c>
      <c r="Z108" s="1">
        <v>15</v>
      </c>
      <c r="AA108" s="1">
        <v>16.2</v>
      </c>
      <c r="AB108" s="1">
        <v>26</v>
      </c>
      <c r="AC108" s="1">
        <v>15.2</v>
      </c>
      <c r="AD108" s="1">
        <v>1.2</v>
      </c>
      <c r="AE108" s="1">
        <v>0</v>
      </c>
      <c r="AF108" s="1"/>
      <c r="AG108" s="1">
        <f t="shared" si="21"/>
        <v>10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148</v>
      </c>
      <c r="B109" s="1" t="s">
        <v>41</v>
      </c>
      <c r="C109" s="1">
        <v>87</v>
      </c>
      <c r="D109" s="1">
        <v>68</v>
      </c>
      <c r="E109" s="1">
        <v>27</v>
      </c>
      <c r="F109" s="1">
        <v>117</v>
      </c>
      <c r="G109" s="7">
        <v>0.28000000000000003</v>
      </c>
      <c r="H109" s="1">
        <v>40</v>
      </c>
      <c r="I109" s="9" t="s">
        <v>47</v>
      </c>
      <c r="J109" s="1"/>
      <c r="K109" s="1">
        <v>48</v>
      </c>
      <c r="L109" s="1">
        <f t="shared" si="25"/>
        <v>-21</v>
      </c>
      <c r="M109" s="1"/>
      <c r="N109" s="1"/>
      <c r="O109" s="1">
        <v>107.84</v>
      </c>
      <c r="P109" s="1">
        <v>0</v>
      </c>
      <c r="Q109" s="1">
        <f t="shared" si="26"/>
        <v>5.4</v>
      </c>
      <c r="R109" s="5"/>
      <c r="S109" s="5">
        <f t="shared" si="19"/>
        <v>0</v>
      </c>
      <c r="T109" s="1">
        <f t="shared" si="20"/>
        <v>41.637037037037032</v>
      </c>
      <c r="U109" s="1">
        <f t="shared" si="27"/>
        <v>41.637037037037032</v>
      </c>
      <c r="V109" s="1">
        <v>21.8</v>
      </c>
      <c r="W109" s="1">
        <v>23</v>
      </c>
      <c r="X109" s="1">
        <v>4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5" t="s">
        <v>54</v>
      </c>
      <c r="AG109" s="1">
        <f t="shared" si="21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 t="s">
        <v>149</v>
      </c>
      <c r="B110" s="1" t="s">
        <v>41</v>
      </c>
      <c r="C110" s="1">
        <v>-15</v>
      </c>
      <c r="D110" s="1">
        <v>30</v>
      </c>
      <c r="E110" s="1">
        <v>9</v>
      </c>
      <c r="F110" s="1"/>
      <c r="G110" s="7">
        <v>0.09</v>
      </c>
      <c r="H110" s="1">
        <v>45</v>
      </c>
      <c r="I110" s="1" t="s">
        <v>37</v>
      </c>
      <c r="J110" s="1"/>
      <c r="K110" s="1">
        <v>14</v>
      </c>
      <c r="L110" s="1">
        <f t="shared" si="25"/>
        <v>-5</v>
      </c>
      <c r="M110" s="1"/>
      <c r="N110" s="1"/>
      <c r="O110" s="1">
        <v>77.039999999999992</v>
      </c>
      <c r="P110" s="1">
        <v>38.760000000000019</v>
      </c>
      <c r="Q110" s="1">
        <f t="shared" si="26"/>
        <v>1.8</v>
      </c>
      <c r="R110" s="5"/>
      <c r="S110" s="5">
        <f t="shared" si="19"/>
        <v>0</v>
      </c>
      <c r="T110" s="1">
        <f t="shared" si="20"/>
        <v>64.333333333333343</v>
      </c>
      <c r="U110" s="1">
        <f t="shared" si="27"/>
        <v>64.333333333333343</v>
      </c>
      <c r="V110" s="1">
        <v>11.8</v>
      </c>
      <c r="W110" s="1">
        <v>13</v>
      </c>
      <c r="X110" s="1">
        <v>1.6</v>
      </c>
      <c r="Y110" s="1">
        <v>0.6</v>
      </c>
      <c r="Z110" s="1">
        <v>3.2</v>
      </c>
      <c r="AA110" s="1">
        <v>4.2</v>
      </c>
      <c r="AB110" s="1">
        <v>3.8</v>
      </c>
      <c r="AC110" s="1">
        <v>3</v>
      </c>
      <c r="AD110" s="1">
        <v>0.8</v>
      </c>
      <c r="AE110" s="1">
        <v>0.8</v>
      </c>
      <c r="AF110" s="1"/>
      <c r="AG110" s="1">
        <f t="shared" si="21"/>
        <v>0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 t="s">
        <v>150</v>
      </c>
      <c r="B111" s="1" t="s">
        <v>36</v>
      </c>
      <c r="C111" s="1">
        <v>2.4279999999999999</v>
      </c>
      <c r="D111" s="1"/>
      <c r="E111" s="1">
        <v>7.4610000000000003</v>
      </c>
      <c r="F111" s="1">
        <v>-5.0330000000000004</v>
      </c>
      <c r="G111" s="7">
        <v>1</v>
      </c>
      <c r="H111" s="1">
        <v>60</v>
      </c>
      <c r="I111" s="1" t="s">
        <v>37</v>
      </c>
      <c r="J111" s="1"/>
      <c r="K111" s="1">
        <v>7.5</v>
      </c>
      <c r="L111" s="1">
        <f t="shared" si="25"/>
        <v>-3.8999999999999702E-2</v>
      </c>
      <c r="M111" s="1"/>
      <c r="N111" s="1"/>
      <c r="O111" s="1">
        <v>34.971600000000002</v>
      </c>
      <c r="P111" s="1">
        <v>24.605999999999991</v>
      </c>
      <c r="Q111" s="1">
        <f t="shared" si="26"/>
        <v>1.4922</v>
      </c>
      <c r="R111" s="5"/>
      <c r="S111" s="5">
        <f t="shared" si="19"/>
        <v>0</v>
      </c>
      <c r="T111" s="1">
        <f t="shared" si="20"/>
        <v>36.553143010320326</v>
      </c>
      <c r="U111" s="1">
        <f t="shared" si="27"/>
        <v>36.553143010320326</v>
      </c>
      <c r="V111" s="1">
        <v>4.9585999999999997</v>
      </c>
      <c r="W111" s="1">
        <v>5.3428000000000004</v>
      </c>
      <c r="X111" s="1">
        <v>0.88239999999999996</v>
      </c>
      <c r="Y111" s="1">
        <v>0</v>
      </c>
      <c r="Z111" s="1">
        <v>0</v>
      </c>
      <c r="AA111" s="1">
        <v>3.0287999999999999</v>
      </c>
      <c r="AB111" s="1">
        <v>5.5287999999999986</v>
      </c>
      <c r="AC111" s="1">
        <v>3</v>
      </c>
      <c r="AD111" s="1">
        <v>0.5</v>
      </c>
      <c r="AE111" s="1">
        <v>0</v>
      </c>
      <c r="AF111" s="1"/>
      <c r="AG111" s="1">
        <f t="shared" si="21"/>
        <v>0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151</v>
      </c>
      <c r="B112" s="1" t="s">
        <v>36</v>
      </c>
      <c r="C112" s="1">
        <v>12.398999999999999</v>
      </c>
      <c r="D112" s="1">
        <v>45.073999999999998</v>
      </c>
      <c r="E112" s="1">
        <v>17.431999999999999</v>
      </c>
      <c r="F112" s="1">
        <v>40.040999999999997</v>
      </c>
      <c r="G112" s="7">
        <v>1</v>
      </c>
      <c r="H112" s="1">
        <v>50</v>
      </c>
      <c r="I112" s="1" t="s">
        <v>37</v>
      </c>
      <c r="J112" s="1"/>
      <c r="K112" s="1">
        <v>22.5</v>
      </c>
      <c r="L112" s="1">
        <f t="shared" si="25"/>
        <v>-5.0680000000000014</v>
      </c>
      <c r="M112" s="1"/>
      <c r="N112" s="1"/>
      <c r="O112" s="1">
        <v>8.991000000000005</v>
      </c>
      <c r="P112" s="1">
        <v>0</v>
      </c>
      <c r="Q112" s="1">
        <f t="shared" si="26"/>
        <v>3.4863999999999997</v>
      </c>
      <c r="R112" s="5"/>
      <c r="S112" s="5">
        <f t="shared" si="19"/>
        <v>0</v>
      </c>
      <c r="T112" s="1">
        <f t="shared" si="20"/>
        <v>14.063790729692522</v>
      </c>
      <c r="U112" s="1">
        <f t="shared" si="27"/>
        <v>14.063790729692522</v>
      </c>
      <c r="V112" s="1">
        <v>1.9912000000000001</v>
      </c>
      <c r="W112" s="1">
        <v>3.9984000000000002</v>
      </c>
      <c r="X112" s="1">
        <v>3.9977999999999998</v>
      </c>
      <c r="Y112" s="1">
        <v>2.9937999999999998</v>
      </c>
      <c r="Z112" s="1">
        <v>2.4958</v>
      </c>
      <c r="AA112" s="1">
        <v>0</v>
      </c>
      <c r="AB112" s="1">
        <v>2.0022000000000002</v>
      </c>
      <c r="AC112" s="1">
        <v>2.5017999999999998</v>
      </c>
      <c r="AD112" s="1">
        <v>0.49959999999999999</v>
      </c>
      <c r="AE112" s="1">
        <v>0</v>
      </c>
      <c r="AF112" s="1"/>
      <c r="AG112" s="1">
        <f t="shared" si="21"/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152</v>
      </c>
      <c r="B113" s="1" t="s">
        <v>41</v>
      </c>
      <c r="C113" s="1">
        <v>-1</v>
      </c>
      <c r="D113" s="1">
        <v>61</v>
      </c>
      <c r="E113" s="1">
        <v>23</v>
      </c>
      <c r="F113" s="1">
        <v>30</v>
      </c>
      <c r="G113" s="7">
        <v>0.09</v>
      </c>
      <c r="H113" s="1">
        <v>45</v>
      </c>
      <c r="I113" s="1" t="s">
        <v>37</v>
      </c>
      <c r="J113" s="1"/>
      <c r="K113" s="1">
        <v>24</v>
      </c>
      <c r="L113" s="1">
        <f t="shared" si="25"/>
        <v>-1</v>
      </c>
      <c r="M113" s="1"/>
      <c r="N113" s="1"/>
      <c r="O113" s="1">
        <v>0</v>
      </c>
      <c r="P113" s="1">
        <v>0</v>
      </c>
      <c r="Q113" s="1">
        <f t="shared" si="26"/>
        <v>4.5999999999999996</v>
      </c>
      <c r="R113" s="5">
        <f t="shared" si="29"/>
        <v>25.199999999999996</v>
      </c>
      <c r="S113" s="5">
        <f t="shared" si="19"/>
        <v>25.199999999999996</v>
      </c>
      <c r="T113" s="1">
        <f t="shared" si="20"/>
        <v>12</v>
      </c>
      <c r="U113" s="1">
        <f t="shared" si="27"/>
        <v>6.5217391304347831</v>
      </c>
      <c r="V113" s="1">
        <v>4</v>
      </c>
      <c r="W113" s="1">
        <v>4.2</v>
      </c>
      <c r="X113" s="1">
        <v>0.2</v>
      </c>
      <c r="Y113" s="1">
        <v>0</v>
      </c>
      <c r="Z113" s="1">
        <v>4.5999999999999996</v>
      </c>
      <c r="AA113" s="1">
        <v>5</v>
      </c>
      <c r="AB113" s="1">
        <v>2.2000000000000002</v>
      </c>
      <c r="AC113" s="1">
        <v>1.8</v>
      </c>
      <c r="AD113" s="1">
        <v>4.2</v>
      </c>
      <c r="AE113" s="1">
        <v>4.5999999999999996</v>
      </c>
      <c r="AF113" s="1"/>
      <c r="AG113" s="1">
        <f t="shared" si="21"/>
        <v>2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153</v>
      </c>
      <c r="B114" s="1" t="s">
        <v>41</v>
      </c>
      <c r="C114" s="1">
        <v>-4</v>
      </c>
      <c r="D114" s="1">
        <v>20</v>
      </c>
      <c r="E114" s="1"/>
      <c r="F114" s="1"/>
      <c r="G114" s="7">
        <v>0.09</v>
      </c>
      <c r="H114" s="1">
        <v>45</v>
      </c>
      <c r="I114" s="1" t="s">
        <v>37</v>
      </c>
      <c r="J114" s="1"/>
      <c r="K114" s="1"/>
      <c r="L114" s="1">
        <f t="shared" si="25"/>
        <v>0</v>
      </c>
      <c r="M114" s="1"/>
      <c r="N114" s="1"/>
      <c r="O114" s="1">
        <v>60.464000000000013</v>
      </c>
      <c r="P114" s="1">
        <v>40.135999999999981</v>
      </c>
      <c r="Q114" s="1">
        <f t="shared" si="26"/>
        <v>0</v>
      </c>
      <c r="R114" s="5"/>
      <c r="S114" s="5">
        <f t="shared" si="19"/>
        <v>0</v>
      </c>
      <c r="T114" s="1" t="e">
        <f t="shared" si="20"/>
        <v>#DIV/0!</v>
      </c>
      <c r="U114" s="1" t="e">
        <f t="shared" si="27"/>
        <v>#DIV/0!</v>
      </c>
      <c r="V114" s="1">
        <v>10.6</v>
      </c>
      <c r="W114" s="1">
        <v>10.8</v>
      </c>
      <c r="X114" s="1">
        <v>0.2</v>
      </c>
      <c r="Y114" s="1">
        <v>0</v>
      </c>
      <c r="Z114" s="1">
        <v>2.4</v>
      </c>
      <c r="AA114" s="1">
        <v>3.2</v>
      </c>
      <c r="AB114" s="1">
        <v>4</v>
      </c>
      <c r="AC114" s="1">
        <v>2.8</v>
      </c>
      <c r="AD114" s="1">
        <v>0.2</v>
      </c>
      <c r="AE114" s="1">
        <v>0.6</v>
      </c>
      <c r="AF114" s="1"/>
      <c r="AG114" s="1">
        <f t="shared" si="21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154</v>
      </c>
      <c r="B115" s="1" t="s">
        <v>36</v>
      </c>
      <c r="C115" s="1">
        <v>40.094000000000001</v>
      </c>
      <c r="D115" s="1">
        <v>66.111999999999995</v>
      </c>
      <c r="E115" s="1">
        <v>6.8620000000000001</v>
      </c>
      <c r="F115" s="1">
        <v>97.974999999999994</v>
      </c>
      <c r="G115" s="7">
        <v>1</v>
      </c>
      <c r="H115" s="1">
        <v>60</v>
      </c>
      <c r="I115" s="1" t="s">
        <v>37</v>
      </c>
      <c r="J115" s="1"/>
      <c r="K115" s="1">
        <v>6.8</v>
      </c>
      <c r="L115" s="1">
        <f t="shared" si="25"/>
        <v>6.2000000000000277E-2</v>
      </c>
      <c r="M115" s="1"/>
      <c r="N115" s="1"/>
      <c r="O115" s="1">
        <v>0</v>
      </c>
      <c r="P115" s="1">
        <v>0</v>
      </c>
      <c r="Q115" s="1">
        <f t="shared" si="26"/>
        <v>1.3724000000000001</v>
      </c>
      <c r="R115" s="5"/>
      <c r="S115" s="5">
        <f t="shared" si="19"/>
        <v>0</v>
      </c>
      <c r="T115" s="1">
        <f t="shared" si="20"/>
        <v>71.389536578257065</v>
      </c>
      <c r="U115" s="1">
        <f t="shared" si="27"/>
        <v>71.389536578257065</v>
      </c>
      <c r="V115" s="1">
        <v>1.9239999999999999</v>
      </c>
      <c r="W115" s="1">
        <v>2.1934</v>
      </c>
      <c r="X115" s="1">
        <v>4.0129999999999999</v>
      </c>
      <c r="Y115" s="1">
        <v>4.2946</v>
      </c>
      <c r="Z115" s="1">
        <v>4.9442000000000004</v>
      </c>
      <c r="AA115" s="1">
        <v>4.3916000000000004</v>
      </c>
      <c r="AB115" s="1">
        <v>2.4704000000000002</v>
      </c>
      <c r="AC115" s="1">
        <v>2.1956000000000002</v>
      </c>
      <c r="AD115" s="1">
        <v>2.9826000000000001</v>
      </c>
      <c r="AE115" s="1">
        <v>2.9758</v>
      </c>
      <c r="AF115" s="15" t="s">
        <v>54</v>
      </c>
      <c r="AG115" s="1">
        <f t="shared" si="21"/>
        <v>0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 t="s">
        <v>155</v>
      </c>
      <c r="B116" s="1" t="s">
        <v>36</v>
      </c>
      <c r="C116" s="1">
        <v>54.984999999999999</v>
      </c>
      <c r="D116" s="1">
        <v>199.654</v>
      </c>
      <c r="E116" s="1">
        <v>46.694000000000003</v>
      </c>
      <c r="F116" s="1">
        <v>202.458</v>
      </c>
      <c r="G116" s="7">
        <v>1</v>
      </c>
      <c r="H116" s="1">
        <v>60</v>
      </c>
      <c r="I116" s="1" t="s">
        <v>37</v>
      </c>
      <c r="J116" s="1"/>
      <c r="K116" s="1">
        <v>46.1</v>
      </c>
      <c r="L116" s="1">
        <f t="shared" si="25"/>
        <v>0.59400000000000119</v>
      </c>
      <c r="M116" s="1"/>
      <c r="N116" s="1"/>
      <c r="O116" s="1">
        <v>0</v>
      </c>
      <c r="P116" s="1">
        <v>0</v>
      </c>
      <c r="Q116" s="1">
        <f t="shared" si="26"/>
        <v>9.3388000000000009</v>
      </c>
      <c r="R116" s="5"/>
      <c r="S116" s="5">
        <f t="shared" si="19"/>
        <v>0</v>
      </c>
      <c r="T116" s="1">
        <f t="shared" si="20"/>
        <v>21.679230736283031</v>
      </c>
      <c r="U116" s="1">
        <f t="shared" si="27"/>
        <v>21.679230736283031</v>
      </c>
      <c r="V116" s="1">
        <v>9.0766000000000009</v>
      </c>
      <c r="W116" s="1">
        <v>10.1952</v>
      </c>
      <c r="X116" s="1">
        <v>12.6656</v>
      </c>
      <c r="Y116" s="1">
        <v>14.0534</v>
      </c>
      <c r="Z116" s="1">
        <v>14.257400000000001</v>
      </c>
      <c r="AA116" s="1">
        <v>11.395</v>
      </c>
      <c r="AB116" s="1">
        <v>10.089399999999999</v>
      </c>
      <c r="AC116" s="1">
        <v>12.381</v>
      </c>
      <c r="AD116" s="1">
        <v>7.4349999999999996</v>
      </c>
      <c r="AE116" s="1">
        <v>1.6252</v>
      </c>
      <c r="AF116" s="15" t="s">
        <v>54</v>
      </c>
      <c r="AG116" s="1">
        <f t="shared" si="21"/>
        <v>0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156</v>
      </c>
      <c r="B117" s="1" t="s">
        <v>36</v>
      </c>
      <c r="C117" s="1">
        <v>26.553000000000001</v>
      </c>
      <c r="D117" s="1">
        <v>33.063000000000002</v>
      </c>
      <c r="E117" s="1">
        <v>9.1319999999999997</v>
      </c>
      <c r="F117" s="1">
        <v>50.484000000000002</v>
      </c>
      <c r="G117" s="7">
        <v>1</v>
      </c>
      <c r="H117" s="1">
        <v>60</v>
      </c>
      <c r="I117" s="1" t="s">
        <v>37</v>
      </c>
      <c r="J117" s="1"/>
      <c r="K117" s="1">
        <v>8.1999999999999993</v>
      </c>
      <c r="L117" s="1">
        <f t="shared" si="25"/>
        <v>0.93200000000000038</v>
      </c>
      <c r="M117" s="1"/>
      <c r="N117" s="1"/>
      <c r="O117" s="1">
        <v>0</v>
      </c>
      <c r="P117" s="1">
        <v>0</v>
      </c>
      <c r="Q117" s="1">
        <f t="shared" si="26"/>
        <v>1.8264</v>
      </c>
      <c r="R117" s="5"/>
      <c r="S117" s="5">
        <f t="shared" si="19"/>
        <v>0</v>
      </c>
      <c r="T117" s="1">
        <f t="shared" si="20"/>
        <v>27.641261498028911</v>
      </c>
      <c r="U117" s="1">
        <f t="shared" si="27"/>
        <v>27.641261498028911</v>
      </c>
      <c r="V117" s="1">
        <v>1.1004</v>
      </c>
      <c r="W117" s="1">
        <v>1.103</v>
      </c>
      <c r="X117" s="1">
        <v>0.45179999999999998</v>
      </c>
      <c r="Y117" s="1">
        <v>0.44900000000000001</v>
      </c>
      <c r="Z117" s="1">
        <v>2.4214000000000002</v>
      </c>
      <c r="AA117" s="1">
        <v>2.9722</v>
      </c>
      <c r="AB117" s="1">
        <v>1.8866000000000001</v>
      </c>
      <c r="AC117" s="1">
        <v>1.3388</v>
      </c>
      <c r="AD117" s="1">
        <v>2.1850000000000001</v>
      </c>
      <c r="AE117" s="1">
        <v>1.911</v>
      </c>
      <c r="AF117" s="15" t="s">
        <v>54</v>
      </c>
      <c r="AG117" s="1">
        <f t="shared" si="21"/>
        <v>0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 t="s">
        <v>157</v>
      </c>
      <c r="B118" s="1" t="s">
        <v>36</v>
      </c>
      <c r="C118" s="1">
        <v>290.44400000000002</v>
      </c>
      <c r="D118" s="1">
        <v>765.44100000000003</v>
      </c>
      <c r="E118" s="1">
        <v>346.24200000000002</v>
      </c>
      <c r="F118" s="1">
        <v>645.65200000000004</v>
      </c>
      <c r="G118" s="7">
        <v>1</v>
      </c>
      <c r="H118" s="1">
        <v>60</v>
      </c>
      <c r="I118" s="1" t="s">
        <v>37</v>
      </c>
      <c r="J118" s="1"/>
      <c r="K118" s="1">
        <v>365.07900000000001</v>
      </c>
      <c r="L118" s="1">
        <f t="shared" si="25"/>
        <v>-18.836999999999989</v>
      </c>
      <c r="M118" s="1"/>
      <c r="N118" s="1"/>
      <c r="O118" s="1">
        <v>0</v>
      </c>
      <c r="P118" s="1">
        <v>0</v>
      </c>
      <c r="Q118" s="1">
        <f t="shared" si="26"/>
        <v>69.248400000000004</v>
      </c>
      <c r="R118" s="5">
        <f t="shared" si="29"/>
        <v>185.3288</v>
      </c>
      <c r="S118" s="5">
        <f>R118+Q118*$S$1</f>
        <v>268.42687999999998</v>
      </c>
      <c r="T118" s="1">
        <f t="shared" si="20"/>
        <v>13.2</v>
      </c>
      <c r="U118" s="1">
        <f t="shared" si="27"/>
        <v>9.3237100062961744</v>
      </c>
      <c r="V118" s="1">
        <v>63.513199999999998</v>
      </c>
      <c r="W118" s="1">
        <v>70.640999999999991</v>
      </c>
      <c r="X118" s="1">
        <v>88.936199999999999</v>
      </c>
      <c r="Y118" s="1">
        <v>91.3386</v>
      </c>
      <c r="Z118" s="1">
        <v>70.101199999999992</v>
      </c>
      <c r="AA118" s="1">
        <v>70.0642</v>
      </c>
      <c r="AB118" s="1">
        <v>68.50160000000001</v>
      </c>
      <c r="AC118" s="1">
        <v>70.50160000000001</v>
      </c>
      <c r="AD118" s="1">
        <v>132.61420000000001</v>
      </c>
      <c r="AE118" s="1">
        <v>90.657399999999996</v>
      </c>
      <c r="AF118" s="1"/>
      <c r="AG118" s="1">
        <f t="shared" si="21"/>
        <v>268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 t="s">
        <v>158</v>
      </c>
      <c r="B119" s="1" t="s">
        <v>41</v>
      </c>
      <c r="C119" s="1">
        <v>246</v>
      </c>
      <c r="D119" s="1"/>
      <c r="E119" s="1">
        <v>3</v>
      </c>
      <c r="F119" s="1">
        <v>243</v>
      </c>
      <c r="G119" s="7">
        <v>0.25</v>
      </c>
      <c r="H119" s="1">
        <v>1096</v>
      </c>
      <c r="I119" s="1" t="s">
        <v>37</v>
      </c>
      <c r="J119" s="1"/>
      <c r="K119" s="1">
        <v>3</v>
      </c>
      <c r="L119" s="1">
        <f t="shared" si="25"/>
        <v>0</v>
      </c>
      <c r="M119" s="1"/>
      <c r="N119" s="1"/>
      <c r="O119" s="1">
        <v>0</v>
      </c>
      <c r="P119" s="1">
        <v>0</v>
      </c>
      <c r="Q119" s="1">
        <f t="shared" si="26"/>
        <v>0.6</v>
      </c>
      <c r="R119" s="5"/>
      <c r="S119" s="5">
        <f t="shared" si="19"/>
        <v>0</v>
      </c>
      <c r="T119" s="1">
        <f t="shared" si="20"/>
        <v>405</v>
      </c>
      <c r="U119" s="1">
        <f t="shared" si="27"/>
        <v>405</v>
      </c>
      <c r="V119" s="1">
        <v>0</v>
      </c>
      <c r="W119" s="1">
        <v>0</v>
      </c>
      <c r="X119" s="1">
        <v>0.2</v>
      </c>
      <c r="Y119" s="1">
        <v>1.2</v>
      </c>
      <c r="Z119" s="1">
        <v>1.6</v>
      </c>
      <c r="AA119" s="1">
        <v>4.4000000000000004</v>
      </c>
      <c r="AB119" s="1">
        <v>6.4</v>
      </c>
      <c r="AC119" s="1">
        <v>3</v>
      </c>
      <c r="AD119" s="1">
        <v>1</v>
      </c>
      <c r="AE119" s="1">
        <v>0.6</v>
      </c>
      <c r="AF119" s="15" t="s">
        <v>54</v>
      </c>
      <c r="AG119" s="1">
        <f t="shared" si="21"/>
        <v>0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 t="s">
        <v>159</v>
      </c>
      <c r="B120" s="1" t="s">
        <v>41</v>
      </c>
      <c r="C120" s="1">
        <v>145</v>
      </c>
      <c r="D120" s="1"/>
      <c r="E120" s="1"/>
      <c r="F120" s="1">
        <v>145</v>
      </c>
      <c r="G120" s="7">
        <v>0.32500000000000001</v>
      </c>
      <c r="H120" s="1">
        <v>1096</v>
      </c>
      <c r="I120" s="1" t="s">
        <v>37</v>
      </c>
      <c r="J120" s="1"/>
      <c r="K120" s="1"/>
      <c r="L120" s="1">
        <f t="shared" si="25"/>
        <v>0</v>
      </c>
      <c r="M120" s="1"/>
      <c r="N120" s="1"/>
      <c r="O120" s="1">
        <v>0</v>
      </c>
      <c r="P120" s="1">
        <v>0</v>
      </c>
      <c r="Q120" s="1">
        <f t="shared" si="26"/>
        <v>0</v>
      </c>
      <c r="R120" s="5"/>
      <c r="S120" s="5">
        <f t="shared" si="19"/>
        <v>0</v>
      </c>
      <c r="T120" s="1" t="e">
        <f t="shared" si="20"/>
        <v>#DIV/0!</v>
      </c>
      <c r="U120" s="1" t="e">
        <f t="shared" si="27"/>
        <v>#DIV/0!</v>
      </c>
      <c r="V120" s="1">
        <v>0</v>
      </c>
      <c r="W120" s="1">
        <v>0</v>
      </c>
      <c r="X120" s="1">
        <v>0</v>
      </c>
      <c r="Y120" s="1">
        <v>2</v>
      </c>
      <c r="Z120" s="1">
        <v>2</v>
      </c>
      <c r="AA120" s="1">
        <v>3.4</v>
      </c>
      <c r="AB120" s="1">
        <v>7.2</v>
      </c>
      <c r="AC120" s="1">
        <v>3.2</v>
      </c>
      <c r="AD120" s="1">
        <v>3</v>
      </c>
      <c r="AE120" s="1">
        <v>3.4</v>
      </c>
      <c r="AF120" s="15" t="s">
        <v>54</v>
      </c>
      <c r="AG120" s="1">
        <f t="shared" si="21"/>
        <v>0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 t="s">
        <v>160</v>
      </c>
      <c r="B121" s="1" t="s">
        <v>41</v>
      </c>
      <c r="C121" s="1">
        <v>150</v>
      </c>
      <c r="D121" s="1"/>
      <c r="E121" s="1">
        <v>8</v>
      </c>
      <c r="F121" s="1">
        <v>142</v>
      </c>
      <c r="G121" s="7">
        <v>0.25</v>
      </c>
      <c r="H121" s="1">
        <v>1096</v>
      </c>
      <c r="I121" s="1" t="s">
        <v>37</v>
      </c>
      <c r="J121" s="1"/>
      <c r="K121" s="1">
        <v>8</v>
      </c>
      <c r="L121" s="1">
        <f t="shared" si="25"/>
        <v>0</v>
      </c>
      <c r="M121" s="1"/>
      <c r="N121" s="1"/>
      <c r="O121" s="1">
        <v>0</v>
      </c>
      <c r="P121" s="1">
        <v>0</v>
      </c>
      <c r="Q121" s="1">
        <f t="shared" si="26"/>
        <v>1.6</v>
      </c>
      <c r="R121" s="5"/>
      <c r="S121" s="5">
        <f t="shared" si="19"/>
        <v>0</v>
      </c>
      <c r="T121" s="1">
        <f t="shared" si="20"/>
        <v>88.75</v>
      </c>
      <c r="U121" s="1">
        <f t="shared" si="27"/>
        <v>88.75</v>
      </c>
      <c r="V121" s="1">
        <v>1</v>
      </c>
      <c r="W121" s="1">
        <v>0</v>
      </c>
      <c r="X121" s="1">
        <v>0.2</v>
      </c>
      <c r="Y121" s="1">
        <v>0.2</v>
      </c>
      <c r="Z121" s="1">
        <v>0</v>
      </c>
      <c r="AA121" s="1">
        <v>4</v>
      </c>
      <c r="AB121" s="1">
        <v>7.8</v>
      </c>
      <c r="AC121" s="1">
        <v>4.2</v>
      </c>
      <c r="AD121" s="1">
        <v>3</v>
      </c>
      <c r="AE121" s="1">
        <v>2.4</v>
      </c>
      <c r="AF121" s="15" t="s">
        <v>54</v>
      </c>
      <c r="AG121" s="1">
        <f t="shared" si="21"/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0" t="s">
        <v>161</v>
      </c>
      <c r="B122" s="10" t="s">
        <v>36</v>
      </c>
      <c r="C122" s="10">
        <v>-2.7839999999999998</v>
      </c>
      <c r="D122" s="10"/>
      <c r="E122" s="10"/>
      <c r="F122" s="10">
        <v>-2.7839999999999998</v>
      </c>
      <c r="G122" s="11">
        <v>0</v>
      </c>
      <c r="H122" s="10"/>
      <c r="I122" s="10" t="s">
        <v>57</v>
      </c>
      <c r="J122" s="10"/>
      <c r="K122" s="10">
        <v>3</v>
      </c>
      <c r="L122" s="10">
        <f t="shared" si="25"/>
        <v>-3</v>
      </c>
      <c r="M122" s="10"/>
      <c r="N122" s="10"/>
      <c r="O122" s="10">
        <v>0</v>
      </c>
      <c r="P122" s="10">
        <v>0</v>
      </c>
      <c r="Q122" s="10">
        <f t="shared" si="26"/>
        <v>0</v>
      </c>
      <c r="R122" s="12"/>
      <c r="S122" s="5">
        <f t="shared" si="19"/>
        <v>0</v>
      </c>
      <c r="T122" s="1" t="e">
        <f t="shared" si="20"/>
        <v>#DIV/0!</v>
      </c>
      <c r="U122" s="10" t="e">
        <f t="shared" si="27"/>
        <v>#DIV/0!</v>
      </c>
      <c r="V122" s="10">
        <v>0</v>
      </c>
      <c r="W122" s="10">
        <v>2.4041999999999999</v>
      </c>
      <c r="X122" s="10">
        <v>2.883</v>
      </c>
      <c r="Y122" s="10">
        <v>1.5528</v>
      </c>
      <c r="Z122" s="10">
        <v>1.0740000000000001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/>
      <c r="AG122" s="1">
        <f t="shared" si="21"/>
        <v>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0" t="s">
        <v>162</v>
      </c>
      <c r="B123" s="10" t="s">
        <v>36</v>
      </c>
      <c r="C123" s="10"/>
      <c r="D123" s="10"/>
      <c r="E123" s="10"/>
      <c r="F123" s="10"/>
      <c r="G123" s="11">
        <v>0</v>
      </c>
      <c r="H123" s="10"/>
      <c r="I123" s="10" t="s">
        <v>37</v>
      </c>
      <c r="J123" s="10"/>
      <c r="K123" s="10"/>
      <c r="L123" s="10">
        <f t="shared" si="25"/>
        <v>0</v>
      </c>
      <c r="M123" s="10"/>
      <c r="N123" s="10"/>
      <c r="O123" s="10">
        <v>0</v>
      </c>
      <c r="P123" s="10">
        <v>0</v>
      </c>
      <c r="Q123" s="10">
        <f t="shared" si="26"/>
        <v>0</v>
      </c>
      <c r="R123" s="12"/>
      <c r="S123" s="5">
        <f t="shared" si="19"/>
        <v>0</v>
      </c>
      <c r="T123" s="1" t="e">
        <f t="shared" si="20"/>
        <v>#DIV/0!</v>
      </c>
      <c r="U123" s="10" t="e">
        <f t="shared" si="27"/>
        <v>#DIV/0!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 t="s">
        <v>42</v>
      </c>
      <c r="AG123" s="1">
        <f t="shared" si="21"/>
        <v>0</v>
      </c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 t="s">
        <v>163</v>
      </c>
      <c r="B124" s="1" t="s">
        <v>41</v>
      </c>
      <c r="C124" s="1">
        <v>105</v>
      </c>
      <c r="D124" s="1">
        <v>145</v>
      </c>
      <c r="E124" s="1">
        <v>52</v>
      </c>
      <c r="F124" s="1">
        <v>188</v>
      </c>
      <c r="G124" s="7">
        <v>0.3</v>
      </c>
      <c r="H124" s="1">
        <v>40</v>
      </c>
      <c r="I124" s="1" t="s">
        <v>37</v>
      </c>
      <c r="J124" s="1"/>
      <c r="K124" s="1">
        <v>57</v>
      </c>
      <c r="L124" s="1">
        <f t="shared" si="25"/>
        <v>-5</v>
      </c>
      <c r="M124" s="1"/>
      <c r="N124" s="1"/>
      <c r="O124" s="1">
        <v>0</v>
      </c>
      <c r="P124" s="1">
        <v>0</v>
      </c>
      <c r="Q124" s="1">
        <f t="shared" si="26"/>
        <v>10.4</v>
      </c>
      <c r="R124" s="5"/>
      <c r="S124" s="5">
        <f t="shared" si="19"/>
        <v>0</v>
      </c>
      <c r="T124" s="1">
        <f t="shared" si="20"/>
        <v>18.076923076923077</v>
      </c>
      <c r="U124" s="1">
        <f t="shared" si="27"/>
        <v>18.076923076923077</v>
      </c>
      <c r="V124" s="1">
        <v>8.1999999999999993</v>
      </c>
      <c r="W124" s="1">
        <v>9</v>
      </c>
      <c r="X124" s="1">
        <v>8.6</v>
      </c>
      <c r="Y124" s="1">
        <v>4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-0.2</v>
      </c>
      <c r="AF124" s="14" t="s">
        <v>63</v>
      </c>
      <c r="AG124" s="1">
        <f t="shared" si="21"/>
        <v>0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 t="s">
        <v>164</v>
      </c>
      <c r="B125" s="1" t="s">
        <v>41</v>
      </c>
      <c r="C125" s="1">
        <v>110</v>
      </c>
      <c r="D125" s="1">
        <v>145</v>
      </c>
      <c r="E125" s="1">
        <v>55</v>
      </c>
      <c r="F125" s="1">
        <v>187</v>
      </c>
      <c r="G125" s="7">
        <v>0.3</v>
      </c>
      <c r="H125" s="1">
        <v>40</v>
      </c>
      <c r="I125" s="1" t="s">
        <v>37</v>
      </c>
      <c r="J125" s="1"/>
      <c r="K125" s="1">
        <v>57</v>
      </c>
      <c r="L125" s="1">
        <f t="shared" si="25"/>
        <v>-2</v>
      </c>
      <c r="M125" s="1"/>
      <c r="N125" s="1"/>
      <c r="O125" s="1">
        <v>0</v>
      </c>
      <c r="P125" s="1">
        <v>0</v>
      </c>
      <c r="Q125" s="1">
        <f t="shared" si="26"/>
        <v>11</v>
      </c>
      <c r="R125" s="5"/>
      <c r="S125" s="5">
        <f t="shared" si="19"/>
        <v>0</v>
      </c>
      <c r="T125" s="1">
        <f t="shared" si="20"/>
        <v>17</v>
      </c>
      <c r="U125" s="1">
        <f t="shared" si="27"/>
        <v>17</v>
      </c>
      <c r="V125" s="1">
        <v>7.8</v>
      </c>
      <c r="W125" s="1">
        <v>8</v>
      </c>
      <c r="X125" s="1">
        <v>8</v>
      </c>
      <c r="Y125" s="1">
        <v>4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4" t="s">
        <v>63</v>
      </c>
      <c r="AG125" s="1">
        <f t="shared" si="21"/>
        <v>0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 t="s">
        <v>165</v>
      </c>
      <c r="B126" s="1" t="s">
        <v>36</v>
      </c>
      <c r="C126" s="1">
        <v>8.9999999999999993E-3</v>
      </c>
      <c r="D126" s="1">
        <v>52.457999999999998</v>
      </c>
      <c r="E126" s="1">
        <v>18.053000000000001</v>
      </c>
      <c r="F126" s="1">
        <v>26.15</v>
      </c>
      <c r="G126" s="7">
        <v>1</v>
      </c>
      <c r="H126" s="1">
        <v>50</v>
      </c>
      <c r="I126" s="9" t="s">
        <v>47</v>
      </c>
      <c r="J126" s="1"/>
      <c r="K126" s="1">
        <v>24.7</v>
      </c>
      <c r="L126" s="1">
        <f t="shared" si="25"/>
        <v>-6.6469999999999985</v>
      </c>
      <c r="M126" s="1"/>
      <c r="N126" s="1"/>
      <c r="O126" s="1">
        <v>0</v>
      </c>
      <c r="P126" s="1">
        <v>3.6833999999999949</v>
      </c>
      <c r="Q126" s="1">
        <f t="shared" si="26"/>
        <v>3.6106000000000003</v>
      </c>
      <c r="R126" s="5">
        <f t="shared" ref="R126" si="30">12*Q126-P126-O126-F126</f>
        <v>13.493800000000014</v>
      </c>
      <c r="S126" s="5">
        <f t="shared" si="19"/>
        <v>13.493800000000014</v>
      </c>
      <c r="T126" s="1">
        <f t="shared" si="20"/>
        <v>12</v>
      </c>
      <c r="U126" s="1">
        <f t="shared" si="27"/>
        <v>8.2627264166620478</v>
      </c>
      <c r="V126" s="1">
        <v>2.4784000000000002</v>
      </c>
      <c r="W126" s="1">
        <v>0.82440000000000002</v>
      </c>
      <c r="X126" s="1">
        <v>2.2002000000000002</v>
      </c>
      <c r="Y126" s="1">
        <v>1.9244000000000001</v>
      </c>
      <c r="Z126" s="1">
        <v>2.4641999999999999</v>
      </c>
      <c r="AA126" s="1">
        <v>2.7404000000000002</v>
      </c>
      <c r="AB126" s="1">
        <v>0.82479999999999998</v>
      </c>
      <c r="AC126" s="1">
        <v>0</v>
      </c>
      <c r="AD126" s="1">
        <v>0</v>
      </c>
      <c r="AE126" s="1">
        <v>-0.1072</v>
      </c>
      <c r="AF126" s="1"/>
      <c r="AG126" s="1">
        <f t="shared" si="21"/>
        <v>13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 t="s">
        <v>166</v>
      </c>
      <c r="B127" s="1" t="s">
        <v>41</v>
      </c>
      <c r="C127" s="1">
        <v>96</v>
      </c>
      <c r="D127" s="1">
        <v>156</v>
      </c>
      <c r="E127" s="1">
        <v>13</v>
      </c>
      <c r="F127" s="1">
        <v>237</v>
      </c>
      <c r="G127" s="7">
        <v>0.3</v>
      </c>
      <c r="H127" s="1">
        <v>40</v>
      </c>
      <c r="I127" s="1" t="s">
        <v>37</v>
      </c>
      <c r="J127" s="1"/>
      <c r="K127" s="1">
        <v>13</v>
      </c>
      <c r="L127" s="1">
        <f t="shared" si="25"/>
        <v>0</v>
      </c>
      <c r="M127" s="1"/>
      <c r="N127" s="1"/>
      <c r="O127" s="1">
        <v>0</v>
      </c>
      <c r="P127" s="1">
        <v>0</v>
      </c>
      <c r="Q127" s="1">
        <f t="shared" si="26"/>
        <v>2.6</v>
      </c>
      <c r="R127" s="5"/>
      <c r="S127" s="5">
        <f t="shared" si="19"/>
        <v>0</v>
      </c>
      <c r="T127" s="1">
        <f t="shared" si="20"/>
        <v>91.153846153846146</v>
      </c>
      <c r="U127" s="1">
        <f t="shared" si="27"/>
        <v>91.153846153846146</v>
      </c>
      <c r="V127" s="1">
        <v>1.8</v>
      </c>
      <c r="W127" s="1">
        <v>1.2</v>
      </c>
      <c r="X127" s="1">
        <v>0.4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5" t="s">
        <v>54</v>
      </c>
      <c r="AG127" s="1">
        <f t="shared" si="21"/>
        <v>0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 t="s">
        <v>167</v>
      </c>
      <c r="B128" s="1" t="s">
        <v>41</v>
      </c>
      <c r="C128" s="1">
        <v>47</v>
      </c>
      <c r="D128" s="1">
        <v>63</v>
      </c>
      <c r="E128" s="1">
        <v>17</v>
      </c>
      <c r="F128" s="1">
        <v>89</v>
      </c>
      <c r="G128" s="7">
        <v>0.12</v>
      </c>
      <c r="H128" s="1">
        <v>45</v>
      </c>
      <c r="I128" s="1" t="s">
        <v>37</v>
      </c>
      <c r="J128" s="1"/>
      <c r="K128" s="1">
        <v>21</v>
      </c>
      <c r="L128" s="1">
        <f t="shared" si="25"/>
        <v>-4</v>
      </c>
      <c r="M128" s="1"/>
      <c r="N128" s="1"/>
      <c r="O128" s="1">
        <v>0</v>
      </c>
      <c r="P128" s="1">
        <v>0</v>
      </c>
      <c r="Q128" s="1">
        <f t="shared" si="26"/>
        <v>3.4</v>
      </c>
      <c r="R128" s="5"/>
      <c r="S128" s="5">
        <f t="shared" si="19"/>
        <v>0</v>
      </c>
      <c r="T128" s="1">
        <f t="shared" si="20"/>
        <v>26.176470588235293</v>
      </c>
      <c r="U128" s="1">
        <f t="shared" si="27"/>
        <v>26.176470588235293</v>
      </c>
      <c r="V128" s="1">
        <v>2.4</v>
      </c>
      <c r="W128" s="1">
        <v>2.6</v>
      </c>
      <c r="X128" s="1">
        <v>1.6</v>
      </c>
      <c r="Y128" s="1">
        <v>1.2</v>
      </c>
      <c r="Z128" s="1">
        <v>5</v>
      </c>
      <c r="AA128" s="1">
        <v>8.4</v>
      </c>
      <c r="AB128" s="1">
        <v>5.6</v>
      </c>
      <c r="AC128" s="1">
        <v>3</v>
      </c>
      <c r="AD128" s="1">
        <v>1.4</v>
      </c>
      <c r="AE128" s="1">
        <v>0</v>
      </c>
      <c r="AF128" s="15" t="s">
        <v>54</v>
      </c>
      <c r="AG128" s="1">
        <f t="shared" si="21"/>
        <v>0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0" t="s">
        <v>168</v>
      </c>
      <c r="B129" s="10" t="s">
        <v>41</v>
      </c>
      <c r="C129" s="10"/>
      <c r="D129" s="10">
        <v>18</v>
      </c>
      <c r="E129" s="13">
        <v>15</v>
      </c>
      <c r="F129" s="10"/>
      <c r="G129" s="11">
        <v>0</v>
      </c>
      <c r="H129" s="10"/>
      <c r="I129" s="10" t="s">
        <v>169</v>
      </c>
      <c r="J129" s="10" t="s">
        <v>95</v>
      </c>
      <c r="K129" s="10">
        <v>17</v>
      </c>
      <c r="L129" s="10">
        <f t="shared" si="25"/>
        <v>-2</v>
      </c>
      <c r="M129" s="10"/>
      <c r="N129" s="10"/>
      <c r="O129" s="10">
        <v>0</v>
      </c>
      <c r="P129" s="10">
        <v>0</v>
      </c>
      <c r="Q129" s="10">
        <f t="shared" si="26"/>
        <v>3</v>
      </c>
      <c r="R129" s="12"/>
      <c r="S129" s="5">
        <f t="shared" si="19"/>
        <v>0</v>
      </c>
      <c r="T129" s="1">
        <f t="shared" si="20"/>
        <v>0</v>
      </c>
      <c r="U129" s="10">
        <f t="shared" si="27"/>
        <v>0</v>
      </c>
      <c r="V129" s="10">
        <v>1.4</v>
      </c>
      <c r="W129" s="10">
        <v>1</v>
      </c>
      <c r="X129" s="10">
        <v>3</v>
      </c>
      <c r="Y129" s="10">
        <v>5.6</v>
      </c>
      <c r="Z129" s="10">
        <v>4</v>
      </c>
      <c r="AA129" s="10">
        <v>5</v>
      </c>
      <c r="AB129" s="10">
        <v>7</v>
      </c>
      <c r="AC129" s="10">
        <v>4.5999999999999996</v>
      </c>
      <c r="AD129" s="10">
        <v>3</v>
      </c>
      <c r="AE129" s="10">
        <v>2.6</v>
      </c>
      <c r="AF129" s="10"/>
      <c r="AG129" s="1">
        <f t="shared" si="21"/>
        <v>0</v>
      </c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 t="s">
        <v>170</v>
      </c>
      <c r="B130" s="1" t="s">
        <v>36</v>
      </c>
      <c r="C130" s="1"/>
      <c r="D130" s="1"/>
      <c r="E130" s="1"/>
      <c r="F130" s="1"/>
      <c r="G130" s="7">
        <v>1</v>
      </c>
      <c r="H130" s="1"/>
      <c r="I130" s="1" t="s">
        <v>37</v>
      </c>
      <c r="J130" s="1"/>
      <c r="K130" s="1"/>
      <c r="L130" s="1">
        <f t="shared" si="25"/>
        <v>0</v>
      </c>
      <c r="M130" s="1"/>
      <c r="N130" s="1"/>
      <c r="O130" s="1">
        <v>0</v>
      </c>
      <c r="P130" s="1">
        <v>50</v>
      </c>
      <c r="Q130" s="1">
        <f t="shared" si="26"/>
        <v>0</v>
      </c>
      <c r="R130" s="5"/>
      <c r="S130" s="5">
        <f t="shared" si="19"/>
        <v>0</v>
      </c>
      <c r="T130" s="1" t="e">
        <f t="shared" si="20"/>
        <v>#DIV/0!</v>
      </c>
      <c r="U130" s="1" t="e">
        <f t="shared" si="27"/>
        <v>#DIV/0!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 t="s">
        <v>171</v>
      </c>
      <c r="AG130" s="1">
        <f t="shared" si="21"/>
        <v>0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</sheetData>
  <autoFilter ref="A3:AG130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2026-10-30T02:54:29Z</dcterms:created>
  <dcterms:modified xsi:type="dcterms:W3CDTF">2026-10-30T09:47:17Z</dcterms:modified>
</cp:coreProperties>
</file>