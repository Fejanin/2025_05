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06F07916-AC2B-4DE7-A7F4-D5392917173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1" l="1"/>
  <c r="Y544" i="1"/>
  <c r="X544" i="1"/>
  <c r="BP543" i="1"/>
  <c r="BO543" i="1"/>
  <c r="BN543" i="1"/>
  <c r="BM543" i="1"/>
  <c r="Z543" i="1"/>
  <c r="Z544" i="1" s="1"/>
  <c r="Y543" i="1"/>
  <c r="AC556" i="1" s="1"/>
  <c r="P543" i="1"/>
  <c r="X540" i="1"/>
  <c r="Y539" i="1"/>
  <c r="X539" i="1"/>
  <c r="BP538" i="1"/>
  <c r="BO538" i="1"/>
  <c r="BN538" i="1"/>
  <c r="BM538" i="1"/>
  <c r="Z538" i="1"/>
  <c r="Y538" i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X488" i="1"/>
  <c r="Y487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3" i="1"/>
  <c r="X342" i="1"/>
  <c r="BO341" i="1"/>
  <c r="BM341" i="1"/>
  <c r="Y341" i="1"/>
  <c r="P341" i="1"/>
  <c r="BO340" i="1"/>
  <c r="BM340" i="1"/>
  <c r="Y340" i="1"/>
  <c r="P340" i="1"/>
  <c r="BP339" i="1"/>
  <c r="BO339" i="1"/>
  <c r="BN339" i="1"/>
  <c r="BM339" i="1"/>
  <c r="Z339" i="1"/>
  <c r="Y339" i="1"/>
  <c r="P339" i="1"/>
  <c r="X337" i="1"/>
  <c r="X336" i="1"/>
  <c r="BO335" i="1"/>
  <c r="BM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2" i="1"/>
  <c r="X311" i="1"/>
  <c r="BO310" i="1"/>
  <c r="BM310" i="1"/>
  <c r="Y310" i="1"/>
  <c r="BP310" i="1" s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O294" i="1"/>
  <c r="BM294" i="1"/>
  <c r="Y294" i="1"/>
  <c r="BP294" i="1" s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M285" i="1"/>
  <c r="Y285" i="1"/>
  <c r="Y287" i="1" s="1"/>
  <c r="P285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BP184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BO166" i="1"/>
  <c r="BM166" i="1"/>
  <c r="Y166" i="1"/>
  <c r="Y168" i="1" s="1"/>
  <c r="P166" i="1"/>
  <c r="X164" i="1"/>
  <c r="X163" i="1"/>
  <c r="BP162" i="1"/>
  <c r="BO162" i="1"/>
  <c r="BN162" i="1"/>
  <c r="BM162" i="1"/>
  <c r="Z162" i="1"/>
  <c r="Y162" i="1"/>
  <c r="P162" i="1"/>
  <c r="BO161" i="1"/>
  <c r="BM161" i="1"/>
  <c r="Y161" i="1"/>
  <c r="P161" i="1"/>
  <c r="BO160" i="1"/>
  <c r="BM160" i="1"/>
  <c r="Y160" i="1"/>
  <c r="BP160" i="1" s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O147" i="1"/>
  <c r="BM147" i="1"/>
  <c r="Y147" i="1"/>
  <c r="BP147" i="1" s="1"/>
  <c r="P147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O111" i="1"/>
  <c r="BM111" i="1"/>
  <c r="Y111" i="1"/>
  <c r="Y117" i="1" s="1"/>
  <c r="P111" i="1"/>
  <c r="X109" i="1"/>
  <c r="X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O101" i="1"/>
  <c r="BM101" i="1"/>
  <c r="Y101" i="1"/>
  <c r="BP101" i="1" s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Y98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BP78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E556" i="1" s="1"/>
  <c r="P54" i="1"/>
  <c r="X51" i="1"/>
  <c r="X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BP47" i="1" s="1"/>
  <c r="P47" i="1"/>
  <c r="BO46" i="1"/>
  <c r="BM46" i="1"/>
  <c r="Y46" i="1"/>
  <c r="BP46" i="1" s="1"/>
  <c r="P46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P37" i="1" s="1"/>
  <c r="P37" i="1"/>
  <c r="BP36" i="1"/>
  <c r="BO36" i="1"/>
  <c r="BN36" i="1"/>
  <c r="BM36" i="1"/>
  <c r="Z36" i="1"/>
  <c r="Y36" i="1"/>
  <c r="P36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546" i="1" s="1"/>
  <c r="X23" i="1"/>
  <c r="X550" i="1" s="1"/>
  <c r="BO22" i="1"/>
  <c r="BM22" i="1"/>
  <c r="Y22" i="1"/>
  <c r="Y23" i="1" s="1"/>
  <c r="P22" i="1"/>
  <c r="H10" i="1"/>
  <c r="F10" i="1"/>
  <c r="J9" i="1"/>
  <c r="F9" i="1"/>
  <c r="A9" i="1"/>
  <c r="A10" i="1" s="1"/>
  <c r="D7" i="1"/>
  <c r="Q6" i="1"/>
  <c r="P2" i="1"/>
  <c r="BP335" i="1" l="1"/>
  <c r="BN335" i="1"/>
  <c r="Z335" i="1"/>
  <c r="BP348" i="1"/>
  <c r="BN348" i="1"/>
  <c r="Z348" i="1"/>
  <c r="BP353" i="1"/>
  <c r="BN353" i="1"/>
  <c r="Z353" i="1"/>
  <c r="Y371" i="1"/>
  <c r="BP363" i="1"/>
  <c r="BN363" i="1"/>
  <c r="Z363" i="1"/>
  <c r="BP373" i="1"/>
  <c r="BN373" i="1"/>
  <c r="Z373" i="1"/>
  <c r="BP389" i="1"/>
  <c r="BN389" i="1"/>
  <c r="Z389" i="1"/>
  <c r="BP401" i="1"/>
  <c r="BN401" i="1"/>
  <c r="Z401" i="1"/>
  <c r="BP406" i="1"/>
  <c r="BN406" i="1"/>
  <c r="Z406" i="1"/>
  <c r="BP424" i="1"/>
  <c r="BN424" i="1"/>
  <c r="Z424" i="1"/>
  <c r="BP444" i="1"/>
  <c r="BN444" i="1"/>
  <c r="Z444" i="1"/>
  <c r="BP469" i="1"/>
  <c r="BN469" i="1"/>
  <c r="Z469" i="1"/>
  <c r="BP494" i="1"/>
  <c r="BN494" i="1"/>
  <c r="Z494" i="1"/>
  <c r="BP510" i="1"/>
  <c r="BN510" i="1"/>
  <c r="Z510" i="1"/>
  <c r="Z22" i="1"/>
  <c r="Z23" i="1" s="1"/>
  <c r="BN22" i="1"/>
  <c r="BP22" i="1"/>
  <c r="Z26" i="1"/>
  <c r="BN26" i="1"/>
  <c r="BP26" i="1"/>
  <c r="Z30" i="1"/>
  <c r="BN30" i="1"/>
  <c r="Z38" i="1"/>
  <c r="BN38" i="1"/>
  <c r="Z46" i="1"/>
  <c r="BN46" i="1"/>
  <c r="Z55" i="1"/>
  <c r="BN55" i="1"/>
  <c r="Z59" i="1"/>
  <c r="BN59" i="1"/>
  <c r="Z65" i="1"/>
  <c r="BN65" i="1"/>
  <c r="BP65" i="1"/>
  <c r="Z73" i="1"/>
  <c r="BN73" i="1"/>
  <c r="Y81" i="1"/>
  <c r="Z79" i="1"/>
  <c r="BN79" i="1"/>
  <c r="Z86" i="1"/>
  <c r="BN86" i="1"/>
  <c r="Z94" i="1"/>
  <c r="BN94" i="1"/>
  <c r="Z101" i="1"/>
  <c r="BN101" i="1"/>
  <c r="Z105" i="1"/>
  <c r="BN105" i="1"/>
  <c r="Z111" i="1"/>
  <c r="BN111" i="1"/>
  <c r="BP111" i="1"/>
  <c r="Z115" i="1"/>
  <c r="BN115" i="1"/>
  <c r="Y123" i="1"/>
  <c r="Z121" i="1"/>
  <c r="BN121" i="1"/>
  <c r="H556" i="1"/>
  <c r="Z136" i="1"/>
  <c r="BN136" i="1"/>
  <c r="BP136" i="1"/>
  <c r="Z147" i="1"/>
  <c r="BN147" i="1"/>
  <c r="Z160" i="1"/>
  <c r="BN160" i="1"/>
  <c r="Z166" i="1"/>
  <c r="BN166" i="1"/>
  <c r="BP166" i="1"/>
  <c r="Z174" i="1"/>
  <c r="BN174" i="1"/>
  <c r="Z178" i="1"/>
  <c r="BN178" i="1"/>
  <c r="Z184" i="1"/>
  <c r="BN184" i="1"/>
  <c r="Z202" i="1"/>
  <c r="BN202" i="1"/>
  <c r="Z215" i="1"/>
  <c r="BN215" i="1"/>
  <c r="Z219" i="1"/>
  <c r="BN219" i="1"/>
  <c r="Z223" i="1"/>
  <c r="BN223" i="1"/>
  <c r="Z231" i="1"/>
  <c r="BN231" i="1"/>
  <c r="Z239" i="1"/>
  <c r="BN239" i="1"/>
  <c r="Z254" i="1"/>
  <c r="BN254" i="1"/>
  <c r="BP254" i="1"/>
  <c r="Z262" i="1"/>
  <c r="BN262" i="1"/>
  <c r="Z271" i="1"/>
  <c r="BN271" i="1"/>
  <c r="Z275" i="1"/>
  <c r="BN275" i="1"/>
  <c r="Z279" i="1"/>
  <c r="BN279" i="1"/>
  <c r="Z285" i="1"/>
  <c r="BN285" i="1"/>
  <c r="BP285" i="1"/>
  <c r="Z294" i="1"/>
  <c r="BN294" i="1"/>
  <c r="Z310" i="1"/>
  <c r="BN310" i="1"/>
  <c r="Y321" i="1"/>
  <c r="P556" i="1"/>
  <c r="Z317" i="1"/>
  <c r="BN317" i="1"/>
  <c r="Z326" i="1"/>
  <c r="BN326" i="1"/>
  <c r="BP341" i="1"/>
  <c r="BN341" i="1"/>
  <c r="Z341" i="1"/>
  <c r="Y349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Z487" i="1" s="1"/>
  <c r="BP498" i="1"/>
  <c r="BN498" i="1"/>
  <c r="Z498" i="1"/>
  <c r="BP514" i="1"/>
  <c r="BN514" i="1"/>
  <c r="Z514" i="1"/>
  <c r="Y403" i="1"/>
  <c r="Y402" i="1"/>
  <c r="Y451" i="1"/>
  <c r="Y31" i="1"/>
  <c r="Y41" i="1"/>
  <c r="Y51" i="1"/>
  <c r="Y62" i="1"/>
  <c r="Y70" i="1"/>
  <c r="Y74" i="1"/>
  <c r="Y80" i="1"/>
  <c r="Y91" i="1"/>
  <c r="Y97" i="1"/>
  <c r="Y108" i="1"/>
  <c r="Y116" i="1"/>
  <c r="Y124" i="1"/>
  <c r="Y128" i="1"/>
  <c r="Y133" i="1"/>
  <c r="Y139" i="1"/>
  <c r="Y143" i="1"/>
  <c r="BP161" i="1"/>
  <c r="BN161" i="1"/>
  <c r="Z161" i="1"/>
  <c r="BP173" i="1"/>
  <c r="BN173" i="1"/>
  <c r="Z173" i="1"/>
  <c r="BP177" i="1"/>
  <c r="BN177" i="1"/>
  <c r="Z177" i="1"/>
  <c r="Y181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6" i="1"/>
  <c r="Y252" i="1"/>
  <c r="BP249" i="1"/>
  <c r="BN249" i="1"/>
  <c r="Z249" i="1"/>
  <c r="Z251" i="1" s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1" i="1" s="1"/>
  <c r="Y311" i="1"/>
  <c r="BP354" i="1"/>
  <c r="BN354" i="1"/>
  <c r="Z354" i="1"/>
  <c r="Y360" i="1"/>
  <c r="BP358" i="1"/>
  <c r="BN358" i="1"/>
  <c r="Z358" i="1"/>
  <c r="BP407" i="1"/>
  <c r="BN407" i="1"/>
  <c r="Z407" i="1"/>
  <c r="Z408" i="1" s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H9" i="1"/>
  <c r="B556" i="1"/>
  <c r="X547" i="1"/>
  <c r="X548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Z80" i="1" s="1"/>
  <c r="BN78" i="1"/>
  <c r="F556" i="1"/>
  <c r="Z85" i="1"/>
  <c r="BN85" i="1"/>
  <c r="Z87" i="1"/>
  <c r="BN87" i="1"/>
  <c r="Z89" i="1"/>
  <c r="BN89" i="1"/>
  <c r="Y90" i="1"/>
  <c r="Z93" i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Z133" i="1" s="1"/>
  <c r="BN131" i="1"/>
  <c r="BP131" i="1"/>
  <c r="Y134" i="1"/>
  <c r="Z137" i="1"/>
  <c r="BN137" i="1"/>
  <c r="Z141" i="1"/>
  <c r="Z143" i="1" s="1"/>
  <c r="BN141" i="1"/>
  <c r="BP141" i="1"/>
  <c r="I556" i="1"/>
  <c r="Y151" i="1"/>
  <c r="Z148" i="1"/>
  <c r="BN148" i="1"/>
  <c r="Z150" i="1"/>
  <c r="BN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Z163" i="1" s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Y251" i="1"/>
  <c r="BP255" i="1"/>
  <c r="BN255" i="1"/>
  <c r="Z255" i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Z342" i="1" s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BP295" i="1"/>
  <c r="BN295" i="1"/>
  <c r="Z295" i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Z328" i="1" s="1"/>
  <c r="BP334" i="1"/>
  <c r="BN334" i="1"/>
  <c r="Z334" i="1"/>
  <c r="Y343" i="1"/>
  <c r="BP347" i="1"/>
  <c r="BN347" i="1"/>
  <c r="Z347" i="1"/>
  <c r="Z349" i="1" s="1"/>
  <c r="T556" i="1"/>
  <c r="BP356" i="1"/>
  <c r="BN356" i="1"/>
  <c r="Z356" i="1"/>
  <c r="Z360" i="1" s="1"/>
  <c r="BP364" i="1"/>
  <c r="BN364" i="1"/>
  <c r="Z364" i="1"/>
  <c r="BP368" i="1"/>
  <c r="BN368" i="1"/>
  <c r="Z368" i="1"/>
  <c r="Z370" i="1" s="1"/>
  <c r="Y377" i="1"/>
  <c r="BP376" i="1"/>
  <c r="BN376" i="1"/>
  <c r="Z376" i="1"/>
  <c r="Y383" i="1"/>
  <c r="BP380" i="1"/>
  <c r="BN380" i="1"/>
  <c r="Z380" i="1"/>
  <c r="Z383" i="1" s="1"/>
  <c r="BP388" i="1"/>
  <c r="BN388" i="1"/>
  <c r="Z388" i="1"/>
  <c r="Y397" i="1"/>
  <c r="BP400" i="1"/>
  <c r="BN400" i="1"/>
  <c r="Z400" i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Z440" i="1" s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BP468" i="1"/>
  <c r="BN468" i="1"/>
  <c r="Z468" i="1"/>
  <c r="W556" i="1"/>
  <c r="Y428" i="1"/>
  <c r="BP485" i="1"/>
  <c r="BN485" i="1"/>
  <c r="Z485" i="1"/>
  <c r="AA556" i="1"/>
  <c r="BP495" i="1"/>
  <c r="BN495" i="1"/>
  <c r="Z495" i="1"/>
  <c r="Z500" i="1" s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Z377" i="1" l="1"/>
  <c r="Z151" i="1"/>
  <c r="Z123" i="1"/>
  <c r="Z116" i="1"/>
  <c r="Z90" i="1"/>
  <c r="Z69" i="1"/>
  <c r="Y548" i="1"/>
  <c r="Z31" i="1"/>
  <c r="Y550" i="1"/>
  <c r="Z461" i="1"/>
  <c r="Z402" i="1"/>
  <c r="Z321" i="1"/>
  <c r="Z298" i="1"/>
  <c r="Z256" i="1"/>
  <c r="Z241" i="1"/>
  <c r="Z138" i="1"/>
  <c r="Z108" i="1"/>
  <c r="Z97" i="1"/>
  <c r="Z50" i="1"/>
  <c r="Z41" i="1"/>
  <c r="Y547" i="1"/>
  <c r="X549" i="1"/>
  <c r="Y549" i="1"/>
  <c r="Z434" i="1"/>
  <c r="Z282" i="1"/>
  <c r="Z336" i="1"/>
  <c r="Z62" i="1"/>
  <c r="Z472" i="1"/>
  <c r="Z206" i="1"/>
  <c r="Z428" i="1"/>
  <c r="Z516" i="1"/>
  <c r="Z390" i="1"/>
  <c r="Z267" i="1"/>
  <c r="Z235" i="1"/>
  <c r="Z227" i="1"/>
  <c r="Z181" i="1"/>
  <c r="Y546" i="1"/>
  <c r="Z415" i="1"/>
  <c r="Z551" i="1" l="1"/>
</calcChain>
</file>

<file path=xl/sharedStrings.xml><?xml version="1.0" encoding="utf-8"?>
<sst xmlns="http://schemas.openxmlformats.org/spreadsheetml/2006/main" count="2462" uniqueCount="893">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</sst>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695" t="s">
        <v>0</v>
      </c>
      <c r="E1" s="651"/>
      <c r="F1" s="651"/>
      <c r="G1" s="12" t="s">
        <v>1</v>
      </c>
      <c r="H1" s="695" t="s">
        <v>2</v>
      </c>
      <c r="I1" s="651"/>
      <c r="J1" s="651"/>
      <c r="K1" s="651"/>
      <c r="L1" s="651"/>
      <c r="M1" s="651"/>
      <c r="N1" s="651"/>
      <c r="O1" s="651"/>
      <c r="P1" s="651"/>
      <c r="Q1" s="651"/>
      <c r="R1" s="650" t="s">
        <v>3</v>
      </c>
      <c r="S1" s="651"/>
      <c r="T1" s="65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5" t="s">
        <v>8</v>
      </c>
      <c r="B5" s="675"/>
      <c r="C5" s="676"/>
      <c r="D5" s="701"/>
      <c r="E5" s="702"/>
      <c r="F5" s="932" t="s">
        <v>9</v>
      </c>
      <c r="G5" s="676"/>
      <c r="H5" s="701"/>
      <c r="I5" s="871"/>
      <c r="J5" s="871"/>
      <c r="K5" s="871"/>
      <c r="L5" s="871"/>
      <c r="M5" s="702"/>
      <c r="N5" s="58"/>
      <c r="P5" s="24" t="s">
        <v>10</v>
      </c>
      <c r="Q5" s="946">
        <v>46305</v>
      </c>
      <c r="R5" s="742"/>
      <c r="T5" s="792" t="s">
        <v>11</v>
      </c>
      <c r="U5" s="793"/>
      <c r="V5" s="794" t="s">
        <v>12</v>
      </c>
      <c r="W5" s="742"/>
      <c r="AB5" s="51"/>
      <c r="AC5" s="51"/>
      <c r="AD5" s="51"/>
      <c r="AE5" s="51"/>
    </row>
    <row r="6" spans="1:32" s="611" customFormat="1" ht="24" customHeight="1" x14ac:dyDescent="0.2">
      <c r="A6" s="745" t="s">
        <v>13</v>
      </c>
      <c r="B6" s="675"/>
      <c r="C6" s="676"/>
      <c r="D6" s="873"/>
      <c r="E6" s="874"/>
      <c r="F6" s="874"/>
      <c r="G6" s="874"/>
      <c r="H6" s="874"/>
      <c r="I6" s="874"/>
      <c r="J6" s="874"/>
      <c r="K6" s="874"/>
      <c r="L6" s="874"/>
      <c r="M6" s="742"/>
      <c r="N6" s="59"/>
      <c r="P6" s="24" t="s">
        <v>14</v>
      </c>
      <c r="Q6" s="959" t="str">
        <f>IF(Q5=0," ",CHOOSE(WEEKDAY(Q5,2),"Понедельник","Вторник","Среда","Четверг","Пятница","Суббота","Воскресенье"))</f>
        <v>Суббота</v>
      </c>
      <c r="R6" s="631"/>
      <c r="T6" s="800" t="s">
        <v>15</v>
      </c>
      <c r="U6" s="793"/>
      <c r="V6" s="856" t="s">
        <v>16</v>
      </c>
      <c r="W6" s="666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60"/>
      <c r="P7" s="24"/>
      <c r="Q7" s="42"/>
      <c r="R7" s="42"/>
      <c r="T7" s="633"/>
      <c r="U7" s="793"/>
      <c r="V7" s="857"/>
      <c r="W7" s="858"/>
      <c r="AB7" s="51"/>
      <c r="AC7" s="51"/>
      <c r="AD7" s="51"/>
      <c r="AE7" s="51"/>
    </row>
    <row r="8" spans="1:32" s="611" customFormat="1" ht="25.5" customHeight="1" x14ac:dyDescent="0.2">
      <c r="A8" s="973" t="s">
        <v>17</v>
      </c>
      <c r="B8" s="638"/>
      <c r="C8" s="639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52">
        <v>0.41666666666666669</v>
      </c>
      <c r="R8" s="680"/>
      <c r="T8" s="633"/>
      <c r="U8" s="793"/>
      <c r="V8" s="857"/>
      <c r="W8" s="858"/>
      <c r="AB8" s="51"/>
      <c r="AC8" s="51"/>
      <c r="AD8" s="51"/>
      <c r="AE8" s="51"/>
    </row>
    <row r="9" spans="1:32" s="611" customFormat="1" ht="39.950000000000003" customHeight="1" x14ac:dyDescent="0.2">
      <c r="A9" s="7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65"/>
      <c r="E9" s="642"/>
      <c r="F9" s="7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09"/>
      <c r="P9" s="26" t="s">
        <v>19</v>
      </c>
      <c r="Q9" s="738"/>
      <c r="R9" s="739"/>
      <c r="T9" s="633"/>
      <c r="U9" s="793"/>
      <c r="V9" s="859"/>
      <c r="W9" s="860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7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65"/>
      <c r="E10" s="642"/>
      <c r="F10" s="7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9" t="str">
        <f>IFERROR(VLOOKUP($D$10,Proxy,2,FALSE),"")</f>
        <v/>
      </c>
      <c r="I10" s="633"/>
      <c r="J10" s="633"/>
      <c r="K10" s="633"/>
      <c r="L10" s="633"/>
      <c r="M10" s="633"/>
      <c r="N10" s="610"/>
      <c r="P10" s="26" t="s">
        <v>20</v>
      </c>
      <c r="Q10" s="801"/>
      <c r="R10" s="802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1"/>
      <c r="R11" s="742"/>
      <c r="U11" s="24" t="s">
        <v>25</v>
      </c>
      <c r="V11" s="897" t="s">
        <v>26</v>
      </c>
      <c r="W11" s="739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87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752"/>
      <c r="R12" s="680"/>
      <c r="S12" s="23"/>
      <c r="U12" s="24"/>
      <c r="V12" s="651"/>
      <c r="W12" s="633"/>
      <c r="AB12" s="51"/>
      <c r="AC12" s="51"/>
      <c r="AD12" s="51"/>
      <c r="AE12" s="51"/>
    </row>
    <row r="13" spans="1:32" s="611" customFormat="1" ht="23.25" customHeight="1" x14ac:dyDescent="0.2">
      <c r="A13" s="787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897"/>
      <c r="R13" s="7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87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21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77" t="s">
        <v>33</v>
      </c>
      <c r="Q15" s="651"/>
      <c r="R15" s="651"/>
      <c r="S15" s="651"/>
      <c r="T15" s="65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8"/>
      <c r="Q16" s="778"/>
      <c r="R16" s="778"/>
      <c r="S16" s="778"/>
      <c r="T16" s="77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759" t="s">
        <v>36</v>
      </c>
      <c r="D17" s="662" t="s">
        <v>37</v>
      </c>
      <c r="E17" s="72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722"/>
      <c r="R17" s="722"/>
      <c r="S17" s="722"/>
      <c r="T17" s="723"/>
      <c r="U17" s="972" t="s">
        <v>49</v>
      </c>
      <c r="V17" s="676"/>
      <c r="W17" s="662" t="s">
        <v>50</v>
      </c>
      <c r="X17" s="662" t="s">
        <v>51</v>
      </c>
      <c r="Y17" s="970" t="s">
        <v>52</v>
      </c>
      <c r="Z17" s="869" t="s">
        <v>53</v>
      </c>
      <c r="AA17" s="847" t="s">
        <v>54</v>
      </c>
      <c r="AB17" s="847" t="s">
        <v>55</v>
      </c>
      <c r="AC17" s="847" t="s">
        <v>56</v>
      </c>
      <c r="AD17" s="847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63"/>
      <c r="B18" s="663"/>
      <c r="C18" s="663"/>
      <c r="D18" s="724"/>
      <c r="E18" s="726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724"/>
      <c r="Q18" s="725"/>
      <c r="R18" s="725"/>
      <c r="S18" s="725"/>
      <c r="T18" s="726"/>
      <c r="U18" s="67" t="s">
        <v>59</v>
      </c>
      <c r="V18" s="67" t="s">
        <v>60</v>
      </c>
      <c r="W18" s="663"/>
      <c r="X18" s="663"/>
      <c r="Y18" s="971"/>
      <c r="Z18" s="870"/>
      <c r="AA18" s="848"/>
      <c r="AB18" s="848"/>
      <c r="AC18" s="848"/>
      <c r="AD18" s="929"/>
      <c r="AE18" s="930"/>
      <c r="AF18" s="931"/>
      <c r="AG18" s="66"/>
      <c r="BD18" s="65"/>
    </row>
    <row r="19" spans="1:68" ht="27.75" hidden="1" customHeight="1" x14ac:dyDescent="0.2">
      <c r="A19" s="788" t="s">
        <v>61</v>
      </c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48"/>
      <c r="AB19" s="48"/>
      <c r="AC19" s="48"/>
    </row>
    <row r="20" spans="1:68" ht="16.5" hidden="1" customHeight="1" x14ac:dyDescent="0.25">
      <c r="A20" s="640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2"/>
      <c r="AB20" s="612"/>
      <c r="AC20" s="612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0">
        <v>4680115889071</v>
      </c>
      <c r="E22" s="631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7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7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0">
        <v>4680115885912</v>
      </c>
      <c r="E26" s="631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1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0">
        <v>4607091388237</v>
      </c>
      <c r="E27" s="631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30">
        <v>4680115887350</v>
      </c>
      <c r="E28" s="631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5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5</v>
      </c>
      <c r="Y28" s="618">
        <f>IFERROR(IF(X28="",0,CEILING((X28/$H28),1)*$H28),"")</f>
        <v>5.4</v>
      </c>
      <c r="Z28" s="36">
        <f>IFERROR(IF(Y28=0,"",ROUNDUP(Y28/H28,0)*0.00651),"")</f>
        <v>1.9529999999999999E-2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8.8333333333333339</v>
      </c>
      <c r="BN28" s="64">
        <f>IFERROR(Y28*I28/H28,"0")</f>
        <v>9.5400000000000009</v>
      </c>
      <c r="BO28" s="64">
        <f>IFERROR(1/J28*(X28/H28),"0")</f>
        <v>1.5262515262515264E-2</v>
      </c>
      <c r="BP28" s="64">
        <f>IFERROR(1/J28*(Y28/H28),"0")</f>
        <v>1.6483516483516484E-2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0">
        <v>4680115885905</v>
      </c>
      <c r="E29" s="631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0">
        <v>4680115887619</v>
      </c>
      <c r="E30" s="631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7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19">
        <f>IFERROR(X26/H26,"0")+IFERROR(X27/H27,"0")+IFERROR(X28/H28,"0")+IFERROR(X29/H29,"0")+IFERROR(X30/H30,"0")</f>
        <v>2.7777777777777777</v>
      </c>
      <c r="Y31" s="619">
        <f>IFERROR(Y26/H26,"0")+IFERROR(Y27/H27,"0")+IFERROR(Y28/H28,"0")+IFERROR(Y29/H29,"0")+IFERROR(Y30/H30,"0")</f>
        <v>3</v>
      </c>
      <c r="Z31" s="619">
        <f>IFERROR(IF(Z26="",0,Z26),"0")+IFERROR(IF(Z27="",0,Z27),"0")+IFERROR(IF(Z28="",0,Z28),"0")+IFERROR(IF(Z29="",0,Z29),"0")+IFERROR(IF(Z30="",0,Z30),"0")</f>
        <v>1.9529999999999999E-2</v>
      </c>
      <c r="AA31" s="620"/>
      <c r="AB31" s="620"/>
      <c r="AC31" s="620"/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7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19">
        <f>IFERROR(SUM(X26:X30),"0")</f>
        <v>5</v>
      </c>
      <c r="Y32" s="619">
        <f>IFERROR(SUM(Y26:Y30),"0")</f>
        <v>5.4</v>
      </c>
      <c r="Z32" s="37"/>
      <c r="AA32" s="620"/>
      <c r="AB32" s="620"/>
      <c r="AC32" s="620"/>
    </row>
    <row r="33" spans="1:68" ht="27.75" hidden="1" customHeight="1" x14ac:dyDescent="0.2">
      <c r="A33" s="788" t="s">
        <v>89</v>
      </c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48"/>
      <c r="AB33" s="48"/>
      <c r="AC33" s="48"/>
    </row>
    <row r="34" spans="1:68" ht="16.5" hidden="1" customHeight="1" x14ac:dyDescent="0.25">
      <c r="A34" s="640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2"/>
      <c r="AB34" s="612"/>
      <c r="AC34" s="612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30">
        <v>4680115889354</v>
      </c>
      <c r="E36" s="631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30">
        <v>4680115888463</v>
      </c>
      <c r="E37" s="631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30">
        <v>4680115889590</v>
      </c>
      <c r="E38" s="631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30">
        <v>4680115888272</v>
      </c>
      <c r="E39" s="631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30">
        <v>4680115888364</v>
      </c>
      <c r="E40" s="631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7" t="s">
        <v>69</v>
      </c>
      <c r="Q41" s="638"/>
      <c r="R41" s="638"/>
      <c r="S41" s="638"/>
      <c r="T41" s="638"/>
      <c r="U41" s="638"/>
      <c r="V41" s="639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7" t="s">
        <v>69</v>
      </c>
      <c r="Q42" s="638"/>
      <c r="R42" s="638"/>
      <c r="S42" s="638"/>
      <c r="T42" s="638"/>
      <c r="U42" s="638"/>
      <c r="V42" s="639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88" t="s">
        <v>106</v>
      </c>
      <c r="B43" s="789"/>
      <c r="C43" s="789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48"/>
      <c r="AB43" s="48"/>
      <c r="AC43" s="48"/>
    </row>
    <row r="44" spans="1:68" ht="16.5" hidden="1" customHeight="1" x14ac:dyDescent="0.25">
      <c r="A44" s="640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2"/>
      <c r="AB44" s="612"/>
      <c r="AC44" s="612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3"/>
      <c r="AB45" s="613"/>
      <c r="AC45" s="613"/>
    </row>
    <row r="46" spans="1:68" ht="16.5" hidden="1" customHeight="1" x14ac:dyDescent="0.25">
      <c r="A46" s="54" t="s">
        <v>109</v>
      </c>
      <c r="B46" s="54" t="s">
        <v>110</v>
      </c>
      <c r="C46" s="31">
        <v>4301011380</v>
      </c>
      <c r="D46" s="630">
        <v>4607091385670</v>
      </c>
      <c r="E46" s="631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0</v>
      </c>
      <c r="Y46" s="618">
        <f>IFERROR(IF(X46="",0,CEILING((X46/$H46),1)*$H46),"")</f>
        <v>0</v>
      </c>
      <c r="Z46" s="36" t="str">
        <f>IFERROR(IF(Y46=0,"",ROUNDUP(Y46/H46,0)*0.01898),"")</f>
        <v/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30">
        <v>4680115887725</v>
      </c>
      <c r="E47" s="631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1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30">
        <v>4607091385687</v>
      </c>
      <c r="E48" s="631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30">
        <v>4680115882539</v>
      </c>
      <c r="E49" s="631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9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idden="1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7" t="s">
        <v>69</v>
      </c>
      <c r="Q50" s="638"/>
      <c r="R50" s="638"/>
      <c r="S50" s="638"/>
      <c r="T50" s="638"/>
      <c r="U50" s="638"/>
      <c r="V50" s="639"/>
      <c r="W50" s="37" t="s">
        <v>70</v>
      </c>
      <c r="X50" s="619">
        <f>IFERROR(X46/H46,"0")+IFERROR(X47/H47,"0")+IFERROR(X48/H48,"0")+IFERROR(X49/H49,"0")</f>
        <v>0</v>
      </c>
      <c r="Y50" s="619">
        <f>IFERROR(Y46/H46,"0")+IFERROR(Y47/H47,"0")+IFERROR(Y48/H48,"0")+IFERROR(Y49/H49,"0")</f>
        <v>0</v>
      </c>
      <c r="Z50" s="619">
        <f>IFERROR(IF(Z46="",0,Z46),"0")+IFERROR(IF(Z47="",0,Z47),"0")+IFERROR(IF(Z48="",0,Z48),"0")+IFERROR(IF(Z49="",0,Z49),"0")</f>
        <v>0</v>
      </c>
      <c r="AA50" s="620"/>
      <c r="AB50" s="620"/>
      <c r="AC50" s="620"/>
    </row>
    <row r="51" spans="1:68" hidden="1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7" t="s">
        <v>69</v>
      </c>
      <c r="Q51" s="638"/>
      <c r="R51" s="638"/>
      <c r="S51" s="638"/>
      <c r="T51" s="638"/>
      <c r="U51" s="638"/>
      <c r="V51" s="639"/>
      <c r="W51" s="37" t="s">
        <v>67</v>
      </c>
      <c r="X51" s="619">
        <f>IFERROR(SUM(X46:X49),"0")</f>
        <v>0</v>
      </c>
      <c r="Y51" s="619">
        <f>IFERROR(SUM(Y46:Y49),"0")</f>
        <v>0</v>
      </c>
      <c r="Z51" s="37"/>
      <c r="AA51" s="620"/>
      <c r="AB51" s="620"/>
      <c r="AC51" s="620"/>
    </row>
    <row r="52" spans="1:68" ht="16.5" hidden="1" customHeight="1" x14ac:dyDescent="0.25">
      <c r="A52" s="640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2"/>
      <c r="AB52" s="612"/>
      <c r="AC52" s="612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3"/>
      <c r="AB53" s="613"/>
      <c r="AC53" s="613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30">
        <v>4680115885882</v>
      </c>
      <c r="E54" s="631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14</v>
      </c>
      <c r="Y54" s="618">
        <f t="shared" ref="Y54:Y61" si="0">IFERROR(IF(X54="",0,CEILING((X54/$H54),1)*$H54),"")</f>
        <v>22.4</v>
      </c>
      <c r="Z54" s="36">
        <f>IFERROR(IF(Y54=0,"",ROUNDUP(Y54/H54,0)*0.01898),"")</f>
        <v>3.7960000000000001E-2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14.512500000000001</v>
      </c>
      <c r="BN54" s="64">
        <f t="shared" ref="BN54:BN61" si="2">IFERROR(Y54*I54/H54,"0")</f>
        <v>23.22</v>
      </c>
      <c r="BO54" s="64">
        <f t="shared" ref="BO54:BO61" si="3">IFERROR(1/J54*(X54/H54),"0")</f>
        <v>1.953125E-2</v>
      </c>
      <c r="BP54" s="64">
        <f t="shared" ref="BP54:BP61" si="4">IFERROR(1/J54*(Y54/H54),"0")</f>
        <v>3.125E-2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30">
        <v>4680115881426</v>
      </c>
      <c r="E55" s="631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100</v>
      </c>
      <c r="Y55" s="618">
        <f t="shared" si="0"/>
        <v>108</v>
      </c>
      <c r="Z55" s="36">
        <f>IFERROR(IF(Y55=0,"",ROUNDUP(Y55/H55,0)*0.01898),"")</f>
        <v>0.1898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103.79629629629629</v>
      </c>
      <c r="BN55" s="64">
        <f t="shared" si="2"/>
        <v>112.1</v>
      </c>
      <c r="BO55" s="64">
        <f t="shared" si="3"/>
        <v>0.14467592592592593</v>
      </c>
      <c r="BP55" s="64">
        <f t="shared" si="4"/>
        <v>0.15625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30">
        <v>4680115881426</v>
      </c>
      <c r="E56" s="631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6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30">
        <v>4680115880283</v>
      </c>
      <c r="E57" s="631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30">
        <v>4680115881525</v>
      </c>
      <c r="E58" s="631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8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30">
        <v>4680115881525</v>
      </c>
      <c r="E59" s="631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30">
        <v>4680115885899</v>
      </c>
      <c r="E60" s="631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6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30">
        <v>4680115881419</v>
      </c>
      <c r="E61" s="631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21</v>
      </c>
      <c r="Y61" s="618">
        <f t="shared" si="0"/>
        <v>22.5</v>
      </c>
      <c r="Z61" s="36">
        <f>IFERROR(IF(Y61=0,"",ROUNDUP(Y61/H61,0)*0.00902),"")</f>
        <v>4.5100000000000001E-2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21.88666666666667</v>
      </c>
      <c r="BN61" s="64">
        <f t="shared" si="2"/>
        <v>23.450000000000003</v>
      </c>
      <c r="BO61" s="64">
        <f t="shared" si="3"/>
        <v>3.5353535353535359E-2</v>
      </c>
      <c r="BP61" s="64">
        <f t="shared" si="4"/>
        <v>3.787878787878788E-2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7" t="s">
        <v>69</v>
      </c>
      <c r="Q62" s="638"/>
      <c r="R62" s="638"/>
      <c r="S62" s="638"/>
      <c r="T62" s="638"/>
      <c r="U62" s="638"/>
      <c r="V62" s="639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15.175925925925927</v>
      </c>
      <c r="Y62" s="619">
        <f>IFERROR(Y54/H54,"0")+IFERROR(Y55/H55,"0")+IFERROR(Y56/H56,"0")+IFERROR(Y57/H57,"0")+IFERROR(Y58/H58,"0")+IFERROR(Y59/H59,"0")+IFERROR(Y60/H60,"0")+IFERROR(Y61/H61,"0")</f>
        <v>17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0.27285999999999999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7" t="s">
        <v>69</v>
      </c>
      <c r="Q63" s="638"/>
      <c r="R63" s="638"/>
      <c r="S63" s="638"/>
      <c r="T63" s="638"/>
      <c r="U63" s="638"/>
      <c r="V63" s="639"/>
      <c r="W63" s="37" t="s">
        <v>67</v>
      </c>
      <c r="X63" s="619">
        <f>IFERROR(SUM(X54:X61),"0")</f>
        <v>135</v>
      </c>
      <c r="Y63" s="619">
        <f>IFERROR(SUM(Y54:Y61),"0")</f>
        <v>152.9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3"/>
      <c r="AB64" s="613"/>
      <c r="AC64" s="613"/>
    </row>
    <row r="65" spans="1:68" ht="27" customHeight="1" x14ac:dyDescent="0.25">
      <c r="A65" s="54" t="s">
        <v>144</v>
      </c>
      <c r="B65" s="54" t="s">
        <v>145</v>
      </c>
      <c r="C65" s="31">
        <v>4301020390</v>
      </c>
      <c r="D65" s="630">
        <v>4680115881440</v>
      </c>
      <c r="E65" s="631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57</v>
      </c>
      <c r="Y65" s="618">
        <f>IFERROR(IF(X65="",0,CEILING((X65/$H65),1)*$H65),"")</f>
        <v>64.800000000000011</v>
      </c>
      <c r="Z65" s="36">
        <f>IFERROR(IF(Y65=0,"",ROUNDUP(Y65/H65,0)*0.01898),"")</f>
        <v>0.11388000000000001</v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59.163888888888884</v>
      </c>
      <c r="BN65" s="64">
        <f>IFERROR(Y65*I65/H65,"0")</f>
        <v>67.260000000000005</v>
      </c>
      <c r="BO65" s="64">
        <f>IFERROR(1/J65*(X65/H65),"0")</f>
        <v>8.2465277777777776E-2</v>
      </c>
      <c r="BP65" s="64">
        <f>IFERROR(1/J65*(Y65/H65),"0")</f>
        <v>9.3750000000000014E-2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30">
        <v>4680115885950</v>
      </c>
      <c r="E66" s="631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30">
        <v>4680115887688</v>
      </c>
      <c r="E67" s="631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30">
        <v>4680115881433</v>
      </c>
      <c r="E68" s="631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77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7" t="s">
        <v>69</v>
      </c>
      <c r="Q69" s="638"/>
      <c r="R69" s="638"/>
      <c r="S69" s="638"/>
      <c r="T69" s="638"/>
      <c r="U69" s="638"/>
      <c r="V69" s="639"/>
      <c r="W69" s="37" t="s">
        <v>70</v>
      </c>
      <c r="X69" s="619">
        <f>IFERROR(X65/H65,"0")+IFERROR(X66/H66,"0")+IFERROR(X67/H67,"0")+IFERROR(X68/H68,"0")</f>
        <v>5.2777777777777777</v>
      </c>
      <c r="Y69" s="619">
        <f>IFERROR(Y65/H65,"0")+IFERROR(Y66/H66,"0")+IFERROR(Y67/H67,"0")+IFERROR(Y68/H68,"0")</f>
        <v>6.0000000000000009</v>
      </c>
      <c r="Z69" s="619">
        <f>IFERROR(IF(Z65="",0,Z65),"0")+IFERROR(IF(Z66="",0,Z66),"0")+IFERROR(IF(Z67="",0,Z67),"0")+IFERROR(IF(Z68="",0,Z68),"0")</f>
        <v>0.11388000000000001</v>
      </c>
      <c r="AA69" s="620"/>
      <c r="AB69" s="620"/>
      <c r="AC69" s="620"/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7" t="s">
        <v>69</v>
      </c>
      <c r="Q70" s="638"/>
      <c r="R70" s="638"/>
      <c r="S70" s="638"/>
      <c r="T70" s="638"/>
      <c r="U70" s="638"/>
      <c r="V70" s="639"/>
      <c r="W70" s="37" t="s">
        <v>67</v>
      </c>
      <c r="X70" s="619">
        <f>IFERROR(SUM(X65:X68),"0")</f>
        <v>57</v>
      </c>
      <c r="Y70" s="619">
        <f>IFERROR(SUM(Y65:Y68),"0")</f>
        <v>64.800000000000011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30">
        <v>4680115884311</v>
      </c>
      <c r="E72" s="631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30">
        <v>4680115884403</v>
      </c>
      <c r="E73" s="631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7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7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3"/>
      <c r="AB76" s="613"/>
      <c r="AC76" s="613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30">
        <v>4680115881532</v>
      </c>
      <c r="E77" s="631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30">
        <v>4680115881532</v>
      </c>
      <c r="E78" s="631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30">
        <v>4680115881464</v>
      </c>
      <c r="E79" s="631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7" t="s">
        <v>69</v>
      </c>
      <c r="Q80" s="638"/>
      <c r="R80" s="638"/>
      <c r="S80" s="638"/>
      <c r="T80" s="638"/>
      <c r="U80" s="638"/>
      <c r="V80" s="639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7" t="s">
        <v>69</v>
      </c>
      <c r="Q81" s="638"/>
      <c r="R81" s="638"/>
      <c r="S81" s="638"/>
      <c r="T81" s="638"/>
      <c r="U81" s="638"/>
      <c r="V81" s="639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40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2"/>
      <c r="AB82" s="612"/>
      <c r="AC82" s="612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3"/>
      <c r="AB83" s="613"/>
      <c r="AC83" s="613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30">
        <v>4680115881327</v>
      </c>
      <c r="E84" s="631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50</v>
      </c>
      <c r="Y84" s="618">
        <f t="shared" ref="Y84:Y89" si="5">IFERROR(IF(X84="",0,CEILING((X84/$H84),1)*$H84),"")</f>
        <v>54</v>
      </c>
      <c r="Z84" s="36">
        <f>IFERROR(IF(Y84=0,"",ROUNDUP(Y84/H84,0)*0.01898),"")</f>
        <v>9.4899999999999998E-2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51.898148148148145</v>
      </c>
      <c r="BN84" s="64">
        <f t="shared" ref="BN84:BN89" si="7">IFERROR(Y84*I84/H84,"0")</f>
        <v>56.05</v>
      </c>
      <c r="BO84" s="64">
        <f t="shared" ref="BO84:BO89" si="8">IFERROR(1/J84*(X84/H84),"0")</f>
        <v>7.2337962962962965E-2</v>
      </c>
      <c r="BP84" s="64">
        <f t="shared" ref="BP84:BP89" si="9">IFERROR(1/J84*(Y84/H84),"0")</f>
        <v>7.8125E-2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30">
        <v>4680115881327</v>
      </c>
      <c r="E85" s="631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30">
        <v>4680115887732</v>
      </c>
      <c r="E86" s="631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30">
        <v>4680115881518</v>
      </c>
      <c r="E87" s="631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30">
        <v>4680115881518</v>
      </c>
      <c r="E88" s="631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81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30">
        <v>4680115881303</v>
      </c>
      <c r="E89" s="631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81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90</v>
      </c>
      <c r="Y89" s="618">
        <f t="shared" si="5"/>
        <v>90</v>
      </c>
      <c r="Z89" s="36">
        <f>IFERROR(IF(Y89=0,"",ROUNDUP(Y89/H89,0)*0.00902),"")</f>
        <v>0.1804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93.800000000000011</v>
      </c>
      <c r="BN89" s="64">
        <f t="shared" si="7"/>
        <v>93.800000000000011</v>
      </c>
      <c r="BO89" s="64">
        <f t="shared" si="8"/>
        <v>0.15151515151515152</v>
      </c>
      <c r="BP89" s="64">
        <f t="shared" si="9"/>
        <v>0.15151515151515152</v>
      </c>
    </row>
    <row r="90" spans="1:68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7" t="s">
        <v>69</v>
      </c>
      <c r="Q90" s="638"/>
      <c r="R90" s="638"/>
      <c r="S90" s="638"/>
      <c r="T90" s="638"/>
      <c r="U90" s="638"/>
      <c r="V90" s="639"/>
      <c r="W90" s="37" t="s">
        <v>70</v>
      </c>
      <c r="X90" s="619">
        <f>IFERROR(X84/H84,"0")+IFERROR(X85/H85,"0")+IFERROR(X86/H86,"0")+IFERROR(X87/H87,"0")+IFERROR(X88/H88,"0")+IFERROR(X89/H89,"0")</f>
        <v>24.62962962962963</v>
      </c>
      <c r="Y90" s="619">
        <f>IFERROR(Y84/H84,"0")+IFERROR(Y85/H85,"0")+IFERROR(Y86/H86,"0")+IFERROR(Y87/H87,"0")+IFERROR(Y88/H88,"0")+IFERROR(Y89/H89,"0")</f>
        <v>25</v>
      </c>
      <c r="Z90" s="619">
        <f>IFERROR(IF(Z84="",0,Z84),"0")+IFERROR(IF(Z85="",0,Z85),"0")+IFERROR(IF(Z86="",0,Z86),"0")+IFERROR(IF(Z87="",0,Z87),"0")+IFERROR(IF(Z88="",0,Z88),"0")+IFERROR(IF(Z89="",0,Z89),"0")</f>
        <v>0.27529999999999999</v>
      </c>
      <c r="AA90" s="620"/>
      <c r="AB90" s="620"/>
      <c r="AC90" s="620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7" t="s">
        <v>69</v>
      </c>
      <c r="Q91" s="638"/>
      <c r="R91" s="638"/>
      <c r="S91" s="638"/>
      <c r="T91" s="638"/>
      <c r="U91" s="638"/>
      <c r="V91" s="639"/>
      <c r="W91" s="37" t="s">
        <v>67</v>
      </c>
      <c r="X91" s="619">
        <f>IFERROR(SUM(X84:X89),"0")</f>
        <v>140</v>
      </c>
      <c r="Y91" s="619">
        <f>IFERROR(SUM(Y84:Y89),"0")</f>
        <v>144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3"/>
      <c r="AB92" s="613"/>
      <c r="AC92" s="613"/>
    </row>
    <row r="93" spans="1:68" ht="27" hidden="1" customHeight="1" x14ac:dyDescent="0.25">
      <c r="A93" s="54" t="s">
        <v>182</v>
      </c>
      <c r="B93" s="54" t="s">
        <v>183</v>
      </c>
      <c r="C93" s="31">
        <v>4301052101</v>
      </c>
      <c r="D93" s="630">
        <v>4607091386967</v>
      </c>
      <c r="E93" s="631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8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0</v>
      </c>
      <c r="Y93" s="61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30">
        <v>4680115884953</v>
      </c>
      <c r="E94" s="631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8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188</v>
      </c>
      <c r="B95" s="54" t="s">
        <v>189</v>
      </c>
      <c r="C95" s="31">
        <v>4301052094</v>
      </c>
      <c r="D95" s="630">
        <v>4607091385731</v>
      </c>
      <c r="E95" s="631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280</v>
      </c>
      <c r="Y95" s="618">
        <f>IFERROR(IF(X95="",0,CEILING((X95/$H95),1)*$H95),"")</f>
        <v>280.8</v>
      </c>
      <c r="Z95" s="36">
        <f>IFERROR(IF(Y95=0,"",ROUNDUP(Y95/H95,0)*0.00651),"")</f>
        <v>0.67703999999999998</v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306.13333333333327</v>
      </c>
      <c r="BN95" s="64">
        <f>IFERROR(Y95*I95/H95,"0")</f>
        <v>307.00799999999998</v>
      </c>
      <c r="BO95" s="64">
        <f>IFERROR(1/J95*(X95/H95),"0")</f>
        <v>0.56980056980056981</v>
      </c>
      <c r="BP95" s="64">
        <f>IFERROR(1/J95*(Y95/H95),"0")</f>
        <v>0.57142857142857151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30">
        <v>4680115880894</v>
      </c>
      <c r="E96" s="631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7" t="s">
        <v>69</v>
      </c>
      <c r="Q97" s="638"/>
      <c r="R97" s="638"/>
      <c r="S97" s="638"/>
      <c r="T97" s="638"/>
      <c r="U97" s="638"/>
      <c r="V97" s="639"/>
      <c r="W97" s="37" t="s">
        <v>70</v>
      </c>
      <c r="X97" s="619">
        <f>IFERROR(X93/H93,"0")+IFERROR(X94/H94,"0")+IFERROR(X95/H95,"0")+IFERROR(X96/H96,"0")</f>
        <v>103.7037037037037</v>
      </c>
      <c r="Y97" s="619">
        <f>IFERROR(Y93/H93,"0")+IFERROR(Y94/H94,"0")+IFERROR(Y95/H95,"0")+IFERROR(Y96/H96,"0")</f>
        <v>104</v>
      </c>
      <c r="Z97" s="619">
        <f>IFERROR(IF(Z93="",0,Z93),"0")+IFERROR(IF(Z94="",0,Z94),"0")+IFERROR(IF(Z95="",0,Z95),"0")+IFERROR(IF(Z96="",0,Z96),"0")</f>
        <v>0.67703999999999998</v>
      </c>
      <c r="AA97" s="620"/>
      <c r="AB97" s="620"/>
      <c r="AC97" s="620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7" t="s">
        <v>69</v>
      </c>
      <c r="Q98" s="638"/>
      <c r="R98" s="638"/>
      <c r="S98" s="638"/>
      <c r="T98" s="638"/>
      <c r="U98" s="638"/>
      <c r="V98" s="639"/>
      <c r="W98" s="37" t="s">
        <v>67</v>
      </c>
      <c r="X98" s="619">
        <f>IFERROR(SUM(X93:X96),"0")</f>
        <v>280</v>
      </c>
      <c r="Y98" s="619">
        <f>IFERROR(SUM(Y93:Y96),"0")</f>
        <v>280.8</v>
      </c>
      <c r="Z98" s="37"/>
      <c r="AA98" s="620"/>
      <c r="AB98" s="620"/>
      <c r="AC98" s="620"/>
    </row>
    <row r="99" spans="1:68" ht="16.5" hidden="1" customHeight="1" x14ac:dyDescent="0.25">
      <c r="A99" s="640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2"/>
      <c r="AB99" s="612"/>
      <c r="AC99" s="612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30">
        <v>4680115882133</v>
      </c>
      <c r="E101" s="631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100</v>
      </c>
      <c r="Y101" s="618">
        <f t="shared" ref="Y101:Y107" si="10">IFERROR(IF(X101="",0,CEILING((X101/$H101),1)*$H101),"")</f>
        <v>108</v>
      </c>
      <c r="Z101" s="36">
        <f>IFERROR(IF(Y101=0,"",ROUNDUP(Y101/H101,0)*0.01898),"")</f>
        <v>0.1898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103.79629629629629</v>
      </c>
      <c r="BN101" s="64">
        <f t="shared" ref="BN101:BN107" si="12">IFERROR(Y101*I101/H101,"0")</f>
        <v>112.1</v>
      </c>
      <c r="BO101" s="64">
        <f t="shared" ref="BO101:BO107" si="13">IFERROR(1/J101*(X101/H101),"0")</f>
        <v>0.14467592592592593</v>
      </c>
      <c r="BP101" s="64">
        <f t="shared" ref="BP101:BP107" si="14">IFERROR(1/J101*(Y101/H101),"0")</f>
        <v>0.15625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30">
        <v>4680115882133</v>
      </c>
      <c r="E102" s="631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30">
        <v>4680115887718</v>
      </c>
      <c r="E103" s="631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30">
        <v>4680115880269</v>
      </c>
      <c r="E104" s="631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6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30">
        <v>4680115880429</v>
      </c>
      <c r="E105" s="631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68</v>
      </c>
      <c r="Y105" s="618">
        <f t="shared" si="10"/>
        <v>72</v>
      </c>
      <c r="Z105" s="36">
        <f>IFERROR(IF(Y105=0,"",ROUNDUP(Y105/H105,0)*0.00902),"")</f>
        <v>0.14432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70.871111111111119</v>
      </c>
      <c r="BN105" s="64">
        <f t="shared" si="12"/>
        <v>75.040000000000006</v>
      </c>
      <c r="BO105" s="64">
        <f t="shared" si="13"/>
        <v>0.11447811447811448</v>
      </c>
      <c r="BP105" s="64">
        <f t="shared" si="14"/>
        <v>0.12121212121212122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30">
        <v>4680115881457</v>
      </c>
      <c r="E106" s="631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30">
        <v>4680115889477</v>
      </c>
      <c r="E107" s="631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1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7" t="s">
        <v>69</v>
      </c>
      <c r="Q108" s="638"/>
      <c r="R108" s="638"/>
      <c r="S108" s="638"/>
      <c r="T108" s="638"/>
      <c r="U108" s="638"/>
      <c r="V108" s="639"/>
      <c r="W108" s="37" t="s">
        <v>70</v>
      </c>
      <c r="X108" s="619">
        <f>IFERROR(X101/H101,"0")+IFERROR(X102/H102,"0")+IFERROR(X103/H103,"0")+IFERROR(X104/H104,"0")+IFERROR(X105/H105,"0")+IFERROR(X106/H106,"0")+IFERROR(X107/H107,"0")</f>
        <v>24.37037037037037</v>
      </c>
      <c r="Y108" s="619">
        <f>IFERROR(Y101/H101,"0")+IFERROR(Y102/H102,"0")+IFERROR(Y103/H103,"0")+IFERROR(Y104/H104,"0")+IFERROR(Y105/H105,"0")+IFERROR(Y106/H106,"0")+IFERROR(Y107/H107,"0")</f>
        <v>26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0.33411999999999997</v>
      </c>
      <c r="AA108" s="620"/>
      <c r="AB108" s="620"/>
      <c r="AC108" s="620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7" t="s">
        <v>69</v>
      </c>
      <c r="Q109" s="638"/>
      <c r="R109" s="638"/>
      <c r="S109" s="638"/>
      <c r="T109" s="638"/>
      <c r="U109" s="638"/>
      <c r="V109" s="639"/>
      <c r="W109" s="37" t="s">
        <v>67</v>
      </c>
      <c r="X109" s="619">
        <f>IFERROR(SUM(X101:X107),"0")</f>
        <v>168</v>
      </c>
      <c r="Y109" s="619">
        <f>IFERROR(SUM(Y101:Y107),"0")</f>
        <v>180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3"/>
      <c r="AB110" s="613"/>
      <c r="AC110" s="613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30">
        <v>4680115881488</v>
      </c>
      <c r="E111" s="631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30">
        <v>4680115887664</v>
      </c>
      <c r="E112" s="631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30">
        <v>4680115887664</v>
      </c>
      <c r="E113" s="631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30">
        <v>4680115882775</v>
      </c>
      <c r="E114" s="631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4301020392</v>
      </c>
      <c r="D115" s="630">
        <v>4680115880658</v>
      </c>
      <c r="E115" s="631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0</v>
      </c>
      <c r="Y115" s="61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7" t="s">
        <v>69</v>
      </c>
      <c r="Q116" s="638"/>
      <c r="R116" s="638"/>
      <c r="S116" s="638"/>
      <c r="T116" s="638"/>
      <c r="U116" s="638"/>
      <c r="V116" s="639"/>
      <c r="W116" s="37" t="s">
        <v>70</v>
      </c>
      <c r="X116" s="619">
        <f>IFERROR(X111/H111,"0")+IFERROR(X112/H112,"0")+IFERROR(X113/H113,"0")+IFERROR(X114/H114,"0")+IFERROR(X115/H115,"0")</f>
        <v>0</v>
      </c>
      <c r="Y116" s="619">
        <f>IFERROR(Y111/H111,"0")+IFERROR(Y112/H112,"0")+IFERROR(Y113/H113,"0")+IFERROR(Y114/H114,"0")+IFERROR(Y115/H115,"0")</f>
        <v>0</v>
      </c>
      <c r="Z116" s="619">
        <f>IFERROR(IF(Z111="",0,Z111),"0")+IFERROR(IF(Z112="",0,Z112),"0")+IFERROR(IF(Z113="",0,Z113),"0")+IFERROR(IF(Z114="",0,Z114),"0")+IFERROR(IF(Z115="",0,Z115),"0")</f>
        <v>0</v>
      </c>
      <c r="AA116" s="620"/>
      <c r="AB116" s="620"/>
      <c r="AC116" s="620"/>
    </row>
    <row r="117" spans="1:68" hidden="1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7" t="s">
        <v>69</v>
      </c>
      <c r="Q117" s="638"/>
      <c r="R117" s="638"/>
      <c r="S117" s="638"/>
      <c r="T117" s="638"/>
      <c r="U117" s="638"/>
      <c r="V117" s="639"/>
      <c r="W117" s="37" t="s">
        <v>67</v>
      </c>
      <c r="X117" s="619">
        <f>IFERROR(SUM(X111:X115),"0")</f>
        <v>0</v>
      </c>
      <c r="Y117" s="619">
        <f>IFERROR(SUM(Y111:Y115),"0")</f>
        <v>0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3"/>
      <c r="AB118" s="613"/>
      <c r="AC118" s="613"/>
    </row>
    <row r="119" spans="1:68" ht="27" hidden="1" customHeight="1" x14ac:dyDescent="0.25">
      <c r="A119" s="54" t="s">
        <v>224</v>
      </c>
      <c r="B119" s="54" t="s">
        <v>225</v>
      </c>
      <c r="C119" s="31">
        <v>4301052088</v>
      </c>
      <c r="D119" s="630">
        <v>4607091385168</v>
      </c>
      <c r="E119" s="631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0</v>
      </c>
      <c r="Y119" s="618">
        <f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30">
        <v>4607091383256</v>
      </c>
      <c r="E120" s="631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6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30">
        <v>4607091385748</v>
      </c>
      <c r="E121" s="631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3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157</v>
      </c>
      <c r="Y121" s="618">
        <f>IFERROR(IF(X121="",0,CEILING((X121/$H121),1)*$H121),"")</f>
        <v>159.30000000000001</v>
      </c>
      <c r="Z121" s="36">
        <f>IFERROR(IF(Y121=0,"",ROUNDUP(Y121/H121,0)*0.00651),"")</f>
        <v>0.38408999999999999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171.65333333333331</v>
      </c>
      <c r="BN121" s="64">
        <f>IFERROR(Y121*I121/H121,"0")</f>
        <v>174.16799999999998</v>
      </c>
      <c r="BO121" s="64">
        <f>IFERROR(1/J121*(X121/H121),"0")</f>
        <v>0.31949531949531951</v>
      </c>
      <c r="BP121" s="64">
        <f>IFERROR(1/J121*(Y121/H121),"0")</f>
        <v>0.32417582417582419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30">
        <v>4680115884533</v>
      </c>
      <c r="E122" s="631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7" t="s">
        <v>69</v>
      </c>
      <c r="Q123" s="638"/>
      <c r="R123" s="638"/>
      <c r="S123" s="638"/>
      <c r="T123" s="638"/>
      <c r="U123" s="638"/>
      <c r="V123" s="639"/>
      <c r="W123" s="37" t="s">
        <v>70</v>
      </c>
      <c r="X123" s="619">
        <f>IFERROR(X119/H119,"0")+IFERROR(X120/H120,"0")+IFERROR(X121/H121,"0")+IFERROR(X122/H122,"0")</f>
        <v>58.148148148148145</v>
      </c>
      <c r="Y123" s="619">
        <f>IFERROR(Y119/H119,"0")+IFERROR(Y120/H120,"0")+IFERROR(Y121/H121,"0")+IFERROR(Y122/H122,"0")</f>
        <v>59</v>
      </c>
      <c r="Z123" s="619">
        <f>IFERROR(IF(Z119="",0,Z119),"0")+IFERROR(IF(Z120="",0,Z120),"0")+IFERROR(IF(Z121="",0,Z121),"0")+IFERROR(IF(Z122="",0,Z122),"0")</f>
        <v>0.38408999999999999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7" t="s">
        <v>69</v>
      </c>
      <c r="Q124" s="638"/>
      <c r="R124" s="638"/>
      <c r="S124" s="638"/>
      <c r="T124" s="638"/>
      <c r="U124" s="638"/>
      <c r="V124" s="639"/>
      <c r="W124" s="37" t="s">
        <v>67</v>
      </c>
      <c r="X124" s="619">
        <f>IFERROR(SUM(X119:X122),"0")</f>
        <v>157</v>
      </c>
      <c r="Y124" s="619">
        <f>IFERROR(SUM(Y119:Y122),"0")</f>
        <v>159.30000000000001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30">
        <v>4680115880238</v>
      </c>
      <c r="E126" s="631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7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8</v>
      </c>
      <c r="Y126" s="618">
        <f>IFERROR(IF(X126="",0,CEILING((X126/$H126),1)*$H126),"")</f>
        <v>9.9</v>
      </c>
      <c r="Z126" s="36">
        <f>IFERROR(IF(Y126=0,"",ROUNDUP(Y126/H126,0)*0.00651),"")</f>
        <v>3.2550000000000003E-2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9.0424242424242429</v>
      </c>
      <c r="BN126" s="64">
        <f>IFERROR(Y126*I126/H126,"0")</f>
        <v>11.190000000000001</v>
      </c>
      <c r="BO126" s="64">
        <f>IFERROR(1/J126*(X126/H126),"0")</f>
        <v>2.2200022200022203E-2</v>
      </c>
      <c r="BP126" s="64">
        <f>IFERROR(1/J126*(Y126/H126),"0")</f>
        <v>2.7472527472527476E-2</v>
      </c>
    </row>
    <row r="127" spans="1:68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7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19">
        <f>IFERROR(X126/H126,"0")</f>
        <v>4.0404040404040407</v>
      </c>
      <c r="Y127" s="619">
        <f>IFERROR(Y126/H126,"0")</f>
        <v>5</v>
      </c>
      <c r="Z127" s="619">
        <f>IFERROR(IF(Z126="",0,Z126),"0")</f>
        <v>3.2550000000000003E-2</v>
      </c>
      <c r="AA127" s="620"/>
      <c r="AB127" s="620"/>
      <c r="AC127" s="620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7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19">
        <f>IFERROR(SUM(X126:X126),"0")</f>
        <v>8</v>
      </c>
      <c r="Y128" s="619">
        <f>IFERROR(SUM(Y126:Y126),"0")</f>
        <v>9.9</v>
      </c>
      <c r="Z128" s="37"/>
      <c r="AA128" s="620"/>
      <c r="AB128" s="620"/>
      <c r="AC128" s="620"/>
    </row>
    <row r="129" spans="1:68" ht="16.5" hidden="1" customHeight="1" x14ac:dyDescent="0.25">
      <c r="A129" s="640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2"/>
      <c r="AB129" s="612"/>
      <c r="AC129" s="612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3"/>
      <c r="AB130" s="613"/>
      <c r="AC130" s="613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30">
        <v>4680115882577</v>
      </c>
      <c r="E131" s="631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4</v>
      </c>
      <c r="Y131" s="618">
        <f>IFERROR(IF(X131="",0,CEILING((X131/$H131),1)*$H131),"")</f>
        <v>6.4</v>
      </c>
      <c r="Z131" s="36">
        <f>IFERROR(IF(Y131=0,"",ROUNDUP(Y131/H131,0)*0.00651),"")</f>
        <v>1.302E-2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4.2249999999999996</v>
      </c>
      <c r="BN131" s="64">
        <f>IFERROR(Y131*I131/H131,"0")</f>
        <v>6.76</v>
      </c>
      <c r="BO131" s="64">
        <f>IFERROR(1/J131*(X131/H131),"0")</f>
        <v>6.8681318681318689E-3</v>
      </c>
      <c r="BP131" s="64">
        <f>IFERROR(1/J131*(Y131/H131),"0")</f>
        <v>1.098901098901099E-2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30">
        <v>4680115882577</v>
      </c>
      <c r="E132" s="631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7" t="s">
        <v>69</v>
      </c>
      <c r="Q133" s="638"/>
      <c r="R133" s="638"/>
      <c r="S133" s="638"/>
      <c r="T133" s="638"/>
      <c r="U133" s="638"/>
      <c r="V133" s="639"/>
      <c r="W133" s="37" t="s">
        <v>70</v>
      </c>
      <c r="X133" s="619">
        <f>IFERROR(X131/H131,"0")+IFERROR(X132/H132,"0")</f>
        <v>1.25</v>
      </c>
      <c r="Y133" s="619">
        <f>IFERROR(Y131/H131,"0")+IFERROR(Y132/H132,"0")</f>
        <v>2</v>
      </c>
      <c r="Z133" s="619">
        <f>IFERROR(IF(Z131="",0,Z131),"0")+IFERROR(IF(Z132="",0,Z132),"0")</f>
        <v>1.302E-2</v>
      </c>
      <c r="AA133" s="620"/>
      <c r="AB133" s="620"/>
      <c r="AC133" s="620"/>
    </row>
    <row r="134" spans="1:68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7" t="s">
        <v>69</v>
      </c>
      <c r="Q134" s="638"/>
      <c r="R134" s="638"/>
      <c r="S134" s="638"/>
      <c r="T134" s="638"/>
      <c r="U134" s="638"/>
      <c r="V134" s="639"/>
      <c r="W134" s="37" t="s">
        <v>67</v>
      </c>
      <c r="X134" s="619">
        <f>IFERROR(SUM(X131:X132),"0")</f>
        <v>4</v>
      </c>
      <c r="Y134" s="619">
        <f>IFERROR(SUM(Y131:Y132),"0")</f>
        <v>6.4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3"/>
      <c r="AB135" s="613"/>
      <c r="AC135" s="613"/>
    </row>
    <row r="136" spans="1:68" ht="27" customHeight="1" x14ac:dyDescent="0.25">
      <c r="A136" s="54" t="s">
        <v>243</v>
      </c>
      <c r="B136" s="54" t="s">
        <v>244</v>
      </c>
      <c r="C136" s="31">
        <v>4301031234</v>
      </c>
      <c r="D136" s="630">
        <v>4680115883444</v>
      </c>
      <c r="E136" s="631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6</v>
      </c>
      <c r="Y136" s="618">
        <f>IFERROR(IF(X136="",0,CEILING((X136/$H136),1)*$H136),"")</f>
        <v>8.3999999999999986</v>
      </c>
      <c r="Z136" s="36">
        <f>IFERROR(IF(Y136=0,"",ROUNDUP(Y136/H136,0)*0.00651),"")</f>
        <v>1.9529999999999999E-2</v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6.5742857142857147</v>
      </c>
      <c r="BN136" s="64">
        <f>IFERROR(Y136*I136/H136,"0")</f>
        <v>9.2039999999999988</v>
      </c>
      <c r="BO136" s="64">
        <f>IFERROR(1/J136*(X136/H136),"0")</f>
        <v>1.1773940345368918E-2</v>
      </c>
      <c r="BP136" s="64">
        <f>IFERROR(1/J136*(Y136/H136),"0")</f>
        <v>1.6483516483516484E-2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30">
        <v>4680115883444</v>
      </c>
      <c r="E137" s="631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7" t="s">
        <v>69</v>
      </c>
      <c r="Q138" s="638"/>
      <c r="R138" s="638"/>
      <c r="S138" s="638"/>
      <c r="T138" s="638"/>
      <c r="U138" s="638"/>
      <c r="V138" s="639"/>
      <c r="W138" s="37" t="s">
        <v>70</v>
      </c>
      <c r="X138" s="619">
        <f>IFERROR(X136/H136,"0")+IFERROR(X137/H137,"0")</f>
        <v>2.1428571428571428</v>
      </c>
      <c r="Y138" s="619">
        <f>IFERROR(Y136/H136,"0")+IFERROR(Y137/H137,"0")</f>
        <v>2.9999999999999996</v>
      </c>
      <c r="Z138" s="619">
        <f>IFERROR(IF(Z136="",0,Z136),"0")+IFERROR(IF(Z137="",0,Z137),"0")</f>
        <v>1.9529999999999999E-2</v>
      </c>
      <c r="AA138" s="620"/>
      <c r="AB138" s="620"/>
      <c r="AC138" s="620"/>
    </row>
    <row r="139" spans="1:68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7" t="s">
        <v>69</v>
      </c>
      <c r="Q139" s="638"/>
      <c r="R139" s="638"/>
      <c r="S139" s="638"/>
      <c r="T139" s="638"/>
      <c r="U139" s="638"/>
      <c r="V139" s="639"/>
      <c r="W139" s="37" t="s">
        <v>67</v>
      </c>
      <c r="X139" s="619">
        <f>IFERROR(SUM(X136:X137),"0")</f>
        <v>6</v>
      </c>
      <c r="Y139" s="619">
        <f>IFERROR(SUM(Y136:Y137),"0")</f>
        <v>8.3999999999999986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3"/>
      <c r="AB140" s="613"/>
      <c r="AC140" s="613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30">
        <v>4680115882584</v>
      </c>
      <c r="E141" s="631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30">
        <v>4680115882584</v>
      </c>
      <c r="E142" s="631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7" t="s">
        <v>69</v>
      </c>
      <c r="Q143" s="638"/>
      <c r="R143" s="638"/>
      <c r="S143" s="638"/>
      <c r="T143" s="638"/>
      <c r="U143" s="638"/>
      <c r="V143" s="639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7" t="s">
        <v>69</v>
      </c>
      <c r="Q144" s="638"/>
      <c r="R144" s="638"/>
      <c r="S144" s="638"/>
      <c r="T144" s="638"/>
      <c r="U144" s="638"/>
      <c r="V144" s="639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40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2"/>
      <c r="AB145" s="612"/>
      <c r="AC145" s="612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30">
        <v>4680115888203</v>
      </c>
      <c r="E147" s="631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30">
        <v>4680115888180</v>
      </c>
      <c r="E148" s="631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30">
        <v>4680115888197</v>
      </c>
      <c r="E149" s="631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30">
        <v>4680115888210</v>
      </c>
      <c r="E150" s="631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5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7" t="s">
        <v>69</v>
      </c>
      <c r="Q151" s="638"/>
      <c r="R151" s="638"/>
      <c r="S151" s="638"/>
      <c r="T151" s="638"/>
      <c r="U151" s="638"/>
      <c r="V151" s="639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7" t="s">
        <v>69</v>
      </c>
      <c r="Q152" s="638"/>
      <c r="R152" s="638"/>
      <c r="S152" s="638"/>
      <c r="T152" s="638"/>
      <c r="U152" s="638"/>
      <c r="V152" s="639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30">
        <v>4680115889132</v>
      </c>
      <c r="E154" s="631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4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7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7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40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2"/>
      <c r="AB157" s="612"/>
      <c r="AC157" s="612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30">
        <v>4680115887374</v>
      </c>
      <c r="E159" s="631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30">
        <v>4607091384604</v>
      </c>
      <c r="E160" s="631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30">
        <v>4607091384604</v>
      </c>
      <c r="E161" s="631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30">
        <v>4680115888876</v>
      </c>
      <c r="E162" s="631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7" t="s">
        <v>69</v>
      </c>
      <c r="Q163" s="638"/>
      <c r="R163" s="638"/>
      <c r="S163" s="638"/>
      <c r="T163" s="638"/>
      <c r="U163" s="638"/>
      <c r="V163" s="639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7" t="s">
        <v>69</v>
      </c>
      <c r="Q164" s="638"/>
      <c r="R164" s="638"/>
      <c r="S164" s="638"/>
      <c r="T164" s="638"/>
      <c r="U164" s="638"/>
      <c r="V164" s="639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30">
        <v>4680115887695</v>
      </c>
      <c r="E166" s="631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30">
        <v>4680115889491</v>
      </c>
      <c r="E167" s="631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7" t="s">
        <v>69</v>
      </c>
      <c r="Q168" s="638"/>
      <c r="R168" s="638"/>
      <c r="S168" s="638"/>
      <c r="T168" s="638"/>
      <c r="U168" s="638"/>
      <c r="V168" s="639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7" t="s">
        <v>69</v>
      </c>
      <c r="Q169" s="638"/>
      <c r="R169" s="638"/>
      <c r="S169" s="638"/>
      <c r="T169" s="638"/>
      <c r="U169" s="638"/>
      <c r="V169" s="639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30">
        <v>4680115887428</v>
      </c>
      <c r="E171" s="631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6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80</v>
      </c>
      <c r="Y171" s="618">
        <f t="shared" ref="Y171:Y180" si="15">IFERROR(IF(X171="",0,CEILING((X171/$H171),1)*$H171),"")</f>
        <v>80.5</v>
      </c>
      <c r="Z171" s="36">
        <f>IFERROR(IF(Y171=0,"",ROUNDUP(Y171/H171,0)*0.00902),"")</f>
        <v>0.20746000000000001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84.342857142857142</v>
      </c>
      <c r="BN171" s="64">
        <f t="shared" ref="BN171:BN180" si="17">IFERROR(Y171*I171/H171,"0")</f>
        <v>84.87</v>
      </c>
      <c r="BO171" s="64">
        <f t="shared" ref="BO171:BO180" si="18">IFERROR(1/J171*(X171/H171),"0")</f>
        <v>0.17316017316017318</v>
      </c>
      <c r="BP171" s="64">
        <f t="shared" ref="BP171:BP180" si="19">IFERROR(1/J171*(Y171/H171),"0")</f>
        <v>0.17424242424242425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30">
        <v>4680115889170</v>
      </c>
      <c r="E172" s="631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4301031522</v>
      </c>
      <c r="D173" s="630">
        <v>4680115887398</v>
      </c>
      <c r="E173" s="631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60</v>
      </c>
      <c r="Y173" s="618">
        <f t="shared" si="15"/>
        <v>63</v>
      </c>
      <c r="Z173" s="36">
        <f>IFERROR(IF(Y173=0,"",ROUNDUP(Y173/H173,0)*0.00902),"")</f>
        <v>0.16236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63.25714285714286</v>
      </c>
      <c r="BN173" s="64">
        <f t="shared" si="17"/>
        <v>66.42</v>
      </c>
      <c r="BO173" s="64">
        <f t="shared" si="18"/>
        <v>0.12987012987012986</v>
      </c>
      <c r="BP173" s="64">
        <f t="shared" si="19"/>
        <v>0.13636363636363635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30">
        <v>4680115887336</v>
      </c>
      <c r="E174" s="631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6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40</v>
      </c>
      <c r="Y174" s="618">
        <f t="shared" si="15"/>
        <v>42</v>
      </c>
      <c r="Z174" s="36">
        <f>IFERROR(IF(Y174=0,"",ROUNDUP(Y174/H174,0)*0.00902),"")</f>
        <v>0.10824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42.171428571428571</v>
      </c>
      <c r="BN174" s="64">
        <f t="shared" si="17"/>
        <v>44.279999999999994</v>
      </c>
      <c r="BO174" s="64">
        <f t="shared" si="18"/>
        <v>8.658008658008659E-2</v>
      </c>
      <c r="BP174" s="64">
        <f t="shared" si="19"/>
        <v>9.0909090909090912E-2</v>
      </c>
    </row>
    <row r="175" spans="1:68" ht="16.5" customHeight="1" x14ac:dyDescent="0.25">
      <c r="A175" s="54" t="s">
        <v>298</v>
      </c>
      <c r="B175" s="54" t="s">
        <v>299</v>
      </c>
      <c r="C175" s="31">
        <v>4301031528</v>
      </c>
      <c r="D175" s="630">
        <v>4680115887787</v>
      </c>
      <c r="E175" s="631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3</v>
      </c>
      <c r="Y175" s="618">
        <f t="shared" si="15"/>
        <v>3.6</v>
      </c>
      <c r="Z175" s="36">
        <f>IFERROR(IF(Y175=0,"",ROUNDUP(Y175/H175,0)*0.00726),"")</f>
        <v>2.904E-2</v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3.7</v>
      </c>
      <c r="BN175" s="64">
        <f t="shared" si="17"/>
        <v>4.4400000000000004</v>
      </c>
      <c r="BO175" s="64">
        <f t="shared" si="18"/>
        <v>1.7361111111111108E-2</v>
      </c>
      <c r="BP175" s="64">
        <f t="shared" si="19"/>
        <v>2.0833333333333332E-2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30">
        <v>4680115887503</v>
      </c>
      <c r="E176" s="631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22</v>
      </c>
      <c r="Y176" s="618">
        <f t="shared" si="15"/>
        <v>23.52</v>
      </c>
      <c r="Z176" s="36">
        <f>IFERROR(IF(Y176=0,"",ROUNDUP(Y176/H176,0)*0.00502),"")</f>
        <v>7.0280000000000009E-2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23.309523809523814</v>
      </c>
      <c r="BN176" s="64">
        <f t="shared" si="17"/>
        <v>24.92</v>
      </c>
      <c r="BO176" s="64">
        <f t="shared" si="18"/>
        <v>5.596255596255597E-2</v>
      </c>
      <c r="BP176" s="64">
        <f t="shared" si="19"/>
        <v>5.9829059829059839E-2</v>
      </c>
    </row>
    <row r="177" spans="1:68" ht="27" customHeight="1" x14ac:dyDescent="0.25">
      <c r="A177" s="54" t="s">
        <v>303</v>
      </c>
      <c r="B177" s="54" t="s">
        <v>304</v>
      </c>
      <c r="C177" s="31">
        <v>4301031389</v>
      </c>
      <c r="D177" s="630">
        <v>4680115887763</v>
      </c>
      <c r="E177" s="631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2</v>
      </c>
      <c r="Y177" s="618">
        <f t="shared" si="15"/>
        <v>2.7</v>
      </c>
      <c r="Z177" s="36">
        <f>IFERROR(IF(Y177=0,"",ROUNDUP(Y177/H177,0)*0.00417),"")</f>
        <v>1.251E-2</v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2.4666666666666668</v>
      </c>
      <c r="BN177" s="64">
        <f t="shared" si="17"/>
        <v>3.33</v>
      </c>
      <c r="BO177" s="64">
        <f t="shared" si="18"/>
        <v>6.6137566137566134E-3</v>
      </c>
      <c r="BP177" s="64">
        <f t="shared" si="19"/>
        <v>8.9285714285714281E-3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30">
        <v>4680115887480</v>
      </c>
      <c r="E178" s="631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customHeight="1" x14ac:dyDescent="0.25">
      <c r="A179" s="54" t="s">
        <v>308</v>
      </c>
      <c r="B179" s="54" t="s">
        <v>309</v>
      </c>
      <c r="C179" s="31">
        <v>4301031434</v>
      </c>
      <c r="D179" s="630">
        <v>4680115888067</v>
      </c>
      <c r="E179" s="631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1</v>
      </c>
      <c r="Y179" s="618">
        <f t="shared" si="15"/>
        <v>1.8</v>
      </c>
      <c r="Z179" s="36">
        <f>IFERROR(IF(Y179=0,"",ROUNDUP(Y179/H179,0)*0.00417),"")</f>
        <v>8.3400000000000002E-3</v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1.1111111111111112</v>
      </c>
      <c r="BN179" s="64">
        <f t="shared" si="17"/>
        <v>2</v>
      </c>
      <c r="BO179" s="64">
        <f t="shared" si="18"/>
        <v>3.3068783068783067E-3</v>
      </c>
      <c r="BP179" s="64">
        <f t="shared" si="19"/>
        <v>5.9523809523809521E-3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30">
        <v>4680115887435</v>
      </c>
      <c r="E180" s="631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14</v>
      </c>
      <c r="Y180" s="618">
        <f t="shared" si="15"/>
        <v>15.12</v>
      </c>
      <c r="Z180" s="36">
        <f>IFERROR(IF(Y180=0,"",ROUNDUP(Y180/H180,0)*0.00502),"")</f>
        <v>4.5179999999999998E-2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14.833333333333336</v>
      </c>
      <c r="BN180" s="64">
        <f t="shared" si="17"/>
        <v>16.02</v>
      </c>
      <c r="BO180" s="64">
        <f t="shared" si="18"/>
        <v>3.561253561253562E-2</v>
      </c>
      <c r="BP180" s="64">
        <f t="shared" si="19"/>
        <v>3.8461538461538464E-2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7" t="s">
        <v>69</v>
      </c>
      <c r="Q181" s="638"/>
      <c r="R181" s="638"/>
      <c r="S181" s="638"/>
      <c r="T181" s="638"/>
      <c r="U181" s="638"/>
      <c r="V181" s="639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79.523809523809533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85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0.64341000000000004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7" t="s">
        <v>69</v>
      </c>
      <c r="Q182" s="638"/>
      <c r="R182" s="638"/>
      <c r="S182" s="638"/>
      <c r="T182" s="638"/>
      <c r="U182" s="638"/>
      <c r="V182" s="639"/>
      <c r="W182" s="37" t="s">
        <v>67</v>
      </c>
      <c r="X182" s="619">
        <f>IFERROR(SUM(X171:X180),"0")</f>
        <v>222</v>
      </c>
      <c r="Y182" s="619">
        <f>IFERROR(SUM(Y171:Y180),"0")</f>
        <v>232.24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30">
        <v>4680115888395</v>
      </c>
      <c r="E184" s="631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6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30">
        <v>4680115888371</v>
      </c>
      <c r="E185" s="631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7" t="s">
        <v>69</v>
      </c>
      <c r="Q186" s="638"/>
      <c r="R186" s="638"/>
      <c r="S186" s="638"/>
      <c r="T186" s="638"/>
      <c r="U186" s="638"/>
      <c r="V186" s="639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7" t="s">
        <v>69</v>
      </c>
      <c r="Q187" s="638"/>
      <c r="R187" s="638"/>
      <c r="S187" s="638"/>
      <c r="T187" s="638"/>
      <c r="U187" s="638"/>
      <c r="V187" s="639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30">
        <v>4680115889026</v>
      </c>
      <c r="E189" s="631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7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7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30">
        <v>4680115889033</v>
      </c>
      <c r="E193" s="631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6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7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7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88" t="s">
        <v>327</v>
      </c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89"/>
      <c r="S196" s="789"/>
      <c r="T196" s="789"/>
      <c r="U196" s="789"/>
      <c r="V196" s="789"/>
      <c r="W196" s="789"/>
      <c r="X196" s="789"/>
      <c r="Y196" s="789"/>
      <c r="Z196" s="789"/>
      <c r="AA196" s="48"/>
      <c r="AB196" s="48"/>
      <c r="AC196" s="48"/>
    </row>
    <row r="197" spans="1:68" ht="16.5" hidden="1" customHeight="1" x14ac:dyDescent="0.25">
      <c r="A197" s="640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2"/>
      <c r="AB197" s="612"/>
      <c r="AC197" s="612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30">
        <v>4607091383423</v>
      </c>
      <c r="E199" s="631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30">
        <v>4680115888760</v>
      </c>
      <c r="E200" s="631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30">
        <v>4680115888807</v>
      </c>
      <c r="E201" s="631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30">
        <v>4680115888852</v>
      </c>
      <c r="E202" s="631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8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30">
        <v>4680115886957</v>
      </c>
      <c r="E203" s="631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30">
        <v>4680115885660</v>
      </c>
      <c r="E204" s="631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30">
        <v>4680115886773</v>
      </c>
      <c r="E205" s="631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7" t="s">
        <v>69</v>
      </c>
      <c r="Q206" s="638"/>
      <c r="R206" s="638"/>
      <c r="S206" s="638"/>
      <c r="T206" s="638"/>
      <c r="U206" s="638"/>
      <c r="V206" s="639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7" t="s">
        <v>69</v>
      </c>
      <c r="Q207" s="638"/>
      <c r="R207" s="638"/>
      <c r="S207" s="638"/>
      <c r="T207" s="638"/>
      <c r="U207" s="638"/>
      <c r="V207" s="639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40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2"/>
      <c r="AB208" s="612"/>
      <c r="AC208" s="612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30">
        <v>4680115886223</v>
      </c>
      <c r="E210" s="631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7" t="s">
        <v>69</v>
      </c>
      <c r="Q211" s="638"/>
      <c r="R211" s="638"/>
      <c r="S211" s="638"/>
      <c r="T211" s="638"/>
      <c r="U211" s="638"/>
      <c r="V211" s="639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7" t="s">
        <v>69</v>
      </c>
      <c r="Q212" s="638"/>
      <c r="R212" s="638"/>
      <c r="S212" s="638"/>
      <c r="T212" s="638"/>
      <c r="U212" s="638"/>
      <c r="V212" s="639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3"/>
      <c r="AB213" s="613"/>
      <c r="AC213" s="613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30">
        <v>4680115880993</v>
      </c>
      <c r="E214" s="631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50</v>
      </c>
      <c r="Y214" s="618">
        <f t="shared" ref="Y214:Y226" si="26">IFERROR(IF(X214="",0,CEILING((X214/$H214),1)*$H214),"")</f>
        <v>50.400000000000006</v>
      </c>
      <c r="Z214" s="36">
        <f>IFERROR(IF(Y214=0,"",ROUNDUP(Y214/H214,0)*0.00902),"")</f>
        <v>0.10824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52.976190476190474</v>
      </c>
      <c r="BN214" s="64">
        <f t="shared" ref="BN214:BN226" si="28">IFERROR(Y214*I214/H214,"0")</f>
        <v>53.400000000000006</v>
      </c>
      <c r="BO214" s="64">
        <f t="shared" ref="BO214:BO226" si="29">IFERROR(1/J214*(X214/H214),"0")</f>
        <v>9.0187590187590191E-2</v>
      </c>
      <c r="BP214" s="64">
        <f t="shared" ref="BP214:BP226" si="30">IFERROR(1/J214*(Y214/H214),"0")</f>
        <v>9.0909090909090912E-2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30">
        <v>4680115881761</v>
      </c>
      <c r="E215" s="631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30">
        <v>4680115881563</v>
      </c>
      <c r="E216" s="631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hidden="1" customHeight="1" x14ac:dyDescent="0.25">
      <c r="A217" s="54" t="s">
        <v>362</v>
      </c>
      <c r="B217" s="54" t="s">
        <v>363</v>
      </c>
      <c r="C217" s="31">
        <v>4301031447</v>
      </c>
      <c r="D217" s="630">
        <v>4680115887565</v>
      </c>
      <c r="E217" s="631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0</v>
      </c>
      <c r="Y217" s="618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customHeight="1" x14ac:dyDescent="0.25">
      <c r="A218" s="54" t="s">
        <v>365</v>
      </c>
      <c r="B218" s="54" t="s">
        <v>366</v>
      </c>
      <c r="C218" s="31">
        <v>4301031199</v>
      </c>
      <c r="D218" s="630">
        <v>4680115880986</v>
      </c>
      <c r="E218" s="631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35</v>
      </c>
      <c r="Y218" s="618">
        <f t="shared" si="26"/>
        <v>35.700000000000003</v>
      </c>
      <c r="Z218" s="36">
        <f>IFERROR(IF(Y218=0,"",ROUNDUP(Y218/H218,0)*0.00502),"")</f>
        <v>8.5339999999999999E-2</v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37.166666666666664</v>
      </c>
      <c r="BN218" s="64">
        <f t="shared" si="28"/>
        <v>37.910000000000004</v>
      </c>
      <c r="BO218" s="64">
        <f t="shared" si="29"/>
        <v>7.1225071225071226E-2</v>
      </c>
      <c r="BP218" s="64">
        <f t="shared" si="30"/>
        <v>7.2649572649572655E-2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30">
        <v>4680115887213</v>
      </c>
      <c r="E219" s="631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30">
        <v>4680115881785</v>
      </c>
      <c r="E220" s="631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30">
        <v>4680115888432</v>
      </c>
      <c r="E221" s="631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4301031503</v>
      </c>
      <c r="D222" s="630">
        <v>4680115886537</v>
      </c>
      <c r="E222" s="631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24</v>
      </c>
      <c r="Y222" s="618">
        <f t="shared" si="26"/>
        <v>25.2</v>
      </c>
      <c r="Z222" s="36">
        <f>IFERROR(IF(Y222=0,"",ROUNDUP(Y222/H222,0)*0.00502),"")</f>
        <v>7.0280000000000009E-2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25.733333333333334</v>
      </c>
      <c r="BN222" s="64">
        <f t="shared" si="28"/>
        <v>27.019999999999996</v>
      </c>
      <c r="BO222" s="64">
        <f t="shared" si="29"/>
        <v>5.6980056980056981E-2</v>
      </c>
      <c r="BP222" s="64">
        <f t="shared" si="30"/>
        <v>5.9829059829059839E-2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30">
        <v>4680115887596</v>
      </c>
      <c r="E223" s="631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6</v>
      </c>
      <c r="Y223" s="618">
        <f t="shared" si="26"/>
        <v>6.4</v>
      </c>
      <c r="Z223" s="36">
        <f>IFERROR(IF(Y223=0,"",ROUNDUP(Y223/H223,0)*0.00417),"")</f>
        <v>3.3360000000000001E-2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7.5750000000000002</v>
      </c>
      <c r="BN223" s="64">
        <f t="shared" si="28"/>
        <v>8.08</v>
      </c>
      <c r="BO223" s="64">
        <f t="shared" si="29"/>
        <v>2.2321428571428568E-2</v>
      </c>
      <c r="BP223" s="64">
        <f t="shared" si="30"/>
        <v>2.3809523809523808E-2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30">
        <v>4680115881679</v>
      </c>
      <c r="E224" s="631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35</v>
      </c>
      <c r="Y224" s="618">
        <f t="shared" si="26"/>
        <v>35.700000000000003</v>
      </c>
      <c r="Z224" s="36">
        <f>IFERROR(IF(Y224=0,"",ROUNDUP(Y224/H224,0)*0.00502),"")</f>
        <v>8.5339999999999999E-2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36.666666666666664</v>
      </c>
      <c r="BN224" s="64">
        <f t="shared" si="28"/>
        <v>37.4</v>
      </c>
      <c r="BO224" s="64">
        <f t="shared" si="29"/>
        <v>7.1225071225071226E-2</v>
      </c>
      <c r="BP224" s="64">
        <f t="shared" si="30"/>
        <v>7.2649572649572655E-2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30">
        <v>4680115880191</v>
      </c>
      <c r="E225" s="631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30">
        <v>4680115883963</v>
      </c>
      <c r="E226" s="631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7" t="s">
        <v>69</v>
      </c>
      <c r="Q227" s="638"/>
      <c r="R227" s="638"/>
      <c r="S227" s="638"/>
      <c r="T227" s="638"/>
      <c r="U227" s="638"/>
      <c r="V227" s="639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66.071428571428555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68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0.38256000000000001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7" t="s">
        <v>69</v>
      </c>
      <c r="Q228" s="638"/>
      <c r="R228" s="638"/>
      <c r="S228" s="638"/>
      <c r="T228" s="638"/>
      <c r="U228" s="638"/>
      <c r="V228" s="639"/>
      <c r="W228" s="37" t="s">
        <v>67</v>
      </c>
      <c r="X228" s="619">
        <f>IFERROR(SUM(X214:X226),"0")</f>
        <v>150</v>
      </c>
      <c r="Y228" s="619">
        <f>IFERROR(SUM(Y214:Y226),"0")</f>
        <v>153.40000000000003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30">
        <v>4680115888692</v>
      </c>
      <c r="E230" s="631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30">
        <v>4680115888722</v>
      </c>
      <c r="E231" s="631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30">
        <v>4680115888951</v>
      </c>
      <c r="E232" s="631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30">
        <v>4680115888975</v>
      </c>
      <c r="E233" s="631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30">
        <v>4680115888982</v>
      </c>
      <c r="E234" s="631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7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7" t="s">
        <v>69</v>
      </c>
      <c r="Q235" s="638"/>
      <c r="R235" s="638"/>
      <c r="S235" s="638"/>
      <c r="T235" s="638"/>
      <c r="U235" s="638"/>
      <c r="V235" s="639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7" t="s">
        <v>69</v>
      </c>
      <c r="Q236" s="638"/>
      <c r="R236" s="638"/>
      <c r="S236" s="638"/>
      <c r="T236" s="638"/>
      <c r="U236" s="638"/>
      <c r="V236" s="639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30">
        <v>4680115886780</v>
      </c>
      <c r="E238" s="631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2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404</v>
      </c>
      <c r="B239" s="54" t="s">
        <v>405</v>
      </c>
      <c r="C239" s="31">
        <v>4301032051</v>
      </c>
      <c r="D239" s="630">
        <v>4680115886742</v>
      </c>
      <c r="E239" s="631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4</v>
      </c>
      <c r="Y239" s="618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4.6031746031746028</v>
      </c>
      <c r="BN239" s="64">
        <f>IFERROR(Y239*I239/H239,"0")</f>
        <v>5.8</v>
      </c>
      <c r="BO239" s="64">
        <f>IFERROR(1/J239*(X239/H239),"0")</f>
        <v>1.469723691945914E-2</v>
      </c>
      <c r="BP239" s="64">
        <f>IFERROR(1/J239*(Y239/H239),"0")</f>
        <v>1.8518518518518517E-2</v>
      </c>
    </row>
    <row r="240" spans="1:68" ht="27" customHeight="1" x14ac:dyDescent="0.25">
      <c r="A240" s="54" t="s">
        <v>407</v>
      </c>
      <c r="B240" s="54" t="s">
        <v>408</v>
      </c>
      <c r="C240" s="31">
        <v>4301032052</v>
      </c>
      <c r="D240" s="630">
        <v>4680115886766</v>
      </c>
      <c r="E240" s="631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4</v>
      </c>
      <c r="Y240" s="618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4.6031746031746028</v>
      </c>
      <c r="BN240" s="64">
        <f>IFERROR(Y240*I240/H240,"0")</f>
        <v>5.8</v>
      </c>
      <c r="BO240" s="64">
        <f>IFERROR(1/J240*(X240/H240),"0")</f>
        <v>1.469723691945914E-2</v>
      </c>
      <c r="BP240" s="64">
        <f>IFERROR(1/J240*(Y240/H240),"0")</f>
        <v>1.8518518518518517E-2</v>
      </c>
    </row>
    <row r="241" spans="1:68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7" t="s">
        <v>69</v>
      </c>
      <c r="Q241" s="638"/>
      <c r="R241" s="638"/>
      <c r="S241" s="638"/>
      <c r="T241" s="638"/>
      <c r="U241" s="638"/>
      <c r="V241" s="639"/>
      <c r="W241" s="37" t="s">
        <v>70</v>
      </c>
      <c r="X241" s="619">
        <f>IFERROR(X238/H238,"0")+IFERROR(X239/H239,"0")+IFERROR(X240/H240,"0")</f>
        <v>6.3492063492063489</v>
      </c>
      <c r="Y241" s="619">
        <f>IFERROR(Y238/H238,"0")+IFERROR(Y239/H239,"0")+IFERROR(Y240/H240,"0")</f>
        <v>8</v>
      </c>
      <c r="Z241" s="619">
        <f>IFERROR(IF(Z238="",0,Z238),"0")+IFERROR(IF(Z239="",0,Z239),"0")+IFERROR(IF(Z240="",0,Z240),"0")</f>
        <v>4.7199999999999999E-2</v>
      </c>
      <c r="AA241" s="620"/>
      <c r="AB241" s="620"/>
      <c r="AC241" s="620"/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7" t="s">
        <v>69</v>
      </c>
      <c r="Q242" s="638"/>
      <c r="R242" s="638"/>
      <c r="S242" s="638"/>
      <c r="T242" s="638"/>
      <c r="U242" s="638"/>
      <c r="V242" s="639"/>
      <c r="W242" s="37" t="s">
        <v>67</v>
      </c>
      <c r="X242" s="619">
        <f>IFERROR(SUM(X238:X240),"0")</f>
        <v>8</v>
      </c>
      <c r="Y242" s="619">
        <f>IFERROR(SUM(Y238:Y240),"0")</f>
        <v>10.08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3"/>
      <c r="AB243" s="613"/>
      <c r="AC243" s="613"/>
    </row>
    <row r="244" spans="1:68" ht="27" customHeight="1" x14ac:dyDescent="0.25">
      <c r="A244" s="54" t="s">
        <v>410</v>
      </c>
      <c r="B244" s="54" t="s">
        <v>411</v>
      </c>
      <c r="C244" s="31">
        <v>4301170013</v>
      </c>
      <c r="D244" s="630">
        <v>4680115886797</v>
      </c>
      <c r="E244" s="631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4</v>
      </c>
      <c r="Y244" s="618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4.6031746031746028</v>
      </c>
      <c r="BN244" s="64">
        <f>IFERROR(Y244*I244/H244,"0")</f>
        <v>5.8</v>
      </c>
      <c r="BO244" s="64">
        <f>IFERROR(1/J244*(X244/H244),"0")</f>
        <v>1.469723691945914E-2</v>
      </c>
      <c r="BP244" s="64">
        <f>IFERROR(1/J244*(Y244/H244),"0")</f>
        <v>1.8518518518518517E-2</v>
      </c>
    </row>
    <row r="245" spans="1:68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7" t="s">
        <v>69</v>
      </c>
      <c r="Q245" s="638"/>
      <c r="R245" s="638"/>
      <c r="S245" s="638"/>
      <c r="T245" s="638"/>
      <c r="U245" s="638"/>
      <c r="V245" s="639"/>
      <c r="W245" s="37" t="s">
        <v>70</v>
      </c>
      <c r="X245" s="619">
        <f>IFERROR(X244/H244,"0")</f>
        <v>3.1746031746031744</v>
      </c>
      <c r="Y245" s="619">
        <f>IFERROR(Y244/H244,"0")</f>
        <v>4</v>
      </c>
      <c r="Z245" s="619">
        <f>IFERROR(IF(Z244="",0,Z244),"0")</f>
        <v>2.3599999999999999E-2</v>
      </c>
      <c r="AA245" s="620"/>
      <c r="AB245" s="620"/>
      <c r="AC245" s="620"/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7" t="s">
        <v>69</v>
      </c>
      <c r="Q246" s="638"/>
      <c r="R246" s="638"/>
      <c r="S246" s="638"/>
      <c r="T246" s="638"/>
      <c r="U246" s="638"/>
      <c r="V246" s="639"/>
      <c r="W246" s="37" t="s">
        <v>67</v>
      </c>
      <c r="X246" s="619">
        <f>IFERROR(SUM(X244:X244),"0")</f>
        <v>4</v>
      </c>
      <c r="Y246" s="619">
        <f>IFERROR(SUM(Y244:Y244),"0")</f>
        <v>5.04</v>
      </c>
      <c r="Z246" s="37"/>
      <c r="AA246" s="620"/>
      <c r="AB246" s="620"/>
      <c r="AC246" s="620"/>
    </row>
    <row r="247" spans="1:68" ht="16.5" hidden="1" customHeight="1" x14ac:dyDescent="0.25">
      <c r="A247" s="640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2"/>
      <c r="AB247" s="612"/>
      <c r="AC247" s="612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30">
        <v>4680115881402</v>
      </c>
      <c r="E249" s="631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30">
        <v>4680115881396</v>
      </c>
      <c r="E250" s="631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7" t="s">
        <v>69</v>
      </c>
      <c r="Q251" s="638"/>
      <c r="R251" s="638"/>
      <c r="S251" s="638"/>
      <c r="T251" s="638"/>
      <c r="U251" s="638"/>
      <c r="V251" s="639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7" t="s">
        <v>69</v>
      </c>
      <c r="Q252" s="638"/>
      <c r="R252" s="638"/>
      <c r="S252" s="638"/>
      <c r="T252" s="638"/>
      <c r="U252" s="638"/>
      <c r="V252" s="639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30">
        <v>4680115882935</v>
      </c>
      <c r="E254" s="631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30">
        <v>4680115880764</v>
      </c>
      <c r="E255" s="631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7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7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3"/>
      <c r="AB258" s="613"/>
      <c r="AC258" s="613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30">
        <v>4680115882683</v>
      </c>
      <c r="E259" s="631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30">
        <v>4680115882690</v>
      </c>
      <c r="E260" s="631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30">
        <v>4680115882669</v>
      </c>
      <c r="E261" s="631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100</v>
      </c>
      <c r="Y261" s="618">
        <f t="shared" si="31"/>
        <v>102.60000000000001</v>
      </c>
      <c r="Z261" s="36">
        <f>IFERROR(IF(Y261=0,"",ROUNDUP(Y261/H261,0)*0.00902),"")</f>
        <v>0.17138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103.5185185185185</v>
      </c>
      <c r="BN261" s="64">
        <f t="shared" si="33"/>
        <v>106.21</v>
      </c>
      <c r="BO261" s="64">
        <f t="shared" si="34"/>
        <v>0.14029180695847362</v>
      </c>
      <c r="BP261" s="64">
        <f t="shared" si="35"/>
        <v>0.14393939393939395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30">
        <v>4680115882676</v>
      </c>
      <c r="E262" s="631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60</v>
      </c>
      <c r="Y262" s="618">
        <f t="shared" si="31"/>
        <v>64.800000000000011</v>
      </c>
      <c r="Z262" s="36">
        <f>IFERROR(IF(Y262=0,"",ROUNDUP(Y262/H262,0)*0.00902),"")</f>
        <v>0.10824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62.1111111111111</v>
      </c>
      <c r="BN262" s="64">
        <f t="shared" si="33"/>
        <v>67.08</v>
      </c>
      <c r="BO262" s="64">
        <f t="shared" si="34"/>
        <v>8.4175084175084181E-2</v>
      </c>
      <c r="BP262" s="64">
        <f t="shared" si="35"/>
        <v>9.0909090909090925E-2</v>
      </c>
    </row>
    <row r="263" spans="1:68" ht="27" customHeight="1" x14ac:dyDescent="0.25">
      <c r="A263" s="54" t="s">
        <v>435</v>
      </c>
      <c r="B263" s="54" t="s">
        <v>436</v>
      </c>
      <c r="C263" s="31">
        <v>4301031223</v>
      </c>
      <c r="D263" s="630">
        <v>4680115884014</v>
      </c>
      <c r="E263" s="631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24</v>
      </c>
      <c r="Y263" s="618">
        <f t="shared" si="31"/>
        <v>25.2</v>
      </c>
      <c r="Z263" s="36">
        <f>IFERROR(IF(Y263=0,"",ROUNDUP(Y263/H263,0)*0.00502),"")</f>
        <v>7.0280000000000009E-2</v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25.733333333333334</v>
      </c>
      <c r="BN263" s="64">
        <f t="shared" si="33"/>
        <v>27.019999999999996</v>
      </c>
      <c r="BO263" s="64">
        <f t="shared" si="34"/>
        <v>5.6980056980056981E-2</v>
      </c>
      <c r="BP263" s="64">
        <f t="shared" si="35"/>
        <v>5.9829059829059839E-2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30">
        <v>4680115884007</v>
      </c>
      <c r="E264" s="631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24</v>
      </c>
      <c r="Y264" s="618">
        <f t="shared" si="31"/>
        <v>25.2</v>
      </c>
      <c r="Z264" s="36">
        <f>IFERROR(IF(Y264=0,"",ROUNDUP(Y264/H264,0)*0.00502),"")</f>
        <v>7.0280000000000009E-2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25.333333333333329</v>
      </c>
      <c r="BN264" s="64">
        <f t="shared" si="33"/>
        <v>26.599999999999998</v>
      </c>
      <c r="BO264" s="64">
        <f t="shared" si="34"/>
        <v>5.6980056980056981E-2</v>
      </c>
      <c r="BP264" s="64">
        <f t="shared" si="35"/>
        <v>5.9829059829059839E-2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30">
        <v>4680115884038</v>
      </c>
      <c r="E265" s="631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4301031225</v>
      </c>
      <c r="D266" s="630">
        <v>4680115884021</v>
      </c>
      <c r="E266" s="631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15</v>
      </c>
      <c r="Y266" s="618">
        <f t="shared" si="31"/>
        <v>16.2</v>
      </c>
      <c r="Z266" s="36">
        <f>IFERROR(IF(Y266=0,"",ROUNDUP(Y266/H266,0)*0.00502),"")</f>
        <v>4.5179999999999998E-2</v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15.833333333333332</v>
      </c>
      <c r="BN266" s="64">
        <f t="shared" si="33"/>
        <v>17.099999999999998</v>
      </c>
      <c r="BO266" s="64">
        <f t="shared" si="34"/>
        <v>3.561253561253562E-2</v>
      </c>
      <c r="BP266" s="64">
        <f t="shared" si="35"/>
        <v>3.8461538461538464E-2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7" t="s">
        <v>69</v>
      </c>
      <c r="Q267" s="638"/>
      <c r="R267" s="638"/>
      <c r="S267" s="638"/>
      <c r="T267" s="638"/>
      <c r="U267" s="638"/>
      <c r="V267" s="639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64.629629629629619</v>
      </c>
      <c r="Y267" s="619">
        <f>IFERROR(Y259/H259,"0")+IFERROR(Y260/H260,"0")+IFERROR(Y261/H261,"0")+IFERROR(Y262/H262,"0")+IFERROR(Y263/H263,"0")+IFERROR(Y264/H264,"0")+IFERROR(Y265/H265,"0")+IFERROR(Y266/H266,"0")</f>
        <v>68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0.46536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7" t="s">
        <v>69</v>
      </c>
      <c r="Q268" s="638"/>
      <c r="R268" s="638"/>
      <c r="S268" s="638"/>
      <c r="T268" s="638"/>
      <c r="U268" s="638"/>
      <c r="V268" s="639"/>
      <c r="W268" s="37" t="s">
        <v>67</v>
      </c>
      <c r="X268" s="619">
        <f>IFERROR(SUM(X259:X266),"0")</f>
        <v>223</v>
      </c>
      <c r="Y268" s="619">
        <f>IFERROR(SUM(Y259:Y266),"0")</f>
        <v>234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3"/>
      <c r="AB269" s="613"/>
      <c r="AC269" s="613"/>
    </row>
    <row r="270" spans="1:68" ht="27" hidden="1" customHeight="1" x14ac:dyDescent="0.25">
      <c r="A270" s="54" t="s">
        <v>443</v>
      </c>
      <c r="B270" s="54" t="s">
        <v>444</v>
      </c>
      <c r="C270" s="31">
        <v>4301051408</v>
      </c>
      <c r="D270" s="630">
        <v>4680115881594</v>
      </c>
      <c r="E270" s="631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0</v>
      </c>
      <c r="Y270" s="618">
        <f t="shared" ref="Y270:Y281" si="36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0</v>
      </c>
      <c r="BN270" s="64">
        <f t="shared" ref="BN270:BN281" si="38">IFERROR(Y270*I270/H270,"0")</f>
        <v>0</v>
      </c>
      <c r="BO270" s="64">
        <f t="shared" ref="BO270:BO281" si="39">IFERROR(1/J270*(X270/H270),"0")</f>
        <v>0</v>
      </c>
      <c r="BP270" s="64">
        <f t="shared" ref="BP270:BP281" si="40">IFERROR(1/J270*(Y270/H270),"0")</f>
        <v>0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4301051411</v>
      </c>
      <c r="D271" s="630">
        <v>4680115881617</v>
      </c>
      <c r="E271" s="631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0</v>
      </c>
      <c r="Y271" s="618">
        <f t="shared" si="36"/>
        <v>0</v>
      </c>
      <c r="Z271" s="36" t="str">
        <f>IFERROR(IF(Y271=0,"",ROUNDUP(Y271/H271,0)*0.01898),"")</f>
        <v/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0</v>
      </c>
      <c r="BN271" s="64">
        <f t="shared" si="38"/>
        <v>0</v>
      </c>
      <c r="BO271" s="64">
        <f t="shared" si="39"/>
        <v>0</v>
      </c>
      <c r="BP271" s="64">
        <f t="shared" si="40"/>
        <v>0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30">
        <v>4680115880573</v>
      </c>
      <c r="E272" s="631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7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30">
        <v>4680115882195</v>
      </c>
      <c r="E273" s="631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49</v>
      </c>
      <c r="Y273" s="618">
        <f t="shared" si="36"/>
        <v>50.4</v>
      </c>
      <c r="Z273" s="36">
        <f>IFERROR(IF(Y273=0,"",ROUNDUP(Y273/H273,0)*0.00651),"")</f>
        <v>0.13671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54.512499999999996</v>
      </c>
      <c r="BN273" s="64">
        <f t="shared" si="38"/>
        <v>56.069999999999993</v>
      </c>
      <c r="BO273" s="64">
        <f t="shared" si="39"/>
        <v>0.1121794871794872</v>
      </c>
      <c r="BP273" s="64">
        <f t="shared" si="40"/>
        <v>0.11538461538461539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30">
        <v>4680115882607</v>
      </c>
      <c r="E274" s="631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30">
        <v>4680115882607</v>
      </c>
      <c r="E275" s="631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30">
        <v>4680115880092</v>
      </c>
      <c r="E276" s="631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169</v>
      </c>
      <c r="Y276" s="618">
        <f t="shared" si="36"/>
        <v>170.4</v>
      </c>
      <c r="Z276" s="36">
        <f>IFERROR(IF(Y276=0,"",ROUNDUP(Y276/H276,0)*0.00651),"")</f>
        <v>0.46221000000000001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186.74500000000003</v>
      </c>
      <c r="BN276" s="64">
        <f t="shared" si="38"/>
        <v>188.29200000000003</v>
      </c>
      <c r="BO276" s="64">
        <f t="shared" si="39"/>
        <v>0.38690476190476197</v>
      </c>
      <c r="BP276" s="64">
        <f t="shared" si="40"/>
        <v>0.39010989010989017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30">
        <v>4680115889064</v>
      </c>
      <c r="E277" s="631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30">
        <v>4680115880221</v>
      </c>
      <c r="E278" s="631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22</v>
      </c>
      <c r="Y278" s="618">
        <f t="shared" si="36"/>
        <v>24</v>
      </c>
      <c r="Z278" s="36">
        <f>IFERROR(IF(Y278=0,"",ROUNDUP(Y278/H278,0)*0.00651),"")</f>
        <v>6.5100000000000005E-2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24.310000000000002</v>
      </c>
      <c r="BN278" s="64">
        <f t="shared" si="38"/>
        <v>26.520000000000003</v>
      </c>
      <c r="BO278" s="64">
        <f t="shared" si="39"/>
        <v>5.0366300366300375E-2</v>
      </c>
      <c r="BP278" s="64">
        <f t="shared" si="40"/>
        <v>5.4945054945054951E-2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30">
        <v>4680115880504</v>
      </c>
      <c r="E279" s="631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26</v>
      </c>
      <c r="Y279" s="618">
        <f t="shared" si="36"/>
        <v>26.4</v>
      </c>
      <c r="Z279" s="36">
        <f>IFERROR(IF(Y279=0,"",ROUNDUP(Y279/H279,0)*0.00651),"")</f>
        <v>7.1610000000000007E-2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28.73</v>
      </c>
      <c r="BN279" s="64">
        <f t="shared" si="38"/>
        <v>29.172000000000001</v>
      </c>
      <c r="BO279" s="64">
        <f t="shared" si="39"/>
        <v>5.9523809523809534E-2</v>
      </c>
      <c r="BP279" s="64">
        <f t="shared" si="40"/>
        <v>6.0439560439560447E-2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30">
        <v>4680115882164</v>
      </c>
      <c r="E280" s="631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59</v>
      </c>
      <c r="Y280" s="618">
        <f t="shared" si="36"/>
        <v>60</v>
      </c>
      <c r="Z280" s="36">
        <f>IFERROR(IF(Y280=0,"",ROUNDUP(Y280/H280,0)*0.00651),"")</f>
        <v>0.16275000000000001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65.342500000000001</v>
      </c>
      <c r="BN280" s="64">
        <f t="shared" si="38"/>
        <v>66.45</v>
      </c>
      <c r="BO280" s="64">
        <f t="shared" si="39"/>
        <v>0.13507326007326009</v>
      </c>
      <c r="BP280" s="64">
        <f t="shared" si="40"/>
        <v>0.13736263736263737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30">
        <v>4680115888340</v>
      </c>
      <c r="E281" s="631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7" t="s">
        <v>69</v>
      </c>
      <c r="Q282" s="638"/>
      <c r="R282" s="638"/>
      <c r="S282" s="638"/>
      <c r="T282" s="638"/>
      <c r="U282" s="638"/>
      <c r="V282" s="639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135.41666666666669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138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0.89837999999999996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7" t="s">
        <v>69</v>
      </c>
      <c r="Q283" s="638"/>
      <c r="R283" s="638"/>
      <c r="S283" s="638"/>
      <c r="T283" s="638"/>
      <c r="U283" s="638"/>
      <c r="V283" s="639"/>
      <c r="W283" s="37" t="s">
        <v>67</v>
      </c>
      <c r="X283" s="619">
        <f>IFERROR(SUM(X270:X281),"0")</f>
        <v>325</v>
      </c>
      <c r="Y283" s="619">
        <f>IFERROR(SUM(Y270:Y281),"0")</f>
        <v>331.2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3"/>
      <c r="AB284" s="613"/>
      <c r="AC284" s="613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30">
        <v>4680115880818</v>
      </c>
      <c r="E285" s="631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30">
        <v>4680115880801</v>
      </c>
      <c r="E286" s="631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7" t="s">
        <v>69</v>
      </c>
      <c r="Q287" s="638"/>
      <c r="R287" s="638"/>
      <c r="S287" s="638"/>
      <c r="T287" s="638"/>
      <c r="U287" s="638"/>
      <c r="V287" s="639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7" t="s">
        <v>69</v>
      </c>
      <c r="Q288" s="638"/>
      <c r="R288" s="638"/>
      <c r="S288" s="638"/>
      <c r="T288" s="638"/>
      <c r="U288" s="638"/>
      <c r="V288" s="639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40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2"/>
      <c r="AB289" s="612"/>
      <c r="AC289" s="612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30">
        <v>4680115884137</v>
      </c>
      <c r="E291" s="631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30">
        <v>4680115884236</v>
      </c>
      <c r="E292" s="631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30">
        <v>4680115884175</v>
      </c>
      <c r="E293" s="631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5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30">
        <v>4680115884144</v>
      </c>
      <c r="E294" s="631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30">
        <v>4680115886551</v>
      </c>
      <c r="E295" s="631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30">
        <v>4680115887282</v>
      </c>
      <c r="E296" s="631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30">
        <v>4680115884205</v>
      </c>
      <c r="E297" s="631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7" t="s">
        <v>69</v>
      </c>
      <c r="Q298" s="638"/>
      <c r="R298" s="638"/>
      <c r="S298" s="638"/>
      <c r="T298" s="638"/>
      <c r="U298" s="638"/>
      <c r="V298" s="639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7" t="s">
        <v>69</v>
      </c>
      <c r="Q299" s="638"/>
      <c r="R299" s="638"/>
      <c r="S299" s="638"/>
      <c r="T299" s="638"/>
      <c r="U299" s="638"/>
      <c r="V299" s="639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30">
        <v>4680115885981</v>
      </c>
      <c r="E301" s="631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7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7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3"/>
      <c r="AB304" s="613"/>
      <c r="AC304" s="613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30">
        <v>4680115886803</v>
      </c>
      <c r="E305" s="631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7</v>
      </c>
      <c r="Y305" s="618">
        <f>IFERROR(IF(X305="",0,CEILING((X305/$H305),1)*$H305),"")</f>
        <v>7.2</v>
      </c>
      <c r="Z305" s="36">
        <f>IFERROR(IF(Y305=0,"",ROUNDUP(Y305/H305,0)*0.0059),"")</f>
        <v>2.3599999999999999E-2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7.6805555555555562</v>
      </c>
      <c r="BN305" s="64">
        <f>IFERROR(Y305*I305/H305,"0")</f>
        <v>7.9</v>
      </c>
      <c r="BO305" s="64">
        <f>IFERROR(1/J305*(X305/H305),"0")</f>
        <v>1.8004115226337446E-2</v>
      </c>
      <c r="BP305" s="64">
        <f>IFERROR(1/J305*(Y305/H305),"0")</f>
        <v>1.8518518518518517E-2</v>
      </c>
    </row>
    <row r="306" spans="1:68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7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19">
        <f>IFERROR(X305/H305,"0")</f>
        <v>3.8888888888888888</v>
      </c>
      <c r="Y306" s="619">
        <f>IFERROR(Y305/H305,"0")</f>
        <v>4</v>
      </c>
      <c r="Z306" s="619">
        <f>IFERROR(IF(Z305="",0,Z305),"0")</f>
        <v>2.3599999999999999E-2</v>
      </c>
      <c r="AA306" s="620"/>
      <c r="AB306" s="620"/>
      <c r="AC306" s="620"/>
    </row>
    <row r="307" spans="1:68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7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19">
        <f>IFERROR(SUM(X305:X305),"0")</f>
        <v>7</v>
      </c>
      <c r="Y307" s="619">
        <f>IFERROR(SUM(Y305:Y305),"0")</f>
        <v>7.2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30">
        <v>4680115886681</v>
      </c>
      <c r="E309" s="631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30">
        <v>4680115886735</v>
      </c>
      <c r="E310" s="631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7" t="s">
        <v>69</v>
      </c>
      <c r="Q311" s="638"/>
      <c r="R311" s="638"/>
      <c r="S311" s="638"/>
      <c r="T311" s="638"/>
      <c r="U311" s="638"/>
      <c r="V311" s="639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7" t="s">
        <v>69</v>
      </c>
      <c r="Q312" s="638"/>
      <c r="R312" s="638"/>
      <c r="S312" s="638"/>
      <c r="T312" s="638"/>
      <c r="U312" s="638"/>
      <c r="V312" s="639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40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2"/>
      <c r="AB313" s="612"/>
      <c r="AC313" s="612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30">
        <v>4680115885837</v>
      </c>
      <c r="E315" s="631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30">
        <v>4680115889637</v>
      </c>
      <c r="E316" s="631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30">
        <v>4680115887237</v>
      </c>
      <c r="E317" s="631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30">
        <v>4680115885806</v>
      </c>
      <c r="E318" s="631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30">
        <v>4680115885844</v>
      </c>
      <c r="E319" s="631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30">
        <v>4680115885820</v>
      </c>
      <c r="E320" s="631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7" t="s">
        <v>69</v>
      </c>
      <c r="Q321" s="638"/>
      <c r="R321" s="638"/>
      <c r="S321" s="638"/>
      <c r="T321" s="638"/>
      <c r="U321" s="638"/>
      <c r="V321" s="639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7" t="s">
        <v>69</v>
      </c>
      <c r="Q322" s="638"/>
      <c r="R322" s="638"/>
      <c r="S322" s="638"/>
      <c r="T322" s="638"/>
      <c r="U322" s="638"/>
      <c r="V322" s="639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40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2"/>
      <c r="AB323" s="612"/>
      <c r="AC323" s="612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30">
        <v>4680115886186</v>
      </c>
      <c r="E325" s="631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30">
        <v>4680115881228</v>
      </c>
      <c r="E326" s="631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29</v>
      </c>
      <c r="Y326" s="618">
        <f>IFERROR(IF(X326="",0,CEILING((X326/$H326),1)*$H326),"")</f>
        <v>31.2</v>
      </c>
      <c r="Z326" s="36">
        <f>IFERROR(IF(Y326=0,"",ROUNDUP(Y326/H326,0)*0.00651),"")</f>
        <v>8.4629999999999997E-2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32.045000000000002</v>
      </c>
      <c r="BN326" s="64">
        <f>IFERROR(Y326*I326/H326,"0")</f>
        <v>34.476000000000006</v>
      </c>
      <c r="BO326" s="64">
        <f>IFERROR(1/J326*(X326/H326),"0")</f>
        <v>6.6391941391941406E-2</v>
      </c>
      <c r="BP326" s="64">
        <f>IFERROR(1/J326*(Y326/H326),"0")</f>
        <v>7.1428571428571438E-2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30">
        <v>4680115881211</v>
      </c>
      <c r="E327" s="631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128</v>
      </c>
      <c r="Y327" s="618">
        <f>IFERROR(IF(X327="",0,CEILING((X327/$H327),1)*$H327),"")</f>
        <v>129.6</v>
      </c>
      <c r="Z327" s="36">
        <f>IFERROR(IF(Y327=0,"",ROUNDUP(Y327/H327,0)*0.00651),"")</f>
        <v>0.35154000000000002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137.60000000000002</v>
      </c>
      <c r="BN327" s="64">
        <f>IFERROR(Y327*I327/H327,"0")</f>
        <v>139.32</v>
      </c>
      <c r="BO327" s="64">
        <f>IFERROR(1/J327*(X327/H327),"0")</f>
        <v>0.29304029304029305</v>
      </c>
      <c r="BP327" s="64">
        <f>IFERROR(1/J327*(Y327/H327),"0")</f>
        <v>0.2967032967032967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7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19">
        <f>IFERROR(X325/H325,"0")+IFERROR(X326/H326,"0")+IFERROR(X327/H327,"0")</f>
        <v>65.416666666666671</v>
      </c>
      <c r="Y328" s="619">
        <f>IFERROR(Y325/H325,"0")+IFERROR(Y326/H326,"0")+IFERROR(Y327/H327,"0")</f>
        <v>67</v>
      </c>
      <c r="Z328" s="619">
        <f>IFERROR(IF(Z325="",0,Z325),"0")+IFERROR(IF(Z326="",0,Z326),"0")+IFERROR(IF(Z327="",0,Z327),"0")</f>
        <v>0.43617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7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19">
        <f>IFERROR(SUM(X325:X327),"0")</f>
        <v>157</v>
      </c>
      <c r="Y329" s="619">
        <f>IFERROR(SUM(Y325:Y327),"0")</f>
        <v>160.79999999999998</v>
      </c>
      <c r="Z329" s="37"/>
      <c r="AA329" s="620"/>
      <c r="AB329" s="620"/>
      <c r="AC329" s="620"/>
    </row>
    <row r="330" spans="1:68" ht="16.5" hidden="1" customHeight="1" x14ac:dyDescent="0.25">
      <c r="A330" s="640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2"/>
      <c r="AB330" s="612"/>
      <c r="AC330" s="612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30">
        <v>4680115888319</v>
      </c>
      <c r="E332" s="631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30">
        <v>4680115884700</v>
      </c>
      <c r="E333" s="631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30">
        <v>4680115880344</v>
      </c>
      <c r="E334" s="631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30">
        <v>4680115886919</v>
      </c>
      <c r="E335" s="631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8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7" t="s">
        <v>69</v>
      </c>
      <c r="Q336" s="638"/>
      <c r="R336" s="638"/>
      <c r="S336" s="638"/>
      <c r="T336" s="638"/>
      <c r="U336" s="638"/>
      <c r="V336" s="639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7" t="s">
        <v>69</v>
      </c>
      <c r="Q337" s="638"/>
      <c r="R337" s="638"/>
      <c r="S337" s="638"/>
      <c r="T337" s="638"/>
      <c r="U337" s="638"/>
      <c r="V337" s="639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30">
        <v>4680115884618</v>
      </c>
      <c r="E339" s="631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30">
        <v>4680115887114</v>
      </c>
      <c r="E340" s="631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30">
        <v>4680115887466</v>
      </c>
      <c r="E341" s="631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7" t="s">
        <v>69</v>
      </c>
      <c r="Q342" s="638"/>
      <c r="R342" s="638"/>
      <c r="S342" s="638"/>
      <c r="T342" s="638"/>
      <c r="U342" s="638"/>
      <c r="V342" s="639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7" t="s">
        <v>69</v>
      </c>
      <c r="Q343" s="638"/>
      <c r="R343" s="638"/>
      <c r="S343" s="638"/>
      <c r="T343" s="638"/>
      <c r="U343" s="638"/>
      <c r="V343" s="639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40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2"/>
      <c r="AB344" s="612"/>
      <c r="AC344" s="612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3"/>
      <c r="AB345" s="613"/>
      <c r="AC345" s="613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30">
        <v>4680115887947</v>
      </c>
      <c r="E346" s="631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9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0</v>
      </c>
      <c r="Y346" s="618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564</v>
      </c>
      <c r="B347" s="54" t="s">
        <v>565</v>
      </c>
      <c r="C347" s="31">
        <v>4301012325</v>
      </c>
      <c r="D347" s="630">
        <v>4680115887978</v>
      </c>
      <c r="E347" s="631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0</v>
      </c>
      <c r="Y347" s="618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30">
        <v>4680115887992</v>
      </c>
      <c r="E348" s="631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6</v>
      </c>
      <c r="Y348" s="618">
        <f>IFERROR(IF(X348="",0,CEILING((X348/$H348),1)*$H348),"")</f>
        <v>7.8</v>
      </c>
      <c r="Z348" s="36">
        <f>IFERROR(IF(Y348=0,"",ROUNDUP(Y348/H348,0)*0.01898),"")</f>
        <v>1.898E-2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6.315384615384616</v>
      </c>
      <c r="BN348" s="64">
        <f>IFERROR(Y348*I348/H348,"0")</f>
        <v>8.2100000000000009</v>
      </c>
      <c r="BO348" s="64">
        <f>IFERROR(1/J348*(X348/H348),"0")</f>
        <v>1.201923076923077E-2</v>
      </c>
      <c r="BP348" s="64">
        <f>IFERROR(1/J348*(Y348/H348),"0")</f>
        <v>1.5625E-2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7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19">
        <f>IFERROR(X346/H346,"0")+IFERROR(X347/H347,"0")+IFERROR(X348/H348,"0")</f>
        <v>0.76923076923076927</v>
      </c>
      <c r="Y349" s="619">
        <f>IFERROR(Y346/H346,"0")+IFERROR(Y347/H347,"0")+IFERROR(Y348/H348,"0")</f>
        <v>1</v>
      </c>
      <c r="Z349" s="619">
        <f>IFERROR(IF(Z346="",0,Z346),"0")+IFERROR(IF(Z347="",0,Z347),"0")+IFERROR(IF(Z348="",0,Z348),"0")</f>
        <v>1.898E-2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7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19">
        <f>IFERROR(SUM(X346:X348),"0")</f>
        <v>6</v>
      </c>
      <c r="Y350" s="619">
        <f>IFERROR(SUM(Y346:Y348),"0")</f>
        <v>7.8</v>
      </c>
      <c r="Z350" s="37"/>
      <c r="AA350" s="620"/>
      <c r="AB350" s="620"/>
      <c r="AC350" s="620"/>
    </row>
    <row r="351" spans="1:68" ht="16.5" hidden="1" customHeight="1" x14ac:dyDescent="0.25">
      <c r="A351" s="640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2"/>
      <c r="AB351" s="612"/>
      <c r="AC351" s="612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30">
        <v>4680115889293</v>
      </c>
      <c r="E353" s="631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30">
        <v>4680115887190</v>
      </c>
      <c r="E354" s="631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30">
        <v>4680115889880</v>
      </c>
      <c r="E355" s="631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30">
        <v>4680115887138</v>
      </c>
      <c r="E356" s="631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30">
        <v>4680115885554</v>
      </c>
      <c r="E357" s="631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30">
        <v>4680115887220</v>
      </c>
      <c r="E358" s="631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30">
        <v>4680115885608</v>
      </c>
      <c r="E359" s="631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7" t="s">
        <v>69</v>
      </c>
      <c r="Q360" s="638"/>
      <c r="R360" s="638"/>
      <c r="S360" s="638"/>
      <c r="T360" s="638"/>
      <c r="U360" s="638"/>
      <c r="V360" s="639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7" t="s">
        <v>69</v>
      </c>
      <c r="Q361" s="638"/>
      <c r="R361" s="638"/>
      <c r="S361" s="638"/>
      <c r="T361" s="638"/>
      <c r="U361" s="638"/>
      <c r="V361" s="639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30">
        <v>4607091387193</v>
      </c>
      <c r="E363" s="631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30">
        <v>4607091387230</v>
      </c>
      <c r="E364" s="631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30">
        <v>4607091387292</v>
      </c>
      <c r="E365" s="631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30">
        <v>4607091387285</v>
      </c>
      <c r="E366" s="631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30">
        <v>4607091389845</v>
      </c>
      <c r="E367" s="631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30">
        <v>4680115887442</v>
      </c>
      <c r="E368" s="631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30">
        <v>4607091383836</v>
      </c>
      <c r="E369" s="631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7" t="s">
        <v>69</v>
      </c>
      <c r="Q370" s="638"/>
      <c r="R370" s="638"/>
      <c r="S370" s="638"/>
      <c r="T370" s="638"/>
      <c r="U370" s="638"/>
      <c r="V370" s="639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7" t="s">
        <v>69</v>
      </c>
      <c r="Q371" s="638"/>
      <c r="R371" s="638"/>
      <c r="S371" s="638"/>
      <c r="T371" s="638"/>
      <c r="U371" s="638"/>
      <c r="V371" s="639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30">
        <v>4607091387766</v>
      </c>
      <c r="E373" s="631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30">
        <v>4607091387957</v>
      </c>
      <c r="E374" s="631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30">
        <v>4607091387964</v>
      </c>
      <c r="E375" s="631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30">
        <v>4680115884588</v>
      </c>
      <c r="E376" s="631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7" t="s">
        <v>69</v>
      </c>
      <c r="Q377" s="638"/>
      <c r="R377" s="638"/>
      <c r="S377" s="638"/>
      <c r="T377" s="638"/>
      <c r="U377" s="638"/>
      <c r="V377" s="639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7" t="s">
        <v>69</v>
      </c>
      <c r="Q378" s="638"/>
      <c r="R378" s="638"/>
      <c r="S378" s="638"/>
      <c r="T378" s="638"/>
      <c r="U378" s="638"/>
      <c r="V378" s="639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3"/>
      <c r="AB379" s="613"/>
      <c r="AC379" s="613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30">
        <v>4607091380880</v>
      </c>
      <c r="E380" s="631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30">
        <v>4607091384482</v>
      </c>
      <c r="E381" s="631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200</v>
      </c>
      <c r="Y381" s="618">
        <f>IFERROR(IF(X381="",0,CEILING((X381/$H381),1)*$H381),"")</f>
        <v>202.79999999999998</v>
      </c>
      <c r="Z381" s="36">
        <f>IFERROR(IF(Y381=0,"",ROUNDUP(Y381/H381,0)*0.01898),"")</f>
        <v>0.49348000000000003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212.66666666666669</v>
      </c>
      <c r="BN381" s="64">
        <f>IFERROR(Y381*I381/H381,"0")</f>
        <v>215.64399999999998</v>
      </c>
      <c r="BO381" s="64">
        <f>IFERROR(1/J381*(X381/H381),"0")</f>
        <v>0.40064102564102566</v>
      </c>
      <c r="BP381" s="64">
        <f>IFERROR(1/J381*(Y381/H381),"0")</f>
        <v>0.40625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30">
        <v>4607091380897</v>
      </c>
      <c r="E382" s="631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7" t="s">
        <v>69</v>
      </c>
      <c r="Q383" s="638"/>
      <c r="R383" s="638"/>
      <c r="S383" s="638"/>
      <c r="T383" s="638"/>
      <c r="U383" s="638"/>
      <c r="V383" s="639"/>
      <c r="W383" s="37" t="s">
        <v>70</v>
      </c>
      <c r="X383" s="619">
        <f>IFERROR(X380/H380,"0")+IFERROR(X381/H381,"0")+IFERROR(X382/H382,"0")</f>
        <v>25.641025641025642</v>
      </c>
      <c r="Y383" s="619">
        <f>IFERROR(Y380/H380,"0")+IFERROR(Y381/H381,"0")+IFERROR(Y382/H382,"0")</f>
        <v>26</v>
      </c>
      <c r="Z383" s="619">
        <f>IFERROR(IF(Z380="",0,Z380),"0")+IFERROR(IF(Z381="",0,Z381),"0")+IFERROR(IF(Z382="",0,Z382),"0")</f>
        <v>0.49348000000000003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7" t="s">
        <v>69</v>
      </c>
      <c r="Q384" s="638"/>
      <c r="R384" s="638"/>
      <c r="S384" s="638"/>
      <c r="T384" s="638"/>
      <c r="U384" s="638"/>
      <c r="V384" s="639"/>
      <c r="W384" s="37" t="s">
        <v>67</v>
      </c>
      <c r="X384" s="619">
        <f>IFERROR(SUM(X380:X382),"0")</f>
        <v>200</v>
      </c>
      <c r="Y384" s="619">
        <f>IFERROR(SUM(Y380:Y382),"0")</f>
        <v>202.79999999999998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30">
        <v>4607091388381</v>
      </c>
      <c r="E386" s="631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30">
        <v>4607091388374</v>
      </c>
      <c r="E387" s="631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0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634</v>
      </c>
      <c r="B388" s="54" t="s">
        <v>635</v>
      </c>
      <c r="C388" s="31">
        <v>4301032015</v>
      </c>
      <c r="D388" s="630">
        <v>4607091383102</v>
      </c>
      <c r="E388" s="631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15</v>
      </c>
      <c r="Y388" s="618">
        <f>IFERROR(IF(X388="",0,CEILING((X388/$H388),1)*$H388),"")</f>
        <v>15.299999999999999</v>
      </c>
      <c r="Z388" s="36">
        <f>IFERROR(IF(Y388=0,"",ROUNDUP(Y388/H388,0)*0.00651),"")</f>
        <v>3.9059999999999997E-2</v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17.382352941176475</v>
      </c>
      <c r="BN388" s="64">
        <f>IFERROR(Y388*I388/H388,"0")</f>
        <v>17.73</v>
      </c>
      <c r="BO388" s="64">
        <f>IFERROR(1/J388*(X388/H388),"0")</f>
        <v>3.2320620555914677E-2</v>
      </c>
      <c r="BP388" s="64">
        <f>IFERROR(1/J388*(Y388/H388),"0")</f>
        <v>3.2967032967032968E-2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30">
        <v>4607091388404</v>
      </c>
      <c r="E389" s="631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8</v>
      </c>
      <c r="Y389" s="618">
        <f>IFERROR(IF(X389="",0,CEILING((X389/$H389),1)*$H389),"")</f>
        <v>10.199999999999999</v>
      </c>
      <c r="Z389" s="36">
        <f>IFERROR(IF(Y389=0,"",ROUNDUP(Y389/H389,0)*0.00651),"")</f>
        <v>2.6040000000000001E-2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9.0352941176470587</v>
      </c>
      <c r="BN389" s="64">
        <f>IFERROR(Y389*I389/H389,"0")</f>
        <v>11.52</v>
      </c>
      <c r="BO389" s="64">
        <f>IFERROR(1/J389*(X389/H389),"0")</f>
        <v>1.7237664296487831E-2</v>
      </c>
      <c r="BP389" s="64">
        <f>IFERROR(1/J389*(Y389/H389),"0")</f>
        <v>2.197802197802198E-2</v>
      </c>
    </row>
    <row r="390" spans="1:68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7" t="s">
        <v>69</v>
      </c>
      <c r="Q390" s="638"/>
      <c r="R390" s="638"/>
      <c r="S390" s="638"/>
      <c r="T390" s="638"/>
      <c r="U390" s="638"/>
      <c r="V390" s="639"/>
      <c r="W390" s="37" t="s">
        <v>70</v>
      </c>
      <c r="X390" s="619">
        <f>IFERROR(X386/H386,"0")+IFERROR(X387/H387,"0")+IFERROR(X388/H388,"0")+IFERROR(X389/H389,"0")</f>
        <v>9.0196078431372548</v>
      </c>
      <c r="Y390" s="619">
        <f>IFERROR(Y386/H386,"0")+IFERROR(Y387/H387,"0")+IFERROR(Y388/H388,"0")+IFERROR(Y389/H389,"0")</f>
        <v>10</v>
      </c>
      <c r="Z390" s="619">
        <f>IFERROR(IF(Z386="",0,Z386),"0")+IFERROR(IF(Z387="",0,Z387),"0")+IFERROR(IF(Z388="",0,Z388),"0")+IFERROR(IF(Z389="",0,Z389),"0")</f>
        <v>6.5099999999999991E-2</v>
      </c>
      <c r="AA390" s="620"/>
      <c r="AB390" s="620"/>
      <c r="AC390" s="620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7" t="s">
        <v>69</v>
      </c>
      <c r="Q391" s="638"/>
      <c r="R391" s="638"/>
      <c r="S391" s="638"/>
      <c r="T391" s="638"/>
      <c r="U391" s="638"/>
      <c r="V391" s="639"/>
      <c r="W391" s="37" t="s">
        <v>67</v>
      </c>
      <c r="X391" s="619">
        <f>IFERROR(SUM(X386:X389),"0")</f>
        <v>23</v>
      </c>
      <c r="Y391" s="619">
        <f>IFERROR(SUM(Y386:Y389),"0")</f>
        <v>25.5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3"/>
      <c r="AB392" s="613"/>
      <c r="AC392" s="613"/>
    </row>
    <row r="393" spans="1:68" ht="16.5" hidden="1" customHeight="1" x14ac:dyDescent="0.25">
      <c r="A393" s="54" t="s">
        <v>639</v>
      </c>
      <c r="B393" s="54" t="s">
        <v>640</v>
      </c>
      <c r="C393" s="31">
        <v>4301180007</v>
      </c>
      <c r="D393" s="630">
        <v>4680115881808</v>
      </c>
      <c r="E393" s="631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0</v>
      </c>
      <c r="Y393" s="618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4301180006</v>
      </c>
      <c r="D394" s="630">
        <v>4680115881822</v>
      </c>
      <c r="E394" s="631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0</v>
      </c>
      <c r="Y394" s="618">
        <f>IFERROR(IF(X394="",0,CEILING((X394/$H394),1)*$H394),"")</f>
        <v>0</v>
      </c>
      <c r="Z394" s="36" t="str">
        <f>IFERROR(IF(Y394=0,"",ROUNDUP(Y394/H394,0)*0.00474),"")</f>
        <v/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645</v>
      </c>
      <c r="B395" s="54" t="s">
        <v>646</v>
      </c>
      <c r="C395" s="31">
        <v>4301180001</v>
      </c>
      <c r="D395" s="630">
        <v>4680115880016</v>
      </c>
      <c r="E395" s="631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0</v>
      </c>
      <c r="Y395" s="618">
        <f>IFERROR(IF(X395="",0,CEILING((X395/$H395),1)*$H395),"")</f>
        <v>0</v>
      </c>
      <c r="Z395" s="36" t="str">
        <f>IFERROR(IF(Y395=0,"",ROUNDUP(Y395/H395,0)*0.00474),"")</f>
        <v/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7" t="s">
        <v>69</v>
      </c>
      <c r="Q396" s="638"/>
      <c r="R396" s="638"/>
      <c r="S396" s="638"/>
      <c r="T396" s="638"/>
      <c r="U396" s="638"/>
      <c r="V396" s="639"/>
      <c r="W396" s="37" t="s">
        <v>70</v>
      </c>
      <c r="X396" s="619">
        <f>IFERROR(X393/H393,"0")+IFERROR(X394/H394,"0")+IFERROR(X395/H395,"0")</f>
        <v>0</v>
      </c>
      <c r="Y396" s="619">
        <f>IFERROR(Y393/H393,"0")+IFERROR(Y394/H394,"0")+IFERROR(Y395/H395,"0")</f>
        <v>0</v>
      </c>
      <c r="Z396" s="619">
        <f>IFERROR(IF(Z393="",0,Z393),"0")+IFERROR(IF(Z394="",0,Z394),"0")+IFERROR(IF(Z395="",0,Z395),"0")</f>
        <v>0</v>
      </c>
      <c r="AA396" s="620"/>
      <c r="AB396" s="620"/>
      <c r="AC396" s="620"/>
    </row>
    <row r="397" spans="1:68" hidden="1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7" t="s">
        <v>69</v>
      </c>
      <c r="Q397" s="638"/>
      <c r="R397" s="638"/>
      <c r="S397" s="638"/>
      <c r="T397" s="638"/>
      <c r="U397" s="638"/>
      <c r="V397" s="639"/>
      <c r="W397" s="37" t="s">
        <v>67</v>
      </c>
      <c r="X397" s="619">
        <f>IFERROR(SUM(X393:X395),"0")</f>
        <v>0</v>
      </c>
      <c r="Y397" s="619">
        <f>IFERROR(SUM(Y393:Y395),"0")</f>
        <v>0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30">
        <v>4680115888678</v>
      </c>
      <c r="E399" s="631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30">
        <v>4680115888654</v>
      </c>
      <c r="E400" s="631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30">
        <v>4680115888753</v>
      </c>
      <c r="E401" s="631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7" t="s">
        <v>69</v>
      </c>
      <c r="Q402" s="638"/>
      <c r="R402" s="638"/>
      <c r="S402" s="638"/>
      <c r="T402" s="638"/>
      <c r="U402" s="638"/>
      <c r="V402" s="639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7" t="s">
        <v>69</v>
      </c>
      <c r="Q403" s="638"/>
      <c r="R403" s="638"/>
      <c r="S403" s="638"/>
      <c r="T403" s="638"/>
      <c r="U403" s="638"/>
      <c r="V403" s="639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40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2"/>
      <c r="AB404" s="612"/>
      <c r="AC404" s="612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30">
        <v>4680115889415</v>
      </c>
      <c r="E406" s="631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30">
        <v>4680115889422</v>
      </c>
      <c r="E407" s="631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7" t="s">
        <v>69</v>
      </c>
      <c r="Q408" s="638"/>
      <c r="R408" s="638"/>
      <c r="S408" s="638"/>
      <c r="T408" s="638"/>
      <c r="U408" s="638"/>
      <c r="V408" s="639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7" t="s">
        <v>69</v>
      </c>
      <c r="Q409" s="638"/>
      <c r="R409" s="638"/>
      <c r="S409" s="638"/>
      <c r="T409" s="638"/>
      <c r="U409" s="638"/>
      <c r="V409" s="639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40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2"/>
      <c r="AB410" s="612"/>
      <c r="AC410" s="612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30">
        <v>4607091387919</v>
      </c>
      <c r="E412" s="631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30">
        <v>4680115883604</v>
      </c>
      <c r="E413" s="631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7</v>
      </c>
      <c r="Y413" s="618">
        <f>IFERROR(IF(X413="",0,CEILING((X413/$H413),1)*$H413),"")</f>
        <v>8.4</v>
      </c>
      <c r="Z413" s="36">
        <f>IFERROR(IF(Y413=0,"",ROUNDUP(Y413/H413,0)*0.00651),"")</f>
        <v>2.6040000000000001E-2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7.839999999999999</v>
      </c>
      <c r="BN413" s="64">
        <f>IFERROR(Y413*I413/H413,"0")</f>
        <v>9.4079999999999995</v>
      </c>
      <c r="BO413" s="64">
        <f>IFERROR(1/J413*(X413/H413),"0")</f>
        <v>1.8315018315018316E-2</v>
      </c>
      <c r="BP413" s="64">
        <f>IFERROR(1/J413*(Y413/H413),"0")</f>
        <v>2.197802197802198E-2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30">
        <v>4680115883567</v>
      </c>
      <c r="E414" s="631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7</v>
      </c>
      <c r="Y414" s="618">
        <f>IFERROR(IF(X414="",0,CEILING((X414/$H414),1)*$H414),"")</f>
        <v>8.4</v>
      </c>
      <c r="Z414" s="36">
        <f>IFERROR(IF(Y414=0,"",ROUNDUP(Y414/H414,0)*0.00651),"")</f>
        <v>2.6040000000000001E-2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7.7999999999999989</v>
      </c>
      <c r="BN414" s="64">
        <f>IFERROR(Y414*I414/H414,"0")</f>
        <v>9.36</v>
      </c>
      <c r="BO414" s="64">
        <f>IFERROR(1/J414*(X414/H414),"0")</f>
        <v>1.8315018315018316E-2</v>
      </c>
      <c r="BP414" s="64">
        <f>IFERROR(1/J414*(Y414/H414),"0")</f>
        <v>2.197802197802198E-2</v>
      </c>
    </row>
    <row r="415" spans="1:68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7" t="s">
        <v>69</v>
      </c>
      <c r="Q415" s="638"/>
      <c r="R415" s="638"/>
      <c r="S415" s="638"/>
      <c r="T415" s="638"/>
      <c r="U415" s="638"/>
      <c r="V415" s="639"/>
      <c r="W415" s="37" t="s">
        <v>70</v>
      </c>
      <c r="X415" s="619">
        <f>IFERROR(X412/H412,"0")+IFERROR(X413/H413,"0")+IFERROR(X414/H414,"0")</f>
        <v>6.6666666666666661</v>
      </c>
      <c r="Y415" s="619">
        <f>IFERROR(Y412/H412,"0")+IFERROR(Y413/H413,"0")+IFERROR(Y414/H414,"0")</f>
        <v>8</v>
      </c>
      <c r="Z415" s="619">
        <f>IFERROR(IF(Z412="",0,Z412),"0")+IFERROR(IF(Z413="",0,Z413),"0")+IFERROR(IF(Z414="",0,Z414),"0")</f>
        <v>5.2080000000000001E-2</v>
      </c>
      <c r="AA415" s="620"/>
      <c r="AB415" s="620"/>
      <c r="AC415" s="620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7" t="s">
        <v>69</v>
      </c>
      <c r="Q416" s="638"/>
      <c r="R416" s="638"/>
      <c r="S416" s="638"/>
      <c r="T416" s="638"/>
      <c r="U416" s="638"/>
      <c r="V416" s="639"/>
      <c r="W416" s="37" t="s">
        <v>67</v>
      </c>
      <c r="X416" s="619">
        <f>IFERROR(SUM(X412:X414),"0")</f>
        <v>14</v>
      </c>
      <c r="Y416" s="619">
        <f>IFERROR(SUM(Y412:Y414),"0")</f>
        <v>16.8</v>
      </c>
      <c r="Z416" s="37"/>
      <c r="AA416" s="620"/>
      <c r="AB416" s="620"/>
      <c r="AC416" s="620"/>
    </row>
    <row r="417" spans="1:68" ht="27.75" hidden="1" customHeight="1" x14ac:dyDescent="0.2">
      <c r="A417" s="788" t="s">
        <v>673</v>
      </c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89"/>
      <c r="S417" s="789"/>
      <c r="T417" s="789"/>
      <c r="U417" s="789"/>
      <c r="V417" s="789"/>
      <c r="W417" s="789"/>
      <c r="X417" s="789"/>
      <c r="Y417" s="789"/>
      <c r="Z417" s="789"/>
      <c r="AA417" s="48"/>
      <c r="AB417" s="48"/>
      <c r="AC417" s="48"/>
    </row>
    <row r="418" spans="1:68" ht="16.5" hidden="1" customHeight="1" x14ac:dyDescent="0.25">
      <c r="A418" s="640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2"/>
      <c r="AB418" s="612"/>
      <c r="AC418" s="612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30">
        <v>4680115888401</v>
      </c>
      <c r="E420" s="631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30">
        <v>4680115884847</v>
      </c>
      <c r="E421" s="631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655</v>
      </c>
      <c r="Y421" s="618">
        <f t="shared" si="61"/>
        <v>660</v>
      </c>
      <c r="Z421" s="36">
        <f>IFERROR(IF(Y421=0,"",ROUNDUP(Y421/H421,0)*0.02175),"")</f>
        <v>0.95699999999999996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675.52333333333331</v>
      </c>
      <c r="BN421" s="64">
        <f t="shared" si="63"/>
        <v>680.68000000000006</v>
      </c>
      <c r="BO421" s="64">
        <f t="shared" si="64"/>
        <v>0.9097222222222221</v>
      </c>
      <c r="BP421" s="64">
        <f t="shared" si="65"/>
        <v>0.91666666666666663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30">
        <v>4680115884854</v>
      </c>
      <c r="E422" s="631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57</v>
      </c>
      <c r="Y422" s="618">
        <f t="shared" si="61"/>
        <v>60</v>
      </c>
      <c r="Z422" s="36">
        <f>IFERROR(IF(Y422=0,"",ROUNDUP(Y422/H422,0)*0.02175),"")</f>
        <v>8.6999999999999994E-2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58.786000000000008</v>
      </c>
      <c r="BN422" s="64">
        <f t="shared" si="63"/>
        <v>61.88</v>
      </c>
      <c r="BO422" s="64">
        <f t="shared" si="64"/>
        <v>7.9166666666666663E-2</v>
      </c>
      <c r="BP422" s="64">
        <f t="shared" si="65"/>
        <v>8.3333333333333329E-2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30">
        <v>4680115884830</v>
      </c>
      <c r="E423" s="631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168</v>
      </c>
      <c r="Y423" s="618">
        <f t="shared" si="61"/>
        <v>180</v>
      </c>
      <c r="Z423" s="36">
        <f>IFERROR(IF(Y423=0,"",ROUNDUP(Y423/H423,0)*0.02175),"")</f>
        <v>0.26100000000000001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173.26400000000001</v>
      </c>
      <c r="BN423" s="64">
        <f t="shared" si="63"/>
        <v>185.64</v>
      </c>
      <c r="BO423" s="64">
        <f t="shared" si="64"/>
        <v>0.23333333333333331</v>
      </c>
      <c r="BP423" s="64">
        <f t="shared" si="65"/>
        <v>0.25</v>
      </c>
    </row>
    <row r="424" spans="1:68" ht="27" hidden="1" customHeight="1" x14ac:dyDescent="0.25">
      <c r="A424" s="54" t="s">
        <v>687</v>
      </c>
      <c r="B424" s="54" t="s">
        <v>688</v>
      </c>
      <c r="C424" s="31">
        <v>4301012356</v>
      </c>
      <c r="D424" s="630">
        <v>4680115889231</v>
      </c>
      <c r="E424" s="631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0</v>
      </c>
      <c r="Y424" s="618">
        <f t="shared" si="61"/>
        <v>0</v>
      </c>
      <c r="Z424" s="36" t="str">
        <f>IFERROR(IF(Y424=0,"",ROUNDUP(Y424/H424,0)*0.02175),"")</f>
        <v/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0</v>
      </c>
      <c r="BN424" s="64">
        <f t="shared" si="63"/>
        <v>0</v>
      </c>
      <c r="BO424" s="64">
        <f t="shared" si="64"/>
        <v>0</v>
      </c>
      <c r="BP424" s="64">
        <f t="shared" si="65"/>
        <v>0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30">
        <v>4680115882638</v>
      </c>
      <c r="E425" s="631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30">
        <v>4680115884922</v>
      </c>
      <c r="E426" s="631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30">
        <v>4680115884861</v>
      </c>
      <c r="E427" s="631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7" t="s">
        <v>69</v>
      </c>
      <c r="Q428" s="638"/>
      <c r="R428" s="638"/>
      <c r="S428" s="638"/>
      <c r="T428" s="638"/>
      <c r="U428" s="638"/>
      <c r="V428" s="639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58.666666666666657</v>
      </c>
      <c r="Y428" s="619">
        <f>IFERROR(Y420/H420,"0")+IFERROR(Y421/H421,"0")+IFERROR(Y422/H422,"0")+IFERROR(Y423/H423,"0")+IFERROR(Y424/H424,"0")+IFERROR(Y425/H425,"0")+IFERROR(Y426/H426,"0")+IFERROR(Y427/H427,"0")</f>
        <v>60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1.3050000000000002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7" t="s">
        <v>69</v>
      </c>
      <c r="Q429" s="638"/>
      <c r="R429" s="638"/>
      <c r="S429" s="638"/>
      <c r="T429" s="638"/>
      <c r="U429" s="638"/>
      <c r="V429" s="639"/>
      <c r="W429" s="37" t="s">
        <v>67</v>
      </c>
      <c r="X429" s="619">
        <f>IFERROR(SUM(X420:X427),"0")</f>
        <v>880</v>
      </c>
      <c r="Y429" s="619">
        <f>IFERROR(SUM(Y420:Y427),"0")</f>
        <v>900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3"/>
      <c r="AB430" s="613"/>
      <c r="AC430" s="613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30">
        <v>4607091383980</v>
      </c>
      <c r="E431" s="631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370</v>
      </c>
      <c r="Y431" s="618">
        <f>IFERROR(IF(X431="",0,CEILING((X431/$H431),1)*$H431),"")</f>
        <v>375</v>
      </c>
      <c r="Z431" s="36">
        <f>IFERROR(IF(Y431=0,"",ROUNDUP(Y431/H431,0)*0.02175),"")</f>
        <v>0.54374999999999996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381.59333333333336</v>
      </c>
      <c r="BN431" s="64">
        <f>IFERROR(Y431*I431/H431,"0")</f>
        <v>386.75</v>
      </c>
      <c r="BO431" s="64">
        <f>IFERROR(1/J431*(X431/H431),"0")</f>
        <v>0.51388888888888884</v>
      </c>
      <c r="BP431" s="64">
        <f>IFERROR(1/J431*(Y431/H431),"0")</f>
        <v>0.52083333333333326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30">
        <v>4680115888425</v>
      </c>
      <c r="E432" s="631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30">
        <v>4607091384178</v>
      </c>
      <c r="E433" s="631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7" t="s">
        <v>69</v>
      </c>
      <c r="Q434" s="638"/>
      <c r="R434" s="638"/>
      <c r="S434" s="638"/>
      <c r="T434" s="638"/>
      <c r="U434" s="638"/>
      <c r="V434" s="639"/>
      <c r="W434" s="37" t="s">
        <v>70</v>
      </c>
      <c r="X434" s="619">
        <f>IFERROR(X431/H431,"0")+IFERROR(X432/H432,"0")+IFERROR(X433/H433,"0")</f>
        <v>24.666666666666668</v>
      </c>
      <c r="Y434" s="619">
        <f>IFERROR(Y431/H431,"0")+IFERROR(Y432/H432,"0")+IFERROR(Y433/H433,"0")</f>
        <v>25</v>
      </c>
      <c r="Z434" s="619">
        <f>IFERROR(IF(Z431="",0,Z431),"0")+IFERROR(IF(Z432="",0,Z432),"0")+IFERROR(IF(Z433="",0,Z433),"0")</f>
        <v>0.54374999999999996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7" t="s">
        <v>69</v>
      </c>
      <c r="Q435" s="638"/>
      <c r="R435" s="638"/>
      <c r="S435" s="638"/>
      <c r="T435" s="638"/>
      <c r="U435" s="638"/>
      <c r="V435" s="639"/>
      <c r="W435" s="37" t="s">
        <v>67</v>
      </c>
      <c r="X435" s="619">
        <f>IFERROR(SUM(X431:X433),"0")</f>
        <v>370</v>
      </c>
      <c r="Y435" s="619">
        <f>IFERROR(SUM(Y431:Y433),"0")</f>
        <v>375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30">
        <v>4607091383928</v>
      </c>
      <c r="E437" s="631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30">
        <v>4607091384260</v>
      </c>
      <c r="E438" s="631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30">
        <v>4680115889538</v>
      </c>
      <c r="E439" s="631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7" t="s">
        <v>69</v>
      </c>
      <c r="Q440" s="638"/>
      <c r="R440" s="638"/>
      <c r="S440" s="638"/>
      <c r="T440" s="638"/>
      <c r="U440" s="638"/>
      <c r="V440" s="639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7" t="s">
        <v>69</v>
      </c>
      <c r="Q441" s="638"/>
      <c r="R441" s="638"/>
      <c r="S441" s="638"/>
      <c r="T441" s="638"/>
      <c r="U441" s="638"/>
      <c r="V441" s="639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30">
        <v>4680115889545</v>
      </c>
      <c r="E443" s="631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7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30">
        <v>4607091384673</v>
      </c>
      <c r="E444" s="631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7" t="s">
        <v>69</v>
      </c>
      <c r="Q445" s="638"/>
      <c r="R445" s="638"/>
      <c r="S445" s="638"/>
      <c r="T445" s="638"/>
      <c r="U445" s="638"/>
      <c r="V445" s="639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7" t="s">
        <v>69</v>
      </c>
      <c r="Q446" s="638"/>
      <c r="R446" s="638"/>
      <c r="S446" s="638"/>
      <c r="T446" s="638"/>
      <c r="U446" s="638"/>
      <c r="V446" s="639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40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2"/>
      <c r="AB447" s="612"/>
      <c r="AC447" s="612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30">
        <v>4680115884885</v>
      </c>
      <c r="E449" s="631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30">
        <v>4680115884908</v>
      </c>
      <c r="E450" s="631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7" t="s">
        <v>69</v>
      </c>
      <c r="Q451" s="638"/>
      <c r="R451" s="638"/>
      <c r="S451" s="638"/>
      <c r="T451" s="638"/>
      <c r="U451" s="638"/>
      <c r="V451" s="639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7" t="s">
        <v>69</v>
      </c>
      <c r="Q452" s="638"/>
      <c r="R452" s="638"/>
      <c r="S452" s="638"/>
      <c r="T452" s="638"/>
      <c r="U452" s="638"/>
      <c r="V452" s="639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30">
        <v>4607091384802</v>
      </c>
      <c r="E454" s="631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7" t="s">
        <v>69</v>
      </c>
      <c r="Q455" s="638"/>
      <c r="R455" s="638"/>
      <c r="S455" s="638"/>
      <c r="T455" s="638"/>
      <c r="U455" s="638"/>
      <c r="V455" s="639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7" t="s">
        <v>69</v>
      </c>
      <c r="Q456" s="638"/>
      <c r="R456" s="638"/>
      <c r="S456" s="638"/>
      <c r="T456" s="638"/>
      <c r="U456" s="638"/>
      <c r="V456" s="639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3"/>
      <c r="AB457" s="613"/>
      <c r="AC457" s="613"/>
    </row>
    <row r="458" spans="1:68" ht="27" hidden="1" customHeight="1" x14ac:dyDescent="0.25">
      <c r="A458" s="54" t="s">
        <v>732</v>
      </c>
      <c r="B458" s="54" t="s">
        <v>733</v>
      </c>
      <c r="C458" s="31">
        <v>4301051899</v>
      </c>
      <c r="D458" s="630">
        <v>4607091384246</v>
      </c>
      <c r="E458" s="631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0</v>
      </c>
      <c r="Y458" s="618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735</v>
      </c>
      <c r="B459" s="54" t="s">
        <v>736</v>
      </c>
      <c r="C459" s="31">
        <v>4301051660</v>
      </c>
      <c r="D459" s="630">
        <v>4607091384253</v>
      </c>
      <c r="E459" s="631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3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18</v>
      </c>
      <c r="Y459" s="618">
        <f>IFERROR(IF(X459="",0,CEILING((X459/$H459),1)*$H459),"")</f>
        <v>19.2</v>
      </c>
      <c r="Z459" s="36">
        <f>IFERROR(IF(Y459=0,"",ROUNDUP(Y459/H459,0)*0.00651),"")</f>
        <v>5.2080000000000001E-2</v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19.980000000000004</v>
      </c>
      <c r="BN459" s="64">
        <f>IFERROR(Y459*I459/H459,"0")</f>
        <v>21.312000000000001</v>
      </c>
      <c r="BO459" s="64">
        <f>IFERROR(1/J459*(X459/H459),"0")</f>
        <v>4.1208791208791215E-2</v>
      </c>
      <c r="BP459" s="64">
        <f>IFERROR(1/J459*(Y459/H459),"0")</f>
        <v>4.3956043956043959E-2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30">
        <v>4607091384253</v>
      </c>
      <c r="E460" s="631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7" t="s">
        <v>69</v>
      </c>
      <c r="Q461" s="638"/>
      <c r="R461" s="638"/>
      <c r="S461" s="638"/>
      <c r="T461" s="638"/>
      <c r="U461" s="638"/>
      <c r="V461" s="639"/>
      <c r="W461" s="37" t="s">
        <v>70</v>
      </c>
      <c r="X461" s="619">
        <f>IFERROR(X458/H458,"0")+IFERROR(X459/H459,"0")+IFERROR(X460/H460,"0")</f>
        <v>7.5</v>
      </c>
      <c r="Y461" s="619">
        <f>IFERROR(Y458/H458,"0")+IFERROR(Y459/H459,"0")+IFERROR(Y460/H460,"0")</f>
        <v>8</v>
      </c>
      <c r="Z461" s="619">
        <f>IFERROR(IF(Z458="",0,Z458),"0")+IFERROR(IF(Z459="",0,Z459),"0")+IFERROR(IF(Z460="",0,Z460),"0")</f>
        <v>5.2080000000000001E-2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7" t="s">
        <v>69</v>
      </c>
      <c r="Q462" s="638"/>
      <c r="R462" s="638"/>
      <c r="S462" s="638"/>
      <c r="T462" s="638"/>
      <c r="U462" s="638"/>
      <c r="V462" s="639"/>
      <c r="W462" s="37" t="s">
        <v>67</v>
      </c>
      <c r="X462" s="619">
        <f>IFERROR(SUM(X458:X460),"0")</f>
        <v>18</v>
      </c>
      <c r="Y462" s="619">
        <f>IFERROR(SUM(Y458:Y460),"0")</f>
        <v>19.2</v>
      </c>
      <c r="Z462" s="37"/>
      <c r="AA462" s="620"/>
      <c r="AB462" s="620"/>
      <c r="AC462" s="620"/>
    </row>
    <row r="463" spans="1:68" ht="27.75" hidden="1" customHeight="1" x14ac:dyDescent="0.2">
      <c r="A463" s="788" t="s">
        <v>739</v>
      </c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89"/>
      <c r="S463" s="789"/>
      <c r="T463" s="789"/>
      <c r="U463" s="789"/>
      <c r="V463" s="789"/>
      <c r="W463" s="789"/>
      <c r="X463" s="789"/>
      <c r="Y463" s="789"/>
      <c r="Z463" s="789"/>
      <c r="AA463" s="48"/>
      <c r="AB463" s="48"/>
      <c r="AC463" s="48"/>
    </row>
    <row r="464" spans="1:68" ht="16.5" hidden="1" customHeight="1" x14ac:dyDescent="0.25">
      <c r="A464" s="640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2"/>
      <c r="AB464" s="612"/>
      <c r="AC464" s="612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3"/>
      <c r="AB465" s="613"/>
      <c r="AC465" s="613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30">
        <v>4680115886100</v>
      </c>
      <c r="E466" s="631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30">
        <v>4680115886124</v>
      </c>
      <c r="E467" s="631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30">
        <v>4607091384338</v>
      </c>
      <c r="E468" s="631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30">
        <v>4680115883161</v>
      </c>
      <c r="E469" s="631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30">
        <v>4607091389531</v>
      </c>
      <c r="E470" s="631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30">
        <v>4607091384345</v>
      </c>
      <c r="E471" s="631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7" t="s">
        <v>69</v>
      </c>
      <c r="Q472" s="638"/>
      <c r="R472" s="638"/>
      <c r="S472" s="638"/>
      <c r="T472" s="638"/>
      <c r="U472" s="638"/>
      <c r="V472" s="639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7" t="s">
        <v>69</v>
      </c>
      <c r="Q473" s="638"/>
      <c r="R473" s="638"/>
      <c r="S473" s="638"/>
      <c r="T473" s="638"/>
      <c r="U473" s="638"/>
      <c r="V473" s="639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30">
        <v>4607091384352</v>
      </c>
      <c r="E475" s="631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7" t="s">
        <v>69</v>
      </c>
      <c r="Q476" s="638"/>
      <c r="R476" s="638"/>
      <c r="S476" s="638"/>
      <c r="T476" s="638"/>
      <c r="U476" s="638"/>
      <c r="V476" s="639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7" t="s">
        <v>69</v>
      </c>
      <c r="Q477" s="638"/>
      <c r="R477" s="638"/>
      <c r="S477" s="638"/>
      <c r="T477" s="638"/>
      <c r="U477" s="638"/>
      <c r="V477" s="639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40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2"/>
      <c r="AB478" s="612"/>
      <c r="AC478" s="612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30">
        <v>4680115885240</v>
      </c>
      <c r="E480" s="631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7" t="s">
        <v>69</v>
      </c>
      <c r="Q481" s="638"/>
      <c r="R481" s="638"/>
      <c r="S481" s="638"/>
      <c r="T481" s="638"/>
      <c r="U481" s="638"/>
      <c r="V481" s="639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7" t="s">
        <v>69</v>
      </c>
      <c r="Q482" s="638"/>
      <c r="R482" s="638"/>
      <c r="S482" s="638"/>
      <c r="T482" s="638"/>
      <c r="U482" s="638"/>
      <c r="V482" s="639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30">
        <v>4680115886094</v>
      </c>
      <c r="E484" s="631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30">
        <v>4680115880771</v>
      </c>
      <c r="E485" s="631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30">
        <v>4607091389500</v>
      </c>
      <c r="E486" s="631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7" t="s">
        <v>69</v>
      </c>
      <c r="Q487" s="638"/>
      <c r="R487" s="638"/>
      <c r="S487" s="638"/>
      <c r="T487" s="638"/>
      <c r="U487" s="638"/>
      <c r="V487" s="639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7" t="s">
        <v>69</v>
      </c>
      <c r="Q488" s="638"/>
      <c r="R488" s="638"/>
      <c r="S488" s="638"/>
      <c r="T488" s="638"/>
      <c r="U488" s="638"/>
      <c r="V488" s="639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88" t="s">
        <v>772</v>
      </c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89"/>
      <c r="S489" s="789"/>
      <c r="T489" s="789"/>
      <c r="U489" s="789"/>
      <c r="V489" s="789"/>
      <c r="W489" s="789"/>
      <c r="X489" s="789"/>
      <c r="Y489" s="789"/>
      <c r="Z489" s="789"/>
      <c r="AA489" s="48"/>
      <c r="AB489" s="48"/>
      <c r="AC489" s="48"/>
    </row>
    <row r="490" spans="1:68" ht="16.5" hidden="1" customHeight="1" x14ac:dyDescent="0.25">
      <c r="A490" s="640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2"/>
      <c r="AB490" s="612"/>
      <c r="AC490" s="612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30">
        <v>4607091389067</v>
      </c>
      <c r="E492" s="631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30">
        <v>4680115889576</v>
      </c>
      <c r="E493" s="631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30">
        <v>4680115885271</v>
      </c>
      <c r="E494" s="631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7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30">
        <v>4680115885226</v>
      </c>
      <c r="E495" s="631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14</v>
      </c>
      <c r="Y495" s="618">
        <f t="shared" si="71"/>
        <v>15.84</v>
      </c>
      <c r="Z495" s="36">
        <f>IFERROR(IF(Y495=0,"",ROUNDUP(Y495/H495,0)*0.01196),"")</f>
        <v>3.5880000000000002E-2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14.928030303030301</v>
      </c>
      <c r="BN495" s="64">
        <f t="shared" si="73"/>
        <v>16.889999999999997</v>
      </c>
      <c r="BO495" s="64">
        <f t="shared" si="74"/>
        <v>2.5495337995337996E-2</v>
      </c>
      <c r="BP495" s="64">
        <f t="shared" si="75"/>
        <v>2.8846153846153848E-2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30">
        <v>4607091389104</v>
      </c>
      <c r="E496" s="631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48</v>
      </c>
      <c r="Y496" s="618">
        <f t="shared" si="71"/>
        <v>52.800000000000004</v>
      </c>
      <c r="Z496" s="36">
        <f>IFERROR(IF(Y496=0,"",ROUNDUP(Y496/H496,0)*0.01196),"")</f>
        <v>0.1196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51.18181818181818</v>
      </c>
      <c r="BN496" s="64">
        <f t="shared" si="73"/>
        <v>56.3</v>
      </c>
      <c r="BO496" s="64">
        <f t="shared" si="74"/>
        <v>8.7412587412587409E-2</v>
      </c>
      <c r="BP496" s="64">
        <f t="shared" si="75"/>
        <v>9.6153846153846159E-2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30">
        <v>4680115886391</v>
      </c>
      <c r="E497" s="631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customHeight="1" x14ac:dyDescent="0.25">
      <c r="A498" s="54" t="s">
        <v>789</v>
      </c>
      <c r="B498" s="54" t="s">
        <v>790</v>
      </c>
      <c r="C498" s="31">
        <v>4301012048</v>
      </c>
      <c r="D498" s="630">
        <v>4680115880603</v>
      </c>
      <c r="E498" s="631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44</v>
      </c>
      <c r="Y498" s="618">
        <f t="shared" si="71"/>
        <v>48</v>
      </c>
      <c r="Z498" s="36">
        <f>IFERROR(IF(Y498=0,"",ROUNDUP(Y498/H498,0)*0.00902),"")</f>
        <v>9.0200000000000002E-2</v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63.341666666666676</v>
      </c>
      <c r="BN498" s="64">
        <f t="shared" si="73"/>
        <v>69.100000000000009</v>
      </c>
      <c r="BO498" s="64">
        <f t="shared" si="74"/>
        <v>6.9444444444444461E-2</v>
      </c>
      <c r="BP498" s="64">
        <f t="shared" si="75"/>
        <v>7.575757575757576E-2</v>
      </c>
    </row>
    <row r="499" spans="1:68" ht="27" customHeight="1" x14ac:dyDescent="0.25">
      <c r="A499" s="54" t="s">
        <v>791</v>
      </c>
      <c r="B499" s="54" t="s">
        <v>792</v>
      </c>
      <c r="C499" s="31">
        <v>4301012034</v>
      </c>
      <c r="D499" s="630">
        <v>4607091389982</v>
      </c>
      <c r="E499" s="631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126</v>
      </c>
      <c r="Y499" s="618">
        <f t="shared" si="71"/>
        <v>129.6</v>
      </c>
      <c r="Z499" s="36">
        <f>IFERROR(IF(Y499=0,"",ROUNDUP(Y499/H499,0)*0.00902),"")</f>
        <v>0.24354000000000001</v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181.38749999999999</v>
      </c>
      <c r="BN499" s="64">
        <f t="shared" si="73"/>
        <v>186.57</v>
      </c>
      <c r="BO499" s="64">
        <f t="shared" si="74"/>
        <v>0.19886363636363638</v>
      </c>
      <c r="BP499" s="64">
        <f t="shared" si="75"/>
        <v>0.20454545454545456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7" t="s">
        <v>69</v>
      </c>
      <c r="Q500" s="638"/>
      <c r="R500" s="638"/>
      <c r="S500" s="638"/>
      <c r="T500" s="638"/>
      <c r="U500" s="638"/>
      <c r="V500" s="639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47.159090909090907</v>
      </c>
      <c r="Y500" s="619">
        <f>IFERROR(Y492/H492,"0")+IFERROR(Y493/H493,"0")+IFERROR(Y494/H494,"0")+IFERROR(Y495/H495,"0")+IFERROR(Y496/H496,"0")+IFERROR(Y497/H497,"0")+IFERROR(Y498/H498,"0")+IFERROR(Y499/H499,"0")</f>
        <v>50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0.48921999999999999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7" t="s">
        <v>69</v>
      </c>
      <c r="Q501" s="638"/>
      <c r="R501" s="638"/>
      <c r="S501" s="638"/>
      <c r="T501" s="638"/>
      <c r="U501" s="638"/>
      <c r="V501" s="639"/>
      <c r="W501" s="37" t="s">
        <v>67</v>
      </c>
      <c r="X501" s="619">
        <f>IFERROR(SUM(X492:X499),"0")</f>
        <v>232</v>
      </c>
      <c r="Y501" s="619">
        <f>IFERROR(SUM(Y492:Y499),"0")</f>
        <v>246.24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3"/>
      <c r="AB502" s="613"/>
      <c r="AC502" s="613"/>
    </row>
    <row r="503" spans="1:68" ht="16.5" hidden="1" customHeight="1" x14ac:dyDescent="0.25">
      <c r="A503" s="54" t="s">
        <v>793</v>
      </c>
      <c r="B503" s="54" t="s">
        <v>794</v>
      </c>
      <c r="C503" s="31">
        <v>4301020334</v>
      </c>
      <c r="D503" s="630">
        <v>4607091388930</v>
      </c>
      <c r="E503" s="631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0</v>
      </c>
      <c r="Y503" s="618">
        <f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30">
        <v>4680115886407</v>
      </c>
      <c r="E504" s="631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30">
        <v>4680115880054</v>
      </c>
      <c r="E505" s="631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7" t="s">
        <v>69</v>
      </c>
      <c r="Q506" s="638"/>
      <c r="R506" s="638"/>
      <c r="S506" s="638"/>
      <c r="T506" s="638"/>
      <c r="U506" s="638"/>
      <c r="V506" s="639"/>
      <c r="W506" s="37" t="s">
        <v>70</v>
      </c>
      <c r="X506" s="619">
        <f>IFERROR(X503/H503,"0")+IFERROR(X504/H504,"0")+IFERROR(X505/H505,"0")</f>
        <v>0</v>
      </c>
      <c r="Y506" s="619">
        <f>IFERROR(Y503/H503,"0")+IFERROR(Y504/H504,"0")+IFERROR(Y505/H505,"0")</f>
        <v>0</v>
      </c>
      <c r="Z506" s="619">
        <f>IFERROR(IF(Z503="",0,Z503),"0")+IFERROR(IF(Z504="",0,Z504),"0")+IFERROR(IF(Z505="",0,Z505),"0")</f>
        <v>0</v>
      </c>
      <c r="AA506" s="620"/>
      <c r="AB506" s="620"/>
      <c r="AC506" s="620"/>
    </row>
    <row r="507" spans="1:68" hidden="1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7" t="s">
        <v>69</v>
      </c>
      <c r="Q507" s="638"/>
      <c r="R507" s="638"/>
      <c r="S507" s="638"/>
      <c r="T507" s="638"/>
      <c r="U507" s="638"/>
      <c r="V507" s="639"/>
      <c r="W507" s="37" t="s">
        <v>67</v>
      </c>
      <c r="X507" s="619">
        <f>IFERROR(SUM(X503:X505),"0")</f>
        <v>0</v>
      </c>
      <c r="Y507" s="619">
        <f>IFERROR(SUM(Y503:Y505),"0")</f>
        <v>0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3"/>
      <c r="AB508" s="613"/>
      <c r="AC508" s="613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30">
        <v>4680115883116</v>
      </c>
      <c r="E509" s="631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56</v>
      </c>
      <c r="Y509" s="618">
        <f t="shared" ref="Y509:Y515" si="76">IFERROR(IF(X509="",0,CEILING((X509/$H509),1)*$H509),"")</f>
        <v>58.080000000000005</v>
      </c>
      <c r="Z509" s="36">
        <f>IFERROR(IF(Y509=0,"",ROUNDUP(Y509/H509,0)*0.01196),"")</f>
        <v>0.13156000000000001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59.712121212121204</v>
      </c>
      <c r="BN509" s="64">
        <f t="shared" ref="BN509:BN515" si="78">IFERROR(Y509*I509/H509,"0")</f>
        <v>61.93</v>
      </c>
      <c r="BO509" s="64">
        <f t="shared" ref="BO509:BO515" si="79">IFERROR(1/J509*(X509/H509),"0")</f>
        <v>0.10198135198135198</v>
      </c>
      <c r="BP509" s="64">
        <f t="shared" ref="BP509:BP515" si="80">IFERROR(1/J509*(Y509/H509),"0")</f>
        <v>0.10576923076923078</v>
      </c>
    </row>
    <row r="510" spans="1:68" ht="27" hidden="1" customHeight="1" x14ac:dyDescent="0.25">
      <c r="A510" s="54" t="s">
        <v>803</v>
      </c>
      <c r="B510" s="54" t="s">
        <v>804</v>
      </c>
      <c r="C510" s="31">
        <v>4301031350</v>
      </c>
      <c r="D510" s="630">
        <v>4680115883093</v>
      </c>
      <c r="E510" s="631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0</v>
      </c>
      <c r="Y510" s="618">
        <f t="shared" si="76"/>
        <v>0</v>
      </c>
      <c r="Z510" s="36" t="str">
        <f>IFERROR(IF(Y510=0,"",ROUNDUP(Y510/H510,0)*0.01196),"")</f>
        <v/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30">
        <v>4680115883109</v>
      </c>
      <c r="E511" s="631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36</v>
      </c>
      <c r="Y511" s="618">
        <f t="shared" si="76"/>
        <v>36.96</v>
      </c>
      <c r="Z511" s="36">
        <f>IFERROR(IF(Y511=0,"",ROUNDUP(Y511/H511,0)*0.01196),"")</f>
        <v>8.3720000000000003E-2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38.386363636363633</v>
      </c>
      <c r="BN511" s="64">
        <f t="shared" si="78"/>
        <v>39.409999999999997</v>
      </c>
      <c r="BO511" s="64">
        <f t="shared" si="79"/>
        <v>6.555944055944056E-2</v>
      </c>
      <c r="BP511" s="64">
        <f t="shared" si="80"/>
        <v>6.7307692307692318E-2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30">
        <v>4680115882072</v>
      </c>
      <c r="E512" s="631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30">
        <v>4680115882102</v>
      </c>
      <c r="E513" s="631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30">
        <v>4680115882102</v>
      </c>
      <c r="E514" s="631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80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30">
        <v>4680115882096</v>
      </c>
      <c r="E515" s="631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7" t="s">
        <v>69</v>
      </c>
      <c r="Q516" s="638"/>
      <c r="R516" s="638"/>
      <c r="S516" s="638"/>
      <c r="T516" s="638"/>
      <c r="U516" s="638"/>
      <c r="V516" s="639"/>
      <c r="W516" s="37" t="s">
        <v>70</v>
      </c>
      <c r="X516" s="619">
        <f>IFERROR(X509/H509,"0")+IFERROR(X510/H510,"0")+IFERROR(X511/H511,"0")+IFERROR(X512/H512,"0")+IFERROR(X513/H513,"0")+IFERROR(X514/H514,"0")+IFERROR(X515/H515,"0")</f>
        <v>17.424242424242422</v>
      </c>
      <c r="Y516" s="619">
        <f>IFERROR(Y509/H509,"0")+IFERROR(Y510/H510,"0")+IFERROR(Y511/H511,"0")+IFERROR(Y512/H512,"0")+IFERROR(Y513/H513,"0")+IFERROR(Y514/H514,"0")+IFERROR(Y515/H515,"0")</f>
        <v>18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0.21528000000000003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7" t="s">
        <v>69</v>
      </c>
      <c r="Q517" s="638"/>
      <c r="R517" s="638"/>
      <c r="S517" s="638"/>
      <c r="T517" s="638"/>
      <c r="U517" s="638"/>
      <c r="V517" s="639"/>
      <c r="W517" s="37" t="s">
        <v>67</v>
      </c>
      <c r="X517" s="619">
        <f>IFERROR(SUM(X509:X515),"0")</f>
        <v>92</v>
      </c>
      <c r="Y517" s="619">
        <f>IFERROR(SUM(Y509:Y515),"0")</f>
        <v>95.04</v>
      </c>
      <c r="Z517" s="37"/>
      <c r="AA517" s="620"/>
      <c r="AB517" s="620"/>
      <c r="AC517" s="620"/>
    </row>
    <row r="518" spans="1:68" ht="27.75" hidden="1" customHeight="1" x14ac:dyDescent="0.2">
      <c r="A518" s="788" t="s">
        <v>816</v>
      </c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89"/>
      <c r="S518" s="789"/>
      <c r="T518" s="789"/>
      <c r="U518" s="789"/>
      <c r="V518" s="789"/>
      <c r="W518" s="789"/>
      <c r="X518" s="789"/>
      <c r="Y518" s="789"/>
      <c r="Z518" s="789"/>
      <c r="AA518" s="48"/>
      <c r="AB518" s="48"/>
      <c r="AC518" s="48"/>
    </row>
    <row r="519" spans="1:68" ht="16.5" hidden="1" customHeight="1" x14ac:dyDescent="0.25">
      <c r="A519" s="640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2"/>
      <c r="AB519" s="612"/>
      <c r="AC519" s="612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30">
        <v>4680115889736</v>
      </c>
      <c r="E521" s="631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8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7" t="s">
        <v>69</v>
      </c>
      <c r="Q522" s="638"/>
      <c r="R522" s="638"/>
      <c r="S522" s="638"/>
      <c r="T522" s="638"/>
      <c r="U522" s="638"/>
      <c r="V522" s="639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7" t="s">
        <v>69</v>
      </c>
      <c r="Q523" s="638"/>
      <c r="R523" s="638"/>
      <c r="S523" s="638"/>
      <c r="T523" s="638"/>
      <c r="U523" s="638"/>
      <c r="V523" s="639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30">
        <v>4680115889781</v>
      </c>
      <c r="E525" s="631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7" t="s">
        <v>69</v>
      </c>
      <c r="Q526" s="638"/>
      <c r="R526" s="638"/>
      <c r="S526" s="638"/>
      <c r="T526" s="638"/>
      <c r="U526" s="638"/>
      <c r="V526" s="639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7" t="s">
        <v>69</v>
      </c>
      <c r="Q527" s="638"/>
      <c r="R527" s="638"/>
      <c r="S527" s="638"/>
      <c r="T527" s="638"/>
      <c r="U527" s="638"/>
      <c r="V527" s="639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30">
        <v>4680115889774</v>
      </c>
      <c r="E529" s="631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7" t="s">
        <v>69</v>
      </c>
      <c r="Q530" s="638"/>
      <c r="R530" s="638"/>
      <c r="S530" s="638"/>
      <c r="T530" s="638"/>
      <c r="U530" s="638"/>
      <c r="V530" s="639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7" t="s">
        <v>69</v>
      </c>
      <c r="Q531" s="638"/>
      <c r="R531" s="638"/>
      <c r="S531" s="638"/>
      <c r="T531" s="638"/>
      <c r="U531" s="638"/>
      <c r="V531" s="639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3"/>
      <c r="AB532" s="613"/>
      <c r="AC532" s="613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30">
        <v>4680115889811</v>
      </c>
      <c r="E533" s="631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7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7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30">
        <v>4680115889804</v>
      </c>
      <c r="E537" s="631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1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30">
        <v>4680115889828</v>
      </c>
      <c r="E538" s="631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7" t="s">
        <v>69</v>
      </c>
      <c r="Q539" s="638"/>
      <c r="R539" s="638"/>
      <c r="S539" s="638"/>
      <c r="T539" s="638"/>
      <c r="U539" s="638"/>
      <c r="V539" s="639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7" t="s">
        <v>69</v>
      </c>
      <c r="Q540" s="638"/>
      <c r="R540" s="638"/>
      <c r="S540" s="638"/>
      <c r="T540" s="638"/>
      <c r="U540" s="638"/>
      <c r="V540" s="639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40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2"/>
      <c r="AB541" s="612"/>
      <c r="AC541" s="612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30">
        <v>4680115889798</v>
      </c>
      <c r="E543" s="631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8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7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7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0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3"/>
      <c r="P546" s="674" t="s">
        <v>838</v>
      </c>
      <c r="Q546" s="675"/>
      <c r="R546" s="675"/>
      <c r="S546" s="675"/>
      <c r="T546" s="675"/>
      <c r="U546" s="675"/>
      <c r="V546" s="676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3891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4034.2400000000007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3"/>
      <c r="P547" s="674" t="s">
        <v>839</v>
      </c>
      <c r="Q547" s="675"/>
      <c r="R547" s="675"/>
      <c r="S547" s="675"/>
      <c r="T547" s="675"/>
      <c r="U547" s="675"/>
      <c r="V547" s="676"/>
      <c r="W547" s="37" t="s">
        <v>67</v>
      </c>
      <c r="X547" s="619">
        <f>IFERROR(SUM(BM22:BM543),"0")</f>
        <v>4183.9251120012896</v>
      </c>
      <c r="Y547" s="619">
        <f>IFERROR(SUM(BN22:BN543),"0")</f>
        <v>4338.924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3"/>
      <c r="P548" s="674" t="s">
        <v>840</v>
      </c>
      <c r="Q548" s="675"/>
      <c r="R548" s="675"/>
      <c r="S548" s="675"/>
      <c r="T548" s="675"/>
      <c r="U548" s="675"/>
      <c r="V548" s="676"/>
      <c r="W548" s="37" t="s">
        <v>841</v>
      </c>
      <c r="X548" s="38">
        <f>ROUNDUP(SUM(BO22:BO543),0)</f>
        <v>7</v>
      </c>
      <c r="Y548" s="38">
        <f>ROUNDUP(SUM(BP22:BP543),0)</f>
        <v>8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3"/>
      <c r="P549" s="674" t="s">
        <v>842</v>
      </c>
      <c r="Q549" s="675"/>
      <c r="R549" s="675"/>
      <c r="S549" s="675"/>
      <c r="T549" s="675"/>
      <c r="U549" s="675"/>
      <c r="V549" s="676"/>
      <c r="W549" s="37" t="s">
        <v>67</v>
      </c>
      <c r="X549" s="619">
        <f>GrossWeightTotal+PalletQtyTotal*25</f>
        <v>4358.9251120012896</v>
      </c>
      <c r="Y549" s="619">
        <f>GrossWeightTotalR+PalletQtyTotalR*25</f>
        <v>4538.924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3"/>
      <c r="P550" s="674" t="s">
        <v>843</v>
      </c>
      <c r="Q550" s="675"/>
      <c r="R550" s="675"/>
      <c r="S550" s="675"/>
      <c r="T550" s="675"/>
      <c r="U550" s="675"/>
      <c r="V550" s="676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863.5006915742207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898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3"/>
      <c r="P551" s="674" t="s">
        <v>844</v>
      </c>
      <c r="Q551" s="675"/>
      <c r="R551" s="675"/>
      <c r="S551" s="675"/>
      <c r="T551" s="675"/>
      <c r="U551" s="675"/>
      <c r="V551" s="676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8.2971700000000013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4" t="s">
        <v>106</v>
      </c>
      <c r="E553" s="817"/>
      <c r="F553" s="817"/>
      <c r="G553" s="817"/>
      <c r="H553" s="817"/>
      <c r="I553" s="817"/>
      <c r="J553" s="625"/>
      <c r="K553" s="624" t="s">
        <v>327</v>
      </c>
      <c r="L553" s="817"/>
      <c r="M553" s="817"/>
      <c r="N553" s="817"/>
      <c r="O553" s="817"/>
      <c r="P553" s="817"/>
      <c r="Q553" s="817"/>
      <c r="R553" s="817"/>
      <c r="S553" s="817"/>
      <c r="T553" s="817"/>
      <c r="U553" s="817"/>
      <c r="V553" s="625"/>
      <c r="W553" s="624" t="s">
        <v>673</v>
      </c>
      <c r="X553" s="625"/>
      <c r="Y553" s="624" t="s">
        <v>739</v>
      </c>
      <c r="Z553" s="625"/>
      <c r="AA553" s="614" t="s">
        <v>772</v>
      </c>
      <c r="AB553" s="624" t="s">
        <v>816</v>
      </c>
      <c r="AC553" s="625"/>
      <c r="AF553" s="615"/>
    </row>
    <row r="554" spans="1:32" ht="14.25" customHeight="1" thickTop="1" x14ac:dyDescent="0.2">
      <c r="A554" s="915" t="s">
        <v>847</v>
      </c>
      <c r="B554" s="624" t="s">
        <v>61</v>
      </c>
      <c r="C554" s="624" t="s">
        <v>90</v>
      </c>
      <c r="D554" s="624" t="s">
        <v>107</v>
      </c>
      <c r="E554" s="624" t="s">
        <v>123</v>
      </c>
      <c r="F554" s="624" t="s">
        <v>169</v>
      </c>
      <c r="G554" s="624" t="s">
        <v>193</v>
      </c>
      <c r="H554" s="624" t="s">
        <v>237</v>
      </c>
      <c r="I554" s="624" t="s">
        <v>250</v>
      </c>
      <c r="J554" s="624" t="s">
        <v>106</v>
      </c>
      <c r="K554" s="624" t="s">
        <v>328</v>
      </c>
      <c r="L554" s="624" t="s">
        <v>349</v>
      </c>
      <c r="M554" s="624" t="s">
        <v>412</v>
      </c>
      <c r="N554" s="615"/>
      <c r="O554" s="624" t="s">
        <v>480</v>
      </c>
      <c r="P554" s="624" t="s">
        <v>511</v>
      </c>
      <c r="Q554" s="624" t="s">
        <v>530</v>
      </c>
      <c r="R554" s="624" t="s">
        <v>539</v>
      </c>
      <c r="S554" s="624" t="s">
        <v>561</v>
      </c>
      <c r="T554" s="624" t="s">
        <v>570</v>
      </c>
      <c r="U554" s="624" t="s">
        <v>656</v>
      </c>
      <c r="V554" s="624" t="s">
        <v>663</v>
      </c>
      <c r="W554" s="624" t="s">
        <v>674</v>
      </c>
      <c r="X554" s="624" t="s">
        <v>723</v>
      </c>
      <c r="Y554" s="624" t="s">
        <v>740</v>
      </c>
      <c r="Z554" s="624" t="s">
        <v>760</v>
      </c>
      <c r="AA554" s="624" t="s">
        <v>772</v>
      </c>
      <c r="AB554" s="624" t="s">
        <v>816</v>
      </c>
      <c r="AC554" s="624" t="s">
        <v>834</v>
      </c>
      <c r="AF554" s="615"/>
    </row>
    <row r="555" spans="1:32" ht="13.5" customHeight="1" thickBot="1" x14ac:dyDescent="0.25">
      <c r="A555" s="916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15"/>
      <c r="O555" s="645"/>
      <c r="P555" s="645"/>
      <c r="Q555" s="645"/>
      <c r="R555" s="645"/>
      <c r="S555" s="645"/>
      <c r="T555" s="645"/>
      <c r="U555" s="645"/>
      <c r="V555" s="645"/>
      <c r="W555" s="645"/>
      <c r="X555" s="645"/>
      <c r="Y555" s="645"/>
      <c r="Z555" s="645"/>
      <c r="AA555" s="645"/>
      <c r="AB555" s="645"/>
      <c r="AC555" s="645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5.4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0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217.70000000000002</v>
      </c>
      <c r="F556" s="46">
        <f>IFERROR(Y84*1,"0")+IFERROR(Y85*1,"0")+IFERROR(Y86*1,"0")+IFERROR(Y87*1,"0")+IFERROR(Y88*1,"0")+IFERROR(Y89*1,"0")+IFERROR(Y93*1,"0")+IFERROR(Y94*1,"0")+IFERROR(Y95*1,"0")+IFERROR(Y96*1,"0")</f>
        <v>424.8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349.2</v>
      </c>
      <c r="H556" s="46">
        <f>IFERROR(Y131*1,"0")+IFERROR(Y132*1,"0")+IFERROR(Y136*1,"0")+IFERROR(Y137*1,"0")+IFERROR(Y141*1,"0")+IFERROR(Y142*1,"0")</f>
        <v>14.799999999999999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232.24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168.52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565.19999999999993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7.2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160.79999999999998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7.8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228.29999999999998</v>
      </c>
      <c r="U556" s="46">
        <f>IFERROR(Y406*1,"0")+IFERROR(Y407*1,"0")</f>
        <v>0</v>
      </c>
      <c r="V556" s="46">
        <f>IFERROR(Y412*1,"0")+IFERROR(Y413*1,"0")+IFERROR(Y414*1,"0")</f>
        <v>16.8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1275</v>
      </c>
      <c r="X556" s="46">
        <f>IFERROR(Y449*1,"0")+IFERROR(Y450*1,"0")+IFERROR(Y454*1,"0")+IFERROR(Y458*1,"0")+IFERROR(Y459*1,"0")+IFERROR(Y460*1,"0")</f>
        <v>19.2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341.28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7"/>
        <filter val="1,00"/>
        <filter val="1,25"/>
        <filter val="100,00"/>
        <filter val="103,70"/>
        <filter val="126,00"/>
        <filter val="128,00"/>
        <filter val="135,00"/>
        <filter val="135,42"/>
        <filter val="14,00"/>
        <filter val="140,00"/>
        <filter val="15,00"/>
        <filter val="15,18"/>
        <filter val="150,00"/>
        <filter val="157,00"/>
        <filter val="168,00"/>
        <filter val="169,00"/>
        <filter val="17,42"/>
        <filter val="18,00"/>
        <filter val="2,00"/>
        <filter val="2,14"/>
        <filter val="2,78"/>
        <filter val="200,00"/>
        <filter val="21,00"/>
        <filter val="22,00"/>
        <filter val="222,00"/>
        <filter val="223,00"/>
        <filter val="23,00"/>
        <filter val="232,00"/>
        <filter val="24,00"/>
        <filter val="24,37"/>
        <filter val="24,63"/>
        <filter val="24,67"/>
        <filter val="25,64"/>
        <filter val="26,00"/>
        <filter val="280,00"/>
        <filter val="29,00"/>
        <filter val="3 891,00"/>
        <filter val="3,00"/>
        <filter val="3,17"/>
        <filter val="3,89"/>
        <filter val="325,00"/>
        <filter val="35,00"/>
        <filter val="36,00"/>
        <filter val="370,00"/>
        <filter val="4 183,93"/>
        <filter val="4 358,93"/>
        <filter val="4,00"/>
        <filter val="4,04"/>
        <filter val="40,00"/>
        <filter val="44,00"/>
        <filter val="47,16"/>
        <filter val="48,00"/>
        <filter val="49,00"/>
        <filter val="5,00"/>
        <filter val="5,28"/>
        <filter val="50,00"/>
        <filter val="56,00"/>
        <filter val="57,00"/>
        <filter val="58,15"/>
        <filter val="58,67"/>
        <filter val="59,00"/>
        <filter val="6,00"/>
        <filter val="6,35"/>
        <filter val="6,67"/>
        <filter val="60,00"/>
        <filter val="64,63"/>
        <filter val="65,42"/>
        <filter val="655,00"/>
        <filter val="66,07"/>
        <filter val="68,00"/>
        <filter val="7"/>
        <filter val="7,00"/>
        <filter val="7,50"/>
        <filter val="79,52"/>
        <filter val="8,00"/>
        <filter val="80,00"/>
        <filter val="863,50"/>
        <filter val="880,00"/>
        <filter val="9,02"/>
        <filter val="90,00"/>
        <filter val="92,00"/>
      </filters>
    </filterColumn>
    <filterColumn colId="29" showButton="0"/>
    <filterColumn colId="30" showButton="0"/>
  </autoFilter>
  <mergeCells count="977">
    <mergeCell ref="X17:X18"/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95:E95"/>
    <mergeCell ref="P74:V74"/>
    <mergeCell ref="Y17:Y18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J9:M9"/>
    <mergeCell ref="A418:Z418"/>
    <mergeCell ref="D112:E112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H17:H18"/>
    <mergeCell ref="P261:T261"/>
    <mergeCell ref="A146:Z146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26:T26"/>
    <mergeCell ref="P461:V461"/>
    <mergeCell ref="A143:O144"/>
    <mergeCell ref="P511:T511"/>
    <mergeCell ref="P507:V507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27:T27"/>
    <mergeCell ref="P325:T325"/>
    <mergeCell ref="P154:T154"/>
    <mergeCell ref="D504:E504"/>
    <mergeCell ref="P241:V241"/>
    <mergeCell ref="Q10:R10"/>
    <mergeCell ref="A442:Z442"/>
    <mergeCell ref="D185:E185"/>
    <mergeCell ref="P296:T296"/>
    <mergeCell ref="P356:T356"/>
    <mergeCell ref="D277:E277"/>
    <mergeCell ref="P256:V256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D422:E422"/>
    <mergeCell ref="P360:V360"/>
    <mergeCell ref="P80:V80"/>
    <mergeCell ref="P151:V151"/>
    <mergeCell ref="P87:T87"/>
    <mergeCell ref="D201:E201"/>
    <mergeCell ref="D335:E335"/>
    <mergeCell ref="D68:E68"/>
    <mergeCell ref="A440:O441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A12:M12"/>
    <mergeCell ref="A411:Z411"/>
    <mergeCell ref="A19:Z19"/>
    <mergeCell ref="P310:T310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P272:T27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A41:O42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38:E38"/>
    <mergeCell ref="P353:T353"/>
    <mergeCell ref="P440:V440"/>
    <mergeCell ref="P132:T132"/>
    <mergeCell ref="A44:Z44"/>
    <mergeCell ref="P75:V75"/>
    <mergeCell ref="P342:V34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D39:E39"/>
    <mergeCell ref="A135:Z135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Q9:R9"/>
    <mergeCell ref="P267:V267"/>
    <mergeCell ref="A331:Z331"/>
    <mergeCell ref="D255:E255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D9:E9"/>
    <mergeCell ref="F9:G9"/>
    <mergeCell ref="P495:T495"/>
    <mergeCell ref="P17:T18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A34:Z34"/>
    <mergeCell ref="P245:V245"/>
    <mergeCell ref="P516:V51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2026-10-09T09:33:36Z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