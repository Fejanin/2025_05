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DBEEC87-532D-4A7F-B75F-B904BB8547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P503" i="1"/>
  <c r="BO503" i="1"/>
  <c r="BN503" i="1"/>
  <c r="BM503" i="1"/>
  <c r="Z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O444" i="1"/>
  <c r="BM444" i="1"/>
  <c r="Y444" i="1"/>
  <c r="P444" i="1"/>
  <c r="BO443" i="1"/>
  <c r="BM443" i="1"/>
  <c r="Y443" i="1"/>
  <c r="Y445" i="1" s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9" i="1"/>
  <c r="X408" i="1"/>
  <c r="BO407" i="1"/>
  <c r="BM407" i="1"/>
  <c r="Y407" i="1"/>
  <c r="P407" i="1"/>
  <c r="BO406" i="1"/>
  <c r="BM406" i="1"/>
  <c r="Y406" i="1"/>
  <c r="Y408" i="1" s="1"/>
  <c r="P406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Y397" i="1" s="1"/>
  <c r="P393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N358" i="1"/>
  <c r="BM358" i="1"/>
  <c r="Z358" i="1"/>
  <c r="Y358" i="1"/>
  <c r="BP358" i="1" s="1"/>
  <c r="P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X328" i="1"/>
  <c r="BO327" i="1"/>
  <c r="BM327" i="1"/>
  <c r="Y327" i="1"/>
  <c r="P327" i="1"/>
  <c r="BO326" i="1"/>
  <c r="BM326" i="1"/>
  <c r="Y326" i="1"/>
  <c r="Y328" i="1" s="1"/>
  <c r="P326" i="1"/>
  <c r="BP325" i="1"/>
  <c r="BO325" i="1"/>
  <c r="BN325" i="1"/>
  <c r="BM325" i="1"/>
  <c r="Z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Y288" i="1" s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Y268" i="1" s="1"/>
  <c r="P260" i="1"/>
  <c r="BP259" i="1"/>
  <c r="BO259" i="1"/>
  <c r="BN259" i="1"/>
  <c r="BM259" i="1"/>
  <c r="Z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O250" i="1"/>
  <c r="BM250" i="1"/>
  <c r="Y250" i="1"/>
  <c r="Y252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P240" i="1"/>
  <c r="BO239" i="1"/>
  <c r="BM239" i="1"/>
  <c r="Y239" i="1"/>
  <c r="Y241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N177" i="1"/>
  <c r="BM177" i="1"/>
  <c r="Z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Y181" i="1" s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BP161" i="1" s="1"/>
  <c r="P161" i="1"/>
  <c r="BO160" i="1"/>
  <c r="BM160" i="1"/>
  <c r="Y160" i="1"/>
  <c r="Y164" i="1" s="1"/>
  <c r="P160" i="1"/>
  <c r="BP159" i="1"/>
  <c r="BO159" i="1"/>
  <c r="BN159" i="1"/>
  <c r="BM159" i="1"/>
  <c r="Z159" i="1"/>
  <c r="Y159" i="1"/>
  <c r="P159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2" i="1"/>
  <c r="X151" i="1"/>
  <c r="BO150" i="1"/>
  <c r="BM150" i="1"/>
  <c r="Y150" i="1"/>
  <c r="BP150" i="1" s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Y109" i="1" s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Y63" i="1" s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P48" i="1"/>
  <c r="BP47" i="1"/>
  <c r="BO47" i="1"/>
  <c r="BN47" i="1"/>
  <c r="BM47" i="1"/>
  <c r="Z47" i="1"/>
  <c r="Y47" i="1"/>
  <c r="P47" i="1"/>
  <c r="BO46" i="1"/>
  <c r="BM46" i="1"/>
  <c r="Y46" i="1"/>
  <c r="P46" i="1"/>
  <c r="X42" i="1"/>
  <c r="X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P37" i="1"/>
  <c r="BO37" i="1"/>
  <c r="BN37" i="1"/>
  <c r="BM37" i="1"/>
  <c r="Z37" i="1"/>
  <c r="Y37" i="1"/>
  <c r="P37" i="1"/>
  <c r="BO36" i="1"/>
  <c r="BM36" i="1"/>
  <c r="Y36" i="1"/>
  <c r="P36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50" i="1" s="1"/>
  <c r="BO22" i="1"/>
  <c r="BM22" i="1"/>
  <c r="X547" i="1" s="1"/>
  <c r="Y22" i="1"/>
  <c r="P22" i="1"/>
  <c r="H10" i="1"/>
  <c r="A9" i="1"/>
  <c r="A10" i="1" s="1"/>
  <c r="D7" i="1"/>
  <c r="Q6" i="1"/>
  <c r="P2" i="1"/>
  <c r="BP185" i="1" l="1"/>
  <c r="BN185" i="1"/>
  <c r="Z185" i="1"/>
  <c r="BP205" i="1"/>
  <c r="BN205" i="1"/>
  <c r="Z205" i="1"/>
  <c r="BP220" i="1"/>
  <c r="BN220" i="1"/>
  <c r="Z220" i="1"/>
  <c r="Y236" i="1"/>
  <c r="BP230" i="1"/>
  <c r="BN230" i="1"/>
  <c r="Z230" i="1"/>
  <c r="BP240" i="1"/>
  <c r="BN240" i="1"/>
  <c r="Z240" i="1"/>
  <c r="BP261" i="1"/>
  <c r="BN261" i="1"/>
  <c r="Z261" i="1"/>
  <c r="BP273" i="1"/>
  <c r="BN273" i="1"/>
  <c r="Z273" i="1"/>
  <c r="BP281" i="1"/>
  <c r="BN281" i="1"/>
  <c r="Z281" i="1"/>
  <c r="BP296" i="1"/>
  <c r="BN296" i="1"/>
  <c r="Z296" i="1"/>
  <c r="BP319" i="1"/>
  <c r="BN319" i="1"/>
  <c r="Z319" i="1"/>
  <c r="BP320" i="1"/>
  <c r="BN320" i="1"/>
  <c r="Z320" i="1"/>
  <c r="BP334" i="1"/>
  <c r="BN334" i="1"/>
  <c r="Z334" i="1"/>
  <c r="BP356" i="1"/>
  <c r="BN356" i="1"/>
  <c r="Z356" i="1"/>
  <c r="X548" i="1"/>
  <c r="X549" i="1" s="1"/>
  <c r="Z29" i="1"/>
  <c r="BN29" i="1"/>
  <c r="Z39" i="1"/>
  <c r="BN39" i="1"/>
  <c r="Z49" i="1"/>
  <c r="BN49" i="1"/>
  <c r="Z56" i="1"/>
  <c r="BN56" i="1"/>
  <c r="Z60" i="1"/>
  <c r="BN60" i="1"/>
  <c r="Z68" i="1"/>
  <c r="BN68" i="1"/>
  <c r="Y74" i="1"/>
  <c r="Z78" i="1"/>
  <c r="BN78" i="1"/>
  <c r="Y90" i="1"/>
  <c r="Z87" i="1"/>
  <c r="BN87" i="1"/>
  <c r="Z93" i="1"/>
  <c r="BN93" i="1"/>
  <c r="BP93" i="1"/>
  <c r="Z102" i="1"/>
  <c r="BN102" i="1"/>
  <c r="Z106" i="1"/>
  <c r="BN106" i="1"/>
  <c r="Z114" i="1"/>
  <c r="BN114" i="1"/>
  <c r="Z122" i="1"/>
  <c r="BN122" i="1"/>
  <c r="Z137" i="1"/>
  <c r="BN137" i="1"/>
  <c r="Z141" i="1"/>
  <c r="BN141" i="1"/>
  <c r="Z150" i="1"/>
  <c r="BN150" i="1"/>
  <c r="Z161" i="1"/>
  <c r="BN161" i="1"/>
  <c r="Z171" i="1"/>
  <c r="BN171" i="1"/>
  <c r="BP171" i="1"/>
  <c r="Y182" i="1"/>
  <c r="Z175" i="1"/>
  <c r="BN175" i="1"/>
  <c r="Y206" i="1"/>
  <c r="BP201" i="1"/>
  <c r="BN201" i="1"/>
  <c r="Z201" i="1"/>
  <c r="Y227" i="1"/>
  <c r="BP216" i="1"/>
  <c r="BN216" i="1"/>
  <c r="Z216" i="1"/>
  <c r="BP224" i="1"/>
  <c r="BN224" i="1"/>
  <c r="Z224" i="1"/>
  <c r="BP234" i="1"/>
  <c r="BN234" i="1"/>
  <c r="Z234" i="1"/>
  <c r="BP255" i="1"/>
  <c r="BN255" i="1"/>
  <c r="Z255" i="1"/>
  <c r="BP265" i="1"/>
  <c r="BN265" i="1"/>
  <c r="Z265" i="1"/>
  <c r="BP277" i="1"/>
  <c r="BN277" i="1"/>
  <c r="Z277" i="1"/>
  <c r="O556" i="1"/>
  <c r="BP292" i="1"/>
  <c r="BN292" i="1"/>
  <c r="Z292" i="1"/>
  <c r="BP315" i="1"/>
  <c r="BN315" i="1"/>
  <c r="Z315" i="1"/>
  <c r="BP327" i="1"/>
  <c r="BN327" i="1"/>
  <c r="Z327" i="1"/>
  <c r="BP347" i="1"/>
  <c r="BN347" i="1"/>
  <c r="Z347" i="1"/>
  <c r="BP366" i="1"/>
  <c r="BN366" i="1"/>
  <c r="Z366" i="1"/>
  <c r="BP380" i="1"/>
  <c r="BN380" i="1"/>
  <c r="Z380" i="1"/>
  <c r="BP394" i="1"/>
  <c r="BN394" i="1"/>
  <c r="Z394" i="1"/>
  <c r="BP414" i="1"/>
  <c r="BN414" i="1"/>
  <c r="Z414" i="1"/>
  <c r="BP420" i="1"/>
  <c r="BN420" i="1"/>
  <c r="Z420" i="1"/>
  <c r="BP432" i="1"/>
  <c r="BN432" i="1"/>
  <c r="Z432" i="1"/>
  <c r="BP467" i="1"/>
  <c r="BN467" i="1"/>
  <c r="Z467" i="1"/>
  <c r="BP495" i="1"/>
  <c r="BN495" i="1"/>
  <c r="Z495" i="1"/>
  <c r="BP505" i="1"/>
  <c r="BN505" i="1"/>
  <c r="Z505" i="1"/>
  <c r="BP509" i="1"/>
  <c r="BN509" i="1"/>
  <c r="Z509" i="1"/>
  <c r="AB556" i="1"/>
  <c r="Y522" i="1"/>
  <c r="BP521" i="1"/>
  <c r="BN521" i="1"/>
  <c r="Z521" i="1"/>
  <c r="Z522" i="1" s="1"/>
  <c r="Y527" i="1"/>
  <c r="Y526" i="1"/>
  <c r="BP525" i="1"/>
  <c r="BN525" i="1"/>
  <c r="Z525" i="1"/>
  <c r="Z526" i="1" s="1"/>
  <c r="Y531" i="1"/>
  <c r="Y530" i="1"/>
  <c r="BP529" i="1"/>
  <c r="BN529" i="1"/>
  <c r="Z529" i="1"/>
  <c r="Z530" i="1" s="1"/>
  <c r="Y535" i="1"/>
  <c r="Y534" i="1"/>
  <c r="BP533" i="1"/>
  <c r="BN533" i="1"/>
  <c r="Z533" i="1"/>
  <c r="Z534" i="1" s="1"/>
  <c r="Y539" i="1"/>
  <c r="BP537" i="1"/>
  <c r="BN537" i="1"/>
  <c r="Z537" i="1"/>
  <c r="Y228" i="1"/>
  <c r="Y235" i="1"/>
  <c r="Y242" i="1"/>
  <c r="Y267" i="1"/>
  <c r="Y282" i="1"/>
  <c r="Y287" i="1"/>
  <c r="Y321" i="1"/>
  <c r="Y343" i="1"/>
  <c r="Y361" i="1"/>
  <c r="BP374" i="1"/>
  <c r="BN374" i="1"/>
  <c r="Z374" i="1"/>
  <c r="Y390" i="1"/>
  <c r="BP386" i="1"/>
  <c r="BN386" i="1"/>
  <c r="Z386" i="1"/>
  <c r="BP407" i="1"/>
  <c r="BN407" i="1"/>
  <c r="Z407" i="1"/>
  <c r="Y415" i="1"/>
  <c r="BP424" i="1"/>
  <c r="BN424" i="1"/>
  <c r="Z424" i="1"/>
  <c r="BP444" i="1"/>
  <c r="BN444" i="1"/>
  <c r="Z444" i="1"/>
  <c r="BP449" i="1"/>
  <c r="BN449" i="1"/>
  <c r="Z449" i="1"/>
  <c r="BP485" i="1"/>
  <c r="BN485" i="1"/>
  <c r="Z485" i="1"/>
  <c r="BP499" i="1"/>
  <c r="BN499" i="1"/>
  <c r="Z499" i="1"/>
  <c r="BP513" i="1"/>
  <c r="BN513" i="1"/>
  <c r="Z513" i="1"/>
  <c r="Y383" i="1"/>
  <c r="Y429" i="1"/>
  <c r="Y441" i="1"/>
  <c r="Y462" i="1"/>
  <c r="Y507" i="1"/>
  <c r="Y506" i="1"/>
  <c r="F9" i="1"/>
  <c r="J9" i="1"/>
  <c r="F10" i="1"/>
  <c r="BP28" i="1"/>
  <c r="BN28" i="1"/>
  <c r="Z28" i="1"/>
  <c r="BP38" i="1"/>
  <c r="BN38" i="1"/>
  <c r="Z38" i="1"/>
  <c r="BP48" i="1"/>
  <c r="BN48" i="1"/>
  <c r="Z48" i="1"/>
  <c r="BP57" i="1"/>
  <c r="BN57" i="1"/>
  <c r="Z57" i="1"/>
  <c r="BP61" i="1"/>
  <c r="BN61" i="1"/>
  <c r="Z61" i="1"/>
  <c r="Y70" i="1"/>
  <c r="BP65" i="1"/>
  <c r="BN65" i="1"/>
  <c r="Z65" i="1"/>
  <c r="Y69" i="1"/>
  <c r="BP73" i="1"/>
  <c r="BN73" i="1"/>
  <c r="Z73" i="1"/>
  <c r="Z74" i="1" s="1"/>
  <c r="Y75" i="1"/>
  <c r="Y80" i="1"/>
  <c r="BP77" i="1"/>
  <c r="BN77" i="1"/>
  <c r="Z77" i="1"/>
  <c r="BP86" i="1"/>
  <c r="BN86" i="1"/>
  <c r="Z86" i="1"/>
  <c r="BP94" i="1"/>
  <c r="BN94" i="1"/>
  <c r="Z94" i="1"/>
  <c r="BP103" i="1"/>
  <c r="BN103" i="1"/>
  <c r="Z103" i="1"/>
  <c r="BP107" i="1"/>
  <c r="BN107" i="1"/>
  <c r="Z107" i="1"/>
  <c r="Y116" i="1"/>
  <c r="BP111" i="1"/>
  <c r="BN111" i="1"/>
  <c r="Z111" i="1"/>
  <c r="BP115" i="1"/>
  <c r="BN115" i="1"/>
  <c r="Z115" i="1"/>
  <c r="Y117" i="1"/>
  <c r="Y124" i="1"/>
  <c r="BP119" i="1"/>
  <c r="BN119" i="1"/>
  <c r="Z119" i="1"/>
  <c r="Y123" i="1"/>
  <c r="BP132" i="1"/>
  <c r="BN132" i="1"/>
  <c r="Z132" i="1"/>
  <c r="Z133" i="1" s="1"/>
  <c r="Y134" i="1"/>
  <c r="Y139" i="1"/>
  <c r="BP136" i="1"/>
  <c r="BN136" i="1"/>
  <c r="Z136" i="1"/>
  <c r="Y143" i="1"/>
  <c r="BP149" i="1"/>
  <c r="BN149" i="1"/>
  <c r="Z149" i="1"/>
  <c r="BP162" i="1"/>
  <c r="BN162" i="1"/>
  <c r="Z162" i="1"/>
  <c r="Y169" i="1"/>
  <c r="BP166" i="1"/>
  <c r="BN166" i="1"/>
  <c r="Z166" i="1"/>
  <c r="Z168" i="1" s="1"/>
  <c r="H9" i="1"/>
  <c r="B556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C556" i="1"/>
  <c r="Y41" i="1"/>
  <c r="BP36" i="1"/>
  <c r="BN36" i="1"/>
  <c r="Z36" i="1"/>
  <c r="Z41" i="1" s="1"/>
  <c r="BP40" i="1"/>
  <c r="BN40" i="1"/>
  <c r="Z40" i="1"/>
  <c r="Y42" i="1"/>
  <c r="D556" i="1"/>
  <c r="Y51" i="1"/>
  <c r="BP46" i="1"/>
  <c r="BN46" i="1"/>
  <c r="Z46" i="1"/>
  <c r="Z50" i="1" s="1"/>
  <c r="Y50" i="1"/>
  <c r="BP55" i="1"/>
  <c r="BN55" i="1"/>
  <c r="Z55" i="1"/>
  <c r="BP59" i="1"/>
  <c r="BN59" i="1"/>
  <c r="Z59" i="1"/>
  <c r="BP67" i="1"/>
  <c r="BN67" i="1"/>
  <c r="Z67" i="1"/>
  <c r="BP79" i="1"/>
  <c r="BN79" i="1"/>
  <c r="Z79" i="1"/>
  <c r="Y81" i="1"/>
  <c r="F556" i="1"/>
  <c r="Y91" i="1"/>
  <c r="BP84" i="1"/>
  <c r="BN84" i="1"/>
  <c r="Z84" i="1"/>
  <c r="Z90" i="1" s="1"/>
  <c r="BP88" i="1"/>
  <c r="BN88" i="1"/>
  <c r="Z88" i="1"/>
  <c r="BP96" i="1"/>
  <c r="BN96" i="1"/>
  <c r="Z96" i="1"/>
  <c r="Y98" i="1"/>
  <c r="G556" i="1"/>
  <c r="Y108" i="1"/>
  <c r="BP101" i="1"/>
  <c r="BN101" i="1"/>
  <c r="Z101" i="1"/>
  <c r="Z108" i="1" s="1"/>
  <c r="BP105" i="1"/>
  <c r="BN105" i="1"/>
  <c r="Z105" i="1"/>
  <c r="BP113" i="1"/>
  <c r="BN113" i="1"/>
  <c r="Z113" i="1"/>
  <c r="BP121" i="1"/>
  <c r="BN121" i="1"/>
  <c r="Z121" i="1"/>
  <c r="BP142" i="1"/>
  <c r="BN142" i="1"/>
  <c r="Z142" i="1"/>
  <c r="Z143" i="1" s="1"/>
  <c r="Y144" i="1"/>
  <c r="I556" i="1"/>
  <c r="Y152" i="1"/>
  <c r="BP147" i="1"/>
  <c r="BN147" i="1"/>
  <c r="Z147" i="1"/>
  <c r="Z151" i="1" s="1"/>
  <c r="Y151" i="1"/>
  <c r="BP160" i="1"/>
  <c r="BN160" i="1"/>
  <c r="Z160" i="1"/>
  <c r="Z163" i="1" s="1"/>
  <c r="Y168" i="1"/>
  <c r="X546" i="1"/>
  <c r="E556" i="1"/>
  <c r="Y62" i="1"/>
  <c r="H556" i="1"/>
  <c r="Y133" i="1"/>
  <c r="J556" i="1"/>
  <c r="Y163" i="1"/>
  <c r="Z172" i="1"/>
  <c r="BN172" i="1"/>
  <c r="BP172" i="1"/>
  <c r="Z174" i="1"/>
  <c r="BN174" i="1"/>
  <c r="Z176" i="1"/>
  <c r="BN176" i="1"/>
  <c r="Z178" i="1"/>
  <c r="BN178" i="1"/>
  <c r="Z180" i="1"/>
  <c r="BN180" i="1"/>
  <c r="Z184" i="1"/>
  <c r="Z186" i="1" s="1"/>
  <c r="BN184" i="1"/>
  <c r="BP184" i="1"/>
  <c r="Y187" i="1"/>
  <c r="K556" i="1"/>
  <c r="Z200" i="1"/>
  <c r="BN200" i="1"/>
  <c r="BP200" i="1"/>
  <c r="Z202" i="1"/>
  <c r="BN202" i="1"/>
  <c r="Z204" i="1"/>
  <c r="BN204" i="1"/>
  <c r="Y207" i="1"/>
  <c r="L556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BP231" i="1"/>
  <c r="Z233" i="1"/>
  <c r="BN233" i="1"/>
  <c r="Z239" i="1"/>
  <c r="Z241" i="1" s="1"/>
  <c r="BN239" i="1"/>
  <c r="BP239" i="1"/>
  <c r="M556" i="1"/>
  <c r="Z250" i="1"/>
  <c r="Z251" i="1" s="1"/>
  <c r="BN250" i="1"/>
  <c r="BP250" i="1"/>
  <c r="Y251" i="1"/>
  <c r="Z254" i="1"/>
  <c r="BN254" i="1"/>
  <c r="BP254" i="1"/>
  <c r="Y257" i="1"/>
  <c r="Z260" i="1"/>
  <c r="BN260" i="1"/>
  <c r="BP260" i="1"/>
  <c r="Z262" i="1"/>
  <c r="BN262" i="1"/>
  <c r="Z264" i="1"/>
  <c r="BN264" i="1"/>
  <c r="Z266" i="1"/>
  <c r="BN266" i="1"/>
  <c r="Z270" i="1"/>
  <c r="BN270" i="1"/>
  <c r="BP270" i="1"/>
  <c r="Z272" i="1"/>
  <c r="BN272" i="1"/>
  <c r="Z274" i="1"/>
  <c r="BN274" i="1"/>
  <c r="Z276" i="1"/>
  <c r="BN276" i="1"/>
  <c r="Z278" i="1"/>
  <c r="BN278" i="1"/>
  <c r="Z280" i="1"/>
  <c r="BN280" i="1"/>
  <c r="Y283" i="1"/>
  <c r="Z286" i="1"/>
  <c r="Z287" i="1" s="1"/>
  <c r="BN286" i="1"/>
  <c r="BP286" i="1"/>
  <c r="Z291" i="1"/>
  <c r="BN291" i="1"/>
  <c r="BP291" i="1"/>
  <c r="Z293" i="1"/>
  <c r="BN293" i="1"/>
  <c r="Z295" i="1"/>
  <c r="BN295" i="1"/>
  <c r="Z297" i="1"/>
  <c r="BN297" i="1"/>
  <c r="Y298" i="1"/>
  <c r="Z301" i="1"/>
  <c r="Z302" i="1" s="1"/>
  <c r="BN301" i="1"/>
  <c r="BP301" i="1"/>
  <c r="Y302" i="1"/>
  <c r="Z305" i="1"/>
  <c r="Z306" i="1" s="1"/>
  <c r="BN305" i="1"/>
  <c r="BP305" i="1"/>
  <c r="Y306" i="1"/>
  <c r="Z309" i="1"/>
  <c r="Z311" i="1" s="1"/>
  <c r="BN309" i="1"/>
  <c r="BP309" i="1"/>
  <c r="Y312" i="1"/>
  <c r="P556" i="1"/>
  <c r="Y322" i="1"/>
  <c r="Z316" i="1"/>
  <c r="BN316" i="1"/>
  <c r="BP316" i="1"/>
  <c r="Z318" i="1"/>
  <c r="Z321" i="1" s="1"/>
  <c r="BN318" i="1"/>
  <c r="BP333" i="1"/>
  <c r="BN333" i="1"/>
  <c r="Z333" i="1"/>
  <c r="BP341" i="1"/>
  <c r="BN341" i="1"/>
  <c r="Z341" i="1"/>
  <c r="S556" i="1"/>
  <c r="Y349" i="1"/>
  <c r="BP346" i="1"/>
  <c r="BN346" i="1"/>
  <c r="Z346" i="1"/>
  <c r="BP355" i="1"/>
  <c r="BN355" i="1"/>
  <c r="Z355" i="1"/>
  <c r="BP359" i="1"/>
  <c r="BN359" i="1"/>
  <c r="Z359" i="1"/>
  <c r="Y370" i="1"/>
  <c r="BP363" i="1"/>
  <c r="BN363" i="1"/>
  <c r="Z363" i="1"/>
  <c r="BP367" i="1"/>
  <c r="BN367" i="1"/>
  <c r="Z367" i="1"/>
  <c r="BP375" i="1"/>
  <c r="BN375" i="1"/>
  <c r="Z375" i="1"/>
  <c r="Y384" i="1"/>
  <c r="BP387" i="1"/>
  <c r="BN387" i="1"/>
  <c r="Z387" i="1"/>
  <c r="BP395" i="1"/>
  <c r="BN395" i="1"/>
  <c r="Z395" i="1"/>
  <c r="Y402" i="1"/>
  <c r="BP399" i="1"/>
  <c r="BN399" i="1"/>
  <c r="Z399" i="1"/>
  <c r="BP413" i="1"/>
  <c r="BN413" i="1"/>
  <c r="Z413" i="1"/>
  <c r="Z415" i="1" s="1"/>
  <c r="BP423" i="1"/>
  <c r="BN423" i="1"/>
  <c r="Z423" i="1"/>
  <c r="BP427" i="1"/>
  <c r="BN427" i="1"/>
  <c r="Z427" i="1"/>
  <c r="Y434" i="1"/>
  <c r="BP431" i="1"/>
  <c r="BN431" i="1"/>
  <c r="Z431" i="1"/>
  <c r="BP439" i="1"/>
  <c r="BN439" i="1"/>
  <c r="Z439" i="1"/>
  <c r="Y446" i="1"/>
  <c r="BP443" i="1"/>
  <c r="BN443" i="1"/>
  <c r="Z443" i="1"/>
  <c r="Z445" i="1" s="1"/>
  <c r="BP460" i="1"/>
  <c r="BN460" i="1"/>
  <c r="Z460" i="1"/>
  <c r="Y556" i="1"/>
  <c r="Y472" i="1"/>
  <c r="BP466" i="1"/>
  <c r="BN466" i="1"/>
  <c r="Z466" i="1"/>
  <c r="BP471" i="1"/>
  <c r="BN471" i="1"/>
  <c r="Z471" i="1"/>
  <c r="Y473" i="1"/>
  <c r="Y476" i="1"/>
  <c r="BP475" i="1"/>
  <c r="BN475" i="1"/>
  <c r="Z475" i="1"/>
  <c r="Z476" i="1" s="1"/>
  <c r="Y477" i="1"/>
  <c r="Z556" i="1"/>
  <c r="Y481" i="1"/>
  <c r="BP480" i="1"/>
  <c r="BN480" i="1"/>
  <c r="Z480" i="1"/>
  <c r="Z481" i="1" s="1"/>
  <c r="Y482" i="1"/>
  <c r="Y487" i="1"/>
  <c r="BP484" i="1"/>
  <c r="BN484" i="1"/>
  <c r="Z484" i="1"/>
  <c r="Y488" i="1"/>
  <c r="BP494" i="1"/>
  <c r="BN494" i="1"/>
  <c r="Z494" i="1"/>
  <c r="BP498" i="1"/>
  <c r="BN498" i="1"/>
  <c r="Z498" i="1"/>
  <c r="Y299" i="1"/>
  <c r="BP326" i="1"/>
  <c r="BN326" i="1"/>
  <c r="Z326" i="1"/>
  <c r="Z328" i="1" s="1"/>
  <c r="BP335" i="1"/>
  <c r="BN335" i="1"/>
  <c r="Z335" i="1"/>
  <c r="Y337" i="1"/>
  <c r="Y342" i="1"/>
  <c r="BP339" i="1"/>
  <c r="BN339" i="1"/>
  <c r="Z339" i="1"/>
  <c r="Z342" i="1" s="1"/>
  <c r="BP348" i="1"/>
  <c r="BN348" i="1"/>
  <c r="Z348" i="1"/>
  <c r="Y350" i="1"/>
  <c r="T556" i="1"/>
  <c r="Y360" i="1"/>
  <c r="BP353" i="1"/>
  <c r="BN353" i="1"/>
  <c r="Z353" i="1"/>
  <c r="BP357" i="1"/>
  <c r="BN357" i="1"/>
  <c r="Z357" i="1"/>
  <c r="BP365" i="1"/>
  <c r="BN365" i="1"/>
  <c r="Z365" i="1"/>
  <c r="BP369" i="1"/>
  <c r="BN369" i="1"/>
  <c r="Z369" i="1"/>
  <c r="Y371" i="1"/>
  <c r="Y378" i="1"/>
  <c r="BP373" i="1"/>
  <c r="BN373" i="1"/>
  <c r="Z373" i="1"/>
  <c r="Y377" i="1"/>
  <c r="BP381" i="1"/>
  <c r="BN381" i="1"/>
  <c r="Z381" i="1"/>
  <c r="Z383" i="1" s="1"/>
  <c r="BP389" i="1"/>
  <c r="BN389" i="1"/>
  <c r="Z389" i="1"/>
  <c r="Y391" i="1"/>
  <c r="Y396" i="1"/>
  <c r="BP393" i="1"/>
  <c r="BN393" i="1"/>
  <c r="Z393" i="1"/>
  <c r="BP401" i="1"/>
  <c r="BN401" i="1"/>
  <c r="Z401" i="1"/>
  <c r="Y403" i="1"/>
  <c r="U556" i="1"/>
  <c r="Y409" i="1"/>
  <c r="BP406" i="1"/>
  <c r="BN406" i="1"/>
  <c r="Z406" i="1"/>
  <c r="Z408" i="1" s="1"/>
  <c r="BP421" i="1"/>
  <c r="BN421" i="1"/>
  <c r="Z421" i="1"/>
  <c r="BP425" i="1"/>
  <c r="BN425" i="1"/>
  <c r="Z425" i="1"/>
  <c r="BP433" i="1"/>
  <c r="BN433" i="1"/>
  <c r="Z433" i="1"/>
  <c r="Y435" i="1"/>
  <c r="Y440" i="1"/>
  <c r="BP437" i="1"/>
  <c r="BN437" i="1"/>
  <c r="Z437" i="1"/>
  <c r="Z440" i="1" s="1"/>
  <c r="BP450" i="1"/>
  <c r="BN450" i="1"/>
  <c r="Z450" i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BP510" i="1"/>
  <c r="BN510" i="1"/>
  <c r="Z510" i="1"/>
  <c r="Y516" i="1"/>
  <c r="BP514" i="1"/>
  <c r="BN514" i="1"/>
  <c r="Z514" i="1"/>
  <c r="Q556" i="1"/>
  <c r="Y329" i="1"/>
  <c r="R556" i="1"/>
  <c r="Y336" i="1"/>
  <c r="V556" i="1"/>
  <c r="Y416" i="1"/>
  <c r="W556" i="1"/>
  <c r="Y428" i="1"/>
  <c r="X556" i="1"/>
  <c r="Y451" i="1"/>
  <c r="BP486" i="1"/>
  <c r="BN486" i="1"/>
  <c r="Z486" i="1"/>
  <c r="AA556" i="1"/>
  <c r="Y501" i="1"/>
  <c r="BP492" i="1"/>
  <c r="BN492" i="1"/>
  <c r="Z492" i="1"/>
  <c r="BP496" i="1"/>
  <c r="BN496" i="1"/>
  <c r="Z496" i="1"/>
  <c r="Y500" i="1"/>
  <c r="BP504" i="1"/>
  <c r="BN504" i="1"/>
  <c r="Z504" i="1"/>
  <c r="Z506" i="1" s="1"/>
  <c r="Y517" i="1"/>
  <c r="BP512" i="1"/>
  <c r="BN512" i="1"/>
  <c r="Z512" i="1"/>
  <c r="BP538" i="1"/>
  <c r="BN538" i="1"/>
  <c r="Z538" i="1"/>
  <c r="Z539" i="1" s="1"/>
  <c r="Y540" i="1"/>
  <c r="AC556" i="1"/>
  <c r="Y544" i="1"/>
  <c r="BP543" i="1"/>
  <c r="BN543" i="1"/>
  <c r="Z543" i="1"/>
  <c r="Z544" i="1" s="1"/>
  <c r="Y545" i="1"/>
  <c r="Y523" i="1"/>
  <c r="Z97" i="1" l="1"/>
  <c r="Z516" i="1"/>
  <c r="Z461" i="1"/>
  <c r="Z451" i="1"/>
  <c r="Z428" i="1"/>
  <c r="Z396" i="1"/>
  <c r="Z377" i="1"/>
  <c r="Z267" i="1"/>
  <c r="Z256" i="1"/>
  <c r="Z227" i="1"/>
  <c r="Z206" i="1"/>
  <c r="Z181" i="1"/>
  <c r="Z62" i="1"/>
  <c r="Z138" i="1"/>
  <c r="Z360" i="1"/>
  <c r="Z487" i="1"/>
  <c r="Z434" i="1"/>
  <c r="Z402" i="1"/>
  <c r="Z298" i="1"/>
  <c r="Y548" i="1"/>
  <c r="Z69" i="1"/>
  <c r="Z500" i="1"/>
  <c r="Z472" i="1"/>
  <c r="Z390" i="1"/>
  <c r="Z370" i="1"/>
  <c r="Z349" i="1"/>
  <c r="Z336" i="1"/>
  <c r="Z282" i="1"/>
  <c r="Z31" i="1"/>
  <c r="Y546" i="1"/>
  <c r="Y547" i="1"/>
  <c r="Y550" i="1"/>
  <c r="Z123" i="1"/>
  <c r="Z116" i="1"/>
  <c r="Z80" i="1"/>
  <c r="Y549" i="1" l="1"/>
  <c r="Z551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<sst xmlns="http://schemas.openxmlformats.org/spreadsheetml/2006/main" count="2462" uniqueCount="893">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</sst>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8</v>
      </c>
      <c r="Y49" s="618">
        <f>IFERROR(IF(X49="",0,CEILING((X49/$H49),1)*$H49),"")</f>
        <v>11.100000000000001</v>
      </c>
      <c r="Z49" s="36">
        <f>IFERROR(IF(Y49=0,"",ROUNDUP(Y49/H49,0)*0.00902),"")</f>
        <v>2.7060000000000001E-2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8.4108108108108102</v>
      </c>
      <c r="BN49" s="64">
        <f>IFERROR(Y49*I49/H49,"0")</f>
        <v>11.670000000000002</v>
      </c>
      <c r="BO49" s="64">
        <f>IFERROR(1/J49*(X49/H49),"0")</f>
        <v>1.6380016380016377E-2</v>
      </c>
      <c r="BP49" s="64">
        <f>IFERROR(1/J49*(Y49/H49),"0")</f>
        <v>2.2727272727272731E-2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2.1621621621621618</v>
      </c>
      <c r="Y50" s="619">
        <f>IFERROR(Y46/H46,"0")+IFERROR(Y47/H47,"0")+IFERROR(Y48/H48,"0")+IFERROR(Y49/H49,"0")</f>
        <v>3.0000000000000004</v>
      </c>
      <c r="Z50" s="619">
        <f>IFERROR(IF(Z46="",0,Z46),"0")+IFERROR(IF(Z47="",0,Z47),"0")+IFERROR(IF(Z48="",0,Z48),"0")+IFERROR(IF(Z49="",0,Z49),"0")</f>
        <v>2.7060000000000001E-2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8</v>
      </c>
      <c r="Y51" s="619">
        <f>IFERROR(SUM(Y46:Y49),"0")</f>
        <v>11.100000000000001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4</v>
      </c>
      <c r="Y54" s="618">
        <f t="shared" ref="Y54:Y61" si="0">IFERROR(IF(X54="",0,CEILING((X54/$H54),1)*$H54),"")</f>
        <v>11.2</v>
      </c>
      <c r="Z54" s="36">
        <f>IFERROR(IF(Y54=0,"",ROUNDUP(Y54/H54,0)*0.01898),"")</f>
        <v>1.898E-2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4.1464285714285714</v>
      </c>
      <c r="BN54" s="64">
        <f t="shared" ref="BN54:BN61" si="2">IFERROR(Y54*I54/H54,"0")</f>
        <v>11.61</v>
      </c>
      <c r="BO54" s="64">
        <f t="shared" ref="BO54:BO61" si="3">IFERROR(1/J54*(X54/H54),"0")</f>
        <v>5.580357142857143E-3</v>
      </c>
      <c r="BP54" s="64">
        <f t="shared" ref="BP54:BP61" si="4">IFERROR(1/J54*(Y54/H54),"0")</f>
        <v>1.5625E-2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22</v>
      </c>
      <c r="Y55" s="618">
        <f t="shared" si="0"/>
        <v>32.400000000000006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22.835185185185185</v>
      </c>
      <c r="BN55" s="64">
        <f t="shared" si="2"/>
        <v>33.630000000000003</v>
      </c>
      <c r="BO55" s="64">
        <f t="shared" si="3"/>
        <v>3.1828703703703699E-2</v>
      </c>
      <c r="BP55" s="64">
        <f t="shared" si="4"/>
        <v>4.6875000000000007E-2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4</v>
      </c>
      <c r="Y61" s="618">
        <f t="shared" si="0"/>
        <v>4.5</v>
      </c>
      <c r="Z61" s="36">
        <f>IFERROR(IF(Y61=0,"",ROUNDUP(Y61/H61,0)*0.00902),"")</f>
        <v>9.0200000000000002E-3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4.1688888888888895</v>
      </c>
      <c r="BN61" s="64">
        <f t="shared" si="2"/>
        <v>4.6900000000000004</v>
      </c>
      <c r="BO61" s="64">
        <f t="shared" si="3"/>
        <v>6.7340067340067337E-3</v>
      </c>
      <c r="BP61" s="64">
        <f t="shared" si="4"/>
        <v>7.575757575757576E-3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3.2830687830687828</v>
      </c>
      <c r="Y62" s="619">
        <f>IFERROR(Y54/H54,"0")+IFERROR(Y55/H55,"0")+IFERROR(Y56/H56,"0")+IFERROR(Y57/H57,"0")+IFERROR(Y58/H58,"0")+IFERROR(Y59/H59,"0")+IFERROR(Y60/H60,"0")+IFERROR(Y61/H61,"0")</f>
        <v>5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8.4940000000000002E-2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30</v>
      </c>
      <c r="Y63" s="619">
        <f>IFERROR(SUM(Y54:Y61),"0")</f>
        <v>48.100000000000009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17</v>
      </c>
      <c r="Y65" s="618">
        <f>IFERROR(IF(X65="",0,CEILING((X65/$H65),1)*$H65),"")</f>
        <v>21.6</v>
      </c>
      <c r="Z65" s="36">
        <f>IFERROR(IF(Y65=0,"",ROUNDUP(Y65/H65,0)*0.01898),"")</f>
        <v>3.7960000000000001E-2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17.645370370370372</v>
      </c>
      <c r="BN65" s="64">
        <f>IFERROR(Y65*I65/H65,"0")</f>
        <v>22.42</v>
      </c>
      <c r="BO65" s="64">
        <f>IFERROR(1/J65*(X65/H65),"0")</f>
        <v>2.4594907407407406E-2</v>
      </c>
      <c r="BP65" s="64">
        <f>IFERROR(1/J65*(Y65/H65),"0")</f>
        <v>3.125E-2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1.574074074074074</v>
      </c>
      <c r="Y69" s="619">
        <f>IFERROR(Y65/H65,"0")+IFERROR(Y66/H66,"0")+IFERROR(Y67/H67,"0")+IFERROR(Y68/H68,"0")</f>
        <v>2</v>
      </c>
      <c r="Z69" s="619">
        <f>IFERROR(IF(Z65="",0,Z65),"0")+IFERROR(IF(Z66="",0,Z66),"0")+IFERROR(IF(Z67="",0,Z67),"0")+IFERROR(IF(Z68="",0,Z68),"0")</f>
        <v>3.7960000000000001E-2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17</v>
      </c>
      <c r="Y70" s="619">
        <f>IFERROR(SUM(Y65:Y68),"0")</f>
        <v>21.6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70</v>
      </c>
      <c r="Y77" s="618">
        <f>IFERROR(IF(X77="",0,CEILING((X77/$H77),1)*$H77),"")</f>
        <v>70.2</v>
      </c>
      <c r="Z77" s="36">
        <f>IFERROR(IF(Y77=0,"",ROUNDUP(Y77/H77,0)*0.01898),"")</f>
        <v>0.17082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73.679487179487182</v>
      </c>
      <c r="BN77" s="64">
        <f>IFERROR(Y77*I77/H77,"0")</f>
        <v>73.890000000000015</v>
      </c>
      <c r="BO77" s="64">
        <f>IFERROR(1/J77*(X77/H77),"0")</f>
        <v>0.14022435897435898</v>
      </c>
      <c r="BP77" s="64">
        <f>IFERROR(1/J77*(Y77/H77),"0")</f>
        <v>0.140625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8.9743589743589745</v>
      </c>
      <c r="Y80" s="619">
        <f>IFERROR(Y77/H77,"0")+IFERROR(Y78/H78,"0")+IFERROR(Y79/H79,"0")</f>
        <v>9</v>
      </c>
      <c r="Z80" s="619">
        <f>IFERROR(IF(Z77="",0,Z77),"0")+IFERROR(IF(Z78="",0,Z78),"0")+IFERROR(IF(Z79="",0,Z79),"0")</f>
        <v>0.17082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70</v>
      </c>
      <c r="Y81" s="619">
        <f>IFERROR(SUM(Y77:Y79),"0")</f>
        <v>70.2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12</v>
      </c>
      <c r="Y89" s="618">
        <f t="shared" si="5"/>
        <v>13.5</v>
      </c>
      <c r="Z89" s="36">
        <f>IFERROR(IF(Y89=0,"",ROUNDUP(Y89/H89,0)*0.00902),"")</f>
        <v>2.7060000000000001E-2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12.506666666666668</v>
      </c>
      <c r="BN89" s="64">
        <f t="shared" si="7"/>
        <v>14.07</v>
      </c>
      <c r="BO89" s="64">
        <f t="shared" si="8"/>
        <v>2.02020202020202E-2</v>
      </c>
      <c r="BP89" s="64">
        <f t="shared" si="9"/>
        <v>2.2727272727272728E-2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2.6666666666666665</v>
      </c>
      <c r="Y90" s="619">
        <f>IFERROR(Y84/H84,"0")+IFERROR(Y85/H85,"0")+IFERROR(Y86/H86,"0")+IFERROR(Y87/H87,"0")+IFERROR(Y88/H88,"0")+IFERROR(Y89/H89,"0")</f>
        <v>3</v>
      </c>
      <c r="Z90" s="619">
        <f>IFERROR(IF(Z84="",0,Z84),"0")+IFERROR(IF(Z85="",0,Z85),"0")+IFERROR(IF(Z86="",0,Z86),"0")+IFERROR(IF(Z87="",0,Z87),"0")+IFERROR(IF(Z88="",0,Z88),"0")+IFERROR(IF(Z89="",0,Z89),"0")</f>
        <v>2.7060000000000001E-2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12</v>
      </c>
      <c r="Y91" s="619">
        <f>IFERROR(SUM(Y84:Y89),"0")</f>
        <v>13.5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212</v>
      </c>
      <c r="Y93" s="618">
        <f>IFERROR(IF(X93="",0,CEILING((X93/$H93),1)*$H93),"")</f>
        <v>218.7</v>
      </c>
      <c r="Z93" s="36">
        <f>IFERROR(IF(Y93=0,"",ROUNDUP(Y93/H93,0)*0.01898),"")</f>
        <v>0.51246000000000003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224.92938271604939</v>
      </c>
      <c r="BN93" s="64">
        <f>IFERROR(Y93*I93/H93,"0")</f>
        <v>232.03799999999998</v>
      </c>
      <c r="BO93" s="64">
        <f>IFERROR(1/J93*(X93/H93),"0")</f>
        <v>0.40895061728395066</v>
      </c>
      <c r="BP93" s="64">
        <f>IFERROR(1/J93*(Y93/H93),"0")</f>
        <v>0.421875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29</v>
      </c>
      <c r="Y95" s="618">
        <f>IFERROR(IF(X95="",0,CEILING((X95/$H95),1)*$H95),"")</f>
        <v>29.700000000000003</v>
      </c>
      <c r="Z95" s="36">
        <f>IFERROR(IF(Y95=0,"",ROUNDUP(Y95/H95,0)*0.00651),"")</f>
        <v>7.1610000000000007E-2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31.706666666666667</v>
      </c>
      <c r="BN95" s="64">
        <f>IFERROR(Y95*I95/H95,"0")</f>
        <v>32.472000000000001</v>
      </c>
      <c r="BO95" s="64">
        <f>IFERROR(1/J95*(X95/H95),"0")</f>
        <v>5.9015059015059018E-2</v>
      </c>
      <c r="BP95" s="64">
        <f>IFERROR(1/J95*(Y95/H95),"0")</f>
        <v>6.0439560439560447E-2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36.913580246913583</v>
      </c>
      <c r="Y97" s="619">
        <f>IFERROR(Y93/H93,"0")+IFERROR(Y94/H94,"0")+IFERROR(Y95/H95,"0")+IFERROR(Y96/H96,"0")</f>
        <v>38</v>
      </c>
      <c r="Z97" s="619">
        <f>IFERROR(IF(Z93="",0,Z93),"0")+IFERROR(IF(Z94="",0,Z94),"0")+IFERROR(IF(Z95="",0,Z95),"0")+IFERROR(IF(Z96="",0,Z96),"0")</f>
        <v>0.58407000000000009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241</v>
      </c>
      <c r="Y98" s="619">
        <f>IFERROR(SUM(Y93:Y96),"0")</f>
        <v>248.39999999999998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30</v>
      </c>
      <c r="Y111" s="618">
        <f>IFERROR(IF(X111="",0,CEILING((X111/$H111),1)*$H111),"")</f>
        <v>32.400000000000006</v>
      </c>
      <c r="Z111" s="36">
        <f>IFERROR(IF(Y111=0,"",ROUNDUP(Y111/H111,0)*0.01898),"")</f>
        <v>5.6940000000000004E-2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31.138888888888889</v>
      </c>
      <c r="BN111" s="64">
        <f>IFERROR(Y111*I111/H111,"0")</f>
        <v>33.630000000000003</v>
      </c>
      <c r="BO111" s="64">
        <f>IFERROR(1/J111*(X111/H111),"0")</f>
        <v>4.3402777777777776E-2</v>
      </c>
      <c r="BP111" s="64">
        <f>IFERROR(1/J111*(Y111/H111),"0")</f>
        <v>4.6875000000000007E-2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21</v>
      </c>
      <c r="Y115" s="618">
        <f>IFERROR(IF(X115="",0,CEILING((X115/$H115),1)*$H115),"")</f>
        <v>21.599999999999998</v>
      </c>
      <c r="Z115" s="36">
        <f>IFERROR(IF(Y115=0,"",ROUNDUP(Y115/H115,0)*0.00651),"")</f>
        <v>5.8590000000000003E-2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22.574999999999999</v>
      </c>
      <c r="BN115" s="64">
        <f>IFERROR(Y115*I115/H115,"0")</f>
        <v>23.22</v>
      </c>
      <c r="BO115" s="64">
        <f>IFERROR(1/J115*(X115/H115),"0")</f>
        <v>4.807692307692308E-2</v>
      </c>
      <c r="BP115" s="64">
        <f>IFERROR(1/J115*(Y115/H115),"0")</f>
        <v>4.9450549450549455E-2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11.527777777777779</v>
      </c>
      <c r="Y116" s="619">
        <f>IFERROR(Y111/H111,"0")+IFERROR(Y112/H112,"0")+IFERROR(Y113/H113,"0")+IFERROR(Y114/H114,"0")+IFERROR(Y115/H115,"0")</f>
        <v>12</v>
      </c>
      <c r="Z116" s="619">
        <f>IFERROR(IF(Z111="",0,Z111),"0")+IFERROR(IF(Z112="",0,Z112),"0")+IFERROR(IF(Z113="",0,Z113),"0")+IFERROR(IF(Z114="",0,Z114),"0")+IFERROR(IF(Z115="",0,Z115),"0")</f>
        <v>0.11553000000000001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51</v>
      </c>
      <c r="Y117" s="619">
        <f>IFERROR(SUM(Y111:Y115),"0")</f>
        <v>54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100</v>
      </c>
      <c r="Y119" s="618">
        <f>IFERROR(IF(X119="",0,CEILING((X119/$H119),1)*$H119),"")</f>
        <v>105.3</v>
      </c>
      <c r="Z119" s="36">
        <f>IFERROR(IF(Y119=0,"",ROUNDUP(Y119/H119,0)*0.01898),"")</f>
        <v>0.24674000000000001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106.0246913580247</v>
      </c>
      <c r="BN119" s="64">
        <f>IFERROR(Y119*I119/H119,"0")</f>
        <v>111.64399999999999</v>
      </c>
      <c r="BO119" s="64">
        <f>IFERROR(1/J119*(X119/H119),"0")</f>
        <v>0.19290123456790123</v>
      </c>
      <c r="BP119" s="64">
        <f>IFERROR(1/J119*(Y119/H119),"0")</f>
        <v>0.203125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12.345679012345679</v>
      </c>
      <c r="Y123" s="619">
        <f>IFERROR(Y119/H119,"0")+IFERROR(Y120/H120,"0")+IFERROR(Y121/H121,"0")+IFERROR(Y122/H122,"0")</f>
        <v>13</v>
      </c>
      <c r="Z123" s="619">
        <f>IFERROR(IF(Z119="",0,Z119),"0")+IFERROR(IF(Z120="",0,Z120),"0")+IFERROR(IF(Z121="",0,Z121),"0")+IFERROR(IF(Z122="",0,Z122),"0")</f>
        <v>0.24674000000000001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100</v>
      </c>
      <c r="Y124" s="619">
        <f>IFERROR(SUM(Y119:Y122),"0")</f>
        <v>105.3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7</v>
      </c>
      <c r="Y141" s="618">
        <f>IFERROR(IF(X141="",0,CEILING((X141/$H141),1)*$H141),"")</f>
        <v>7.92</v>
      </c>
      <c r="Z141" s="36">
        <f>IFERROR(IF(Y141=0,"",ROUNDUP(Y141/H141,0)*0.00651),"")</f>
        <v>1.9529999999999999E-2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7.7106060606060591</v>
      </c>
      <c r="BN141" s="64">
        <f>IFERROR(Y141*I141/H141,"0")</f>
        <v>8.7240000000000002</v>
      </c>
      <c r="BO141" s="64">
        <f>IFERROR(1/J141*(X141/H141),"0")</f>
        <v>1.456876456876457E-2</v>
      </c>
      <c r="BP141" s="64">
        <f>IFERROR(1/J141*(Y141/H141),"0")</f>
        <v>1.6483516483516484E-2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2.6515151515151514</v>
      </c>
      <c r="Y143" s="619">
        <f>IFERROR(Y141/H141,"0")+IFERROR(Y142/H142,"0")</f>
        <v>3</v>
      </c>
      <c r="Z143" s="619">
        <f>IFERROR(IF(Z141="",0,Z141),"0")+IFERROR(IF(Z142="",0,Z142),"0")</f>
        <v>1.9529999999999999E-2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7</v>
      </c>
      <c r="Y144" s="619">
        <f>IFERROR(SUM(Y141:Y142),"0")</f>
        <v>7.92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150</v>
      </c>
      <c r="Y171" s="618">
        <f t="shared" ref="Y171:Y180" si="15">IFERROR(IF(X171="",0,CEILING((X171/$H171),1)*$H171),"")</f>
        <v>150.5</v>
      </c>
      <c r="Z171" s="36">
        <f>IFERROR(IF(Y171=0,"",ROUNDUP(Y171/H171,0)*0.00902),"")</f>
        <v>0.38785999999999998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158.14285714285714</v>
      </c>
      <c r="BN171" s="64">
        <f t="shared" ref="BN171:BN180" si="17">IFERROR(Y171*I171/H171,"0")</f>
        <v>158.67000000000002</v>
      </c>
      <c r="BO171" s="64">
        <f t="shared" ref="BO171:BO180" si="18">IFERROR(1/J171*(X171/H171),"0")</f>
        <v>0.32467532467532467</v>
      </c>
      <c r="BP171" s="64">
        <f t="shared" ref="BP171:BP180" si="19">IFERROR(1/J171*(Y171/H171),"0")</f>
        <v>0.32575757575757575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100</v>
      </c>
      <c r="Y173" s="618">
        <f t="shared" si="15"/>
        <v>101.5</v>
      </c>
      <c r="Z173" s="36">
        <f>IFERROR(IF(Y173=0,"",ROUNDUP(Y173/H173,0)*0.00902),"")</f>
        <v>0.26158000000000003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105.42857142857143</v>
      </c>
      <c r="BN173" s="64">
        <f t="shared" si="17"/>
        <v>107.00999999999999</v>
      </c>
      <c r="BO173" s="64">
        <f t="shared" si="18"/>
        <v>0.21645021645021648</v>
      </c>
      <c r="BP173" s="64">
        <f t="shared" si="19"/>
        <v>0.2196969696969697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100</v>
      </c>
      <c r="Y174" s="618">
        <f t="shared" si="15"/>
        <v>101.5</v>
      </c>
      <c r="Z174" s="36">
        <f>IFERROR(IF(Y174=0,"",ROUNDUP(Y174/H174,0)*0.00902),"")</f>
        <v>0.26158000000000003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105.42857142857143</v>
      </c>
      <c r="BN174" s="64">
        <f t="shared" si="17"/>
        <v>107.00999999999999</v>
      </c>
      <c r="BO174" s="64">
        <f t="shared" si="18"/>
        <v>0.21645021645021648</v>
      </c>
      <c r="BP174" s="64">
        <f t="shared" si="19"/>
        <v>0.2196969696969697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14</v>
      </c>
      <c r="Y178" s="618">
        <f t="shared" si="15"/>
        <v>15.12</v>
      </c>
      <c r="Z178" s="36">
        <f>IFERROR(IF(Y178=0,"",ROUNDUP(Y178/H178,0)*0.00502),"")</f>
        <v>4.5179999999999998E-2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14.833333333333336</v>
      </c>
      <c r="BN178" s="64">
        <f t="shared" si="17"/>
        <v>16.02</v>
      </c>
      <c r="BO178" s="64">
        <f t="shared" si="18"/>
        <v>3.561253561253562E-2</v>
      </c>
      <c r="BP178" s="64">
        <f t="shared" si="19"/>
        <v>3.8461538461538464E-2</v>
      </c>
    </row>
    <row r="179" spans="1:68" ht="27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1</v>
      </c>
      <c r="Y179" s="618">
        <f t="shared" si="15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1.1111111111111112</v>
      </c>
      <c r="BN179" s="64">
        <f t="shared" si="17"/>
        <v>2</v>
      </c>
      <c r="BO179" s="64">
        <f t="shared" si="18"/>
        <v>3.3068783068783067E-3</v>
      </c>
      <c r="BP179" s="64">
        <f t="shared" si="19"/>
        <v>5.9523809523809521E-3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126.1111111111111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130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1.0549000000000002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393</v>
      </c>
      <c r="Y182" s="619">
        <f>IFERROR(SUM(Y171:Y180),"0")</f>
        <v>400.66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4</v>
      </c>
      <c r="Y223" s="618">
        <f t="shared" si="26"/>
        <v>4</v>
      </c>
      <c r="Z223" s="36">
        <f>IFERROR(IF(Y223=0,"",ROUNDUP(Y223/H223,0)*0.00417),"")</f>
        <v>2.085E-2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5.05</v>
      </c>
      <c r="BN223" s="64">
        <f t="shared" si="28"/>
        <v>5.05</v>
      </c>
      <c r="BO223" s="64">
        <f t="shared" si="29"/>
        <v>1.488095238095238E-2</v>
      </c>
      <c r="BP223" s="64">
        <f t="shared" si="30"/>
        <v>1.488095238095238E-2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2.085E-2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4</v>
      </c>
      <c r="Y228" s="619">
        <f>IFERROR(SUM(Y214:Y226),"0")</f>
        <v>4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1</v>
      </c>
      <c r="Y239" s="618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1</v>
      </c>
      <c r="Y240" s="618">
        <f>IFERROR(IF(X240="",0,CEILING((X240/$H240),1)*$H240),"")</f>
        <v>1.26</v>
      </c>
      <c r="Z240" s="36">
        <f>IFERROR(IF(Y240=0,"",ROUNDUP(Y240/H240,0)*0.0059),"")</f>
        <v>5.8999999999999999E-3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1.1507936507936507</v>
      </c>
      <c r="BN240" s="64">
        <f>IFERROR(Y240*I240/H240,"0")</f>
        <v>1.45</v>
      </c>
      <c r="BO240" s="64">
        <f>IFERROR(1/J240*(X240/H240),"0")</f>
        <v>3.6743092298647849E-3</v>
      </c>
      <c r="BP240" s="64">
        <f>IFERROR(1/J240*(Y240/H240),"0")</f>
        <v>4.6296296296296294E-3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1.5873015873015872</v>
      </c>
      <c r="Y241" s="619">
        <f>IFERROR(Y238/H238,"0")+IFERROR(Y239/H239,"0")+IFERROR(Y240/H240,"0")</f>
        <v>2</v>
      </c>
      <c r="Z241" s="619">
        <f>IFERROR(IF(Z238="",0,Z238),"0")+IFERROR(IF(Z239="",0,Z239),"0")+IFERROR(IF(Z240="",0,Z240),"0")</f>
        <v>1.18E-2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2</v>
      </c>
      <c r="Y242" s="619">
        <f>IFERROR(SUM(Y238:Y240),"0")</f>
        <v>2.52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3</v>
      </c>
      <c r="Y244" s="618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2.3809523809523809</v>
      </c>
      <c r="Y245" s="619">
        <f>IFERROR(Y244/H244,"0")</f>
        <v>3</v>
      </c>
      <c r="Z245" s="619">
        <f>IFERROR(IF(Z244="",0,Z244),"0")</f>
        <v>1.77E-2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3</v>
      </c>
      <c r="Y246" s="619">
        <f>IFERROR(SUM(Y244:Y244),"0")</f>
        <v>3.7800000000000002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100</v>
      </c>
      <c r="Y260" s="618">
        <f t="shared" si="31"/>
        <v>102.60000000000001</v>
      </c>
      <c r="Z260" s="36">
        <f>IFERROR(IF(Y260=0,"",ROUNDUP(Y260/H260,0)*0.00902),"")</f>
        <v>0.17138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103.5185185185185</v>
      </c>
      <c r="BN260" s="64">
        <f t="shared" si="33"/>
        <v>106.21</v>
      </c>
      <c r="BO260" s="64">
        <f t="shared" si="34"/>
        <v>0.14029180695847362</v>
      </c>
      <c r="BP260" s="64">
        <f t="shared" si="35"/>
        <v>0.14393939393939395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20</v>
      </c>
      <c r="Y262" s="618">
        <f t="shared" si="31"/>
        <v>21.6</v>
      </c>
      <c r="Z262" s="36">
        <f>IFERROR(IF(Y262=0,"",ROUNDUP(Y262/H262,0)*0.00902),"")</f>
        <v>3.6080000000000001E-2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20.703703703703702</v>
      </c>
      <c r="BN262" s="64">
        <f t="shared" si="33"/>
        <v>22.36</v>
      </c>
      <c r="BO262" s="64">
        <f t="shared" si="34"/>
        <v>2.8058361391694722E-2</v>
      </c>
      <c r="BP262" s="64">
        <f t="shared" si="35"/>
        <v>3.0303030303030304E-2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6</v>
      </c>
      <c r="Y264" s="618">
        <f t="shared" si="31"/>
        <v>7.2</v>
      </c>
      <c r="Z264" s="36">
        <f>IFERROR(IF(Y264=0,"",ROUNDUP(Y264/H264,0)*0.00502),"")</f>
        <v>2.0080000000000001E-2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6.3333333333333321</v>
      </c>
      <c r="BN264" s="64">
        <f t="shared" si="33"/>
        <v>7.6</v>
      </c>
      <c r="BO264" s="64">
        <f t="shared" si="34"/>
        <v>1.4245014245014245E-2</v>
      </c>
      <c r="BP264" s="64">
        <f t="shared" si="35"/>
        <v>1.7094017094017096E-2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25.555555555555554</v>
      </c>
      <c r="Y267" s="619">
        <f>IFERROR(Y259/H259,"0")+IFERROR(Y260/H260,"0")+IFERROR(Y261/H261,"0")+IFERROR(Y262/H262,"0")+IFERROR(Y263/H263,"0")+IFERROR(Y264/H264,"0")+IFERROR(Y265/H265,"0")+IFERROR(Y266/H266,"0")</f>
        <v>27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0.22754000000000002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126</v>
      </c>
      <c r="Y268" s="619">
        <f>IFERROR(SUM(Y259:Y266),"0")</f>
        <v>131.4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40</v>
      </c>
      <c r="Y270" s="618">
        <f t="shared" ref="Y270:Y281" si="36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42.439506172839508</v>
      </c>
      <c r="BN270" s="64">
        <f t="shared" ref="BN270:BN281" si="38">IFERROR(Y270*I270/H270,"0")</f>
        <v>42.97</v>
      </c>
      <c r="BO270" s="64">
        <f t="shared" ref="BO270:BO281" si="39">IFERROR(1/J270*(X270/H270),"0")</f>
        <v>7.7160493827160503E-2</v>
      </c>
      <c r="BP270" s="64">
        <f t="shared" ref="BP270:BP281" si="40">IFERROR(1/J270*(Y270/H270),"0")</f>
        <v>7.8125E-2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33</v>
      </c>
      <c r="Y271" s="618">
        <f t="shared" si="36"/>
        <v>40.5</v>
      </c>
      <c r="Z271" s="36">
        <f>IFERROR(IF(Y271=0,"",ROUNDUP(Y271/H271,0)*0.01898),"")</f>
        <v>9.4899999999999998E-2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34.939259259259266</v>
      </c>
      <c r="BN271" s="64">
        <f t="shared" si="38"/>
        <v>42.88</v>
      </c>
      <c r="BO271" s="64">
        <f t="shared" si="39"/>
        <v>6.3657407407407413E-2</v>
      </c>
      <c r="BP271" s="64">
        <f t="shared" si="40"/>
        <v>7.8125E-2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40</v>
      </c>
      <c r="Y276" s="618">
        <f t="shared" si="36"/>
        <v>40.799999999999997</v>
      </c>
      <c r="Z276" s="36">
        <f>IFERROR(IF(Y276=0,"",ROUNDUP(Y276/H276,0)*0.00651),"")</f>
        <v>0.11067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44.20000000000001</v>
      </c>
      <c r="BN276" s="64">
        <f t="shared" si="38"/>
        <v>45.084000000000003</v>
      </c>
      <c r="BO276" s="64">
        <f t="shared" si="39"/>
        <v>9.1575091575091583E-2</v>
      </c>
      <c r="BP276" s="64">
        <f t="shared" si="40"/>
        <v>9.3406593406593408E-2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9</v>
      </c>
      <c r="Y280" s="618">
        <f t="shared" si="36"/>
        <v>9.6</v>
      </c>
      <c r="Z280" s="36">
        <f>IFERROR(IF(Y280=0,"",ROUNDUP(Y280/H280,0)*0.00651),"")</f>
        <v>2.6040000000000001E-2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9.9675000000000011</v>
      </c>
      <c r="BN280" s="64">
        <f t="shared" si="38"/>
        <v>10.632</v>
      </c>
      <c r="BO280" s="64">
        <f t="shared" si="39"/>
        <v>2.0604395604395608E-2</v>
      </c>
      <c r="BP280" s="64">
        <f t="shared" si="40"/>
        <v>2.197802197802198E-2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29.429012345679013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31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0.32651000000000002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122</v>
      </c>
      <c r="Y283" s="619">
        <f>IFERROR(SUM(Y270:Y281),"0")</f>
        <v>131.4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5</v>
      </c>
      <c r="Y285" s="618">
        <f>IFERROR(IF(X285="",0,CEILING((X285/$H285),1)*$H285),"")</f>
        <v>7.1999999999999993</v>
      </c>
      <c r="Z285" s="36">
        <f>IFERROR(IF(Y285=0,"",ROUNDUP(Y285/H285,0)*0.00651),"")</f>
        <v>1.9529999999999999E-2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5.5250000000000012</v>
      </c>
      <c r="BN285" s="64">
        <f>IFERROR(Y285*I285/H285,"0")</f>
        <v>7.9560000000000004</v>
      </c>
      <c r="BO285" s="64">
        <f>IFERROR(1/J285*(X285/H285),"0")</f>
        <v>1.1446886446886448E-2</v>
      </c>
      <c r="BP285" s="64">
        <f>IFERROR(1/J285*(Y285/H285),"0")</f>
        <v>1.6483516483516484E-2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13</v>
      </c>
      <c r="Y286" s="618">
        <f>IFERROR(IF(X286="",0,CEILING((X286/$H286),1)*$H286),"")</f>
        <v>14.399999999999999</v>
      </c>
      <c r="Z286" s="36">
        <f>IFERROR(IF(Y286=0,"",ROUNDUP(Y286/H286,0)*0.00651),"")</f>
        <v>3.9059999999999997E-2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14.365</v>
      </c>
      <c r="BN286" s="64">
        <f>IFERROR(Y286*I286/H286,"0")</f>
        <v>15.912000000000001</v>
      </c>
      <c r="BO286" s="64">
        <f>IFERROR(1/J286*(X286/H286),"0")</f>
        <v>2.9761904761904767E-2</v>
      </c>
      <c r="BP286" s="64">
        <f>IFERROR(1/J286*(Y286/H286),"0")</f>
        <v>3.2967032967032968E-2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7.5</v>
      </c>
      <c r="Y287" s="619">
        <f>IFERROR(Y285/H285,"0")+IFERROR(Y286/H286,"0")</f>
        <v>9</v>
      </c>
      <c r="Z287" s="619">
        <f>IFERROR(IF(Z285="",0,Z285),"0")+IFERROR(IF(Z286="",0,Z286),"0")</f>
        <v>5.8589999999999996E-2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18</v>
      </c>
      <c r="Y288" s="619">
        <f>IFERROR(SUM(Y285:Y286),"0")</f>
        <v>21.599999999999998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1</v>
      </c>
      <c r="Y305" s="618">
        <f>IFERROR(IF(X305="",0,CEILING((X305/$H305),1)*$H305),"")</f>
        <v>1.8</v>
      </c>
      <c r="Z305" s="36">
        <f>IFERROR(IF(Y305=0,"",ROUNDUP(Y305/H305,0)*0.0059),"")</f>
        <v>5.8999999999999999E-3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1.0972222222222223</v>
      </c>
      <c r="BN305" s="64">
        <f>IFERROR(Y305*I305/H305,"0")</f>
        <v>1.9750000000000001</v>
      </c>
      <c r="BO305" s="64">
        <f>IFERROR(1/J305*(X305/H305),"0")</f>
        <v>2.5720164609053498E-3</v>
      </c>
      <c r="BP305" s="64">
        <f>IFERROR(1/J305*(Y305/H305),"0")</f>
        <v>4.6296296296296294E-3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0.55555555555555558</v>
      </c>
      <c r="Y306" s="619">
        <f>IFERROR(Y305/H305,"0")</f>
        <v>1</v>
      </c>
      <c r="Z306" s="619">
        <f>IFERROR(IF(Z305="",0,Z305),"0")</f>
        <v>5.8999999999999999E-3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1</v>
      </c>
      <c r="Y307" s="619">
        <f>IFERROR(SUM(Y305:Y305),"0")</f>
        <v>1.8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17</v>
      </c>
      <c r="Y326" s="618">
        <f>IFERROR(IF(X326="",0,CEILING((X326/$H326),1)*$H326),"")</f>
        <v>19.2</v>
      </c>
      <c r="Z326" s="36">
        <f>IFERROR(IF(Y326=0,"",ROUNDUP(Y326/H326,0)*0.00651),"")</f>
        <v>5.2080000000000001E-2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18.785000000000004</v>
      </c>
      <c r="BN326" s="64">
        <f>IFERROR(Y326*I326/H326,"0")</f>
        <v>21.216000000000001</v>
      </c>
      <c r="BO326" s="64">
        <f>IFERROR(1/J326*(X326/H326),"0")</f>
        <v>3.8919413919413927E-2</v>
      </c>
      <c r="BP326" s="64">
        <f>IFERROR(1/J326*(Y326/H326),"0")</f>
        <v>4.3956043956043959E-2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7.0833333333333339</v>
      </c>
      <c r="Y328" s="619">
        <f>IFERROR(Y325/H325,"0")+IFERROR(Y326/H326,"0")+IFERROR(Y327/H327,"0")</f>
        <v>8</v>
      </c>
      <c r="Z328" s="619">
        <f>IFERROR(IF(Z325="",0,Z325),"0")+IFERROR(IF(Z326="",0,Z326),"0")+IFERROR(IF(Z327="",0,Z327),"0")</f>
        <v>5.2080000000000001E-2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17</v>
      </c>
      <c r="Y329" s="619">
        <f>IFERROR(SUM(Y325:Y327),"0")</f>
        <v>19.2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25</v>
      </c>
      <c r="Y348" s="618">
        <f>IFERROR(IF(X348="",0,CEILING((X348/$H348),1)*$H348),"")</f>
        <v>31.2</v>
      </c>
      <c r="Z348" s="36">
        <f>IFERROR(IF(Y348=0,"",ROUNDUP(Y348/H348,0)*0.01898),"")</f>
        <v>7.5920000000000001E-2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26.314102564102569</v>
      </c>
      <c r="BN348" s="64">
        <f>IFERROR(Y348*I348/H348,"0")</f>
        <v>32.840000000000003</v>
      </c>
      <c r="BO348" s="64">
        <f>IFERROR(1/J348*(X348/H348),"0")</f>
        <v>5.0080128205128208E-2</v>
      </c>
      <c r="BP348" s="64">
        <f>IFERROR(1/J348*(Y348/H348),"0")</f>
        <v>6.25E-2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3.2051282051282053</v>
      </c>
      <c r="Y349" s="619">
        <f>IFERROR(Y346/H346,"0")+IFERROR(Y347/H347,"0")+IFERROR(Y348/H348,"0")</f>
        <v>4</v>
      </c>
      <c r="Z349" s="619">
        <f>IFERROR(IF(Z346="",0,Z346),"0")+IFERROR(IF(Z347="",0,Z347),"0")+IFERROR(IF(Z348="",0,Z348),"0")</f>
        <v>7.5920000000000001E-2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25</v>
      </c>
      <c r="Y350" s="619">
        <f>IFERROR(SUM(Y346:Y348),"0")</f>
        <v>31.2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55</v>
      </c>
      <c r="Y369" s="618">
        <f t="shared" si="56"/>
        <v>55.800000000000004</v>
      </c>
      <c r="Z369" s="36">
        <f>IFERROR(IF(Y369=0,"",ROUNDUP(Y369/H369,0)*0.00651),"")</f>
        <v>0.20181000000000002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61.966666666666669</v>
      </c>
      <c r="BN369" s="64">
        <f t="shared" si="58"/>
        <v>62.868000000000002</v>
      </c>
      <c r="BO369" s="64">
        <f t="shared" si="59"/>
        <v>0.1678876678876679</v>
      </c>
      <c r="BP369" s="64">
        <f t="shared" si="60"/>
        <v>0.17032967032967034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30.555555555555554</v>
      </c>
      <c r="Y370" s="619">
        <f>IFERROR(Y363/H363,"0")+IFERROR(Y364/H364,"0")+IFERROR(Y365/H365,"0")+IFERROR(Y366/H366,"0")+IFERROR(Y367/H367,"0")+IFERROR(Y368/H368,"0")+IFERROR(Y369/H369,"0")</f>
        <v>31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0.20181000000000002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55</v>
      </c>
      <c r="Y371" s="619">
        <f>IFERROR(SUM(Y363:Y369),"0")</f>
        <v>55.800000000000004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58</v>
      </c>
      <c r="Y380" s="618">
        <f>IFERROR(IF(X380="",0,CEILING((X380/$H380),1)*$H380),"")</f>
        <v>58.800000000000004</v>
      </c>
      <c r="Z380" s="36">
        <f>IFERROR(IF(Y380=0,"",ROUNDUP(Y380/H380,0)*0.01898),"")</f>
        <v>0.13286000000000001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61.410952380952374</v>
      </c>
      <c r="BN380" s="64">
        <f>IFERROR(Y380*I380/H380,"0")</f>
        <v>62.258000000000003</v>
      </c>
      <c r="BO380" s="64">
        <f>IFERROR(1/J380*(X380/H380),"0")</f>
        <v>0.10788690476190475</v>
      </c>
      <c r="BP380" s="64">
        <f>IFERROR(1/J380*(Y380/H380),"0")</f>
        <v>0.109375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29</v>
      </c>
      <c r="Y382" s="618">
        <f>IFERROR(IF(X382="",0,CEILING((X382/$H382),1)*$H382),"")</f>
        <v>33.6</v>
      </c>
      <c r="Z382" s="36">
        <f>IFERROR(IF(Y382=0,"",ROUNDUP(Y382/H382,0)*0.01898),"")</f>
        <v>7.5920000000000001E-2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30.705476190476187</v>
      </c>
      <c r="BN382" s="64">
        <f>IFERROR(Y382*I382/H382,"0")</f>
        <v>35.576000000000001</v>
      </c>
      <c r="BO382" s="64">
        <f>IFERROR(1/J382*(X382/H382),"0")</f>
        <v>5.3943452380952377E-2</v>
      </c>
      <c r="BP382" s="64">
        <f>IFERROR(1/J382*(Y382/H382),"0")</f>
        <v>6.25E-2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10.357142857142856</v>
      </c>
      <c r="Y383" s="619">
        <f>IFERROR(Y380/H380,"0")+IFERROR(Y381/H381,"0")+IFERROR(Y382/H382,"0")</f>
        <v>11</v>
      </c>
      <c r="Z383" s="619">
        <f>IFERROR(IF(Z380="",0,Z380),"0")+IFERROR(IF(Z381="",0,Z381),"0")+IFERROR(IF(Z382="",0,Z382),"0")</f>
        <v>0.20878000000000002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87</v>
      </c>
      <c r="Y384" s="619">
        <f>IFERROR(SUM(Y380:Y382),"0")</f>
        <v>92.4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10</v>
      </c>
      <c r="Y388" s="618">
        <f>IFERROR(IF(X388="",0,CEILING((X388/$H388),1)*$H388),"")</f>
        <v>10.199999999999999</v>
      </c>
      <c r="Z388" s="36">
        <f>IFERROR(IF(Y388=0,"",ROUNDUP(Y388/H388,0)*0.00651),"")</f>
        <v>2.6040000000000001E-2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11.588235294117649</v>
      </c>
      <c r="BN388" s="64">
        <f>IFERROR(Y388*I388/H388,"0")</f>
        <v>11.82</v>
      </c>
      <c r="BO388" s="64">
        <f>IFERROR(1/J388*(X388/H388),"0")</f>
        <v>2.1547080370609786E-2</v>
      </c>
      <c r="BP388" s="64">
        <f>IFERROR(1/J388*(Y388/H388),"0")</f>
        <v>2.197802197802198E-2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3.9215686274509807</v>
      </c>
      <c r="Y390" s="619">
        <f>IFERROR(Y386/H386,"0")+IFERROR(Y387/H387,"0")+IFERROR(Y388/H388,"0")+IFERROR(Y389/H389,"0")</f>
        <v>4</v>
      </c>
      <c r="Z390" s="619">
        <f>IFERROR(IF(Z386="",0,Z386),"0")+IFERROR(IF(Z387="",0,Z387),"0")+IFERROR(IF(Z388="",0,Z388),"0")+IFERROR(IF(Z389="",0,Z389),"0")</f>
        <v>2.6040000000000001E-2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10</v>
      </c>
      <c r="Y391" s="619">
        <f>IFERROR(SUM(Y386:Y389),"0")</f>
        <v>10.199999999999999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8</v>
      </c>
      <c r="Y393" s="618">
        <f>IFERROR(IF(X393="",0,CEILING((X393/$H393),1)*$H393),"")</f>
        <v>8</v>
      </c>
      <c r="Z393" s="36">
        <f>IFERROR(IF(Y393=0,"",ROUNDUP(Y393/H393,0)*0.00474),"")</f>
        <v>1.8960000000000001E-2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8.9600000000000009</v>
      </c>
      <c r="BN393" s="64">
        <f>IFERROR(Y393*I393/H393,"0")</f>
        <v>8.9600000000000009</v>
      </c>
      <c r="BO393" s="64">
        <f>IFERROR(1/J393*(X393/H393),"0")</f>
        <v>1.680672268907563E-2</v>
      </c>
      <c r="BP393" s="64">
        <f>IFERROR(1/J393*(Y393/H393),"0")</f>
        <v>1.680672268907563E-2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16</v>
      </c>
      <c r="Y394" s="618">
        <f>IFERROR(IF(X394="",0,CEILING((X394/$H394),1)*$H394),"")</f>
        <v>16</v>
      </c>
      <c r="Z394" s="36">
        <f>IFERROR(IF(Y394=0,"",ROUNDUP(Y394/H394,0)*0.00474),"")</f>
        <v>3.7920000000000002E-2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17.920000000000002</v>
      </c>
      <c r="BN394" s="64">
        <f>IFERROR(Y394*I394/H394,"0")</f>
        <v>17.920000000000002</v>
      </c>
      <c r="BO394" s="64">
        <f>IFERROR(1/J394*(X394/H394),"0")</f>
        <v>3.3613445378151259E-2</v>
      </c>
      <c r="BP394" s="64">
        <f>IFERROR(1/J394*(Y394/H394),"0")</f>
        <v>3.3613445378151259E-2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11</v>
      </c>
      <c r="Y395" s="618">
        <f>IFERROR(IF(X395="",0,CEILING((X395/$H395),1)*$H395),"")</f>
        <v>12</v>
      </c>
      <c r="Z395" s="36">
        <f>IFERROR(IF(Y395=0,"",ROUNDUP(Y395/H395,0)*0.00474),"")</f>
        <v>2.844E-2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12.32</v>
      </c>
      <c r="BN395" s="64">
        <f>IFERROR(Y395*I395/H395,"0")</f>
        <v>13.440000000000001</v>
      </c>
      <c r="BO395" s="64">
        <f>IFERROR(1/J395*(X395/H395),"0")</f>
        <v>2.3109243697478989E-2</v>
      </c>
      <c r="BP395" s="64">
        <f>IFERROR(1/J395*(Y395/H395),"0")</f>
        <v>2.5210084033613446E-2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17.5</v>
      </c>
      <c r="Y396" s="619">
        <f>IFERROR(Y393/H393,"0")+IFERROR(Y394/H394,"0")+IFERROR(Y395/H395,"0")</f>
        <v>18</v>
      </c>
      <c r="Z396" s="619">
        <f>IFERROR(IF(Z393="",0,Z393),"0")+IFERROR(IF(Z394="",0,Z394),"0")+IFERROR(IF(Z395="",0,Z395),"0")</f>
        <v>8.5320000000000007E-2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35</v>
      </c>
      <c r="Y397" s="619">
        <f>IFERROR(SUM(Y393:Y395),"0")</f>
        <v>36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12</v>
      </c>
      <c r="Y413" s="618">
        <f>IFERROR(IF(X413="",0,CEILING((X413/$H413),1)*$H413),"")</f>
        <v>12.600000000000001</v>
      </c>
      <c r="Z413" s="36">
        <f>IFERROR(IF(Y413=0,"",ROUNDUP(Y413/H413,0)*0.00651),"")</f>
        <v>3.9059999999999997E-2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13.439999999999998</v>
      </c>
      <c r="BN413" s="64">
        <f>IFERROR(Y413*I413/H413,"0")</f>
        <v>14.112</v>
      </c>
      <c r="BO413" s="64">
        <f>IFERROR(1/J413*(X413/H413),"0")</f>
        <v>3.1397174254317116E-2</v>
      </c>
      <c r="BP413" s="64">
        <f>IFERROR(1/J413*(Y413/H413),"0")</f>
        <v>3.2967032967032968E-2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2</v>
      </c>
      <c r="Y414" s="618">
        <f>IFERROR(IF(X414="",0,CEILING((X414/$H414),1)*$H414),"")</f>
        <v>2.1</v>
      </c>
      <c r="Z414" s="36">
        <f>IFERROR(IF(Y414=0,"",ROUNDUP(Y414/H414,0)*0.00651),"")</f>
        <v>6.5100000000000002E-3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2.2285714285714282</v>
      </c>
      <c r="BN414" s="64">
        <f>IFERROR(Y414*I414/H414,"0")</f>
        <v>2.34</v>
      </c>
      <c r="BO414" s="64">
        <f>IFERROR(1/J414*(X414/H414),"0")</f>
        <v>5.2328623757195184E-3</v>
      </c>
      <c r="BP414" s="64">
        <f>IFERROR(1/J414*(Y414/H414),"0")</f>
        <v>5.4945054945054949E-3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6.666666666666667</v>
      </c>
      <c r="Y415" s="619">
        <f>IFERROR(Y412/H412,"0")+IFERROR(Y413/H413,"0")+IFERROR(Y414/H414,"0")</f>
        <v>7</v>
      </c>
      <c r="Z415" s="619">
        <f>IFERROR(IF(Z412="",0,Z412),"0")+IFERROR(IF(Z413="",0,Z413),"0")+IFERROR(IF(Z414="",0,Z414),"0")</f>
        <v>4.5569999999999999E-2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14</v>
      </c>
      <c r="Y416" s="619">
        <f>IFERROR(SUM(Y412:Y414),"0")</f>
        <v>14.700000000000001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250</v>
      </c>
      <c r="Y421" s="618">
        <f t="shared" si="61"/>
        <v>255</v>
      </c>
      <c r="Z421" s="36">
        <f>IFERROR(IF(Y421=0,"",ROUNDUP(Y421/H421,0)*0.02175),"")</f>
        <v>0.36974999999999997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257.83333333333331</v>
      </c>
      <c r="BN421" s="64">
        <f t="shared" si="63"/>
        <v>262.99</v>
      </c>
      <c r="BO421" s="64">
        <f t="shared" si="64"/>
        <v>0.34722222222222221</v>
      </c>
      <c r="BP421" s="64">
        <f t="shared" si="65"/>
        <v>0.35416666666666663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550</v>
      </c>
      <c r="Y422" s="618">
        <f t="shared" si="61"/>
        <v>555</v>
      </c>
      <c r="Z422" s="36">
        <f>IFERROR(IF(Y422=0,"",ROUNDUP(Y422/H422,0)*0.02175),"")</f>
        <v>0.80474999999999997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567.23333333333335</v>
      </c>
      <c r="BN422" s="64">
        <f t="shared" si="63"/>
        <v>572.39</v>
      </c>
      <c r="BO422" s="64">
        <f t="shared" si="64"/>
        <v>0.76388888888888884</v>
      </c>
      <c r="BP422" s="64">
        <f t="shared" si="65"/>
        <v>0.77083333333333326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53.333333333333329</v>
      </c>
      <c r="Y428" s="619">
        <f>IFERROR(Y420/H420,"0")+IFERROR(Y421/H421,"0")+IFERROR(Y422/H422,"0")+IFERROR(Y423/H423,"0")+IFERROR(Y424/H424,"0")+IFERROR(Y425/H425,"0")+IFERROR(Y426/H426,"0")+IFERROR(Y427/H427,"0")</f>
        <v>54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1.1744999999999999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800</v>
      </c>
      <c r="Y429" s="619">
        <f>IFERROR(SUM(Y420:Y427),"0")</f>
        <v>810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600</v>
      </c>
      <c r="Y431" s="618">
        <f>IFERROR(IF(X431="",0,CEILING((X431/$H431),1)*$H431),"")</f>
        <v>600</v>
      </c>
      <c r="Z431" s="36">
        <f>IFERROR(IF(Y431=0,"",ROUNDUP(Y431/H431,0)*0.02175),"")</f>
        <v>0.86999999999999988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618.79999999999995</v>
      </c>
      <c r="BN431" s="64">
        <f>IFERROR(Y431*I431/H431,"0")</f>
        <v>618.79999999999995</v>
      </c>
      <c r="BO431" s="64">
        <f>IFERROR(1/J431*(X431/H431),"0")</f>
        <v>0.83333333333333326</v>
      </c>
      <c r="BP431" s="64">
        <f>IFERROR(1/J431*(Y431/H431),"0")</f>
        <v>0.83333333333333326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40</v>
      </c>
      <c r="Y434" s="619">
        <f>IFERROR(Y431/H431,"0")+IFERROR(Y432/H432,"0")+IFERROR(Y433/H433,"0")</f>
        <v>40</v>
      </c>
      <c r="Z434" s="619">
        <f>IFERROR(IF(Z431="",0,Z431),"0")+IFERROR(IF(Z432="",0,Z432),"0")+IFERROR(IF(Z433="",0,Z433),"0")</f>
        <v>0.86999999999999988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600</v>
      </c>
      <c r="Y435" s="619">
        <f>IFERROR(SUM(Y431:Y433),"0")</f>
        <v>600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59</v>
      </c>
      <c r="Y438" s="618">
        <f>IFERROR(IF(X438="",0,CEILING((X438/$H438),1)*$H438),"")</f>
        <v>63</v>
      </c>
      <c r="Z438" s="36">
        <f>IFERROR(IF(Y438=0,"",ROUNDUP(Y438/H438,0)*0.01898),"")</f>
        <v>0.13286000000000001</v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62.23844444444444</v>
      </c>
      <c r="BN438" s="64">
        <f>IFERROR(Y438*I438/H438,"0")</f>
        <v>66.457999999999998</v>
      </c>
      <c r="BO438" s="64">
        <f>IFERROR(1/J438*(X438/H438),"0")</f>
        <v>0.10243055555555555</v>
      </c>
      <c r="BP438" s="64">
        <f>IFERROR(1/J438*(Y438/H438),"0")</f>
        <v>0.109375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6.5555555555555554</v>
      </c>
      <c r="Y440" s="619">
        <f>IFERROR(Y437/H437,"0")+IFERROR(Y438/H438,"0")+IFERROR(Y439/H439,"0")</f>
        <v>7</v>
      </c>
      <c r="Z440" s="619">
        <f>IFERROR(IF(Z437="",0,Z437),"0")+IFERROR(IF(Z438="",0,Z438),"0")+IFERROR(IF(Z439="",0,Z439),"0")</f>
        <v>0.13286000000000001</v>
      </c>
      <c r="AA440" s="620"/>
      <c r="AB440" s="620"/>
      <c r="AC440" s="620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59</v>
      </c>
      <c r="Y441" s="619">
        <f>IFERROR(SUM(Y437:Y439),"0")</f>
        <v>63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215</v>
      </c>
      <c r="Y444" s="618">
        <f>IFERROR(IF(X444="",0,CEILING((X444/$H444),1)*$H444),"")</f>
        <v>216</v>
      </c>
      <c r="Z444" s="36">
        <f>IFERROR(IF(Y444=0,"",ROUNDUP(Y444/H444,0)*0.01898),"")</f>
        <v>0.45552000000000004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226.80111111111111</v>
      </c>
      <c r="BN444" s="64">
        <f>IFERROR(Y444*I444/H444,"0")</f>
        <v>227.85599999999997</v>
      </c>
      <c r="BO444" s="64">
        <f>IFERROR(1/J444*(X444/H444),"0")</f>
        <v>0.3732638888888889</v>
      </c>
      <c r="BP444" s="64">
        <f>IFERROR(1/J444*(Y444/H444),"0")</f>
        <v>0.375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23.888888888888889</v>
      </c>
      <c r="Y445" s="619">
        <f>IFERROR(Y443/H443,"0")+IFERROR(Y444/H444,"0")</f>
        <v>24</v>
      </c>
      <c r="Z445" s="619">
        <f>IFERROR(IF(Z443="",0,Z443),"0")+IFERROR(IF(Z444="",0,Z444),"0")</f>
        <v>0.45552000000000004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215</v>
      </c>
      <c r="Y446" s="619">
        <f>IFERROR(SUM(Y443:Y444),"0")</f>
        <v>216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41</v>
      </c>
      <c r="Y459" s="618">
        <f>IFERROR(IF(X459="",0,CEILING((X459/$H459),1)*$H459),"")</f>
        <v>43.199999999999996</v>
      </c>
      <c r="Z459" s="36">
        <f>IFERROR(IF(Y459=0,"",ROUNDUP(Y459/H459,0)*0.00651),"")</f>
        <v>0.11718000000000001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45.510000000000005</v>
      </c>
      <c r="BN459" s="64">
        <f>IFERROR(Y459*I459/H459,"0")</f>
        <v>47.952000000000005</v>
      </c>
      <c r="BO459" s="64">
        <f>IFERROR(1/J459*(X459/H459),"0")</f>
        <v>9.3864468864468878E-2</v>
      </c>
      <c r="BP459" s="64">
        <f>IFERROR(1/J459*(Y459/H459),"0")</f>
        <v>9.8901098901098911E-2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17.083333333333336</v>
      </c>
      <c r="Y461" s="619">
        <f>IFERROR(Y458/H458,"0")+IFERROR(Y459/H459,"0")+IFERROR(Y460/H460,"0")</f>
        <v>18</v>
      </c>
      <c r="Z461" s="619">
        <f>IFERROR(IF(Z458="",0,Z458),"0")+IFERROR(IF(Z459="",0,Z459),"0")+IFERROR(IF(Z460="",0,Z460),"0")</f>
        <v>0.11718000000000001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41</v>
      </c>
      <c r="Y462" s="619">
        <f>IFERROR(SUM(Y458:Y460),"0")</f>
        <v>43.199999999999996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4</v>
      </c>
      <c r="Y466" s="618">
        <f t="shared" ref="Y466:Y471" si="66">IFERROR(IF(X466="",0,CEILING((X466/$H466),1)*$H466),"")</f>
        <v>5.4</v>
      </c>
      <c r="Z466" s="36">
        <f>IFERROR(IF(Y466=0,"",ROUNDUP(Y466/H466,0)*0.00902),"")</f>
        <v>9.0200000000000002E-3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4.1407407407407399</v>
      </c>
      <c r="BN466" s="64">
        <f t="shared" ref="BN466:BN471" si="68">IFERROR(Y466*I466/H466,"0")</f>
        <v>5.59</v>
      </c>
      <c r="BO466" s="64">
        <f t="shared" ref="BO466:BO471" si="69">IFERROR(1/J466*(X466/H466),"0")</f>
        <v>5.6116722783389446E-3</v>
      </c>
      <c r="BP466" s="64">
        <f t="shared" ref="BP466:BP471" si="70">IFERROR(1/J466*(Y466/H466),"0")</f>
        <v>7.575757575757576E-3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0.7407407407407407</v>
      </c>
      <c r="Y472" s="619">
        <f>IFERROR(Y466/H466,"0")+IFERROR(Y467/H467,"0")+IFERROR(Y468/H468,"0")+IFERROR(Y469/H469,"0")+IFERROR(Y470/H470,"0")+IFERROR(Y471/H471,"0")</f>
        <v>1</v>
      </c>
      <c r="Z472" s="619">
        <f>IFERROR(IF(Z466="",0,Z466),"0")+IFERROR(IF(Z467="",0,Z467),"0")+IFERROR(IF(Z468="",0,Z468),"0")+IFERROR(IF(Z469="",0,Z469),"0")+IFERROR(IF(Z470="",0,Z470),"0")+IFERROR(IF(Z471="",0,Z471),"0")</f>
        <v>9.0200000000000002E-3</v>
      </c>
      <c r="AA472" s="620"/>
      <c r="AB472" s="620"/>
      <c r="AC472" s="620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4</v>
      </c>
      <c r="Y473" s="619">
        <f>IFERROR(SUM(Y466:Y471),"0")</f>
        <v>5.4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23</v>
      </c>
      <c r="Y496" s="618">
        <f t="shared" si="71"/>
        <v>26.400000000000002</v>
      </c>
      <c r="Z496" s="36">
        <f>IFERROR(IF(Y496=0,"",ROUNDUP(Y496/H496,0)*0.01196),"")</f>
        <v>5.9799999999999999E-2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24.524621212121211</v>
      </c>
      <c r="BN496" s="64">
        <f t="shared" si="73"/>
        <v>28.15</v>
      </c>
      <c r="BO496" s="64">
        <f t="shared" si="74"/>
        <v>4.1885198135198129E-2</v>
      </c>
      <c r="BP496" s="64">
        <f t="shared" si="75"/>
        <v>4.807692307692308E-2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4.3560606060606055</v>
      </c>
      <c r="Y500" s="619">
        <f>IFERROR(Y492/H492,"0")+IFERROR(Y493/H493,"0")+IFERROR(Y494/H494,"0")+IFERROR(Y495/H495,"0")+IFERROR(Y496/H496,"0")+IFERROR(Y497/H497,"0")+IFERROR(Y498/H498,"0")+IFERROR(Y499/H499,"0")</f>
        <v>5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5.9799999999999999E-2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23</v>
      </c>
      <c r="Y501" s="619">
        <f>IFERROR(SUM(Y492:Y499),"0")</f>
        <v>26.400000000000002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47</v>
      </c>
      <c r="Y503" s="618">
        <f>IFERROR(IF(X503="",0,CEILING((X503/$H503),1)*$H503),"")</f>
        <v>47.52</v>
      </c>
      <c r="Z503" s="36">
        <f>IFERROR(IF(Y503=0,"",ROUNDUP(Y503/H503,0)*0.01196),"")</f>
        <v>0.10764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50.115530303030305</v>
      </c>
      <c r="BN503" s="64">
        <f>IFERROR(Y503*I503/H503,"0")</f>
        <v>50.669999999999995</v>
      </c>
      <c r="BO503" s="64">
        <f>IFERROR(1/J503*(X503/H503),"0")</f>
        <v>8.559149184149184E-2</v>
      </c>
      <c r="BP503" s="64">
        <f>IFERROR(1/J503*(Y503/H503),"0")</f>
        <v>8.6538461538461536E-2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8.9015151515151505</v>
      </c>
      <c r="Y506" s="619">
        <f>IFERROR(Y503/H503,"0")+IFERROR(Y504/H504,"0")+IFERROR(Y505/H505,"0")</f>
        <v>9</v>
      </c>
      <c r="Z506" s="619">
        <f>IFERROR(IF(Z503="",0,Z503),"0")+IFERROR(IF(Z504="",0,Z504),"0")+IFERROR(IF(Z505="",0,Z505),"0")</f>
        <v>0.10764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47</v>
      </c>
      <c r="Y507" s="619">
        <f>IFERROR(SUM(Y503:Y505),"0")</f>
        <v>47.52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38</v>
      </c>
      <c r="Y510" s="618">
        <f t="shared" si="76"/>
        <v>42.24</v>
      </c>
      <c r="Z510" s="36">
        <f>IFERROR(IF(Y510=0,"",ROUNDUP(Y510/H510,0)*0.01196),"")</f>
        <v>9.5680000000000001E-2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40.518939393939391</v>
      </c>
      <c r="BN510" s="64">
        <f t="shared" si="78"/>
        <v>45.04</v>
      </c>
      <c r="BO510" s="64">
        <f t="shared" si="79"/>
        <v>6.9201631701631697E-2</v>
      </c>
      <c r="BP510" s="64">
        <f t="shared" si="80"/>
        <v>7.6923076923076927E-2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54</v>
      </c>
      <c r="Y511" s="618">
        <f t="shared" si="76"/>
        <v>58.080000000000005</v>
      </c>
      <c r="Z511" s="36">
        <f>IFERROR(IF(Y511=0,"",ROUNDUP(Y511/H511,0)*0.01196),"")</f>
        <v>0.13156000000000001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57.579545454545446</v>
      </c>
      <c r="BN511" s="64">
        <f t="shared" si="78"/>
        <v>61.93</v>
      </c>
      <c r="BO511" s="64">
        <f t="shared" si="79"/>
        <v>9.8339160839160833E-2</v>
      </c>
      <c r="BP511" s="64">
        <f t="shared" si="80"/>
        <v>0.10576923076923078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17.424242424242422</v>
      </c>
      <c r="Y516" s="619">
        <f>IFERROR(Y509/H509,"0")+IFERROR(Y510/H510,"0")+IFERROR(Y511/H511,"0")+IFERROR(Y512/H512,"0")+IFERROR(Y513/H513,"0")+IFERROR(Y514/H514,"0")+IFERROR(Y515/H515,"0")</f>
        <v>19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0.22724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92</v>
      </c>
      <c r="Y517" s="619">
        <f>IFERROR(SUM(Y509:Y515),"0")</f>
        <v>100.32000000000001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10</v>
      </c>
      <c r="Y533" s="618">
        <f>IFERROR(IF(X533="",0,CEILING((X533/$H533),1)*$H533),"")</f>
        <v>18</v>
      </c>
      <c r="Z533" s="36">
        <f>IFERROR(IF(Y533=0,"",ROUNDUP(Y533/H533,0)*0.01898),"")</f>
        <v>3.7960000000000001E-2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10.548888888888889</v>
      </c>
      <c r="BN533" s="64">
        <f>IFERROR(Y533*I533/H533,"0")</f>
        <v>18.988</v>
      </c>
      <c r="BO533" s="64">
        <f>IFERROR(1/J533*(X533/H533),"0")</f>
        <v>1.7361111111111112E-2</v>
      </c>
      <c r="BP533" s="64">
        <f>IFERROR(1/J533*(Y533/H533),"0")</f>
        <v>3.125E-2</v>
      </c>
    </row>
    <row r="534" spans="1:68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1.1111111111111112</v>
      </c>
      <c r="Y534" s="619">
        <f>IFERROR(Y533/H533,"0")</f>
        <v>2</v>
      </c>
      <c r="Z534" s="619">
        <f>IFERROR(IF(Z533="",0,Z533),"0")</f>
        <v>3.7960000000000001E-2</v>
      </c>
      <c r="AA534" s="620"/>
      <c r="AB534" s="620"/>
      <c r="AC534" s="620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10</v>
      </c>
      <c r="Y535" s="619">
        <f>IFERROR(SUM(Y533:Y533),"0")</f>
        <v>18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3339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3466.6200000000003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3507.4656886784046</v>
      </c>
      <c r="Y547" s="619">
        <f>IFERROR(SUM(BN22:BN543),"0")</f>
        <v>3642.5010000000002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6</v>
      </c>
      <c r="Y548" s="38">
        <f>ROUNDUP(SUM(BP22:BP543),0)</f>
        <v>7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3657.4656886784046</v>
      </c>
      <c r="Y549" s="619">
        <f>GrossWeightTotalR+PalletQtyTotalR*25</f>
        <v>3817.5010000000002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532.90254777509676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558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6.9247399999999999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11.100000000000001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139.90000000000003</v>
      </c>
      <c r="F556" s="46">
        <f>IFERROR(Y84*1,"0")+IFERROR(Y85*1,"0")+IFERROR(Y86*1,"0")+IFERROR(Y87*1,"0")+IFERROR(Y88*1,"0")+IFERROR(Y89*1,"0")+IFERROR(Y93*1,"0")+IFERROR(Y94*1,"0")+IFERROR(Y95*1,"0")+IFERROR(Y96*1,"0")</f>
        <v>261.89999999999998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159.30000000000001</v>
      </c>
      <c r="H556" s="46">
        <f>IFERROR(Y131*1,"0")+IFERROR(Y132*1,"0")+IFERROR(Y136*1,"0")+IFERROR(Y137*1,"0")+IFERROR(Y141*1,"0")+IFERROR(Y142*1,"0")</f>
        <v>7.92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400.66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10.3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284.39999999999998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1.8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19.2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31.2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194.4</v>
      </c>
      <c r="U556" s="46">
        <f>IFERROR(Y406*1,"0")+IFERROR(Y407*1,"0")</f>
        <v>0</v>
      </c>
      <c r="V556" s="46">
        <f>IFERROR(Y412*1,"0")+IFERROR(Y413*1,"0")+IFERROR(Y414*1,"0")</f>
        <v>14.700000000000001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1689</v>
      </c>
      <c r="X556" s="46">
        <f>IFERROR(Y449*1,"0")+IFERROR(Y450*1,"0")+IFERROR(Y454*1,"0")+IFERROR(Y458*1,"0")+IFERROR(Y459*1,"0")+IFERROR(Y460*1,"0")</f>
        <v>43.199999999999996</v>
      </c>
      <c r="Y556" s="46">
        <f>IFERROR(Y466*1,"0")+IFERROR(Y467*1,"0")+IFERROR(Y468*1,"0")+IFERROR(Y469*1,"0")+IFERROR(Y470*1,"0")+IFERROR(Y471*1,"0")+IFERROR(Y475*1,"0")</f>
        <v>5.4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174.24</v>
      </c>
      <c r="AB556" s="46">
        <f>IFERROR(Y521*1,"0")+IFERROR(Y525*1,"0")+IFERROR(Y529*1,"0")+IFERROR(Y533*1,"0")+IFERROR(Y537*1,"0")+IFERROR(Y538*1,"0")</f>
        <v>18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4"/>
        <filter val="1,00"/>
        <filter val="1,11"/>
        <filter val="1,57"/>
        <filter val="1,59"/>
        <filter val="10,00"/>
        <filter val="10,36"/>
        <filter val="100,00"/>
        <filter val="11,00"/>
        <filter val="11,53"/>
        <filter val="12,00"/>
        <filter val="12,35"/>
        <filter val="122,00"/>
        <filter val="126,00"/>
        <filter val="126,11"/>
        <filter val="13,00"/>
        <filter val="14,00"/>
        <filter val="150,00"/>
        <filter val="16,00"/>
        <filter val="17,00"/>
        <filter val="17,08"/>
        <filter val="17,42"/>
        <filter val="17,50"/>
        <filter val="18,00"/>
        <filter val="2,00"/>
        <filter val="2,16"/>
        <filter val="2,38"/>
        <filter val="2,65"/>
        <filter val="2,67"/>
        <filter val="20,00"/>
        <filter val="21,00"/>
        <filter val="212,00"/>
        <filter val="215,00"/>
        <filter val="22,00"/>
        <filter val="23,00"/>
        <filter val="23,89"/>
        <filter val="241,00"/>
        <filter val="25,00"/>
        <filter val="25,56"/>
        <filter val="250,00"/>
        <filter val="29,00"/>
        <filter val="29,43"/>
        <filter val="3 339,00"/>
        <filter val="3 507,47"/>
        <filter val="3 657,47"/>
        <filter val="3,00"/>
        <filter val="3,21"/>
        <filter val="3,28"/>
        <filter val="3,92"/>
        <filter val="30,00"/>
        <filter val="30,56"/>
        <filter val="33,00"/>
        <filter val="35,00"/>
        <filter val="36,91"/>
        <filter val="38,00"/>
        <filter val="393,00"/>
        <filter val="4,00"/>
        <filter val="4,36"/>
        <filter val="40,00"/>
        <filter val="41,00"/>
        <filter val="47,00"/>
        <filter val="5,00"/>
        <filter val="51,00"/>
        <filter val="53,33"/>
        <filter val="532,90"/>
        <filter val="54,00"/>
        <filter val="55,00"/>
        <filter val="550,00"/>
        <filter val="58,00"/>
        <filter val="59,00"/>
        <filter val="6"/>
        <filter val="6,00"/>
        <filter val="6,56"/>
        <filter val="6,67"/>
        <filter val="600,00"/>
        <filter val="7,00"/>
        <filter val="7,08"/>
        <filter val="7,50"/>
        <filter val="70,00"/>
        <filter val="8,00"/>
        <filter val="8,90"/>
        <filter val="8,97"/>
        <filter val="800,00"/>
        <filter val="87,00"/>
        <filter val="9,00"/>
        <filter val="92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