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DFD83D4-8FF4-40C3-A2FE-DA85E999DF98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2" l="1"/>
  <c r="K11" i="2"/>
  <c r="I11" i="2"/>
  <c r="G11" i="2"/>
  <c r="E11" i="2"/>
  <c r="K8" i="2"/>
  <c r="K4" i="2" l="1"/>
  <c r="K5" i="2"/>
  <c r="K6" i="2"/>
  <c r="K7" i="2"/>
  <c r="K9" i="2"/>
  <c r="K10" i="2"/>
  <c r="K3" i="2"/>
  <c r="K13" i="2" l="1"/>
  <c r="I4" i="2" l="1"/>
  <c r="I5" i="2"/>
  <c r="I6" i="2"/>
  <c r="I7" i="2"/>
  <c r="I9" i="2"/>
  <c r="I10" i="2"/>
  <c r="I3" i="2"/>
  <c r="G4" i="2"/>
  <c r="G5" i="2"/>
  <c r="G6" i="2"/>
  <c r="G7" i="2"/>
  <c r="G9" i="2"/>
  <c r="G10" i="2"/>
  <c r="G3" i="2"/>
  <c r="E4" i="2"/>
  <c r="E5" i="2"/>
  <c r="E6" i="2"/>
  <c r="E7" i="2"/>
  <c r="E9" i="2"/>
  <c r="E10" i="2"/>
  <c r="E3" i="2"/>
  <c r="G13" i="2" l="1"/>
  <c r="I13" i="2"/>
  <c r="E13" i="2"/>
</calcChain>
</file>

<file path=xl/sharedStrings.xml><?xml version="1.0" encoding="utf-8"?>
<sst xmlns="http://schemas.openxmlformats.org/spreadsheetml/2006/main" count="265" uniqueCount="69">
  <si>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</si>
  <si>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</si>
  <si>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</si>
  <si>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</si>
  <si>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</si>
  <si>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</si>
  <si>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</si>
  <si>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</si>
  <si>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</si>
  <si>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</si>
  <si>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</si>
  <si>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</si>
  <si>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</si>
  <si>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</si>
  <si>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</si>
  <si>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</si>
  <si>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</si>
  <si>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</si>
  <si>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</si>
  <si>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</si>
  <si>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</si>
  <si>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 xml:space="preserve"> 255  Сосиски Молочные для завтрака ТМ Особый рецепт, п/а МГС, ВЕС, ТМ Стародворье  ПОКОМ</t>
  </si>
  <si>
    <t>кг</t>
  </si>
  <si>
    <t>матрица</t>
  </si>
  <si>
    <t xml:space="preserve"> 257  Сосиски Молочные оригинальные ТМ Особый рецепт, ВЕС.   ПОКОМ</t>
  </si>
  <si>
    <t xml:space="preserve"> 273  Сосиски Сочинки с сочной грудинкой, МГС 0.4кг,   ПОКОМ</t>
  </si>
  <si>
    <t>шт</t>
  </si>
  <si>
    <t xml:space="preserve"> 302  Сосиски Сочинки по-баварски,  0.4кг, ТМ Стародворье  ПОКОМ</t>
  </si>
  <si>
    <t xml:space="preserve"> 318  Сосиски Датские ТМ Зареченские, ВЕС  ПОКОМ</t>
  </si>
  <si>
    <t xml:space="preserve"> 328  Сардельки Сочинки Стародворье ТМ  0,4 кг ПОКОМ</t>
  </si>
  <si>
    <t xml:space="preserve"> 343 Сосиски Сочинки Сливочные ТМ Стародворье  0,4 кг ПОКОМ</t>
  </si>
  <si>
    <t xml:space="preserve"> 412  Сосиски Баварские ТМ Стародворье 0,35 кг ПОКОМ</t>
  </si>
  <si>
    <t>Бердянск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</si>
  <si>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</si>
  <si>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</si>
  <si>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</si>
  <si>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</si>
  <si>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201  Ветчина Нежная ТМ Особый рецепт, (2,5кг),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</si>
  <si>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</si>
  <si>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</si>
  <si>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</si>
  <si>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</si>
  <si>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</si>
  <si>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</si>
  <si>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</si>
  <si>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</si>
  <si>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364  Сардельки Филейские Вязанка ВЕС NDX ТМ Вязанка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</si>
  <si>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</si>
  <si>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</si>
  <si>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>Мелитополь</t>
  </si>
  <si>
    <t>Луганск</t>
  </si>
  <si>
    <t>итого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</si>
  <si>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</si>
  <si>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</si>
  <si>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</si>
  <si>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</si>
  <si>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кооф</t>
  </si>
  <si>
    <t>P004844</t>
  </si>
  <si>
    <t>P003265</t>
  </si>
  <si>
    <t>КОД</t>
  </si>
  <si>
    <t>P003986</t>
  </si>
  <si>
    <t>P003988</t>
  </si>
  <si>
    <t>P002555</t>
  </si>
  <si>
    <t>P003957</t>
  </si>
  <si>
    <t>P003260</t>
  </si>
  <si>
    <t>P004178</t>
  </si>
  <si>
    <t>Донецк</t>
  </si>
  <si>
    <t xml:space="preserve"> 410  Сосиски Баварские с сыром ТМ Стародворье 0,35 кг. ПОКОМ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</si>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</sst>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164" fontId="2" fillId="2" borderId="0" xfId="1" applyNumberFormat="1" applyFont="1" applyFill="1"/>
    <xf numFmtId="2" fontId="2" fillId="2" borderId="0" xfId="1" applyNumberFormat="1" applyFont="1" applyFill="1"/>
    <xf numFmtId="164" fontId="3" fillId="2" borderId="0" xfId="1" applyNumberFormat="1" applyFont="1" applyFill="1"/>
    <xf numFmtId="164" fontId="1" fillId="0" borderId="0" xfId="1" applyNumberFormat="1"/>
    <xf numFmtId="164" fontId="1" fillId="3" borderId="0" xfId="1" applyNumberFormat="1" applyFill="1"/>
    <xf numFmtId="2" fontId="1" fillId="0" borderId="0" xfId="1" applyNumberFormat="1"/>
    <xf numFmtId="164" fontId="1" fillId="0" borderId="1" xfId="1" applyNumberFormat="1" applyBorder="1"/>
    <xf numFmtId="164" fontId="4" fillId="4" borderId="0" xfId="1" applyNumberFormat="1" applyFont="1" applyFill="1"/>
    <xf numFmtId="164" fontId="1" fillId="5" borderId="0" xfId="1" applyNumberFormat="1" applyFill="1"/>
    <xf numFmtId="1" fontId="0" fillId="0" borderId="0" xfId="0" applyNumberFormat="1"/>
    <xf numFmtId="2" fontId="0" fillId="0" borderId="0" xfId="0" applyNumberFormat="1"/>
    <xf numFmtId="1" fontId="0" fillId="6" borderId="5" xfId="0" applyNumberFormat="1" applyFill="1" applyBorder="1"/>
    <xf numFmtId="164" fontId="1" fillId="0" borderId="7" xfId="1" applyNumberFormat="1" applyFill="1" applyBorder="1"/>
    <xf numFmtId="1" fontId="0" fillId="0" borderId="6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164" fontId="1" fillId="0" borderId="10" xfId="1" applyNumberFormat="1" applyFill="1" applyBorder="1"/>
    <xf numFmtId="164" fontId="1" fillId="0" borderId="2" xfId="1" applyNumberFormat="1" applyFill="1" applyBorder="1"/>
    <xf numFmtId="164" fontId="1" fillId="0" borderId="15" xfId="1" applyNumberFormat="1" applyFill="1" applyBorder="1"/>
    <xf numFmtId="2" fontId="0" fillId="0" borderId="3" xfId="0" applyNumberFormat="1" applyBorder="1"/>
    <xf numFmtId="2" fontId="0" fillId="0" borderId="8" xfId="0" applyNumberFormat="1" applyBorder="1"/>
    <xf numFmtId="1" fontId="0" fillId="7" borderId="6" xfId="0" applyNumberFormat="1" applyFill="1" applyBorder="1"/>
    <xf numFmtId="164" fontId="1" fillId="7" borderId="7" xfId="1" applyNumberFormat="1" applyFill="1" applyBorder="1"/>
    <xf numFmtId="164" fontId="1" fillId="7" borderId="10" xfId="1" applyNumberFormat="1" applyFill="1" applyBorder="1"/>
    <xf numFmtId="2" fontId="0" fillId="7" borderId="8" xfId="0" applyNumberFormat="1" applyFill="1" applyBorder="1"/>
    <xf numFmtId="1" fontId="0" fillId="7" borderId="11" xfId="0" applyNumberFormat="1" applyFill="1" applyBorder="1"/>
    <xf numFmtId="1" fontId="0" fillId="7" borderId="8" xfId="0" applyNumberFormat="1" applyFill="1" applyBorder="1"/>
    <xf numFmtId="1" fontId="0" fillId="6" borderId="12" xfId="0" applyNumberFormat="1" applyFill="1" applyBorder="1"/>
    <xf numFmtId="164" fontId="1" fillId="7" borderId="4" xfId="1" applyNumberFormat="1" applyFill="1" applyBorder="1"/>
    <xf numFmtId="164" fontId="1" fillId="7" borderId="16" xfId="1" applyNumberFormat="1" applyFill="1" applyBorder="1"/>
    <xf numFmtId="2" fontId="0" fillId="7" borderId="5" xfId="0" applyNumberFormat="1" applyFill="1" applyBorder="1"/>
    <xf numFmtId="1" fontId="0" fillId="7" borderId="12" xfId="0" applyNumberFormat="1" applyFill="1" applyBorder="1"/>
    <xf numFmtId="1" fontId="0" fillId="7" borderId="5" xfId="0" applyNumberFormat="1" applyFill="1" applyBorder="1"/>
    <xf numFmtId="1" fontId="0" fillId="0" borderId="19" xfId="0" applyNumberFormat="1" applyBorder="1"/>
    <xf numFmtId="1" fontId="0" fillId="0" borderId="3" xfId="0" applyNumberFormat="1" applyBorder="1"/>
    <xf numFmtId="1" fontId="0" fillId="7" borderId="17" xfId="0" applyNumberFormat="1" applyFill="1" applyBorder="1"/>
    <xf numFmtId="1" fontId="0" fillId="0" borderId="11" xfId="0" applyNumberFormat="1" applyFill="1" applyBorder="1"/>
    <xf numFmtId="1" fontId="0" fillId="6" borderId="19" xfId="0" applyNumberFormat="1" applyFill="1" applyBorder="1" applyAlignment="1">
      <alignment horizontal="center"/>
    </xf>
    <xf numFmtId="1" fontId="0" fillId="6" borderId="3" xfId="0" applyNumberFormat="1" applyFill="1" applyBorder="1" applyAlignment="1">
      <alignment horizontal="center"/>
    </xf>
    <xf numFmtId="0" fontId="0" fillId="6" borderId="2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18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" fontId="0" fillId="0" borderId="19" xfId="0" applyNumberFormat="1" applyFill="1" applyBorder="1"/>
    <xf numFmtId="1" fontId="0" fillId="0" borderId="3" xfId="0" applyNumberFormat="1" applyFill="1" applyBorder="1"/>
  </cellXfs>
  <cellStyles count="2">
    <cellStyle name="Arial10px" xfId="1" xr:uid="{6649B6CD-6934-4403-9162-6E1B4A67F778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topLeftCell="A22" workbookViewId="0">
      <pane xSplit="10" topLeftCell="K1" activePane="topRight" state="frozen"/>
      <selection pane="topRight" activeCell="A51" sqref="A51"/>
    </sheetView>
  </sheetViews>
  <sheetFormatPr defaultRowHeight="15" x14ac:dyDescent="0.25"/>
  <cols>
    <col min="1" max="1" width="75.140625" customWidth="1"/>
    <col min="2" max="2" width="5" customWidth="1"/>
    <col min="3" max="6" width="6.42578125" customWidth="1"/>
    <col min="7" max="8" width="5.42578125" customWidth="1"/>
    <col min="10" max="10" width="0.85546875" customWidth="1"/>
    <col min="11" max="12" width="7.28515625" customWidth="1"/>
    <col min="13" max="14" width="0.7109375" customWidth="1"/>
  </cols>
  <sheetData>
    <row r="1" spans="1:36" x14ac:dyDescent="0.25">
      <c r="A1" t="s">
        <v>32</v>
      </c>
    </row>
    <row r="2" spans="1:3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14</v>
      </c>
      <c r="Q2" s="1" t="s">
        <v>14</v>
      </c>
      <c r="R2" s="1" t="s">
        <v>14</v>
      </c>
      <c r="V2" s="1" t="s">
        <v>15</v>
      </c>
      <c r="W2" s="3" t="s">
        <v>16</v>
      </c>
      <c r="X2" s="3" t="s">
        <v>17</v>
      </c>
      <c r="Y2" s="1" t="s">
        <v>18</v>
      </c>
      <c r="Z2" s="1" t="s">
        <v>19</v>
      </c>
      <c r="AA2" s="1" t="s">
        <v>20</v>
      </c>
      <c r="AB2" s="1" t="s">
        <v>20</v>
      </c>
      <c r="AC2" s="1" t="s">
        <v>20</v>
      </c>
      <c r="AD2" s="1" t="s">
        <v>20</v>
      </c>
      <c r="AE2" s="1" t="s">
        <v>20</v>
      </c>
      <c r="AF2" s="1" t="s">
        <v>20</v>
      </c>
      <c r="AG2" s="1" t="s">
        <v>20</v>
      </c>
      <c r="AH2" s="1" t="s">
        <v>20</v>
      </c>
      <c r="AI2" s="1" t="s">
        <v>20</v>
      </c>
      <c r="AJ2" s="1" t="s">
        <v>20</v>
      </c>
    </row>
    <row r="3" spans="1:36" x14ac:dyDescent="0.25">
      <c r="A3" s="4"/>
      <c r="B3" s="4"/>
      <c r="C3" s="4"/>
      <c r="D3" s="4"/>
      <c r="E3" s="5">
        <v>24628.292000000001</v>
      </c>
      <c r="F3" s="5">
        <v>26983.714000000004</v>
      </c>
      <c r="G3" s="6"/>
      <c r="H3" s="4"/>
      <c r="I3" s="4"/>
      <c r="J3" s="4"/>
      <c r="K3" s="5">
        <v>28261.403999999988</v>
      </c>
      <c r="L3" s="5">
        <v>-3633.1119999999996</v>
      </c>
      <c r="M3" s="5">
        <v>0</v>
      </c>
      <c r="N3" s="5">
        <v>0</v>
      </c>
      <c r="O3" s="5">
        <v>10363.167410000005</v>
      </c>
      <c r="P3" s="5">
        <v>12430.219019999995</v>
      </c>
      <c r="Q3" s="5">
        <v>-2850</v>
      </c>
      <c r="R3" s="5">
        <v>2000</v>
      </c>
      <c r="V3" s="5">
        <v>4925.6583999999984</v>
      </c>
      <c r="W3" s="5">
        <v>14507.186979999995</v>
      </c>
      <c r="X3" s="5">
        <v>19345.415836000007</v>
      </c>
      <c r="Y3" s="4"/>
      <c r="Z3" s="4"/>
      <c r="AA3" s="5">
        <v>4850.651399999997</v>
      </c>
      <c r="AB3" s="5">
        <v>4686.2807999999959</v>
      </c>
      <c r="AC3" s="5">
        <v>5305.5445999999984</v>
      </c>
      <c r="AD3" s="5">
        <v>5251.1022000000012</v>
      </c>
      <c r="AE3" s="5">
        <v>4882.8654000000024</v>
      </c>
      <c r="AF3" s="5">
        <v>4610.0834000000004</v>
      </c>
      <c r="AG3" s="5">
        <v>4379.4256000000005</v>
      </c>
      <c r="AH3" s="5">
        <v>4795.4853999999996</v>
      </c>
      <c r="AI3" s="5">
        <v>4742.218200000003</v>
      </c>
      <c r="AJ3" s="5">
        <v>3930.9021999999991</v>
      </c>
    </row>
    <row r="4" spans="1:36" x14ac:dyDescent="0.25">
      <c r="A4" s="9" t="s">
        <v>21</v>
      </c>
      <c r="B4" s="4" t="s">
        <v>22</v>
      </c>
      <c r="C4" s="4">
        <v>588.33100000000002</v>
      </c>
      <c r="D4" s="4">
        <v>2918.643</v>
      </c>
      <c r="E4" s="4">
        <v>1453.691</v>
      </c>
      <c r="F4" s="4">
        <v>875.99900000000002</v>
      </c>
      <c r="G4" s="6">
        <v>1</v>
      </c>
      <c r="H4" s="4">
        <v>40</v>
      </c>
      <c r="I4" s="4" t="s">
        <v>23</v>
      </c>
      <c r="J4" s="4"/>
      <c r="K4" s="4">
        <v>1527.1859999999999</v>
      </c>
      <c r="L4" s="4">
        <v>-73.494999999999891</v>
      </c>
      <c r="M4" s="4"/>
      <c r="N4" s="4"/>
      <c r="O4" s="4">
        <v>0</v>
      </c>
      <c r="P4" s="4">
        <v>1095.0018099999991</v>
      </c>
      <c r="Q4" s="4">
        <v>-1098</v>
      </c>
      <c r="R4" s="4"/>
      <c r="V4" s="4">
        <v>290.73820000000001</v>
      </c>
      <c r="W4" s="7">
        <v>1700</v>
      </c>
      <c r="X4" s="7">
        <v>1700</v>
      </c>
      <c r="Y4" s="4">
        <v>8.8498890410685593</v>
      </c>
      <c r="Z4" s="4">
        <v>3.0027041854149163</v>
      </c>
      <c r="AA4" s="4">
        <v>221.20740000000001</v>
      </c>
      <c r="AB4" s="4">
        <v>21.023</v>
      </c>
      <c r="AC4" s="4">
        <v>97.070799999999991</v>
      </c>
      <c r="AD4" s="4">
        <v>200.02199999999999</v>
      </c>
      <c r="AE4" s="4">
        <v>174.52520000000001</v>
      </c>
      <c r="AF4" s="4">
        <v>208.46619999999999</v>
      </c>
      <c r="AG4" s="4">
        <v>206.2114</v>
      </c>
      <c r="AH4" s="4">
        <v>208.54480000000001</v>
      </c>
      <c r="AI4" s="4">
        <v>217.6456</v>
      </c>
      <c r="AJ4" s="4">
        <v>0</v>
      </c>
    </row>
    <row r="5" spans="1:36" x14ac:dyDescent="0.25">
      <c r="A5" s="4" t="s">
        <v>24</v>
      </c>
      <c r="B5" s="4" t="s">
        <v>22</v>
      </c>
      <c r="C5" s="4">
        <v>-7.9000000000000001E-2</v>
      </c>
      <c r="D5" s="4">
        <v>30.280999999999999</v>
      </c>
      <c r="E5" s="4">
        <v>26.384</v>
      </c>
      <c r="F5" s="4">
        <v>-0.14000000000000001</v>
      </c>
      <c r="G5" s="6">
        <v>1</v>
      </c>
      <c r="H5" s="4">
        <v>40</v>
      </c>
      <c r="I5" s="4" t="s">
        <v>23</v>
      </c>
      <c r="J5" s="4"/>
      <c r="K5" s="4">
        <v>31.9</v>
      </c>
      <c r="L5" s="4">
        <v>-5.5159999999999982</v>
      </c>
      <c r="M5" s="4"/>
      <c r="N5" s="4"/>
      <c r="O5" s="4">
        <v>0</v>
      </c>
      <c r="P5" s="4">
        <v>34.947200000000002</v>
      </c>
      <c r="Q5" s="4">
        <v>-36</v>
      </c>
      <c r="R5" s="4"/>
      <c r="V5" s="4">
        <v>5.2767999999999997</v>
      </c>
      <c r="W5" s="7">
        <v>40</v>
      </c>
      <c r="X5" s="7">
        <v>40</v>
      </c>
      <c r="Y5" s="4">
        <v>7.3543056397816864</v>
      </c>
      <c r="Z5" s="4">
        <v>-0.22604608853850788</v>
      </c>
      <c r="AA5" s="4">
        <v>4.3708</v>
      </c>
      <c r="AB5" s="4">
        <v>-0.6048</v>
      </c>
      <c r="AC5" s="4">
        <v>-0.6048</v>
      </c>
      <c r="AD5" s="4">
        <v>0</v>
      </c>
      <c r="AE5" s="4">
        <v>0</v>
      </c>
      <c r="AF5" s="4">
        <v>0</v>
      </c>
      <c r="AG5" s="4">
        <v>0</v>
      </c>
      <c r="AH5" s="4">
        <v>-1.0800000000000001E-2</v>
      </c>
      <c r="AI5" s="4">
        <v>1.5007999999999999</v>
      </c>
      <c r="AJ5" s="4">
        <v>1.5975999999999999</v>
      </c>
    </row>
    <row r="6" spans="1:36" x14ac:dyDescent="0.25">
      <c r="A6" s="9" t="s">
        <v>25</v>
      </c>
      <c r="B6" s="4" t="s">
        <v>26</v>
      </c>
      <c r="C6" s="4">
        <v>1516.4849999999999</v>
      </c>
      <c r="D6" s="4">
        <v>3029</v>
      </c>
      <c r="E6" s="4">
        <v>1815</v>
      </c>
      <c r="F6" s="4">
        <v>1288</v>
      </c>
      <c r="G6" s="6">
        <v>0.4</v>
      </c>
      <c r="H6" s="4">
        <v>45</v>
      </c>
      <c r="I6" s="4" t="s">
        <v>23</v>
      </c>
      <c r="J6" s="4"/>
      <c r="K6" s="4">
        <v>1922</v>
      </c>
      <c r="L6" s="4">
        <v>-107</v>
      </c>
      <c r="M6" s="4"/>
      <c r="N6" s="4"/>
      <c r="O6" s="4">
        <v>924.07939999999985</v>
      </c>
      <c r="P6" s="4">
        <v>924.41500000000053</v>
      </c>
      <c r="Q6" s="4">
        <v>-930</v>
      </c>
      <c r="R6" s="4"/>
      <c r="V6" s="4">
        <v>363</v>
      </c>
      <c r="W6" s="7">
        <v>1786.5055999999995</v>
      </c>
      <c r="X6" s="7">
        <v>1786.5055999999995</v>
      </c>
      <c r="Y6" s="4">
        <v>10.999999999999998</v>
      </c>
      <c r="Z6" s="4">
        <v>6.0784969696969702</v>
      </c>
      <c r="AA6" s="4">
        <v>355.6</v>
      </c>
      <c r="AB6" s="4">
        <v>357.8</v>
      </c>
      <c r="AC6" s="4">
        <v>387.50299999999999</v>
      </c>
      <c r="AD6" s="4">
        <v>375.50299999999999</v>
      </c>
      <c r="AE6" s="4">
        <v>320.60000000000002</v>
      </c>
      <c r="AF6" s="4">
        <v>255</v>
      </c>
      <c r="AG6" s="4">
        <v>249.2</v>
      </c>
      <c r="AH6" s="4">
        <v>344.4</v>
      </c>
      <c r="AI6" s="4">
        <v>336.6</v>
      </c>
      <c r="AJ6" s="4">
        <v>287.2</v>
      </c>
    </row>
    <row r="7" spans="1:36" x14ac:dyDescent="0.25">
      <c r="A7" s="4" t="s">
        <v>27</v>
      </c>
      <c r="B7" s="4" t="s">
        <v>26</v>
      </c>
      <c r="C7" s="4">
        <v>141</v>
      </c>
      <c r="D7" s="4">
        <v>298</v>
      </c>
      <c r="E7" s="4">
        <v>267</v>
      </c>
      <c r="F7" s="4">
        <v>40</v>
      </c>
      <c r="G7" s="6">
        <v>0.4</v>
      </c>
      <c r="H7" s="4">
        <v>45</v>
      </c>
      <c r="I7" s="4" t="s">
        <v>23</v>
      </c>
      <c r="J7" s="4"/>
      <c r="K7" s="4">
        <v>302</v>
      </c>
      <c r="L7" s="4">
        <v>-35</v>
      </c>
      <c r="M7" s="4"/>
      <c r="N7" s="4"/>
      <c r="O7" s="4">
        <v>0</v>
      </c>
      <c r="P7" s="4">
        <v>275.2</v>
      </c>
      <c r="Q7" s="4">
        <v>-276</v>
      </c>
      <c r="R7" s="4"/>
      <c r="V7" s="4">
        <v>53.4</v>
      </c>
      <c r="W7" s="7">
        <v>400</v>
      </c>
      <c r="X7" s="7">
        <v>400</v>
      </c>
      <c r="Y7" s="4">
        <v>8.2247191011235952</v>
      </c>
      <c r="Z7" s="4">
        <v>0.73408239700374511</v>
      </c>
      <c r="AA7" s="4">
        <v>48.2</v>
      </c>
      <c r="AB7" s="4">
        <v>27.4</v>
      </c>
      <c r="AC7" s="4">
        <v>39.4</v>
      </c>
      <c r="AD7" s="4">
        <v>37.799999999999997</v>
      </c>
      <c r="AE7" s="4">
        <v>38.6</v>
      </c>
      <c r="AF7" s="4">
        <v>36.4</v>
      </c>
      <c r="AG7" s="4">
        <v>23.2</v>
      </c>
      <c r="AH7" s="4">
        <v>13.8</v>
      </c>
      <c r="AI7" s="4">
        <v>26.4</v>
      </c>
      <c r="AJ7" s="4">
        <v>27</v>
      </c>
    </row>
    <row r="8" spans="1:36" x14ac:dyDescent="0.25">
      <c r="A8" s="4" t="s">
        <v>28</v>
      </c>
      <c r="B8" s="4" t="s">
        <v>22</v>
      </c>
      <c r="C8" s="4">
        <v>23.646000000000001</v>
      </c>
      <c r="D8" s="4">
        <v>418.62400000000002</v>
      </c>
      <c r="E8" s="4">
        <v>206.244</v>
      </c>
      <c r="F8" s="4">
        <v>125.03</v>
      </c>
      <c r="G8" s="6">
        <v>1</v>
      </c>
      <c r="H8" s="4">
        <v>45</v>
      </c>
      <c r="I8" s="4" t="s">
        <v>23</v>
      </c>
      <c r="J8" s="4"/>
      <c r="K8" s="4">
        <v>204.9</v>
      </c>
      <c r="L8" s="4">
        <v>1.3439999999999941</v>
      </c>
      <c r="M8" s="4"/>
      <c r="N8" s="4"/>
      <c r="O8" s="4">
        <v>0</v>
      </c>
      <c r="P8" s="4">
        <v>208.71799999999999</v>
      </c>
      <c r="Q8" s="4">
        <v>-216</v>
      </c>
      <c r="R8" s="4"/>
      <c r="V8" s="4">
        <v>41.248800000000003</v>
      </c>
      <c r="W8" s="7">
        <v>250</v>
      </c>
      <c r="X8" s="7">
        <v>250</v>
      </c>
      <c r="Y8" s="4">
        <v>8.9153623862997211</v>
      </c>
      <c r="Z8" s="4">
        <v>2.8545800120245919</v>
      </c>
      <c r="AA8" s="4">
        <v>33.955399999999997</v>
      </c>
      <c r="AB8" s="4">
        <v>1.6262000000000001</v>
      </c>
      <c r="AC8" s="4">
        <v>13.767799999999999</v>
      </c>
      <c r="AD8" s="4">
        <v>26.409400000000002</v>
      </c>
      <c r="AE8" s="4">
        <v>23.374400000000001</v>
      </c>
      <c r="AF8" s="4">
        <v>24.1386</v>
      </c>
      <c r="AG8" s="4">
        <v>22.309200000000001</v>
      </c>
      <c r="AH8" s="4">
        <v>27.3674</v>
      </c>
      <c r="AI8" s="4">
        <v>27.667200000000001</v>
      </c>
      <c r="AJ8" s="4">
        <v>13.4558</v>
      </c>
    </row>
    <row r="9" spans="1:36" x14ac:dyDescent="0.25">
      <c r="A9" s="4" t="s">
        <v>29</v>
      </c>
      <c r="B9" s="4" t="s">
        <v>26</v>
      </c>
      <c r="C9" s="4">
        <v>57</v>
      </c>
      <c r="D9" s="4">
        <v>43</v>
      </c>
      <c r="E9" s="4">
        <v>42</v>
      </c>
      <c r="F9" s="4">
        <v>26</v>
      </c>
      <c r="G9" s="6">
        <v>0.4</v>
      </c>
      <c r="H9" s="4">
        <v>40</v>
      </c>
      <c r="I9" s="4" t="s">
        <v>23</v>
      </c>
      <c r="J9" s="4"/>
      <c r="K9" s="4">
        <v>48</v>
      </c>
      <c r="L9" s="4">
        <v>-6</v>
      </c>
      <c r="M9" s="4"/>
      <c r="N9" s="4"/>
      <c r="O9" s="4">
        <v>0</v>
      </c>
      <c r="P9" s="4">
        <v>30.400000000000009</v>
      </c>
      <c r="Q9" s="4">
        <v>-30</v>
      </c>
      <c r="R9" s="4"/>
      <c r="V9" s="4">
        <v>8.4</v>
      </c>
      <c r="W9" s="7">
        <v>48</v>
      </c>
      <c r="X9" s="7">
        <v>48</v>
      </c>
      <c r="Y9" s="4">
        <v>8.8571428571428577</v>
      </c>
      <c r="Z9" s="4">
        <v>3.1428571428571432</v>
      </c>
      <c r="AA9" s="4">
        <v>6.2</v>
      </c>
      <c r="AB9" s="4">
        <v>0.6</v>
      </c>
      <c r="AC9" s="4">
        <v>1</v>
      </c>
      <c r="AD9" s="4">
        <v>7.6</v>
      </c>
      <c r="AE9" s="4">
        <v>7.8</v>
      </c>
      <c r="AF9" s="4">
        <v>0.4</v>
      </c>
      <c r="AG9" s="4">
        <v>-0.2</v>
      </c>
      <c r="AH9" s="4">
        <v>0</v>
      </c>
      <c r="AI9" s="4">
        <v>0</v>
      </c>
      <c r="AJ9" s="4">
        <v>0</v>
      </c>
    </row>
    <row r="10" spans="1:36" x14ac:dyDescent="0.25">
      <c r="A10" s="4" t="s">
        <v>30</v>
      </c>
      <c r="B10" s="4" t="s">
        <v>26</v>
      </c>
      <c r="C10" s="4">
        <v>451</v>
      </c>
      <c r="D10" s="4">
        <v>481</v>
      </c>
      <c r="E10" s="4">
        <v>331</v>
      </c>
      <c r="F10" s="4">
        <v>220</v>
      </c>
      <c r="G10" s="6">
        <v>0.4</v>
      </c>
      <c r="H10" s="4">
        <v>40</v>
      </c>
      <c r="I10" s="4" t="s">
        <v>23</v>
      </c>
      <c r="J10" s="4"/>
      <c r="K10" s="4">
        <v>366</v>
      </c>
      <c r="L10" s="4">
        <v>-35</v>
      </c>
      <c r="M10" s="4"/>
      <c r="N10" s="4"/>
      <c r="O10" s="4">
        <v>20.699999999999928</v>
      </c>
      <c r="P10" s="4">
        <v>104.3</v>
      </c>
      <c r="Q10" s="4">
        <v>-108</v>
      </c>
      <c r="R10" s="4"/>
      <c r="V10" s="4">
        <v>66.2</v>
      </c>
      <c r="W10" s="7">
        <v>491.20000000000016</v>
      </c>
      <c r="X10" s="7">
        <v>491.20000000000016</v>
      </c>
      <c r="Y10" s="4">
        <v>11</v>
      </c>
      <c r="Z10" s="4">
        <v>3.5800604229607242</v>
      </c>
      <c r="AA10" s="4">
        <v>60.8</v>
      </c>
      <c r="AB10" s="4">
        <v>62.2</v>
      </c>
      <c r="AC10" s="4">
        <v>77.400000000000006</v>
      </c>
      <c r="AD10" s="4">
        <v>76.8</v>
      </c>
      <c r="AE10" s="4">
        <v>71.2</v>
      </c>
      <c r="AF10" s="4">
        <v>36.200000000000003</v>
      </c>
      <c r="AG10" s="4">
        <v>29</v>
      </c>
      <c r="AH10" s="4">
        <v>73.2</v>
      </c>
      <c r="AI10" s="4">
        <v>78.2</v>
      </c>
      <c r="AJ10" s="4">
        <v>63</v>
      </c>
    </row>
    <row r="11" spans="1:36" x14ac:dyDescent="0.25">
      <c r="A11" s="4" t="s">
        <v>31</v>
      </c>
      <c r="B11" s="4" t="s">
        <v>26</v>
      </c>
      <c r="C11" s="4">
        <v>37</v>
      </c>
      <c r="D11" s="4">
        <v>360</v>
      </c>
      <c r="E11" s="4">
        <v>183</v>
      </c>
      <c r="F11" s="4">
        <v>170</v>
      </c>
      <c r="G11" s="6">
        <v>0.35</v>
      </c>
      <c r="H11" s="4">
        <v>45</v>
      </c>
      <c r="I11" s="4" t="s">
        <v>23</v>
      </c>
      <c r="J11" s="4"/>
      <c r="K11" s="4">
        <v>177</v>
      </c>
      <c r="L11" s="4">
        <v>6</v>
      </c>
      <c r="M11" s="4"/>
      <c r="N11" s="4"/>
      <c r="O11" s="4">
        <v>0</v>
      </c>
      <c r="P11" s="4">
        <v>154.4</v>
      </c>
      <c r="Q11" s="4">
        <v>-156</v>
      </c>
      <c r="R11" s="4"/>
      <c r="V11" s="4">
        <v>36.6</v>
      </c>
      <c r="W11" s="7">
        <v>234.20000000000005</v>
      </c>
      <c r="X11" s="7">
        <v>234.20000000000005</v>
      </c>
      <c r="Y11" s="4">
        <v>11</v>
      </c>
      <c r="Z11" s="4">
        <v>4.6010928961748627</v>
      </c>
      <c r="AA11" s="4">
        <v>33.4</v>
      </c>
      <c r="AB11" s="4">
        <v>18.8</v>
      </c>
      <c r="AC11" s="4">
        <v>31.2</v>
      </c>
      <c r="AD11" s="4">
        <v>21.6</v>
      </c>
      <c r="AE11" s="4">
        <v>22.6</v>
      </c>
      <c r="AF11" s="4">
        <v>44.8</v>
      </c>
      <c r="AG11" s="4">
        <v>37.6</v>
      </c>
      <c r="AH11" s="4">
        <v>27.4</v>
      </c>
      <c r="AI11" s="4">
        <v>20.399999999999999</v>
      </c>
      <c r="AJ11" s="4">
        <v>20.399999999999999</v>
      </c>
    </row>
    <row r="14" spans="1:36" x14ac:dyDescent="0.25">
      <c r="A14" s="4" t="s">
        <v>49</v>
      </c>
    </row>
    <row r="15" spans="1:3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2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14</v>
      </c>
      <c r="Q15" s="1" t="s">
        <v>14</v>
      </c>
      <c r="R15" s="1" t="s">
        <v>14</v>
      </c>
      <c r="S15" s="1" t="s">
        <v>14</v>
      </c>
      <c r="T15" s="1" t="s">
        <v>14</v>
      </c>
      <c r="U15" s="1" t="s">
        <v>14</v>
      </c>
      <c r="V15" s="1" t="s">
        <v>15</v>
      </c>
      <c r="W15" s="3" t="s">
        <v>16</v>
      </c>
      <c r="X15" s="3" t="s">
        <v>17</v>
      </c>
      <c r="Y15" s="1" t="s">
        <v>18</v>
      </c>
      <c r="Z15" s="1" t="s">
        <v>19</v>
      </c>
      <c r="AA15" s="1" t="s">
        <v>20</v>
      </c>
      <c r="AB15" s="1" t="s">
        <v>20</v>
      </c>
      <c r="AC15" s="1" t="s">
        <v>20</v>
      </c>
      <c r="AD15" s="1" t="s">
        <v>20</v>
      </c>
      <c r="AE15" s="1" t="s">
        <v>20</v>
      </c>
      <c r="AF15" s="1" t="s">
        <v>20</v>
      </c>
      <c r="AG15" s="1" t="s">
        <v>20</v>
      </c>
      <c r="AH15" s="1" t="s">
        <v>20</v>
      </c>
      <c r="AI15" s="1" t="s">
        <v>20</v>
      </c>
      <c r="AJ15" s="1" t="s">
        <v>20</v>
      </c>
    </row>
    <row r="16" spans="1:36" x14ac:dyDescent="0.25">
      <c r="A16" s="4"/>
      <c r="B16" s="4"/>
      <c r="C16" s="4"/>
      <c r="D16" s="4"/>
      <c r="E16" s="5">
        <v>27421.920999999991</v>
      </c>
      <c r="F16" s="5">
        <v>18844.609999999997</v>
      </c>
      <c r="G16" s="6"/>
      <c r="H16" s="4"/>
      <c r="I16" s="4"/>
      <c r="J16" s="4"/>
      <c r="K16" s="5">
        <v>28816.766000000003</v>
      </c>
      <c r="L16" s="5">
        <v>-1394.8450000000003</v>
      </c>
      <c r="M16" s="5">
        <v>0</v>
      </c>
      <c r="N16" s="5">
        <v>0</v>
      </c>
      <c r="O16" s="5">
        <v>1500</v>
      </c>
      <c r="P16" s="5">
        <v>9305.531376560004</v>
      </c>
      <c r="Q16" s="5">
        <v>9988.5997794399991</v>
      </c>
      <c r="R16" s="5">
        <v>-4605.7999999999993</v>
      </c>
      <c r="S16" s="5">
        <v>3500</v>
      </c>
      <c r="T16" s="5">
        <v>7834</v>
      </c>
      <c r="U16" s="5">
        <v>-3564</v>
      </c>
      <c r="V16" s="5">
        <v>5484.3842000000004</v>
      </c>
      <c r="W16" s="5">
        <v>21996.727169920003</v>
      </c>
      <c r="X16" s="5">
        <v>19242.457094559995</v>
      </c>
      <c r="Y16" s="4"/>
      <c r="Z16" s="4"/>
      <c r="AA16" s="5">
        <v>5313.1188000000011</v>
      </c>
      <c r="AB16" s="5">
        <v>4949.6584000000003</v>
      </c>
      <c r="AC16" s="5">
        <v>5681.5398000000005</v>
      </c>
      <c r="AD16" s="5">
        <v>4551.4276000000009</v>
      </c>
      <c r="AE16" s="5">
        <v>4056.5027999999998</v>
      </c>
      <c r="AF16" s="5">
        <v>4897.2521999999981</v>
      </c>
      <c r="AG16" s="5">
        <v>4544.8997999999974</v>
      </c>
      <c r="AH16" s="5">
        <v>4251.4295999999977</v>
      </c>
      <c r="AI16" s="5">
        <v>4437.175400000001</v>
      </c>
      <c r="AJ16" s="5">
        <v>4562.6715999999988</v>
      </c>
    </row>
    <row r="17" spans="1:36" x14ac:dyDescent="0.25">
      <c r="A17" s="9" t="s">
        <v>33</v>
      </c>
      <c r="B17" s="4" t="s">
        <v>22</v>
      </c>
      <c r="C17" s="4">
        <v>824.69100000000003</v>
      </c>
      <c r="D17" s="4">
        <v>667.14499999999998</v>
      </c>
      <c r="E17" s="4">
        <v>776.678</v>
      </c>
      <c r="F17" s="4">
        <v>497.43400000000003</v>
      </c>
      <c r="G17" s="6">
        <v>1</v>
      </c>
      <c r="H17" s="4">
        <v>45</v>
      </c>
      <c r="I17" s="4" t="s">
        <v>23</v>
      </c>
      <c r="J17" s="4"/>
      <c r="K17" s="4">
        <v>739.95</v>
      </c>
      <c r="L17" s="4">
        <v>36.727999999999952</v>
      </c>
      <c r="M17" s="4"/>
      <c r="N17" s="4"/>
      <c r="O17" s="4"/>
      <c r="P17" s="4">
        <v>276.68529999999993</v>
      </c>
      <c r="Q17" s="4">
        <v>291.57100000000042</v>
      </c>
      <c r="R17" s="4">
        <v>-299.7</v>
      </c>
      <c r="S17" s="4"/>
      <c r="T17" s="4">
        <v>400</v>
      </c>
      <c r="U17" s="4">
        <v>-405</v>
      </c>
      <c r="V17" s="4">
        <v>155.3356</v>
      </c>
      <c r="W17" s="7">
        <v>1103.0368999999996</v>
      </c>
      <c r="X17" s="7">
        <v>947.70129999999961</v>
      </c>
      <c r="Y17" s="4">
        <v>11</v>
      </c>
      <c r="Z17" s="4">
        <v>4.8990076968833955</v>
      </c>
      <c r="AA17" s="4">
        <v>161.36680000000001</v>
      </c>
      <c r="AB17" s="4">
        <v>149.6454</v>
      </c>
      <c r="AC17" s="4">
        <v>178.84819999999999</v>
      </c>
      <c r="AD17" s="4">
        <v>149.67179999999999</v>
      </c>
      <c r="AE17" s="4">
        <v>148.21080000000001</v>
      </c>
      <c r="AF17" s="4">
        <v>187.27260000000001</v>
      </c>
      <c r="AG17" s="4">
        <v>139.0446</v>
      </c>
      <c r="AH17" s="4">
        <v>77.631399999999999</v>
      </c>
      <c r="AI17" s="4">
        <v>85.131200000000007</v>
      </c>
      <c r="AJ17" s="4">
        <v>120.83459999999999</v>
      </c>
    </row>
    <row r="18" spans="1:36" x14ac:dyDescent="0.25">
      <c r="A18" s="9" t="s">
        <v>34</v>
      </c>
      <c r="B18" s="4" t="s">
        <v>22</v>
      </c>
      <c r="C18" s="4">
        <v>767.37699999999995</v>
      </c>
      <c r="D18" s="4">
        <v>837.86300000000006</v>
      </c>
      <c r="E18" s="4">
        <v>810.92</v>
      </c>
      <c r="F18" s="4">
        <v>612.83000000000004</v>
      </c>
      <c r="G18" s="6">
        <v>1</v>
      </c>
      <c r="H18" s="4">
        <v>45</v>
      </c>
      <c r="I18" s="4" t="s">
        <v>23</v>
      </c>
      <c r="J18" s="4"/>
      <c r="K18" s="4">
        <v>748.327</v>
      </c>
      <c r="L18" s="4">
        <v>62.592999999999961</v>
      </c>
      <c r="M18" s="4"/>
      <c r="N18" s="4"/>
      <c r="O18" s="4"/>
      <c r="P18" s="4">
        <v>185.8289199999997</v>
      </c>
      <c r="Q18" s="4">
        <v>394.13698000000011</v>
      </c>
      <c r="R18" s="4">
        <v>-396.9</v>
      </c>
      <c r="S18" s="4"/>
      <c r="T18" s="4">
        <v>400</v>
      </c>
      <c r="U18" s="4">
        <v>-405</v>
      </c>
      <c r="V18" s="4">
        <v>162.184</v>
      </c>
      <c r="W18" s="7">
        <v>1155.3121000000001</v>
      </c>
      <c r="X18" s="7">
        <v>993.12810000000013</v>
      </c>
      <c r="Y18" s="4">
        <v>11</v>
      </c>
      <c r="Z18" s="4">
        <v>4.8765346766635425</v>
      </c>
      <c r="AA18" s="4">
        <v>168.56280000000001</v>
      </c>
      <c r="AB18" s="4">
        <v>152.89080000000001</v>
      </c>
      <c r="AC18" s="4">
        <v>189.7098</v>
      </c>
      <c r="AD18" s="4">
        <v>156.5736</v>
      </c>
      <c r="AE18" s="4">
        <v>142.0624</v>
      </c>
      <c r="AF18" s="4">
        <v>183.81639999999999</v>
      </c>
      <c r="AG18" s="4">
        <v>143.90119999999999</v>
      </c>
      <c r="AH18" s="4">
        <v>28.558599999999998</v>
      </c>
      <c r="AI18" s="4">
        <v>19.2348</v>
      </c>
      <c r="AJ18" s="4">
        <v>136.8586</v>
      </c>
    </row>
    <row r="19" spans="1:36" x14ac:dyDescent="0.25">
      <c r="A19" s="4" t="s">
        <v>35</v>
      </c>
      <c r="B19" s="4" t="s">
        <v>26</v>
      </c>
      <c r="C19" s="4">
        <v>343</v>
      </c>
      <c r="D19" s="4">
        <v>257</v>
      </c>
      <c r="E19" s="4">
        <v>385</v>
      </c>
      <c r="F19" s="4">
        <v>165</v>
      </c>
      <c r="G19" s="6">
        <v>0.45</v>
      </c>
      <c r="H19" s="4">
        <v>45</v>
      </c>
      <c r="I19" s="4" t="s">
        <v>23</v>
      </c>
      <c r="J19" s="4"/>
      <c r="K19" s="4">
        <v>427</v>
      </c>
      <c r="L19" s="4">
        <v>-42</v>
      </c>
      <c r="M19" s="4"/>
      <c r="N19" s="4"/>
      <c r="O19" s="4"/>
      <c r="P19" s="4">
        <v>62.299999999999862</v>
      </c>
      <c r="Q19" s="4">
        <v>138.30000000000001</v>
      </c>
      <c r="R19" s="4">
        <v>-138</v>
      </c>
      <c r="S19" s="4"/>
      <c r="T19" s="4">
        <v>200</v>
      </c>
      <c r="U19" s="4">
        <v>-204</v>
      </c>
      <c r="V19" s="4">
        <v>77</v>
      </c>
      <c r="W19" s="7">
        <v>546.4000000000002</v>
      </c>
      <c r="X19" s="7">
        <v>469.4000000000002</v>
      </c>
      <c r="Y19" s="4">
        <v>9.0000000000000018</v>
      </c>
      <c r="Z19" s="4">
        <v>2.9038961038961029</v>
      </c>
      <c r="AA19" s="4">
        <v>68.599999999999994</v>
      </c>
      <c r="AB19" s="4">
        <v>57</v>
      </c>
      <c r="AC19" s="4">
        <v>64.400000000000006</v>
      </c>
      <c r="AD19" s="4">
        <v>51.8</v>
      </c>
      <c r="AE19" s="4">
        <v>54</v>
      </c>
      <c r="AF19" s="4">
        <v>66.599999999999994</v>
      </c>
      <c r="AG19" s="4">
        <v>69</v>
      </c>
      <c r="AH19" s="4">
        <v>72.599999999999994</v>
      </c>
      <c r="AI19" s="4">
        <v>51</v>
      </c>
      <c r="AJ19" s="4">
        <v>59.6</v>
      </c>
    </row>
    <row r="20" spans="1:36" x14ac:dyDescent="0.25">
      <c r="A20" s="4" t="s">
        <v>36</v>
      </c>
      <c r="B20" s="4" t="s">
        <v>26</v>
      </c>
      <c r="C20" s="4">
        <v>260</v>
      </c>
      <c r="D20" s="4">
        <v>513</v>
      </c>
      <c r="E20" s="4">
        <v>469</v>
      </c>
      <c r="F20" s="4">
        <v>191</v>
      </c>
      <c r="G20" s="6">
        <v>0.45</v>
      </c>
      <c r="H20" s="4">
        <v>45</v>
      </c>
      <c r="I20" s="4" t="s">
        <v>23</v>
      </c>
      <c r="J20" s="4"/>
      <c r="K20" s="4">
        <v>538</v>
      </c>
      <c r="L20" s="4">
        <v>-69</v>
      </c>
      <c r="M20" s="4"/>
      <c r="N20" s="4"/>
      <c r="O20" s="4"/>
      <c r="P20" s="4">
        <v>225.54000000000019</v>
      </c>
      <c r="Q20" s="4">
        <v>142.7399999999999</v>
      </c>
      <c r="R20" s="4">
        <v>-144</v>
      </c>
      <c r="S20" s="4"/>
      <c r="T20" s="4">
        <v>150</v>
      </c>
      <c r="U20" s="4">
        <v>-156</v>
      </c>
      <c r="V20" s="4">
        <v>93.8</v>
      </c>
      <c r="W20" s="7">
        <v>622.51999999999975</v>
      </c>
      <c r="X20" s="7">
        <v>528.7199999999998</v>
      </c>
      <c r="Y20" s="4">
        <v>9.9999999999999982</v>
      </c>
      <c r="Z20" s="4">
        <v>4.3633262260127941</v>
      </c>
      <c r="AA20" s="4">
        <v>88.6</v>
      </c>
      <c r="AB20" s="4">
        <v>85.2</v>
      </c>
      <c r="AC20" s="4">
        <v>90.6</v>
      </c>
      <c r="AD20" s="4">
        <v>71.400000000000006</v>
      </c>
      <c r="AE20" s="4">
        <v>71.8</v>
      </c>
      <c r="AF20" s="4">
        <v>78</v>
      </c>
      <c r="AG20" s="4">
        <v>73.2</v>
      </c>
      <c r="AH20" s="4">
        <v>69</v>
      </c>
      <c r="AI20" s="4">
        <v>81.8</v>
      </c>
      <c r="AJ20" s="4">
        <v>64.8</v>
      </c>
    </row>
    <row r="21" spans="1:36" x14ac:dyDescent="0.25">
      <c r="A21" s="9" t="s">
        <v>37</v>
      </c>
      <c r="B21" s="4" t="s">
        <v>22</v>
      </c>
      <c r="C21" s="4">
        <v>798.03499999999997</v>
      </c>
      <c r="D21" s="4">
        <v>2530.328</v>
      </c>
      <c r="E21" s="4">
        <v>2015.6469999999999</v>
      </c>
      <c r="F21" s="4">
        <v>913.36099999999999</v>
      </c>
      <c r="G21" s="6">
        <v>1</v>
      </c>
      <c r="H21" s="4">
        <v>50</v>
      </c>
      <c r="I21" s="4" t="s">
        <v>23</v>
      </c>
      <c r="J21" s="4"/>
      <c r="K21" s="4">
        <v>2037.5170000000001</v>
      </c>
      <c r="L21" s="4">
        <v>-21.870000000000118</v>
      </c>
      <c r="M21" s="4"/>
      <c r="N21" s="4"/>
      <c r="O21" s="4"/>
      <c r="P21" s="4">
        <v>575.88681999999972</v>
      </c>
      <c r="Q21" s="4">
        <v>866.25664000000097</v>
      </c>
      <c r="R21" s="4">
        <v>-870</v>
      </c>
      <c r="S21" s="4"/>
      <c r="T21" s="4">
        <v>1000</v>
      </c>
      <c r="U21" s="4">
        <v>-1005</v>
      </c>
      <c r="V21" s="4">
        <v>403.12939999999998</v>
      </c>
      <c r="W21" s="7">
        <v>2953.9189399999987</v>
      </c>
      <c r="X21" s="7">
        <v>2550.7895399999989</v>
      </c>
      <c r="Y21" s="4">
        <v>10</v>
      </c>
      <c r="Z21" s="4">
        <v>3.6725291184418718</v>
      </c>
      <c r="AA21" s="4">
        <v>368.91160000000002</v>
      </c>
      <c r="AB21" s="4">
        <v>333.24779999999998</v>
      </c>
      <c r="AC21" s="4">
        <v>396.964</v>
      </c>
      <c r="AD21" s="4">
        <v>364.63580000000002</v>
      </c>
      <c r="AE21" s="4">
        <v>341.27480000000003</v>
      </c>
      <c r="AF21" s="4">
        <v>267.3186</v>
      </c>
      <c r="AG21" s="4">
        <v>211.0538</v>
      </c>
      <c r="AH21" s="4">
        <v>419.64319999999998</v>
      </c>
      <c r="AI21" s="4">
        <v>440.71100000000001</v>
      </c>
      <c r="AJ21" s="4">
        <v>273.9434</v>
      </c>
    </row>
    <row r="22" spans="1:36" x14ac:dyDescent="0.25">
      <c r="A22" s="4" t="s">
        <v>38</v>
      </c>
      <c r="B22" s="4" t="s">
        <v>22</v>
      </c>
      <c r="C22" s="4">
        <v>186.99600000000001</v>
      </c>
      <c r="D22" s="4">
        <v>222.65799999999999</v>
      </c>
      <c r="E22" s="4">
        <v>173.01300000000001</v>
      </c>
      <c r="F22" s="4">
        <v>197.654</v>
      </c>
      <c r="G22" s="6">
        <v>1</v>
      </c>
      <c r="H22" s="4">
        <v>30</v>
      </c>
      <c r="I22" s="4" t="s">
        <v>23</v>
      </c>
      <c r="J22" s="4"/>
      <c r="K22" s="4">
        <v>170.3</v>
      </c>
      <c r="L22" s="4">
        <v>2.7129999999999939</v>
      </c>
      <c r="M22" s="4"/>
      <c r="N22" s="4"/>
      <c r="O22" s="4"/>
      <c r="P22" s="4">
        <v>59.47909999999996</v>
      </c>
      <c r="Q22" s="4">
        <v>161.95410000000001</v>
      </c>
      <c r="R22" s="4">
        <v>-168</v>
      </c>
      <c r="S22" s="4"/>
      <c r="T22" s="4"/>
      <c r="U22" s="4"/>
      <c r="V22" s="4">
        <v>34.602600000000002</v>
      </c>
      <c r="W22" s="7">
        <v>164.14400000000006</v>
      </c>
      <c r="X22" s="7">
        <v>164.14400000000006</v>
      </c>
      <c r="Y22" s="4">
        <v>12</v>
      </c>
      <c r="Z22" s="4">
        <v>7.2563102194632751</v>
      </c>
      <c r="AA22" s="4">
        <v>39.710599999999999</v>
      </c>
      <c r="AB22" s="4">
        <v>34.586599999999997</v>
      </c>
      <c r="AC22" s="4">
        <v>40.651400000000002</v>
      </c>
      <c r="AD22" s="4">
        <v>18.385000000000002</v>
      </c>
      <c r="AE22" s="4">
        <v>6.2451999999999996</v>
      </c>
      <c r="AF22" s="4">
        <v>23.9664</v>
      </c>
      <c r="AG22" s="4">
        <v>38.5518</v>
      </c>
      <c r="AH22" s="4">
        <v>15.353400000000001</v>
      </c>
      <c r="AI22" s="4">
        <v>1.7964</v>
      </c>
      <c r="AJ22" s="4">
        <v>17.0366</v>
      </c>
    </row>
    <row r="23" spans="1:36" x14ac:dyDescent="0.25">
      <c r="A23" s="4" t="s">
        <v>39</v>
      </c>
      <c r="B23" s="4" t="s">
        <v>22</v>
      </c>
      <c r="C23" s="4">
        <v>271.62599999999998</v>
      </c>
      <c r="D23" s="4">
        <v>513.57500000000005</v>
      </c>
      <c r="E23" s="4">
        <v>330.57400000000001</v>
      </c>
      <c r="F23" s="4">
        <v>428.98899999999998</v>
      </c>
      <c r="G23" s="6">
        <v>1</v>
      </c>
      <c r="H23" s="4">
        <v>40</v>
      </c>
      <c r="I23" s="4" t="s">
        <v>23</v>
      </c>
      <c r="J23" s="4"/>
      <c r="K23" s="4">
        <v>389.2</v>
      </c>
      <c r="L23" s="4">
        <v>-58.625999999999976</v>
      </c>
      <c r="M23" s="4"/>
      <c r="N23" s="4"/>
      <c r="O23" s="4"/>
      <c r="P23" s="4">
        <v>85.115880000000189</v>
      </c>
      <c r="Q23" s="4">
        <v>264.90428000000003</v>
      </c>
      <c r="R23" s="4">
        <v>-270</v>
      </c>
      <c r="S23" s="4"/>
      <c r="T23" s="4">
        <v>200</v>
      </c>
      <c r="U23" s="4">
        <v>-207</v>
      </c>
      <c r="V23" s="4">
        <v>66.114800000000002</v>
      </c>
      <c r="W23" s="7">
        <v>291.36843999999991</v>
      </c>
      <c r="X23" s="7">
        <v>291.36843999999991</v>
      </c>
      <c r="Y23" s="4">
        <v>12.000000000000004</v>
      </c>
      <c r="Z23" s="4">
        <v>7.5929921893433887</v>
      </c>
      <c r="AA23" s="4">
        <v>89.90979999999999</v>
      </c>
      <c r="AB23" s="4">
        <v>73.314800000000005</v>
      </c>
      <c r="AC23" s="4">
        <v>79.865399999999994</v>
      </c>
      <c r="AD23" s="4">
        <v>55.552999999999997</v>
      </c>
      <c r="AE23" s="4">
        <v>47.498399999999997</v>
      </c>
      <c r="AF23" s="4">
        <v>64.634600000000006</v>
      </c>
      <c r="AG23" s="4">
        <v>63.067999999999998</v>
      </c>
      <c r="AH23" s="4">
        <v>57.167600000000007</v>
      </c>
      <c r="AI23" s="4">
        <v>56.127000000000002</v>
      </c>
      <c r="AJ23" s="4">
        <v>46.794800000000002</v>
      </c>
    </row>
    <row r="24" spans="1:36" x14ac:dyDescent="0.25">
      <c r="A24" s="4" t="s">
        <v>40</v>
      </c>
      <c r="B24" s="4" t="s">
        <v>22</v>
      </c>
      <c r="C24" s="4">
        <v>133.85900000000001</v>
      </c>
      <c r="D24" s="4">
        <v>131.208</v>
      </c>
      <c r="E24" s="4">
        <v>259.37900000000002</v>
      </c>
      <c r="F24" s="4">
        <v>-7.7670000000000003</v>
      </c>
      <c r="G24" s="6">
        <v>1</v>
      </c>
      <c r="H24" s="4">
        <v>30</v>
      </c>
      <c r="I24" s="4" t="s">
        <v>23</v>
      </c>
      <c r="J24" s="4"/>
      <c r="K24" s="4">
        <v>336.35</v>
      </c>
      <c r="L24" s="4">
        <v>-76.971000000000004</v>
      </c>
      <c r="M24" s="4"/>
      <c r="N24" s="4"/>
      <c r="O24" s="4"/>
      <c r="P24" s="4">
        <v>477.05939999999998</v>
      </c>
      <c r="Q24" s="4">
        <v>270.12702999999982</v>
      </c>
      <c r="R24" s="4">
        <v>-273</v>
      </c>
      <c r="S24" s="4"/>
      <c r="T24" s="4">
        <v>300</v>
      </c>
      <c r="U24" s="4">
        <v>-304.2</v>
      </c>
      <c r="V24" s="4">
        <v>51.875800000000005</v>
      </c>
      <c r="W24" s="7">
        <v>160.29017000000027</v>
      </c>
      <c r="X24" s="7">
        <v>160.29017000000027</v>
      </c>
      <c r="Y24" s="4">
        <v>12</v>
      </c>
      <c r="Z24" s="4">
        <v>8.9101166632610926</v>
      </c>
      <c r="AA24" s="4">
        <v>106.5702</v>
      </c>
      <c r="AB24" s="4">
        <v>91.686000000000007</v>
      </c>
      <c r="AC24" s="4">
        <v>71.770200000000003</v>
      </c>
      <c r="AD24" s="4">
        <v>57.282799999999988</v>
      </c>
      <c r="AE24" s="4">
        <v>54.650399999999998</v>
      </c>
      <c r="AF24" s="4">
        <v>63.486400000000003</v>
      </c>
      <c r="AG24" s="4">
        <v>25.735800000000001</v>
      </c>
      <c r="AH24" s="4">
        <v>17.547999999999998</v>
      </c>
      <c r="AI24" s="4">
        <v>63.722400000000007</v>
      </c>
      <c r="AJ24" s="4">
        <v>111.14619999999999</v>
      </c>
    </row>
    <row r="25" spans="1:36" x14ac:dyDescent="0.25">
      <c r="A25" s="9" t="s">
        <v>21</v>
      </c>
      <c r="B25" s="4" t="s">
        <v>22</v>
      </c>
      <c r="C25" s="4">
        <v>925.06899999999996</v>
      </c>
      <c r="D25" s="4">
        <v>30.146999999999998</v>
      </c>
      <c r="E25" s="4">
        <v>933.31600000000003</v>
      </c>
      <c r="F25" s="4">
        <v>-6.79</v>
      </c>
      <c r="G25" s="6">
        <v>1</v>
      </c>
      <c r="H25" s="4">
        <v>40</v>
      </c>
      <c r="I25" s="4" t="s">
        <v>23</v>
      </c>
      <c r="J25" s="4"/>
      <c r="K25" s="4">
        <v>919.8</v>
      </c>
      <c r="L25" s="4">
        <v>13.516000000000076</v>
      </c>
      <c r="M25" s="4"/>
      <c r="N25" s="4"/>
      <c r="O25" s="4"/>
      <c r="P25" s="4">
        <v>784.03268000000025</v>
      </c>
      <c r="Q25" s="4">
        <v>161.83542999999989</v>
      </c>
      <c r="R25" s="4">
        <v>-162</v>
      </c>
      <c r="S25" s="4"/>
      <c r="T25" s="4">
        <v>200</v>
      </c>
      <c r="U25" s="4">
        <v>-207</v>
      </c>
      <c r="V25" s="4">
        <v>186.66320000000002</v>
      </c>
      <c r="W25" s="7">
        <v>1283.2170899999996</v>
      </c>
      <c r="X25" s="7">
        <v>1096.5538899999997</v>
      </c>
      <c r="Y25" s="4">
        <v>9.9999999999999982</v>
      </c>
      <c r="Z25" s="4">
        <v>4.1254950627654514</v>
      </c>
      <c r="AA25" s="4">
        <v>177.22620000000001</v>
      </c>
      <c r="AB25" s="4">
        <v>205.678</v>
      </c>
      <c r="AC25" s="4">
        <v>192.21559999999999</v>
      </c>
      <c r="AD25" s="4">
        <v>70.557199999999995</v>
      </c>
      <c r="AE25" s="4">
        <v>-0.49800000000000011</v>
      </c>
      <c r="AF25" s="4">
        <v>74.856799999999993</v>
      </c>
      <c r="AG25" s="4">
        <v>185.2568</v>
      </c>
      <c r="AH25" s="4">
        <v>162.31219999999999</v>
      </c>
      <c r="AI25" s="4">
        <v>71.218600000000009</v>
      </c>
      <c r="AJ25" s="4">
        <v>218.88560000000001</v>
      </c>
    </row>
    <row r="26" spans="1:36" x14ac:dyDescent="0.25">
      <c r="A26" s="4" t="s">
        <v>24</v>
      </c>
      <c r="B26" s="4" t="s">
        <v>22</v>
      </c>
      <c r="C26" s="4">
        <v>4.3780000000000001</v>
      </c>
      <c r="D26" s="4">
        <v>2.9860000000000002</v>
      </c>
      <c r="E26" s="4">
        <v>4.3639999999999999</v>
      </c>
      <c r="F26" s="4">
        <v>1.4E-2</v>
      </c>
      <c r="G26" s="6">
        <v>1</v>
      </c>
      <c r="H26" s="4">
        <v>40</v>
      </c>
      <c r="I26" s="4" t="s">
        <v>23</v>
      </c>
      <c r="J26" s="4"/>
      <c r="K26" s="4">
        <v>21.7</v>
      </c>
      <c r="L26" s="4">
        <v>-17.335999999999999</v>
      </c>
      <c r="M26" s="4"/>
      <c r="N26" s="4"/>
      <c r="O26" s="4"/>
      <c r="P26" s="4">
        <v>80</v>
      </c>
      <c r="Q26" s="4">
        <v>14.823600000000001</v>
      </c>
      <c r="R26" s="4">
        <v>-18</v>
      </c>
      <c r="S26" s="4"/>
      <c r="T26" s="4"/>
      <c r="U26" s="4"/>
      <c r="V26" s="4">
        <v>0.87280000000000002</v>
      </c>
      <c r="W26" s="7"/>
      <c r="X26" s="7">
        <v>0</v>
      </c>
      <c r="Y26" s="4">
        <v>88.035747021081562</v>
      </c>
      <c r="Z26" s="4">
        <v>88.035747021081562</v>
      </c>
      <c r="AA26" s="4">
        <v>8.621599999999999</v>
      </c>
      <c r="AB26" s="4">
        <v>7.7488000000000001</v>
      </c>
      <c r="AC26" s="4">
        <v>-0.42280000000000001</v>
      </c>
      <c r="AD26" s="4">
        <v>-0.42280000000000001</v>
      </c>
      <c r="AE26" s="4">
        <v>0</v>
      </c>
      <c r="AF26" s="4">
        <v>0</v>
      </c>
      <c r="AG26" s="4">
        <v>0.64379999999999993</v>
      </c>
      <c r="AH26" s="4">
        <v>5.3945999999999996</v>
      </c>
      <c r="AI26" s="4">
        <v>16.281400000000001</v>
      </c>
      <c r="AJ26" s="4">
        <v>15.133800000000001</v>
      </c>
    </row>
    <row r="27" spans="1:36" x14ac:dyDescent="0.25">
      <c r="A27" s="4" t="s">
        <v>41</v>
      </c>
      <c r="B27" s="4" t="s">
        <v>22</v>
      </c>
      <c r="C27" s="4">
        <v>20.22</v>
      </c>
      <c r="D27" s="4">
        <v>37.19</v>
      </c>
      <c r="E27" s="4">
        <v>54.564999999999998</v>
      </c>
      <c r="F27" s="4">
        <v>1.4510000000000001</v>
      </c>
      <c r="G27" s="6">
        <v>1</v>
      </c>
      <c r="H27" s="4">
        <v>30</v>
      </c>
      <c r="I27" s="4" t="s">
        <v>23</v>
      </c>
      <c r="J27" s="4"/>
      <c r="K27" s="4">
        <v>71.599999999999994</v>
      </c>
      <c r="L27" s="4">
        <v>-17.034999999999997</v>
      </c>
      <c r="M27" s="4"/>
      <c r="N27" s="4"/>
      <c r="O27" s="4"/>
      <c r="P27" s="4">
        <v>0</v>
      </c>
      <c r="Q27" s="4">
        <v>65.6952</v>
      </c>
      <c r="R27" s="4">
        <v>-67.2</v>
      </c>
      <c r="S27" s="4"/>
      <c r="T27" s="4"/>
      <c r="U27" s="4"/>
      <c r="V27" s="4">
        <v>10.913</v>
      </c>
      <c r="W27" s="7">
        <v>76.444800000000015</v>
      </c>
      <c r="X27" s="7">
        <v>76.444800000000015</v>
      </c>
      <c r="Y27" s="4">
        <v>7</v>
      </c>
      <c r="Z27" s="4">
        <v>-4.929900119124862E-3</v>
      </c>
      <c r="AA27" s="4">
        <v>11.9476</v>
      </c>
      <c r="AB27" s="4">
        <v>7.6019999999999994</v>
      </c>
      <c r="AC27" s="4">
        <v>9.0299999999999994</v>
      </c>
      <c r="AD27" s="4">
        <v>13.668799999999999</v>
      </c>
      <c r="AE27" s="4">
        <v>10.4878</v>
      </c>
      <c r="AF27" s="4">
        <v>6.930200000000001</v>
      </c>
      <c r="AG27" s="4">
        <v>4.702</v>
      </c>
      <c r="AH27" s="4">
        <v>11.2216</v>
      </c>
      <c r="AI27" s="4">
        <v>18.107199999999999</v>
      </c>
      <c r="AJ27" s="4">
        <v>2.2928000000000002</v>
      </c>
    </row>
    <row r="28" spans="1:36" x14ac:dyDescent="0.25">
      <c r="A28" s="9" t="s">
        <v>25</v>
      </c>
      <c r="B28" s="4" t="s">
        <v>26</v>
      </c>
      <c r="C28" s="4">
        <v>1143</v>
      </c>
      <c r="D28" s="4">
        <v>735</v>
      </c>
      <c r="E28" s="4">
        <v>1300</v>
      </c>
      <c r="F28" s="4">
        <v>295</v>
      </c>
      <c r="G28" s="6">
        <v>0.4</v>
      </c>
      <c r="H28" s="4">
        <v>45</v>
      </c>
      <c r="I28" s="4" t="s">
        <v>23</v>
      </c>
      <c r="J28" s="4"/>
      <c r="K28" s="4">
        <v>1296</v>
      </c>
      <c r="L28" s="4">
        <v>4</v>
      </c>
      <c r="M28" s="4"/>
      <c r="N28" s="4"/>
      <c r="O28" s="4"/>
      <c r="P28" s="4">
        <v>353.24800000000027</v>
      </c>
      <c r="Q28" s="4">
        <v>508.17399999999952</v>
      </c>
      <c r="R28" s="4">
        <v>-510</v>
      </c>
      <c r="S28" s="4"/>
      <c r="T28" s="4">
        <v>500</v>
      </c>
      <c r="U28" s="4"/>
      <c r="V28" s="4">
        <v>260</v>
      </c>
      <c r="W28" s="7">
        <v>1713.5780000000002</v>
      </c>
      <c r="X28" s="7">
        <v>1453.5780000000002</v>
      </c>
      <c r="Y28" s="4">
        <v>10</v>
      </c>
      <c r="Z28" s="4">
        <v>4.4093153846153834</v>
      </c>
      <c r="AA28" s="4">
        <v>238.2</v>
      </c>
      <c r="AB28" s="4">
        <v>222</v>
      </c>
      <c r="AC28" s="4">
        <v>266.76</v>
      </c>
      <c r="AD28" s="4">
        <v>234.56</v>
      </c>
      <c r="AE28" s="4">
        <v>209.4</v>
      </c>
      <c r="AF28" s="4">
        <v>257.60000000000002</v>
      </c>
      <c r="AG28" s="4">
        <v>219.4</v>
      </c>
      <c r="AH28" s="4">
        <v>128</v>
      </c>
      <c r="AI28" s="4">
        <v>182.4</v>
      </c>
      <c r="AJ28" s="4">
        <v>197.2</v>
      </c>
    </row>
    <row r="29" spans="1:36" x14ac:dyDescent="0.25">
      <c r="A29" s="4" t="s">
        <v>42</v>
      </c>
      <c r="B29" s="4" t="s">
        <v>26</v>
      </c>
      <c r="C29" s="4">
        <v>102</v>
      </c>
      <c r="D29" s="4"/>
      <c r="E29" s="4">
        <v>71</v>
      </c>
      <c r="F29" s="4">
        <v>19</v>
      </c>
      <c r="G29" s="6">
        <v>0.4</v>
      </c>
      <c r="H29" s="4">
        <v>40</v>
      </c>
      <c r="I29" s="4" t="s">
        <v>23</v>
      </c>
      <c r="J29" s="4"/>
      <c r="K29" s="4">
        <v>68</v>
      </c>
      <c r="L29" s="4">
        <v>3</v>
      </c>
      <c r="M29" s="4"/>
      <c r="N29" s="4"/>
      <c r="O29" s="4"/>
      <c r="P29" s="4">
        <v>6</v>
      </c>
      <c r="Q29" s="4">
        <v>86.6</v>
      </c>
      <c r="R29" s="4">
        <v>-90</v>
      </c>
      <c r="S29" s="4"/>
      <c r="T29" s="4"/>
      <c r="U29" s="4"/>
      <c r="V29" s="4">
        <v>14.2</v>
      </c>
      <c r="W29" s="7">
        <v>106.20000000000002</v>
      </c>
      <c r="X29" s="7">
        <v>106.20000000000002</v>
      </c>
      <c r="Y29" s="4">
        <v>9.0000000000000018</v>
      </c>
      <c r="Z29" s="4">
        <v>1.52112676056338</v>
      </c>
      <c r="AA29" s="4">
        <v>15.4</v>
      </c>
      <c r="AB29" s="4">
        <v>8.1999999999999993</v>
      </c>
      <c r="AC29" s="4">
        <v>4.5999999999999996</v>
      </c>
      <c r="AD29" s="4">
        <v>2.4</v>
      </c>
      <c r="AE29" s="4">
        <v>0.6</v>
      </c>
      <c r="AF29" s="4">
        <v>9.8000000000000007</v>
      </c>
      <c r="AG29" s="4">
        <v>11.2</v>
      </c>
      <c r="AH29" s="4">
        <v>12.6</v>
      </c>
      <c r="AI29" s="4">
        <v>11.2</v>
      </c>
      <c r="AJ29" s="4">
        <v>2.8</v>
      </c>
    </row>
    <row r="30" spans="1:36" x14ac:dyDescent="0.25">
      <c r="A30" s="4" t="s">
        <v>27</v>
      </c>
      <c r="B30" s="4" t="s">
        <v>26</v>
      </c>
      <c r="C30" s="4">
        <v>201</v>
      </c>
      <c r="D30" s="4">
        <v>3</v>
      </c>
      <c r="E30" s="4">
        <v>188</v>
      </c>
      <c r="F30" s="4">
        <v>11</v>
      </c>
      <c r="G30" s="6">
        <v>0.4</v>
      </c>
      <c r="H30" s="4">
        <v>45</v>
      </c>
      <c r="I30" s="4" t="s">
        <v>23</v>
      </c>
      <c r="J30" s="4"/>
      <c r="K30" s="4">
        <v>219</v>
      </c>
      <c r="L30" s="4">
        <v>-31</v>
      </c>
      <c r="M30" s="4"/>
      <c r="N30" s="4"/>
      <c r="O30" s="4"/>
      <c r="P30" s="4">
        <v>83</v>
      </c>
      <c r="Q30" s="4">
        <v>97.199999999999989</v>
      </c>
      <c r="R30" s="4">
        <v>-102</v>
      </c>
      <c r="S30" s="4"/>
      <c r="T30" s="4">
        <v>50</v>
      </c>
      <c r="U30" s="4">
        <v>-54</v>
      </c>
      <c r="V30" s="4">
        <v>37.6</v>
      </c>
      <c r="W30" s="7">
        <v>253.20000000000005</v>
      </c>
      <c r="X30" s="7">
        <v>253.20000000000005</v>
      </c>
      <c r="Y30" s="4">
        <v>9</v>
      </c>
      <c r="Z30" s="4">
        <v>2.2659574468085104</v>
      </c>
      <c r="AA30" s="4">
        <v>30.2</v>
      </c>
      <c r="AB30" s="4">
        <v>22.4</v>
      </c>
      <c r="AC30" s="4">
        <v>21.8</v>
      </c>
      <c r="AD30" s="4">
        <v>19.600000000000001</v>
      </c>
      <c r="AE30" s="4">
        <v>21.4</v>
      </c>
      <c r="AF30" s="4">
        <v>24.4</v>
      </c>
      <c r="AG30" s="4">
        <v>27.8</v>
      </c>
      <c r="AH30" s="4">
        <v>42</v>
      </c>
      <c r="AI30" s="4">
        <v>32</v>
      </c>
      <c r="AJ30" s="4">
        <v>16.8</v>
      </c>
    </row>
    <row r="31" spans="1:36" x14ac:dyDescent="0.25">
      <c r="A31" s="9" t="s">
        <v>43</v>
      </c>
      <c r="B31" s="4" t="s">
        <v>26</v>
      </c>
      <c r="C31" s="4">
        <v>268</v>
      </c>
      <c r="D31" s="4">
        <v>584</v>
      </c>
      <c r="E31" s="4">
        <v>502</v>
      </c>
      <c r="F31" s="4">
        <v>241</v>
      </c>
      <c r="G31" s="6">
        <v>0.35</v>
      </c>
      <c r="H31" s="4">
        <v>40</v>
      </c>
      <c r="I31" s="4" t="s">
        <v>23</v>
      </c>
      <c r="J31" s="4"/>
      <c r="K31" s="4">
        <v>503</v>
      </c>
      <c r="L31" s="4">
        <v>-1</v>
      </c>
      <c r="M31" s="4"/>
      <c r="N31" s="4"/>
      <c r="O31" s="4"/>
      <c r="P31" s="4">
        <v>2.2799999999999732</v>
      </c>
      <c r="Q31" s="4">
        <v>280.2</v>
      </c>
      <c r="R31" s="4">
        <v>-282</v>
      </c>
      <c r="S31" s="4"/>
      <c r="T31" s="4">
        <v>200</v>
      </c>
      <c r="U31" s="4">
        <v>-204</v>
      </c>
      <c r="V31" s="4">
        <v>100.4</v>
      </c>
      <c r="W31" s="7">
        <v>666.11999999999989</v>
      </c>
      <c r="X31" s="7">
        <v>565.71999999999991</v>
      </c>
      <c r="Y31" s="4">
        <v>7.9999999999999991</v>
      </c>
      <c r="Z31" s="4">
        <v>2.3653386454183267</v>
      </c>
      <c r="AA31" s="4">
        <v>88.8</v>
      </c>
      <c r="AB31" s="4">
        <v>72.599999999999994</v>
      </c>
      <c r="AC31" s="4">
        <v>95.6</v>
      </c>
      <c r="AD31" s="4">
        <v>83</v>
      </c>
      <c r="AE31" s="4">
        <v>71.8</v>
      </c>
      <c r="AF31" s="4">
        <v>77.2</v>
      </c>
      <c r="AG31" s="4">
        <v>67.97999999999999</v>
      </c>
      <c r="AH31" s="4">
        <v>25.58</v>
      </c>
      <c r="AI31" s="4">
        <v>37.4</v>
      </c>
      <c r="AJ31" s="4">
        <v>78</v>
      </c>
    </row>
    <row r="32" spans="1:36" x14ac:dyDescent="0.25">
      <c r="A32" s="4" t="s">
        <v>29</v>
      </c>
      <c r="B32" s="4" t="s">
        <v>26</v>
      </c>
      <c r="C32" s="4">
        <v>177</v>
      </c>
      <c r="D32" s="4">
        <v>3</v>
      </c>
      <c r="E32" s="4">
        <v>163</v>
      </c>
      <c r="F32" s="4">
        <v>-7</v>
      </c>
      <c r="G32" s="6">
        <v>0.4</v>
      </c>
      <c r="H32" s="4">
        <v>40</v>
      </c>
      <c r="I32" s="4" t="s">
        <v>23</v>
      </c>
      <c r="J32" s="4"/>
      <c r="K32" s="4">
        <v>167</v>
      </c>
      <c r="L32" s="4">
        <v>-4</v>
      </c>
      <c r="M32" s="4"/>
      <c r="N32" s="4"/>
      <c r="O32" s="4"/>
      <c r="P32" s="4">
        <v>62.5</v>
      </c>
      <c r="Q32" s="4">
        <v>118.3</v>
      </c>
      <c r="R32" s="4">
        <v>-120</v>
      </c>
      <c r="S32" s="4"/>
      <c r="T32" s="4">
        <v>50</v>
      </c>
      <c r="U32" s="4"/>
      <c r="V32" s="4">
        <v>32.6</v>
      </c>
      <c r="W32" s="7">
        <v>222.2</v>
      </c>
      <c r="X32" s="7">
        <v>222.2</v>
      </c>
      <c r="Y32" s="4">
        <v>10</v>
      </c>
      <c r="Z32" s="4">
        <v>3.1840490797546015</v>
      </c>
      <c r="AA32" s="4">
        <v>27.8</v>
      </c>
      <c r="AB32" s="4">
        <v>19</v>
      </c>
      <c r="AC32" s="4">
        <v>19</v>
      </c>
      <c r="AD32" s="4">
        <v>9.1999999999999993</v>
      </c>
      <c r="AE32" s="4">
        <v>1.2</v>
      </c>
      <c r="AF32" s="4">
        <v>11.8</v>
      </c>
      <c r="AG32" s="4">
        <v>23</v>
      </c>
      <c r="AH32" s="4">
        <v>16.399999999999999</v>
      </c>
      <c r="AI32" s="4">
        <v>12.2</v>
      </c>
      <c r="AJ32" s="4">
        <v>18.399999999999999</v>
      </c>
    </row>
    <row r="33" spans="1:36" x14ac:dyDescent="0.25">
      <c r="A33" s="4" t="s">
        <v>44</v>
      </c>
      <c r="B33" s="4" t="s">
        <v>26</v>
      </c>
      <c r="C33" s="4"/>
      <c r="D33" s="4">
        <v>186</v>
      </c>
      <c r="E33" s="4">
        <v>158</v>
      </c>
      <c r="F33" s="4">
        <v>10</v>
      </c>
      <c r="G33" s="6">
        <v>0.4</v>
      </c>
      <c r="H33" s="4">
        <v>40</v>
      </c>
      <c r="I33" s="4" t="s">
        <v>23</v>
      </c>
      <c r="J33" s="4"/>
      <c r="K33" s="4">
        <v>162</v>
      </c>
      <c r="L33" s="4">
        <v>-4</v>
      </c>
      <c r="M33" s="4"/>
      <c r="N33" s="4"/>
      <c r="O33" s="4"/>
      <c r="P33" s="4">
        <v>0</v>
      </c>
      <c r="Q33" s="4">
        <v>60.199999999999989</v>
      </c>
      <c r="R33" s="4">
        <v>-60</v>
      </c>
      <c r="S33" s="4"/>
      <c r="T33" s="4">
        <v>50</v>
      </c>
      <c r="U33" s="4">
        <v>-54</v>
      </c>
      <c r="V33" s="4">
        <v>31.6</v>
      </c>
      <c r="W33" s="7">
        <v>215.00000000000006</v>
      </c>
      <c r="X33" s="7">
        <v>215.00000000000006</v>
      </c>
      <c r="Y33" s="4">
        <v>7.0000000000000009</v>
      </c>
      <c r="Z33" s="4">
        <v>0.19620253164556925</v>
      </c>
      <c r="AA33" s="4">
        <v>18.2</v>
      </c>
      <c r="AB33" s="4">
        <v>-0.8</v>
      </c>
      <c r="AC33" s="4">
        <v>8.8000000000000007</v>
      </c>
      <c r="AD33" s="4">
        <v>15.6</v>
      </c>
      <c r="AE33" s="4">
        <v>14.2</v>
      </c>
      <c r="AF33" s="4">
        <v>6</v>
      </c>
      <c r="AG33" s="4">
        <v>0.4</v>
      </c>
      <c r="AH33" s="4">
        <v>11</v>
      </c>
      <c r="AI33" s="4">
        <v>18.8</v>
      </c>
      <c r="AJ33" s="4">
        <v>16.600000000000001</v>
      </c>
    </row>
    <row r="34" spans="1:36" x14ac:dyDescent="0.25">
      <c r="A34" s="4" t="s">
        <v>45</v>
      </c>
      <c r="B34" s="4" t="s">
        <v>26</v>
      </c>
      <c r="C34" s="4">
        <v>531</v>
      </c>
      <c r="D34" s="4">
        <v>149</v>
      </c>
      <c r="E34" s="4">
        <v>319</v>
      </c>
      <c r="F34" s="4">
        <v>343</v>
      </c>
      <c r="G34" s="6">
        <v>0.4</v>
      </c>
      <c r="H34" s="4">
        <v>40</v>
      </c>
      <c r="I34" s="4" t="s">
        <v>23</v>
      </c>
      <c r="J34" s="4"/>
      <c r="K34" s="4">
        <v>535</v>
      </c>
      <c r="L34" s="4">
        <v>-216</v>
      </c>
      <c r="M34" s="4"/>
      <c r="N34" s="4"/>
      <c r="O34" s="4"/>
      <c r="P34" s="4">
        <v>20.300000000000029</v>
      </c>
      <c r="Q34" s="4">
        <v>114.2200000000003</v>
      </c>
      <c r="R34" s="4">
        <v>-120</v>
      </c>
      <c r="S34" s="4"/>
      <c r="T34" s="4">
        <v>50</v>
      </c>
      <c r="U34" s="4">
        <v>-54</v>
      </c>
      <c r="V34" s="4">
        <v>63.8</v>
      </c>
      <c r="W34" s="7">
        <v>412.07999999999959</v>
      </c>
      <c r="X34" s="7">
        <v>348.27999999999957</v>
      </c>
      <c r="Y34" s="4">
        <v>11</v>
      </c>
      <c r="Z34" s="4">
        <v>5.5410658307210081</v>
      </c>
      <c r="AA34" s="4">
        <v>81.2</v>
      </c>
      <c r="AB34" s="4">
        <v>86.2</v>
      </c>
      <c r="AC34" s="4">
        <v>112.6</v>
      </c>
      <c r="AD34" s="4">
        <v>85.6</v>
      </c>
      <c r="AE34" s="4">
        <v>71.599999999999994</v>
      </c>
      <c r="AF34" s="4">
        <v>109.6</v>
      </c>
      <c r="AG34" s="4">
        <v>96.8</v>
      </c>
      <c r="AH34" s="4">
        <v>28.4</v>
      </c>
      <c r="AI34" s="4">
        <v>40</v>
      </c>
      <c r="AJ34" s="4">
        <v>106.4</v>
      </c>
    </row>
    <row r="35" spans="1:36" x14ac:dyDescent="0.25">
      <c r="A35" s="9" t="s">
        <v>30</v>
      </c>
      <c r="B35" s="4" t="s">
        <v>26</v>
      </c>
      <c r="C35" s="4">
        <v>455</v>
      </c>
      <c r="D35" s="4">
        <v>8</v>
      </c>
      <c r="E35" s="4">
        <v>463</v>
      </c>
      <c r="F35" s="4">
        <v>-1</v>
      </c>
      <c r="G35" s="6">
        <v>0.4</v>
      </c>
      <c r="H35" s="4">
        <v>40</v>
      </c>
      <c r="I35" s="4" t="s">
        <v>23</v>
      </c>
      <c r="J35" s="4"/>
      <c r="K35" s="4">
        <v>497</v>
      </c>
      <c r="L35" s="4">
        <v>-34</v>
      </c>
      <c r="M35" s="4"/>
      <c r="N35" s="4"/>
      <c r="O35" s="4"/>
      <c r="P35" s="4">
        <v>76.099999999999909</v>
      </c>
      <c r="Q35" s="4">
        <v>150.5</v>
      </c>
      <c r="R35" s="4">
        <v>-150</v>
      </c>
      <c r="S35" s="4"/>
      <c r="T35" s="4">
        <v>100</v>
      </c>
      <c r="U35" s="4">
        <v>-102</v>
      </c>
      <c r="V35" s="4">
        <v>92.6</v>
      </c>
      <c r="W35" s="7">
        <v>667.2</v>
      </c>
      <c r="X35" s="7">
        <v>574.6</v>
      </c>
      <c r="Y35" s="4">
        <v>7</v>
      </c>
      <c r="Z35" s="4">
        <v>0.79481641468682407</v>
      </c>
      <c r="AA35" s="4">
        <v>69</v>
      </c>
      <c r="AB35" s="4">
        <v>57.4</v>
      </c>
      <c r="AC35" s="4">
        <v>72.400000000000006</v>
      </c>
      <c r="AD35" s="4">
        <v>47.8</v>
      </c>
      <c r="AE35" s="4">
        <v>37.4</v>
      </c>
      <c r="AF35" s="4">
        <v>71.599999999999994</v>
      </c>
      <c r="AG35" s="4">
        <v>76.599999999999994</v>
      </c>
      <c r="AH35" s="4">
        <v>54.2</v>
      </c>
      <c r="AI35" s="4">
        <v>24</v>
      </c>
      <c r="AJ35" s="4">
        <v>59.8</v>
      </c>
    </row>
    <row r="36" spans="1:36" x14ac:dyDescent="0.25">
      <c r="A36" s="4" t="s">
        <v>46</v>
      </c>
      <c r="B36" s="4" t="s">
        <v>22</v>
      </c>
      <c r="C36" s="4">
        <v>59.625999999999998</v>
      </c>
      <c r="D36" s="4">
        <v>743.94399999999996</v>
      </c>
      <c r="E36" s="4">
        <v>426.745</v>
      </c>
      <c r="F36" s="4">
        <v>258.60399999999998</v>
      </c>
      <c r="G36" s="6">
        <v>1</v>
      </c>
      <c r="H36" s="4">
        <v>30</v>
      </c>
      <c r="I36" s="4" t="s">
        <v>23</v>
      </c>
      <c r="J36" s="4"/>
      <c r="K36" s="4">
        <v>444.35</v>
      </c>
      <c r="L36" s="4">
        <v>-17.605000000000018</v>
      </c>
      <c r="M36" s="4"/>
      <c r="N36" s="4"/>
      <c r="O36" s="4"/>
      <c r="P36" s="4">
        <v>0</v>
      </c>
      <c r="Q36" s="4">
        <v>188.7613999999999</v>
      </c>
      <c r="R36" s="4">
        <v>-195</v>
      </c>
      <c r="S36" s="4"/>
      <c r="T36" s="4">
        <v>200</v>
      </c>
      <c r="U36" s="4">
        <v>-202.8</v>
      </c>
      <c r="V36" s="4">
        <v>85.349000000000004</v>
      </c>
      <c r="W36" s="7">
        <v>603.92460000000005</v>
      </c>
      <c r="X36" s="7">
        <v>518.57560000000001</v>
      </c>
      <c r="Y36" s="4">
        <v>8.9999999999999982</v>
      </c>
      <c r="Z36" s="4">
        <v>2.9240576925330104</v>
      </c>
      <c r="AA36" s="4">
        <v>80.937399999999997</v>
      </c>
      <c r="AB36" s="4">
        <v>39.692799999999998</v>
      </c>
      <c r="AC36" s="4">
        <v>48.635199999999998</v>
      </c>
      <c r="AD36" s="4">
        <v>81.170600000000007</v>
      </c>
      <c r="AE36" s="4">
        <v>85.153199999999998</v>
      </c>
      <c r="AF36" s="4">
        <v>45.728400000000001</v>
      </c>
      <c r="AG36" s="4">
        <v>6.1534000000000004</v>
      </c>
      <c r="AH36" s="4">
        <v>39.178400000000003</v>
      </c>
      <c r="AI36" s="4">
        <v>76.381600000000006</v>
      </c>
      <c r="AJ36" s="4">
        <v>39.561799999999998</v>
      </c>
    </row>
    <row r="37" spans="1:36" x14ac:dyDescent="0.25">
      <c r="A37" s="4" t="s">
        <v>47</v>
      </c>
      <c r="B37" s="4" t="s">
        <v>26</v>
      </c>
      <c r="C37" s="4">
        <v>272</v>
      </c>
      <c r="D37" s="4">
        <v>10</v>
      </c>
      <c r="E37" s="4">
        <v>121</v>
      </c>
      <c r="F37" s="4">
        <v>145</v>
      </c>
      <c r="G37" s="6">
        <v>0.33</v>
      </c>
      <c r="H37" s="4">
        <v>60</v>
      </c>
      <c r="I37" s="4" t="s">
        <v>23</v>
      </c>
      <c r="J37" s="4"/>
      <c r="K37" s="4">
        <v>117</v>
      </c>
      <c r="L37" s="4">
        <v>4</v>
      </c>
      <c r="M37" s="4"/>
      <c r="N37" s="4"/>
      <c r="O37" s="4"/>
      <c r="P37" s="4">
        <v>64</v>
      </c>
      <c r="Q37" s="4">
        <v>122.6</v>
      </c>
      <c r="R37" s="4">
        <v>-128</v>
      </c>
      <c r="S37" s="4"/>
      <c r="T37" s="4"/>
      <c r="U37" s="4"/>
      <c r="V37" s="4">
        <v>24.2</v>
      </c>
      <c r="W37" s="7">
        <v>86.799999999999955</v>
      </c>
      <c r="X37" s="7">
        <v>86.799999999999955</v>
      </c>
      <c r="Y37" s="4">
        <v>12</v>
      </c>
      <c r="Z37" s="4">
        <v>8.4132231404958695</v>
      </c>
      <c r="AA37" s="4">
        <v>33.6</v>
      </c>
      <c r="AB37" s="4">
        <v>25.6</v>
      </c>
      <c r="AC37" s="4">
        <v>14.8</v>
      </c>
      <c r="AD37" s="4">
        <v>21</v>
      </c>
      <c r="AE37" s="4">
        <v>30.8</v>
      </c>
      <c r="AF37" s="4">
        <v>40.200000000000003</v>
      </c>
      <c r="AG37" s="4">
        <v>28.2</v>
      </c>
      <c r="AH37" s="4">
        <v>8</v>
      </c>
      <c r="AI37" s="4">
        <v>14</v>
      </c>
      <c r="AJ37" s="4">
        <v>18.399999999999999</v>
      </c>
    </row>
    <row r="38" spans="1:36" x14ac:dyDescent="0.25">
      <c r="A38" s="4" t="s">
        <v>48</v>
      </c>
      <c r="B38" s="4" t="s">
        <v>26</v>
      </c>
      <c r="C38" s="4">
        <v>86</v>
      </c>
      <c r="D38" s="4"/>
      <c r="E38" s="4">
        <v>54</v>
      </c>
      <c r="F38" s="4">
        <v>16</v>
      </c>
      <c r="G38" s="6">
        <v>0.33</v>
      </c>
      <c r="H38" s="4">
        <v>40</v>
      </c>
      <c r="I38" s="4" t="s">
        <v>23</v>
      </c>
      <c r="J38" s="4"/>
      <c r="K38" s="4">
        <v>50</v>
      </c>
      <c r="L38" s="4">
        <v>4</v>
      </c>
      <c r="M38" s="4"/>
      <c r="N38" s="4"/>
      <c r="O38" s="4"/>
      <c r="P38" s="4">
        <v>8.5</v>
      </c>
      <c r="Q38" s="4">
        <v>40.699999999999989</v>
      </c>
      <c r="R38" s="4">
        <v>-41.999999999999993</v>
      </c>
      <c r="S38" s="4"/>
      <c r="T38" s="4"/>
      <c r="U38" s="4"/>
      <c r="V38" s="4">
        <v>10.8</v>
      </c>
      <c r="W38" s="7">
        <v>74</v>
      </c>
      <c r="X38" s="7">
        <v>74</v>
      </c>
      <c r="Y38" s="4">
        <v>8.9999999999999982</v>
      </c>
      <c r="Z38" s="4">
        <v>2.1481481481481475</v>
      </c>
      <c r="AA38" s="4">
        <v>10.199999999999999</v>
      </c>
      <c r="AB38" s="4">
        <v>7.4</v>
      </c>
      <c r="AC38" s="4">
        <v>7.6</v>
      </c>
      <c r="AD38" s="4">
        <v>6</v>
      </c>
      <c r="AE38" s="4">
        <v>0.8</v>
      </c>
      <c r="AF38" s="4">
        <v>7.4</v>
      </c>
      <c r="AG38" s="4">
        <v>11.2</v>
      </c>
      <c r="AH38" s="4">
        <v>12.2</v>
      </c>
      <c r="AI38" s="4">
        <v>8.1999999999999993</v>
      </c>
      <c r="AJ38" s="4">
        <v>1</v>
      </c>
    </row>
    <row r="41" spans="1:36" x14ac:dyDescent="0.25">
      <c r="A41" s="4" t="s">
        <v>50</v>
      </c>
    </row>
    <row r="42" spans="1:36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2" t="s">
        <v>6</v>
      </c>
      <c r="H42" s="1" t="s">
        <v>7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13</v>
      </c>
      <c r="O42" s="1" t="s">
        <v>14</v>
      </c>
      <c r="P42" s="1" t="s">
        <v>14</v>
      </c>
      <c r="Q42" s="1" t="s">
        <v>14</v>
      </c>
      <c r="T42" s="1" t="s">
        <v>15</v>
      </c>
      <c r="U42" s="3" t="s">
        <v>16</v>
      </c>
      <c r="V42" s="3" t="s">
        <v>51</v>
      </c>
      <c r="W42" s="3" t="s">
        <v>17</v>
      </c>
      <c r="X42" s="3" t="s">
        <v>17</v>
      </c>
      <c r="Y42" s="1" t="s">
        <v>18</v>
      </c>
      <c r="Z42" s="1" t="s">
        <v>19</v>
      </c>
      <c r="AA42" s="1" t="s">
        <v>20</v>
      </c>
      <c r="AB42" s="1" t="s">
        <v>20</v>
      </c>
      <c r="AC42" s="1" t="s">
        <v>20</v>
      </c>
      <c r="AD42" s="1" t="s">
        <v>20</v>
      </c>
      <c r="AE42" s="1" t="s">
        <v>20</v>
      </c>
      <c r="AF42" s="1" t="s">
        <v>20</v>
      </c>
      <c r="AG42" s="1" t="s">
        <v>20</v>
      </c>
      <c r="AH42" s="1" t="s">
        <v>20</v>
      </c>
      <c r="AI42" s="1" t="s">
        <v>20</v>
      </c>
      <c r="AJ42" s="1" t="s">
        <v>20</v>
      </c>
    </row>
    <row r="43" spans="1:36" x14ac:dyDescent="0.25">
      <c r="A43" s="4"/>
      <c r="B43" s="4"/>
      <c r="C43" s="4"/>
      <c r="D43" s="4"/>
      <c r="E43" s="5">
        <v>56781.932000000001</v>
      </c>
      <c r="F43" s="5">
        <v>62724.447999999975</v>
      </c>
      <c r="G43" s="6"/>
      <c r="H43" s="4"/>
      <c r="I43" s="4"/>
      <c r="J43" s="4"/>
      <c r="K43" s="5">
        <v>58359.893999999993</v>
      </c>
      <c r="L43" s="5">
        <v>-1577.9620000000004</v>
      </c>
      <c r="M43" s="5">
        <v>0</v>
      </c>
      <c r="N43" s="5">
        <v>0</v>
      </c>
      <c r="O43" s="5">
        <v>24678.220327199993</v>
      </c>
      <c r="P43" s="5">
        <v>-7266</v>
      </c>
      <c r="Q43" s="5">
        <v>4300</v>
      </c>
      <c r="T43" s="5">
        <v>11356.38639999999</v>
      </c>
      <c r="U43" s="5">
        <v>48160.610472800014</v>
      </c>
      <c r="V43" s="5">
        <v>46412.375199800023</v>
      </c>
      <c r="W43" s="5">
        <v>22091.366539415838</v>
      </c>
      <c r="X43" s="5">
        <v>24321.008660384174</v>
      </c>
      <c r="Y43" s="4"/>
      <c r="Z43" s="4"/>
      <c r="AA43" s="5">
        <v>10946.920799999996</v>
      </c>
      <c r="AB43" s="5">
        <v>11020.885399999997</v>
      </c>
      <c r="AC43" s="5">
        <v>11330.113399999998</v>
      </c>
      <c r="AD43" s="5">
        <v>10868.862599999995</v>
      </c>
      <c r="AE43" s="5">
        <v>10230.688399999999</v>
      </c>
      <c r="AF43" s="5">
        <v>10557.787400000001</v>
      </c>
      <c r="AG43" s="5">
        <v>11206.347200000004</v>
      </c>
      <c r="AH43" s="5">
        <v>10686.477200000005</v>
      </c>
      <c r="AI43" s="5">
        <v>10948.148200000001</v>
      </c>
      <c r="AJ43" s="5">
        <v>11385.260799999998</v>
      </c>
    </row>
    <row r="44" spans="1:36" x14ac:dyDescent="0.25">
      <c r="A44" s="9" t="s">
        <v>21</v>
      </c>
      <c r="B44" s="4" t="s">
        <v>22</v>
      </c>
      <c r="C44" s="4">
        <v>-62.997</v>
      </c>
      <c r="D44" s="4">
        <v>2716.55</v>
      </c>
      <c r="E44" s="4">
        <v>2701.259</v>
      </c>
      <c r="F44" s="4">
        <v>-62.402999999999999</v>
      </c>
      <c r="G44" s="6">
        <v>1</v>
      </c>
      <c r="H44" s="4">
        <v>40</v>
      </c>
      <c r="I44" s="4" t="s">
        <v>23</v>
      </c>
      <c r="J44" s="4"/>
      <c r="K44" s="4">
        <v>2722.5</v>
      </c>
      <c r="L44" s="4">
        <v>-21.240999999999985</v>
      </c>
      <c r="M44" s="4"/>
      <c r="N44" s="4"/>
      <c r="O44" s="4">
        <v>1942.6363839999999</v>
      </c>
      <c r="P44" s="4">
        <v>-1944</v>
      </c>
      <c r="Q44" s="4"/>
      <c r="T44" s="4">
        <v>540.2518</v>
      </c>
      <c r="U44" s="7">
        <v>3845.5292159999999</v>
      </c>
      <c r="V44" s="7">
        <v>3707.765007</v>
      </c>
      <c r="W44" s="7">
        <v>1367.4237345816</v>
      </c>
      <c r="X44" s="7">
        <v>2340.3412724184</v>
      </c>
      <c r="Y44" s="4">
        <v>6.7450000000000001</v>
      </c>
      <c r="Z44" s="4">
        <v>-0.11803128837331057</v>
      </c>
      <c r="AA44" s="4">
        <v>543.82479999999998</v>
      </c>
      <c r="AB44" s="4">
        <v>632.09960000000001</v>
      </c>
      <c r="AC44" s="4">
        <v>771.26760000000002</v>
      </c>
      <c r="AD44" s="4">
        <v>511.33100000000002</v>
      </c>
      <c r="AE44" s="4">
        <v>199.14580000000001</v>
      </c>
      <c r="AF44" s="4">
        <v>179.42859999999999</v>
      </c>
      <c r="AG44" s="4">
        <v>420.00200000000012</v>
      </c>
      <c r="AH44" s="4">
        <v>606.72160000000008</v>
      </c>
      <c r="AI44" s="4">
        <v>622.55079999999998</v>
      </c>
      <c r="AJ44" s="4">
        <v>626.69579999999996</v>
      </c>
    </row>
    <row r="45" spans="1:36" x14ac:dyDescent="0.25">
      <c r="A45" s="9" t="s">
        <v>25</v>
      </c>
      <c r="B45" s="4" t="s">
        <v>26</v>
      </c>
      <c r="C45" s="4">
        <v>3971.2069999999999</v>
      </c>
      <c r="D45" s="4">
        <v>3590</v>
      </c>
      <c r="E45" s="4">
        <v>4397</v>
      </c>
      <c r="F45" s="4">
        <v>2163.2069999999999</v>
      </c>
      <c r="G45" s="6">
        <v>0.4</v>
      </c>
      <c r="H45" s="4">
        <v>45</v>
      </c>
      <c r="I45" s="4" t="s">
        <v>23</v>
      </c>
      <c r="J45" s="4"/>
      <c r="K45" s="4">
        <v>4451</v>
      </c>
      <c r="L45" s="4">
        <v>-54</v>
      </c>
      <c r="M45" s="4"/>
      <c r="N45" s="4"/>
      <c r="O45" s="4">
        <v>2950.209697999996</v>
      </c>
      <c r="P45" s="4">
        <v>-2952</v>
      </c>
      <c r="Q45" s="4"/>
      <c r="T45" s="4">
        <v>879.4</v>
      </c>
      <c r="U45" s="7">
        <v>5753.1833020000031</v>
      </c>
      <c r="V45" s="7">
        <v>5528.9363020000028</v>
      </c>
      <c r="W45" s="7">
        <v>2039.0717081776011</v>
      </c>
      <c r="X45" s="7">
        <v>3489.8645938224017</v>
      </c>
      <c r="Y45" s="4">
        <v>8.7449999999999974</v>
      </c>
      <c r="Z45" s="4">
        <v>2.4578311325903974</v>
      </c>
      <c r="AA45" s="4">
        <v>846.35859999999991</v>
      </c>
      <c r="AB45" s="4">
        <v>867.75859999999989</v>
      </c>
      <c r="AC45" s="4">
        <v>893.8</v>
      </c>
      <c r="AD45" s="4">
        <v>890.8</v>
      </c>
      <c r="AE45" s="4">
        <v>822.8</v>
      </c>
      <c r="AF45" s="4">
        <v>878.2</v>
      </c>
      <c r="AG45" s="4">
        <v>947.2</v>
      </c>
      <c r="AH45" s="4">
        <v>847.2</v>
      </c>
      <c r="AI45" s="4">
        <v>844.8</v>
      </c>
      <c r="AJ45" s="4">
        <v>866.6</v>
      </c>
    </row>
    <row r="46" spans="1:36" x14ac:dyDescent="0.25">
      <c r="A46" s="4" t="s">
        <v>52</v>
      </c>
      <c r="B46" s="4" t="s">
        <v>26</v>
      </c>
      <c r="C46" s="4">
        <v>-18</v>
      </c>
      <c r="D46" s="4">
        <v>150</v>
      </c>
      <c r="E46" s="4">
        <v>151</v>
      </c>
      <c r="F46" s="4">
        <v>-19</v>
      </c>
      <c r="G46" s="6">
        <v>0.4</v>
      </c>
      <c r="H46" s="4">
        <v>40</v>
      </c>
      <c r="I46" s="4" t="s">
        <v>23</v>
      </c>
      <c r="J46" s="4"/>
      <c r="K46" s="4">
        <v>225</v>
      </c>
      <c r="L46" s="4">
        <v>-74</v>
      </c>
      <c r="M46" s="4"/>
      <c r="N46" s="4"/>
      <c r="O46" s="4">
        <v>69.908000000000044</v>
      </c>
      <c r="P46" s="4">
        <v>-72</v>
      </c>
      <c r="Q46" s="4"/>
      <c r="T46" s="4">
        <v>30.2</v>
      </c>
      <c r="U46" s="7">
        <v>232.49199999999993</v>
      </c>
      <c r="V46" s="7">
        <v>232.49199999999993</v>
      </c>
      <c r="W46" s="7">
        <v>232.49199999999993</v>
      </c>
      <c r="X46" s="7"/>
      <c r="Y46" s="4">
        <v>6.9999999999999991</v>
      </c>
      <c r="Z46" s="4">
        <v>-0.69841059602648858</v>
      </c>
      <c r="AA46" s="4">
        <v>32.799999999999997</v>
      </c>
      <c r="AB46" s="4">
        <v>44.6</v>
      </c>
      <c r="AC46" s="4">
        <v>38.6</v>
      </c>
      <c r="AD46" s="4">
        <v>36.200000000000003</v>
      </c>
      <c r="AE46" s="4">
        <v>42.2</v>
      </c>
      <c r="AF46" s="4">
        <v>47.8</v>
      </c>
      <c r="AG46" s="4">
        <v>56.4</v>
      </c>
      <c r="AH46" s="4">
        <v>47.8</v>
      </c>
      <c r="AI46" s="4">
        <v>38</v>
      </c>
      <c r="AJ46" s="4">
        <v>48.6</v>
      </c>
    </row>
    <row r="47" spans="1:36" x14ac:dyDescent="0.25">
      <c r="A47" s="4" t="s">
        <v>27</v>
      </c>
      <c r="B47" s="4" t="s">
        <v>26</v>
      </c>
      <c r="C47" s="4">
        <v>158</v>
      </c>
      <c r="D47" s="4">
        <v>78</v>
      </c>
      <c r="E47" s="4">
        <v>213</v>
      </c>
      <c r="F47" s="4">
        <v>18</v>
      </c>
      <c r="G47" s="6">
        <v>0.4</v>
      </c>
      <c r="H47" s="4">
        <v>45</v>
      </c>
      <c r="I47" s="4" t="s">
        <v>23</v>
      </c>
      <c r="J47" s="4"/>
      <c r="K47" s="4">
        <v>297</v>
      </c>
      <c r="L47" s="4">
        <v>-84</v>
      </c>
      <c r="M47" s="4"/>
      <c r="N47" s="4"/>
      <c r="O47" s="4">
        <v>336.20400000000001</v>
      </c>
      <c r="P47" s="4">
        <v>-336</v>
      </c>
      <c r="Q47" s="4"/>
      <c r="T47" s="4">
        <v>42.6</v>
      </c>
      <c r="U47" s="7">
        <v>279.99600000000004</v>
      </c>
      <c r="V47" s="7">
        <v>279.99600000000004</v>
      </c>
      <c r="W47" s="7">
        <v>279.99600000000004</v>
      </c>
      <c r="X47" s="7"/>
      <c r="Y47" s="4">
        <v>7.0000000000000009</v>
      </c>
      <c r="Z47" s="4">
        <v>0.42732394366197202</v>
      </c>
      <c r="AA47" s="4">
        <v>57.4</v>
      </c>
      <c r="AB47" s="4">
        <v>39.6</v>
      </c>
      <c r="AC47" s="4">
        <v>35.4</v>
      </c>
      <c r="AD47" s="4">
        <v>36</v>
      </c>
      <c r="AE47" s="4">
        <v>40</v>
      </c>
      <c r="AF47" s="4">
        <v>40.200000000000003</v>
      </c>
      <c r="AG47" s="4">
        <v>48.2</v>
      </c>
      <c r="AH47" s="4">
        <v>44.4</v>
      </c>
      <c r="AI47" s="4">
        <v>32.799999999999997</v>
      </c>
      <c r="AJ47" s="4">
        <v>37.200000000000003</v>
      </c>
    </row>
    <row r="48" spans="1:36" x14ac:dyDescent="0.25">
      <c r="A48" s="9" t="s">
        <v>53</v>
      </c>
      <c r="B48" s="4" t="s">
        <v>26</v>
      </c>
      <c r="C48" s="4">
        <v>153</v>
      </c>
      <c r="D48" s="4">
        <v>1014</v>
      </c>
      <c r="E48" s="4">
        <v>717</v>
      </c>
      <c r="F48" s="4">
        <v>238</v>
      </c>
      <c r="G48" s="6">
        <v>0.4</v>
      </c>
      <c r="H48" s="4">
        <v>40</v>
      </c>
      <c r="I48" s="4" t="s">
        <v>23</v>
      </c>
      <c r="J48" s="4"/>
      <c r="K48" s="4">
        <v>740</v>
      </c>
      <c r="L48" s="4">
        <v>-23</v>
      </c>
      <c r="M48" s="4"/>
      <c r="N48" s="4"/>
      <c r="O48" s="4">
        <v>600.05200000000059</v>
      </c>
      <c r="P48" s="4">
        <v>-600</v>
      </c>
      <c r="Q48" s="4"/>
      <c r="T48" s="4">
        <v>143.4</v>
      </c>
      <c r="U48" s="7">
        <v>1052.5479999999995</v>
      </c>
      <c r="V48" s="7">
        <v>1015.9809999999995</v>
      </c>
      <c r="W48" s="7">
        <v>374.69379279999987</v>
      </c>
      <c r="X48" s="7">
        <v>641.28720719999967</v>
      </c>
      <c r="Y48" s="4">
        <v>8.745000000000001</v>
      </c>
      <c r="Z48" s="4">
        <v>1.6600557880055828</v>
      </c>
      <c r="AA48" s="4">
        <v>127.4</v>
      </c>
      <c r="AB48" s="4">
        <v>113.8</v>
      </c>
      <c r="AC48" s="4">
        <v>119.2</v>
      </c>
      <c r="AD48" s="4">
        <v>124</v>
      </c>
      <c r="AE48" s="4">
        <v>124</v>
      </c>
      <c r="AF48" s="4">
        <v>125.6</v>
      </c>
      <c r="AG48" s="4">
        <v>124.2</v>
      </c>
      <c r="AH48" s="4">
        <v>123.2</v>
      </c>
      <c r="AI48" s="4">
        <v>114.6</v>
      </c>
      <c r="AJ48" s="4">
        <v>108.4</v>
      </c>
    </row>
    <row r="49" spans="1:36" x14ac:dyDescent="0.25">
      <c r="A49" s="4" t="s">
        <v>29</v>
      </c>
      <c r="B49" s="4" t="s">
        <v>26</v>
      </c>
      <c r="C49" s="4">
        <v>122</v>
      </c>
      <c r="D49" s="4">
        <v>315</v>
      </c>
      <c r="E49" s="4">
        <v>137</v>
      </c>
      <c r="F49" s="4">
        <v>268</v>
      </c>
      <c r="G49" s="6">
        <v>0.4</v>
      </c>
      <c r="H49" s="4">
        <v>40</v>
      </c>
      <c r="I49" s="4" t="s">
        <v>23</v>
      </c>
      <c r="J49" s="4"/>
      <c r="K49" s="4">
        <v>139</v>
      </c>
      <c r="L49" s="4">
        <v>-2</v>
      </c>
      <c r="M49" s="4"/>
      <c r="N49" s="4"/>
      <c r="O49" s="4">
        <v>56.600000000000051</v>
      </c>
      <c r="P49" s="4">
        <v>-60</v>
      </c>
      <c r="Q49" s="4"/>
      <c r="T49" s="4">
        <v>27.4</v>
      </c>
      <c r="U49" s="7">
        <v>64.199999999999932</v>
      </c>
      <c r="V49" s="7">
        <v>64.199999999999932</v>
      </c>
      <c r="W49" s="7">
        <v>64.199999999999932</v>
      </c>
      <c r="X49" s="7"/>
      <c r="Y49" s="4">
        <v>11.999999999999998</v>
      </c>
      <c r="Z49" s="4">
        <v>9.6569343065693438</v>
      </c>
      <c r="AA49" s="4">
        <v>37.200000000000003</v>
      </c>
      <c r="AB49" s="4">
        <v>33.6</v>
      </c>
      <c r="AC49" s="4">
        <v>27.6</v>
      </c>
      <c r="AD49" s="4">
        <v>19.600000000000001</v>
      </c>
      <c r="AE49" s="4">
        <v>18.600000000000001</v>
      </c>
      <c r="AF49" s="4">
        <v>31.4</v>
      </c>
      <c r="AG49" s="4">
        <v>27.6</v>
      </c>
      <c r="AH49" s="4">
        <v>19.2</v>
      </c>
      <c r="AI49" s="4">
        <v>22</v>
      </c>
      <c r="AJ49" s="4">
        <v>27.6</v>
      </c>
    </row>
    <row r="50" spans="1:36" x14ac:dyDescent="0.25">
      <c r="A50" s="4" t="s">
        <v>44</v>
      </c>
      <c r="B50" s="4" t="s">
        <v>26</v>
      </c>
      <c r="C50" s="4">
        <v>15</v>
      </c>
      <c r="D50" s="4">
        <v>90</v>
      </c>
      <c r="E50" s="4">
        <v>86</v>
      </c>
      <c r="F50" s="4">
        <v>10</v>
      </c>
      <c r="G50" s="6">
        <v>0.4</v>
      </c>
      <c r="H50" s="4">
        <v>40</v>
      </c>
      <c r="I50" s="4" t="s">
        <v>23</v>
      </c>
      <c r="J50" s="4"/>
      <c r="K50" s="4">
        <v>91</v>
      </c>
      <c r="L50" s="4">
        <v>-5</v>
      </c>
      <c r="M50" s="4"/>
      <c r="N50" s="4"/>
      <c r="O50" s="4">
        <v>65.199999999999989</v>
      </c>
      <c r="P50" s="4">
        <v>-65.999999999999986</v>
      </c>
      <c r="Q50" s="4"/>
      <c r="T50" s="4">
        <v>17.2</v>
      </c>
      <c r="U50" s="7">
        <v>128.39999999999998</v>
      </c>
      <c r="V50" s="7">
        <v>128.39999999999998</v>
      </c>
      <c r="W50" s="7">
        <v>128.39999999999998</v>
      </c>
      <c r="X50" s="7"/>
      <c r="Y50" s="4">
        <v>7.9999999999999982</v>
      </c>
      <c r="Z50" s="4">
        <v>0.53488372093023273</v>
      </c>
      <c r="AA50" s="4">
        <v>11.2</v>
      </c>
      <c r="AB50" s="4">
        <v>7.8</v>
      </c>
      <c r="AC50" s="4">
        <v>11.2</v>
      </c>
      <c r="AD50" s="4">
        <v>12.4</v>
      </c>
      <c r="AE50" s="4">
        <v>14.4</v>
      </c>
      <c r="AF50" s="4">
        <v>12.8</v>
      </c>
      <c r="AG50" s="4">
        <v>10</v>
      </c>
      <c r="AH50" s="4">
        <v>8.8000000000000007</v>
      </c>
      <c r="AI50" s="4">
        <v>7.8</v>
      </c>
      <c r="AJ50" s="4">
        <v>12.4</v>
      </c>
    </row>
    <row r="51" spans="1:36" x14ac:dyDescent="0.25">
      <c r="A51" s="9" t="s">
        <v>30</v>
      </c>
      <c r="B51" s="4" t="s">
        <v>26</v>
      </c>
      <c r="C51" s="4">
        <v>462</v>
      </c>
      <c r="D51" s="4">
        <v>506</v>
      </c>
      <c r="E51" s="4">
        <v>704</v>
      </c>
      <c r="F51" s="4">
        <v>99</v>
      </c>
      <c r="G51" s="6">
        <v>0.4</v>
      </c>
      <c r="H51" s="4">
        <v>40</v>
      </c>
      <c r="I51" s="4" t="s">
        <v>23</v>
      </c>
      <c r="J51" s="4"/>
      <c r="K51" s="4">
        <v>720</v>
      </c>
      <c r="L51" s="4">
        <v>-16</v>
      </c>
      <c r="M51" s="4"/>
      <c r="N51" s="4"/>
      <c r="O51" s="4">
        <v>521.2439999999998</v>
      </c>
      <c r="P51" s="4">
        <v>-522</v>
      </c>
      <c r="Q51" s="4"/>
      <c r="T51" s="4">
        <v>140.80000000000001</v>
      </c>
      <c r="U51" s="7">
        <v>1028.1560000000004</v>
      </c>
      <c r="V51" s="7">
        <v>992.25200000000041</v>
      </c>
      <c r="W51" s="7">
        <v>365.94253760000015</v>
      </c>
      <c r="X51" s="7">
        <v>626.30946240000026</v>
      </c>
      <c r="Y51" s="4">
        <v>7.7450000000000001</v>
      </c>
      <c r="Z51" s="4">
        <v>0.69775568181818037</v>
      </c>
      <c r="AA51" s="4">
        <v>123.2</v>
      </c>
      <c r="AB51" s="4">
        <v>116.8</v>
      </c>
      <c r="AC51" s="4">
        <v>135.4</v>
      </c>
      <c r="AD51" s="4">
        <v>128.80000000000001</v>
      </c>
      <c r="AE51" s="4">
        <v>117.6</v>
      </c>
      <c r="AF51" s="4">
        <v>112</v>
      </c>
      <c r="AG51" s="4">
        <v>118.8</v>
      </c>
      <c r="AH51" s="4">
        <v>136</v>
      </c>
      <c r="AI51" s="4">
        <v>111.2</v>
      </c>
      <c r="AJ51" s="4">
        <v>98.8</v>
      </c>
    </row>
    <row r="52" spans="1:36" x14ac:dyDescent="0.25">
      <c r="A52" s="4" t="s">
        <v>31</v>
      </c>
      <c r="B52" s="4" t="s">
        <v>26</v>
      </c>
      <c r="C52" s="4">
        <v>350</v>
      </c>
      <c r="D52" s="4">
        <v>174</v>
      </c>
      <c r="E52" s="4">
        <v>220</v>
      </c>
      <c r="F52" s="4">
        <v>268</v>
      </c>
      <c r="G52" s="6">
        <v>0.35</v>
      </c>
      <c r="H52" s="4">
        <v>45</v>
      </c>
      <c r="I52" s="4" t="s">
        <v>23</v>
      </c>
      <c r="J52" s="4"/>
      <c r="K52" s="4">
        <v>228</v>
      </c>
      <c r="L52" s="4">
        <v>-8</v>
      </c>
      <c r="M52" s="4"/>
      <c r="N52" s="4"/>
      <c r="O52" s="4">
        <v>152</v>
      </c>
      <c r="P52" s="4">
        <v>-156</v>
      </c>
      <c r="Q52" s="4"/>
      <c r="T52" s="4">
        <v>44</v>
      </c>
      <c r="U52" s="7">
        <v>264</v>
      </c>
      <c r="V52" s="7">
        <v>264</v>
      </c>
      <c r="W52" s="7">
        <v>264</v>
      </c>
      <c r="X52" s="7"/>
      <c r="Y52" s="4">
        <v>12</v>
      </c>
      <c r="Z52" s="4">
        <v>6</v>
      </c>
      <c r="AA52" s="4">
        <v>49</v>
      </c>
      <c r="AB52" s="4">
        <v>44.4</v>
      </c>
      <c r="AC52" s="4">
        <v>34.4</v>
      </c>
      <c r="AD52" s="4">
        <v>61.8</v>
      </c>
      <c r="AE52" s="4">
        <v>73.8</v>
      </c>
      <c r="AF52" s="4">
        <v>32.200000000000003</v>
      </c>
      <c r="AG52" s="4">
        <v>16</v>
      </c>
      <c r="AH52" s="4">
        <v>38.799999999999997</v>
      </c>
      <c r="AI52" s="4">
        <v>54.6</v>
      </c>
      <c r="AJ52" s="4">
        <v>69.400000000000006</v>
      </c>
    </row>
    <row r="53" spans="1:36" x14ac:dyDescent="0.25">
      <c r="A53" s="4" t="s">
        <v>54</v>
      </c>
      <c r="B53" s="4" t="s">
        <v>26</v>
      </c>
      <c r="C53" s="4">
        <v>187</v>
      </c>
      <c r="D53" s="4">
        <v>240</v>
      </c>
      <c r="E53" s="4">
        <v>232</v>
      </c>
      <c r="F53" s="8">
        <v>190</v>
      </c>
      <c r="G53" s="6">
        <v>0.3</v>
      </c>
      <c r="H53" s="4">
        <v>40</v>
      </c>
      <c r="I53" s="4" t="s">
        <v>23</v>
      </c>
      <c r="J53" s="4"/>
      <c r="K53" s="4">
        <v>250</v>
      </c>
      <c r="L53" s="4">
        <v>-18</v>
      </c>
      <c r="M53" s="4"/>
      <c r="N53" s="4"/>
      <c r="O53" s="4">
        <v>298.7</v>
      </c>
      <c r="P53" s="4">
        <v>-300</v>
      </c>
      <c r="Q53" s="4"/>
      <c r="T53" s="4">
        <v>46.4</v>
      </c>
      <c r="U53" s="7">
        <v>321.7</v>
      </c>
      <c r="V53" s="7">
        <v>321.7</v>
      </c>
      <c r="W53" s="7">
        <v>118.64295999999999</v>
      </c>
      <c r="X53" s="7">
        <v>203.05704</v>
      </c>
      <c r="Y53" s="4">
        <v>11</v>
      </c>
      <c r="Z53" s="4">
        <v>4.0668103448275863</v>
      </c>
      <c r="AA53" s="4">
        <v>46.4</v>
      </c>
      <c r="AB53" s="4">
        <v>33.799999999999997</v>
      </c>
      <c r="AC53" s="4">
        <v>35</v>
      </c>
      <c r="AD53" s="4">
        <v>38.799999999999997</v>
      </c>
      <c r="AE53" s="4">
        <v>41.6</v>
      </c>
      <c r="AF53" s="4">
        <v>11.8</v>
      </c>
      <c r="AG53" s="4">
        <v>3.2</v>
      </c>
      <c r="AH53" s="4">
        <v>15.2</v>
      </c>
      <c r="AI53" s="4">
        <v>21.8</v>
      </c>
      <c r="AJ53" s="4">
        <v>36.6</v>
      </c>
    </row>
    <row r="54" spans="1:36" x14ac:dyDescent="0.25">
      <c r="A54" s="4" t="s">
        <v>55</v>
      </c>
      <c r="B54" s="4" t="s">
        <v>26</v>
      </c>
      <c r="C54" s="4">
        <v>293</v>
      </c>
      <c r="D54" s="4">
        <v>120</v>
      </c>
      <c r="E54" s="4">
        <v>227</v>
      </c>
      <c r="F54" s="4">
        <v>173</v>
      </c>
      <c r="G54" s="6">
        <v>0.3</v>
      </c>
      <c r="H54" s="4">
        <v>40</v>
      </c>
      <c r="I54" s="4" t="s">
        <v>23</v>
      </c>
      <c r="J54" s="4"/>
      <c r="K54" s="4">
        <v>232</v>
      </c>
      <c r="L54" s="4">
        <v>-5</v>
      </c>
      <c r="M54" s="4"/>
      <c r="N54" s="4"/>
      <c r="O54" s="4">
        <v>254.00000000000011</v>
      </c>
      <c r="P54" s="4">
        <v>-258.00000000000011</v>
      </c>
      <c r="Q54" s="4"/>
      <c r="T54" s="4">
        <v>45.4</v>
      </c>
      <c r="U54" s="7">
        <v>330.4</v>
      </c>
      <c r="V54" s="7">
        <v>330.4</v>
      </c>
      <c r="W54" s="7">
        <v>121.85151999999999</v>
      </c>
      <c r="X54" s="7">
        <v>208.54847999999998</v>
      </c>
      <c r="Y54" s="4">
        <v>11</v>
      </c>
      <c r="Z54" s="4">
        <v>3.7224669603524232</v>
      </c>
      <c r="AA54" s="4">
        <v>42</v>
      </c>
      <c r="AB54" s="4">
        <v>32.799999999999997</v>
      </c>
      <c r="AC54" s="4">
        <v>34.200000000000003</v>
      </c>
      <c r="AD54" s="4">
        <v>48.4</v>
      </c>
      <c r="AE54" s="4">
        <v>53.4</v>
      </c>
      <c r="AF54" s="4">
        <v>14.4</v>
      </c>
      <c r="AG54" s="4">
        <v>11.4</v>
      </c>
      <c r="AH54" s="4">
        <v>33.4</v>
      </c>
      <c r="AI54" s="4">
        <v>28</v>
      </c>
      <c r="AJ54" s="4">
        <v>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5090-3937-4180-99A7-EED19F737F60}">
  <dimension ref="A1:K16"/>
  <sheetViews>
    <sheetView tabSelected="1" workbookViewId="0">
      <selection activeCell="Q20" sqref="Q20"/>
    </sheetView>
  </sheetViews>
  <sheetFormatPr defaultRowHeight="15" x14ac:dyDescent="0.25"/>
  <cols>
    <col min="1" max="1" width="94.42578125" bestFit="1" customWidth="1"/>
    <col min="2" max="2" width="8.28515625" bestFit="1" customWidth="1"/>
    <col min="3" max="3" width="6.140625" style="11" customWidth="1"/>
    <col min="4" max="11" width="7.5703125" style="10" customWidth="1"/>
  </cols>
  <sheetData>
    <row r="1" spans="1:11" x14ac:dyDescent="0.25">
      <c r="A1" s="40" t="s">
        <v>0</v>
      </c>
      <c r="B1" s="44" t="s">
        <v>59</v>
      </c>
      <c r="C1" s="42" t="s">
        <v>56</v>
      </c>
      <c r="D1" s="38" t="s">
        <v>32</v>
      </c>
      <c r="E1" s="39"/>
      <c r="F1" s="38" t="s">
        <v>49</v>
      </c>
      <c r="G1" s="39"/>
      <c r="H1" s="38" t="s">
        <v>50</v>
      </c>
      <c r="I1" s="39"/>
      <c r="J1" s="38" t="s">
        <v>66</v>
      </c>
      <c r="K1" s="39"/>
    </row>
    <row r="2" spans="1:11" ht="15.75" thickBot="1" x14ac:dyDescent="0.3">
      <c r="A2" s="41"/>
      <c r="B2" s="45"/>
      <c r="C2" s="43"/>
      <c r="D2" s="28" t="s">
        <v>26</v>
      </c>
      <c r="E2" s="12" t="s">
        <v>22</v>
      </c>
      <c r="F2" s="28" t="s">
        <v>26</v>
      </c>
      <c r="G2" s="12" t="s">
        <v>22</v>
      </c>
      <c r="H2" s="28" t="s">
        <v>26</v>
      </c>
      <c r="I2" s="12" t="s">
        <v>22</v>
      </c>
      <c r="J2" s="28" t="s">
        <v>26</v>
      </c>
      <c r="K2" s="12" t="s">
        <v>22</v>
      </c>
    </row>
    <row r="3" spans="1:11" x14ac:dyDescent="0.25">
      <c r="A3" s="18" t="s">
        <v>33</v>
      </c>
      <c r="B3" s="19" t="s">
        <v>60</v>
      </c>
      <c r="C3" s="20">
        <v>1</v>
      </c>
      <c r="D3" s="46">
        <v>0</v>
      </c>
      <c r="E3" s="47">
        <f>D3*C3</f>
        <v>0</v>
      </c>
      <c r="F3" s="34">
        <v>100</v>
      </c>
      <c r="G3" s="35">
        <f>F3*C3</f>
        <v>100</v>
      </c>
      <c r="H3" s="34">
        <v>1650</v>
      </c>
      <c r="I3" s="35">
        <f>H3*C3</f>
        <v>1650</v>
      </c>
      <c r="J3" s="34">
        <v>800</v>
      </c>
      <c r="K3" s="35">
        <f>J3*C3</f>
        <v>800</v>
      </c>
    </row>
    <row r="4" spans="1:11" x14ac:dyDescent="0.25">
      <c r="A4" s="13" t="s">
        <v>34</v>
      </c>
      <c r="B4" s="17" t="s">
        <v>61</v>
      </c>
      <c r="C4" s="21">
        <v>1</v>
      </c>
      <c r="D4" s="16">
        <v>400</v>
      </c>
      <c r="E4" s="15">
        <f t="shared" ref="E4:E10" si="0">D4*C4</f>
        <v>400</v>
      </c>
      <c r="F4" s="16">
        <v>950</v>
      </c>
      <c r="G4" s="15">
        <f t="shared" ref="G4:G10" si="1">F4*C4</f>
        <v>950</v>
      </c>
      <c r="H4" s="16">
        <v>1550</v>
      </c>
      <c r="I4" s="15">
        <f t="shared" ref="I4:I10" si="2">H4*C4</f>
        <v>1550</v>
      </c>
      <c r="J4" s="16">
        <v>2300</v>
      </c>
      <c r="K4" s="14">
        <f t="shared" ref="K4:K10" si="3">J4*C4</f>
        <v>2300</v>
      </c>
    </row>
    <row r="5" spans="1:11" x14ac:dyDescent="0.25">
      <c r="A5" s="13" t="s">
        <v>37</v>
      </c>
      <c r="B5" s="17" t="s">
        <v>62</v>
      </c>
      <c r="C5" s="21">
        <v>1</v>
      </c>
      <c r="D5" s="16">
        <v>2500</v>
      </c>
      <c r="E5" s="15">
        <f t="shared" si="0"/>
        <v>2500</v>
      </c>
      <c r="F5" s="16">
        <v>2450</v>
      </c>
      <c r="G5" s="15">
        <f t="shared" si="1"/>
        <v>2450</v>
      </c>
      <c r="H5" s="16">
        <v>5000</v>
      </c>
      <c r="I5" s="15">
        <f t="shared" si="2"/>
        <v>5000</v>
      </c>
      <c r="J5" s="16">
        <v>1400</v>
      </c>
      <c r="K5" s="14">
        <f t="shared" si="3"/>
        <v>1400</v>
      </c>
    </row>
    <row r="6" spans="1:11" x14ac:dyDescent="0.25">
      <c r="A6" s="13" t="s">
        <v>21</v>
      </c>
      <c r="B6" s="17" t="s">
        <v>57</v>
      </c>
      <c r="C6" s="21">
        <v>1</v>
      </c>
      <c r="D6" s="16">
        <v>1200</v>
      </c>
      <c r="E6" s="15">
        <f t="shared" si="0"/>
        <v>1200</v>
      </c>
      <c r="F6" s="16">
        <v>1000</v>
      </c>
      <c r="G6" s="15">
        <f t="shared" si="1"/>
        <v>1000</v>
      </c>
      <c r="H6" s="16">
        <v>3600</v>
      </c>
      <c r="I6" s="15">
        <f t="shared" si="2"/>
        <v>3600</v>
      </c>
      <c r="J6" s="37">
        <v>6000</v>
      </c>
      <c r="K6" s="14">
        <f t="shared" si="3"/>
        <v>6000</v>
      </c>
    </row>
    <row r="7" spans="1:11" x14ac:dyDescent="0.25">
      <c r="A7" s="13" t="s">
        <v>25</v>
      </c>
      <c r="B7" s="17" t="s">
        <v>63</v>
      </c>
      <c r="C7" s="21">
        <v>0.4</v>
      </c>
      <c r="D7" s="16">
        <v>2300</v>
      </c>
      <c r="E7" s="15">
        <f t="shared" si="0"/>
        <v>920</v>
      </c>
      <c r="F7" s="16">
        <v>1200</v>
      </c>
      <c r="G7" s="15">
        <f t="shared" si="1"/>
        <v>480</v>
      </c>
      <c r="H7" s="16">
        <v>6100</v>
      </c>
      <c r="I7" s="15">
        <f t="shared" si="2"/>
        <v>2440</v>
      </c>
      <c r="J7" s="16">
        <v>3000</v>
      </c>
      <c r="K7" s="14">
        <f t="shared" si="3"/>
        <v>1200</v>
      </c>
    </row>
    <row r="8" spans="1:11" x14ac:dyDescent="0.25">
      <c r="A8" s="23" t="s">
        <v>27</v>
      </c>
      <c r="B8" s="24"/>
      <c r="C8" s="25">
        <v>0.4</v>
      </c>
      <c r="D8" s="26"/>
      <c r="E8" s="27"/>
      <c r="F8" s="26"/>
      <c r="G8" s="27"/>
      <c r="H8" s="26"/>
      <c r="I8" s="27"/>
      <c r="J8" s="26">
        <v>400</v>
      </c>
      <c r="K8" s="22">
        <f t="shared" si="3"/>
        <v>160</v>
      </c>
    </row>
    <row r="9" spans="1:11" x14ac:dyDescent="0.25">
      <c r="A9" s="13" t="s">
        <v>43</v>
      </c>
      <c r="B9" s="17" t="s">
        <v>64</v>
      </c>
      <c r="C9" s="21">
        <v>0.35</v>
      </c>
      <c r="D9" s="16">
        <v>200</v>
      </c>
      <c r="E9" s="15">
        <f t="shared" si="0"/>
        <v>70</v>
      </c>
      <c r="F9" s="16">
        <v>400</v>
      </c>
      <c r="G9" s="15">
        <f t="shared" si="1"/>
        <v>140</v>
      </c>
      <c r="H9" s="16">
        <v>1600</v>
      </c>
      <c r="I9" s="15">
        <f t="shared" si="2"/>
        <v>560</v>
      </c>
      <c r="J9" s="16">
        <v>400</v>
      </c>
      <c r="K9" s="14">
        <f t="shared" si="3"/>
        <v>140</v>
      </c>
    </row>
    <row r="10" spans="1:11" x14ac:dyDescent="0.25">
      <c r="A10" s="13" t="s">
        <v>53</v>
      </c>
      <c r="B10" s="17" t="s">
        <v>65</v>
      </c>
      <c r="C10" s="21">
        <v>0.4</v>
      </c>
      <c r="D10" s="16">
        <v>280</v>
      </c>
      <c r="E10" s="15">
        <f t="shared" si="0"/>
        <v>112</v>
      </c>
      <c r="F10" s="16">
        <v>360</v>
      </c>
      <c r="G10" s="15">
        <f t="shared" si="1"/>
        <v>144</v>
      </c>
      <c r="H10" s="16">
        <v>850</v>
      </c>
      <c r="I10" s="15">
        <f t="shared" si="2"/>
        <v>340</v>
      </c>
      <c r="J10" s="16">
        <v>200</v>
      </c>
      <c r="K10" s="14">
        <f t="shared" si="3"/>
        <v>80</v>
      </c>
    </row>
    <row r="11" spans="1:11" x14ac:dyDescent="0.25">
      <c r="A11" s="13" t="s">
        <v>30</v>
      </c>
      <c r="B11" s="17" t="s">
        <v>58</v>
      </c>
      <c r="C11" s="21">
        <v>0.4</v>
      </c>
      <c r="D11" s="16">
        <v>450</v>
      </c>
      <c r="E11" s="15">
        <f t="shared" ref="E11" si="4">D11*C11</f>
        <v>180</v>
      </c>
      <c r="F11" s="16">
        <v>400</v>
      </c>
      <c r="G11" s="15">
        <f t="shared" ref="G11" si="5">F11*C11</f>
        <v>160</v>
      </c>
      <c r="H11" s="16">
        <v>850</v>
      </c>
      <c r="I11" s="15">
        <f t="shared" ref="I11" si="6">H11*C11</f>
        <v>340</v>
      </c>
      <c r="J11" s="16">
        <v>600</v>
      </c>
      <c r="K11" s="15">
        <f t="shared" ref="K11" si="7">J11*C11</f>
        <v>240</v>
      </c>
    </row>
    <row r="12" spans="1:11" ht="15.75" thickBot="1" x14ac:dyDescent="0.3">
      <c r="A12" s="29" t="s">
        <v>67</v>
      </c>
      <c r="B12" s="30"/>
      <c r="C12" s="31">
        <v>0.35</v>
      </c>
      <c r="D12" s="32"/>
      <c r="E12" s="33"/>
      <c r="F12" s="32"/>
      <c r="G12" s="33"/>
      <c r="H12" s="32"/>
      <c r="I12" s="33"/>
      <c r="J12" s="32">
        <v>250</v>
      </c>
      <c r="K12" s="36">
        <f>J12*C12</f>
        <v>87.5</v>
      </c>
    </row>
    <row r="13" spans="1:11" x14ac:dyDescent="0.25">
      <c r="E13" s="10">
        <f>SUM(E3:E12)</f>
        <v>5382</v>
      </c>
      <c r="G13" s="10">
        <f>SUM(G3:G12)</f>
        <v>5424</v>
      </c>
      <c r="I13" s="10">
        <f>SUM(I3:I12)</f>
        <v>15480</v>
      </c>
      <c r="K13" s="10">
        <f>SUM(K3:K12)</f>
        <v>12407.5</v>
      </c>
    </row>
    <row r="14" spans="1:11" x14ac:dyDescent="0.25">
      <c r="E14" s="10" t="s">
        <v>68</v>
      </c>
      <c r="I14" s="10" t="s">
        <v>68</v>
      </c>
      <c r="K14" s="10" t="s">
        <v>68</v>
      </c>
    </row>
    <row r="15" spans="1:11" x14ac:dyDescent="0.25">
      <c r="K15" s="10">
        <v>4000</v>
      </c>
    </row>
    <row r="16" spans="1:11" x14ac:dyDescent="0.25">
      <c r="K16" s="10">
        <v>1414</v>
      </c>
    </row>
  </sheetData>
  <mergeCells count="7">
    <mergeCell ref="J1:K1"/>
    <mergeCell ref="A1:A2"/>
    <mergeCell ref="C1:C2"/>
    <mergeCell ref="D1:E1"/>
    <mergeCell ref="F1:G1"/>
    <mergeCell ref="H1:I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2026-07-28T10:34:04Z</dcterms:modified>
</cp:coreProperties>
</file>