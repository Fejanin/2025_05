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8F30C53-544D-4DA3-A743-880463CCC4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9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Y352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Y277" i="1" s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Y252" i="1" s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Y246" i="1" s="1"/>
  <c r="P240" i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Y238" i="1" s="1"/>
  <c r="P223" i="1"/>
  <c r="X221" i="1"/>
  <c r="X220" i="1"/>
  <c r="BO219" i="1"/>
  <c r="BM219" i="1"/>
  <c r="Y219" i="1"/>
  <c r="L560" i="1" s="1"/>
  <c r="P219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K560" i="1" s="1"/>
  <c r="P208" i="1"/>
  <c r="X204" i="1"/>
  <c r="X203" i="1"/>
  <c r="BO202" i="1"/>
  <c r="BM202" i="1"/>
  <c r="Y202" i="1"/>
  <c r="Y203" i="1" s="1"/>
  <c r="P202" i="1"/>
  <c r="X200" i="1"/>
  <c r="X199" i="1"/>
  <c r="BO198" i="1"/>
  <c r="BM198" i="1"/>
  <c r="Y198" i="1"/>
  <c r="BP198" i="1" s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BP192" i="1" s="1"/>
  <c r="P192" i="1"/>
  <c r="BP191" i="1"/>
  <c r="BO191" i="1"/>
  <c r="BN191" i="1"/>
  <c r="BM191" i="1"/>
  <c r="Z191" i="1"/>
  <c r="Y191" i="1"/>
  <c r="Y195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Y18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Y175" i="1" s="1"/>
  <c r="X170" i="1"/>
  <c r="X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I560" i="1" s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BO139" i="1"/>
  <c r="BM139" i="1"/>
  <c r="Y139" i="1"/>
  <c r="Y144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F560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7" i="1" l="1"/>
  <c r="Z136" i="1"/>
  <c r="Z543" i="1"/>
  <c r="Y68" i="1"/>
  <c r="Y99" i="1"/>
  <c r="Y110" i="1"/>
  <c r="Y137" i="1"/>
  <c r="Y158" i="1"/>
  <c r="Y174" i="1"/>
  <c r="Y204" i="1"/>
  <c r="Y216" i="1"/>
  <c r="Y221" i="1"/>
  <c r="Y237" i="1"/>
  <c r="Y245" i="1"/>
  <c r="Y251" i="1"/>
  <c r="Y262" i="1"/>
  <c r="Y267" i="1"/>
  <c r="BP264" i="1"/>
  <c r="BN264" i="1"/>
  <c r="Z264" i="1"/>
  <c r="Z266" i="1" s="1"/>
  <c r="BP272" i="1"/>
  <c r="BN272" i="1"/>
  <c r="Z272" i="1"/>
  <c r="BP276" i="1"/>
  <c r="BN276" i="1"/>
  <c r="Z276" i="1"/>
  <c r="Y278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Y323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BP374" i="1"/>
  <c r="BN374" i="1"/>
  <c r="Z374" i="1"/>
  <c r="Y378" i="1"/>
  <c r="BP382" i="1"/>
  <c r="BN382" i="1"/>
  <c r="Z382" i="1"/>
  <c r="Z385" i="1" s="1"/>
  <c r="BP390" i="1"/>
  <c r="BN390" i="1"/>
  <c r="Z390" i="1"/>
  <c r="Y392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Z410" i="1" s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25" i="1"/>
  <c r="Y33" i="1"/>
  <c r="Y37" i="1"/>
  <c r="Y47" i="1"/>
  <c r="Y55" i="1"/>
  <c r="Y74" i="1"/>
  <c r="Y80" i="1"/>
  <c r="Y84" i="1"/>
  <c r="Y93" i="1"/>
  <c r="Y118" i="1"/>
  <c r="Y124" i="1"/>
  <c r="Y143" i="1"/>
  <c r="Y151" i="1"/>
  <c r="Y169" i="1"/>
  <c r="Y188" i="1"/>
  <c r="Y194" i="1"/>
  <c r="Y200" i="1"/>
  <c r="H9" i="1"/>
  <c r="B560" i="1"/>
  <c r="X551" i="1"/>
  <c r="X553" i="1" s="1"/>
  <c r="X552" i="1"/>
  <c r="Z23" i="1"/>
  <c r="Z24" i="1" s="1"/>
  <c r="BN23" i="1"/>
  <c r="Y551" i="1" s="1"/>
  <c r="Y24" i="1"/>
  <c r="X550" i="1"/>
  <c r="Z27" i="1"/>
  <c r="Z32" i="1" s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Y92" i="1"/>
  <c r="Z95" i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Z133" i="1"/>
  <c r="BN133" i="1"/>
  <c r="Z135" i="1"/>
  <c r="BN135" i="1"/>
  <c r="Y136" i="1"/>
  <c r="Z139" i="1"/>
  <c r="Z143" i="1" s="1"/>
  <c r="BN139" i="1"/>
  <c r="BP139" i="1"/>
  <c r="Z141" i="1"/>
  <c r="BN141" i="1"/>
  <c r="Z147" i="1"/>
  <c r="Z150" i="1" s="1"/>
  <c r="BN147" i="1"/>
  <c r="Z149" i="1"/>
  <c r="BN149" i="1"/>
  <c r="Z154" i="1"/>
  <c r="BN154" i="1"/>
  <c r="BP154" i="1"/>
  <c r="Z156" i="1"/>
  <c r="BN156" i="1"/>
  <c r="Y159" i="1"/>
  <c r="J560" i="1"/>
  <c r="Z167" i="1"/>
  <c r="Z169" i="1" s="1"/>
  <c r="BN167" i="1"/>
  <c r="Y170" i="1"/>
  <c r="Z172" i="1"/>
  <c r="Z174" i="1" s="1"/>
  <c r="BN172" i="1"/>
  <c r="BP172" i="1"/>
  <c r="Z178" i="1"/>
  <c r="Z188" i="1" s="1"/>
  <c r="BN178" i="1"/>
  <c r="Z180" i="1"/>
  <c r="BN180" i="1"/>
  <c r="Z182" i="1"/>
  <c r="BN182" i="1"/>
  <c r="Z184" i="1"/>
  <c r="BN184" i="1"/>
  <c r="Z186" i="1"/>
  <c r="BN186" i="1"/>
  <c r="Z192" i="1"/>
  <c r="Z194" i="1" s="1"/>
  <c r="BN192" i="1"/>
  <c r="Z198" i="1"/>
  <c r="Z199" i="1" s="1"/>
  <c r="BN198" i="1"/>
  <c r="Z202" i="1"/>
  <c r="Z203" i="1" s="1"/>
  <c r="BN202" i="1"/>
  <c r="BP202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Z241" i="1"/>
  <c r="Z245" i="1" s="1"/>
  <c r="BN241" i="1"/>
  <c r="Z243" i="1"/>
  <c r="BN243" i="1"/>
  <c r="Z249" i="1"/>
  <c r="Z251" i="1" s="1"/>
  <c r="BN249" i="1"/>
  <c r="M560" i="1"/>
  <c r="Y261" i="1"/>
  <c r="Z260" i="1"/>
  <c r="Z261" i="1" s="1"/>
  <c r="BN260" i="1"/>
  <c r="Y266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Y297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Y359" i="1"/>
  <c r="Z368" i="1"/>
  <c r="BP364" i="1"/>
  <c r="BN364" i="1"/>
  <c r="Z364" i="1"/>
  <c r="Y368" i="1"/>
  <c r="BP372" i="1"/>
  <c r="BN372" i="1"/>
  <c r="Z372" i="1"/>
  <c r="Z378" i="1" s="1"/>
  <c r="BP376" i="1"/>
  <c r="BN376" i="1"/>
  <c r="Z376" i="1"/>
  <c r="Y385" i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Y553" i="1" l="1"/>
  <c r="Y554" i="1"/>
  <c r="Z430" i="1"/>
  <c r="Z398" i="1"/>
  <c r="Z292" i="1"/>
  <c r="Z347" i="1"/>
  <c r="Z277" i="1"/>
  <c r="Z237" i="1"/>
  <c r="Z215" i="1"/>
  <c r="Z158" i="1"/>
  <c r="Z124" i="1"/>
  <c r="Z99" i="1"/>
  <c r="Z555" i="1" s="1"/>
  <c r="Y550" i="1"/>
  <c r="Z331" i="1"/>
  <c r="Z308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<sst xmlns="http://schemas.openxmlformats.org/spreadsheetml/2006/main" count="2500" uniqueCount="907">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</sst>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400</v>
      </c>
      <c r="Y120" s="628">
        <f>IFERROR(IF(X120="",0,CEILING((X120/$H120),1)*$H120),"")</f>
        <v>405</v>
      </c>
      <c r="Z120" s="36">
        <f>IFERROR(IF(Y120=0,"",ROUNDUP(Y120/H120,0)*0.01898),"")</f>
        <v>0.94900000000000007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424.09876543209879</v>
      </c>
      <c r="BN120" s="64">
        <f>IFERROR(Y120*I120/H120,"0")</f>
        <v>429.4</v>
      </c>
      <c r="BO120" s="64">
        <f>IFERROR(1/J120*(X120/H120),"0")</f>
        <v>0.77160493827160492</v>
      </c>
      <c r="BP120" s="64">
        <f>IFERROR(1/J120*(Y120/H120),"0")</f>
        <v>0.78125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49.382716049382715</v>
      </c>
      <c r="Y124" s="629">
        <f>IFERROR(Y120/H120,"0")+IFERROR(Y121/H121,"0")+IFERROR(Y122/H122,"0")+IFERROR(Y123/H123,"0")</f>
        <v>50</v>
      </c>
      <c r="Z124" s="629">
        <f>IFERROR(IF(Z120="",0,Z120),"0")+IFERROR(IF(Z121="",0,Z121),"0")+IFERROR(IF(Z122="",0,Z122),"0")+IFERROR(IF(Z123="",0,Z123),"0")</f>
        <v>0.94900000000000007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400</v>
      </c>
      <c r="Y125" s="629">
        <f>IFERROR(SUM(Y120:Y123),"0")</f>
        <v>405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70</v>
      </c>
      <c r="Y234" s="628">
        <f t="shared" si="21"/>
        <v>71.400000000000006</v>
      </c>
      <c r="Z234" s="36">
        <f>IFERROR(IF(Y234=0,"",ROUNDUP(Y234/H234,0)*0.00502),"")</f>
        <v>0.17068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73.333333333333329</v>
      </c>
      <c r="BN234" s="64">
        <f t="shared" si="23"/>
        <v>74.8</v>
      </c>
      <c r="BO234" s="64">
        <f t="shared" si="24"/>
        <v>0.14245014245014245</v>
      </c>
      <c r="BP234" s="64">
        <f t="shared" si="25"/>
        <v>0.14529914529914531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33.333333333333329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34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0.17068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70</v>
      </c>
      <c r="Y238" s="629">
        <f>IFERROR(SUM(Y223:Y236),"0")</f>
        <v>71.400000000000006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920</v>
      </c>
      <c r="Y286" s="628">
        <f t="shared" si="32"/>
        <v>921.59999999999991</v>
      </c>
      <c r="Z286" s="36">
        <f>IFERROR(IF(Y286=0,"",ROUNDUP(Y286/H286,0)*0.00651),"")</f>
        <v>2.4998399999999998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1016.6000000000001</v>
      </c>
      <c r="BN286" s="64">
        <f t="shared" si="34"/>
        <v>1018.3680000000001</v>
      </c>
      <c r="BO286" s="64">
        <f t="shared" si="35"/>
        <v>2.1062271062271067</v>
      </c>
      <c r="BP286" s="64">
        <f t="shared" si="36"/>
        <v>2.1098901098901099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112</v>
      </c>
      <c r="Y289" s="628">
        <f t="shared" si="32"/>
        <v>112.8</v>
      </c>
      <c r="Z289" s="36">
        <f>IFERROR(IF(Y289=0,"",ROUNDUP(Y289/H289,0)*0.00651),"")</f>
        <v>0.30597000000000002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123.76</v>
      </c>
      <c r="BN289" s="64">
        <f t="shared" si="34"/>
        <v>124.64400000000001</v>
      </c>
      <c r="BO289" s="64">
        <f t="shared" si="35"/>
        <v>0.25641025641025644</v>
      </c>
      <c r="BP289" s="64">
        <f t="shared" si="36"/>
        <v>0.25824175824175827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180</v>
      </c>
      <c r="Y290" s="628">
        <f t="shared" si="32"/>
        <v>180</v>
      </c>
      <c r="Z290" s="36">
        <f>IFERROR(IF(Y290=0,"",ROUNDUP(Y290/H290,0)*0.00651),"")</f>
        <v>0.48825000000000002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199.35</v>
      </c>
      <c r="BN290" s="64">
        <f t="shared" si="34"/>
        <v>199.35</v>
      </c>
      <c r="BO290" s="64">
        <f t="shared" si="35"/>
        <v>0.41208791208791212</v>
      </c>
      <c r="BP290" s="64">
        <f t="shared" si="36"/>
        <v>0.41208791208791212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505.00000000000006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506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3.2940599999999995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1212</v>
      </c>
      <c r="Y293" s="629">
        <f>IFERROR(SUM(Y280:Y291),"0")</f>
        <v>1214.3999999999999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2500</v>
      </c>
      <c r="Y433" s="628">
        <f>IFERROR(IF(X433="",0,CEILING((X433/$H433),1)*$H433),"")</f>
        <v>2505</v>
      </c>
      <c r="Z433" s="36">
        <f>IFERROR(IF(Y433=0,"",ROUNDUP(Y433/H433,0)*0.02175),"")</f>
        <v>3.6322499999999995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2578.3333333333335</v>
      </c>
      <c r="BN433" s="64">
        <f>IFERROR(Y433*I433/H433,"0")</f>
        <v>2583.4899999999998</v>
      </c>
      <c r="BO433" s="64">
        <f>IFERROR(1/J433*(X433/H433),"0")</f>
        <v>3.4722222222222219</v>
      </c>
      <c r="BP433" s="64">
        <f>IFERROR(1/J433*(Y433/H433),"0")</f>
        <v>3.4791666666666665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166.66666666666666</v>
      </c>
      <c r="Y436" s="629">
        <f>IFERROR(Y433/H433,"0")+IFERROR(Y434/H434,"0")+IFERROR(Y435/H435,"0")</f>
        <v>167</v>
      </c>
      <c r="Z436" s="629">
        <f>IFERROR(IF(Z433="",0,Z433),"0")+IFERROR(IF(Z434="",0,Z434),"0")+IFERROR(IF(Z435="",0,Z435),"0")</f>
        <v>3.6322499999999995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2500</v>
      </c>
      <c r="Y437" s="629">
        <f>IFERROR(SUM(Y433:Y435),"0")</f>
        <v>2505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1200</v>
      </c>
      <c r="Y460" s="628">
        <f>IFERROR(IF(X460="",0,CEILING((X460/$H460),1)*$H460),"")</f>
        <v>1206</v>
      </c>
      <c r="Z460" s="36">
        <f>IFERROR(IF(Y460=0,"",ROUNDUP(Y460/H460,0)*0.01898),"")</f>
        <v>2.54332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1265.8666666666666</v>
      </c>
      <c r="BN460" s="64">
        <f>IFERROR(Y460*I460/H460,"0")</f>
        <v>1272.1959999999999</v>
      </c>
      <c r="BO460" s="64">
        <f>IFERROR(1/J460*(X460/H460),"0")</f>
        <v>2.0833333333333335</v>
      </c>
      <c r="BP460" s="64">
        <f>IFERROR(1/J460*(Y460/H460),"0")</f>
        <v>2.09375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133.33333333333334</v>
      </c>
      <c r="Y463" s="629">
        <f>IFERROR(Y460/H460,"0")+IFERROR(Y461/H461,"0")+IFERROR(Y462/H462,"0")</f>
        <v>134</v>
      </c>
      <c r="Z463" s="629">
        <f>IFERROR(IF(Z460="",0,Z460),"0")+IFERROR(IF(Z461="",0,Z461),"0")+IFERROR(IF(Z462="",0,Z462),"0")</f>
        <v>2.54332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1200</v>
      </c>
      <c r="Y464" s="629">
        <f>IFERROR(SUM(Y460:Y462),"0")</f>
        <v>1206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5382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5401.7999999999993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5681.3420987654326</v>
      </c>
      <c r="Y551" s="629">
        <f>IFERROR(SUM(BN22:BN547),"0")</f>
        <v>5702.2479999999996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10</v>
      </c>
      <c r="Y552" s="38">
        <f>ROUNDUP(SUM(BP22:BP547),0)</f>
        <v>10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5931.3420987654326</v>
      </c>
      <c r="Y553" s="629">
        <f>GrossWeightTotalR+PalletQtyTotalR*25</f>
        <v>5952.2479999999996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887.71604938271616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891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10.589309999999999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405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71.400000000000006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1214.3999999999999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2505</v>
      </c>
      <c r="W560" s="46">
        <f>IFERROR(Y451*1,"0")+IFERROR(Y452*1,"0")+IFERROR(Y456*1,"0")+IFERROR(Y460*1,"0")+IFERROR(Y461*1,"0")+IFERROR(Y462*1,"0")</f>
        <v>1206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2026-07-28T10:28:31Z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