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2C72011-0D4D-42AF-B45B-C57976BAFA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X511" i="1"/>
  <c r="Y510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Y511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Z560" i="1" s="1"/>
  <c r="P495" i="1"/>
  <c r="X491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N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Y464" i="1" s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Y443" i="1" s="1"/>
  <c r="P439" i="1"/>
  <c r="X437" i="1"/>
  <c r="X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Y431" i="1" s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Y418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Y410" i="1" s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Y322" i="1" s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Z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Y262" i="1" s="1"/>
  <c r="P260" i="1"/>
  <c r="BP259" i="1"/>
  <c r="BO259" i="1"/>
  <c r="BN259" i="1"/>
  <c r="BM259" i="1"/>
  <c r="Z259" i="1"/>
  <c r="Y259" i="1"/>
  <c r="P259" i="1"/>
  <c r="X256" i="1"/>
  <c r="Y255" i="1"/>
  <c r="X255" i="1"/>
  <c r="BP254" i="1"/>
  <c r="BO254" i="1"/>
  <c r="BN254" i="1"/>
  <c r="BM254" i="1"/>
  <c r="Z254" i="1"/>
  <c r="Z255" i="1" s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BP248" i="1"/>
  <c r="BO248" i="1"/>
  <c r="BN248" i="1"/>
  <c r="BM248" i="1"/>
  <c r="Z248" i="1"/>
  <c r="Y248" i="1"/>
  <c r="Y252" i="1" s="1"/>
  <c r="P248" i="1"/>
  <c r="X246" i="1"/>
  <c r="X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Y245" i="1" s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Y237" i="1" s="1"/>
  <c r="P223" i="1"/>
  <c r="X221" i="1"/>
  <c r="X220" i="1"/>
  <c r="BO219" i="1"/>
  <c r="BM219" i="1"/>
  <c r="Y219" i="1"/>
  <c r="L560" i="1" s="1"/>
  <c r="P219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Y200" i="1" s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Y194" i="1" s="1"/>
  <c r="P192" i="1"/>
  <c r="BP191" i="1"/>
  <c r="BO191" i="1"/>
  <c r="BN191" i="1"/>
  <c r="BM191" i="1"/>
  <c r="Z191" i="1"/>
  <c r="Y191" i="1"/>
  <c r="Y195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Y188" i="1" s="1"/>
  <c r="P178" i="1"/>
  <c r="BP177" i="1"/>
  <c r="BO177" i="1"/>
  <c r="BN177" i="1"/>
  <c r="BM177" i="1"/>
  <c r="Z177" i="1"/>
  <c r="Y177" i="1"/>
  <c r="Y18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4" i="1" s="1"/>
  <c r="X170" i="1"/>
  <c r="X169" i="1"/>
  <c r="BP168" i="1"/>
  <c r="BO168" i="1"/>
  <c r="BN168" i="1"/>
  <c r="BM168" i="1"/>
  <c r="Z168" i="1"/>
  <c r="Y168" i="1"/>
  <c r="P168" i="1"/>
  <c r="BO167" i="1"/>
  <c r="BM167" i="1"/>
  <c r="Y167" i="1"/>
  <c r="Y169" i="1" s="1"/>
  <c r="P167" i="1"/>
  <c r="BP166" i="1"/>
  <c r="BO166" i="1"/>
  <c r="BN166" i="1"/>
  <c r="BM166" i="1"/>
  <c r="Z166" i="1"/>
  <c r="Y166" i="1"/>
  <c r="P166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P155" i="1"/>
  <c r="BO154" i="1"/>
  <c r="BM154" i="1"/>
  <c r="Y154" i="1"/>
  <c r="I560" i="1" s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1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BO139" i="1"/>
  <c r="BM139" i="1"/>
  <c r="Y139" i="1"/>
  <c r="Y143" i="1" s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BO133" i="1"/>
  <c r="BM133" i="1"/>
  <c r="Y133" i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Y110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8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50" i="1" s="1"/>
  <c r="X24" i="1"/>
  <c r="X554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60" i="1"/>
  <c r="X551" i="1"/>
  <c r="X552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60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60" i="1"/>
  <c r="Y109" i="1"/>
  <c r="Z104" i="1"/>
  <c r="Z109" i="1" s="1"/>
  <c r="BN104" i="1"/>
  <c r="BP104" i="1"/>
  <c r="Z106" i="1"/>
  <c r="BN106" i="1"/>
  <c r="Z108" i="1"/>
  <c r="BN108" i="1"/>
  <c r="BP114" i="1"/>
  <c r="BN114" i="1"/>
  <c r="Z114" i="1"/>
  <c r="BP122" i="1"/>
  <c r="BN122" i="1"/>
  <c r="Z122" i="1"/>
  <c r="BP135" i="1"/>
  <c r="BN135" i="1"/>
  <c r="Z135" i="1"/>
  <c r="F9" i="1"/>
  <c r="J9" i="1"/>
  <c r="Y47" i="1"/>
  <c r="Y550" i="1" s="1"/>
  <c r="Y55" i="1"/>
  <c r="Y117" i="1"/>
  <c r="BP112" i="1"/>
  <c r="Y552" i="1" s="1"/>
  <c r="BN112" i="1"/>
  <c r="Y551" i="1" s="1"/>
  <c r="Y553" i="1" s="1"/>
  <c r="Z112" i="1"/>
  <c r="BP116" i="1"/>
  <c r="BN116" i="1"/>
  <c r="Z116" i="1"/>
  <c r="Y118" i="1"/>
  <c r="Y125" i="1"/>
  <c r="BP120" i="1"/>
  <c r="BN120" i="1"/>
  <c r="Z120" i="1"/>
  <c r="Z124" i="1" s="1"/>
  <c r="Y124" i="1"/>
  <c r="Y137" i="1"/>
  <c r="BP133" i="1"/>
  <c r="BN133" i="1"/>
  <c r="Z133" i="1"/>
  <c r="Z136" i="1" s="1"/>
  <c r="H560" i="1"/>
  <c r="Y136" i="1"/>
  <c r="Z139" i="1"/>
  <c r="BN139" i="1"/>
  <c r="BP139" i="1"/>
  <c r="Z141" i="1"/>
  <c r="BN141" i="1"/>
  <c r="Y144" i="1"/>
  <c r="Z147" i="1"/>
  <c r="Z150" i="1" s="1"/>
  <c r="BN147" i="1"/>
  <c r="BP147" i="1"/>
  <c r="Z149" i="1"/>
  <c r="BN149" i="1"/>
  <c r="Z154" i="1"/>
  <c r="Z158" i="1" s="1"/>
  <c r="BN154" i="1"/>
  <c r="BP154" i="1"/>
  <c r="Z156" i="1"/>
  <c r="BN156" i="1"/>
  <c r="Y159" i="1"/>
  <c r="J560" i="1"/>
  <c r="Z167" i="1"/>
  <c r="Z169" i="1" s="1"/>
  <c r="BN167" i="1"/>
  <c r="BP167" i="1"/>
  <c r="Y170" i="1"/>
  <c r="Z172" i="1"/>
  <c r="Z174" i="1" s="1"/>
  <c r="BN172" i="1"/>
  <c r="BP172" i="1"/>
  <c r="Y175" i="1"/>
  <c r="Z178" i="1"/>
  <c r="Z188" i="1" s="1"/>
  <c r="BN178" i="1"/>
  <c r="BP178" i="1"/>
  <c r="Z180" i="1"/>
  <c r="BN180" i="1"/>
  <c r="Z182" i="1"/>
  <c r="BN182" i="1"/>
  <c r="Z184" i="1"/>
  <c r="BN184" i="1"/>
  <c r="Z186" i="1"/>
  <c r="BN186" i="1"/>
  <c r="Z192" i="1"/>
  <c r="Z194" i="1" s="1"/>
  <c r="BN192" i="1"/>
  <c r="BP192" i="1"/>
  <c r="Z198" i="1"/>
  <c r="Z199" i="1" s="1"/>
  <c r="BN198" i="1"/>
  <c r="BP198" i="1"/>
  <c r="Z202" i="1"/>
  <c r="Z203" i="1" s="1"/>
  <c r="BN202" i="1"/>
  <c r="BP202" i="1"/>
  <c r="Y203" i="1"/>
  <c r="Z208" i="1"/>
  <c r="Z215" i="1" s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Z237" i="1" s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Z245" i="1" s="1"/>
  <c r="BN241" i="1"/>
  <c r="Z243" i="1"/>
  <c r="BN243" i="1"/>
  <c r="Y246" i="1"/>
  <c r="Z249" i="1"/>
  <c r="Z251" i="1" s="1"/>
  <c r="BN249" i="1"/>
  <c r="BP249" i="1"/>
  <c r="M560" i="1"/>
  <c r="Z260" i="1"/>
  <c r="Z261" i="1" s="1"/>
  <c r="BN260" i="1"/>
  <c r="BP260" i="1"/>
  <c r="Y261" i="1"/>
  <c r="Z264" i="1"/>
  <c r="Z266" i="1" s="1"/>
  <c r="BN264" i="1"/>
  <c r="BP264" i="1"/>
  <c r="Y267" i="1"/>
  <c r="Y277" i="1"/>
  <c r="Z270" i="1"/>
  <c r="Z277" i="1" s="1"/>
  <c r="BN270" i="1"/>
  <c r="Z272" i="1"/>
  <c r="BN272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Y158" i="1"/>
  <c r="Y216" i="1"/>
  <c r="Y221" i="1"/>
  <c r="BP274" i="1"/>
  <c r="BN274" i="1"/>
  <c r="BP276" i="1"/>
  <c r="BN276" i="1"/>
  <c r="Z276" i="1"/>
  <c r="Y278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O560" i="1"/>
  <c r="Y309" i="1"/>
  <c r="Y308" i="1"/>
  <c r="BP301" i="1"/>
  <c r="BN301" i="1"/>
  <c r="Z301" i="1"/>
  <c r="Z305" i="1"/>
  <c r="BN305" i="1"/>
  <c r="Z307" i="1"/>
  <c r="BN307" i="1"/>
  <c r="Z311" i="1"/>
  <c r="Z312" i="1" s="1"/>
  <c r="BN311" i="1"/>
  <c r="BP311" i="1"/>
  <c r="Y312" i="1"/>
  <c r="Z315" i="1"/>
  <c r="Z316" i="1" s="1"/>
  <c r="BN315" i="1"/>
  <c r="BP315" i="1"/>
  <c r="Y316" i="1"/>
  <c r="Z319" i="1"/>
  <c r="Z322" i="1" s="1"/>
  <c r="BN319" i="1"/>
  <c r="BP319" i="1"/>
  <c r="Z321" i="1"/>
  <c r="BN321" i="1"/>
  <c r="Y323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Q560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9" i="1"/>
  <c r="BP394" i="1"/>
  <c r="BN394" i="1"/>
  <c r="Z394" i="1"/>
  <c r="Y398" i="1"/>
  <c r="BP402" i="1"/>
  <c r="BN402" i="1"/>
  <c r="Z402" i="1"/>
  <c r="Z404" i="1" s="1"/>
  <c r="Y411" i="1"/>
  <c r="Z417" i="1"/>
  <c r="BP415" i="1"/>
  <c r="BN415" i="1"/>
  <c r="Z415" i="1"/>
  <c r="U560" i="1"/>
  <c r="BP425" i="1"/>
  <c r="BN425" i="1"/>
  <c r="Z425" i="1"/>
  <c r="BP429" i="1"/>
  <c r="BN429" i="1"/>
  <c r="Z429" i="1"/>
  <c r="Y436" i="1"/>
  <c r="BP433" i="1"/>
  <c r="BN433" i="1"/>
  <c r="Z433" i="1"/>
  <c r="BP441" i="1"/>
  <c r="BN441" i="1"/>
  <c r="Z441" i="1"/>
  <c r="Y448" i="1"/>
  <c r="BP445" i="1"/>
  <c r="BN445" i="1"/>
  <c r="Z445" i="1"/>
  <c r="Z447" i="1" s="1"/>
  <c r="W560" i="1"/>
  <c r="BP462" i="1"/>
  <c r="BN462" i="1"/>
  <c r="Z462" i="1"/>
  <c r="X560" i="1"/>
  <c r="Y474" i="1"/>
  <c r="Y475" i="1"/>
  <c r="BP468" i="1"/>
  <c r="BN468" i="1"/>
  <c r="Z468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08" i="1"/>
  <c r="BN408" i="1"/>
  <c r="Z408" i="1"/>
  <c r="Z410" i="1" s="1"/>
  <c r="BP423" i="1"/>
  <c r="BN423" i="1"/>
  <c r="Z423" i="1"/>
  <c r="Z430" i="1" s="1"/>
  <c r="BP427" i="1"/>
  <c r="BN427" i="1"/>
  <c r="Z427" i="1"/>
  <c r="BP435" i="1"/>
  <c r="BN435" i="1"/>
  <c r="Z435" i="1"/>
  <c r="Y437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BP471" i="1"/>
  <c r="BN471" i="1"/>
  <c r="Z471" i="1"/>
  <c r="Z490" i="1"/>
  <c r="BP488" i="1"/>
  <c r="BN488" i="1"/>
  <c r="Z488" i="1"/>
  <c r="BP498" i="1"/>
  <c r="BN498" i="1"/>
  <c r="Z498" i="1"/>
  <c r="BP502" i="1"/>
  <c r="BN502" i="1"/>
  <c r="Z502" i="1"/>
  <c r="BP514" i="1"/>
  <c r="BN514" i="1"/>
  <c r="Z514" i="1"/>
  <c r="BP518" i="1"/>
  <c r="BN518" i="1"/>
  <c r="Z518" i="1"/>
  <c r="Y560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Y490" i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Z520" i="1" s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436" i="1" l="1"/>
  <c r="Z385" i="1"/>
  <c r="Z338" i="1"/>
  <c r="Z331" i="1"/>
  <c r="Z292" i="1"/>
  <c r="Z32" i="1"/>
  <c r="Z555" i="1" s="1"/>
  <c r="X553" i="1"/>
  <c r="Z347" i="1"/>
  <c r="Z474" i="1"/>
  <c r="Z398" i="1"/>
  <c r="Z308" i="1"/>
  <c r="Z143" i="1"/>
  <c r="Z117" i="1"/>
  <c r="Z99" i="1"/>
  <c r="Z74" i="1"/>
  <c r="Y554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<sst xmlns="http://schemas.openxmlformats.org/spreadsheetml/2006/main" count="2500" uniqueCount="907">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</sst>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800</v>
      </c>
      <c r="Y95" s="628">
        <f>IFERROR(IF(X95="",0,CEILING((X95/$H95),1)*$H95),"")</f>
        <v>801.9</v>
      </c>
      <c r="Z95" s="36">
        <f>IFERROR(IF(Y95=0,"",ROUNDUP(Y95/H95,0)*0.01898),"")</f>
        <v>1.8790200000000001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848.79012345679018</v>
      </c>
      <c r="BN95" s="64">
        <f>IFERROR(Y95*I95/H95,"0")</f>
        <v>850.80600000000004</v>
      </c>
      <c r="BO95" s="64">
        <f>IFERROR(1/J95*(X95/H95),"0")</f>
        <v>1.5432098765432098</v>
      </c>
      <c r="BP95" s="64">
        <f>IFERROR(1/J95*(Y95/H95),"0")</f>
        <v>1.546875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98.76543209876543</v>
      </c>
      <c r="Y99" s="629">
        <f>IFERROR(Y95/H95,"0")+IFERROR(Y96/H96,"0")+IFERROR(Y97/H97,"0")+IFERROR(Y98/H98,"0")</f>
        <v>99</v>
      </c>
      <c r="Z99" s="629">
        <f>IFERROR(IF(Z95="",0,Z95),"0")+IFERROR(IF(Z96="",0,Z96),"0")+IFERROR(IF(Z97="",0,Z97),"0")+IFERROR(IF(Z98="",0,Z98),"0")</f>
        <v>1.8790200000000001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800</v>
      </c>
      <c r="Y100" s="629">
        <f>IFERROR(SUM(Y95:Y98),"0")</f>
        <v>801.9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2300</v>
      </c>
      <c r="Y120" s="628">
        <f>IFERROR(IF(X120="",0,CEILING((X120/$H120),1)*$H120),"")</f>
        <v>2300.4</v>
      </c>
      <c r="Z120" s="36">
        <f>IFERROR(IF(Y120=0,"",ROUNDUP(Y120/H120,0)*0.01898),"")</f>
        <v>5.39032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2438.5679012345677</v>
      </c>
      <c r="BN120" s="64">
        <f>IFERROR(Y120*I120/H120,"0")</f>
        <v>2438.9919999999997</v>
      </c>
      <c r="BO120" s="64">
        <f>IFERROR(1/J120*(X120/H120),"0")</f>
        <v>4.4367283950617287</v>
      </c>
      <c r="BP120" s="64">
        <f>IFERROR(1/J120*(Y120/H120),"0")</f>
        <v>4.4375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283.95061728395063</v>
      </c>
      <c r="Y124" s="629">
        <f>IFERROR(Y120/H120,"0")+IFERROR(Y121/H121,"0")+IFERROR(Y122/H122,"0")+IFERROR(Y123/H123,"0")</f>
        <v>284</v>
      </c>
      <c r="Z124" s="629">
        <f>IFERROR(IF(Z120="",0,Z120),"0")+IFERROR(IF(Z121="",0,Z121),"0")+IFERROR(IF(Z122="",0,Z122),"0")+IFERROR(IF(Z123="",0,Z123),"0")</f>
        <v>5.39032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2300</v>
      </c>
      <c r="Y125" s="629">
        <f>IFERROR(SUM(Y120:Y123),"0")</f>
        <v>2300.4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140</v>
      </c>
      <c r="Y234" s="628">
        <f t="shared" si="21"/>
        <v>140.70000000000002</v>
      </c>
      <c r="Z234" s="36">
        <f>IFERROR(IF(Y234=0,"",ROUNDUP(Y234/H234,0)*0.00502),"")</f>
        <v>0.33634000000000003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146.66666666666666</v>
      </c>
      <c r="BN234" s="64">
        <f t="shared" si="23"/>
        <v>147.40000000000003</v>
      </c>
      <c r="BO234" s="64">
        <f t="shared" si="24"/>
        <v>0.28490028490028491</v>
      </c>
      <c r="BP234" s="64">
        <f t="shared" si="25"/>
        <v>0.28632478632478636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66.666666666666657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0.33634000000000003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140</v>
      </c>
      <c r="Y238" s="629">
        <f>IFERROR(SUM(Y223:Y236),"0")</f>
        <v>140.70000000000002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1200</v>
      </c>
      <c r="Y286" s="628">
        <f t="shared" si="32"/>
        <v>1200</v>
      </c>
      <c r="Z286" s="36">
        <f>IFERROR(IF(Y286=0,"",ROUNDUP(Y286/H286,0)*0.00651),"")</f>
        <v>3.2549999999999999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1326</v>
      </c>
      <c r="BN286" s="64">
        <f t="shared" si="34"/>
        <v>1326</v>
      </c>
      <c r="BO286" s="64">
        <f t="shared" si="35"/>
        <v>2.7472527472527473</v>
      </c>
      <c r="BP286" s="64">
        <f t="shared" si="36"/>
        <v>2.7472527472527473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80</v>
      </c>
      <c r="Y289" s="628">
        <f t="shared" si="32"/>
        <v>81.599999999999994</v>
      </c>
      <c r="Z289" s="36">
        <f>IFERROR(IF(Y289=0,"",ROUNDUP(Y289/H289,0)*0.00651),"")</f>
        <v>0.22134000000000001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88.40000000000002</v>
      </c>
      <c r="BN289" s="64">
        <f t="shared" si="34"/>
        <v>90.168000000000006</v>
      </c>
      <c r="BO289" s="64">
        <f t="shared" si="35"/>
        <v>0.18315018315018317</v>
      </c>
      <c r="BP289" s="64">
        <f t="shared" si="36"/>
        <v>0.18681318681318682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240</v>
      </c>
      <c r="Y290" s="628">
        <f t="shared" si="32"/>
        <v>240</v>
      </c>
      <c r="Z290" s="36">
        <f>IFERROR(IF(Y290=0,"",ROUNDUP(Y290/H290,0)*0.00651),"")</f>
        <v>0.65100000000000002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265.8</v>
      </c>
      <c r="BN290" s="64">
        <f t="shared" si="34"/>
        <v>265.8</v>
      </c>
      <c r="BO290" s="64">
        <f t="shared" si="35"/>
        <v>0.5494505494505495</v>
      </c>
      <c r="BP290" s="64">
        <f t="shared" si="36"/>
        <v>0.5494505494505495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633.33333333333337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634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4.1273400000000002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1520</v>
      </c>
      <c r="Y293" s="629">
        <f>IFERROR(SUM(Y280:Y291),"0")</f>
        <v>1521.6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160</v>
      </c>
      <c r="Y337" s="628">
        <f>IFERROR(IF(X337="",0,CEILING((X337/$H337),1)*$H337),"")</f>
        <v>160.79999999999998</v>
      </c>
      <c r="Z337" s="36">
        <f>IFERROR(IF(Y337=0,"",ROUNDUP(Y337/H337,0)*0.00651),"")</f>
        <v>0.43617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172</v>
      </c>
      <c r="BN337" s="64">
        <f>IFERROR(Y337*I337/H337,"0")</f>
        <v>172.85999999999999</v>
      </c>
      <c r="BO337" s="64">
        <f>IFERROR(1/J337*(X337/H337),"0")</f>
        <v>0.36630036630036633</v>
      </c>
      <c r="BP337" s="64">
        <f>IFERROR(1/J337*(Y337/H337),"0")</f>
        <v>0.36813186813186816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66.666666666666671</v>
      </c>
      <c r="Y338" s="629">
        <f>IFERROR(Y335/H335,"0")+IFERROR(Y336/H336,"0")+IFERROR(Y337/H337,"0")</f>
        <v>67</v>
      </c>
      <c r="Z338" s="629">
        <f>IFERROR(IF(Z335="",0,Z335),"0")+IFERROR(IF(Z336="",0,Z336),"0")+IFERROR(IF(Z337="",0,Z337),"0")</f>
        <v>0.43617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160</v>
      </c>
      <c r="Y339" s="629">
        <f>IFERROR(SUM(Y335:Y337),"0")</f>
        <v>160.79999999999998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88</v>
      </c>
      <c r="Y416" s="628">
        <f>IFERROR(IF(X416="",0,CEILING((X416/$H416),1)*$H416),"")</f>
        <v>88.2</v>
      </c>
      <c r="Z416" s="36">
        <f>IFERROR(IF(Y416=0,"",ROUNDUP(Y416/H416,0)*0.00651),"")</f>
        <v>0.27342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98.05714285714285</v>
      </c>
      <c r="BN416" s="64">
        <f>IFERROR(Y416*I416/H416,"0")</f>
        <v>98.28</v>
      </c>
      <c r="BO416" s="64">
        <f>IFERROR(1/J416*(X416/H416),"0")</f>
        <v>0.23024594453165884</v>
      </c>
      <c r="BP416" s="64">
        <f>IFERROR(1/J416*(Y416/H416),"0")</f>
        <v>0.23076923076923078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41.904761904761905</v>
      </c>
      <c r="Y417" s="629">
        <f>IFERROR(Y414/H414,"0")+IFERROR(Y415/H415,"0")+IFERROR(Y416/H416,"0")</f>
        <v>42</v>
      </c>
      <c r="Z417" s="629">
        <f>IFERROR(IF(Z414="",0,Z414),"0")+IFERROR(IF(Z415="",0,Z415),"0")+IFERROR(IF(Z416="",0,Z416),"0")</f>
        <v>0.27342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88</v>
      </c>
      <c r="Y418" s="629">
        <f>IFERROR(SUM(Y414:Y416),"0")</f>
        <v>88.2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1400</v>
      </c>
      <c r="Y433" s="628">
        <f>IFERROR(IF(X433="",0,CEILING((X433/$H433),1)*$H433),"")</f>
        <v>1410</v>
      </c>
      <c r="Z433" s="36">
        <f>IFERROR(IF(Y433=0,"",ROUNDUP(Y433/H433,0)*0.02175),"")</f>
        <v>2.0444999999999998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1443.8666666666666</v>
      </c>
      <c r="BN433" s="64">
        <f>IFERROR(Y433*I433/H433,"0")</f>
        <v>1454.18</v>
      </c>
      <c r="BO433" s="64">
        <f>IFERROR(1/J433*(X433/H433),"0")</f>
        <v>1.9444444444444442</v>
      </c>
      <c r="BP433" s="64">
        <f>IFERROR(1/J433*(Y433/H433),"0")</f>
        <v>1.9583333333333333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93.333333333333329</v>
      </c>
      <c r="Y436" s="629">
        <f>IFERROR(Y433/H433,"0")+IFERROR(Y434/H434,"0")+IFERROR(Y435/H435,"0")</f>
        <v>94</v>
      </c>
      <c r="Z436" s="629">
        <f>IFERROR(IF(Z433="",0,Z433),"0")+IFERROR(IF(Z434="",0,Z434),"0")+IFERROR(IF(Z435="",0,Z435),"0")</f>
        <v>2.0444999999999998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1400</v>
      </c>
      <c r="Y437" s="629">
        <f>IFERROR(SUM(Y433:Y435),"0")</f>
        <v>1410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6000</v>
      </c>
      <c r="Y460" s="628">
        <f>IFERROR(IF(X460="",0,CEILING((X460/$H460),1)*$H460),"")</f>
        <v>6003</v>
      </c>
      <c r="Z460" s="36">
        <f>IFERROR(IF(Y460=0,"",ROUNDUP(Y460/H460,0)*0.01898),"")</f>
        <v>12.659660000000001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6329.333333333333</v>
      </c>
      <c r="BN460" s="64">
        <f>IFERROR(Y460*I460/H460,"0")</f>
        <v>6332.4979999999996</v>
      </c>
      <c r="BO460" s="64">
        <f>IFERROR(1/J460*(X460/H460),"0")</f>
        <v>10.416666666666666</v>
      </c>
      <c r="BP460" s="64">
        <f>IFERROR(1/J460*(Y460/H460),"0")</f>
        <v>10.421875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666.66666666666663</v>
      </c>
      <c r="Y463" s="629">
        <f>IFERROR(Y460/H460,"0")+IFERROR(Y461/H461,"0")+IFERROR(Y462/H462,"0")</f>
        <v>667</v>
      </c>
      <c r="Z463" s="629">
        <f>IFERROR(IF(Z460="",0,Z460),"0")+IFERROR(IF(Z461="",0,Z461),"0")+IFERROR(IF(Z462="",0,Z462),"0")</f>
        <v>12.659660000000001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6000</v>
      </c>
      <c r="Y464" s="629">
        <f>IFERROR(SUM(Y460:Y462),"0")</f>
        <v>6003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12408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12426.6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13157.481834215167</v>
      </c>
      <c r="Y551" s="629">
        <f>IFERROR(SUM(BN22:BN547),"0")</f>
        <v>13176.984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23</v>
      </c>
      <c r="Y552" s="38">
        <f>ROUNDUP(SUM(BP22:BP547),0)</f>
        <v>23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13732.481834215167</v>
      </c>
      <c r="Y553" s="629">
        <f>GrossWeightTotalR+PalletQtyTotalR*25</f>
        <v>13751.984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1951.2874779541444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1954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27.14677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801.9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2300.4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140.70000000000002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1521.6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160.79999999999998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88.2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1410</v>
      </c>
      <c r="W560" s="46">
        <f>IFERROR(Y451*1,"0")+IFERROR(Y452*1,"0")+IFERROR(Y456*1,"0")+IFERROR(Y460*1,"0")+IFERROR(Y461*1,"0")+IFERROR(Y462*1,"0")</f>
        <v>6003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