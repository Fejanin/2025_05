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4401BCC3-8E48-4975-BCC8-307E21071AA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560" i="1" l="1"/>
  <c r="X549" i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Y543" i="1" s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P513" i="1"/>
  <c r="X511" i="1"/>
  <c r="Y510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Y511" i="1" s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Z560" i="1" s="1"/>
  <c r="P495" i="1"/>
  <c r="X491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Y479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N469" i="1"/>
  <c r="BM469" i="1"/>
  <c r="Z469" i="1"/>
  <c r="Y469" i="1"/>
  <c r="BP469" i="1" s="1"/>
  <c r="P469" i="1"/>
  <c r="BO468" i="1"/>
  <c r="BM468" i="1"/>
  <c r="Y468" i="1"/>
  <c r="P468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X458" i="1"/>
  <c r="X457" i="1"/>
  <c r="BO456" i="1"/>
  <c r="BM456" i="1"/>
  <c r="Y456" i="1"/>
  <c r="P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W560" i="1" s="1"/>
  <c r="P451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X437" i="1"/>
  <c r="X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X431" i="1"/>
  <c r="X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X411" i="1"/>
  <c r="Y410" i="1"/>
  <c r="X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Y411" i="1" s="1"/>
  <c r="P407" i="1"/>
  <c r="X405" i="1"/>
  <c r="X404" i="1"/>
  <c r="BP403" i="1"/>
  <c r="BO403" i="1"/>
  <c r="BN403" i="1"/>
  <c r="BM403" i="1"/>
  <c r="Z403" i="1"/>
  <c r="Y403" i="1"/>
  <c r="P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Y379" i="1" s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P356" i="1"/>
  <c r="X353" i="1"/>
  <c r="Y352" i="1"/>
  <c r="X352" i="1"/>
  <c r="BP351" i="1"/>
  <c r="BO351" i="1"/>
  <c r="BN351" i="1"/>
  <c r="BM351" i="1"/>
  <c r="Z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Y323" i="1"/>
  <c r="X323" i="1"/>
  <c r="X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7" i="1"/>
  <c r="Y316" i="1"/>
  <c r="X316" i="1"/>
  <c r="BP315" i="1"/>
  <c r="BO315" i="1"/>
  <c r="BN315" i="1"/>
  <c r="BM315" i="1"/>
  <c r="Z315" i="1"/>
  <c r="Z316" i="1" s="1"/>
  <c r="Y315" i="1"/>
  <c r="Y317" i="1" s="1"/>
  <c r="P315" i="1"/>
  <c r="X313" i="1"/>
  <c r="Y312" i="1"/>
  <c r="X312" i="1"/>
  <c r="BP311" i="1"/>
  <c r="BO311" i="1"/>
  <c r="BN311" i="1"/>
  <c r="BM311" i="1"/>
  <c r="Z311" i="1"/>
  <c r="Z312" i="1" s="1"/>
  <c r="Y311" i="1"/>
  <c r="Y313" i="1" s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X298" i="1"/>
  <c r="Y297" i="1"/>
  <c r="X297" i="1"/>
  <c r="BP296" i="1"/>
  <c r="BO296" i="1"/>
  <c r="BN296" i="1"/>
  <c r="BM296" i="1"/>
  <c r="Z296" i="1"/>
  <c r="Y296" i="1"/>
  <c r="P296" i="1"/>
  <c r="BO295" i="1"/>
  <c r="BM295" i="1"/>
  <c r="Y295" i="1"/>
  <c r="P295" i="1"/>
  <c r="X293" i="1"/>
  <c r="X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P286" i="1"/>
  <c r="BO286" i="1"/>
  <c r="BN286" i="1"/>
  <c r="BM286" i="1"/>
  <c r="Z286" i="1"/>
  <c r="Y286" i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P280" i="1"/>
  <c r="BO280" i="1"/>
  <c r="BN280" i="1"/>
  <c r="BM280" i="1"/>
  <c r="Z280" i="1"/>
  <c r="Y280" i="1"/>
  <c r="P280" i="1"/>
  <c r="X278" i="1"/>
  <c r="X277" i="1"/>
  <c r="BP276" i="1"/>
  <c r="BO276" i="1"/>
  <c r="BN276" i="1"/>
  <c r="BM276" i="1"/>
  <c r="Z276" i="1"/>
  <c r="Y276" i="1"/>
  <c r="P276" i="1"/>
  <c r="BO275" i="1"/>
  <c r="BM275" i="1"/>
  <c r="Y275" i="1"/>
  <c r="BP275" i="1" s="1"/>
  <c r="P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P272" i="1"/>
  <c r="BO272" i="1"/>
  <c r="BN272" i="1"/>
  <c r="BM272" i="1"/>
  <c r="Z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Y278" i="1" s="1"/>
  <c r="P269" i="1"/>
  <c r="X267" i="1"/>
  <c r="X266" i="1"/>
  <c r="BO265" i="1"/>
  <c r="BM265" i="1"/>
  <c r="Y265" i="1"/>
  <c r="BP265" i="1" s="1"/>
  <c r="P265" i="1"/>
  <c r="BP264" i="1"/>
  <c r="BO264" i="1"/>
  <c r="BN264" i="1"/>
  <c r="BM264" i="1"/>
  <c r="Z264" i="1"/>
  <c r="Y264" i="1"/>
  <c r="Y266" i="1" s="1"/>
  <c r="P264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M560" i="1" s="1"/>
  <c r="P259" i="1"/>
  <c r="X256" i="1"/>
  <c r="X255" i="1"/>
  <c r="BO254" i="1"/>
  <c r="BM254" i="1"/>
  <c r="Y254" i="1"/>
  <c r="Y255" i="1" s="1"/>
  <c r="P254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Y251" i="1" s="1"/>
  <c r="P248" i="1"/>
  <c r="X246" i="1"/>
  <c r="X245" i="1"/>
  <c r="BO244" i="1"/>
  <c r="BM244" i="1"/>
  <c r="Y244" i="1"/>
  <c r="BP244" i="1" s="1"/>
  <c r="P244" i="1"/>
  <c r="BP243" i="1"/>
  <c r="BO243" i="1"/>
  <c r="BN243" i="1"/>
  <c r="BM243" i="1"/>
  <c r="Z243" i="1"/>
  <c r="Y243" i="1"/>
  <c r="P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Y245" i="1" s="1"/>
  <c r="P240" i="1"/>
  <c r="X238" i="1"/>
  <c r="X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Y237" i="1" s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X199" i="1"/>
  <c r="BP198" i="1"/>
  <c r="BO198" i="1"/>
  <c r="BN198" i="1"/>
  <c r="BM198" i="1"/>
  <c r="Z198" i="1"/>
  <c r="Y198" i="1"/>
  <c r="P198" i="1"/>
  <c r="BO197" i="1"/>
  <c r="BM197" i="1"/>
  <c r="Y197" i="1"/>
  <c r="Y200" i="1" s="1"/>
  <c r="P197" i="1"/>
  <c r="X195" i="1"/>
  <c r="X194" i="1"/>
  <c r="BO193" i="1"/>
  <c r="BM193" i="1"/>
  <c r="Y193" i="1"/>
  <c r="BP193" i="1" s="1"/>
  <c r="P193" i="1"/>
  <c r="BP192" i="1"/>
  <c r="BO192" i="1"/>
  <c r="BN192" i="1"/>
  <c r="BM192" i="1"/>
  <c r="Z192" i="1"/>
  <c r="Y192" i="1"/>
  <c r="P192" i="1"/>
  <c r="BO191" i="1"/>
  <c r="BM191" i="1"/>
  <c r="Y191" i="1"/>
  <c r="Y194" i="1" s="1"/>
  <c r="P191" i="1"/>
  <c r="X189" i="1"/>
  <c r="X188" i="1"/>
  <c r="BO187" i="1"/>
  <c r="BM187" i="1"/>
  <c r="Y187" i="1"/>
  <c r="BP187" i="1" s="1"/>
  <c r="P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Y188" i="1" s="1"/>
  <c r="P177" i="1"/>
  <c r="X175" i="1"/>
  <c r="X174" i="1"/>
  <c r="BO173" i="1"/>
  <c r="BM173" i="1"/>
  <c r="Y173" i="1"/>
  <c r="BP173" i="1" s="1"/>
  <c r="P173" i="1"/>
  <c r="BP172" i="1"/>
  <c r="BO172" i="1"/>
  <c r="BN172" i="1"/>
  <c r="BM172" i="1"/>
  <c r="Z172" i="1"/>
  <c r="Y172" i="1"/>
  <c r="Y174" i="1" s="1"/>
  <c r="X170" i="1"/>
  <c r="X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J560" i="1" s="1"/>
  <c r="P166" i="1"/>
  <c r="X163" i="1"/>
  <c r="X162" i="1"/>
  <c r="BO161" i="1"/>
  <c r="BM161" i="1"/>
  <c r="Y161" i="1"/>
  <c r="Y162" i="1" s="1"/>
  <c r="P161" i="1"/>
  <c r="X159" i="1"/>
  <c r="X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BO155" i="1"/>
  <c r="BM155" i="1"/>
  <c r="Y155" i="1"/>
  <c r="BP155" i="1" s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P147" i="1"/>
  <c r="BO147" i="1"/>
  <c r="BN147" i="1"/>
  <c r="BM147" i="1"/>
  <c r="Z147" i="1"/>
  <c r="Y147" i="1"/>
  <c r="P147" i="1"/>
  <c r="BO146" i="1"/>
  <c r="BM146" i="1"/>
  <c r="Y146" i="1"/>
  <c r="Y151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BO140" i="1"/>
  <c r="BM140" i="1"/>
  <c r="Y140" i="1"/>
  <c r="BP140" i="1" s="1"/>
  <c r="P140" i="1"/>
  <c r="BP139" i="1"/>
  <c r="BO139" i="1"/>
  <c r="BN139" i="1"/>
  <c r="BM139" i="1"/>
  <c r="Z139" i="1"/>
  <c r="Y139" i="1"/>
  <c r="Y143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BP134" i="1" s="1"/>
  <c r="P134" i="1"/>
  <c r="BP133" i="1"/>
  <c r="BO133" i="1"/>
  <c r="BN133" i="1"/>
  <c r="BM133" i="1"/>
  <c r="Z133" i="1"/>
  <c r="Y133" i="1"/>
  <c r="P133" i="1"/>
  <c r="BO132" i="1"/>
  <c r="BM132" i="1"/>
  <c r="Y132" i="1"/>
  <c r="H560" i="1" s="1"/>
  <c r="P132" i="1"/>
  <c r="X129" i="1"/>
  <c r="X128" i="1"/>
  <c r="BO127" i="1"/>
  <c r="BM127" i="1"/>
  <c r="Y127" i="1"/>
  <c r="Y128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BP121" i="1" s="1"/>
  <c r="P121" i="1"/>
  <c r="BP120" i="1"/>
  <c r="BO120" i="1"/>
  <c r="BN120" i="1"/>
  <c r="BM120" i="1"/>
  <c r="Z120" i="1"/>
  <c r="Y120" i="1"/>
  <c r="Y124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8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60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BP96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60" i="1" s="1"/>
  <c r="P88" i="1"/>
  <c r="X85" i="1"/>
  <c r="X84" i="1"/>
  <c r="BO83" i="1"/>
  <c r="BM83" i="1"/>
  <c r="Y83" i="1"/>
  <c r="BP83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60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550" i="1" s="1"/>
  <c r="X24" i="1"/>
  <c r="BP23" i="1"/>
  <c r="BO23" i="1"/>
  <c r="BN23" i="1"/>
  <c r="BM23" i="1"/>
  <c r="Z23" i="1"/>
  <c r="Y23" i="1"/>
  <c r="P23" i="1"/>
  <c r="BO22" i="1"/>
  <c r="X552" i="1" s="1"/>
  <c r="BM22" i="1"/>
  <c r="X551" i="1" s="1"/>
  <c r="X553" i="1" s="1"/>
  <c r="Y22" i="1"/>
  <c r="B560" i="1" s="1"/>
  <c r="P22" i="1"/>
  <c r="H10" i="1"/>
  <c r="A9" i="1"/>
  <c r="F10" i="1" s="1"/>
  <c r="D7" i="1"/>
  <c r="Q6" i="1"/>
  <c r="P2" i="1"/>
  <c r="H9" i="1" l="1"/>
  <c r="A10" i="1"/>
  <c r="Y24" i="1"/>
  <c r="Y32" i="1"/>
  <c r="Y46" i="1"/>
  <c r="Y56" i="1"/>
  <c r="Y67" i="1"/>
  <c r="Y75" i="1"/>
  <c r="Y79" i="1"/>
  <c r="Y85" i="1"/>
  <c r="Y92" i="1"/>
  <c r="Y100" i="1"/>
  <c r="Y109" i="1"/>
  <c r="Y117" i="1"/>
  <c r="Y125" i="1"/>
  <c r="Y129" i="1"/>
  <c r="Y136" i="1"/>
  <c r="Y144" i="1"/>
  <c r="Y150" i="1"/>
  <c r="Y159" i="1"/>
  <c r="Y163" i="1"/>
  <c r="Y170" i="1"/>
  <c r="Y175" i="1"/>
  <c r="Y189" i="1"/>
  <c r="Y195" i="1"/>
  <c r="Y199" i="1"/>
  <c r="Y215" i="1"/>
  <c r="Y238" i="1"/>
  <c r="Y246" i="1"/>
  <c r="Y252" i="1"/>
  <c r="Y256" i="1"/>
  <c r="Y261" i="1"/>
  <c r="Y267" i="1"/>
  <c r="Y277" i="1"/>
  <c r="BP281" i="1"/>
  <c r="BN281" i="1"/>
  <c r="Z281" i="1"/>
  <c r="Z292" i="1" s="1"/>
  <c r="BP285" i="1"/>
  <c r="BN285" i="1"/>
  <c r="Z285" i="1"/>
  <c r="BP289" i="1"/>
  <c r="BN289" i="1"/>
  <c r="Z289" i="1"/>
  <c r="BP302" i="1"/>
  <c r="BN302" i="1"/>
  <c r="Z302" i="1"/>
  <c r="Z308" i="1" s="1"/>
  <c r="BP306" i="1"/>
  <c r="BN306" i="1"/>
  <c r="Z306" i="1"/>
  <c r="P560" i="1"/>
  <c r="Y331" i="1"/>
  <c r="BP326" i="1"/>
  <c r="BN326" i="1"/>
  <c r="Z326" i="1"/>
  <c r="BP330" i="1"/>
  <c r="BN330" i="1"/>
  <c r="Z330" i="1"/>
  <c r="Y332" i="1"/>
  <c r="Y338" i="1"/>
  <c r="BP335" i="1"/>
  <c r="BN335" i="1"/>
  <c r="Z335" i="1"/>
  <c r="Y339" i="1"/>
  <c r="BP344" i="1"/>
  <c r="BN344" i="1"/>
  <c r="Z344" i="1"/>
  <c r="BP357" i="1"/>
  <c r="BN357" i="1"/>
  <c r="Z357" i="1"/>
  <c r="Z359" i="1" s="1"/>
  <c r="Y359" i="1"/>
  <c r="BP374" i="1"/>
  <c r="BN374" i="1"/>
  <c r="Z374" i="1"/>
  <c r="Y378" i="1"/>
  <c r="BP382" i="1"/>
  <c r="BN382" i="1"/>
  <c r="Z382" i="1"/>
  <c r="Y386" i="1"/>
  <c r="BP390" i="1"/>
  <c r="BN390" i="1"/>
  <c r="Z390" i="1"/>
  <c r="Y392" i="1"/>
  <c r="Y399" i="1"/>
  <c r="BP394" i="1"/>
  <c r="BN394" i="1"/>
  <c r="Z394" i="1"/>
  <c r="Y398" i="1"/>
  <c r="Z404" i="1"/>
  <c r="BP402" i="1"/>
  <c r="BN402" i="1"/>
  <c r="Z402" i="1"/>
  <c r="Y404" i="1"/>
  <c r="BP425" i="1"/>
  <c r="BN425" i="1"/>
  <c r="Z425" i="1"/>
  <c r="BP429" i="1"/>
  <c r="BN429" i="1"/>
  <c r="Z429" i="1"/>
  <c r="Y431" i="1"/>
  <c r="Y436" i="1"/>
  <c r="BP433" i="1"/>
  <c r="BN433" i="1"/>
  <c r="Z433" i="1"/>
  <c r="Y437" i="1"/>
  <c r="BP441" i="1"/>
  <c r="BN441" i="1"/>
  <c r="Z441" i="1"/>
  <c r="Y443" i="1"/>
  <c r="Y448" i="1"/>
  <c r="BP445" i="1"/>
  <c r="BN445" i="1"/>
  <c r="Z445" i="1"/>
  <c r="Z447" i="1" s="1"/>
  <c r="Y447" i="1"/>
  <c r="Q560" i="1"/>
  <c r="F9" i="1"/>
  <c r="J9" i="1"/>
  <c r="Z22" i="1"/>
  <c r="Z24" i="1" s="1"/>
  <c r="BN22" i="1"/>
  <c r="BP22" i="1"/>
  <c r="X554" i="1"/>
  <c r="Y25" i="1"/>
  <c r="Z28" i="1"/>
  <c r="Z32" i="1" s="1"/>
  <c r="BN28" i="1"/>
  <c r="Z30" i="1"/>
  <c r="BN30" i="1"/>
  <c r="C560" i="1"/>
  <c r="Z42" i="1"/>
  <c r="Z46" i="1" s="1"/>
  <c r="BN42" i="1"/>
  <c r="Z44" i="1"/>
  <c r="BN44" i="1"/>
  <c r="Y47" i="1"/>
  <c r="D560" i="1"/>
  <c r="Z52" i="1"/>
  <c r="Z55" i="1" s="1"/>
  <c r="BN52" i="1"/>
  <c r="Z54" i="1"/>
  <c r="BN54" i="1"/>
  <c r="Y55" i="1"/>
  <c r="Z59" i="1"/>
  <c r="Z67" i="1" s="1"/>
  <c r="BN59" i="1"/>
  <c r="BP59" i="1"/>
  <c r="Z61" i="1"/>
  <c r="BN61" i="1"/>
  <c r="Z63" i="1"/>
  <c r="BN63" i="1"/>
  <c r="Z65" i="1"/>
  <c r="BN65" i="1"/>
  <c r="Y68" i="1"/>
  <c r="Z71" i="1"/>
  <c r="Z74" i="1" s="1"/>
  <c r="BN71" i="1"/>
  <c r="Z73" i="1"/>
  <c r="BN73" i="1"/>
  <c r="Z77" i="1"/>
  <c r="Z79" i="1" s="1"/>
  <c r="BN77" i="1"/>
  <c r="BP77" i="1"/>
  <c r="Z83" i="1"/>
  <c r="Z84" i="1" s="1"/>
  <c r="BN83" i="1"/>
  <c r="Z88" i="1"/>
  <c r="BN88" i="1"/>
  <c r="BP88" i="1"/>
  <c r="Z90" i="1"/>
  <c r="BN90" i="1"/>
  <c r="Y93" i="1"/>
  <c r="Z96" i="1"/>
  <c r="Z99" i="1" s="1"/>
  <c r="BN96" i="1"/>
  <c r="Z98" i="1"/>
  <c r="BN98" i="1"/>
  <c r="Z103" i="1"/>
  <c r="BN103" i="1"/>
  <c r="BP103" i="1"/>
  <c r="Z105" i="1"/>
  <c r="BN105" i="1"/>
  <c r="Z107" i="1"/>
  <c r="BN107" i="1"/>
  <c r="Y110" i="1"/>
  <c r="Z113" i="1"/>
  <c r="Z117" i="1" s="1"/>
  <c r="BN113" i="1"/>
  <c r="Z115" i="1"/>
  <c r="BN115" i="1"/>
  <c r="Z121" i="1"/>
  <c r="Z124" i="1" s="1"/>
  <c r="BN121" i="1"/>
  <c r="Z123" i="1"/>
  <c r="BN123" i="1"/>
  <c r="Z127" i="1"/>
  <c r="Z128" i="1" s="1"/>
  <c r="BN127" i="1"/>
  <c r="BP127" i="1"/>
  <c r="Z132" i="1"/>
  <c r="Z136" i="1" s="1"/>
  <c r="BN132" i="1"/>
  <c r="BP132" i="1"/>
  <c r="Z134" i="1"/>
  <c r="BN134" i="1"/>
  <c r="Y137" i="1"/>
  <c r="Z140" i="1"/>
  <c r="Z143" i="1" s="1"/>
  <c r="BN140" i="1"/>
  <c r="Z142" i="1"/>
  <c r="BN142" i="1"/>
  <c r="Z146" i="1"/>
  <c r="Z150" i="1" s="1"/>
  <c r="BN146" i="1"/>
  <c r="BP146" i="1"/>
  <c r="Z148" i="1"/>
  <c r="BN148" i="1"/>
  <c r="I560" i="1"/>
  <c r="Z155" i="1"/>
  <c r="Z158" i="1" s="1"/>
  <c r="BN155" i="1"/>
  <c r="Z157" i="1"/>
  <c r="BN157" i="1"/>
  <c r="Y158" i="1"/>
  <c r="Z161" i="1"/>
  <c r="Z162" i="1" s="1"/>
  <c r="BN161" i="1"/>
  <c r="BP161" i="1"/>
  <c r="Z166" i="1"/>
  <c r="Z169" i="1" s="1"/>
  <c r="BN166" i="1"/>
  <c r="BP166" i="1"/>
  <c r="Z168" i="1"/>
  <c r="BN168" i="1"/>
  <c r="Y169" i="1"/>
  <c r="Z173" i="1"/>
  <c r="Z174" i="1" s="1"/>
  <c r="BN173" i="1"/>
  <c r="Z177" i="1"/>
  <c r="Z188" i="1" s="1"/>
  <c r="BN177" i="1"/>
  <c r="BP177" i="1"/>
  <c r="Z179" i="1"/>
  <c r="BN179" i="1"/>
  <c r="Z181" i="1"/>
  <c r="BN181" i="1"/>
  <c r="Z183" i="1"/>
  <c r="BN183" i="1"/>
  <c r="Z185" i="1"/>
  <c r="BN185" i="1"/>
  <c r="Z187" i="1"/>
  <c r="BN187" i="1"/>
  <c r="Z191" i="1"/>
  <c r="BN191" i="1"/>
  <c r="BP191" i="1"/>
  <c r="Z193" i="1"/>
  <c r="BN193" i="1"/>
  <c r="Z197" i="1"/>
  <c r="Z199" i="1" s="1"/>
  <c r="BN197" i="1"/>
  <c r="BP197" i="1"/>
  <c r="K560" i="1"/>
  <c r="Z209" i="1"/>
  <c r="Z215" i="1" s="1"/>
  <c r="BN209" i="1"/>
  <c r="Z211" i="1"/>
  <c r="BN211" i="1"/>
  <c r="Z213" i="1"/>
  <c r="BN213" i="1"/>
  <c r="Y216" i="1"/>
  <c r="L560" i="1"/>
  <c r="Y221" i="1"/>
  <c r="Z224" i="1"/>
  <c r="Z237" i="1" s="1"/>
  <c r="BN224" i="1"/>
  <c r="Z226" i="1"/>
  <c r="BN226" i="1"/>
  <c r="Z228" i="1"/>
  <c r="BN228" i="1"/>
  <c r="Z230" i="1"/>
  <c r="BN230" i="1"/>
  <c r="Z232" i="1"/>
  <c r="BN232" i="1"/>
  <c r="Z234" i="1"/>
  <c r="BN234" i="1"/>
  <c r="Z236" i="1"/>
  <c r="BN236" i="1"/>
  <c r="Z240" i="1"/>
  <c r="BN240" i="1"/>
  <c r="BP240" i="1"/>
  <c r="Z242" i="1"/>
  <c r="BN242" i="1"/>
  <c r="Z244" i="1"/>
  <c r="BN244" i="1"/>
  <c r="Z248" i="1"/>
  <c r="Z251" i="1" s="1"/>
  <c r="BN248" i="1"/>
  <c r="BP248" i="1"/>
  <c r="Z250" i="1"/>
  <c r="BN250" i="1"/>
  <c r="Z254" i="1"/>
  <c r="Z255" i="1" s="1"/>
  <c r="BN254" i="1"/>
  <c r="BP254" i="1"/>
  <c r="Z259" i="1"/>
  <c r="Z261" i="1" s="1"/>
  <c r="BN259" i="1"/>
  <c r="BP259" i="1"/>
  <c r="Y262" i="1"/>
  <c r="Z265" i="1"/>
  <c r="Z266" i="1" s="1"/>
  <c r="BN265" i="1"/>
  <c r="Z269" i="1"/>
  <c r="Z277" i="1" s="1"/>
  <c r="BN269" i="1"/>
  <c r="BP269" i="1"/>
  <c r="Z271" i="1"/>
  <c r="BN271" i="1"/>
  <c r="Z273" i="1"/>
  <c r="BN273" i="1"/>
  <c r="Z275" i="1"/>
  <c r="BN275" i="1"/>
  <c r="Y292" i="1"/>
  <c r="BP283" i="1"/>
  <c r="BN283" i="1"/>
  <c r="Z283" i="1"/>
  <c r="BP287" i="1"/>
  <c r="BN287" i="1"/>
  <c r="Z287" i="1"/>
  <c r="BP291" i="1"/>
  <c r="BN291" i="1"/>
  <c r="Z291" i="1"/>
  <c r="Y293" i="1"/>
  <c r="Y298" i="1"/>
  <c r="BP295" i="1"/>
  <c r="BN295" i="1"/>
  <c r="Z295" i="1"/>
  <c r="Z297" i="1" s="1"/>
  <c r="BP304" i="1"/>
  <c r="BN304" i="1"/>
  <c r="Z304" i="1"/>
  <c r="Y308" i="1"/>
  <c r="BP320" i="1"/>
  <c r="BN320" i="1"/>
  <c r="Z320" i="1"/>
  <c r="Z322" i="1" s="1"/>
  <c r="BP366" i="1"/>
  <c r="BN366" i="1"/>
  <c r="Z366" i="1"/>
  <c r="Z417" i="1"/>
  <c r="BP415" i="1"/>
  <c r="BN415" i="1"/>
  <c r="Z415" i="1"/>
  <c r="U560" i="1"/>
  <c r="Y417" i="1"/>
  <c r="BP462" i="1"/>
  <c r="BN462" i="1"/>
  <c r="Z462" i="1"/>
  <c r="Y464" i="1"/>
  <c r="X560" i="1"/>
  <c r="Y474" i="1"/>
  <c r="Y475" i="1"/>
  <c r="BP468" i="1"/>
  <c r="BN468" i="1"/>
  <c r="Z468" i="1"/>
  <c r="BP498" i="1"/>
  <c r="BN498" i="1"/>
  <c r="Z498" i="1"/>
  <c r="BP502" i="1"/>
  <c r="BN502" i="1"/>
  <c r="Z502" i="1"/>
  <c r="O560" i="1"/>
  <c r="Y309" i="1"/>
  <c r="Y322" i="1"/>
  <c r="BP328" i="1"/>
  <c r="BN328" i="1"/>
  <c r="Z328" i="1"/>
  <c r="BP337" i="1"/>
  <c r="BN337" i="1"/>
  <c r="Z337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S560" i="1"/>
  <c r="BP364" i="1"/>
  <c r="BN364" i="1"/>
  <c r="Z364" i="1"/>
  <c r="Z368" i="1" s="1"/>
  <c r="Y368" i="1"/>
  <c r="BP372" i="1"/>
  <c r="BN372" i="1"/>
  <c r="Z372" i="1"/>
  <c r="BP376" i="1"/>
  <c r="BN376" i="1"/>
  <c r="Z376" i="1"/>
  <c r="Z378" i="1" s="1"/>
  <c r="Y385" i="1"/>
  <c r="BP384" i="1"/>
  <c r="BN384" i="1"/>
  <c r="Z384" i="1"/>
  <c r="Z385" i="1" s="1"/>
  <c r="Y391" i="1"/>
  <c r="BP388" i="1"/>
  <c r="BN388" i="1"/>
  <c r="Z388" i="1"/>
  <c r="Z391" i="1" s="1"/>
  <c r="BP396" i="1"/>
  <c r="BN396" i="1"/>
  <c r="Z396" i="1"/>
  <c r="Y405" i="1"/>
  <c r="BP408" i="1"/>
  <c r="BN408" i="1"/>
  <c r="Z408" i="1"/>
  <c r="Z410" i="1" s="1"/>
  <c r="Y418" i="1"/>
  <c r="BP423" i="1"/>
  <c r="BN423" i="1"/>
  <c r="Z423" i="1"/>
  <c r="Z430" i="1" s="1"/>
  <c r="BP427" i="1"/>
  <c r="BN427" i="1"/>
  <c r="Z427" i="1"/>
  <c r="BP435" i="1"/>
  <c r="BN435" i="1"/>
  <c r="Z435" i="1"/>
  <c r="Y442" i="1"/>
  <c r="BP439" i="1"/>
  <c r="BN439" i="1"/>
  <c r="Z439" i="1"/>
  <c r="Z442" i="1" s="1"/>
  <c r="BP452" i="1"/>
  <c r="BN452" i="1"/>
  <c r="Z452" i="1"/>
  <c r="Z453" i="1" s="1"/>
  <c r="Y454" i="1"/>
  <c r="Y457" i="1"/>
  <c r="BP456" i="1"/>
  <c r="BN456" i="1"/>
  <c r="Z456" i="1"/>
  <c r="Z457" i="1" s="1"/>
  <c r="Y458" i="1"/>
  <c r="Y463" i="1"/>
  <c r="BP460" i="1"/>
  <c r="BN460" i="1"/>
  <c r="Z460" i="1"/>
  <c r="Z463" i="1" s="1"/>
  <c r="BP471" i="1"/>
  <c r="BN471" i="1"/>
  <c r="Z471" i="1"/>
  <c r="BP488" i="1"/>
  <c r="BN488" i="1"/>
  <c r="Z488" i="1"/>
  <c r="Z490" i="1" s="1"/>
  <c r="Y490" i="1"/>
  <c r="BP514" i="1"/>
  <c r="BN514" i="1"/>
  <c r="Z514" i="1"/>
  <c r="Y520" i="1"/>
  <c r="BP518" i="1"/>
  <c r="BN518" i="1"/>
  <c r="Z518" i="1"/>
  <c r="Y360" i="1"/>
  <c r="T560" i="1"/>
  <c r="Y369" i="1"/>
  <c r="V560" i="1"/>
  <c r="Y430" i="1"/>
  <c r="Y453" i="1"/>
  <c r="BP473" i="1"/>
  <c r="BN473" i="1"/>
  <c r="Z473" i="1"/>
  <c r="Y480" i="1"/>
  <c r="BP477" i="1"/>
  <c r="BN477" i="1"/>
  <c r="Z477" i="1"/>
  <c r="Z479" i="1" s="1"/>
  <c r="Y491" i="1"/>
  <c r="BP496" i="1"/>
  <c r="BN496" i="1"/>
  <c r="Z496" i="1"/>
  <c r="Z504" i="1" s="1"/>
  <c r="BP500" i="1"/>
  <c r="BN500" i="1"/>
  <c r="Z500" i="1"/>
  <c r="Y504" i="1"/>
  <c r="BP508" i="1"/>
  <c r="BN508" i="1"/>
  <c r="Z508" i="1"/>
  <c r="Z510" i="1" s="1"/>
  <c r="Y521" i="1"/>
  <c r="BP516" i="1"/>
  <c r="BN516" i="1"/>
  <c r="Z516" i="1"/>
  <c r="Z520" i="1" s="1"/>
  <c r="BP542" i="1"/>
  <c r="BN542" i="1"/>
  <c r="Z542" i="1"/>
  <c r="Z543" i="1" s="1"/>
  <c r="Y544" i="1"/>
  <c r="AB560" i="1"/>
  <c r="Y548" i="1"/>
  <c r="BP547" i="1"/>
  <c r="BN547" i="1"/>
  <c r="Z547" i="1"/>
  <c r="Z548" i="1" s="1"/>
  <c r="Y549" i="1"/>
  <c r="AA560" i="1"/>
  <c r="Y505" i="1"/>
  <c r="Z347" i="1" l="1"/>
  <c r="Z474" i="1"/>
  <c r="Z245" i="1"/>
  <c r="Z194" i="1"/>
  <c r="Z109" i="1"/>
  <c r="Z92" i="1"/>
  <c r="Y550" i="1"/>
  <c r="Y552" i="1"/>
  <c r="Z398" i="1"/>
  <c r="Z338" i="1"/>
  <c r="Z331" i="1"/>
  <c r="Z555" i="1" s="1"/>
  <c r="Y554" i="1"/>
  <c r="Y551" i="1"/>
  <c r="Y553" i="1" s="1"/>
  <c r="Z436" i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<sst xmlns="http://schemas.openxmlformats.org/spreadsheetml/2006/main" count="2500" uniqueCount="907">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</sst>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7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1650</v>
      </c>
      <c r="Y95" s="628">
        <f>IFERROR(IF(X95="",0,CEILING((X95/$H95),1)*$H95),"")</f>
        <v>1652.3999999999999</v>
      </c>
      <c r="Z95" s="36">
        <f>IFERROR(IF(Y95=0,"",ROUNDUP(Y95/H95,0)*0.01898),"")</f>
        <v>3.8719200000000003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1750.6296296296296</v>
      </c>
      <c r="BN95" s="64">
        <f>IFERROR(Y95*I95/H95,"0")</f>
        <v>1753.1759999999999</v>
      </c>
      <c r="BO95" s="64">
        <f>IFERROR(1/J95*(X95/H95),"0")</f>
        <v>3.1828703703703707</v>
      </c>
      <c r="BP95" s="64">
        <f>IFERROR(1/J95*(Y95/H95),"0")</f>
        <v>3.1875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203.70370370370372</v>
      </c>
      <c r="Y99" s="629">
        <f>IFERROR(Y95/H95,"0")+IFERROR(Y96/H96,"0")+IFERROR(Y97/H97,"0")+IFERROR(Y98/H98,"0")</f>
        <v>204</v>
      </c>
      <c r="Z99" s="629">
        <f>IFERROR(IF(Z95="",0,Z95),"0")+IFERROR(IF(Z96="",0,Z96),"0")+IFERROR(IF(Z97="",0,Z97),"0")+IFERROR(IF(Z98="",0,Z98),"0")</f>
        <v>3.8719200000000003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1650</v>
      </c>
      <c r="Y100" s="629">
        <f>IFERROR(SUM(Y95:Y98),"0")</f>
        <v>1652.3999999999999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1550</v>
      </c>
      <c r="Y120" s="628">
        <f>IFERROR(IF(X120="",0,CEILING((X120/$H120),1)*$H120),"")</f>
        <v>1555.1999999999998</v>
      </c>
      <c r="Z120" s="36">
        <f>IFERROR(IF(Y120=0,"",ROUNDUP(Y120/H120,0)*0.01898),"")</f>
        <v>3.6441600000000003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1643.3827160493827</v>
      </c>
      <c r="BN120" s="64">
        <f>IFERROR(Y120*I120/H120,"0")</f>
        <v>1648.8959999999997</v>
      </c>
      <c r="BO120" s="64">
        <f>IFERROR(1/J120*(X120/H120),"0")</f>
        <v>2.9899691358024691</v>
      </c>
      <c r="BP120" s="64">
        <f>IFERROR(1/J120*(Y120/H120),"0")</f>
        <v>3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191.35802469135803</v>
      </c>
      <c r="Y124" s="629">
        <f>IFERROR(Y120/H120,"0")+IFERROR(Y121/H121,"0")+IFERROR(Y122/H122,"0")+IFERROR(Y123/H123,"0")</f>
        <v>192</v>
      </c>
      <c r="Z124" s="629">
        <f>IFERROR(IF(Z120="",0,Z120),"0")+IFERROR(IF(Z121="",0,Z121),"0")+IFERROR(IF(Z122="",0,Z122),"0")+IFERROR(IF(Z123="",0,Z123),"0")</f>
        <v>3.6441600000000003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1550</v>
      </c>
      <c r="Y125" s="629">
        <f>IFERROR(SUM(Y120:Y123),"0")</f>
        <v>1555.1999999999998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0</v>
      </c>
      <c r="Y189" s="629">
        <f>IFERROR(SUM(Y177:Y187),"0")</f>
        <v>0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560</v>
      </c>
      <c r="Y234" s="628">
        <f t="shared" si="21"/>
        <v>560.70000000000005</v>
      </c>
      <c r="Z234" s="36">
        <f>IFERROR(IF(Y234=0,"",ROUNDUP(Y234/H234,0)*0.00502),"")</f>
        <v>1.3403400000000001</v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586.66666666666663</v>
      </c>
      <c r="BN234" s="64">
        <f t="shared" si="23"/>
        <v>587.40000000000009</v>
      </c>
      <c r="BO234" s="64">
        <f t="shared" si="24"/>
        <v>1.1396011396011396</v>
      </c>
      <c r="BP234" s="64">
        <f t="shared" si="25"/>
        <v>1.1410256410256412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266.66666666666663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267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1.3403400000000001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560</v>
      </c>
      <c r="Y238" s="629">
        <f>IFERROR(SUM(Y223:Y236),"0")</f>
        <v>560.70000000000005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0</v>
      </c>
      <c r="Y277" s="629">
        <f>IFERROR(Y269/H269,"0")+IFERROR(Y270/H270,"0")+IFERROR(Y271/H271,"0")+IFERROR(Y272/H272,"0")+IFERROR(Y273/H273,"0")+IFERROR(Y274/H274,"0")+IFERROR(Y275/H275,"0")+IFERROR(Y276/H276,"0")</f>
        <v>0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0</v>
      </c>
      <c r="Y278" s="629">
        <f>IFERROR(SUM(Y269:Y276),"0")</f>
        <v>0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2440</v>
      </c>
      <c r="Y286" s="628">
        <f t="shared" si="32"/>
        <v>2440.7999999999997</v>
      </c>
      <c r="Z286" s="36">
        <f>IFERROR(IF(Y286=0,"",ROUNDUP(Y286/H286,0)*0.00651),"")</f>
        <v>6.6206700000000005</v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2696.2000000000003</v>
      </c>
      <c r="BN286" s="64">
        <f t="shared" si="34"/>
        <v>2697.0839999999998</v>
      </c>
      <c r="BO286" s="64">
        <f t="shared" si="35"/>
        <v>5.5860805860805867</v>
      </c>
      <c r="BP286" s="64">
        <f t="shared" si="36"/>
        <v>5.5879120879120876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340</v>
      </c>
      <c r="Y289" s="628">
        <f t="shared" si="32"/>
        <v>340.8</v>
      </c>
      <c r="Z289" s="36">
        <f>IFERROR(IF(Y289=0,"",ROUNDUP(Y289/H289,0)*0.00651),"")</f>
        <v>0.92442000000000002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375.70000000000005</v>
      </c>
      <c r="BN289" s="64">
        <f t="shared" si="34"/>
        <v>376.58400000000006</v>
      </c>
      <c r="BO289" s="64">
        <f t="shared" si="35"/>
        <v>0.77838827838827851</v>
      </c>
      <c r="BP289" s="64">
        <f t="shared" si="36"/>
        <v>0.78021978021978033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340</v>
      </c>
      <c r="Y290" s="628">
        <f t="shared" si="32"/>
        <v>340.8</v>
      </c>
      <c r="Z290" s="36">
        <f>IFERROR(IF(Y290=0,"",ROUNDUP(Y290/H290,0)*0.00651),"")</f>
        <v>0.92442000000000002</v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376.55</v>
      </c>
      <c r="BN290" s="64">
        <f t="shared" si="34"/>
        <v>377.43600000000004</v>
      </c>
      <c r="BO290" s="64">
        <f t="shared" si="35"/>
        <v>0.77838827838827851</v>
      </c>
      <c r="BP290" s="64">
        <f t="shared" si="36"/>
        <v>0.78021978021978033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1300.0000000000002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1301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8.4695099999999996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3120</v>
      </c>
      <c r="Y293" s="629">
        <f>IFERROR(SUM(Y280:Y291),"0")</f>
        <v>3122.4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0</v>
      </c>
      <c r="Y425" s="628">
        <f t="shared" si="47"/>
        <v>0</v>
      </c>
      <c r="Z425" s="36" t="str">
        <f>IFERROR(IF(Y425=0,"",ROUNDUP(Y425/H425,0)*0.02175),"")</f>
        <v/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0</v>
      </c>
      <c r="BN425" s="64">
        <f t="shared" si="49"/>
        <v>0</v>
      </c>
      <c r="BO425" s="64">
        <f t="shared" si="50"/>
        <v>0</v>
      </c>
      <c r="BP425" s="64">
        <f t="shared" si="51"/>
        <v>0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0</v>
      </c>
      <c r="Y430" s="629">
        <f>IFERROR(Y422/H422,"0")+IFERROR(Y423/H423,"0")+IFERROR(Y424/H424,"0")+IFERROR(Y425/H425,"0")+IFERROR(Y426/H426,"0")+IFERROR(Y427/H427,"0")+IFERROR(Y428/H428,"0")+IFERROR(Y429/H429,"0")</f>
        <v>0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0</v>
      </c>
      <c r="Y431" s="629">
        <f>IFERROR(SUM(Y422:Y429),"0")</f>
        <v>0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5000</v>
      </c>
      <c r="Y433" s="628">
        <f>IFERROR(IF(X433="",0,CEILING((X433/$H433),1)*$H433),"")</f>
        <v>5010</v>
      </c>
      <c r="Z433" s="36">
        <f>IFERROR(IF(Y433=0,"",ROUNDUP(Y433/H433,0)*0.02175),"")</f>
        <v>7.2644999999999991</v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5156.666666666667</v>
      </c>
      <c r="BN433" s="64">
        <f>IFERROR(Y433*I433/H433,"0")</f>
        <v>5166.9799999999996</v>
      </c>
      <c r="BO433" s="64">
        <f>IFERROR(1/J433*(X433/H433),"0")</f>
        <v>6.9444444444444438</v>
      </c>
      <c r="BP433" s="64">
        <f>IFERROR(1/J433*(Y433/H433),"0")</f>
        <v>6.958333333333333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333.33333333333331</v>
      </c>
      <c r="Y436" s="629">
        <f>IFERROR(Y433/H433,"0")+IFERROR(Y434/H434,"0")+IFERROR(Y435/H435,"0")</f>
        <v>334</v>
      </c>
      <c r="Z436" s="629">
        <f>IFERROR(IF(Z433="",0,Z433),"0")+IFERROR(IF(Z434="",0,Z434),"0")+IFERROR(IF(Z435="",0,Z435),"0")</f>
        <v>7.2644999999999991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5000</v>
      </c>
      <c r="Y437" s="629">
        <f>IFERROR(SUM(Y433:Y435),"0")</f>
        <v>5010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3600</v>
      </c>
      <c r="Y460" s="628">
        <f>IFERROR(IF(X460="",0,CEILING((X460/$H460),1)*$H460),"")</f>
        <v>3600</v>
      </c>
      <c r="Z460" s="36">
        <f>IFERROR(IF(Y460=0,"",ROUNDUP(Y460/H460,0)*0.01898),"")</f>
        <v>7.5920000000000005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3797.6000000000004</v>
      </c>
      <c r="BN460" s="64">
        <f>IFERROR(Y460*I460/H460,"0")</f>
        <v>3797.6000000000004</v>
      </c>
      <c r="BO460" s="64">
        <f>IFERROR(1/J460*(X460/H460),"0")</f>
        <v>6.25</v>
      </c>
      <c r="BP460" s="64">
        <f>IFERROR(1/J460*(Y460/H460),"0")</f>
        <v>6.25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400</v>
      </c>
      <c r="Y463" s="629">
        <f>IFERROR(Y460/H460,"0")+IFERROR(Y461/H461,"0")+IFERROR(Y462/H462,"0")</f>
        <v>400</v>
      </c>
      <c r="Z463" s="629">
        <f>IFERROR(IF(Z460="",0,Z460),"0")+IFERROR(IF(Z461="",0,Z461),"0")+IFERROR(IF(Z462="",0,Z462),"0")</f>
        <v>7.5920000000000005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3600</v>
      </c>
      <c r="Y464" s="629">
        <f>IFERROR(SUM(Y460:Y462),"0")</f>
        <v>3600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0</v>
      </c>
      <c r="Y504" s="629">
        <f>IFERROR(Y495/H495,"0")+IFERROR(Y496/H496,"0")+IFERROR(Y497/H497,"0")+IFERROR(Y498/H498,"0")+IFERROR(Y499/H499,"0")+IFERROR(Y500/H500,"0")+IFERROR(Y501/H501,"0")+IFERROR(Y502/H502,"0")+IFERROR(Y503/H503,"0")</f>
        <v>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0</v>
      </c>
      <c r="Y505" s="629">
        <f>IFERROR(SUM(Y495:Y503),"0")</f>
        <v>0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0</v>
      </c>
      <c r="Y510" s="629">
        <f>IFERROR(Y507/H507,"0")+IFERROR(Y508/H508,"0")+IFERROR(Y509/H509,"0")</f>
        <v>0</v>
      </c>
      <c r="Z510" s="629">
        <f>IFERROR(IF(Z507="",0,Z507),"0")+IFERROR(IF(Z508="",0,Z508),"0")+IFERROR(IF(Z509="",0,Z509),"0")</f>
        <v>0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0</v>
      </c>
      <c r="Y511" s="629">
        <f>IFERROR(SUM(Y507:Y509),"0")</f>
        <v>0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0</v>
      </c>
      <c r="Y520" s="629">
        <f>IFERROR(Y513/H513,"0")+IFERROR(Y514/H514,"0")+IFERROR(Y515/H515,"0")+IFERROR(Y516/H516,"0")+IFERROR(Y517/H517,"0")+IFERROR(Y518/H518,"0")+IFERROR(Y519/H519,"0")</f>
        <v>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0</v>
      </c>
      <c r="Y521" s="629">
        <f>IFERROR(SUM(Y513:Y519),"0")</f>
        <v>0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15480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15500.699999999999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16383.395679012347</v>
      </c>
      <c r="Y551" s="629">
        <f>IFERROR(SUM(BN22:BN547),"0")</f>
        <v>16405.155999999999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28</v>
      </c>
      <c r="Y552" s="38">
        <f>ROUNDUP(SUM(BP22:BP547),0)</f>
        <v>28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17083.395679012348</v>
      </c>
      <c r="Y553" s="629">
        <f>GrossWeightTotalR+PalletQtyTotalR*25</f>
        <v>17105.155999999999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2695.0617283950619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2698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32.182429999999997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46">
        <f>IFERROR(Y88*1,"0")+IFERROR(Y89*1,"0")+IFERROR(Y90*1,"0")+IFERROR(Y91*1,"0")+IFERROR(Y95*1,"0")+IFERROR(Y96*1,"0")+IFERROR(Y97*1,"0")+IFERROR(Y98*1,"0")</f>
        <v>1652.3999999999999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1555.1999999999998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560.70000000000005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3122.4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5010</v>
      </c>
      <c r="W560" s="46">
        <f>IFERROR(Y451*1,"0")+IFERROR(Y452*1,"0")+IFERROR(Y456*1,"0")+IFERROR(Y460*1,"0")+IFERROR(Y461*1,"0")+IFERROR(Y462*1,"0")</f>
        <v>3600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2026-07-28T10:30:49Z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