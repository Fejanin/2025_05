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 24,10\"/>
    </mc:Choice>
  </mc:AlternateContent>
  <xr:revisionPtr revIDLastSave="0" documentId="13_ncr:1_{DA2B3D50-A373-41C1-978E-0530F9EA0F1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P523" i="2"/>
  <c r="BO523" i="2"/>
  <c r="BN523" i="2"/>
  <c r="BM523" i="2"/>
  <c r="Z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Z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P387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N315" i="2"/>
  <c r="BM315" i="2"/>
  <c r="Z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Z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N164" i="2"/>
  <c r="BM164" i="2"/>
  <c r="Z164" i="2"/>
  <c r="Y164" i="2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Z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X567" i="2" s="1"/>
  <c r="BM22" i="2"/>
  <c r="Y22" i="2"/>
  <c r="BN22" i="2" s="1"/>
  <c r="P22" i="2"/>
  <c r="H10" i="2"/>
  <c r="A9" i="2"/>
  <c r="F10" i="2" s="1"/>
  <c r="D7" i="2"/>
  <c r="Q6" i="2"/>
  <c r="P2" i="2"/>
  <c r="BP30" i="2" l="1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Z138" i="2" s="1"/>
  <c r="BN136" i="2"/>
  <c r="BP136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Z434" i="2" s="1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491" i="2" s="1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X568" i="2" s="1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5" i="2" s="1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Z401" i="2" s="1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345" i="2" s="1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79" i="2" l="1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<sst xmlns="http://schemas.openxmlformats.org/spreadsheetml/2006/main" count="4283" uniqueCount="914">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</sst>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71" sqref="AA57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250</v>
      </c>
      <c r="Y440" s="55">
        <f t="shared" si="61"/>
        <v>255</v>
      </c>
      <c r="Z440" s="41">
        <f>IFERROR(IF(Y440=0,"",ROUNDUP(Y440/H440,0)*0.02175),"")</f>
        <v>0.36974999999999997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257.83333333333331</v>
      </c>
      <c r="BN440" s="78">
        <f t="shared" si="63"/>
        <v>262.99</v>
      </c>
      <c r="BO440" s="78">
        <f t="shared" si="64"/>
        <v>0.34722222222222221</v>
      </c>
      <c r="BP440" s="78">
        <f t="shared" si="65"/>
        <v>0.35416666666666663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16.666666666666668</v>
      </c>
      <c r="Y447" s="43">
        <f>IFERROR(Y439/H439,"0")+IFERROR(Y440/H440,"0")+IFERROR(Y441/H441,"0")+IFERROR(Y442/H442,"0")+IFERROR(Y443/H443,"0")+IFERROR(Y444/H444,"0")+IFERROR(Y445/H445,"0")+IFERROR(Y446/H446,"0")</f>
        <v>17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0.36974999999999997</v>
      </c>
      <c r="AA447" s="67"/>
      <c r="AB447" s="67"/>
      <c r="AC447" s="67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250</v>
      </c>
      <c r="Y448" s="43">
        <f>IFERROR(SUM(Y439:Y446),"0")</f>
        <v>255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250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255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257.83333333333331</v>
      </c>
      <c r="Y566" s="43">
        <f>IFERROR(SUM(BN22:BN562),"0")</f>
        <v>262.99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282.83333333333331</v>
      </c>
      <c r="Y568" s="43">
        <f>GrossWeightTotalR+PalletQtyTotalR*25</f>
        <v>287.99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16.666666666666668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17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0.36974999999999997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255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6,67"/>
        <filter val="250,00"/>
        <filter val="257,83"/>
        <filter val="282,83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