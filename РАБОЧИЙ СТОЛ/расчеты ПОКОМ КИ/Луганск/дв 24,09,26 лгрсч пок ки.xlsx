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1B800F1F-EED1-430E-8866-7C892A7CE0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ефицит 22,09" sheetId="2" r:id="rId2"/>
    <sheet name="дефицит 26,09(2)" sheetId="3" r:id="rId3"/>
  </sheets>
  <externalReferences>
    <externalReference r:id="rId4"/>
  </externalReferences>
  <definedNames>
    <definedName name="_xlnm._FilterDatabase" localSheetId="0" hidden="1">Sheet!$A$3:$AP$128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5" i="1" l="1"/>
  <c r="H2" i="3" l="1"/>
  <c r="H3" i="3"/>
  <c r="H4" i="3"/>
  <c r="H5" i="3"/>
  <c r="H6" i="3"/>
  <c r="H1" i="3"/>
  <c r="B2" i="3"/>
  <c r="B3" i="3"/>
  <c r="B4" i="3"/>
  <c r="B5" i="3"/>
  <c r="B6" i="3"/>
  <c r="B1" i="3"/>
  <c r="U5" i="1"/>
  <c r="P5" i="1" l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" i="2"/>
  <c r="Y128" i="1" l="1"/>
  <c r="W128" i="1"/>
  <c r="AD128" i="1" s="1"/>
  <c r="L128" i="1"/>
  <c r="W127" i="1"/>
  <c r="X127" i="1" s="1"/>
  <c r="Y127" i="1" s="1"/>
  <c r="L127" i="1"/>
  <c r="Y126" i="1"/>
  <c r="AP126" i="1" s="1"/>
  <c r="W126" i="1"/>
  <c r="AD126" i="1" s="1"/>
  <c r="L126" i="1"/>
  <c r="W125" i="1"/>
  <c r="AD125" i="1" s="1"/>
  <c r="L125" i="1"/>
  <c r="Y124" i="1"/>
  <c r="W124" i="1"/>
  <c r="AD124" i="1" s="1"/>
  <c r="L124" i="1"/>
  <c r="W123" i="1"/>
  <c r="X123" i="1" s="1"/>
  <c r="Y123" i="1" s="1"/>
  <c r="L123" i="1"/>
  <c r="Y122" i="1"/>
  <c r="AP122" i="1" s="1"/>
  <c r="W122" i="1"/>
  <c r="AD122" i="1" s="1"/>
  <c r="L122" i="1"/>
  <c r="Y121" i="1"/>
  <c r="AP121" i="1" s="1"/>
  <c r="W121" i="1"/>
  <c r="AD121" i="1" s="1"/>
  <c r="L121" i="1"/>
  <c r="Y120" i="1"/>
  <c r="AP120" i="1" s="1"/>
  <c r="W120" i="1"/>
  <c r="AD120" i="1" s="1"/>
  <c r="L120" i="1"/>
  <c r="Y119" i="1"/>
  <c r="AP119" i="1" s="1"/>
  <c r="W119" i="1"/>
  <c r="AD119" i="1" s="1"/>
  <c r="L119" i="1"/>
  <c r="AP118" i="1"/>
  <c r="W118" i="1"/>
  <c r="L118" i="1"/>
  <c r="Y117" i="1"/>
  <c r="AP117" i="1" s="1"/>
  <c r="W117" i="1"/>
  <c r="AD117" i="1" s="1"/>
  <c r="L117" i="1"/>
  <c r="W116" i="1"/>
  <c r="AD116" i="1" s="1"/>
  <c r="L116" i="1"/>
  <c r="W115" i="1"/>
  <c r="X115" i="1" s="1"/>
  <c r="Y115" i="1" s="1"/>
  <c r="L115" i="1"/>
  <c r="Y114" i="1"/>
  <c r="AP114" i="1" s="1"/>
  <c r="W114" i="1"/>
  <c r="AD114" i="1" s="1"/>
  <c r="L114" i="1"/>
  <c r="Y113" i="1"/>
  <c r="AP113" i="1" s="1"/>
  <c r="W113" i="1"/>
  <c r="AD113" i="1" s="1"/>
  <c r="L113" i="1"/>
  <c r="Y112" i="1"/>
  <c r="AP112" i="1" s="1"/>
  <c r="W112" i="1"/>
  <c r="AD112" i="1" s="1"/>
  <c r="L112" i="1"/>
  <c r="W111" i="1"/>
  <c r="AD111" i="1" s="1"/>
  <c r="L111" i="1"/>
  <c r="W110" i="1"/>
  <c r="X110" i="1" s="1"/>
  <c r="Y110" i="1" s="1"/>
  <c r="L110" i="1"/>
  <c r="W109" i="1"/>
  <c r="AD109" i="1" s="1"/>
  <c r="L109" i="1"/>
  <c r="Y108" i="1"/>
  <c r="W108" i="1"/>
  <c r="AD108" i="1" s="1"/>
  <c r="L108" i="1"/>
  <c r="Y107" i="1"/>
  <c r="W107" i="1"/>
  <c r="AD107" i="1" s="1"/>
  <c r="L107" i="1"/>
  <c r="Y106" i="1"/>
  <c r="W106" i="1"/>
  <c r="AD106" i="1" s="1"/>
  <c r="L106" i="1"/>
  <c r="Y105" i="1"/>
  <c r="W105" i="1"/>
  <c r="AD105" i="1" s="1"/>
  <c r="L105" i="1"/>
  <c r="Y104" i="1"/>
  <c r="W104" i="1"/>
  <c r="AD104" i="1" s="1"/>
  <c r="L104" i="1"/>
  <c r="Y103" i="1"/>
  <c r="W103" i="1"/>
  <c r="AD103" i="1" s="1"/>
  <c r="L103" i="1"/>
  <c r="Y102" i="1"/>
  <c r="W102" i="1"/>
  <c r="AD102" i="1" s="1"/>
  <c r="L102" i="1"/>
  <c r="Y101" i="1"/>
  <c r="W101" i="1"/>
  <c r="AD101" i="1" s="1"/>
  <c r="L101" i="1"/>
  <c r="W100" i="1"/>
  <c r="X100" i="1" s="1"/>
  <c r="Y100" i="1" s="1"/>
  <c r="L100" i="1"/>
  <c r="W99" i="1"/>
  <c r="AD99" i="1" s="1"/>
  <c r="L99" i="1"/>
  <c r="Y98" i="1"/>
  <c r="W98" i="1"/>
  <c r="AD98" i="1" s="1"/>
  <c r="L98" i="1"/>
  <c r="Y97" i="1"/>
  <c r="W97" i="1"/>
  <c r="AD97" i="1" s="1"/>
  <c r="L97" i="1"/>
  <c r="W96" i="1"/>
  <c r="X96" i="1" s="1"/>
  <c r="Y96" i="1" s="1"/>
  <c r="L96" i="1"/>
  <c r="W95" i="1"/>
  <c r="AD95" i="1" s="1"/>
  <c r="L95" i="1"/>
  <c r="W94" i="1"/>
  <c r="X94" i="1" s="1"/>
  <c r="Y94" i="1" s="1"/>
  <c r="L94" i="1"/>
  <c r="W93" i="1"/>
  <c r="AD93" i="1" s="1"/>
  <c r="L93" i="1"/>
  <c r="Y92" i="1"/>
  <c r="W92" i="1"/>
  <c r="AD92" i="1" s="1"/>
  <c r="L92" i="1"/>
  <c r="Y91" i="1"/>
  <c r="W91" i="1"/>
  <c r="AD91" i="1" s="1"/>
  <c r="L91" i="1"/>
  <c r="Y90" i="1"/>
  <c r="W90" i="1"/>
  <c r="AD90" i="1" s="1"/>
  <c r="L90" i="1"/>
  <c r="AA89" i="1"/>
  <c r="Y89" i="1" s="1"/>
  <c r="W89" i="1"/>
  <c r="AD89" i="1" s="1"/>
  <c r="L89" i="1"/>
  <c r="AP88" i="1"/>
  <c r="W88" i="1"/>
  <c r="L88" i="1"/>
  <c r="AP87" i="1"/>
  <c r="W87" i="1"/>
  <c r="L87" i="1"/>
  <c r="AP86" i="1"/>
  <c r="W86" i="1"/>
  <c r="L86" i="1"/>
  <c r="Y85" i="1"/>
  <c r="AP85" i="1" s="1"/>
  <c r="W85" i="1"/>
  <c r="AD85" i="1" s="1"/>
  <c r="L85" i="1"/>
  <c r="W84" i="1"/>
  <c r="AD84" i="1" s="1"/>
  <c r="L84" i="1"/>
  <c r="Y83" i="1"/>
  <c r="W83" i="1"/>
  <c r="AD83" i="1" s="1"/>
  <c r="L83" i="1"/>
  <c r="AA82" i="1"/>
  <c r="Y82" i="1" s="1"/>
  <c r="W82" i="1"/>
  <c r="AD82" i="1" s="1"/>
  <c r="L82" i="1"/>
  <c r="W81" i="1"/>
  <c r="AD81" i="1" s="1"/>
  <c r="L81" i="1"/>
  <c r="W80" i="1"/>
  <c r="X80" i="1" s="1"/>
  <c r="Y80" i="1" s="1"/>
  <c r="L80" i="1"/>
  <c r="AP79" i="1"/>
  <c r="Y79" i="1"/>
  <c r="W79" i="1"/>
  <c r="AD79" i="1" s="1"/>
  <c r="L79" i="1"/>
  <c r="W78" i="1"/>
  <c r="AD78" i="1" s="1"/>
  <c r="L78" i="1"/>
  <c r="W77" i="1"/>
  <c r="X77" i="1" s="1"/>
  <c r="Y77" i="1" s="1"/>
  <c r="L77" i="1"/>
  <c r="X76" i="1"/>
  <c r="Y76" i="1" s="1"/>
  <c r="AC76" i="1" s="1"/>
  <c r="W76" i="1"/>
  <c r="AD76" i="1" s="1"/>
  <c r="L76" i="1"/>
  <c r="W75" i="1"/>
  <c r="X75" i="1" s="1"/>
  <c r="Y75" i="1" s="1"/>
  <c r="L75" i="1"/>
  <c r="Y74" i="1"/>
  <c r="AP74" i="1" s="1"/>
  <c r="W74" i="1"/>
  <c r="AD74" i="1" s="1"/>
  <c r="L74" i="1"/>
  <c r="Y73" i="1"/>
  <c r="AP73" i="1" s="1"/>
  <c r="W73" i="1"/>
  <c r="AD73" i="1" s="1"/>
  <c r="L73" i="1"/>
  <c r="W72" i="1"/>
  <c r="AD72" i="1" s="1"/>
  <c r="L72" i="1"/>
  <c r="W71" i="1"/>
  <c r="X71" i="1" s="1"/>
  <c r="Y71" i="1" s="1"/>
  <c r="L71" i="1"/>
  <c r="W70" i="1"/>
  <c r="AD70" i="1" s="1"/>
  <c r="L70" i="1"/>
  <c r="W69" i="1"/>
  <c r="X69" i="1" s="1"/>
  <c r="Y69" i="1" s="1"/>
  <c r="L69" i="1"/>
  <c r="Y68" i="1"/>
  <c r="AP68" i="1" s="1"/>
  <c r="W68" i="1"/>
  <c r="AD68" i="1" s="1"/>
  <c r="L68" i="1"/>
  <c r="Y67" i="1"/>
  <c r="AP67" i="1" s="1"/>
  <c r="W67" i="1"/>
  <c r="AD67" i="1" s="1"/>
  <c r="L67" i="1"/>
  <c r="Y66" i="1"/>
  <c r="AP66" i="1" s="1"/>
  <c r="W66" i="1"/>
  <c r="AD66" i="1" s="1"/>
  <c r="L66" i="1"/>
  <c r="AA65" i="1"/>
  <c r="Y65" i="1" s="1"/>
  <c r="W65" i="1"/>
  <c r="L65" i="1"/>
  <c r="Y64" i="1"/>
  <c r="AP64" i="1" s="1"/>
  <c r="W64" i="1"/>
  <c r="AD64" i="1" s="1"/>
  <c r="L64" i="1"/>
  <c r="W63" i="1"/>
  <c r="AD63" i="1" s="1"/>
  <c r="L63" i="1"/>
  <c r="W62" i="1"/>
  <c r="X62" i="1" s="1"/>
  <c r="Y62" i="1" s="1"/>
  <c r="L62" i="1"/>
  <c r="W61" i="1"/>
  <c r="AD61" i="1" s="1"/>
  <c r="L61" i="1"/>
  <c r="W60" i="1"/>
  <c r="X60" i="1" s="1"/>
  <c r="Y60" i="1" s="1"/>
  <c r="L60" i="1"/>
  <c r="X59" i="1"/>
  <c r="Y59" i="1" s="1"/>
  <c r="AP59" i="1" s="1"/>
  <c r="W59" i="1"/>
  <c r="AD59" i="1" s="1"/>
  <c r="L59" i="1"/>
  <c r="Y58" i="1"/>
  <c r="W58" i="1"/>
  <c r="AD58" i="1" s="1"/>
  <c r="L58" i="1"/>
  <c r="Y57" i="1"/>
  <c r="W57" i="1"/>
  <c r="AD57" i="1" s="1"/>
  <c r="L57" i="1"/>
  <c r="W56" i="1"/>
  <c r="AD56" i="1" s="1"/>
  <c r="L56" i="1"/>
  <c r="F55" i="1"/>
  <c r="E55" i="1"/>
  <c r="L55" i="1" s="1"/>
  <c r="W54" i="1"/>
  <c r="AD54" i="1" s="1"/>
  <c r="L54" i="1"/>
  <c r="W53" i="1"/>
  <c r="X53" i="1" s="1"/>
  <c r="Y53" i="1" s="1"/>
  <c r="L53" i="1"/>
  <c r="Y52" i="1"/>
  <c r="AP52" i="1" s="1"/>
  <c r="W52" i="1"/>
  <c r="AD52" i="1" s="1"/>
  <c r="L52" i="1"/>
  <c r="W51" i="1"/>
  <c r="AD51" i="1" s="1"/>
  <c r="L51" i="1"/>
  <c r="Y50" i="1"/>
  <c r="W50" i="1"/>
  <c r="AD50" i="1" s="1"/>
  <c r="L50" i="1"/>
  <c r="Y49" i="1"/>
  <c r="W49" i="1"/>
  <c r="AD49" i="1" s="1"/>
  <c r="L49" i="1"/>
  <c r="W48" i="1"/>
  <c r="X48" i="1" s="1"/>
  <c r="Y48" i="1" s="1"/>
  <c r="L48" i="1"/>
  <c r="W47" i="1"/>
  <c r="AD47" i="1" s="1"/>
  <c r="L47" i="1"/>
  <c r="Y46" i="1"/>
  <c r="W46" i="1"/>
  <c r="X46" i="1" s="1"/>
  <c r="L46" i="1"/>
  <c r="Y45" i="1"/>
  <c r="AP45" i="1" s="1"/>
  <c r="W45" i="1"/>
  <c r="AD45" i="1" s="1"/>
  <c r="L45" i="1"/>
  <c r="Y44" i="1"/>
  <c r="AP44" i="1" s="1"/>
  <c r="W44" i="1"/>
  <c r="AD44" i="1" s="1"/>
  <c r="L44" i="1"/>
  <c r="W43" i="1"/>
  <c r="AD43" i="1" s="1"/>
  <c r="L43" i="1"/>
  <c r="W42" i="1"/>
  <c r="X42" i="1" s="1"/>
  <c r="Y42" i="1" s="1"/>
  <c r="L42" i="1"/>
  <c r="W41" i="1"/>
  <c r="AD41" i="1" s="1"/>
  <c r="L41" i="1"/>
  <c r="Y40" i="1"/>
  <c r="W40" i="1"/>
  <c r="AD40" i="1" s="1"/>
  <c r="L40" i="1"/>
  <c r="W39" i="1"/>
  <c r="X39" i="1" s="1"/>
  <c r="Y39" i="1" s="1"/>
  <c r="L39" i="1"/>
  <c r="X38" i="1"/>
  <c r="Y38" i="1" s="1"/>
  <c r="AP38" i="1" s="1"/>
  <c r="W38" i="1"/>
  <c r="AD38" i="1" s="1"/>
  <c r="L38" i="1"/>
  <c r="Y37" i="1"/>
  <c r="W37" i="1"/>
  <c r="AD37" i="1" s="1"/>
  <c r="L37" i="1"/>
  <c r="W36" i="1"/>
  <c r="X36" i="1" s="1"/>
  <c r="Y36" i="1" s="1"/>
  <c r="L36" i="1"/>
  <c r="W35" i="1"/>
  <c r="AD35" i="1" s="1"/>
  <c r="L35" i="1"/>
  <c r="Y34" i="1"/>
  <c r="W34" i="1"/>
  <c r="X34" i="1" s="1"/>
  <c r="L34" i="1"/>
  <c r="Y33" i="1"/>
  <c r="AP33" i="1" s="1"/>
  <c r="W33" i="1"/>
  <c r="AD33" i="1" s="1"/>
  <c r="L33" i="1"/>
  <c r="Y32" i="1"/>
  <c r="AP32" i="1" s="1"/>
  <c r="W32" i="1"/>
  <c r="AD32" i="1" s="1"/>
  <c r="L32" i="1"/>
  <c r="W31" i="1"/>
  <c r="AD31" i="1" s="1"/>
  <c r="L31" i="1"/>
  <c r="Y30" i="1"/>
  <c r="W30" i="1"/>
  <c r="AD30" i="1" s="1"/>
  <c r="L30" i="1"/>
  <c r="W29" i="1"/>
  <c r="X29" i="1" s="1"/>
  <c r="Y29" i="1" s="1"/>
  <c r="L29" i="1"/>
  <c r="W28" i="1"/>
  <c r="AD28" i="1" s="1"/>
  <c r="L28" i="1"/>
  <c r="W27" i="1"/>
  <c r="X27" i="1" s="1"/>
  <c r="Y27" i="1" s="1"/>
  <c r="L27" i="1"/>
  <c r="X26" i="1"/>
  <c r="Y26" i="1" s="1"/>
  <c r="AP26" i="1" s="1"/>
  <c r="W26" i="1"/>
  <c r="AD26" i="1" s="1"/>
  <c r="L26" i="1"/>
  <c r="W25" i="1"/>
  <c r="X25" i="1" s="1"/>
  <c r="Y25" i="1" s="1"/>
  <c r="L25" i="1"/>
  <c r="W24" i="1"/>
  <c r="AD24" i="1" s="1"/>
  <c r="L24" i="1"/>
  <c r="Y23" i="1"/>
  <c r="W23" i="1"/>
  <c r="AD23" i="1" s="1"/>
  <c r="L23" i="1"/>
  <c r="Y22" i="1"/>
  <c r="W22" i="1"/>
  <c r="X22" i="1" s="1"/>
  <c r="L22" i="1"/>
  <c r="W21" i="1"/>
  <c r="AD21" i="1" s="1"/>
  <c r="L21" i="1"/>
  <c r="W20" i="1"/>
  <c r="X20" i="1" s="1"/>
  <c r="Y20" i="1" s="1"/>
  <c r="L20" i="1"/>
  <c r="Y19" i="1"/>
  <c r="AP19" i="1" s="1"/>
  <c r="W19" i="1"/>
  <c r="AD19" i="1" s="1"/>
  <c r="L19" i="1"/>
  <c r="W18" i="1"/>
  <c r="AD18" i="1" s="1"/>
  <c r="L18" i="1"/>
  <c r="W17" i="1"/>
  <c r="X17" i="1" s="1"/>
  <c r="Y17" i="1" s="1"/>
  <c r="L17" i="1"/>
  <c r="AP16" i="1"/>
  <c r="W16" i="1"/>
  <c r="L16" i="1"/>
  <c r="W15" i="1"/>
  <c r="AD15" i="1" s="1"/>
  <c r="L15" i="1"/>
  <c r="W14" i="1"/>
  <c r="X14" i="1" s="1"/>
  <c r="Y14" i="1" s="1"/>
  <c r="L14" i="1"/>
  <c r="W13" i="1"/>
  <c r="AD13" i="1" s="1"/>
  <c r="L13" i="1"/>
  <c r="Y12" i="1"/>
  <c r="W12" i="1"/>
  <c r="AD12" i="1" s="1"/>
  <c r="L12" i="1"/>
  <c r="W11" i="1"/>
  <c r="X11" i="1" s="1"/>
  <c r="Y11" i="1" s="1"/>
  <c r="L11" i="1"/>
  <c r="W10" i="1"/>
  <c r="AD10" i="1" s="1"/>
  <c r="L10" i="1"/>
  <c r="Y9" i="1"/>
  <c r="W9" i="1"/>
  <c r="AD9" i="1" s="1"/>
  <c r="L9" i="1"/>
  <c r="W8" i="1"/>
  <c r="X8" i="1" s="1"/>
  <c r="Y8" i="1" s="1"/>
  <c r="L8" i="1"/>
  <c r="W7" i="1"/>
  <c r="AD7" i="1" s="1"/>
  <c r="L7" i="1"/>
  <c r="W6" i="1"/>
  <c r="X6" i="1" s="1"/>
  <c r="L6" i="1"/>
  <c r="AN5" i="1"/>
  <c r="AM5" i="1"/>
  <c r="AL5" i="1"/>
  <c r="AK5" i="1"/>
  <c r="AJ5" i="1"/>
  <c r="AI5" i="1"/>
  <c r="AH5" i="1"/>
  <c r="AG5" i="1"/>
  <c r="AF5" i="1"/>
  <c r="AE5" i="1"/>
  <c r="V5" i="1"/>
  <c r="T5" i="1"/>
  <c r="S5" i="1"/>
  <c r="R5" i="1"/>
  <c r="Q5" i="1"/>
  <c r="O5" i="1"/>
  <c r="N5" i="1"/>
  <c r="M5" i="1"/>
  <c r="K5" i="1"/>
  <c r="E5" i="1"/>
  <c r="AD110" i="1" l="1"/>
  <c r="X63" i="1"/>
  <c r="Y63" i="1" s="1"/>
  <c r="AP63" i="1" s="1"/>
  <c r="AC65" i="1"/>
  <c r="X99" i="1"/>
  <c r="Y99" i="1" s="1"/>
  <c r="AP99" i="1" s="1"/>
  <c r="X10" i="1"/>
  <c r="Y10" i="1" s="1"/>
  <c r="AC10" i="1" s="1"/>
  <c r="X15" i="1"/>
  <c r="Y15" i="1" s="1"/>
  <c r="AC15" i="1" s="1"/>
  <c r="X18" i="1"/>
  <c r="Y18" i="1" s="1"/>
  <c r="AP18" i="1" s="1"/>
  <c r="X21" i="1"/>
  <c r="Y21" i="1" s="1"/>
  <c r="AP21" i="1" s="1"/>
  <c r="X31" i="1"/>
  <c r="Y31" i="1" s="1"/>
  <c r="AP31" i="1" s="1"/>
  <c r="X43" i="1"/>
  <c r="Y43" i="1" s="1"/>
  <c r="AP43" i="1" s="1"/>
  <c r="X51" i="1"/>
  <c r="Y51" i="1" s="1"/>
  <c r="AP51" i="1" s="1"/>
  <c r="X54" i="1"/>
  <c r="Y54" i="1" s="1"/>
  <c r="AP54" i="1" s="1"/>
  <c r="X70" i="1"/>
  <c r="Y70" i="1" s="1"/>
  <c r="AC70" i="1" s="1"/>
  <c r="X84" i="1"/>
  <c r="Y84" i="1" s="1"/>
  <c r="AC84" i="1" s="1"/>
  <c r="X95" i="1"/>
  <c r="Y95" i="1" s="1"/>
  <c r="AC95" i="1" s="1"/>
  <c r="X116" i="1"/>
  <c r="Y116" i="1" s="1"/>
  <c r="AP116" i="1" s="1"/>
  <c r="X125" i="1"/>
  <c r="Y125" i="1" s="1"/>
  <c r="AP125" i="1" s="1"/>
  <c r="W55" i="1"/>
  <c r="AD55" i="1" s="1"/>
  <c r="AP65" i="1"/>
  <c r="X7" i="1"/>
  <c r="Y7" i="1" s="1"/>
  <c r="X13" i="1"/>
  <c r="Y13" i="1" s="1"/>
  <c r="X24" i="1"/>
  <c r="Y24" i="1" s="1"/>
  <c r="AC24" i="1" s="1"/>
  <c r="AC26" i="1"/>
  <c r="X28" i="1"/>
  <c r="Y28" i="1" s="1"/>
  <c r="AC28" i="1" s="1"/>
  <c r="X35" i="1"/>
  <c r="Y35" i="1" s="1"/>
  <c r="AC35" i="1" s="1"/>
  <c r="AC38" i="1"/>
  <c r="X41" i="1"/>
  <c r="Y41" i="1" s="1"/>
  <c r="AC41" i="1" s="1"/>
  <c r="X47" i="1"/>
  <c r="Y47" i="1" s="1"/>
  <c r="AC47" i="1" s="1"/>
  <c r="AC51" i="1"/>
  <c r="AC54" i="1"/>
  <c r="X56" i="1"/>
  <c r="Y56" i="1" s="1"/>
  <c r="AC59" i="1"/>
  <c r="X61" i="1"/>
  <c r="Y61" i="1" s="1"/>
  <c r="AC61" i="1" s="1"/>
  <c r="AC63" i="1"/>
  <c r="X72" i="1"/>
  <c r="Y72" i="1" s="1"/>
  <c r="X78" i="1"/>
  <c r="Y78" i="1" s="1"/>
  <c r="X81" i="1"/>
  <c r="Y81" i="1" s="1"/>
  <c r="X93" i="1"/>
  <c r="Y93" i="1" s="1"/>
  <c r="AD96" i="1"/>
  <c r="AC99" i="1"/>
  <c r="X109" i="1"/>
  <c r="Y109" i="1" s="1"/>
  <c r="AC109" i="1" s="1"/>
  <c r="X111" i="1"/>
  <c r="Y111" i="1" s="1"/>
  <c r="AD115" i="1"/>
  <c r="AC116" i="1"/>
  <c r="AD123" i="1"/>
  <c r="AP11" i="1"/>
  <c r="AC11" i="1"/>
  <c r="AP17" i="1"/>
  <c r="AC17" i="1"/>
  <c r="AP20" i="1"/>
  <c r="AC20" i="1"/>
  <c r="AP25" i="1"/>
  <c r="AC25" i="1"/>
  <c r="AP29" i="1"/>
  <c r="AC29" i="1"/>
  <c r="AP36" i="1"/>
  <c r="AC36" i="1"/>
  <c r="AP42" i="1"/>
  <c r="AC42" i="1"/>
  <c r="AP48" i="1"/>
  <c r="AC48" i="1"/>
  <c r="AP53" i="1"/>
  <c r="AC53" i="1"/>
  <c r="AD6" i="1"/>
  <c r="AP8" i="1"/>
  <c r="AC8" i="1"/>
  <c r="AP9" i="1"/>
  <c r="AC9" i="1"/>
  <c r="AD11" i="1"/>
  <c r="AP14" i="1"/>
  <c r="AC14" i="1"/>
  <c r="AP15" i="1"/>
  <c r="AD16" i="1"/>
  <c r="X16" i="1"/>
  <c r="AD17" i="1"/>
  <c r="AD20" i="1"/>
  <c r="AP22" i="1"/>
  <c r="AC22" i="1"/>
  <c r="AP23" i="1"/>
  <c r="AC23" i="1"/>
  <c r="AD25" i="1"/>
  <c r="AP27" i="1"/>
  <c r="AC27" i="1"/>
  <c r="AD29" i="1"/>
  <c r="AC33" i="1"/>
  <c r="AP34" i="1"/>
  <c r="AC34" i="1"/>
  <c r="AD36" i="1"/>
  <c r="AP39" i="1"/>
  <c r="AC39" i="1"/>
  <c r="AP40" i="1"/>
  <c r="AC40" i="1"/>
  <c r="AD42" i="1"/>
  <c r="AC45" i="1"/>
  <c r="AP46" i="1"/>
  <c r="AC46" i="1"/>
  <c r="AD48" i="1"/>
  <c r="AD53" i="1"/>
  <c r="AP62" i="1"/>
  <c r="AC62" i="1"/>
  <c r="Y6" i="1"/>
  <c r="L5" i="1"/>
  <c r="AD8" i="1"/>
  <c r="AP12" i="1"/>
  <c r="AC12" i="1"/>
  <c r="AD14" i="1"/>
  <c r="AC16" i="1"/>
  <c r="AC19" i="1"/>
  <c r="AD22" i="1"/>
  <c r="AD27" i="1"/>
  <c r="AP30" i="1"/>
  <c r="AC30" i="1"/>
  <c r="AC32" i="1"/>
  <c r="AD34" i="1"/>
  <c r="AP37" i="1"/>
  <c r="AC37" i="1"/>
  <c r="AD39" i="1"/>
  <c r="AC44" i="1"/>
  <c r="AD46" i="1"/>
  <c r="AP49" i="1"/>
  <c r="AC49" i="1"/>
  <c r="AP50" i="1"/>
  <c r="AC50" i="1"/>
  <c r="AC52" i="1"/>
  <c r="F5" i="1"/>
  <c r="AP71" i="1"/>
  <c r="AC71" i="1"/>
  <c r="AP77" i="1"/>
  <c r="AC77" i="1"/>
  <c r="AP80" i="1"/>
  <c r="AC80" i="1"/>
  <c r="AP60" i="1"/>
  <c r="AC60" i="1"/>
  <c r="AP61" i="1"/>
  <c r="AD62" i="1"/>
  <c r="AD65" i="1"/>
  <c r="X65" i="1"/>
  <c r="AC66" i="1"/>
  <c r="AC68" i="1"/>
  <c r="AP69" i="1"/>
  <c r="AC69" i="1"/>
  <c r="AP70" i="1"/>
  <c r="AD71" i="1"/>
  <c r="AC74" i="1"/>
  <c r="AP75" i="1"/>
  <c r="AC75" i="1"/>
  <c r="AP76" i="1"/>
  <c r="AD77" i="1"/>
  <c r="AD80" i="1"/>
  <c r="AP82" i="1"/>
  <c r="AC82" i="1"/>
  <c r="AP83" i="1"/>
  <c r="AC83" i="1"/>
  <c r="AC85" i="1"/>
  <c r="AD87" i="1"/>
  <c r="X87" i="1"/>
  <c r="AC87" i="1"/>
  <c r="AP101" i="1"/>
  <c r="AC101" i="1"/>
  <c r="AP102" i="1"/>
  <c r="AC102" i="1"/>
  <c r="AP103" i="1"/>
  <c r="AC103" i="1"/>
  <c r="AP104" i="1"/>
  <c r="AC104" i="1"/>
  <c r="AP105" i="1"/>
  <c r="AC105" i="1"/>
  <c r="AP106" i="1"/>
  <c r="AC106" i="1"/>
  <c r="AP107" i="1"/>
  <c r="AC107" i="1"/>
  <c r="AP108" i="1"/>
  <c r="AC108" i="1"/>
  <c r="AC113" i="1"/>
  <c r="AD118" i="1"/>
  <c r="X118" i="1"/>
  <c r="AC118" i="1"/>
  <c r="AC121" i="1"/>
  <c r="AP127" i="1"/>
  <c r="AC127" i="1"/>
  <c r="AA5" i="1"/>
  <c r="AP57" i="1"/>
  <c r="AC57" i="1"/>
  <c r="AP58" i="1"/>
  <c r="AC58" i="1"/>
  <c r="AD60" i="1"/>
  <c r="AC64" i="1"/>
  <c r="AC67" i="1"/>
  <c r="AD69" i="1"/>
  <c r="AC73" i="1"/>
  <c r="AD75" i="1"/>
  <c r="AC79" i="1"/>
  <c r="AD86" i="1"/>
  <c r="X86" i="1"/>
  <c r="AC86" i="1"/>
  <c r="AD88" i="1"/>
  <c r="X88" i="1"/>
  <c r="AC88" i="1"/>
  <c r="AP94" i="1"/>
  <c r="AC94" i="1"/>
  <c r="AP95" i="1"/>
  <c r="AP96" i="1"/>
  <c r="AC96" i="1"/>
  <c r="AP100" i="1"/>
  <c r="AC100" i="1"/>
  <c r="AP110" i="1"/>
  <c r="AC110" i="1"/>
  <c r="AP115" i="1"/>
  <c r="AC115" i="1"/>
  <c r="AC119" i="1"/>
  <c r="AP123" i="1"/>
  <c r="AC123" i="1"/>
  <c r="AD127" i="1"/>
  <c r="AP89" i="1"/>
  <c r="AC89" i="1"/>
  <c r="AP90" i="1"/>
  <c r="AC90" i="1"/>
  <c r="AP91" i="1"/>
  <c r="AC91" i="1"/>
  <c r="AP92" i="1"/>
  <c r="AC92" i="1"/>
  <c r="AD94" i="1"/>
  <c r="AP97" i="1"/>
  <c r="AC97" i="1"/>
  <c r="AP98" i="1"/>
  <c r="AC98" i="1"/>
  <c r="AD100" i="1"/>
  <c r="AC112" i="1"/>
  <c r="AC114" i="1"/>
  <c r="AC117" i="1"/>
  <c r="AC120" i="1"/>
  <c r="AC122" i="1"/>
  <c r="AP124" i="1"/>
  <c r="AC124" i="1"/>
  <c r="AC126" i="1"/>
  <c r="AP128" i="1"/>
  <c r="AC128" i="1"/>
  <c r="AP84" i="1" l="1"/>
  <c r="AP109" i="1"/>
  <c r="AP41" i="1"/>
  <c r="AP35" i="1"/>
  <c r="AP10" i="1"/>
  <c r="AC125" i="1"/>
  <c r="AC31" i="1"/>
  <c r="AC18" i="1"/>
  <c r="AP47" i="1"/>
  <c r="AP28" i="1"/>
  <c r="AP24" i="1"/>
  <c r="AC43" i="1"/>
  <c r="AC21" i="1"/>
  <c r="AP81" i="1"/>
  <c r="AC81" i="1"/>
  <c r="AP72" i="1"/>
  <c r="AC72" i="1"/>
  <c r="AP56" i="1"/>
  <c r="AC56" i="1"/>
  <c r="AP13" i="1"/>
  <c r="AC13" i="1"/>
  <c r="AP111" i="1"/>
  <c r="AC111" i="1"/>
  <c r="AP93" i="1"/>
  <c r="AC93" i="1"/>
  <c r="AP78" i="1"/>
  <c r="AC78" i="1"/>
  <c r="AP7" i="1"/>
  <c r="AC7" i="1"/>
  <c r="X55" i="1"/>
  <c r="Y55" i="1" s="1"/>
  <c r="W5" i="1"/>
  <c r="AP6" i="1"/>
  <c r="AC6" i="1"/>
  <c r="Y5" i="1"/>
  <c r="AP55" i="1" l="1"/>
  <c r="AP5" i="1" s="1"/>
  <c r="AC55" i="1"/>
  <c r="X5" i="1"/>
</calcChain>
</file>

<file path=xl/sharedStrings.xml><?xml version="1.0" encoding="utf-8"?>
<sst xmlns="http://schemas.openxmlformats.org/spreadsheetml/2006/main" count="717" uniqueCount="394">
  <si>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</si>
  <si>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</si>
  <si>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</si>
  <si>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</si>
  <si>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</si>
  <si>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</si>
  <si>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</si>
  <si>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</si>
  <si>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</si>
  <si>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</si>
  <si>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</si>
  <si>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</si>
  <si>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</si>
  <si>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</si>
  <si>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</si>
  <si>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</si>
  <si>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</si>
  <si>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</si>
  <si>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ТК</t>
  </si>
  <si>
    <t>ТК ком</t>
  </si>
  <si>
    <t>кон ост</t>
  </si>
  <si>
    <t>факт</t>
  </si>
  <si>
    <t>ср</t>
  </si>
  <si>
    <t>комментарии</t>
  </si>
  <si>
    <t>вес</t>
  </si>
  <si>
    <t>22,09,</t>
  </si>
  <si>
    <t>22,09,доз</t>
  </si>
  <si>
    <t>26,09,</t>
  </si>
  <si>
    <t>26,09,доз</t>
  </si>
  <si>
    <t>26,09,(2)</t>
  </si>
  <si>
    <t>26,09,(2)доз</t>
  </si>
  <si>
    <t>24,09,</t>
  </si>
  <si>
    <t>28,09,</t>
  </si>
  <si>
    <t>Воронков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</si>
  <si>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</si>
  <si>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</si>
  <si>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</si>
  <si>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</si>
  <si>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</si>
  <si>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</si>
  <si>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</si>
  <si>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</si>
  <si>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</si>
  <si>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</si>
  <si>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</si>
  <si>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</si>
  <si>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</si>
  <si>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</si>
  <si>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</si>
  <si>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</si>
  <si>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</si>
  <si>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</si>
  <si>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</si>
  <si>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</si>
  <si>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</si>
  <si>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</si>
  <si>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</si>
  <si>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</si>
  <si>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</si>
  <si>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</si>
  <si>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</si>
  <si>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</si>
  <si>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</si>
  <si>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</si>
  <si>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</si>
  <si>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</si>
  <si>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</si>
  <si>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</si>
  <si>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</si>
  <si>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</si>
  <si>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</si>
  <si>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</si>
  <si>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</si>
  <si>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</si>
  <si>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</si>
  <si>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</si>
  <si>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</si>
  <si>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</si>
  <si>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</si>
  <si>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</si>
  <si>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</si>
  <si>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ПРОМ сентябрь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</si>
  <si>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</si>
  <si>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</si>
  <si>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</si>
  <si>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</si>
  <si>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</si>
  <si>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</si>
  <si>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</si>
  <si>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</si>
  <si>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</si>
  <si>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</si>
  <si>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</si>
  <si>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</si>
  <si>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</si>
  <si>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</si>
  <si>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</si>
  <si>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</si>
  <si>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</si>
  <si>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</si>
  <si>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</si>
  <si>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</si>
  <si>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</si>
  <si>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</si>
  <si>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</si>
  <si>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</si>
  <si>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</si>
  <si>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</si>
  <si>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</si>
  <si>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</si>
  <si>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</si>
  <si>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</si>
  <si>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</si>
  <si>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</si>
  <si>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</si>
  <si>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</si>
  <si>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</si>
  <si>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</si>
  <si>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</si>
  <si>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</si>
  <si>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</si>
  <si>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</si>
  <si>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</si>
  <si>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</si>
  <si>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</si>
  <si>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</si>
  <si>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</si>
  <si>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</si>
  <si>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</si>
  <si>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</si>
  <si>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</si>
  <si>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</si>
  <si>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</si>
  <si>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</si>
  <si>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</si>
  <si>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</si>
  <si>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33кг списаны (29,08,26)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</si>
  <si>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</si>
  <si>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</si>
  <si>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</si>
  <si>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</si>
  <si>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</si>
  <si>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</si>
  <si>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</si>
  <si>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</si>
  <si>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</si>
  <si>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</si>
  <si>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</si>
  <si>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</si>
  <si>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</si>
  <si>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</si>
  <si>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</si>
  <si>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</si>
  <si>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</si>
  <si>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</si>
  <si>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</si>
  <si>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</si>
  <si>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</si>
  <si>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</si>
  <si>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</si>
  <si>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</si>
  <si>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</si>
  <si>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</si>
  <si>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</si>
  <si>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</si>
  <si>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</si>
  <si>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</si>
  <si>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</si>
  <si>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</si>
  <si>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промо сеть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</si>
  <si>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</si>
  <si>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</si>
  <si>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</si>
  <si>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</si>
  <si>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</si>
  <si>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</si>
  <si>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</si>
  <si>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</si>
  <si>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</si>
  <si>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</si>
  <si>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</si>
  <si>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</si>
  <si>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</si>
  <si>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</si>
  <si>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</si>
  <si>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</si>
  <si>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</si>
  <si>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</si>
  <si>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</si>
  <si>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</si>
  <si>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</si>
  <si>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</si>
  <si>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</si>
  <si>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</si>
  <si>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</si>
  <si>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</si>
  <si>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</si>
  <si>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</si>
  <si>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</si>
  <si>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</si>
  <si>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</si>
  <si>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</si>
  <si>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</si>
  <si>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</si>
  <si>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промо сеть Главторг</t>
  </si>
  <si>
    <t>нужно увеличить продажи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</si>
  <si>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</si>
  <si>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</si>
  <si>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</si>
  <si>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</si>
  <si>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</si>
  <si>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</si>
  <si>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</si>
  <si>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</si>
  <si>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</si>
  <si>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</si>
  <si>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</si>
  <si>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</si>
  <si>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</si>
  <si>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</si>
  <si>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</si>
  <si>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</si>
  <si>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</si>
  <si>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</si>
  <si>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нужно увеличить продажи!!!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</si>
  <si>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</si>
  <si>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</si>
  <si>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</si>
  <si>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</si>
  <si>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</si>
  <si>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</si>
  <si>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</si>
  <si>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</si>
  <si>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</si>
  <si>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</si>
  <si>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</si>
  <si>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</si>
  <si>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</si>
  <si>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</si>
  <si>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</si>
  <si>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</si>
  <si>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</si>
  <si>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</si>
  <si>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</si>
  <si>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</si>
  <si>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</si>
  <si>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</si>
  <si>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</si>
  <si>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</si>
  <si>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</si>
  <si>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</si>
  <si>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</si>
  <si>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</si>
  <si>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</si>
  <si>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</si>
  <si>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</si>
  <si>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</si>
  <si>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</si>
  <si>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</si>
  <si>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</si>
  <si>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</si>
  <si>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</si>
  <si>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</si>
  <si>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</si>
  <si>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</si>
  <si>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</si>
  <si>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</si>
  <si>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</si>
  <si>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</si>
  <si>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</si>
  <si>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</si>
  <si>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</si>
  <si>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</si>
  <si>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</si>
  <si>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</si>
  <si>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</si>
  <si>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</si>
  <si>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</si>
  <si>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</si>
  <si>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</si>
  <si>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</si>
  <si>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</si>
  <si>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</si>
  <si>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</si>
  <si>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</si>
  <si>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</si>
  <si>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</si>
  <si>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</si>
  <si>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</si>
  <si>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>SU004145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</si>
  <si>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</si>
  <si>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</si>
  <si>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</si>
  <si>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</si>
  <si>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</si>
  <si>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</si>
  <si>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</si>
  <si>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</si>
  <si>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</si>
  <si>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</si>
  <si>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</si>
  <si>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</si>
  <si>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</si>
  <si>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</si>
  <si>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</si>
  <si>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 SU002354 </t>
  </si>
  <si>
    <t> Вареные колбасы «Молокуша» Фикс.вес 0,17 нарезка ТМ «Вязанка» </t>
  </si>
  <si>
    <t> 2 </t>
  </si>
  <si>
    <t> 1 </t>
  </si>
  <si>
    <t> -1 </t>
  </si>
  <si>
    <t> SU002356 </t>
  </si>
  <si>
    <t> Ветчины «Сливушка с индейкой» Фикс.вес 0,1 нарезка ТМ «Вязанка» </t>
  </si>
  <si>
    <t> 0 </t>
  </si>
  <si>
    <t> SU002758 </t>
  </si>
  <si>
    <t> Сардельки «Сочинки» Фикс.вес 0,4 п/а ТМ «Стародворье» </t>
  </si>
  <si>
    <t> 17 </t>
  </si>
  <si>
    <t> -17 </t>
  </si>
  <si>
    <t> SU002831 </t>
  </si>
  <si>
    <t> Колбаса вареная Филейская ТМ Вязанка ТС Классическая полиамид ф/в 0,4 кг </t>
  </si>
  <si>
    <t> 44 </t>
  </si>
  <si>
    <t> -44 </t>
  </si>
  <si>
    <t> SU002839 </t>
  </si>
  <si>
    <t> Вареные колбасы «Филейская» Весовой п/а ТМ «Вязанка» </t>
  </si>
  <si>
    <t> 281 </t>
  </si>
  <si>
    <t> 142 </t>
  </si>
  <si>
    <t> 72 </t>
  </si>
  <si>
    <t> -209 </t>
  </si>
  <si>
    <t> SU002943 </t>
  </si>
  <si>
    <t> В/к колбасы «Сочинка по-фински с сочным окороком» Весовой фиброуз ТМ «Стародворье» </t>
  </si>
  <si>
    <t> 81 </t>
  </si>
  <si>
    <t> -81 </t>
  </si>
  <si>
    <t> SU002944 </t>
  </si>
  <si>
    <t> В/к колбасы «Сочинка по-европейски с сочной грудинкой» срез Фикс.вес 0,3 фиброуз ТМ «Стародворье» </t>
  </si>
  <si>
    <t> 16 </t>
  </si>
  <si>
    <t> -16 </t>
  </si>
  <si>
    <t> SU002945 </t>
  </si>
  <si>
    <t> П/к колбасы «Сочинка зернистая с сочной грудинкой» Весовой фиброуз ТМ «Стародворье» </t>
  </si>
  <si>
    <t> 151 </t>
  </si>
  <si>
    <t> -151 </t>
  </si>
  <si>
    <t> SU002947 </t>
  </si>
  <si>
    <t> П/к колбасы «Сочинка рубленая с сочным окороком» Весовой фиброуз ТМ «Стародворье» </t>
  </si>
  <si>
    <t> 54 </t>
  </si>
  <si>
    <t> -54 </t>
  </si>
  <si>
    <t> SU002948 </t>
  </si>
  <si>
    <t> П/к колбасы «Сочинка рубленая с сочным окороком» срез Фикс.вес 0,3 фиброуз ТМ «Стародворье» </t>
  </si>
  <si>
    <t> 4 </t>
  </si>
  <si>
    <t> -4 </t>
  </si>
  <si>
    <t> SU003168 </t>
  </si>
  <si>
    <t> Сосиски «Баварские с сыром» Фикс.вес 0,35 п/а ТМ «Стародворье» </t>
  </si>
  <si>
    <t> 36 </t>
  </si>
  <si>
    <t> -36 </t>
  </si>
  <si>
    <t> SU003829 </t>
  </si>
  <si>
    <t> Копченые колбасы «Сервелат Мясорубский Делюкс» Фикс.вес 0,3 фиброуз ТМ «Стародворье» </t>
  </si>
  <si>
    <t> SU003894 </t>
  </si>
  <si>
    <t> Сырокопченые колбасы «Сервелат Ореховый» Фикс.вес 0,07 нарезка ТМ «Стародворье» </t>
  </si>
  <si>
    <t> 3 </t>
  </si>
  <si>
    <t> -3 </t>
  </si>
  <si>
    <t> SU004039 </t>
  </si>
  <si>
    <t> Копченые колбасы «Балыковая» Фикс.вес 0,28 фиброуз срез ТМ «Вязанка» </t>
  </si>
  <si>
    <t> 114 </t>
  </si>
  <si>
    <t> -114 </t>
  </si>
  <si>
    <t> SU004042 </t>
  </si>
  <si>
    <t> Копченые колбасы «Сервелат Ореховый» Фикс.вес 0,28 фиброуз срез ТМ «Вязанка» </t>
  </si>
  <si>
    <t> 25 </t>
  </si>
  <si>
    <t> -25 </t>
  </si>
  <si>
    <t> SU004044 </t>
  </si>
  <si>
    <t> Копченые колбасы «Сервелат Ореховый» Весовой фиброуз ТМ «Вязанка» </t>
  </si>
  <si>
    <t> 322 </t>
  </si>
  <si>
    <t> -322 </t>
  </si>
  <si>
    <t>22,09,недогр</t>
  </si>
  <si>
    <t>26,09,(2)недогр</t>
  </si>
  <si>
    <t> SU001430 </t>
  </si>
  <si>
    <t> Сардельки «Шпикачки Стародворские» Весовой NDX ТМ «Стародворье» </t>
  </si>
  <si>
    <t> 101 </t>
  </si>
  <si>
    <t> -101 </t>
  </si>
  <si>
    <t> SU001523 </t>
  </si>
  <si>
    <t> Сосиски «Вязанка Молочные» Весовой п/а ТМ «Вязанка» </t>
  </si>
  <si>
    <t> 73 </t>
  </si>
  <si>
    <t> 63 </t>
  </si>
  <si>
    <t> -10 </t>
  </si>
  <si>
    <t> 362 </t>
  </si>
  <si>
    <t> -362 </t>
  </si>
  <si>
    <t> SU003167 </t>
  </si>
  <si>
    <t> Сосиски «Баварские» Фикс.вес 0,35 П/а ТМ «Стародворье» </t>
  </si>
  <si>
    <t> 23 </t>
  </si>
  <si>
    <t> -23 </t>
  </si>
  <si>
    <t> 6 </t>
  </si>
  <si>
    <t> -6 </t>
  </si>
  <si>
    <t> SU004041 </t>
  </si>
  <si>
    <t> Копченые колбасы «Балыковая» Весовой фиброуз ТМ «Вязанка» </t>
  </si>
  <si>
    <t> 242 </t>
  </si>
  <si>
    <t> 175 </t>
  </si>
  <si>
    <t> -67 </t>
  </si>
  <si>
    <t>28,09,доз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</si>
</sst>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11"/>
      <color rgb="FF2C2D2E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4" borderId="1" xfId="1" applyNumberFormat="1" applyFill="1"/>
    <xf numFmtId="0" fontId="0" fillId="0" borderId="1" xfId="0"/>
    <xf numFmtId="164" fontId="1" fillId="8" borderId="2" xfId="1" applyNumberFormat="1" applyFill="1" applyBorder="1"/>
    <xf numFmtId="164" fontId="4" fillId="0" borderId="1" xfId="1" applyNumberFormat="1" applyFont="1"/>
    <xf numFmtId="164" fontId="4" fillId="3" borderId="1" xfId="1" applyNumberFormat="1" applyFont="1" applyFill="1"/>
    <xf numFmtId="164" fontId="4" fillId="6" borderId="1" xfId="1" applyNumberFormat="1" applyFont="1" applyFill="1"/>
    <xf numFmtId="0" fontId="0" fillId="0" borderId="1" xfId="0" applyBorder="1"/>
    <xf numFmtId="164" fontId="7" fillId="0" borderId="1" xfId="1" applyNumberFormat="1" applyFont="1"/>
    <xf numFmtId="164" fontId="7" fillId="3" borderId="1" xfId="1" applyNumberFormat="1" applyFont="1" applyFill="1"/>
    <xf numFmtId="164" fontId="7" fillId="6" borderId="1" xfId="1" applyNumberFormat="1" applyFont="1" applyFill="1"/>
    <xf numFmtId="0" fontId="8" fillId="0" borderId="1" xfId="0" applyFont="1"/>
    <xf numFmtId="0" fontId="6" fillId="0" borderId="1" xfId="0" applyFont="1" applyBorder="1"/>
    <xf numFmtId="0" fontId="9" fillId="9" borderId="2" xfId="0" applyFont="1" applyFill="1" applyBorder="1" applyAlignment="1">
      <alignment vertical="center" wrapText="1"/>
    </xf>
    <xf numFmtId="0" fontId="9" fillId="9" borderId="2" xfId="0" applyFont="1" applyFill="1" applyBorder="1" applyAlignment="1">
      <alignment horizontal="right" vertical="center" wrapText="1"/>
    </xf>
    <xf numFmtId="164" fontId="7" fillId="0" borderId="2" xfId="1" applyNumberFormat="1" applyFont="1" applyBorder="1"/>
    <xf numFmtId="164" fontId="7" fillId="8" borderId="2" xfId="1" applyNumberFormat="1" applyFont="1" applyFill="1" applyBorder="1"/>
    <xf numFmtId="0" fontId="10" fillId="0" borderId="0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5;&#1054;&#1050;&#1054;&#1052;%20&#1050;&#1048;/_&#1050;&#1086;&#1087;&#1080;&#1103;%20&#1076;&#1074;%202409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O4" t="str">
            <v>22,09,</v>
          </cell>
          <cell r="P4" t="str">
            <v>26,09,</v>
          </cell>
          <cell r="Q4" t="str">
            <v>26,09,(2)</v>
          </cell>
          <cell r="R4" t="str">
            <v>24,09,</v>
          </cell>
        </row>
        <row r="5">
          <cell r="E5">
            <v>54531.574999999997</v>
          </cell>
          <cell r="F5">
            <v>59969.960000000014</v>
          </cell>
          <cell r="K5">
            <v>58383.792999999998</v>
          </cell>
          <cell r="L5">
            <v>-3852.2179999999994</v>
          </cell>
          <cell r="M5">
            <v>0</v>
          </cell>
          <cell r="N5">
            <v>0</v>
          </cell>
          <cell r="O5">
            <v>21356.418089724404</v>
          </cell>
          <cell r="P5">
            <v>10855.441121319453</v>
          </cell>
          <cell r="Q5">
            <v>11806.230568116976</v>
          </cell>
          <cell r="R5">
            <v>10906.315000000001</v>
          </cell>
          <cell r="S5">
            <v>26304.033086839172</v>
          </cell>
          <cell r="T5">
            <v>290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629.24099999999999</v>
          </cell>
          <cell r="D6">
            <v>6884.482</v>
          </cell>
          <cell r="E6">
            <v>2757.1350000000002</v>
          </cell>
          <cell r="F6">
            <v>4232.6899999999996</v>
          </cell>
          <cell r="G6">
            <v>1</v>
          </cell>
          <cell r="H6">
            <v>50</v>
          </cell>
          <cell r="I6" t="str">
            <v>матрица</v>
          </cell>
          <cell r="K6">
            <v>2703.85</v>
          </cell>
          <cell r="L6">
            <v>53.285000000000309</v>
          </cell>
          <cell r="O6">
            <v>633.116174</v>
          </cell>
          <cell r="P6">
            <v>39.196802501800448</v>
          </cell>
          <cell r="R6">
            <v>551.42700000000002</v>
          </cell>
          <cell r="S6">
            <v>1436.4075234982001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1515.5429999999999</v>
          </cell>
          <cell r="D7">
            <v>1046.952</v>
          </cell>
          <cell r="E7">
            <v>1038.751</v>
          </cell>
          <cell r="F7">
            <v>1275.1990000000001</v>
          </cell>
          <cell r="G7">
            <v>1</v>
          </cell>
          <cell r="H7">
            <v>45</v>
          </cell>
          <cell r="I7" t="str">
            <v>матрица</v>
          </cell>
          <cell r="K7">
            <v>1023.2</v>
          </cell>
          <cell r="L7">
            <v>15.550999999999931</v>
          </cell>
          <cell r="O7">
            <v>664.40990200000033</v>
          </cell>
          <cell r="P7">
            <v>47.969639199999889</v>
          </cell>
          <cell r="Q7">
            <v>71.954458799999841</v>
          </cell>
          <cell r="R7">
            <v>207.75020000000001</v>
          </cell>
          <cell r="S7">
            <v>329.59429999999975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844.553</v>
          </cell>
          <cell r="D8">
            <v>2371.741</v>
          </cell>
          <cell r="E8">
            <v>1070.8389999999999</v>
          </cell>
          <cell r="F8">
            <v>1892.058</v>
          </cell>
          <cell r="G8">
            <v>1</v>
          </cell>
          <cell r="H8">
            <v>45</v>
          </cell>
          <cell r="I8" t="str">
            <v>матрица</v>
          </cell>
          <cell r="K8">
            <v>1043.1500000000001</v>
          </cell>
          <cell r="L8">
            <v>27.688999999999851</v>
          </cell>
          <cell r="O8">
            <v>0</v>
          </cell>
          <cell r="P8">
            <v>69.547215379600047</v>
          </cell>
          <cell r="Q8">
            <v>104.32082306940001</v>
          </cell>
          <cell r="R8">
            <v>214.1678</v>
          </cell>
          <cell r="S8">
            <v>397.00366155100028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P9">
            <v>0</v>
          </cell>
          <cell r="R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558</v>
          </cell>
          <cell r="D10">
            <v>1396</v>
          </cell>
          <cell r="E10">
            <v>730</v>
          </cell>
          <cell r="F10">
            <v>1003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761</v>
          </cell>
          <cell r="L10">
            <v>-31</v>
          </cell>
          <cell r="O10">
            <v>336.88444799999962</v>
          </cell>
          <cell r="P10">
            <v>0</v>
          </cell>
          <cell r="R10">
            <v>146</v>
          </cell>
          <cell r="S10">
            <v>339.11555200000043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834.24</v>
          </cell>
          <cell r="D11">
            <v>1550</v>
          </cell>
          <cell r="E11">
            <v>993</v>
          </cell>
          <cell r="F11">
            <v>1014.24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1044</v>
          </cell>
          <cell r="L11">
            <v>-51</v>
          </cell>
          <cell r="O11">
            <v>483.45899999999932</v>
          </cell>
          <cell r="P11">
            <v>116.0135764000002</v>
          </cell>
          <cell r="Q11">
            <v>174.02036460000039</v>
          </cell>
          <cell r="R11">
            <v>198.6</v>
          </cell>
          <cell r="S11">
            <v>496.16705900000011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118</v>
          </cell>
          <cell r="D12">
            <v>105</v>
          </cell>
          <cell r="E12">
            <v>59</v>
          </cell>
          <cell r="F12">
            <v>132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59</v>
          </cell>
          <cell r="L12">
            <v>0</v>
          </cell>
          <cell r="O12">
            <v>0</v>
          </cell>
          <cell r="P12">
            <v>0</v>
          </cell>
          <cell r="R12">
            <v>11.8</v>
          </cell>
          <cell r="S12">
            <v>10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D13">
            <v>258</v>
          </cell>
          <cell r="E13">
            <v>180</v>
          </cell>
          <cell r="F13">
            <v>55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188</v>
          </cell>
          <cell r="L13">
            <v>-8</v>
          </cell>
          <cell r="O13">
            <v>47</v>
          </cell>
          <cell r="P13">
            <v>80</v>
          </cell>
          <cell r="Q13">
            <v>120</v>
          </cell>
          <cell r="R13">
            <v>36</v>
          </cell>
          <cell r="S13">
            <v>112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349</v>
          </cell>
          <cell r="D14">
            <v>330</v>
          </cell>
          <cell r="E14">
            <v>229</v>
          </cell>
          <cell r="F14">
            <v>372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231</v>
          </cell>
          <cell r="L14">
            <v>-2</v>
          </cell>
          <cell r="O14">
            <v>60.79399999999999</v>
          </cell>
          <cell r="P14">
            <v>0</v>
          </cell>
          <cell r="R14">
            <v>45.8</v>
          </cell>
          <cell r="S14">
            <v>93.905999999999949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1070.3630000000001</v>
          </cell>
          <cell r="D15">
            <v>1147.1869999999999</v>
          </cell>
          <cell r="E15">
            <v>1334.9549999999999</v>
          </cell>
          <cell r="F15">
            <v>588.98900000000003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1305.0550000000001</v>
          </cell>
          <cell r="L15">
            <v>29.899999999999864</v>
          </cell>
          <cell r="O15">
            <v>762.18745399999966</v>
          </cell>
          <cell r="P15">
            <v>441.92989840000013</v>
          </cell>
          <cell r="Q15">
            <v>662.89484759999993</v>
          </cell>
          <cell r="R15">
            <v>266.99099999999999</v>
          </cell>
          <cell r="S15">
            <v>614.39529999999991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2731.4760000000001</v>
          </cell>
          <cell r="D16">
            <v>6817.1989999999996</v>
          </cell>
          <cell r="E16">
            <v>4140.768</v>
          </cell>
          <cell r="F16">
            <v>4649.8100000000004</v>
          </cell>
          <cell r="G16">
            <v>1</v>
          </cell>
          <cell r="H16">
            <v>50</v>
          </cell>
          <cell r="I16" t="str">
            <v>матрица</v>
          </cell>
          <cell r="K16">
            <v>4204.8</v>
          </cell>
          <cell r="L16">
            <v>-64.032000000000153</v>
          </cell>
          <cell r="O16">
            <v>1773.346297799998</v>
          </cell>
          <cell r="P16">
            <v>1794.480259187002</v>
          </cell>
          <cell r="Q16">
            <v>750</v>
          </cell>
          <cell r="R16">
            <v>828.15359999999998</v>
          </cell>
          <cell r="S16">
            <v>556.12984301300003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88.554000000000002</v>
          </cell>
          <cell r="D17">
            <v>101.126</v>
          </cell>
          <cell r="E17">
            <v>116.741</v>
          </cell>
          <cell r="F17">
            <v>54.279000000000003</v>
          </cell>
          <cell r="G17">
            <v>1</v>
          </cell>
          <cell r="H17">
            <v>60</v>
          </cell>
          <cell r="I17" t="str">
            <v>матрица</v>
          </cell>
          <cell r="K17">
            <v>118.36</v>
          </cell>
          <cell r="L17">
            <v>-1.6189999999999998</v>
          </cell>
          <cell r="O17">
            <v>42.580366000000019</v>
          </cell>
          <cell r="P17">
            <v>89.690433999999968</v>
          </cell>
          <cell r="R17">
            <v>23.348199999999999</v>
          </cell>
          <cell r="S17">
            <v>81.954499999999996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105.55</v>
          </cell>
          <cell r="D18">
            <v>92.072999999999993</v>
          </cell>
          <cell r="E18">
            <v>93.465000000000003</v>
          </cell>
          <cell r="F18">
            <v>90.039000000000001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93.61</v>
          </cell>
          <cell r="L18">
            <v>-0.14499999999999602</v>
          </cell>
          <cell r="O18">
            <v>0</v>
          </cell>
          <cell r="P18">
            <v>71.894199999999998</v>
          </cell>
          <cell r="R18">
            <v>18.693000000000001</v>
          </cell>
          <cell r="S18">
            <v>53.036300000000026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11.087</v>
          </cell>
          <cell r="D19">
            <v>16.088999999999999</v>
          </cell>
          <cell r="E19">
            <v>9.6829999999999998</v>
          </cell>
          <cell r="F19">
            <v>15.351000000000001</v>
          </cell>
          <cell r="G19">
            <v>1</v>
          </cell>
          <cell r="H19">
            <v>180</v>
          </cell>
          <cell r="I19" t="str">
            <v>матрица</v>
          </cell>
          <cell r="K19">
            <v>9.3040000000000003</v>
          </cell>
          <cell r="L19">
            <v>0.37899999999999956</v>
          </cell>
          <cell r="O19">
            <v>6.0233779999999992</v>
          </cell>
          <cell r="P19">
            <v>0</v>
          </cell>
          <cell r="R19">
            <v>1.9365999999999999</v>
          </cell>
          <cell r="S19">
            <v>4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1305.7070000000001</v>
          </cell>
          <cell r="D20">
            <v>1804.27</v>
          </cell>
          <cell r="E20">
            <v>1449.671</v>
          </cell>
          <cell r="F20">
            <v>1375.963</v>
          </cell>
          <cell r="G20">
            <v>1</v>
          </cell>
          <cell r="H20">
            <v>60</v>
          </cell>
          <cell r="I20" t="str">
            <v>матрица</v>
          </cell>
          <cell r="K20">
            <v>1425.559</v>
          </cell>
          <cell r="L20">
            <v>24.11200000000008</v>
          </cell>
          <cell r="O20">
            <v>599.70593014120016</v>
          </cell>
          <cell r="P20">
            <v>308.05603985380179</v>
          </cell>
          <cell r="Q20">
            <v>462.08405978070277</v>
          </cell>
          <cell r="R20">
            <v>289.93420000000003</v>
          </cell>
          <cell r="S20">
            <v>588.43427022429591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284.62900000000002</v>
          </cell>
          <cell r="D21">
            <v>260.31099999999998</v>
          </cell>
          <cell r="E21">
            <v>296.43200000000002</v>
          </cell>
          <cell r="F21">
            <v>206.01900000000001</v>
          </cell>
          <cell r="G21">
            <v>1</v>
          </cell>
          <cell r="H21">
            <v>70</v>
          </cell>
          <cell r="I21" t="str">
            <v>матрица</v>
          </cell>
          <cell r="K21">
            <v>280.99900000000002</v>
          </cell>
          <cell r="L21">
            <v>15.432999999999993</v>
          </cell>
          <cell r="O21">
            <v>57.919378999999907</v>
          </cell>
          <cell r="P21">
            <v>112.72496839999999</v>
          </cell>
          <cell r="Q21">
            <v>169.08745260000001</v>
          </cell>
          <cell r="R21">
            <v>59.2864</v>
          </cell>
          <cell r="S21">
            <v>136.04280000000006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533.50599999999997</v>
          </cell>
          <cell r="D22">
            <v>878.71</v>
          </cell>
          <cell r="E22">
            <v>503.92</v>
          </cell>
          <cell r="F22">
            <v>802.03599999999994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490.63</v>
          </cell>
          <cell r="L22">
            <v>13.29000000000002</v>
          </cell>
          <cell r="O22">
            <v>0</v>
          </cell>
          <cell r="P22">
            <v>74.306600000000003</v>
          </cell>
          <cell r="R22">
            <v>100.78400000000001</v>
          </cell>
          <cell r="S22">
            <v>282.67340000000024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G23">
            <v>0</v>
          </cell>
          <cell r="I23" t="str">
            <v>матрица</v>
          </cell>
          <cell r="L23">
            <v>0</v>
          </cell>
          <cell r="O23">
            <v>0</v>
          </cell>
          <cell r="P23">
            <v>0</v>
          </cell>
          <cell r="R23">
            <v>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759.04</v>
          </cell>
          <cell r="D24">
            <v>838.64300000000003</v>
          </cell>
          <cell r="E24">
            <v>784.322</v>
          </cell>
          <cell r="F24">
            <v>641.28800000000001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768.875</v>
          </cell>
          <cell r="L24">
            <v>15.447000000000003</v>
          </cell>
          <cell r="O24">
            <v>195.2961</v>
          </cell>
          <cell r="P24">
            <v>190.60051999999999</v>
          </cell>
          <cell r="Q24">
            <v>285.90077999999988</v>
          </cell>
          <cell r="R24">
            <v>156.86439999999999</v>
          </cell>
          <cell r="S24">
            <v>490.85519999999997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C25">
            <v>25.475999999999999</v>
          </cell>
          <cell r="D25">
            <v>381.91300000000001</v>
          </cell>
          <cell r="E25">
            <v>142.76400000000001</v>
          </cell>
          <cell r="F25">
            <v>235.74700000000001</v>
          </cell>
          <cell r="G25">
            <v>1</v>
          </cell>
          <cell r="H25">
            <v>40</v>
          </cell>
          <cell r="I25" t="str">
            <v>НЕДОГРУЗ / матрица</v>
          </cell>
          <cell r="K25">
            <v>146.05000000000001</v>
          </cell>
          <cell r="L25">
            <v>-3.2860000000000014</v>
          </cell>
          <cell r="O25">
            <v>0</v>
          </cell>
          <cell r="P25">
            <v>7.7158000000000584</v>
          </cell>
          <cell r="R25">
            <v>28.552800000000001</v>
          </cell>
          <cell r="S25">
            <v>84.894399999999962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42.567999999999998</v>
          </cell>
          <cell r="D26">
            <v>258.19799999999998</v>
          </cell>
          <cell r="E26">
            <v>232.12799999999999</v>
          </cell>
          <cell r="F26">
            <v>10.478999999999999</v>
          </cell>
          <cell r="G26">
            <v>1</v>
          </cell>
          <cell r="H26">
            <v>30</v>
          </cell>
          <cell r="I26" t="str">
            <v>НЕДОГРУЗ / матрица</v>
          </cell>
          <cell r="K26">
            <v>242.4</v>
          </cell>
          <cell r="L26">
            <v>-10.27200000000002</v>
          </cell>
          <cell r="O26">
            <v>256.42599999999999</v>
          </cell>
          <cell r="P26">
            <v>75.611920000000012</v>
          </cell>
          <cell r="Q26">
            <v>113.41788</v>
          </cell>
          <cell r="R26">
            <v>46.425599999999996</v>
          </cell>
          <cell r="S26">
            <v>77.959599999999952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139.41499999999999</v>
          </cell>
          <cell r="D27">
            <v>111.676</v>
          </cell>
          <cell r="E27">
            <v>175.70500000000001</v>
          </cell>
          <cell r="F27">
            <v>49.421999999999997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155.6</v>
          </cell>
          <cell r="L27">
            <v>20.105000000000018</v>
          </cell>
          <cell r="O27">
            <v>102.1647</v>
          </cell>
          <cell r="P27">
            <v>94.127080000000007</v>
          </cell>
          <cell r="Q27">
            <v>141.19062</v>
          </cell>
          <cell r="R27">
            <v>35.141000000000005</v>
          </cell>
          <cell r="S27">
            <v>17.217100000000116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743.78899999999999</v>
          </cell>
          <cell r="D28">
            <v>2543.7139999999999</v>
          </cell>
          <cell r="E28">
            <v>1551.296</v>
          </cell>
          <cell r="F28">
            <v>1304.3320000000001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1612.152</v>
          </cell>
          <cell r="L28">
            <v>-60.855999999999995</v>
          </cell>
          <cell r="O28">
            <v>842.31180000000018</v>
          </cell>
          <cell r="P28">
            <v>309.57335999999998</v>
          </cell>
          <cell r="Q28">
            <v>464.36003999999991</v>
          </cell>
          <cell r="R28">
            <v>310.25920000000002</v>
          </cell>
          <cell r="S28">
            <v>647.4036000000001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207.45699999999999</v>
          </cell>
          <cell r="D29">
            <v>3792.248</v>
          </cell>
          <cell r="E29">
            <v>1943.73</v>
          </cell>
          <cell r="F29">
            <v>1758.3050000000001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1786.46</v>
          </cell>
          <cell r="L29">
            <v>157.26999999999998</v>
          </cell>
          <cell r="O29">
            <v>712.02770000000078</v>
          </cell>
          <cell r="P29">
            <v>539.88983999999994</v>
          </cell>
          <cell r="Q29">
            <v>809.83475999999985</v>
          </cell>
          <cell r="R29">
            <v>388.74599999999998</v>
          </cell>
          <cell r="S29">
            <v>650.52169999999956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O30">
            <v>0</v>
          </cell>
          <cell r="P30">
            <v>0</v>
          </cell>
          <cell r="R30">
            <v>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213.239</v>
          </cell>
          <cell r="D31">
            <v>114.44199999999999</v>
          </cell>
          <cell r="E31">
            <v>215.83799999999999</v>
          </cell>
          <cell r="F31">
            <v>35.182000000000002</v>
          </cell>
          <cell r="G31">
            <v>1</v>
          </cell>
          <cell r="H31">
            <v>30</v>
          </cell>
          <cell r="I31" t="str">
            <v>матрица</v>
          </cell>
          <cell r="K31">
            <v>226.25</v>
          </cell>
          <cell r="L31">
            <v>-10.412000000000006</v>
          </cell>
          <cell r="O31">
            <v>169.54846900000021</v>
          </cell>
          <cell r="P31">
            <v>62.833172399999938</v>
          </cell>
          <cell r="Q31">
            <v>94.249758599999893</v>
          </cell>
          <cell r="R31">
            <v>43.1676</v>
          </cell>
          <cell r="S31">
            <v>134.61399999999992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G32">
            <v>0</v>
          </cell>
          <cell r="I32" t="str">
            <v>матрица</v>
          </cell>
          <cell r="K32">
            <v>1.3</v>
          </cell>
          <cell r="L32">
            <v>-1.3</v>
          </cell>
          <cell r="O32">
            <v>0</v>
          </cell>
          <cell r="P32">
            <v>0</v>
          </cell>
          <cell r="R32">
            <v>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P33">
            <v>0</v>
          </cell>
          <cell r="R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521</v>
          </cell>
          <cell r="D34">
            <v>8731</v>
          </cell>
          <cell r="E34">
            <v>5418</v>
          </cell>
          <cell r="F34">
            <v>2481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5529</v>
          </cell>
          <cell r="L34">
            <v>-111</v>
          </cell>
          <cell r="O34">
            <v>2811.1999999999989</v>
          </cell>
          <cell r="P34">
            <v>880</v>
          </cell>
          <cell r="Q34">
            <v>1320</v>
          </cell>
          <cell r="R34">
            <v>1083.5999999999999</v>
          </cell>
          <cell r="S34">
            <v>4969.2000000000007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248</v>
          </cell>
          <cell r="D35">
            <v>1282</v>
          </cell>
          <cell r="E35">
            <v>569</v>
          </cell>
          <cell r="F35">
            <v>782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583</v>
          </cell>
          <cell r="L35">
            <v>-14</v>
          </cell>
          <cell r="O35">
            <v>228.7850000000002</v>
          </cell>
          <cell r="P35">
            <v>75.706770999999662</v>
          </cell>
          <cell r="R35">
            <v>113.8</v>
          </cell>
          <cell r="S35">
            <v>222.20822900000019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107</v>
          </cell>
          <cell r="D36">
            <v>2017</v>
          </cell>
          <cell r="E36">
            <v>797</v>
          </cell>
          <cell r="F36">
            <v>1049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827</v>
          </cell>
          <cell r="L36">
            <v>-30</v>
          </cell>
          <cell r="O36">
            <v>200</v>
          </cell>
          <cell r="P36">
            <v>72.639999999999972</v>
          </cell>
          <cell r="Q36">
            <v>108.95999999999989</v>
          </cell>
          <cell r="R36">
            <v>159.4</v>
          </cell>
          <cell r="S36">
            <v>402.50000000000045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30</v>
          </cell>
          <cell r="E37">
            <v>8</v>
          </cell>
          <cell r="F37">
            <v>18</v>
          </cell>
          <cell r="G37">
            <v>0.4</v>
          </cell>
          <cell r="H37">
            <v>40</v>
          </cell>
          <cell r="I37" t="str">
            <v>НЕДОГРУЗ / матрица</v>
          </cell>
          <cell r="K37">
            <v>10</v>
          </cell>
          <cell r="L37">
            <v>-2</v>
          </cell>
          <cell r="O37">
            <v>30</v>
          </cell>
          <cell r="P37">
            <v>0</v>
          </cell>
          <cell r="R37">
            <v>1.6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263.12799999999999</v>
          </cell>
          <cell r="D38">
            <v>76.658000000000001</v>
          </cell>
          <cell r="E38">
            <v>130.684</v>
          </cell>
          <cell r="F38">
            <v>184.68100000000001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127.35</v>
          </cell>
          <cell r="L38">
            <v>3.3340000000000032</v>
          </cell>
          <cell r="O38">
            <v>30.311599999999999</v>
          </cell>
          <cell r="P38">
            <v>21.815799999999999</v>
          </cell>
          <cell r="R38">
            <v>26.136800000000001</v>
          </cell>
          <cell r="S38">
            <v>63.764799999999951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345</v>
          </cell>
          <cell r="D39">
            <v>854</v>
          </cell>
          <cell r="E39">
            <v>437</v>
          </cell>
          <cell r="F39">
            <v>648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451</v>
          </cell>
          <cell r="L39">
            <v>-14</v>
          </cell>
          <cell r="O39">
            <v>140.97500000000011</v>
          </cell>
          <cell r="P39">
            <v>0</v>
          </cell>
          <cell r="R39">
            <v>87.4</v>
          </cell>
          <cell r="S39">
            <v>216.12499999999989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18</v>
          </cell>
          <cell r="E40">
            <v>-1</v>
          </cell>
          <cell r="F40">
            <v>18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261</v>
          </cell>
          <cell r="L40">
            <v>-262</v>
          </cell>
          <cell r="O40">
            <v>150</v>
          </cell>
          <cell r="P40">
            <v>60</v>
          </cell>
          <cell r="Q40">
            <v>90</v>
          </cell>
          <cell r="R40">
            <v>-0.2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49.481999999999999</v>
          </cell>
          <cell r="D41">
            <v>54.283000000000001</v>
          </cell>
          <cell r="E41">
            <v>91.793000000000006</v>
          </cell>
          <cell r="F41">
            <v>1.149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133.69999999999999</v>
          </cell>
          <cell r="L41">
            <v>-41.906999999999982</v>
          </cell>
          <cell r="O41">
            <v>80</v>
          </cell>
          <cell r="P41">
            <v>80</v>
          </cell>
          <cell r="R41">
            <v>18.358600000000003</v>
          </cell>
          <cell r="S41">
            <v>49.974900000000019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D42">
            <v>1398</v>
          </cell>
          <cell r="E42">
            <v>609</v>
          </cell>
          <cell r="F42">
            <v>663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618</v>
          </cell>
          <cell r="L42">
            <v>-9</v>
          </cell>
          <cell r="O42">
            <v>0</v>
          </cell>
          <cell r="P42">
            <v>50</v>
          </cell>
          <cell r="R42">
            <v>121.8</v>
          </cell>
          <cell r="S42">
            <v>687.7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152</v>
          </cell>
          <cell r="D43">
            <v>254</v>
          </cell>
          <cell r="E43">
            <v>276</v>
          </cell>
          <cell r="F43">
            <v>92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367</v>
          </cell>
          <cell r="L43">
            <v>-91</v>
          </cell>
          <cell r="O43">
            <v>50</v>
          </cell>
          <cell r="P43">
            <v>100</v>
          </cell>
          <cell r="Q43">
            <v>150</v>
          </cell>
          <cell r="R43">
            <v>55.2</v>
          </cell>
          <cell r="S43">
            <v>242.80000000000007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0.93899999999999995</v>
          </cell>
          <cell r="D44">
            <v>0.73099999999999998</v>
          </cell>
          <cell r="E44">
            <v>-2.327</v>
          </cell>
          <cell r="F44">
            <v>0.93700000000000006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110.1</v>
          </cell>
          <cell r="L44">
            <v>-112.42699999999999</v>
          </cell>
          <cell r="O44">
            <v>300</v>
          </cell>
          <cell r="P44">
            <v>200</v>
          </cell>
          <cell r="Q44">
            <v>300</v>
          </cell>
          <cell r="R44">
            <v>-0.46539999999999998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196</v>
          </cell>
          <cell r="D45">
            <v>8</v>
          </cell>
          <cell r="E45">
            <v>160</v>
          </cell>
          <cell r="F45">
            <v>18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1221</v>
          </cell>
          <cell r="L45">
            <v>-1061</v>
          </cell>
          <cell r="O45">
            <v>531.20000000000027</v>
          </cell>
          <cell r="P45">
            <v>280</v>
          </cell>
          <cell r="Q45">
            <v>420</v>
          </cell>
          <cell r="R45">
            <v>32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624</v>
          </cell>
          <cell r="D46">
            <v>708</v>
          </cell>
          <cell r="E46">
            <v>731</v>
          </cell>
          <cell r="F46">
            <v>427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748</v>
          </cell>
          <cell r="L46">
            <v>-17</v>
          </cell>
          <cell r="O46">
            <v>0</v>
          </cell>
          <cell r="P46">
            <v>279.27999999999992</v>
          </cell>
          <cell r="Q46">
            <v>418.9199999999999</v>
          </cell>
          <cell r="R46">
            <v>146.19999999999999</v>
          </cell>
          <cell r="S46">
            <v>556.10000000000014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344.34399999999999</v>
          </cell>
          <cell r="D47">
            <v>760.25300000000004</v>
          </cell>
          <cell r="E47">
            <v>526.06200000000001</v>
          </cell>
          <cell r="F47">
            <v>514.02200000000005</v>
          </cell>
          <cell r="G47">
            <v>1</v>
          </cell>
          <cell r="H47">
            <v>50</v>
          </cell>
          <cell r="I47" t="str">
            <v>матрица</v>
          </cell>
          <cell r="K47">
            <v>518.75</v>
          </cell>
          <cell r="L47">
            <v>7.3120000000000118</v>
          </cell>
          <cell r="O47">
            <v>193.9913134</v>
          </cell>
          <cell r="P47">
            <v>76.510232317200007</v>
          </cell>
          <cell r="Q47">
            <v>114.7653484758</v>
          </cell>
          <cell r="R47">
            <v>105.2124</v>
          </cell>
          <cell r="S47">
            <v>310.65370580700005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404.25900000000001</v>
          </cell>
          <cell r="D48">
            <v>1127.77</v>
          </cell>
          <cell r="E48">
            <v>732.12900000000002</v>
          </cell>
          <cell r="F48">
            <v>682.572</v>
          </cell>
          <cell r="G48">
            <v>1</v>
          </cell>
          <cell r="H48">
            <v>50</v>
          </cell>
          <cell r="I48" t="str">
            <v>матрица</v>
          </cell>
          <cell r="K48">
            <v>726.85</v>
          </cell>
          <cell r="L48">
            <v>5.2789999999999964</v>
          </cell>
          <cell r="O48">
            <v>243.3991309999997</v>
          </cell>
          <cell r="P48">
            <v>184.7405109268002</v>
          </cell>
          <cell r="Q48">
            <v>277.1107663902003</v>
          </cell>
          <cell r="R48">
            <v>146.42580000000001</v>
          </cell>
          <cell r="S48">
            <v>296.07429168299984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D49">
            <v>17.664000000000001</v>
          </cell>
          <cell r="F49">
            <v>16.169</v>
          </cell>
          <cell r="G49">
            <v>1</v>
          </cell>
          <cell r="H49">
            <v>45</v>
          </cell>
          <cell r="I49" t="str">
            <v>НЕДОГРУЗ / матрица</v>
          </cell>
          <cell r="L49">
            <v>0</v>
          </cell>
          <cell r="O49">
            <v>10</v>
          </cell>
          <cell r="P49">
            <v>10</v>
          </cell>
          <cell r="R49">
            <v>0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242</v>
          </cell>
          <cell r="D50">
            <v>150</v>
          </cell>
          <cell r="E50">
            <v>196</v>
          </cell>
          <cell r="F50">
            <v>164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200</v>
          </cell>
          <cell r="L50">
            <v>-4</v>
          </cell>
          <cell r="O50">
            <v>134.51400000000001</v>
          </cell>
          <cell r="P50">
            <v>79.714399999999983</v>
          </cell>
          <cell r="Q50">
            <v>119.5716</v>
          </cell>
          <cell r="R50">
            <v>39.200000000000003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712</v>
          </cell>
          <cell r="D51">
            <v>452</v>
          </cell>
          <cell r="E51">
            <v>567</v>
          </cell>
          <cell r="F51">
            <v>467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572</v>
          </cell>
          <cell r="L51">
            <v>-5</v>
          </cell>
          <cell r="O51">
            <v>95.146000000000001</v>
          </cell>
          <cell r="P51">
            <v>156.98159999999999</v>
          </cell>
          <cell r="Q51">
            <v>235.47239999999999</v>
          </cell>
          <cell r="R51">
            <v>113.4</v>
          </cell>
          <cell r="S51">
            <v>349.50000000000034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6</v>
          </cell>
          <cell r="D52">
            <v>150</v>
          </cell>
          <cell r="E52">
            <v>46</v>
          </cell>
          <cell r="F52">
            <v>103</v>
          </cell>
          <cell r="G52">
            <v>0.4</v>
          </cell>
          <cell r="H52">
            <v>40</v>
          </cell>
          <cell r="I52" t="str">
            <v>НЕДОГРУЗ / матрица</v>
          </cell>
          <cell r="K52">
            <v>50</v>
          </cell>
          <cell r="L52">
            <v>-4</v>
          </cell>
          <cell r="O52">
            <v>40</v>
          </cell>
          <cell r="P52">
            <v>0</v>
          </cell>
          <cell r="R52">
            <v>9.1999999999999993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125</v>
          </cell>
          <cell r="D53">
            <v>78</v>
          </cell>
          <cell r="E53">
            <v>112</v>
          </cell>
          <cell r="F53">
            <v>73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117</v>
          </cell>
          <cell r="L53">
            <v>-5</v>
          </cell>
          <cell r="O53">
            <v>10</v>
          </cell>
          <cell r="P53">
            <v>48.400000000000013</v>
          </cell>
          <cell r="R53">
            <v>22.4</v>
          </cell>
          <cell r="S53">
            <v>126.19999999999996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735.58600000000001</v>
          </cell>
          <cell r="D54">
            <v>887.49900000000002</v>
          </cell>
          <cell r="E54">
            <v>705.81399999999996</v>
          </cell>
          <cell r="F54">
            <v>804.02599999999995</v>
          </cell>
          <cell r="G54">
            <v>1</v>
          </cell>
          <cell r="H54">
            <v>50</v>
          </cell>
          <cell r="I54" t="str">
            <v>матрица</v>
          </cell>
          <cell r="K54">
            <v>692.2</v>
          </cell>
          <cell r="L54">
            <v>13.613999999999919</v>
          </cell>
          <cell r="O54">
            <v>134.020938</v>
          </cell>
          <cell r="P54">
            <v>194.9390648000001</v>
          </cell>
          <cell r="Q54">
            <v>292.40859720000009</v>
          </cell>
          <cell r="R54">
            <v>141.1628</v>
          </cell>
          <cell r="S54">
            <v>197.97759999999994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54</v>
          </cell>
          <cell r="D55">
            <v>1041</v>
          </cell>
          <cell r="E55">
            <v>368</v>
          </cell>
          <cell r="F55">
            <v>546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263</v>
          </cell>
          <cell r="L55">
            <v>105</v>
          </cell>
          <cell r="O55">
            <v>162.36600000000001</v>
          </cell>
          <cell r="P55">
            <v>0</v>
          </cell>
          <cell r="R55">
            <v>73.599999999999994</v>
          </cell>
          <cell r="S55">
            <v>138.03399999999999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657.76099999999997</v>
          </cell>
          <cell r="D56">
            <v>1493.962</v>
          </cell>
          <cell r="E56">
            <v>972.197</v>
          </cell>
          <cell r="F56">
            <v>989.27</v>
          </cell>
          <cell r="G56">
            <v>1</v>
          </cell>
          <cell r="H56">
            <v>50</v>
          </cell>
          <cell r="I56" t="str">
            <v>матрица</v>
          </cell>
          <cell r="K56">
            <v>947.25</v>
          </cell>
          <cell r="L56">
            <v>24.947000000000003</v>
          </cell>
          <cell r="O56">
            <v>272.40740540000007</v>
          </cell>
          <cell r="P56">
            <v>221.19948764392001</v>
          </cell>
          <cell r="Q56">
            <v>331.79923146587993</v>
          </cell>
          <cell r="R56">
            <v>194.43940000000001</v>
          </cell>
          <cell r="S56">
            <v>421.37697549020004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149.68100000000001</v>
          </cell>
          <cell r="D57">
            <v>21.972999999999999</v>
          </cell>
          <cell r="E57">
            <v>74.572999999999993</v>
          </cell>
          <cell r="F57">
            <v>82.09</v>
          </cell>
          <cell r="G57">
            <v>1</v>
          </cell>
          <cell r="H57">
            <v>55</v>
          </cell>
          <cell r="I57" t="str">
            <v>матрица</v>
          </cell>
          <cell r="K57">
            <v>71.7</v>
          </cell>
          <cell r="L57">
            <v>2.8729999999999905</v>
          </cell>
          <cell r="O57">
            <v>124.73517200000001</v>
          </cell>
          <cell r="P57">
            <v>0</v>
          </cell>
          <cell r="R57">
            <v>14.914599999999998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109</v>
          </cell>
          <cell r="D58">
            <v>528</v>
          </cell>
          <cell r="E58">
            <v>190</v>
          </cell>
          <cell r="F58">
            <v>392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196</v>
          </cell>
          <cell r="L58">
            <v>-6</v>
          </cell>
          <cell r="O58">
            <v>51.753999999999991</v>
          </cell>
          <cell r="P58">
            <v>0</v>
          </cell>
          <cell r="R58">
            <v>38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329</v>
          </cell>
          <cell r="D59">
            <v>152</v>
          </cell>
          <cell r="E59">
            <v>200</v>
          </cell>
          <cell r="F59">
            <v>185</v>
          </cell>
          <cell r="G59">
            <v>0.4</v>
          </cell>
          <cell r="H59">
            <v>50</v>
          </cell>
          <cell r="I59" t="str">
            <v>матрица</v>
          </cell>
          <cell r="K59">
            <v>213</v>
          </cell>
          <cell r="L59">
            <v>-13</v>
          </cell>
          <cell r="O59">
            <v>107.408</v>
          </cell>
          <cell r="P59">
            <v>42.192000000000007</v>
          </cell>
          <cell r="R59">
            <v>40</v>
          </cell>
          <cell r="S59">
            <v>125.39999999999998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273.53500000000003</v>
          </cell>
          <cell r="D60">
            <v>868.37800000000004</v>
          </cell>
          <cell r="E60">
            <v>525.79399999999998</v>
          </cell>
          <cell r="F60">
            <v>559.00199999999995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534.9</v>
          </cell>
          <cell r="L60">
            <v>-9.1059999999999945</v>
          </cell>
          <cell r="O60">
            <v>0</v>
          </cell>
          <cell r="P60">
            <v>158.17663999999999</v>
          </cell>
          <cell r="Q60">
            <v>237.26496</v>
          </cell>
          <cell r="R60">
            <v>105.1588</v>
          </cell>
          <cell r="S60">
            <v>254.88260000000002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316.947</v>
          </cell>
          <cell r="E61">
            <v>315.05200000000002</v>
          </cell>
          <cell r="F61">
            <v>-2.8069999999999999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309.60000000000002</v>
          </cell>
          <cell r="L61">
            <v>5.4519999999999982</v>
          </cell>
          <cell r="O61">
            <v>408.34542650000031</v>
          </cell>
          <cell r="P61">
            <v>120</v>
          </cell>
          <cell r="Q61">
            <v>180</v>
          </cell>
          <cell r="R61">
            <v>63.010400000000004</v>
          </cell>
          <cell r="S61">
            <v>19.081173499999675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1209</v>
          </cell>
          <cell r="D62">
            <v>1354</v>
          </cell>
          <cell r="E62">
            <v>967</v>
          </cell>
          <cell r="F62">
            <v>1371</v>
          </cell>
          <cell r="G62">
            <v>0.4</v>
          </cell>
          <cell r="H62">
            <v>40</v>
          </cell>
          <cell r="I62" t="str">
            <v>НЕДОГРУЗ / матрица</v>
          </cell>
          <cell r="K62">
            <v>992</v>
          </cell>
          <cell r="L62">
            <v>-25</v>
          </cell>
          <cell r="O62">
            <v>0</v>
          </cell>
          <cell r="P62">
            <v>143.36000000000001</v>
          </cell>
          <cell r="Q62">
            <v>215.04</v>
          </cell>
          <cell r="R62">
            <v>193.4</v>
          </cell>
          <cell r="S62">
            <v>494.69999999999982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16</v>
          </cell>
          <cell r="D63">
            <v>1605</v>
          </cell>
          <cell r="E63">
            <v>509</v>
          </cell>
          <cell r="F63">
            <v>919</v>
          </cell>
          <cell r="G63">
            <v>0.4</v>
          </cell>
          <cell r="H63">
            <v>40</v>
          </cell>
          <cell r="I63" t="str">
            <v>матрица</v>
          </cell>
          <cell r="K63">
            <v>634</v>
          </cell>
          <cell r="L63">
            <v>-125</v>
          </cell>
          <cell r="O63">
            <v>0</v>
          </cell>
          <cell r="P63">
            <v>0</v>
          </cell>
          <cell r="R63">
            <v>101.8</v>
          </cell>
          <cell r="S63">
            <v>251.70000000000005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0.28100000000000003</v>
          </cell>
          <cell r="D64">
            <v>310.60199999999998</v>
          </cell>
          <cell r="E64">
            <v>126.298</v>
          </cell>
          <cell r="F64">
            <v>1.6E-2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174.85</v>
          </cell>
          <cell r="L64">
            <v>-48.551999999999992</v>
          </cell>
          <cell r="O64">
            <v>382.65420000000012</v>
          </cell>
          <cell r="P64">
            <v>0</v>
          </cell>
          <cell r="R64">
            <v>25.259599999999999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D65">
            <v>103.00700000000001</v>
          </cell>
          <cell r="E65">
            <v>86.917000000000002</v>
          </cell>
          <cell r="F65">
            <v>-0.16600000000000001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110.15</v>
          </cell>
          <cell r="L65">
            <v>-23.233000000000004</v>
          </cell>
          <cell r="O65">
            <v>80</v>
          </cell>
          <cell r="P65">
            <v>0</v>
          </cell>
          <cell r="R65">
            <v>17.383400000000002</v>
          </cell>
          <cell r="S65">
            <v>120.07510000000002</v>
          </cell>
          <cell r="T65">
            <v>200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-0.122</v>
          </cell>
          <cell r="D66">
            <v>303.916</v>
          </cell>
          <cell r="E66">
            <v>297.61500000000001</v>
          </cell>
          <cell r="F66">
            <v>-1.042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350.65</v>
          </cell>
          <cell r="L66">
            <v>-53.034999999999968</v>
          </cell>
          <cell r="O66">
            <v>150</v>
          </cell>
          <cell r="P66">
            <v>240</v>
          </cell>
          <cell r="Q66">
            <v>360</v>
          </cell>
          <cell r="R66">
            <v>59.523000000000003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-10.111000000000001</v>
          </cell>
          <cell r="E67">
            <v>-4.5039999999999996</v>
          </cell>
          <cell r="F67">
            <v>-10.111000000000001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14.4</v>
          </cell>
          <cell r="L67">
            <v>-18.904</v>
          </cell>
          <cell r="O67">
            <v>50</v>
          </cell>
          <cell r="P67">
            <v>50</v>
          </cell>
          <cell r="R67">
            <v>-0.90079999999999993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23</v>
          </cell>
          <cell r="E68">
            <v>8</v>
          </cell>
          <cell r="F68">
            <v>14</v>
          </cell>
          <cell r="G68">
            <v>0.6</v>
          </cell>
          <cell r="H68">
            <v>70</v>
          </cell>
          <cell r="I68" t="str">
            <v>матрица</v>
          </cell>
          <cell r="K68">
            <v>9</v>
          </cell>
          <cell r="L68">
            <v>-1</v>
          </cell>
          <cell r="O68">
            <v>0</v>
          </cell>
          <cell r="P68">
            <v>0</v>
          </cell>
          <cell r="R68">
            <v>1.6</v>
          </cell>
          <cell r="S68">
            <v>8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100.504</v>
          </cell>
          <cell r="D69">
            <v>332.25200000000001</v>
          </cell>
          <cell r="E69">
            <v>185.94399999999999</v>
          </cell>
          <cell r="F69">
            <v>165.11600000000001</v>
          </cell>
          <cell r="G69">
            <v>1</v>
          </cell>
          <cell r="H69">
            <v>30</v>
          </cell>
          <cell r="I69" t="str">
            <v>НЕДОГРУЗ / матрица</v>
          </cell>
          <cell r="K69">
            <v>215.8</v>
          </cell>
          <cell r="L69">
            <v>-29.856000000000023</v>
          </cell>
          <cell r="O69">
            <v>103.1854000000001</v>
          </cell>
          <cell r="P69">
            <v>72.262599999999907</v>
          </cell>
          <cell r="R69">
            <v>37.188800000000001</v>
          </cell>
          <cell r="S69">
            <v>87.107199999999978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127</v>
          </cell>
          <cell r="D70">
            <v>96</v>
          </cell>
          <cell r="E70">
            <v>130</v>
          </cell>
          <cell r="F70">
            <v>49</v>
          </cell>
          <cell r="G70">
            <v>0.6</v>
          </cell>
          <cell r="H70">
            <v>60</v>
          </cell>
          <cell r="I70" t="str">
            <v>матрица</v>
          </cell>
          <cell r="K70">
            <v>130</v>
          </cell>
          <cell r="L70">
            <v>0</v>
          </cell>
          <cell r="O70">
            <v>151.858</v>
          </cell>
          <cell r="P70">
            <v>76.341999999999985</v>
          </cell>
          <cell r="R70">
            <v>26</v>
          </cell>
          <cell r="S70">
            <v>21.800000000000011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39</v>
          </cell>
          <cell r="D71">
            <v>32</v>
          </cell>
          <cell r="E71">
            <v>63</v>
          </cell>
          <cell r="F71">
            <v>4</v>
          </cell>
          <cell r="G71">
            <v>0.6</v>
          </cell>
          <cell r="H71">
            <v>60</v>
          </cell>
          <cell r="I71" t="str">
            <v>матрица</v>
          </cell>
          <cell r="K71">
            <v>63</v>
          </cell>
          <cell r="L71">
            <v>0</v>
          </cell>
          <cell r="O71">
            <v>67.699999999999989</v>
          </cell>
          <cell r="P71">
            <v>52.5</v>
          </cell>
          <cell r="R71">
            <v>12.6</v>
          </cell>
          <cell r="S71">
            <v>20.700000000000017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244</v>
          </cell>
          <cell r="D72">
            <v>56</v>
          </cell>
          <cell r="E72">
            <v>155</v>
          </cell>
          <cell r="F72">
            <v>133</v>
          </cell>
          <cell r="G72">
            <v>0.4</v>
          </cell>
          <cell r="H72">
            <v>90</v>
          </cell>
          <cell r="I72" t="str">
            <v>НЕДОГРУЗ / матрица</v>
          </cell>
          <cell r="K72">
            <v>154</v>
          </cell>
          <cell r="L72">
            <v>1</v>
          </cell>
          <cell r="O72">
            <v>49</v>
          </cell>
          <cell r="P72">
            <v>57.800000000000011</v>
          </cell>
          <cell r="R72">
            <v>31</v>
          </cell>
          <cell r="S72">
            <v>116.69999999999999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218</v>
          </cell>
          <cell r="D73">
            <v>200</v>
          </cell>
          <cell r="E73">
            <v>168</v>
          </cell>
          <cell r="F73">
            <v>239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169</v>
          </cell>
          <cell r="L73">
            <v>-1</v>
          </cell>
          <cell r="O73">
            <v>75.799999999999955</v>
          </cell>
          <cell r="P73">
            <v>94.800000000000011</v>
          </cell>
          <cell r="R73">
            <v>33.6</v>
          </cell>
          <cell r="S73">
            <v>60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5</v>
          </cell>
          <cell r="D74">
            <v>104</v>
          </cell>
          <cell r="E74">
            <v>27</v>
          </cell>
          <cell r="F74">
            <v>72</v>
          </cell>
          <cell r="G74">
            <v>0.35</v>
          </cell>
          <cell r="H74">
            <v>90</v>
          </cell>
          <cell r="I74" t="str">
            <v>НЕДОГРУЗ / матрица</v>
          </cell>
          <cell r="K74">
            <v>112</v>
          </cell>
          <cell r="L74">
            <v>-85</v>
          </cell>
          <cell r="O74">
            <v>150</v>
          </cell>
          <cell r="P74">
            <v>0</v>
          </cell>
          <cell r="R74">
            <v>5.4</v>
          </cell>
          <cell r="S74">
            <v>50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351</v>
          </cell>
          <cell r="D75">
            <v>991</v>
          </cell>
          <cell r="E75">
            <v>522</v>
          </cell>
          <cell r="F75">
            <v>740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525</v>
          </cell>
          <cell r="L75">
            <v>-3</v>
          </cell>
          <cell r="O75">
            <v>189.56</v>
          </cell>
          <cell r="P75">
            <v>25.380628000000119</v>
          </cell>
          <cell r="R75">
            <v>104.4</v>
          </cell>
          <cell r="S75">
            <v>245.65937200000008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63</v>
          </cell>
          <cell r="D76">
            <v>510</v>
          </cell>
          <cell r="E76">
            <v>181</v>
          </cell>
          <cell r="F76">
            <v>324</v>
          </cell>
          <cell r="G76">
            <v>0.6</v>
          </cell>
          <cell r="H76">
            <v>70</v>
          </cell>
          <cell r="I76" t="str">
            <v>матрица</v>
          </cell>
          <cell r="K76">
            <v>187</v>
          </cell>
          <cell r="L76">
            <v>-6</v>
          </cell>
          <cell r="O76">
            <v>50.849999999999987</v>
          </cell>
          <cell r="P76">
            <v>0</v>
          </cell>
          <cell r="R76">
            <v>36.200000000000003</v>
          </cell>
          <cell r="S76">
            <v>41.450000000000045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55</v>
          </cell>
          <cell r="D77">
            <v>29</v>
          </cell>
          <cell r="E77">
            <v>61</v>
          </cell>
          <cell r="F77">
            <v>16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68</v>
          </cell>
          <cell r="L77">
            <v>-7</v>
          </cell>
          <cell r="O77">
            <v>82.200000000000017</v>
          </cell>
          <cell r="P77">
            <v>25.999999999999972</v>
          </cell>
          <cell r="R77">
            <v>12.2</v>
          </cell>
          <cell r="S77">
            <v>16.099999999999994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363</v>
          </cell>
          <cell r="D78">
            <v>330</v>
          </cell>
          <cell r="E78">
            <v>271</v>
          </cell>
          <cell r="F78">
            <v>364</v>
          </cell>
          <cell r="G78">
            <v>0.4</v>
          </cell>
          <cell r="H78">
            <v>55</v>
          </cell>
          <cell r="I78" t="str">
            <v>матрица</v>
          </cell>
          <cell r="K78">
            <v>273</v>
          </cell>
          <cell r="L78">
            <v>-2</v>
          </cell>
          <cell r="O78">
            <v>0</v>
          </cell>
          <cell r="P78">
            <v>48.21786800000001</v>
          </cell>
          <cell r="R78">
            <v>54.2</v>
          </cell>
          <cell r="S78">
            <v>211.082132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15</v>
          </cell>
          <cell r="L79">
            <v>-15</v>
          </cell>
          <cell r="O79">
            <v>100</v>
          </cell>
          <cell r="P79">
            <v>60</v>
          </cell>
          <cell r="R79">
            <v>0</v>
          </cell>
          <cell r="S79">
            <v>30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143</v>
          </cell>
          <cell r="D80">
            <v>162</v>
          </cell>
          <cell r="E80">
            <v>180</v>
          </cell>
          <cell r="F80">
            <v>95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196</v>
          </cell>
          <cell r="L80">
            <v>-16</v>
          </cell>
          <cell r="O80">
            <v>0</v>
          </cell>
          <cell r="P80">
            <v>44.16</v>
          </cell>
          <cell r="Q80">
            <v>66.239999999999981</v>
          </cell>
          <cell r="R80">
            <v>36</v>
          </cell>
          <cell r="S80">
            <v>208.60000000000002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311</v>
          </cell>
          <cell r="D81">
            <v>20</v>
          </cell>
          <cell r="E81">
            <v>148</v>
          </cell>
          <cell r="F81">
            <v>176</v>
          </cell>
          <cell r="G81">
            <v>0.4</v>
          </cell>
          <cell r="H81">
            <v>55</v>
          </cell>
          <cell r="I81" t="str">
            <v>матрица</v>
          </cell>
          <cell r="K81">
            <v>183</v>
          </cell>
          <cell r="L81">
            <v>-35</v>
          </cell>
          <cell r="O81">
            <v>0</v>
          </cell>
          <cell r="P81">
            <v>57.92</v>
          </cell>
          <cell r="Q81">
            <v>86.88000000000001</v>
          </cell>
          <cell r="R81">
            <v>29.6</v>
          </cell>
          <cell r="S81">
            <v>19.600000000000023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C82">
            <v>15.638</v>
          </cell>
          <cell r="D82">
            <v>23.035</v>
          </cell>
          <cell r="E82">
            <v>5.7560000000000002</v>
          </cell>
          <cell r="F82">
            <v>20.181000000000001</v>
          </cell>
          <cell r="G82">
            <v>1</v>
          </cell>
          <cell r="H82">
            <v>55</v>
          </cell>
          <cell r="I82" t="str">
            <v>матрица</v>
          </cell>
          <cell r="K82">
            <v>5.5</v>
          </cell>
          <cell r="L82">
            <v>0.25600000000000023</v>
          </cell>
          <cell r="O82">
            <v>11.448123999999989</v>
          </cell>
          <cell r="P82">
            <v>5.401476000000013</v>
          </cell>
          <cell r="R82">
            <v>1.1512</v>
          </cell>
          <cell r="T82">
            <v>30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322.18599999999998</v>
          </cell>
          <cell r="D83">
            <v>2.8759999999999999</v>
          </cell>
          <cell r="E83">
            <v>102.089</v>
          </cell>
          <cell r="F83">
            <v>194.07900000000001</v>
          </cell>
          <cell r="G83">
            <v>1</v>
          </cell>
          <cell r="H83">
            <v>55</v>
          </cell>
          <cell r="I83" t="str">
            <v>матрица</v>
          </cell>
          <cell r="K83">
            <v>101.3</v>
          </cell>
          <cell r="L83">
            <v>0.78900000000000148</v>
          </cell>
          <cell r="O83">
            <v>36.201599999999978</v>
          </cell>
          <cell r="P83">
            <v>26.926800000000011</v>
          </cell>
          <cell r="R83">
            <v>20.4178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724.745</v>
          </cell>
          <cell r="D84">
            <v>1152.7360000000001</v>
          </cell>
          <cell r="E84">
            <v>787.03200000000004</v>
          </cell>
          <cell r="F84">
            <v>908.29899999999998</v>
          </cell>
          <cell r="G84">
            <v>1</v>
          </cell>
          <cell r="H84">
            <v>60</v>
          </cell>
          <cell r="I84" t="str">
            <v>матрица</v>
          </cell>
          <cell r="K84">
            <v>802.01</v>
          </cell>
          <cell r="L84">
            <v>-14.977999999999952</v>
          </cell>
          <cell r="O84">
            <v>227.56410388319989</v>
          </cell>
          <cell r="P84">
            <v>81.59492746150346</v>
          </cell>
          <cell r="Q84">
            <v>122.3923911922552</v>
          </cell>
          <cell r="R84">
            <v>157.40640000000002</v>
          </cell>
          <cell r="S84">
            <v>470.3231774630417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P85">
            <v>0</v>
          </cell>
          <cell r="R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1372.797</v>
          </cell>
          <cell r="D86">
            <v>5993.116</v>
          </cell>
          <cell r="E86">
            <v>2631.5610000000001</v>
          </cell>
          <cell r="F86">
            <v>4287.5389999999998</v>
          </cell>
          <cell r="G86">
            <v>1</v>
          </cell>
          <cell r="H86">
            <v>60</v>
          </cell>
          <cell r="I86" t="str">
            <v>матрица</v>
          </cell>
          <cell r="K86">
            <v>2671.6</v>
          </cell>
          <cell r="L86">
            <v>-40.03899999999976</v>
          </cell>
          <cell r="O86">
            <v>570.75237799999991</v>
          </cell>
          <cell r="P86">
            <v>0</v>
          </cell>
          <cell r="R86">
            <v>526.31220000000008</v>
          </cell>
          <cell r="S86">
            <v>1194.2989220000009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1167.4480000000001</v>
          </cell>
          <cell r="D87">
            <v>6051.598</v>
          </cell>
          <cell r="E87">
            <v>2320.0880000000002</v>
          </cell>
          <cell r="F87">
            <v>4398.0169999999998</v>
          </cell>
          <cell r="G87">
            <v>1</v>
          </cell>
          <cell r="H87">
            <v>60</v>
          </cell>
          <cell r="I87" t="str">
            <v>матрица</v>
          </cell>
          <cell r="K87">
            <v>2341.1999999999998</v>
          </cell>
          <cell r="L87">
            <v>-21.111999999999625</v>
          </cell>
          <cell r="O87">
            <v>831.62519159999988</v>
          </cell>
          <cell r="P87">
            <v>0</v>
          </cell>
          <cell r="R87">
            <v>464.01760000000002</v>
          </cell>
          <cell r="S87">
            <v>106.56020840000019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2248.3609999999999</v>
          </cell>
          <cell r="D88">
            <v>5422.1790000000001</v>
          </cell>
          <cell r="E88">
            <v>3028.2649999999999</v>
          </cell>
          <cell r="F88">
            <v>4208.2809999999999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3039.5</v>
          </cell>
          <cell r="L88">
            <v>-11.235000000000127</v>
          </cell>
          <cell r="O88">
            <v>1360.6122069999999</v>
          </cell>
          <cell r="P88">
            <v>201.47933794119979</v>
          </cell>
          <cell r="Q88">
            <v>302.21900691179968</v>
          </cell>
          <cell r="R88">
            <v>605.65300000000002</v>
          </cell>
          <cell r="S88">
            <v>892.41794814700097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C89">
            <v>39.545999999999999</v>
          </cell>
          <cell r="D89">
            <v>53.76</v>
          </cell>
          <cell r="E89">
            <v>41.52</v>
          </cell>
          <cell r="F89">
            <v>51.786000000000001</v>
          </cell>
          <cell r="G89">
            <v>1</v>
          </cell>
          <cell r="H89">
            <v>55</v>
          </cell>
          <cell r="I89" t="str">
            <v>матрица</v>
          </cell>
          <cell r="K89">
            <v>72.5</v>
          </cell>
          <cell r="L89">
            <v>-30.979999999999997</v>
          </cell>
          <cell r="O89">
            <v>17.872412000000011</v>
          </cell>
          <cell r="P89">
            <v>24.657788</v>
          </cell>
          <cell r="R89">
            <v>8.3040000000000003</v>
          </cell>
          <cell r="S89">
            <v>4</v>
          </cell>
          <cell r="T89">
            <v>60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E90">
            <v>-4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2</v>
          </cell>
          <cell r="L90">
            <v>-6</v>
          </cell>
          <cell r="O90">
            <v>10</v>
          </cell>
          <cell r="P90">
            <v>10</v>
          </cell>
          <cell r="R90">
            <v>-0.8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351</v>
          </cell>
          <cell r="D91">
            <v>336</v>
          </cell>
          <cell r="E91">
            <v>78</v>
          </cell>
          <cell r="F91">
            <v>602</v>
          </cell>
          <cell r="G91">
            <v>0.3</v>
          </cell>
          <cell r="H91">
            <v>40</v>
          </cell>
          <cell r="I91" t="str">
            <v>матрица</v>
          </cell>
          <cell r="K91">
            <v>78</v>
          </cell>
          <cell r="L91">
            <v>0</v>
          </cell>
          <cell r="O91">
            <v>0</v>
          </cell>
          <cell r="P91">
            <v>0</v>
          </cell>
          <cell r="R91">
            <v>15.6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G92">
            <v>0</v>
          </cell>
          <cell r="I92" t="str">
            <v>матрица</v>
          </cell>
          <cell r="L92">
            <v>0</v>
          </cell>
          <cell r="O92">
            <v>0</v>
          </cell>
          <cell r="P92">
            <v>0</v>
          </cell>
          <cell r="R92">
            <v>0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295</v>
          </cell>
          <cell r="D93">
            <v>44</v>
          </cell>
          <cell r="E93">
            <v>161</v>
          </cell>
          <cell r="F93">
            <v>131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170</v>
          </cell>
          <cell r="L93">
            <v>-9</v>
          </cell>
          <cell r="O93">
            <v>30.800000000000011</v>
          </cell>
          <cell r="P93">
            <v>55.52000000000001</v>
          </cell>
          <cell r="Q93">
            <v>83.28</v>
          </cell>
          <cell r="R93">
            <v>32.200000000000003</v>
          </cell>
          <cell r="S93">
            <v>69.69999999999996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184</v>
          </cell>
          <cell r="D94">
            <v>126</v>
          </cell>
          <cell r="E94">
            <v>109</v>
          </cell>
          <cell r="F94">
            <v>175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114</v>
          </cell>
          <cell r="L94">
            <v>-5</v>
          </cell>
          <cell r="O94">
            <v>0</v>
          </cell>
          <cell r="P94">
            <v>36.199999999999989</v>
          </cell>
          <cell r="R94">
            <v>21.8</v>
          </cell>
          <cell r="S94">
            <v>39.500000000000028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230</v>
          </cell>
          <cell r="D95">
            <v>60</v>
          </cell>
          <cell r="E95">
            <v>179</v>
          </cell>
          <cell r="F95">
            <v>97</v>
          </cell>
          <cell r="G95">
            <v>0.3</v>
          </cell>
          <cell r="H95">
            <v>40</v>
          </cell>
          <cell r="I95" t="str">
            <v>матрица</v>
          </cell>
          <cell r="K95">
            <v>184</v>
          </cell>
          <cell r="L95">
            <v>-5</v>
          </cell>
          <cell r="O95">
            <v>0</v>
          </cell>
          <cell r="P95">
            <v>65.440000000000012</v>
          </cell>
          <cell r="Q95">
            <v>98.160000000000011</v>
          </cell>
          <cell r="R95">
            <v>35.799999999999997</v>
          </cell>
          <cell r="S95">
            <v>151.09999999999997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C96">
            <v>41.301000000000002</v>
          </cell>
          <cell r="D96">
            <v>175.14</v>
          </cell>
          <cell r="E96">
            <v>80.096000000000004</v>
          </cell>
          <cell r="F96">
            <v>123.88500000000001</v>
          </cell>
          <cell r="G96">
            <v>1</v>
          </cell>
          <cell r="H96">
            <v>55</v>
          </cell>
          <cell r="I96" t="str">
            <v>НЕДОГРУЗ / матрица</v>
          </cell>
          <cell r="K96">
            <v>85.3</v>
          </cell>
          <cell r="L96">
            <v>-5.2039999999999935</v>
          </cell>
          <cell r="O96">
            <v>0</v>
          </cell>
          <cell r="P96">
            <v>27.343000000000021</v>
          </cell>
          <cell r="R96">
            <v>16.019200000000001</v>
          </cell>
          <cell r="S96">
            <v>32.992800000000003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O97">
            <v>0</v>
          </cell>
          <cell r="P97">
            <v>0</v>
          </cell>
          <cell r="R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0.1</v>
          </cell>
          <cell r="H98">
            <v>30</v>
          </cell>
          <cell r="I98" t="str">
            <v>НЕДОГРУЗ / матрица</v>
          </cell>
          <cell r="L98">
            <v>0</v>
          </cell>
          <cell r="O98">
            <v>10</v>
          </cell>
          <cell r="P98">
            <v>10</v>
          </cell>
          <cell r="R98">
            <v>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364</v>
          </cell>
          <cell r="D99">
            <v>254</v>
          </cell>
          <cell r="E99">
            <v>234</v>
          </cell>
          <cell r="F99">
            <v>328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240</v>
          </cell>
          <cell r="L99">
            <v>-6</v>
          </cell>
          <cell r="O99">
            <v>74.213999999999942</v>
          </cell>
          <cell r="P99">
            <v>32.186000000000043</v>
          </cell>
          <cell r="R99">
            <v>46.8</v>
          </cell>
          <cell r="S99">
            <v>103.79999999999995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315</v>
          </cell>
          <cell r="D100">
            <v>154</v>
          </cell>
          <cell r="E100">
            <v>188</v>
          </cell>
          <cell r="F100">
            <v>224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200</v>
          </cell>
          <cell r="L100">
            <v>-12</v>
          </cell>
          <cell r="O100">
            <v>67.518000000000029</v>
          </cell>
          <cell r="P100">
            <v>32.081999999999987</v>
          </cell>
          <cell r="R100">
            <v>37.6</v>
          </cell>
          <cell r="S100">
            <v>108.80000000000001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7</v>
          </cell>
          <cell r="D101">
            <v>16</v>
          </cell>
          <cell r="E101">
            <v>18</v>
          </cell>
          <cell r="F101">
            <v>4</v>
          </cell>
          <cell r="G101">
            <v>0.17</v>
          </cell>
          <cell r="H101">
            <v>30</v>
          </cell>
          <cell r="I101" t="str">
            <v>матрица</v>
          </cell>
          <cell r="K101">
            <v>18</v>
          </cell>
          <cell r="L101">
            <v>0</v>
          </cell>
          <cell r="O101">
            <v>8.4860000000000007</v>
          </cell>
          <cell r="P101">
            <v>23.513999999999999</v>
          </cell>
          <cell r="R101">
            <v>3.6</v>
          </cell>
          <cell r="S101">
            <v>10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-0.71299999999999997</v>
          </cell>
          <cell r="D102">
            <v>612.51700000000005</v>
          </cell>
          <cell r="E102">
            <v>475.00299999999999</v>
          </cell>
          <cell r="F102">
            <v>-0.24299999999999999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859.60400000000004</v>
          </cell>
          <cell r="L102">
            <v>-384.60100000000006</v>
          </cell>
          <cell r="O102">
            <v>321.90300000000002</v>
          </cell>
          <cell r="P102">
            <v>200</v>
          </cell>
          <cell r="Q102">
            <v>300</v>
          </cell>
          <cell r="R102">
            <v>95.000599999999991</v>
          </cell>
          <cell r="S102">
            <v>400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-2.1930000000000001</v>
          </cell>
          <cell r="D103">
            <v>880.39300000000003</v>
          </cell>
          <cell r="E103">
            <v>423.64499999999998</v>
          </cell>
          <cell r="F103">
            <v>182.32900000000001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606.26099999999997</v>
          </cell>
          <cell r="L103">
            <v>-182.61599999999999</v>
          </cell>
          <cell r="O103">
            <v>432.15289999999999</v>
          </cell>
          <cell r="P103">
            <v>112</v>
          </cell>
          <cell r="Q103">
            <v>168</v>
          </cell>
          <cell r="R103">
            <v>84.728999999999999</v>
          </cell>
          <cell r="S103">
            <v>120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E104">
            <v>-3.7240000000000002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28.1</v>
          </cell>
          <cell r="L104">
            <v>-31.824000000000002</v>
          </cell>
          <cell r="O104">
            <v>50</v>
          </cell>
          <cell r="P104">
            <v>160</v>
          </cell>
          <cell r="Q104">
            <v>240</v>
          </cell>
          <cell r="R104">
            <v>-0.74480000000000002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P105">
            <v>0</v>
          </cell>
          <cell r="R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C106">
            <v>18.827000000000002</v>
          </cell>
          <cell r="D106">
            <v>34.377000000000002</v>
          </cell>
          <cell r="E106">
            <v>10.695</v>
          </cell>
          <cell r="F106">
            <v>38.417000000000002</v>
          </cell>
          <cell r="G106">
            <v>1</v>
          </cell>
          <cell r="H106">
            <v>55</v>
          </cell>
          <cell r="I106" t="str">
            <v>матрица</v>
          </cell>
          <cell r="K106">
            <v>9.8000000000000007</v>
          </cell>
          <cell r="L106">
            <v>0.89499999999999957</v>
          </cell>
          <cell r="O106">
            <v>4.3075599999999996</v>
          </cell>
          <cell r="P106">
            <v>0</v>
          </cell>
          <cell r="R106">
            <v>2.1390000000000002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388</v>
          </cell>
          <cell r="D107">
            <v>5</v>
          </cell>
          <cell r="E107">
            <v>301</v>
          </cell>
          <cell r="F107">
            <v>74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672</v>
          </cell>
          <cell r="L107">
            <v>-371</v>
          </cell>
          <cell r="O107">
            <v>406.4</v>
          </cell>
          <cell r="P107">
            <v>120</v>
          </cell>
          <cell r="Q107">
            <v>180</v>
          </cell>
          <cell r="R107">
            <v>60.2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G108">
            <v>0</v>
          </cell>
          <cell r="I108" t="str">
            <v>матрица</v>
          </cell>
          <cell r="K108">
            <v>5</v>
          </cell>
          <cell r="L108">
            <v>-5</v>
          </cell>
          <cell r="O108">
            <v>0</v>
          </cell>
          <cell r="P108">
            <v>0</v>
          </cell>
          <cell r="R108">
            <v>0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74</v>
          </cell>
          <cell r="D109">
            <v>206</v>
          </cell>
          <cell r="E109">
            <v>193</v>
          </cell>
          <cell r="F109">
            <v>72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722</v>
          </cell>
          <cell r="L109">
            <v>-529</v>
          </cell>
          <cell r="O109">
            <v>90.400000000000034</v>
          </cell>
          <cell r="P109">
            <v>80</v>
          </cell>
          <cell r="Q109">
            <v>120</v>
          </cell>
          <cell r="R109">
            <v>38.6</v>
          </cell>
          <cell r="S109">
            <v>81.5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C110">
            <v>58</v>
          </cell>
          <cell r="D110">
            <v>191</v>
          </cell>
          <cell r="E110">
            <v>112</v>
          </cell>
          <cell r="F110">
            <v>105</v>
          </cell>
          <cell r="G110">
            <v>0.09</v>
          </cell>
          <cell r="I110" t="str">
            <v>матрица</v>
          </cell>
          <cell r="K110">
            <v>125</v>
          </cell>
          <cell r="L110">
            <v>-13</v>
          </cell>
          <cell r="O110">
            <v>22.148</v>
          </cell>
          <cell r="P110">
            <v>36.652000000000022</v>
          </cell>
          <cell r="R110">
            <v>22.4</v>
          </cell>
          <cell r="S110">
            <v>93.799999999999955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427.78100000000001</v>
          </cell>
          <cell r="E111">
            <v>221.09100000000001</v>
          </cell>
          <cell r="F111">
            <v>199.02799999999999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217.5</v>
          </cell>
          <cell r="L111">
            <v>3.5910000000000082</v>
          </cell>
          <cell r="O111">
            <v>0</v>
          </cell>
          <cell r="P111">
            <v>0</v>
          </cell>
          <cell r="R111">
            <v>44.218200000000003</v>
          </cell>
          <cell r="S111">
            <v>243.15400000000002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89.655000000000001</v>
          </cell>
          <cell r="F112">
            <v>89.655000000000001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15</v>
          </cell>
          <cell r="L112">
            <v>-15</v>
          </cell>
          <cell r="O112">
            <v>0</v>
          </cell>
          <cell r="P112">
            <v>0</v>
          </cell>
          <cell r="R112">
            <v>0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3</v>
          </cell>
          <cell r="D113">
            <v>170</v>
          </cell>
          <cell r="E113">
            <v>41</v>
          </cell>
          <cell r="F113">
            <v>117</v>
          </cell>
          <cell r="G113">
            <v>0.09</v>
          </cell>
          <cell r="I113" t="str">
            <v>матрица</v>
          </cell>
          <cell r="K113">
            <v>70</v>
          </cell>
          <cell r="L113">
            <v>-29</v>
          </cell>
          <cell r="O113">
            <v>25.62400000000002</v>
          </cell>
          <cell r="P113">
            <v>0</v>
          </cell>
          <cell r="R113">
            <v>8.1999999999999993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K114">
            <v>5</v>
          </cell>
          <cell r="L114">
            <v>-5</v>
          </cell>
          <cell r="O114">
            <v>0</v>
          </cell>
          <cell r="P114">
            <v>0</v>
          </cell>
          <cell r="R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197.46</v>
          </cell>
          <cell r="D115">
            <v>1046.5719999999999</v>
          </cell>
          <cell r="E115">
            <v>433.97</v>
          </cell>
          <cell r="F115">
            <v>698.14099999999996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414.4</v>
          </cell>
          <cell r="L115">
            <v>19.57000000000005</v>
          </cell>
          <cell r="O115">
            <v>102.228162</v>
          </cell>
          <cell r="P115">
            <v>0</v>
          </cell>
          <cell r="R115">
            <v>86.794000000000011</v>
          </cell>
          <cell r="S115">
            <v>197.76183800000013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257.947</v>
          </cell>
          <cell r="D116">
            <v>1288.329</v>
          </cell>
          <cell r="E116">
            <v>630.67899999999997</v>
          </cell>
          <cell r="F116">
            <v>779.11199999999997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623.41399999999999</v>
          </cell>
          <cell r="L116">
            <v>7.2649999999999864</v>
          </cell>
          <cell r="O116">
            <v>293.8447160000004</v>
          </cell>
          <cell r="P116">
            <v>9.1559158859997751</v>
          </cell>
          <cell r="R116">
            <v>126.13579999999999</v>
          </cell>
          <cell r="S116">
            <v>368.44906811399972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108.25700000000001</v>
          </cell>
          <cell r="D117">
            <v>485.964</v>
          </cell>
          <cell r="E117">
            <v>171.31399999999999</v>
          </cell>
          <cell r="F117">
            <v>374.947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169.8</v>
          </cell>
          <cell r="L117">
            <v>1.5139999999999816</v>
          </cell>
          <cell r="O117">
            <v>80.577055999999814</v>
          </cell>
          <cell r="P117">
            <v>0</v>
          </cell>
          <cell r="R117">
            <v>34.262799999999999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963.30700000000002</v>
          </cell>
          <cell r="D118">
            <v>3335.4369999999999</v>
          </cell>
          <cell r="E118">
            <v>1938.547</v>
          </cell>
          <cell r="F118">
            <v>2051.8040000000001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1953.1</v>
          </cell>
          <cell r="L118">
            <v>-14.552999999999884</v>
          </cell>
          <cell r="O118">
            <v>0</v>
          </cell>
          <cell r="P118">
            <v>222.74838562062399</v>
          </cell>
          <cell r="Q118">
            <v>334.1225784309359</v>
          </cell>
          <cell r="R118">
            <v>387.70940000000002</v>
          </cell>
          <cell r="S118">
            <v>1849.9831359484401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284</v>
          </cell>
          <cell r="E119">
            <v>37</v>
          </cell>
          <cell r="F119">
            <v>238</v>
          </cell>
          <cell r="G119">
            <v>0.25</v>
          </cell>
          <cell r="H119">
            <v>1096</v>
          </cell>
          <cell r="I119" t="str">
            <v>матрица</v>
          </cell>
          <cell r="K119">
            <v>37</v>
          </cell>
          <cell r="L119">
            <v>0</v>
          </cell>
          <cell r="O119">
            <v>0</v>
          </cell>
          <cell r="P119">
            <v>0</v>
          </cell>
          <cell r="R119">
            <v>7.4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355</v>
          </cell>
          <cell r="E120">
            <v>17</v>
          </cell>
          <cell r="F120">
            <v>329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17</v>
          </cell>
          <cell r="L120">
            <v>0</v>
          </cell>
          <cell r="O120">
            <v>0</v>
          </cell>
          <cell r="P120">
            <v>0</v>
          </cell>
          <cell r="R120">
            <v>3.4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158</v>
          </cell>
          <cell r="E121">
            <v>41</v>
          </cell>
          <cell r="F121">
            <v>108</v>
          </cell>
          <cell r="G121">
            <v>0.25</v>
          </cell>
          <cell r="H121">
            <v>1096</v>
          </cell>
          <cell r="I121" t="str">
            <v>матрица</v>
          </cell>
          <cell r="K121">
            <v>41</v>
          </cell>
          <cell r="L121">
            <v>0</v>
          </cell>
          <cell r="O121">
            <v>0</v>
          </cell>
          <cell r="P121">
            <v>35</v>
          </cell>
          <cell r="R121">
            <v>8.1999999999999993</v>
          </cell>
        </row>
        <row r="122">
          <cell r="A122" t="str">
            <v xml:space="preserve"> 631  Колбаса Классическая стародворская ТМ Стародворье  ПОКОМ</v>
          </cell>
          <cell r="B122" t="str">
            <v>кг</v>
          </cell>
          <cell r="C122">
            <v>94.091999999999999</v>
          </cell>
          <cell r="F122">
            <v>92.75</v>
          </cell>
          <cell r="G122">
            <v>0</v>
          </cell>
          <cell r="I122" t="str">
            <v>не в матрице</v>
          </cell>
          <cell r="L122">
            <v>0</v>
          </cell>
          <cell r="O122">
            <v>0</v>
          </cell>
          <cell r="P122">
            <v>0</v>
          </cell>
          <cell r="R122">
            <v>0</v>
          </cell>
        </row>
        <row r="123">
          <cell r="A123" t="str">
            <v>495  Колбаса Сочинка по-европейски с сочной грудинкой 0,3кг ТМ Стародворье  ПОКОМ</v>
          </cell>
          <cell r="B123" t="str">
            <v>шт</v>
          </cell>
          <cell r="D123">
            <v>102</v>
          </cell>
          <cell r="E123">
            <v>90</v>
          </cell>
          <cell r="F123">
            <v>1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K123">
            <v>171</v>
          </cell>
          <cell r="L123">
            <v>-81</v>
          </cell>
          <cell r="O123">
            <v>50</v>
          </cell>
          <cell r="P123">
            <v>100</v>
          </cell>
          <cell r="R123">
            <v>18</v>
          </cell>
          <cell r="S123">
            <v>56</v>
          </cell>
        </row>
        <row r="124">
          <cell r="A124" t="str">
            <v>496  Колбаса Сочинка по-фински с сочным окроком 0,3кг ТМ Стародворье  ПОКОМ</v>
          </cell>
          <cell r="B124" t="str">
            <v>шт</v>
          </cell>
          <cell r="E124">
            <v>-9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2</v>
          </cell>
          <cell r="L124">
            <v>-11</v>
          </cell>
          <cell r="O124">
            <v>20</v>
          </cell>
          <cell r="P124">
            <v>10</v>
          </cell>
          <cell r="R124">
            <v>-1.8</v>
          </cell>
        </row>
        <row r="125">
          <cell r="A125" t="str">
            <v>503 Колбаса Филейская со шпиком ТМ Вязанка в оболочке полиамид.ПОКОМ</v>
          </cell>
          <cell r="B125" t="str">
            <v>кг</v>
          </cell>
          <cell r="C125">
            <v>236.25899999999999</v>
          </cell>
          <cell r="D125">
            <v>377.07799999999997</v>
          </cell>
          <cell r="E125">
            <v>377.76400000000001</v>
          </cell>
          <cell r="F125">
            <v>168.601</v>
          </cell>
          <cell r="G125">
            <v>1</v>
          </cell>
          <cell r="H125">
            <v>50</v>
          </cell>
          <cell r="I125" t="str">
            <v>матрица</v>
          </cell>
          <cell r="K125">
            <v>370.05</v>
          </cell>
          <cell r="L125">
            <v>7.7139999999999986</v>
          </cell>
          <cell r="O125">
            <v>171.170995</v>
          </cell>
          <cell r="P125">
            <v>73.538561999999985</v>
          </cell>
          <cell r="Q125">
            <v>110.30784300000001</v>
          </cell>
          <cell r="R125">
            <v>75.552800000000005</v>
          </cell>
          <cell r="S125">
            <v>345.23879999999997</v>
          </cell>
        </row>
        <row r="126">
          <cell r="A126" t="str">
            <v>515  Колбаса Сервелат Мясорубский Делюкс 0,3кг ТМ Стародворье  ПОКОМ</v>
          </cell>
          <cell r="B126" t="str">
            <v>шт</v>
          </cell>
          <cell r="C126">
            <v>1</v>
          </cell>
          <cell r="E126">
            <v>5</v>
          </cell>
          <cell r="F126">
            <v>-6</v>
          </cell>
          <cell r="G126">
            <v>0.3</v>
          </cell>
          <cell r="H126">
            <v>40</v>
          </cell>
          <cell r="I126" t="str">
            <v>НЕДОГРУЗ / матрица</v>
          </cell>
          <cell r="K126">
            <v>25</v>
          </cell>
          <cell r="L126">
            <v>-20</v>
          </cell>
          <cell r="O126">
            <v>50</v>
          </cell>
          <cell r="P126">
            <v>50</v>
          </cell>
          <cell r="R126">
            <v>1</v>
          </cell>
          <cell r="S126">
            <v>30</v>
          </cell>
        </row>
        <row r="127">
          <cell r="A127" t="str">
            <v>519  Грудинка 0,12 кг нарезка ТМ Стародворье  ПОКОМ</v>
          </cell>
          <cell r="B127" t="str">
            <v>шт</v>
          </cell>
          <cell r="C127">
            <v>33</v>
          </cell>
          <cell r="D127">
            <v>122</v>
          </cell>
          <cell r="E127">
            <v>71</v>
          </cell>
          <cell r="F127">
            <v>59</v>
          </cell>
          <cell r="G127">
            <v>0.12</v>
          </cell>
          <cell r="H127">
            <v>45</v>
          </cell>
          <cell r="I127" t="str">
            <v>НЕДОГРУЗ / матрица</v>
          </cell>
          <cell r="K127">
            <v>91</v>
          </cell>
          <cell r="L127">
            <v>-20</v>
          </cell>
          <cell r="O127">
            <v>10</v>
          </cell>
          <cell r="P127">
            <v>46.800000000000011</v>
          </cell>
          <cell r="R127">
            <v>14.2</v>
          </cell>
          <cell r="S127">
            <v>47.499999999999972</v>
          </cell>
        </row>
        <row r="128">
          <cell r="A128" t="str">
            <v>БОНУС_ 334  Паштет Любительский ТМ Стародворье ламистер 0,1 кг  ПОКОМ</v>
          </cell>
          <cell r="B128" t="str">
            <v>шт</v>
          </cell>
          <cell r="C128">
            <v>19</v>
          </cell>
          <cell r="D128">
            <v>156</v>
          </cell>
          <cell r="E128">
            <v>108</v>
          </cell>
          <cell r="F128">
            <v>25</v>
          </cell>
          <cell r="G128">
            <v>0</v>
          </cell>
          <cell r="I128" t="str">
            <v>бонус</v>
          </cell>
          <cell r="J128" t="str">
            <v xml:space="preserve"> 334  Паштет Любительский ТМ Стародворье ламистер 0,1 кг  ПОКОМ</v>
          </cell>
          <cell r="K128">
            <v>114</v>
          </cell>
          <cell r="L128">
            <v>-6</v>
          </cell>
          <cell r="O128">
            <v>0</v>
          </cell>
          <cell r="P128">
            <v>0</v>
          </cell>
          <cell r="R128">
            <v>21.6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6" sqref="AA6"/>
    </sheetView>
  </sheetViews>
  <sheetFormatPr defaultRowHeight="15" x14ac:dyDescent="0.25"/>
  <cols>
    <col min="1" max="1" width="48.71093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26" customWidth="1"/>
    <col min="17" max="17" width="7" style="25" customWidth="1"/>
    <col min="18" max="18" width="7" customWidth="1"/>
    <col min="19" max="19" width="7" style="25" customWidth="1"/>
    <col min="20" max="20" width="7" customWidth="1"/>
    <col min="21" max="21" width="7" style="26" customWidth="1"/>
    <col min="22" max="22" width="7" style="25" customWidth="1"/>
    <col min="23" max="25" width="7" customWidth="1"/>
    <col min="26" max="26" width="7" style="31" customWidth="1"/>
    <col min="27" max="28" width="3.5703125" style="16" customWidth="1"/>
    <col min="29" max="30" width="5" customWidth="1"/>
    <col min="31" max="35" width="6.5703125" customWidth="1"/>
    <col min="36" max="39" width="6" customWidth="1"/>
    <col min="40" max="41" width="6.5703125" customWidth="1"/>
    <col min="42" max="42" width="7" customWidth="1"/>
  </cols>
  <sheetData>
    <row r="1" spans="1:4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8"/>
      <c r="Q1" s="22"/>
      <c r="R1" s="1"/>
      <c r="S1" s="22"/>
      <c r="T1" s="1"/>
      <c r="U1" s="18"/>
      <c r="V1" s="22"/>
      <c r="W1" s="1"/>
      <c r="X1" s="1"/>
      <c r="Y1" s="1"/>
      <c r="Z1" s="22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8"/>
      <c r="Q2" s="22">
        <v>900</v>
      </c>
      <c r="R2" s="1"/>
      <c r="S2" s="22">
        <v>960</v>
      </c>
      <c r="T2" s="1"/>
      <c r="U2" s="18"/>
      <c r="V2" s="22">
        <v>600</v>
      </c>
      <c r="W2" s="1"/>
      <c r="X2" s="1"/>
      <c r="Y2" s="1"/>
      <c r="Z2" s="22">
        <v>400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3" t="s">
        <v>14</v>
      </c>
      <c r="V3" s="2" t="s">
        <v>14</v>
      </c>
      <c r="W3" s="2" t="s">
        <v>15</v>
      </c>
      <c r="X3" s="3" t="s">
        <v>16</v>
      </c>
      <c r="Y3" s="3" t="s">
        <v>17</v>
      </c>
      <c r="Z3" s="3" t="s">
        <v>17</v>
      </c>
      <c r="AA3" s="3" t="s">
        <v>18</v>
      </c>
      <c r="AB3" s="3" t="s">
        <v>19</v>
      </c>
      <c r="AC3" s="2" t="s">
        <v>20</v>
      </c>
      <c r="AD3" s="2" t="s">
        <v>21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22</v>
      </c>
      <c r="AJ3" s="2" t="s">
        <v>22</v>
      </c>
      <c r="AK3" s="2" t="s">
        <v>22</v>
      </c>
      <c r="AL3" s="2" t="s">
        <v>22</v>
      </c>
      <c r="AM3" s="2" t="s">
        <v>22</v>
      </c>
      <c r="AN3" s="2" t="s">
        <v>22</v>
      </c>
      <c r="AO3" s="2" t="s">
        <v>23</v>
      </c>
      <c r="AP3" s="2" t="s">
        <v>24</v>
      </c>
    </row>
    <row r="4" spans="1:4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8" t="s">
        <v>369</v>
      </c>
      <c r="Q4" s="22" t="s">
        <v>26</v>
      </c>
      <c r="R4" s="1" t="s">
        <v>27</v>
      </c>
      <c r="S4" s="22" t="s">
        <v>28</v>
      </c>
      <c r="T4" s="1" t="s">
        <v>29</v>
      </c>
      <c r="U4" s="18" t="s">
        <v>370</v>
      </c>
      <c r="V4" s="22" t="s">
        <v>30</v>
      </c>
      <c r="W4" s="1" t="s">
        <v>31</v>
      </c>
      <c r="X4" s="1"/>
      <c r="Y4" s="1" t="s">
        <v>32</v>
      </c>
      <c r="Z4" s="22" t="s">
        <v>393</v>
      </c>
      <c r="AA4" s="1" t="s">
        <v>33</v>
      </c>
      <c r="AB4" s="1"/>
      <c r="AC4" s="1"/>
      <c r="AD4" s="1"/>
      <c r="AE4" s="1" t="s">
        <v>25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/>
      <c r="AP4" s="1"/>
    </row>
    <row r="5" spans="1:43" x14ac:dyDescent="0.25">
      <c r="A5" s="1"/>
      <c r="B5" s="1"/>
      <c r="C5" s="1"/>
      <c r="D5" s="1"/>
      <c r="E5" s="4">
        <f>SUM(E6:E499)</f>
        <v>54531.574999999997</v>
      </c>
      <c r="F5" s="4">
        <f>SUM(F6:F499)</f>
        <v>59969.960000000014</v>
      </c>
      <c r="G5" s="7"/>
      <c r="H5" s="1"/>
      <c r="I5" s="1"/>
      <c r="J5" s="1"/>
      <c r="K5" s="4">
        <f t="shared" ref="K5:AA5" si="0">SUM(K6:K499)</f>
        <v>58383.792999999998</v>
      </c>
      <c r="L5" s="4">
        <f t="shared" si="0"/>
        <v>-3852.2179999999994</v>
      </c>
      <c r="M5" s="4">
        <f t="shared" si="0"/>
        <v>0</v>
      </c>
      <c r="N5" s="4">
        <f t="shared" si="0"/>
        <v>0</v>
      </c>
      <c r="O5" s="4">
        <f t="shared" si="0"/>
        <v>21356.418089724404</v>
      </c>
      <c r="P5" s="19">
        <f t="shared" ref="P5" si="1">SUM(P6:P499)</f>
        <v>-1538.5252100840335</v>
      </c>
      <c r="Q5" s="23">
        <f t="shared" si="0"/>
        <v>900</v>
      </c>
      <c r="R5" s="4">
        <f t="shared" si="0"/>
        <v>10855.441121319453</v>
      </c>
      <c r="S5" s="23">
        <f t="shared" si="0"/>
        <v>960</v>
      </c>
      <c r="T5" s="4">
        <f t="shared" si="0"/>
        <v>11806.230568116976</v>
      </c>
      <c r="U5" s="19">
        <f t="shared" ref="U5" si="2">SUM(U6:U499)</f>
        <v>-691.42857142857144</v>
      </c>
      <c r="V5" s="23">
        <f t="shared" si="0"/>
        <v>600</v>
      </c>
      <c r="W5" s="4">
        <f t="shared" si="0"/>
        <v>10906.315000000001</v>
      </c>
      <c r="X5" s="4">
        <f t="shared" si="0"/>
        <v>26304.033086839172</v>
      </c>
      <c r="Y5" s="4">
        <f t="shared" si="0"/>
        <v>24320.567929330729</v>
      </c>
      <c r="Z5" s="23">
        <f t="shared" ref="Z5" si="3">SUM(Z6:Z499)</f>
        <v>405</v>
      </c>
      <c r="AA5" s="4">
        <f t="shared" si="0"/>
        <v>290</v>
      </c>
      <c r="AB5" s="4"/>
      <c r="AC5" s="1"/>
      <c r="AD5" s="1"/>
      <c r="AE5" s="4">
        <f t="shared" ref="AE5:AN5" si="4">SUM(AE6:AE499)</f>
        <v>10747.732599999996</v>
      </c>
      <c r="AF5" s="4">
        <f t="shared" si="4"/>
        <v>10833.357999999998</v>
      </c>
      <c r="AG5" s="4">
        <f t="shared" si="4"/>
        <v>11492.782400000011</v>
      </c>
      <c r="AH5" s="4">
        <f t="shared" si="4"/>
        <v>11039.104400000004</v>
      </c>
      <c r="AI5" s="4">
        <f t="shared" si="4"/>
        <v>10515.967599999998</v>
      </c>
      <c r="AJ5" s="4">
        <f t="shared" si="4"/>
        <v>8445.5477999999985</v>
      </c>
      <c r="AK5" s="4">
        <f t="shared" si="4"/>
        <v>8096.6249999999964</v>
      </c>
      <c r="AL5" s="4">
        <f t="shared" si="4"/>
        <v>9775.619999999999</v>
      </c>
      <c r="AM5" s="4">
        <f t="shared" si="4"/>
        <v>9682.4813999999988</v>
      </c>
      <c r="AN5" s="4">
        <f t="shared" si="4"/>
        <v>10297.078999999998</v>
      </c>
      <c r="AO5" s="1"/>
      <c r="AP5" s="4">
        <f>SUM(AP6:AP499)</f>
        <v>17055</v>
      </c>
    </row>
    <row r="6" spans="1:43" x14ac:dyDescent="0.25">
      <c r="A6" s="1" t="s">
        <v>43</v>
      </c>
      <c r="B6" s="1" t="s">
        <v>44</v>
      </c>
      <c r="C6" s="1">
        <v>629.24099999999999</v>
      </c>
      <c r="D6" s="1">
        <v>6884.482</v>
      </c>
      <c r="E6" s="1">
        <v>2757.1350000000002</v>
      </c>
      <c r="F6" s="1">
        <v>4232.6899999999996</v>
      </c>
      <c r="G6" s="7">
        <v>1</v>
      </c>
      <c r="H6" s="1">
        <v>50</v>
      </c>
      <c r="I6" s="1" t="s">
        <v>45</v>
      </c>
      <c r="J6" s="1"/>
      <c r="K6" s="1">
        <v>2703.85</v>
      </c>
      <c r="L6" s="1">
        <f t="shared" ref="L6:L37" si="5">E6-K6</f>
        <v>53.285000000000309</v>
      </c>
      <c r="M6" s="1"/>
      <c r="N6" s="1"/>
      <c r="O6" s="1">
        <v>633.116174</v>
      </c>
      <c r="P6" s="18"/>
      <c r="Q6" s="22"/>
      <c r="R6" s="1">
        <v>39.196802501800448</v>
      </c>
      <c r="S6" s="22"/>
      <c r="T6" s="1"/>
      <c r="U6" s="18"/>
      <c r="V6" s="22"/>
      <c r="W6" s="1">
        <f t="shared" ref="W6:W37" si="6">E6/5</f>
        <v>551.42700000000002</v>
      </c>
      <c r="X6" s="5">
        <f>11.5*W6-T6-R6-O6-F6</f>
        <v>1436.4075234982001</v>
      </c>
      <c r="Y6" s="5">
        <f t="shared" ref="Y6:Y15" si="7">X6</f>
        <v>1436.4075234982001</v>
      </c>
      <c r="Z6" s="29"/>
      <c r="AA6" s="1"/>
      <c r="AB6" s="1"/>
      <c r="AC6" s="1">
        <f t="shared" ref="AC6:AC37" si="8">(F6+O6+R6+T6+Y6)/W6</f>
        <v>11.5</v>
      </c>
      <c r="AD6" s="1">
        <f t="shared" ref="AD6:AD37" si="9">(F6+O6+R6+T6)/W6</f>
        <v>8.8951084667631424</v>
      </c>
      <c r="AE6" s="1">
        <v>517.61120000000005</v>
      </c>
      <c r="AF6" s="1">
        <v>560.27980000000002</v>
      </c>
      <c r="AG6" s="1">
        <v>683.02780000000007</v>
      </c>
      <c r="AH6" s="1">
        <v>629.77780000000007</v>
      </c>
      <c r="AI6" s="1">
        <v>485.76420000000002</v>
      </c>
      <c r="AJ6" s="1">
        <v>331.30880000000002</v>
      </c>
      <c r="AK6" s="1">
        <v>348.86619999999999</v>
      </c>
      <c r="AL6" s="1">
        <v>493.49700000000001</v>
      </c>
      <c r="AM6" s="1">
        <v>483.68119999999999</v>
      </c>
      <c r="AN6" s="1">
        <v>546.85760000000005</v>
      </c>
      <c r="AO6" s="1"/>
      <c r="AP6" s="1">
        <f t="shared" ref="AP6:AP37" si="10">ROUND(G6*Y6,0)</f>
        <v>1436</v>
      </c>
      <c r="AQ6" t="s">
        <v>46</v>
      </c>
    </row>
    <row r="7" spans="1:43" x14ac:dyDescent="0.25">
      <c r="A7" s="1" t="s">
        <v>47</v>
      </c>
      <c r="B7" s="1" t="s">
        <v>44</v>
      </c>
      <c r="C7" s="1">
        <v>1515.5429999999999</v>
      </c>
      <c r="D7" s="1">
        <v>1046.952</v>
      </c>
      <c r="E7" s="1">
        <v>1038.751</v>
      </c>
      <c r="F7" s="1">
        <v>1275.1990000000001</v>
      </c>
      <c r="G7" s="7">
        <v>1</v>
      </c>
      <c r="H7" s="1">
        <v>45</v>
      </c>
      <c r="I7" s="1" t="s">
        <v>45</v>
      </c>
      <c r="J7" s="1"/>
      <c r="K7" s="1">
        <v>1023.2</v>
      </c>
      <c r="L7" s="1">
        <f t="shared" si="5"/>
        <v>15.550999999999931</v>
      </c>
      <c r="M7" s="1"/>
      <c r="N7" s="1"/>
      <c r="O7" s="1">
        <v>664.40990200000033</v>
      </c>
      <c r="P7" s="18"/>
      <c r="Q7" s="22"/>
      <c r="R7" s="1">
        <v>47.969639199999889</v>
      </c>
      <c r="S7" s="22"/>
      <c r="T7" s="1">
        <v>71.954458799999841</v>
      </c>
      <c r="U7" s="18">
        <v>-10</v>
      </c>
      <c r="V7" s="22"/>
      <c r="W7" s="1">
        <f t="shared" si="6"/>
        <v>207.75020000000001</v>
      </c>
      <c r="X7" s="5">
        <f>11.5*W7-T7-R7-O7-F7</f>
        <v>329.59429999999975</v>
      </c>
      <c r="Y7" s="5">
        <f t="shared" si="7"/>
        <v>329.59429999999975</v>
      </c>
      <c r="Z7" s="29"/>
      <c r="AA7" s="1"/>
      <c r="AB7" s="1"/>
      <c r="AC7" s="1">
        <f t="shared" si="8"/>
        <v>11.499999999999998</v>
      </c>
      <c r="AD7" s="1">
        <f t="shared" si="9"/>
        <v>9.9135067017986014</v>
      </c>
      <c r="AE7" s="1">
        <v>215.72300000000001</v>
      </c>
      <c r="AF7" s="1">
        <v>234.3954</v>
      </c>
      <c r="AG7" s="1">
        <v>230.3776</v>
      </c>
      <c r="AH7" s="1">
        <v>285.33019999999999</v>
      </c>
      <c r="AI7" s="1">
        <v>305.41860000000003</v>
      </c>
      <c r="AJ7" s="1">
        <v>214.02080000000001</v>
      </c>
      <c r="AK7" s="1">
        <v>215.65379999999999</v>
      </c>
      <c r="AL7" s="1">
        <v>292.72160000000002</v>
      </c>
      <c r="AM7" s="1">
        <v>307.12900000000002</v>
      </c>
      <c r="AN7" s="1">
        <v>307.71940000000001</v>
      </c>
      <c r="AO7" s="1"/>
      <c r="AP7" s="1">
        <f t="shared" si="10"/>
        <v>330</v>
      </c>
      <c r="AQ7" t="s">
        <v>48</v>
      </c>
    </row>
    <row r="8" spans="1:43" x14ac:dyDescent="0.25">
      <c r="A8" s="1" t="s">
        <v>49</v>
      </c>
      <c r="B8" s="1" t="s">
        <v>44</v>
      </c>
      <c r="C8" s="1">
        <v>844.553</v>
      </c>
      <c r="D8" s="1">
        <v>2371.741</v>
      </c>
      <c r="E8" s="1">
        <v>1070.8389999999999</v>
      </c>
      <c r="F8" s="1">
        <v>1892.058</v>
      </c>
      <c r="G8" s="7">
        <v>1</v>
      </c>
      <c r="H8" s="1">
        <v>45</v>
      </c>
      <c r="I8" s="1" t="s">
        <v>45</v>
      </c>
      <c r="J8" s="1"/>
      <c r="K8" s="1">
        <v>1043.1500000000001</v>
      </c>
      <c r="L8" s="1">
        <f t="shared" si="5"/>
        <v>27.688999999999851</v>
      </c>
      <c r="M8" s="1"/>
      <c r="N8" s="1"/>
      <c r="O8" s="1">
        <v>0</v>
      </c>
      <c r="P8" s="18"/>
      <c r="Q8" s="22"/>
      <c r="R8" s="1">
        <v>69.547215379600047</v>
      </c>
      <c r="S8" s="22"/>
      <c r="T8" s="1">
        <v>104.32082306940001</v>
      </c>
      <c r="U8" s="18"/>
      <c r="V8" s="22"/>
      <c r="W8" s="1">
        <f t="shared" si="6"/>
        <v>214.1678</v>
      </c>
      <c r="X8" s="5">
        <f>11.5*W8-T8-R8-O8-F8</f>
        <v>397.00366155100028</v>
      </c>
      <c r="Y8" s="5">
        <f t="shared" si="7"/>
        <v>397.00366155100028</v>
      </c>
      <c r="Z8" s="29"/>
      <c r="AA8" s="1"/>
      <c r="AB8" s="1"/>
      <c r="AC8" s="1">
        <f t="shared" si="8"/>
        <v>11.5</v>
      </c>
      <c r="AD8" s="1">
        <f t="shared" si="9"/>
        <v>9.6462962146924038</v>
      </c>
      <c r="AE8" s="1">
        <v>218.27119999999999</v>
      </c>
      <c r="AF8" s="1">
        <v>225.20240000000001</v>
      </c>
      <c r="AG8" s="1">
        <v>269.71019999999999</v>
      </c>
      <c r="AH8" s="1">
        <v>293.387</v>
      </c>
      <c r="AI8" s="1">
        <v>257.86320000000001</v>
      </c>
      <c r="AJ8" s="1">
        <v>178.08920000000001</v>
      </c>
      <c r="AK8" s="1">
        <v>182.8776</v>
      </c>
      <c r="AL8" s="1">
        <v>261.28660000000002</v>
      </c>
      <c r="AM8" s="1">
        <v>254.85239999999999</v>
      </c>
      <c r="AN8" s="1">
        <v>257.28680000000003</v>
      </c>
      <c r="AO8" s="1"/>
      <c r="AP8" s="1">
        <f t="shared" si="10"/>
        <v>397</v>
      </c>
      <c r="AQ8" t="s">
        <v>50</v>
      </c>
    </row>
    <row r="9" spans="1:43" x14ac:dyDescent="0.25">
      <c r="A9" s="10" t="s">
        <v>51</v>
      </c>
      <c r="B9" s="10" t="s">
        <v>52</v>
      </c>
      <c r="C9" s="10"/>
      <c r="D9" s="10"/>
      <c r="E9" s="10"/>
      <c r="F9" s="10"/>
      <c r="G9" s="11">
        <v>0</v>
      </c>
      <c r="H9" s="10"/>
      <c r="I9" s="10" t="s">
        <v>45</v>
      </c>
      <c r="J9" s="10"/>
      <c r="K9" s="10"/>
      <c r="L9" s="10">
        <f t="shared" si="5"/>
        <v>0</v>
      </c>
      <c r="M9" s="10"/>
      <c r="N9" s="10"/>
      <c r="O9" s="10">
        <v>0</v>
      </c>
      <c r="P9" s="20"/>
      <c r="Q9" s="24"/>
      <c r="R9" s="10">
        <v>0</v>
      </c>
      <c r="S9" s="24"/>
      <c r="T9" s="10"/>
      <c r="U9" s="20"/>
      <c r="V9" s="24"/>
      <c r="W9" s="10">
        <f t="shared" si="6"/>
        <v>0</v>
      </c>
      <c r="X9" s="12"/>
      <c r="Y9" s="5">
        <f t="shared" si="7"/>
        <v>0</v>
      </c>
      <c r="Z9" s="29"/>
      <c r="AA9" s="1"/>
      <c r="AB9" s="1"/>
      <c r="AC9" s="1" t="e">
        <f t="shared" si="8"/>
        <v>#DIV/0!</v>
      </c>
      <c r="AD9" s="10" t="e">
        <f t="shared" si="9"/>
        <v>#DIV/0!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 t="s">
        <v>53</v>
      </c>
      <c r="AP9" s="1">
        <f t="shared" si="10"/>
        <v>0</v>
      </c>
      <c r="AQ9" t="s">
        <v>54</v>
      </c>
    </row>
    <row r="10" spans="1:43" x14ac:dyDescent="0.25">
      <c r="A10" s="1" t="s">
        <v>55</v>
      </c>
      <c r="B10" s="1" t="s">
        <v>52</v>
      </c>
      <c r="C10" s="1">
        <v>558</v>
      </c>
      <c r="D10" s="1">
        <v>1396</v>
      </c>
      <c r="E10" s="1">
        <v>730</v>
      </c>
      <c r="F10" s="1">
        <v>1003</v>
      </c>
      <c r="G10" s="7">
        <v>0.45</v>
      </c>
      <c r="H10" s="1">
        <v>45</v>
      </c>
      <c r="I10" s="1" t="s">
        <v>45</v>
      </c>
      <c r="J10" s="1"/>
      <c r="K10" s="1">
        <v>761</v>
      </c>
      <c r="L10" s="1">
        <f t="shared" si="5"/>
        <v>-31</v>
      </c>
      <c r="M10" s="1"/>
      <c r="N10" s="1"/>
      <c r="O10" s="1">
        <v>336.88444799999962</v>
      </c>
      <c r="P10" s="18"/>
      <c r="Q10" s="22"/>
      <c r="R10" s="1">
        <v>0</v>
      </c>
      <c r="S10" s="22"/>
      <c r="T10" s="1"/>
      <c r="U10" s="18"/>
      <c r="V10" s="22"/>
      <c r="W10" s="1">
        <f t="shared" si="6"/>
        <v>146</v>
      </c>
      <c r="X10" s="5">
        <f>11.5*W10-T10-R10-O10-F10</f>
        <v>339.11555200000043</v>
      </c>
      <c r="Y10" s="5">
        <f t="shared" si="7"/>
        <v>339.11555200000043</v>
      </c>
      <c r="Z10" s="29"/>
      <c r="AA10" s="1"/>
      <c r="AB10" s="1"/>
      <c r="AC10" s="1">
        <f t="shared" si="8"/>
        <v>11.5</v>
      </c>
      <c r="AD10" s="1">
        <f t="shared" si="9"/>
        <v>9.1772907397260237</v>
      </c>
      <c r="AE10" s="1">
        <v>145.4</v>
      </c>
      <c r="AF10" s="1">
        <v>163.19999999999999</v>
      </c>
      <c r="AG10" s="1">
        <v>166.4</v>
      </c>
      <c r="AH10" s="1">
        <v>157.4</v>
      </c>
      <c r="AI10" s="1">
        <v>159.4</v>
      </c>
      <c r="AJ10" s="1">
        <v>129.6</v>
      </c>
      <c r="AK10" s="1">
        <v>121.2</v>
      </c>
      <c r="AL10" s="1">
        <v>121</v>
      </c>
      <c r="AM10" s="1">
        <v>122.6</v>
      </c>
      <c r="AN10" s="1">
        <v>110.2</v>
      </c>
      <c r="AO10" s="1"/>
      <c r="AP10" s="1">
        <f t="shared" si="10"/>
        <v>153</v>
      </c>
      <c r="AQ10" t="s">
        <v>56</v>
      </c>
    </row>
    <row r="11" spans="1:43" x14ac:dyDescent="0.25">
      <c r="A11" s="1" t="s">
        <v>57</v>
      </c>
      <c r="B11" s="1" t="s">
        <v>52</v>
      </c>
      <c r="C11" s="1">
        <v>834.24</v>
      </c>
      <c r="D11" s="1">
        <v>1550</v>
      </c>
      <c r="E11" s="1">
        <v>993</v>
      </c>
      <c r="F11" s="1">
        <v>1014.24</v>
      </c>
      <c r="G11" s="7">
        <v>0.45</v>
      </c>
      <c r="H11" s="1">
        <v>45</v>
      </c>
      <c r="I11" s="1" t="s">
        <v>45</v>
      </c>
      <c r="J11" s="1"/>
      <c r="K11" s="1">
        <v>1044</v>
      </c>
      <c r="L11" s="1">
        <f t="shared" si="5"/>
        <v>-51</v>
      </c>
      <c r="M11" s="1"/>
      <c r="N11" s="1"/>
      <c r="O11" s="1">
        <v>483.45899999999932</v>
      </c>
      <c r="P11" s="18"/>
      <c r="Q11" s="22"/>
      <c r="R11" s="1">
        <v>116.0135764000002</v>
      </c>
      <c r="S11" s="22"/>
      <c r="T11" s="1">
        <v>174.02036460000039</v>
      </c>
      <c r="U11" s="18"/>
      <c r="V11" s="22"/>
      <c r="W11" s="1">
        <f t="shared" si="6"/>
        <v>198.6</v>
      </c>
      <c r="X11" s="5">
        <f>11.5*W11-T11-R11-O11-F11</f>
        <v>496.16705900000011</v>
      </c>
      <c r="Y11" s="5">
        <f t="shared" si="7"/>
        <v>496.16705900000011</v>
      </c>
      <c r="Z11" s="29"/>
      <c r="AA11" s="1"/>
      <c r="AB11" s="1"/>
      <c r="AC11" s="1">
        <f t="shared" si="8"/>
        <v>11.5</v>
      </c>
      <c r="AD11" s="1">
        <f t="shared" si="9"/>
        <v>9.0016764400805638</v>
      </c>
      <c r="AE11" s="1">
        <v>206</v>
      </c>
      <c r="AF11" s="1">
        <v>206.2</v>
      </c>
      <c r="AG11" s="1">
        <v>205.4</v>
      </c>
      <c r="AH11" s="1">
        <v>250.2</v>
      </c>
      <c r="AI11" s="1">
        <v>262.2</v>
      </c>
      <c r="AJ11" s="1">
        <v>226.6</v>
      </c>
      <c r="AK11" s="1">
        <v>220.8</v>
      </c>
      <c r="AL11" s="1">
        <v>239.6</v>
      </c>
      <c r="AM11" s="1">
        <v>248.2</v>
      </c>
      <c r="AN11" s="1">
        <v>245.2</v>
      </c>
      <c r="AO11" s="1"/>
      <c r="AP11" s="1">
        <f t="shared" si="10"/>
        <v>223</v>
      </c>
      <c r="AQ11" t="s">
        <v>58</v>
      </c>
    </row>
    <row r="12" spans="1:43" x14ac:dyDescent="0.25">
      <c r="A12" s="1" t="s">
        <v>59</v>
      </c>
      <c r="B12" s="1" t="s">
        <v>52</v>
      </c>
      <c r="C12" s="1">
        <v>118</v>
      </c>
      <c r="D12" s="1">
        <v>105</v>
      </c>
      <c r="E12" s="1">
        <v>59</v>
      </c>
      <c r="F12" s="1">
        <v>132</v>
      </c>
      <c r="G12" s="7">
        <v>0.17</v>
      </c>
      <c r="H12" s="1">
        <v>180</v>
      </c>
      <c r="I12" s="1" t="s">
        <v>45</v>
      </c>
      <c r="J12" s="1"/>
      <c r="K12" s="1">
        <v>59</v>
      </c>
      <c r="L12" s="1">
        <f t="shared" si="5"/>
        <v>0</v>
      </c>
      <c r="M12" s="1"/>
      <c r="N12" s="1"/>
      <c r="O12" s="1">
        <v>0</v>
      </c>
      <c r="P12" s="18"/>
      <c r="Q12" s="22"/>
      <c r="R12" s="1">
        <v>0</v>
      </c>
      <c r="S12" s="22"/>
      <c r="T12" s="1"/>
      <c r="U12" s="18"/>
      <c r="V12" s="22"/>
      <c r="W12" s="1">
        <f t="shared" si="6"/>
        <v>11.8</v>
      </c>
      <c r="X12" s="5">
        <v>10</v>
      </c>
      <c r="Y12" s="5">
        <f t="shared" si="7"/>
        <v>10</v>
      </c>
      <c r="Z12" s="29"/>
      <c r="AA12" s="1"/>
      <c r="AB12" s="1"/>
      <c r="AC12" s="1">
        <f t="shared" si="8"/>
        <v>12.033898305084746</v>
      </c>
      <c r="AD12" s="1">
        <f t="shared" si="9"/>
        <v>11.1864406779661</v>
      </c>
      <c r="AE12" s="1">
        <v>11</v>
      </c>
      <c r="AF12" s="1">
        <v>15.8</v>
      </c>
      <c r="AG12" s="1">
        <v>20.399999999999999</v>
      </c>
      <c r="AH12" s="1">
        <v>21.4</v>
      </c>
      <c r="AI12" s="1">
        <v>18.600000000000001</v>
      </c>
      <c r="AJ12" s="1">
        <v>14.2</v>
      </c>
      <c r="AK12" s="1">
        <v>15</v>
      </c>
      <c r="AL12" s="1">
        <v>13.8</v>
      </c>
      <c r="AM12" s="1">
        <v>12.8</v>
      </c>
      <c r="AN12" s="1">
        <v>16.600000000000001</v>
      </c>
      <c r="AO12" s="1"/>
      <c r="AP12" s="1">
        <f t="shared" si="10"/>
        <v>2</v>
      </c>
      <c r="AQ12" t="s">
        <v>60</v>
      </c>
    </row>
    <row r="13" spans="1:43" x14ac:dyDescent="0.25">
      <c r="A13" s="1" t="s">
        <v>61</v>
      </c>
      <c r="B13" s="1" t="s">
        <v>52</v>
      </c>
      <c r="C13" s="1"/>
      <c r="D13" s="1">
        <v>258</v>
      </c>
      <c r="E13" s="1">
        <v>180</v>
      </c>
      <c r="F13" s="1">
        <v>55</v>
      </c>
      <c r="G13" s="7">
        <v>0.3</v>
      </c>
      <c r="H13" s="1">
        <v>40</v>
      </c>
      <c r="I13" s="9" t="s">
        <v>62</v>
      </c>
      <c r="J13" s="1"/>
      <c r="K13" s="1">
        <v>188</v>
      </c>
      <c r="L13" s="1">
        <f t="shared" si="5"/>
        <v>-8</v>
      </c>
      <c r="M13" s="1"/>
      <c r="N13" s="1"/>
      <c r="O13" s="1">
        <v>47</v>
      </c>
      <c r="P13" s="18"/>
      <c r="Q13" s="22"/>
      <c r="R13" s="1">
        <v>80</v>
      </c>
      <c r="S13" s="22"/>
      <c r="T13" s="1">
        <v>120</v>
      </c>
      <c r="U13" s="18"/>
      <c r="V13" s="22"/>
      <c r="W13" s="1">
        <f t="shared" si="6"/>
        <v>36</v>
      </c>
      <c r="X13" s="5">
        <f t="shared" ref="X13:X18" si="11">11.5*W13-T13-R13-O13-F13</f>
        <v>112</v>
      </c>
      <c r="Y13" s="5">
        <f t="shared" si="7"/>
        <v>112</v>
      </c>
      <c r="Z13" s="29"/>
      <c r="AA13" s="1"/>
      <c r="AB13" s="1"/>
      <c r="AC13" s="1">
        <f t="shared" si="8"/>
        <v>11.5</v>
      </c>
      <c r="AD13" s="1">
        <f t="shared" si="9"/>
        <v>8.3888888888888893</v>
      </c>
      <c r="AE13" s="1">
        <v>39.4</v>
      </c>
      <c r="AF13" s="1">
        <v>26</v>
      </c>
      <c r="AG13" s="1">
        <v>10.8</v>
      </c>
      <c r="AH13" s="1">
        <v>12.4</v>
      </c>
      <c r="AI13" s="1">
        <v>11.2</v>
      </c>
      <c r="AJ13" s="1">
        <v>3.4</v>
      </c>
      <c r="AK13" s="1">
        <v>0.4</v>
      </c>
      <c r="AL13" s="1">
        <v>12.4</v>
      </c>
      <c r="AM13" s="1">
        <v>19.2</v>
      </c>
      <c r="AN13" s="1">
        <v>21</v>
      </c>
      <c r="AO13" s="1"/>
      <c r="AP13" s="1">
        <f t="shared" si="10"/>
        <v>34</v>
      </c>
      <c r="AQ13" t="s">
        <v>63</v>
      </c>
    </row>
    <row r="14" spans="1:43" x14ac:dyDescent="0.25">
      <c r="A14" s="1" t="s">
        <v>64</v>
      </c>
      <c r="B14" s="1" t="s">
        <v>52</v>
      </c>
      <c r="C14" s="1">
        <v>349</v>
      </c>
      <c r="D14" s="1">
        <v>330</v>
      </c>
      <c r="E14" s="1">
        <v>229</v>
      </c>
      <c r="F14" s="1">
        <v>372</v>
      </c>
      <c r="G14" s="7">
        <v>0.17</v>
      </c>
      <c r="H14" s="1">
        <v>180</v>
      </c>
      <c r="I14" s="1" t="s">
        <v>45</v>
      </c>
      <c r="J14" s="1"/>
      <c r="K14" s="1">
        <v>231</v>
      </c>
      <c r="L14" s="1">
        <f t="shared" si="5"/>
        <v>-2</v>
      </c>
      <c r="M14" s="1"/>
      <c r="N14" s="1"/>
      <c r="O14" s="1">
        <v>60.79399999999999</v>
      </c>
      <c r="P14" s="18"/>
      <c r="Q14" s="22"/>
      <c r="R14" s="1">
        <v>0</v>
      </c>
      <c r="S14" s="22"/>
      <c r="T14" s="1"/>
      <c r="U14" s="18"/>
      <c r="V14" s="22"/>
      <c r="W14" s="1">
        <f t="shared" si="6"/>
        <v>45.8</v>
      </c>
      <c r="X14" s="5">
        <f t="shared" si="11"/>
        <v>93.905999999999949</v>
      </c>
      <c r="Y14" s="5">
        <f t="shared" si="7"/>
        <v>93.905999999999949</v>
      </c>
      <c r="Z14" s="29"/>
      <c r="AA14" s="1"/>
      <c r="AB14" s="1"/>
      <c r="AC14" s="1">
        <f t="shared" si="8"/>
        <v>11.5</v>
      </c>
      <c r="AD14" s="1">
        <f t="shared" si="9"/>
        <v>9.4496506550218342</v>
      </c>
      <c r="AE14" s="1">
        <v>48.6</v>
      </c>
      <c r="AF14" s="1">
        <v>53.8</v>
      </c>
      <c r="AG14" s="1">
        <v>56.6</v>
      </c>
      <c r="AH14" s="1">
        <v>54.4</v>
      </c>
      <c r="AI14" s="1">
        <v>61.4</v>
      </c>
      <c r="AJ14" s="1">
        <v>53.8</v>
      </c>
      <c r="AK14" s="1">
        <v>47.8</v>
      </c>
      <c r="AL14" s="1">
        <v>45.8</v>
      </c>
      <c r="AM14" s="1">
        <v>47.6</v>
      </c>
      <c r="AN14" s="1">
        <v>57.6</v>
      </c>
      <c r="AO14" s="1"/>
      <c r="AP14" s="1">
        <f t="shared" si="10"/>
        <v>16</v>
      </c>
      <c r="AQ14" t="s">
        <v>65</v>
      </c>
    </row>
    <row r="15" spans="1:43" x14ac:dyDescent="0.25">
      <c r="A15" s="1" t="s">
        <v>66</v>
      </c>
      <c r="B15" s="1" t="s">
        <v>44</v>
      </c>
      <c r="C15" s="1">
        <v>1070.3630000000001</v>
      </c>
      <c r="D15" s="1">
        <v>1147.1869999999999</v>
      </c>
      <c r="E15" s="1">
        <v>1334.9549999999999</v>
      </c>
      <c r="F15" s="1">
        <v>588.98900000000003</v>
      </c>
      <c r="G15" s="7">
        <v>1</v>
      </c>
      <c r="H15" s="1">
        <v>70</v>
      </c>
      <c r="I15" s="9" t="s">
        <v>62</v>
      </c>
      <c r="J15" s="1"/>
      <c r="K15" s="1">
        <v>1305.0550000000001</v>
      </c>
      <c r="L15" s="1">
        <f t="shared" si="5"/>
        <v>29.899999999999864</v>
      </c>
      <c r="M15" s="1"/>
      <c r="N15" s="1"/>
      <c r="O15" s="1">
        <v>762.18745399999966</v>
      </c>
      <c r="P15" s="18"/>
      <c r="Q15" s="22"/>
      <c r="R15" s="1">
        <v>441.92989840000013</v>
      </c>
      <c r="S15" s="22"/>
      <c r="T15" s="1">
        <v>662.89484759999993</v>
      </c>
      <c r="U15" s="18"/>
      <c r="V15" s="22"/>
      <c r="W15" s="1">
        <f t="shared" si="6"/>
        <v>266.99099999999999</v>
      </c>
      <c r="X15" s="5">
        <f t="shared" si="11"/>
        <v>614.39529999999991</v>
      </c>
      <c r="Y15" s="5">
        <f t="shared" si="7"/>
        <v>614.39529999999991</v>
      </c>
      <c r="Z15" s="29"/>
      <c r="AA15" s="1"/>
      <c r="AB15" s="1"/>
      <c r="AC15" s="1">
        <f t="shared" si="8"/>
        <v>11.5</v>
      </c>
      <c r="AD15" s="1">
        <f t="shared" si="9"/>
        <v>9.1988164395054515</v>
      </c>
      <c r="AE15" s="1">
        <v>267.36419999999998</v>
      </c>
      <c r="AF15" s="1">
        <v>230.82159999999999</v>
      </c>
      <c r="AG15" s="1">
        <v>233.12559999999999</v>
      </c>
      <c r="AH15" s="1">
        <v>259.81060000000002</v>
      </c>
      <c r="AI15" s="1">
        <v>267.96080000000001</v>
      </c>
      <c r="AJ15" s="1">
        <v>195.66640000000001</v>
      </c>
      <c r="AK15" s="1">
        <v>187.86779999999999</v>
      </c>
      <c r="AL15" s="1">
        <v>228.3366</v>
      </c>
      <c r="AM15" s="1">
        <v>217.41739999999999</v>
      </c>
      <c r="AN15" s="1">
        <v>228.7406</v>
      </c>
      <c r="AO15" s="1"/>
      <c r="AP15" s="1">
        <f t="shared" si="10"/>
        <v>614</v>
      </c>
      <c r="AQ15" t="s">
        <v>67</v>
      </c>
    </row>
    <row r="16" spans="1:43" x14ac:dyDescent="0.25">
      <c r="A16" s="1" t="s">
        <v>68</v>
      </c>
      <c r="B16" s="1" t="s">
        <v>44</v>
      </c>
      <c r="C16" s="1">
        <v>2731.4760000000001</v>
      </c>
      <c r="D16" s="1">
        <v>6817.1989999999996</v>
      </c>
      <c r="E16" s="1">
        <v>4140.768</v>
      </c>
      <c r="F16" s="1">
        <v>4649.8100000000004</v>
      </c>
      <c r="G16" s="7">
        <v>1</v>
      </c>
      <c r="H16" s="1">
        <v>50</v>
      </c>
      <c r="I16" s="1" t="s">
        <v>45</v>
      </c>
      <c r="J16" s="1"/>
      <c r="K16" s="1">
        <v>4204.8</v>
      </c>
      <c r="L16" s="1">
        <f t="shared" si="5"/>
        <v>-64.032000000000153</v>
      </c>
      <c r="M16" s="1"/>
      <c r="N16" s="1"/>
      <c r="O16" s="1">
        <v>1773.346297799998</v>
      </c>
      <c r="P16" s="18"/>
      <c r="Q16" s="22">
        <v>300</v>
      </c>
      <c r="R16" s="1">
        <v>1794.480259187002</v>
      </c>
      <c r="S16" s="22"/>
      <c r="T16" s="1">
        <v>750</v>
      </c>
      <c r="U16" s="18"/>
      <c r="V16" s="22">
        <v>600</v>
      </c>
      <c r="W16" s="1">
        <f t="shared" si="6"/>
        <v>828.15359999999998</v>
      </c>
      <c r="X16" s="5">
        <f t="shared" si="11"/>
        <v>556.12984301300003</v>
      </c>
      <c r="Y16" s="17"/>
      <c r="Z16" s="30"/>
      <c r="AA16" s="1"/>
      <c r="AB16" s="1"/>
      <c r="AC16" s="1">
        <f t="shared" si="8"/>
        <v>10.828470173874749</v>
      </c>
      <c r="AD16" s="1">
        <f t="shared" si="9"/>
        <v>10.828470173874749</v>
      </c>
      <c r="AE16" s="1">
        <v>790.303</v>
      </c>
      <c r="AF16" s="1">
        <v>764.45860000000005</v>
      </c>
      <c r="AG16" s="1">
        <v>816.20259999999996</v>
      </c>
      <c r="AH16" s="1">
        <v>828.27839999999992</v>
      </c>
      <c r="AI16" s="1">
        <v>796.69399999999996</v>
      </c>
      <c r="AJ16" s="1">
        <v>602.02499999999998</v>
      </c>
      <c r="AK16" s="1">
        <v>540.52719999999999</v>
      </c>
      <c r="AL16" s="1">
        <v>666.84559999999999</v>
      </c>
      <c r="AM16" s="1">
        <v>674.39080000000001</v>
      </c>
      <c r="AN16" s="1">
        <v>736.59320000000002</v>
      </c>
      <c r="AO16" s="1"/>
      <c r="AP16" s="1">
        <f t="shared" si="10"/>
        <v>0</v>
      </c>
      <c r="AQ16" t="s">
        <v>69</v>
      </c>
    </row>
    <row r="17" spans="1:43" x14ac:dyDescent="0.25">
      <c r="A17" s="1" t="s">
        <v>70</v>
      </c>
      <c r="B17" s="1" t="s">
        <v>44</v>
      </c>
      <c r="C17" s="1">
        <v>88.554000000000002</v>
      </c>
      <c r="D17" s="1">
        <v>101.126</v>
      </c>
      <c r="E17" s="1">
        <v>116.741</v>
      </c>
      <c r="F17" s="1">
        <v>54.279000000000003</v>
      </c>
      <c r="G17" s="7">
        <v>1</v>
      </c>
      <c r="H17" s="1">
        <v>60</v>
      </c>
      <c r="I17" s="1" t="s">
        <v>45</v>
      </c>
      <c r="J17" s="1"/>
      <c r="K17" s="1">
        <v>118.36</v>
      </c>
      <c r="L17" s="1">
        <f t="shared" si="5"/>
        <v>-1.6189999999999998</v>
      </c>
      <c r="M17" s="1"/>
      <c r="N17" s="1"/>
      <c r="O17" s="1">
        <v>42.580366000000019</v>
      </c>
      <c r="P17" s="18"/>
      <c r="Q17" s="22"/>
      <c r="R17" s="1">
        <v>89.690433999999968</v>
      </c>
      <c r="S17" s="22"/>
      <c r="T17" s="1"/>
      <c r="U17" s="18"/>
      <c r="V17" s="22"/>
      <c r="W17" s="1">
        <f t="shared" si="6"/>
        <v>23.348199999999999</v>
      </c>
      <c r="X17" s="5">
        <f t="shared" si="11"/>
        <v>81.954499999999996</v>
      </c>
      <c r="Y17" s="5">
        <f t="shared" ref="Y17:Y64" si="12">X17</f>
        <v>81.954499999999996</v>
      </c>
      <c r="Z17" s="29"/>
      <c r="AA17" s="1"/>
      <c r="AB17" s="1"/>
      <c r="AC17" s="1">
        <f t="shared" si="8"/>
        <v>11.5</v>
      </c>
      <c r="AD17" s="1">
        <f t="shared" si="9"/>
        <v>7.9899007203981469</v>
      </c>
      <c r="AE17" s="1">
        <v>19.873799999999999</v>
      </c>
      <c r="AF17" s="1">
        <v>16.658200000000001</v>
      </c>
      <c r="AG17" s="1">
        <v>19.036799999999999</v>
      </c>
      <c r="AH17" s="1">
        <v>21.176200000000001</v>
      </c>
      <c r="AI17" s="1">
        <v>19.1052</v>
      </c>
      <c r="AJ17" s="1">
        <v>13.417199999999999</v>
      </c>
      <c r="AK17" s="1">
        <v>12.323</v>
      </c>
      <c r="AL17" s="1">
        <v>17.948399999999999</v>
      </c>
      <c r="AM17" s="1">
        <v>19.870200000000001</v>
      </c>
      <c r="AN17" s="1">
        <v>23.232600000000001</v>
      </c>
      <c r="AO17" s="1"/>
      <c r="AP17" s="1">
        <f t="shared" si="10"/>
        <v>82</v>
      </c>
      <c r="AQ17" t="s">
        <v>71</v>
      </c>
    </row>
    <row r="18" spans="1:43" x14ac:dyDescent="0.25">
      <c r="A18" s="1" t="s">
        <v>72</v>
      </c>
      <c r="B18" s="1" t="s">
        <v>44</v>
      </c>
      <c r="C18" s="1">
        <v>105.55</v>
      </c>
      <c r="D18" s="1">
        <v>92.072999999999993</v>
      </c>
      <c r="E18" s="1">
        <v>93.465000000000003</v>
      </c>
      <c r="F18" s="1">
        <v>90.039000000000001</v>
      </c>
      <c r="G18" s="7">
        <v>1</v>
      </c>
      <c r="H18" s="1">
        <v>60</v>
      </c>
      <c r="I18" s="9" t="s">
        <v>62</v>
      </c>
      <c r="J18" s="1"/>
      <c r="K18" s="1">
        <v>93.61</v>
      </c>
      <c r="L18" s="1">
        <f t="shared" si="5"/>
        <v>-0.14499999999999602</v>
      </c>
      <c r="M18" s="1"/>
      <c r="N18" s="1"/>
      <c r="O18" s="1">
        <v>0</v>
      </c>
      <c r="P18" s="18"/>
      <c r="Q18" s="22"/>
      <c r="R18" s="1">
        <v>71.894199999999998</v>
      </c>
      <c r="S18" s="22"/>
      <c r="T18" s="1"/>
      <c r="U18" s="18"/>
      <c r="V18" s="22"/>
      <c r="W18" s="1">
        <f t="shared" si="6"/>
        <v>18.693000000000001</v>
      </c>
      <c r="X18" s="5">
        <f t="shared" si="11"/>
        <v>53.036300000000026</v>
      </c>
      <c r="Y18" s="5">
        <f t="shared" si="12"/>
        <v>53.036300000000026</v>
      </c>
      <c r="Z18" s="29"/>
      <c r="AA18" s="1"/>
      <c r="AB18" s="1"/>
      <c r="AC18" s="1">
        <f t="shared" si="8"/>
        <v>11.500000000000002</v>
      </c>
      <c r="AD18" s="1">
        <f t="shared" si="9"/>
        <v>8.6627721607018664</v>
      </c>
      <c r="AE18" s="1">
        <v>17.530200000000001</v>
      </c>
      <c r="AF18" s="1">
        <v>12.1244</v>
      </c>
      <c r="AG18" s="1">
        <v>14.151199999999999</v>
      </c>
      <c r="AH18" s="1">
        <v>20.768999999999998</v>
      </c>
      <c r="AI18" s="1">
        <v>18.800599999999999</v>
      </c>
      <c r="AJ18" s="1">
        <v>14.020799999999999</v>
      </c>
      <c r="AK18" s="1">
        <v>14.549200000000001</v>
      </c>
      <c r="AL18" s="1">
        <v>15.186</v>
      </c>
      <c r="AM18" s="1">
        <v>16.345400000000001</v>
      </c>
      <c r="AN18" s="1">
        <v>19.931799999999999</v>
      </c>
      <c r="AO18" s="1"/>
      <c r="AP18" s="1">
        <f t="shared" si="10"/>
        <v>53</v>
      </c>
      <c r="AQ18" t="s">
        <v>73</v>
      </c>
    </row>
    <row r="19" spans="1:43" x14ac:dyDescent="0.25">
      <c r="A19" s="1" t="s">
        <v>74</v>
      </c>
      <c r="B19" s="1" t="s">
        <v>44</v>
      </c>
      <c r="C19" s="1">
        <v>11.087</v>
      </c>
      <c r="D19" s="1">
        <v>16.088999999999999</v>
      </c>
      <c r="E19" s="1">
        <v>9.6829999999999998</v>
      </c>
      <c r="F19" s="1">
        <v>15.351000000000001</v>
      </c>
      <c r="G19" s="7">
        <v>1</v>
      </c>
      <c r="H19" s="1">
        <v>180</v>
      </c>
      <c r="I19" s="1" t="s">
        <v>45</v>
      </c>
      <c r="J19" s="1"/>
      <c r="K19" s="1">
        <v>9.3040000000000003</v>
      </c>
      <c r="L19" s="1">
        <f t="shared" si="5"/>
        <v>0.37899999999999956</v>
      </c>
      <c r="M19" s="1"/>
      <c r="N19" s="1"/>
      <c r="O19" s="1">
        <v>6.0233779999999992</v>
      </c>
      <c r="P19" s="18"/>
      <c r="Q19" s="22"/>
      <c r="R19" s="1">
        <v>0</v>
      </c>
      <c r="S19" s="22"/>
      <c r="T19" s="1"/>
      <c r="U19" s="18"/>
      <c r="V19" s="22"/>
      <c r="W19" s="1">
        <f t="shared" si="6"/>
        <v>1.9365999999999999</v>
      </c>
      <c r="X19" s="5">
        <v>4</v>
      </c>
      <c r="Y19" s="5">
        <f t="shared" si="12"/>
        <v>4</v>
      </c>
      <c r="Z19" s="29"/>
      <c r="AA19" s="1"/>
      <c r="AB19" s="1"/>
      <c r="AC19" s="1">
        <f t="shared" si="8"/>
        <v>13.102539502220386</v>
      </c>
      <c r="AD19" s="1">
        <f t="shared" si="9"/>
        <v>11.03706392646907</v>
      </c>
      <c r="AE19" s="1">
        <v>1.5718000000000001</v>
      </c>
      <c r="AF19" s="1">
        <v>1.7906</v>
      </c>
      <c r="AG19" s="1">
        <v>2.5901999999999998</v>
      </c>
      <c r="AH19" s="1">
        <v>1.7988</v>
      </c>
      <c r="AI19" s="1">
        <v>1.4292</v>
      </c>
      <c r="AJ19" s="1">
        <v>2.8586</v>
      </c>
      <c r="AK19" s="1">
        <v>2.6456</v>
      </c>
      <c r="AL19" s="1">
        <v>1.0746</v>
      </c>
      <c r="AM19" s="1">
        <v>1.3657999999999999</v>
      </c>
      <c r="AN19" s="1">
        <v>1.7043999999999999</v>
      </c>
      <c r="AO19" s="1"/>
      <c r="AP19" s="1">
        <f t="shared" si="10"/>
        <v>4</v>
      </c>
      <c r="AQ19" t="s">
        <v>75</v>
      </c>
    </row>
    <row r="20" spans="1:43" x14ac:dyDescent="0.25">
      <c r="A20" s="1" t="s">
        <v>76</v>
      </c>
      <c r="B20" s="1" t="s">
        <v>44</v>
      </c>
      <c r="C20" s="1">
        <v>1305.7070000000001</v>
      </c>
      <c r="D20" s="1">
        <v>1804.27</v>
      </c>
      <c r="E20" s="1">
        <v>1449.671</v>
      </c>
      <c r="F20" s="1">
        <v>1375.963</v>
      </c>
      <c r="G20" s="7">
        <v>1</v>
      </c>
      <c r="H20" s="1">
        <v>60</v>
      </c>
      <c r="I20" s="1" t="s">
        <v>45</v>
      </c>
      <c r="J20" s="1"/>
      <c r="K20" s="1">
        <v>1425.559</v>
      </c>
      <c r="L20" s="1">
        <f t="shared" si="5"/>
        <v>24.11200000000008</v>
      </c>
      <c r="M20" s="1"/>
      <c r="N20" s="1"/>
      <c r="O20" s="1">
        <v>599.70593014120016</v>
      </c>
      <c r="P20" s="18"/>
      <c r="Q20" s="22"/>
      <c r="R20" s="1">
        <v>308.05603985380179</v>
      </c>
      <c r="S20" s="22"/>
      <c r="T20" s="1">
        <v>462.08405978070277</v>
      </c>
      <c r="U20" s="18"/>
      <c r="V20" s="22"/>
      <c r="W20" s="1">
        <f t="shared" si="6"/>
        <v>289.93420000000003</v>
      </c>
      <c r="X20" s="5">
        <f>11.5*W20-T20-R20-O20-F20</f>
        <v>588.43427022429591</v>
      </c>
      <c r="Y20" s="5">
        <f t="shared" si="12"/>
        <v>588.43427022429591</v>
      </c>
      <c r="Z20" s="29"/>
      <c r="AA20" s="1"/>
      <c r="AB20" s="1"/>
      <c r="AC20" s="1">
        <f t="shared" si="8"/>
        <v>11.500000000000002</v>
      </c>
      <c r="AD20" s="1">
        <f t="shared" si="9"/>
        <v>9.4704558129937908</v>
      </c>
      <c r="AE20" s="1">
        <v>292.35160000000002</v>
      </c>
      <c r="AF20" s="1">
        <v>267.48160000000001</v>
      </c>
      <c r="AG20" s="1">
        <v>272.67099999999999</v>
      </c>
      <c r="AH20" s="1">
        <v>299.54820000000001</v>
      </c>
      <c r="AI20" s="1">
        <v>310.22800000000001</v>
      </c>
      <c r="AJ20" s="1">
        <v>239.51920000000001</v>
      </c>
      <c r="AK20" s="1">
        <v>213.66820000000001</v>
      </c>
      <c r="AL20" s="1">
        <v>253.92599999999999</v>
      </c>
      <c r="AM20" s="1">
        <v>253.47559999999999</v>
      </c>
      <c r="AN20" s="1">
        <v>272.93060000000003</v>
      </c>
      <c r="AO20" s="1"/>
      <c r="AP20" s="1">
        <f t="shared" si="10"/>
        <v>588</v>
      </c>
      <c r="AQ20" t="s">
        <v>77</v>
      </c>
    </row>
    <row r="21" spans="1:43" x14ac:dyDescent="0.25">
      <c r="A21" s="1" t="s">
        <v>78</v>
      </c>
      <c r="B21" s="1" t="s">
        <v>44</v>
      </c>
      <c r="C21" s="1">
        <v>284.62900000000002</v>
      </c>
      <c r="D21" s="1">
        <v>260.31099999999998</v>
      </c>
      <c r="E21" s="1">
        <v>296.43200000000002</v>
      </c>
      <c r="F21" s="1">
        <v>206.01900000000001</v>
      </c>
      <c r="G21" s="7">
        <v>1</v>
      </c>
      <c r="H21" s="1">
        <v>70</v>
      </c>
      <c r="I21" s="1" t="s">
        <v>45</v>
      </c>
      <c r="J21" s="1"/>
      <c r="K21" s="1">
        <v>280.99900000000002</v>
      </c>
      <c r="L21" s="1">
        <f t="shared" si="5"/>
        <v>15.432999999999993</v>
      </c>
      <c r="M21" s="1"/>
      <c r="N21" s="1"/>
      <c r="O21" s="1">
        <v>57.919378999999907</v>
      </c>
      <c r="P21" s="18"/>
      <c r="Q21" s="22"/>
      <c r="R21" s="1">
        <v>112.72496839999999</v>
      </c>
      <c r="S21" s="22"/>
      <c r="T21" s="1">
        <v>169.08745260000001</v>
      </c>
      <c r="U21" s="18"/>
      <c r="V21" s="22"/>
      <c r="W21" s="1">
        <f t="shared" si="6"/>
        <v>59.2864</v>
      </c>
      <c r="X21" s="5">
        <f>11.5*W21-T21-R21-O21-F21</f>
        <v>136.04280000000006</v>
      </c>
      <c r="Y21" s="5">
        <f t="shared" si="12"/>
        <v>136.04280000000006</v>
      </c>
      <c r="Z21" s="29"/>
      <c r="AA21" s="1"/>
      <c r="AB21" s="1"/>
      <c r="AC21" s="1">
        <f t="shared" si="8"/>
        <v>11.5</v>
      </c>
      <c r="AD21" s="1">
        <f t="shared" si="9"/>
        <v>9.2053287094510701</v>
      </c>
      <c r="AE21" s="1">
        <v>56.157799999999988</v>
      </c>
      <c r="AF21" s="1">
        <v>44.815800000000003</v>
      </c>
      <c r="AG21" s="1">
        <v>46.234999999999999</v>
      </c>
      <c r="AH21" s="1">
        <v>51.521799999999999</v>
      </c>
      <c r="AI21" s="1">
        <v>51.721600000000002</v>
      </c>
      <c r="AJ21" s="1">
        <v>37.593200000000003</v>
      </c>
      <c r="AK21" s="1">
        <v>36.026400000000002</v>
      </c>
      <c r="AL21" s="1">
        <v>37.416800000000002</v>
      </c>
      <c r="AM21" s="1">
        <v>36.369999999999997</v>
      </c>
      <c r="AN21" s="1">
        <v>49.895400000000002</v>
      </c>
      <c r="AO21" s="1"/>
      <c r="AP21" s="1">
        <f t="shared" si="10"/>
        <v>136</v>
      </c>
      <c r="AQ21" t="s">
        <v>79</v>
      </c>
    </row>
    <row r="22" spans="1:43" x14ac:dyDescent="0.25">
      <c r="A22" s="1" t="s">
        <v>80</v>
      </c>
      <c r="B22" s="1" t="s">
        <v>44</v>
      </c>
      <c r="C22" s="1">
        <v>533.50599999999997</v>
      </c>
      <c r="D22" s="1">
        <v>878.71</v>
      </c>
      <c r="E22" s="1">
        <v>503.92</v>
      </c>
      <c r="F22" s="1">
        <v>802.03599999999994</v>
      </c>
      <c r="G22" s="7">
        <v>1</v>
      </c>
      <c r="H22" s="1">
        <v>70</v>
      </c>
      <c r="I22" s="9" t="s">
        <v>62</v>
      </c>
      <c r="J22" s="1"/>
      <c r="K22" s="1">
        <v>490.63</v>
      </c>
      <c r="L22" s="1">
        <f t="shared" si="5"/>
        <v>13.29000000000002</v>
      </c>
      <c r="M22" s="1"/>
      <c r="N22" s="1"/>
      <c r="O22" s="1">
        <v>0</v>
      </c>
      <c r="P22" s="18"/>
      <c r="Q22" s="22"/>
      <c r="R22" s="1">
        <v>74.306600000000003</v>
      </c>
      <c r="S22" s="22"/>
      <c r="T22" s="1"/>
      <c r="U22" s="18"/>
      <c r="V22" s="22"/>
      <c r="W22" s="1">
        <f t="shared" si="6"/>
        <v>100.78400000000001</v>
      </c>
      <c r="X22" s="5">
        <f>11.5*W22-T22-R22-O22-F22</f>
        <v>282.67340000000024</v>
      </c>
      <c r="Y22" s="5">
        <f t="shared" si="12"/>
        <v>282.67340000000024</v>
      </c>
      <c r="Z22" s="29"/>
      <c r="AA22" s="1"/>
      <c r="AB22" s="1"/>
      <c r="AC22" s="1">
        <f t="shared" si="8"/>
        <v>11.5</v>
      </c>
      <c r="AD22" s="1">
        <f t="shared" si="9"/>
        <v>8.6952551992379732</v>
      </c>
      <c r="AE22" s="1">
        <v>98.3446</v>
      </c>
      <c r="AF22" s="1">
        <v>86.057199999999995</v>
      </c>
      <c r="AG22" s="1">
        <v>89.749800000000008</v>
      </c>
      <c r="AH22" s="1">
        <v>107.6352</v>
      </c>
      <c r="AI22" s="1">
        <v>111.0834</v>
      </c>
      <c r="AJ22" s="1">
        <v>83.725200000000001</v>
      </c>
      <c r="AK22" s="1">
        <v>68.192800000000005</v>
      </c>
      <c r="AL22" s="1">
        <v>74.657200000000003</v>
      </c>
      <c r="AM22" s="1">
        <v>76.412599999999998</v>
      </c>
      <c r="AN22" s="1">
        <v>86.384199999999993</v>
      </c>
      <c r="AO22" s="1" t="s">
        <v>81</v>
      </c>
      <c r="AP22" s="1">
        <f t="shared" si="10"/>
        <v>283</v>
      </c>
      <c r="AQ22" t="s">
        <v>82</v>
      </c>
    </row>
    <row r="23" spans="1:43" x14ac:dyDescent="0.25">
      <c r="A23" s="10" t="s">
        <v>83</v>
      </c>
      <c r="B23" s="10" t="s">
        <v>44</v>
      </c>
      <c r="C23" s="10"/>
      <c r="D23" s="10"/>
      <c r="E23" s="10"/>
      <c r="F23" s="10"/>
      <c r="G23" s="11">
        <v>0</v>
      </c>
      <c r="H23" s="10"/>
      <c r="I23" s="10" t="s">
        <v>45</v>
      </c>
      <c r="J23" s="10"/>
      <c r="K23" s="10"/>
      <c r="L23" s="10">
        <f t="shared" si="5"/>
        <v>0</v>
      </c>
      <c r="M23" s="10"/>
      <c r="N23" s="10"/>
      <c r="O23" s="10">
        <v>0</v>
      </c>
      <c r="P23" s="20"/>
      <c r="Q23" s="24"/>
      <c r="R23" s="10">
        <v>0</v>
      </c>
      <c r="S23" s="24"/>
      <c r="T23" s="10"/>
      <c r="U23" s="20"/>
      <c r="V23" s="24"/>
      <c r="W23" s="10">
        <f t="shared" si="6"/>
        <v>0</v>
      </c>
      <c r="X23" s="12"/>
      <c r="Y23" s="5">
        <f t="shared" si="12"/>
        <v>0</v>
      </c>
      <c r="Z23" s="29"/>
      <c r="AA23" s="1"/>
      <c r="AB23" s="1"/>
      <c r="AC23" s="1" t="e">
        <f t="shared" si="8"/>
        <v>#DIV/0!</v>
      </c>
      <c r="AD23" s="10" t="e">
        <f t="shared" si="9"/>
        <v>#DIV/0!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 t="s">
        <v>53</v>
      </c>
      <c r="AP23" s="1">
        <f t="shared" si="10"/>
        <v>0</v>
      </c>
      <c r="AQ23" t="s">
        <v>84</v>
      </c>
    </row>
    <row r="24" spans="1:43" x14ac:dyDescent="0.25">
      <c r="A24" s="1" t="s">
        <v>85</v>
      </c>
      <c r="B24" s="1" t="s">
        <v>44</v>
      </c>
      <c r="C24" s="1">
        <v>759.04</v>
      </c>
      <c r="D24" s="1">
        <v>838.64300000000003</v>
      </c>
      <c r="E24" s="1">
        <v>784.322</v>
      </c>
      <c r="F24" s="1">
        <v>641.28800000000001</v>
      </c>
      <c r="G24" s="7">
        <v>1</v>
      </c>
      <c r="H24" s="1">
        <v>70</v>
      </c>
      <c r="I24" s="9" t="s">
        <v>62</v>
      </c>
      <c r="J24" s="1"/>
      <c r="K24" s="1">
        <v>768.875</v>
      </c>
      <c r="L24" s="1">
        <f t="shared" si="5"/>
        <v>15.447000000000003</v>
      </c>
      <c r="M24" s="1"/>
      <c r="N24" s="1"/>
      <c r="O24" s="1">
        <v>195.2961</v>
      </c>
      <c r="P24" s="18"/>
      <c r="Q24" s="22"/>
      <c r="R24" s="1">
        <v>190.60051999999999</v>
      </c>
      <c r="S24" s="22"/>
      <c r="T24" s="1">
        <v>285.90077999999988</v>
      </c>
      <c r="U24" s="18"/>
      <c r="V24" s="22"/>
      <c r="W24" s="1">
        <f t="shared" si="6"/>
        <v>156.86439999999999</v>
      </c>
      <c r="X24" s="5">
        <f t="shared" ref="X24:X29" si="13">11.5*W24-T24-R24-O24-F24</f>
        <v>490.85519999999997</v>
      </c>
      <c r="Y24" s="5">
        <f t="shared" si="12"/>
        <v>490.85519999999997</v>
      </c>
      <c r="Z24" s="29"/>
      <c r="AA24" s="1"/>
      <c r="AB24" s="1"/>
      <c r="AC24" s="1">
        <f t="shared" si="8"/>
        <v>11.5</v>
      </c>
      <c r="AD24" s="1">
        <f t="shared" si="9"/>
        <v>8.3708311127317607</v>
      </c>
      <c r="AE24" s="1">
        <v>146.11439999999999</v>
      </c>
      <c r="AF24" s="1">
        <v>137.9374</v>
      </c>
      <c r="AG24" s="1">
        <v>140.28139999999999</v>
      </c>
      <c r="AH24" s="1">
        <v>155.126</v>
      </c>
      <c r="AI24" s="1">
        <v>164.63640000000001</v>
      </c>
      <c r="AJ24" s="1">
        <v>125.02379999999999</v>
      </c>
      <c r="AK24" s="1">
        <v>109.46899999999999</v>
      </c>
      <c r="AL24" s="1">
        <v>119.8348</v>
      </c>
      <c r="AM24" s="1">
        <v>117.5896</v>
      </c>
      <c r="AN24" s="1">
        <v>135.84819999999999</v>
      </c>
      <c r="AO24" s="1" t="s">
        <v>81</v>
      </c>
      <c r="AP24" s="1">
        <f t="shared" si="10"/>
        <v>491</v>
      </c>
      <c r="AQ24" t="s">
        <v>86</v>
      </c>
    </row>
    <row r="25" spans="1:43" x14ac:dyDescent="0.25">
      <c r="A25" s="1" t="s">
        <v>87</v>
      </c>
      <c r="B25" s="1" t="s">
        <v>44</v>
      </c>
      <c r="C25" s="1">
        <v>25.475999999999999</v>
      </c>
      <c r="D25" s="1">
        <v>381.91300000000001</v>
      </c>
      <c r="E25" s="1">
        <v>142.76400000000001</v>
      </c>
      <c r="F25" s="1">
        <v>235.74700000000001</v>
      </c>
      <c r="G25" s="7">
        <v>1</v>
      </c>
      <c r="H25" s="1">
        <v>40</v>
      </c>
      <c r="I25" s="9" t="s">
        <v>62</v>
      </c>
      <c r="J25" s="1"/>
      <c r="K25" s="1">
        <v>146.05000000000001</v>
      </c>
      <c r="L25" s="1">
        <f t="shared" si="5"/>
        <v>-3.2860000000000014</v>
      </c>
      <c r="M25" s="1"/>
      <c r="N25" s="1"/>
      <c r="O25" s="1">
        <v>0</v>
      </c>
      <c r="P25" s="18"/>
      <c r="Q25" s="22"/>
      <c r="R25" s="1">
        <v>7.7158000000000584</v>
      </c>
      <c r="S25" s="22"/>
      <c r="T25" s="1"/>
      <c r="U25" s="18"/>
      <c r="V25" s="22"/>
      <c r="W25" s="1">
        <f t="shared" si="6"/>
        <v>28.552800000000001</v>
      </c>
      <c r="X25" s="5">
        <f t="shared" si="13"/>
        <v>84.894399999999962</v>
      </c>
      <c r="Y25" s="5">
        <f t="shared" si="12"/>
        <v>84.894399999999962</v>
      </c>
      <c r="Z25" s="29"/>
      <c r="AA25" s="1"/>
      <c r="AB25" s="1"/>
      <c r="AC25" s="1">
        <f t="shared" si="8"/>
        <v>11.5</v>
      </c>
      <c r="AD25" s="1">
        <f t="shared" si="9"/>
        <v>8.5267574458546989</v>
      </c>
      <c r="AE25" s="1">
        <v>25.166799999999999</v>
      </c>
      <c r="AF25" s="1">
        <v>29.244199999999999</v>
      </c>
      <c r="AG25" s="1">
        <v>30.193000000000001</v>
      </c>
      <c r="AH25" s="1">
        <v>20.341200000000001</v>
      </c>
      <c r="AI25" s="1">
        <v>17.2774</v>
      </c>
      <c r="AJ25" s="1">
        <v>12.4376</v>
      </c>
      <c r="AK25" s="1">
        <v>11.840400000000001</v>
      </c>
      <c r="AL25" s="1">
        <v>19.3386</v>
      </c>
      <c r="AM25" s="1">
        <v>18.895199999999999</v>
      </c>
      <c r="AN25" s="1">
        <v>31.544799999999999</v>
      </c>
      <c r="AO25" s="1"/>
      <c r="AP25" s="1">
        <f t="shared" si="10"/>
        <v>85</v>
      </c>
      <c r="AQ25" t="s">
        <v>88</v>
      </c>
    </row>
    <row r="26" spans="1:43" x14ac:dyDescent="0.25">
      <c r="A26" s="1" t="s">
        <v>89</v>
      </c>
      <c r="B26" s="1" t="s">
        <v>44</v>
      </c>
      <c r="C26" s="1">
        <v>42.567999999999998</v>
      </c>
      <c r="D26" s="1">
        <v>258.19799999999998</v>
      </c>
      <c r="E26" s="1">
        <v>232.12799999999999</v>
      </c>
      <c r="F26" s="1">
        <v>10.478999999999999</v>
      </c>
      <c r="G26" s="7">
        <v>1</v>
      </c>
      <c r="H26" s="1">
        <v>30</v>
      </c>
      <c r="I26" s="9" t="s">
        <v>62</v>
      </c>
      <c r="J26" s="1"/>
      <c r="K26" s="1">
        <v>242.4</v>
      </c>
      <c r="L26" s="1">
        <f t="shared" si="5"/>
        <v>-10.27200000000002</v>
      </c>
      <c r="M26" s="1"/>
      <c r="N26" s="1"/>
      <c r="O26" s="1">
        <v>256.42599999999999</v>
      </c>
      <c r="P26" s="18"/>
      <c r="Q26" s="22"/>
      <c r="R26" s="1">
        <v>75.611920000000012</v>
      </c>
      <c r="S26" s="22"/>
      <c r="T26" s="1">
        <v>113.41788</v>
      </c>
      <c r="U26" s="18"/>
      <c r="V26" s="22"/>
      <c r="W26" s="1">
        <f t="shared" si="6"/>
        <v>46.425599999999996</v>
      </c>
      <c r="X26" s="5">
        <f t="shared" si="13"/>
        <v>77.959599999999952</v>
      </c>
      <c r="Y26" s="5">
        <f t="shared" si="12"/>
        <v>77.959599999999952</v>
      </c>
      <c r="Z26" s="29"/>
      <c r="AA26" s="1"/>
      <c r="AB26" s="1"/>
      <c r="AC26" s="1">
        <f t="shared" si="8"/>
        <v>11.499999999999998</v>
      </c>
      <c r="AD26" s="1">
        <f t="shared" si="9"/>
        <v>9.8207626826578451</v>
      </c>
      <c r="AE26" s="1">
        <v>48.891800000000003</v>
      </c>
      <c r="AF26" s="1">
        <v>43.962200000000003</v>
      </c>
      <c r="AG26" s="1">
        <v>33.269799999999996</v>
      </c>
      <c r="AH26" s="1">
        <v>13.7828</v>
      </c>
      <c r="AI26" s="1">
        <v>31.713999999999999</v>
      </c>
      <c r="AJ26" s="1">
        <v>56.964200000000012</v>
      </c>
      <c r="AK26" s="1">
        <v>51.535799999999988</v>
      </c>
      <c r="AL26" s="1">
        <v>64.481399999999994</v>
      </c>
      <c r="AM26" s="1">
        <v>63.1462</v>
      </c>
      <c r="AN26" s="1">
        <v>55.573599999999999</v>
      </c>
      <c r="AO26" s="1"/>
      <c r="AP26" s="1">
        <f t="shared" si="10"/>
        <v>78</v>
      </c>
      <c r="AQ26" t="s">
        <v>90</v>
      </c>
    </row>
    <row r="27" spans="1:43" x14ac:dyDescent="0.25">
      <c r="A27" s="1" t="s">
        <v>91</v>
      </c>
      <c r="B27" s="1" t="s">
        <v>44</v>
      </c>
      <c r="C27" s="1">
        <v>139.41499999999999</v>
      </c>
      <c r="D27" s="1">
        <v>111.676</v>
      </c>
      <c r="E27" s="1">
        <v>175.70500000000001</v>
      </c>
      <c r="F27" s="1">
        <v>49.421999999999997</v>
      </c>
      <c r="G27" s="7">
        <v>1</v>
      </c>
      <c r="H27" s="1">
        <v>40</v>
      </c>
      <c r="I27" s="9" t="s">
        <v>62</v>
      </c>
      <c r="J27" s="1"/>
      <c r="K27" s="1">
        <v>155.6</v>
      </c>
      <c r="L27" s="1">
        <f t="shared" si="5"/>
        <v>20.105000000000018</v>
      </c>
      <c r="M27" s="1"/>
      <c r="N27" s="1"/>
      <c r="O27" s="1">
        <v>102.1647</v>
      </c>
      <c r="P27" s="18"/>
      <c r="Q27" s="22"/>
      <c r="R27" s="1">
        <v>94.127080000000007</v>
      </c>
      <c r="S27" s="22"/>
      <c r="T27" s="1">
        <v>141.19062</v>
      </c>
      <c r="U27" s="18"/>
      <c r="V27" s="22"/>
      <c r="W27" s="1">
        <f t="shared" si="6"/>
        <v>35.141000000000005</v>
      </c>
      <c r="X27" s="5">
        <f t="shared" si="13"/>
        <v>17.217100000000116</v>
      </c>
      <c r="Y27" s="5">
        <f t="shared" si="12"/>
        <v>17.217100000000116</v>
      </c>
      <c r="Z27" s="29"/>
      <c r="AA27" s="1"/>
      <c r="AB27" s="1"/>
      <c r="AC27" s="1">
        <f t="shared" si="8"/>
        <v>11.500000000000002</v>
      </c>
      <c r="AD27" s="1">
        <f t="shared" si="9"/>
        <v>11.010056629008849</v>
      </c>
      <c r="AE27" s="1">
        <v>39.5794</v>
      </c>
      <c r="AF27" s="1">
        <v>32.5458</v>
      </c>
      <c r="AG27" s="1">
        <v>22.7224</v>
      </c>
      <c r="AH27" s="1">
        <v>6.7043999999999997</v>
      </c>
      <c r="AI27" s="1">
        <v>-0.26340000000000002</v>
      </c>
      <c r="AJ27" s="1">
        <v>-0.60759999999999992</v>
      </c>
      <c r="AK27" s="1">
        <v>-1.0568</v>
      </c>
      <c r="AL27" s="1">
        <v>-1.4947999999999999</v>
      </c>
      <c r="AM27" s="1">
        <v>-1.6392</v>
      </c>
      <c r="AN27" s="1">
        <v>-1.9690000000000001</v>
      </c>
      <c r="AO27" s="1"/>
      <c r="AP27" s="1">
        <f t="shared" si="10"/>
        <v>17</v>
      </c>
      <c r="AQ27" t="s">
        <v>92</v>
      </c>
    </row>
    <row r="28" spans="1:43" x14ac:dyDescent="0.25">
      <c r="A28" s="1" t="s">
        <v>93</v>
      </c>
      <c r="B28" s="1" t="s">
        <v>44</v>
      </c>
      <c r="C28" s="1">
        <v>743.78899999999999</v>
      </c>
      <c r="D28" s="1">
        <v>2543.7139999999999</v>
      </c>
      <c r="E28" s="1">
        <v>1551.296</v>
      </c>
      <c r="F28" s="1">
        <v>1304.3320000000001</v>
      </c>
      <c r="G28" s="7">
        <v>1</v>
      </c>
      <c r="H28" s="1">
        <v>30</v>
      </c>
      <c r="I28" s="9" t="s">
        <v>62</v>
      </c>
      <c r="J28" s="1"/>
      <c r="K28" s="1">
        <v>1612.152</v>
      </c>
      <c r="L28" s="1">
        <f t="shared" si="5"/>
        <v>-60.855999999999995</v>
      </c>
      <c r="M28" s="1"/>
      <c r="N28" s="1"/>
      <c r="O28" s="1">
        <v>842.31180000000018</v>
      </c>
      <c r="P28" s="18"/>
      <c r="Q28" s="22"/>
      <c r="R28" s="1">
        <v>309.57335999999998</v>
      </c>
      <c r="S28" s="22"/>
      <c r="T28" s="1">
        <v>464.36003999999991</v>
      </c>
      <c r="U28" s="18"/>
      <c r="V28" s="22"/>
      <c r="W28" s="1">
        <f t="shared" si="6"/>
        <v>310.25920000000002</v>
      </c>
      <c r="X28" s="5">
        <f t="shared" si="13"/>
        <v>647.4036000000001</v>
      </c>
      <c r="Y28" s="5">
        <f t="shared" si="12"/>
        <v>647.4036000000001</v>
      </c>
      <c r="Z28" s="29"/>
      <c r="AA28" s="1"/>
      <c r="AB28" s="1"/>
      <c r="AC28" s="1">
        <f t="shared" si="8"/>
        <v>11.5</v>
      </c>
      <c r="AD28" s="1">
        <f t="shared" si="9"/>
        <v>9.4133460023103268</v>
      </c>
      <c r="AE28" s="1">
        <v>314.48059999999998</v>
      </c>
      <c r="AF28" s="1">
        <v>320.68</v>
      </c>
      <c r="AG28" s="1">
        <v>316.95460000000003</v>
      </c>
      <c r="AH28" s="1">
        <v>308.58339999999998</v>
      </c>
      <c r="AI28" s="1">
        <v>309.00920000000002</v>
      </c>
      <c r="AJ28" s="1">
        <v>309.85000000000002</v>
      </c>
      <c r="AK28" s="1">
        <v>343.67439999999999</v>
      </c>
      <c r="AL28" s="1">
        <v>383.32839999999999</v>
      </c>
      <c r="AM28" s="1">
        <v>403.56360000000001</v>
      </c>
      <c r="AN28" s="1">
        <v>375.65600000000001</v>
      </c>
      <c r="AO28" s="1"/>
      <c r="AP28" s="1">
        <f t="shared" si="10"/>
        <v>647</v>
      </c>
      <c r="AQ28" t="s">
        <v>94</v>
      </c>
    </row>
    <row r="29" spans="1:43" x14ac:dyDescent="0.25">
      <c r="A29" s="1" t="s">
        <v>95</v>
      </c>
      <c r="B29" s="1" t="s">
        <v>44</v>
      </c>
      <c r="C29" s="1">
        <v>207.45699999999999</v>
      </c>
      <c r="D29" s="1">
        <v>3792.248</v>
      </c>
      <c r="E29" s="1">
        <v>1943.73</v>
      </c>
      <c r="F29" s="1">
        <v>1758.3050000000001</v>
      </c>
      <c r="G29" s="7">
        <v>1</v>
      </c>
      <c r="H29" s="1">
        <v>40</v>
      </c>
      <c r="I29" s="9" t="s">
        <v>62</v>
      </c>
      <c r="J29" s="1"/>
      <c r="K29" s="1">
        <v>1786.46</v>
      </c>
      <c r="L29" s="1">
        <f t="shared" si="5"/>
        <v>157.26999999999998</v>
      </c>
      <c r="M29" s="1"/>
      <c r="N29" s="1"/>
      <c r="O29" s="1">
        <v>712.02770000000078</v>
      </c>
      <c r="P29" s="18"/>
      <c r="Q29" s="22"/>
      <c r="R29" s="1">
        <v>539.88983999999994</v>
      </c>
      <c r="S29" s="22"/>
      <c r="T29" s="1">
        <v>809.83475999999985</v>
      </c>
      <c r="U29" s="18"/>
      <c r="V29" s="22"/>
      <c r="W29" s="1">
        <f t="shared" si="6"/>
        <v>388.74599999999998</v>
      </c>
      <c r="X29" s="5">
        <f t="shared" si="13"/>
        <v>650.52169999999956</v>
      </c>
      <c r="Y29" s="5">
        <f t="shared" si="12"/>
        <v>650.52169999999956</v>
      </c>
      <c r="Z29" s="29"/>
      <c r="AA29" s="1"/>
      <c r="AB29" s="1"/>
      <c r="AC29" s="1">
        <f t="shared" si="8"/>
        <v>11.5</v>
      </c>
      <c r="AD29" s="1">
        <f t="shared" si="9"/>
        <v>9.8266150648495429</v>
      </c>
      <c r="AE29" s="1">
        <v>399.38979999999998</v>
      </c>
      <c r="AF29" s="1">
        <v>362.9348</v>
      </c>
      <c r="AG29" s="1">
        <v>381.44900000000001</v>
      </c>
      <c r="AH29" s="1">
        <v>488.75020000000012</v>
      </c>
      <c r="AI29" s="1">
        <v>422.90960000000001</v>
      </c>
      <c r="AJ29" s="1">
        <v>262.32420000000002</v>
      </c>
      <c r="AK29" s="1">
        <v>321.25979999999998</v>
      </c>
      <c r="AL29" s="1">
        <v>287.47000000000003</v>
      </c>
      <c r="AM29" s="1">
        <v>116.49420000000001</v>
      </c>
      <c r="AN29" s="1">
        <v>-1.4292</v>
      </c>
      <c r="AO29" s="1"/>
      <c r="AP29" s="1">
        <f t="shared" si="10"/>
        <v>651</v>
      </c>
      <c r="AQ29" t="s">
        <v>96</v>
      </c>
    </row>
    <row r="30" spans="1:43" x14ac:dyDescent="0.25">
      <c r="A30" s="10" t="s">
        <v>97</v>
      </c>
      <c r="B30" s="10" t="s">
        <v>44</v>
      </c>
      <c r="C30" s="10"/>
      <c r="D30" s="10"/>
      <c r="E30" s="10"/>
      <c r="F30" s="10"/>
      <c r="G30" s="11">
        <v>0</v>
      </c>
      <c r="H30" s="10"/>
      <c r="I30" s="10" t="s">
        <v>45</v>
      </c>
      <c r="J30" s="10"/>
      <c r="K30" s="10"/>
      <c r="L30" s="10">
        <f t="shared" si="5"/>
        <v>0</v>
      </c>
      <c r="M30" s="10"/>
      <c r="N30" s="10"/>
      <c r="O30" s="10">
        <v>0</v>
      </c>
      <c r="P30" s="20"/>
      <c r="Q30" s="24"/>
      <c r="R30" s="10">
        <v>0</v>
      </c>
      <c r="S30" s="24"/>
      <c r="T30" s="10"/>
      <c r="U30" s="20"/>
      <c r="V30" s="24"/>
      <c r="W30" s="10">
        <f t="shared" si="6"/>
        <v>0</v>
      </c>
      <c r="X30" s="12"/>
      <c r="Y30" s="5">
        <f t="shared" si="12"/>
        <v>0</v>
      </c>
      <c r="Z30" s="29"/>
      <c r="AA30" s="1"/>
      <c r="AB30" s="1"/>
      <c r="AC30" s="1" t="e">
        <f t="shared" si="8"/>
        <v>#DIV/0!</v>
      </c>
      <c r="AD30" s="10" t="e">
        <f t="shared" si="9"/>
        <v>#DIV/0!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 t="s">
        <v>53</v>
      </c>
      <c r="AP30" s="1">
        <f t="shared" si="10"/>
        <v>0</v>
      </c>
      <c r="AQ30" t="s">
        <v>98</v>
      </c>
    </row>
    <row r="31" spans="1:43" x14ac:dyDescent="0.25">
      <c r="A31" s="1" t="s">
        <v>99</v>
      </c>
      <c r="B31" s="1" t="s">
        <v>44</v>
      </c>
      <c r="C31" s="1">
        <v>213.239</v>
      </c>
      <c r="D31" s="1">
        <v>114.44199999999999</v>
      </c>
      <c r="E31" s="1">
        <v>215.83799999999999</v>
      </c>
      <c r="F31" s="1">
        <v>35.182000000000002</v>
      </c>
      <c r="G31" s="7">
        <v>1</v>
      </c>
      <c r="H31" s="1">
        <v>30</v>
      </c>
      <c r="I31" s="1" t="s">
        <v>45</v>
      </c>
      <c r="J31" s="1"/>
      <c r="K31" s="1">
        <v>226.25</v>
      </c>
      <c r="L31" s="1">
        <f t="shared" si="5"/>
        <v>-10.412000000000006</v>
      </c>
      <c r="M31" s="1"/>
      <c r="N31" s="1"/>
      <c r="O31" s="1">
        <v>169.54846900000021</v>
      </c>
      <c r="P31" s="18"/>
      <c r="Q31" s="22"/>
      <c r="R31" s="1">
        <v>62.833172399999938</v>
      </c>
      <c r="S31" s="22"/>
      <c r="T31" s="1">
        <v>94.249758599999893</v>
      </c>
      <c r="U31" s="18">
        <v>-101</v>
      </c>
      <c r="V31" s="22"/>
      <c r="W31" s="1">
        <f t="shared" si="6"/>
        <v>43.1676</v>
      </c>
      <c r="X31" s="5">
        <f>11.5*W31-T31-R31-O31-F31</f>
        <v>134.61399999999992</v>
      </c>
      <c r="Y31" s="5">
        <f t="shared" si="12"/>
        <v>134.61399999999992</v>
      </c>
      <c r="Z31" s="29"/>
      <c r="AA31" s="1"/>
      <c r="AB31" s="1"/>
      <c r="AC31" s="1">
        <f t="shared" si="8"/>
        <v>11.5</v>
      </c>
      <c r="AD31" s="1">
        <f t="shared" si="9"/>
        <v>8.3815963824720399</v>
      </c>
      <c r="AE31" s="1">
        <v>41.247399999999999</v>
      </c>
      <c r="AF31" s="1">
        <v>33.716799999999999</v>
      </c>
      <c r="AG31" s="1">
        <v>37.151000000000003</v>
      </c>
      <c r="AH31" s="1">
        <v>40.635000000000012</v>
      </c>
      <c r="AI31" s="1">
        <v>42.814599999999999</v>
      </c>
      <c r="AJ31" s="1">
        <v>37.282200000000003</v>
      </c>
      <c r="AK31" s="1">
        <v>38.766399999999997</v>
      </c>
      <c r="AL31" s="1">
        <v>36.948799999999999</v>
      </c>
      <c r="AM31" s="1">
        <v>31.436399999999999</v>
      </c>
      <c r="AN31" s="1">
        <v>41.902799999999999</v>
      </c>
      <c r="AO31" s="1"/>
      <c r="AP31" s="1">
        <f t="shared" si="10"/>
        <v>135</v>
      </c>
      <c r="AQ31" t="s">
        <v>100</v>
      </c>
    </row>
    <row r="32" spans="1:43" x14ac:dyDescent="0.25">
      <c r="A32" s="10" t="s">
        <v>101</v>
      </c>
      <c r="B32" s="10" t="s">
        <v>44</v>
      </c>
      <c r="C32" s="10"/>
      <c r="D32" s="10"/>
      <c r="E32" s="10"/>
      <c r="F32" s="10"/>
      <c r="G32" s="11">
        <v>0</v>
      </c>
      <c r="H32" s="10"/>
      <c r="I32" s="10" t="s">
        <v>45</v>
      </c>
      <c r="J32" s="10"/>
      <c r="K32" s="10">
        <v>1.3</v>
      </c>
      <c r="L32" s="10">
        <f t="shared" si="5"/>
        <v>-1.3</v>
      </c>
      <c r="M32" s="10"/>
      <c r="N32" s="10"/>
      <c r="O32" s="10">
        <v>0</v>
      </c>
      <c r="P32" s="20"/>
      <c r="Q32" s="24"/>
      <c r="R32" s="10">
        <v>0</v>
      </c>
      <c r="S32" s="24"/>
      <c r="T32" s="10"/>
      <c r="U32" s="20"/>
      <c r="V32" s="24"/>
      <c r="W32" s="10">
        <f t="shared" si="6"/>
        <v>0</v>
      </c>
      <c r="X32" s="12"/>
      <c r="Y32" s="5">
        <f t="shared" si="12"/>
        <v>0</v>
      </c>
      <c r="Z32" s="29"/>
      <c r="AA32" s="1"/>
      <c r="AB32" s="1"/>
      <c r="AC32" s="1" t="e">
        <f t="shared" si="8"/>
        <v>#DIV/0!</v>
      </c>
      <c r="AD32" s="10" t="e">
        <f t="shared" si="9"/>
        <v>#DIV/0!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 t="s">
        <v>53</v>
      </c>
      <c r="AP32" s="1">
        <f t="shared" si="10"/>
        <v>0</v>
      </c>
      <c r="AQ32" t="s">
        <v>102</v>
      </c>
    </row>
    <row r="33" spans="1:43" x14ac:dyDescent="0.25">
      <c r="A33" s="10" t="s">
        <v>103</v>
      </c>
      <c r="B33" s="10" t="s">
        <v>44</v>
      </c>
      <c r="C33" s="10"/>
      <c r="D33" s="10"/>
      <c r="E33" s="10"/>
      <c r="F33" s="10"/>
      <c r="G33" s="11">
        <v>0</v>
      </c>
      <c r="H33" s="10"/>
      <c r="I33" s="10" t="s">
        <v>45</v>
      </c>
      <c r="J33" s="10"/>
      <c r="K33" s="10"/>
      <c r="L33" s="10">
        <f t="shared" si="5"/>
        <v>0</v>
      </c>
      <c r="M33" s="10"/>
      <c r="N33" s="10"/>
      <c r="O33" s="10">
        <v>0</v>
      </c>
      <c r="P33" s="20"/>
      <c r="Q33" s="24"/>
      <c r="R33" s="10">
        <v>0</v>
      </c>
      <c r="S33" s="24"/>
      <c r="T33" s="10"/>
      <c r="U33" s="20"/>
      <c r="V33" s="24"/>
      <c r="W33" s="10">
        <f t="shared" si="6"/>
        <v>0</v>
      </c>
      <c r="X33" s="12"/>
      <c r="Y33" s="5">
        <f t="shared" si="12"/>
        <v>0</v>
      </c>
      <c r="Z33" s="29"/>
      <c r="AA33" s="1"/>
      <c r="AB33" s="1"/>
      <c r="AC33" s="1" t="e">
        <f t="shared" si="8"/>
        <v>#DIV/0!</v>
      </c>
      <c r="AD33" s="10" t="e">
        <f t="shared" si="9"/>
        <v>#DIV/0!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 t="s">
        <v>53</v>
      </c>
      <c r="AP33" s="1">
        <f t="shared" si="10"/>
        <v>0</v>
      </c>
      <c r="AQ33" t="s">
        <v>104</v>
      </c>
    </row>
    <row r="34" spans="1:43" x14ac:dyDescent="0.25">
      <c r="A34" s="1" t="s">
        <v>105</v>
      </c>
      <c r="B34" s="1" t="s">
        <v>52</v>
      </c>
      <c r="C34" s="1">
        <v>521</v>
      </c>
      <c r="D34" s="1">
        <v>8731</v>
      </c>
      <c r="E34" s="1">
        <v>5418</v>
      </c>
      <c r="F34" s="1">
        <v>2481</v>
      </c>
      <c r="G34" s="7">
        <v>0.4</v>
      </c>
      <c r="H34" s="1">
        <v>45</v>
      </c>
      <c r="I34" s="9" t="s">
        <v>62</v>
      </c>
      <c r="J34" s="1"/>
      <c r="K34" s="1">
        <v>5529</v>
      </c>
      <c r="L34" s="1">
        <f t="shared" si="5"/>
        <v>-111</v>
      </c>
      <c r="M34" s="1"/>
      <c r="N34" s="1"/>
      <c r="O34" s="1">
        <v>2811.1999999999989</v>
      </c>
      <c r="P34" s="18"/>
      <c r="Q34" s="22"/>
      <c r="R34" s="1">
        <v>880</v>
      </c>
      <c r="S34" s="22"/>
      <c r="T34" s="1">
        <v>1320</v>
      </c>
      <c r="U34" s="18"/>
      <c r="V34" s="22"/>
      <c r="W34" s="1">
        <f t="shared" si="6"/>
        <v>1083.5999999999999</v>
      </c>
      <c r="X34" s="5">
        <f>11.5*W34-T34-R34-O34-F34</f>
        <v>4969.2000000000007</v>
      </c>
      <c r="Y34" s="5">
        <f t="shared" si="12"/>
        <v>4969.2000000000007</v>
      </c>
      <c r="Z34" s="29"/>
      <c r="AA34" s="1"/>
      <c r="AB34" s="1"/>
      <c r="AC34" s="1">
        <f t="shared" si="8"/>
        <v>11.5</v>
      </c>
      <c r="AD34" s="1">
        <f t="shared" si="9"/>
        <v>6.9141749723145072</v>
      </c>
      <c r="AE34" s="1">
        <v>1082</v>
      </c>
      <c r="AF34" s="1">
        <v>1122.8</v>
      </c>
      <c r="AG34" s="1">
        <v>1122</v>
      </c>
      <c r="AH34" s="1">
        <v>775</v>
      </c>
      <c r="AI34" s="1">
        <v>836.2</v>
      </c>
      <c r="AJ34" s="1">
        <v>969.8</v>
      </c>
      <c r="AK34" s="1">
        <v>933.4</v>
      </c>
      <c r="AL34" s="1">
        <v>1078.5999999999999</v>
      </c>
      <c r="AM34" s="1">
        <v>761.4</v>
      </c>
      <c r="AN34" s="1">
        <v>350.6</v>
      </c>
      <c r="AO34" s="1"/>
      <c r="AP34" s="1">
        <f t="shared" si="10"/>
        <v>1988</v>
      </c>
      <c r="AQ34" t="s">
        <v>106</v>
      </c>
    </row>
    <row r="35" spans="1:43" x14ac:dyDescent="0.25">
      <c r="A35" s="1" t="s">
        <v>107</v>
      </c>
      <c r="B35" s="1" t="s">
        <v>52</v>
      </c>
      <c r="C35" s="1">
        <v>248</v>
      </c>
      <c r="D35" s="1">
        <v>1282</v>
      </c>
      <c r="E35" s="1">
        <v>569</v>
      </c>
      <c r="F35" s="1">
        <v>782</v>
      </c>
      <c r="G35" s="7">
        <v>0.45</v>
      </c>
      <c r="H35" s="1">
        <v>50</v>
      </c>
      <c r="I35" s="1" t="s">
        <v>45</v>
      </c>
      <c r="J35" s="1"/>
      <c r="K35" s="1">
        <v>583</v>
      </c>
      <c r="L35" s="1">
        <f t="shared" si="5"/>
        <v>-14</v>
      </c>
      <c r="M35" s="1"/>
      <c r="N35" s="1"/>
      <c r="O35" s="1">
        <v>228.7850000000002</v>
      </c>
      <c r="P35" s="18"/>
      <c r="Q35" s="22"/>
      <c r="R35" s="1">
        <v>75.706770999999662</v>
      </c>
      <c r="S35" s="22"/>
      <c r="T35" s="1"/>
      <c r="U35" s="18"/>
      <c r="V35" s="22"/>
      <c r="W35" s="1">
        <f t="shared" si="6"/>
        <v>113.8</v>
      </c>
      <c r="X35" s="5">
        <f>11.5*W35-T35-R35-O35-F35</f>
        <v>222.20822900000019</v>
      </c>
      <c r="Y35" s="5">
        <f t="shared" si="12"/>
        <v>222.20822900000019</v>
      </c>
      <c r="Z35" s="29"/>
      <c r="AA35" s="1"/>
      <c r="AB35" s="1"/>
      <c r="AC35" s="1">
        <f t="shared" si="8"/>
        <v>11.500000000000004</v>
      </c>
      <c r="AD35" s="1">
        <f t="shared" si="9"/>
        <v>9.5473793585237257</v>
      </c>
      <c r="AE35" s="1">
        <v>116.6</v>
      </c>
      <c r="AF35" s="1">
        <v>125.4</v>
      </c>
      <c r="AG35" s="1">
        <v>125.8</v>
      </c>
      <c r="AH35" s="1">
        <v>125.6</v>
      </c>
      <c r="AI35" s="1">
        <v>116.8</v>
      </c>
      <c r="AJ35" s="1">
        <v>77</v>
      </c>
      <c r="AK35" s="1">
        <v>84.6</v>
      </c>
      <c r="AL35" s="1">
        <v>90.2</v>
      </c>
      <c r="AM35" s="1">
        <v>85.2</v>
      </c>
      <c r="AN35" s="1">
        <v>96.8</v>
      </c>
      <c r="AO35" s="1"/>
      <c r="AP35" s="1">
        <f t="shared" si="10"/>
        <v>100</v>
      </c>
      <c r="AQ35" t="s">
        <v>108</v>
      </c>
    </row>
    <row r="36" spans="1:43" x14ac:dyDescent="0.25">
      <c r="A36" s="1" t="s">
        <v>109</v>
      </c>
      <c r="B36" s="1" t="s">
        <v>52</v>
      </c>
      <c r="C36" s="1">
        <v>107</v>
      </c>
      <c r="D36" s="1">
        <v>2017</v>
      </c>
      <c r="E36" s="1">
        <v>797</v>
      </c>
      <c r="F36" s="1">
        <v>1049</v>
      </c>
      <c r="G36" s="7">
        <v>0.4</v>
      </c>
      <c r="H36" s="1">
        <v>45</v>
      </c>
      <c r="I36" s="9" t="s">
        <v>62</v>
      </c>
      <c r="J36" s="1"/>
      <c r="K36" s="1">
        <v>827</v>
      </c>
      <c r="L36" s="1">
        <f t="shared" si="5"/>
        <v>-30</v>
      </c>
      <c r="M36" s="1"/>
      <c r="N36" s="1"/>
      <c r="O36" s="1">
        <v>200</v>
      </c>
      <c r="P36" s="18"/>
      <c r="Q36" s="22"/>
      <c r="R36" s="1">
        <v>72.639999999999972</v>
      </c>
      <c r="S36" s="22"/>
      <c r="T36" s="1">
        <v>108.95999999999989</v>
      </c>
      <c r="U36" s="18"/>
      <c r="V36" s="22"/>
      <c r="W36" s="1">
        <f t="shared" si="6"/>
        <v>159.4</v>
      </c>
      <c r="X36" s="5">
        <f>11.5*W36-T36-R36-O36-F36</f>
        <v>402.50000000000045</v>
      </c>
      <c r="Y36" s="5">
        <f t="shared" si="12"/>
        <v>402.50000000000045</v>
      </c>
      <c r="Z36" s="29"/>
      <c r="AA36" s="1"/>
      <c r="AB36" s="1"/>
      <c r="AC36" s="1">
        <f t="shared" si="8"/>
        <v>11.5</v>
      </c>
      <c r="AD36" s="1">
        <f t="shared" si="9"/>
        <v>8.9749058971141764</v>
      </c>
      <c r="AE36" s="1">
        <v>167.6</v>
      </c>
      <c r="AF36" s="1">
        <v>160.4</v>
      </c>
      <c r="AG36" s="1">
        <v>185.2</v>
      </c>
      <c r="AH36" s="1">
        <v>146</v>
      </c>
      <c r="AI36" s="1">
        <v>110.2</v>
      </c>
      <c r="AJ36" s="1">
        <v>93.4</v>
      </c>
      <c r="AK36" s="1">
        <v>36</v>
      </c>
      <c r="AL36" s="1">
        <v>-0.6</v>
      </c>
      <c r="AM36" s="1">
        <v>-1.2</v>
      </c>
      <c r="AN36" s="1">
        <v>59</v>
      </c>
      <c r="AO36" s="1"/>
      <c r="AP36" s="1">
        <f t="shared" si="10"/>
        <v>161</v>
      </c>
      <c r="AQ36" t="s">
        <v>110</v>
      </c>
    </row>
    <row r="37" spans="1:43" x14ac:dyDescent="0.25">
      <c r="A37" s="1" t="s">
        <v>111</v>
      </c>
      <c r="B37" s="1" t="s">
        <v>52</v>
      </c>
      <c r="C37" s="1"/>
      <c r="D37" s="1">
        <v>30</v>
      </c>
      <c r="E37" s="1">
        <v>8</v>
      </c>
      <c r="F37" s="1">
        <v>18</v>
      </c>
      <c r="G37" s="7">
        <v>0.4</v>
      </c>
      <c r="H37" s="1">
        <v>40</v>
      </c>
      <c r="I37" s="9" t="s">
        <v>62</v>
      </c>
      <c r="J37" s="1"/>
      <c r="K37" s="1">
        <v>10</v>
      </c>
      <c r="L37" s="1">
        <f t="shared" si="5"/>
        <v>-2</v>
      </c>
      <c r="M37" s="1"/>
      <c r="N37" s="1"/>
      <c r="O37" s="1">
        <v>30</v>
      </c>
      <c r="P37" s="18"/>
      <c r="Q37" s="22"/>
      <c r="R37" s="1">
        <v>0</v>
      </c>
      <c r="S37" s="22"/>
      <c r="T37" s="1"/>
      <c r="U37" s="18"/>
      <c r="V37" s="22"/>
      <c r="W37" s="1">
        <f t="shared" si="6"/>
        <v>1.6</v>
      </c>
      <c r="X37" s="5"/>
      <c r="Y37" s="5">
        <f t="shared" si="12"/>
        <v>0</v>
      </c>
      <c r="Z37" s="29"/>
      <c r="AA37" s="1"/>
      <c r="AB37" s="1"/>
      <c r="AC37" s="1">
        <f t="shared" si="8"/>
        <v>30</v>
      </c>
      <c r="AD37" s="1">
        <f t="shared" si="9"/>
        <v>30</v>
      </c>
      <c r="AE37" s="1">
        <v>0.6</v>
      </c>
      <c r="AF37" s="1">
        <v>2</v>
      </c>
      <c r="AG37" s="1">
        <v>2.8</v>
      </c>
      <c r="AH37" s="1">
        <v>1.4</v>
      </c>
      <c r="AI37" s="1">
        <v>0</v>
      </c>
      <c r="AJ37" s="1">
        <v>0</v>
      </c>
      <c r="AK37" s="1">
        <v>-0.2</v>
      </c>
      <c r="AL37" s="1">
        <v>-0.4</v>
      </c>
      <c r="AM37" s="1">
        <v>-0.2</v>
      </c>
      <c r="AN37" s="1">
        <v>4.4000000000000004</v>
      </c>
      <c r="AO37" s="1"/>
      <c r="AP37" s="1">
        <f t="shared" si="10"/>
        <v>0</v>
      </c>
      <c r="AQ37" t="s">
        <v>112</v>
      </c>
    </row>
    <row r="38" spans="1:43" x14ac:dyDescent="0.25">
      <c r="A38" s="1" t="s">
        <v>113</v>
      </c>
      <c r="B38" s="1" t="s">
        <v>44</v>
      </c>
      <c r="C38" s="1">
        <v>263.12799999999999</v>
      </c>
      <c r="D38" s="1">
        <v>76.658000000000001</v>
      </c>
      <c r="E38" s="1">
        <v>130.684</v>
      </c>
      <c r="F38" s="1">
        <v>184.68100000000001</v>
      </c>
      <c r="G38" s="7">
        <v>1</v>
      </c>
      <c r="H38" s="1">
        <v>45</v>
      </c>
      <c r="I38" s="9" t="s">
        <v>62</v>
      </c>
      <c r="J38" s="1"/>
      <c r="K38" s="1">
        <v>127.35</v>
      </c>
      <c r="L38" s="1">
        <f t="shared" ref="L38:L69" si="14">E38-K38</f>
        <v>3.3340000000000032</v>
      </c>
      <c r="M38" s="1"/>
      <c r="N38" s="1"/>
      <c r="O38" s="1">
        <v>30.311599999999999</v>
      </c>
      <c r="P38" s="18"/>
      <c r="Q38" s="22"/>
      <c r="R38" s="1">
        <v>21.815799999999999</v>
      </c>
      <c r="S38" s="22"/>
      <c r="T38" s="1"/>
      <c r="U38" s="18"/>
      <c r="V38" s="22"/>
      <c r="W38" s="1">
        <f t="shared" ref="W38:W69" si="15">E38/5</f>
        <v>26.136800000000001</v>
      </c>
      <c r="X38" s="5">
        <f>11.5*W38-T38-R38-O38-F38</f>
        <v>63.764799999999951</v>
      </c>
      <c r="Y38" s="5">
        <f t="shared" si="12"/>
        <v>63.764799999999951</v>
      </c>
      <c r="Z38" s="29"/>
      <c r="AA38" s="1"/>
      <c r="AB38" s="1"/>
      <c r="AC38" s="1">
        <f t="shared" ref="AC38:AC69" si="16">(F38+O38+R38+T38+Y38)/W38</f>
        <v>11.499999999999996</v>
      </c>
      <c r="AD38" s="1">
        <f t="shared" ref="AD38:AD69" si="17">(F38+O38+R38+T38)/W38</f>
        <v>9.0603440359952252</v>
      </c>
      <c r="AE38" s="1">
        <v>25.5244</v>
      </c>
      <c r="AF38" s="1">
        <v>32.070399999999999</v>
      </c>
      <c r="AG38" s="1">
        <v>33.582999999999998</v>
      </c>
      <c r="AH38" s="1">
        <v>38.2774</v>
      </c>
      <c r="AI38" s="1">
        <v>46.067599999999999</v>
      </c>
      <c r="AJ38" s="1">
        <v>41.764200000000002</v>
      </c>
      <c r="AK38" s="1">
        <v>24.267199999999999</v>
      </c>
      <c r="AL38" s="1">
        <v>39.761800000000001</v>
      </c>
      <c r="AM38" s="1">
        <v>56.673800000000007</v>
      </c>
      <c r="AN38" s="1">
        <v>67.0672</v>
      </c>
      <c r="AO38" s="1"/>
      <c r="AP38" s="1">
        <f t="shared" ref="AP38:AP69" si="18">ROUND(G38*Y38,0)</f>
        <v>64</v>
      </c>
      <c r="AQ38" t="s">
        <v>114</v>
      </c>
    </row>
    <row r="39" spans="1:43" x14ac:dyDescent="0.25">
      <c r="A39" s="1" t="s">
        <v>115</v>
      </c>
      <c r="B39" s="1" t="s">
        <v>52</v>
      </c>
      <c r="C39" s="1">
        <v>345</v>
      </c>
      <c r="D39" s="1">
        <v>854</v>
      </c>
      <c r="E39" s="1">
        <v>437</v>
      </c>
      <c r="F39" s="1">
        <v>648</v>
      </c>
      <c r="G39" s="7">
        <v>0.1</v>
      </c>
      <c r="H39" s="1">
        <v>731</v>
      </c>
      <c r="I39" s="1" t="s">
        <v>45</v>
      </c>
      <c r="J39" s="1"/>
      <c r="K39" s="1">
        <v>451</v>
      </c>
      <c r="L39" s="1">
        <f t="shared" si="14"/>
        <v>-14</v>
      </c>
      <c r="M39" s="1"/>
      <c r="N39" s="1"/>
      <c r="O39" s="1">
        <v>140.97500000000011</v>
      </c>
      <c r="P39" s="18"/>
      <c r="Q39" s="22"/>
      <c r="R39" s="1">
        <v>0</v>
      </c>
      <c r="S39" s="22"/>
      <c r="T39" s="1"/>
      <c r="U39" s="18"/>
      <c r="V39" s="22"/>
      <c r="W39" s="1">
        <f t="shared" si="15"/>
        <v>87.4</v>
      </c>
      <c r="X39" s="5">
        <f>11.5*W39-T39-R39-O39-F39</f>
        <v>216.12499999999989</v>
      </c>
      <c r="Y39" s="5">
        <f t="shared" si="12"/>
        <v>216.12499999999989</v>
      </c>
      <c r="Z39" s="29"/>
      <c r="AA39" s="1"/>
      <c r="AB39" s="1"/>
      <c r="AC39" s="1">
        <f t="shared" si="16"/>
        <v>11.5</v>
      </c>
      <c r="AD39" s="1">
        <f t="shared" si="17"/>
        <v>9.0271739130434785</v>
      </c>
      <c r="AE39" s="1">
        <v>84.4</v>
      </c>
      <c r="AF39" s="1">
        <v>92.8</v>
      </c>
      <c r="AG39" s="1">
        <v>98.6</v>
      </c>
      <c r="AH39" s="1">
        <v>79.8</v>
      </c>
      <c r="AI39" s="1">
        <v>76.2</v>
      </c>
      <c r="AJ39" s="1">
        <v>56.2</v>
      </c>
      <c r="AK39" s="1">
        <v>57.4</v>
      </c>
      <c r="AL39" s="1">
        <v>85</v>
      </c>
      <c r="AM39" s="1">
        <v>79.8</v>
      </c>
      <c r="AN39" s="1">
        <v>65</v>
      </c>
      <c r="AO39" s="1"/>
      <c r="AP39" s="1">
        <f t="shared" si="18"/>
        <v>22</v>
      </c>
      <c r="AQ39" t="s">
        <v>116</v>
      </c>
    </row>
    <row r="40" spans="1:43" x14ac:dyDescent="0.25">
      <c r="A40" s="1" t="s">
        <v>117</v>
      </c>
      <c r="B40" s="1" t="s">
        <v>52</v>
      </c>
      <c r="C40" s="1">
        <v>18</v>
      </c>
      <c r="D40" s="1"/>
      <c r="E40" s="1">
        <v>-1</v>
      </c>
      <c r="F40" s="1">
        <v>18</v>
      </c>
      <c r="G40" s="7">
        <v>0.35</v>
      </c>
      <c r="H40" s="1">
        <v>40</v>
      </c>
      <c r="I40" s="9" t="s">
        <v>62</v>
      </c>
      <c r="J40" s="1"/>
      <c r="K40" s="1">
        <v>261</v>
      </c>
      <c r="L40" s="1">
        <f t="shared" si="14"/>
        <v>-262</v>
      </c>
      <c r="M40" s="1"/>
      <c r="N40" s="1"/>
      <c r="O40" s="1">
        <v>150</v>
      </c>
      <c r="P40" s="18"/>
      <c r="Q40" s="22"/>
      <c r="R40" s="1">
        <v>60</v>
      </c>
      <c r="S40" s="22"/>
      <c r="T40" s="1">
        <v>90</v>
      </c>
      <c r="U40" s="18"/>
      <c r="V40" s="22"/>
      <c r="W40" s="1">
        <f t="shared" si="15"/>
        <v>-0.2</v>
      </c>
      <c r="X40" s="5"/>
      <c r="Y40" s="5">
        <f t="shared" si="12"/>
        <v>0</v>
      </c>
      <c r="Z40" s="29"/>
      <c r="AA40" s="1"/>
      <c r="AB40" s="1"/>
      <c r="AC40" s="1">
        <f t="shared" si="16"/>
        <v>-1590</v>
      </c>
      <c r="AD40" s="1">
        <f t="shared" si="17"/>
        <v>-1590</v>
      </c>
      <c r="AE40" s="1">
        <v>-0.4</v>
      </c>
      <c r="AF40" s="1">
        <v>13.8</v>
      </c>
      <c r="AG40" s="1">
        <v>24</v>
      </c>
      <c r="AH40" s="1">
        <v>8.8000000000000007</v>
      </c>
      <c r="AI40" s="1">
        <v>-1.8</v>
      </c>
      <c r="AJ40" s="1">
        <v>-2</v>
      </c>
      <c r="AK40" s="1">
        <v>-2.4</v>
      </c>
      <c r="AL40" s="1">
        <v>-2</v>
      </c>
      <c r="AM40" s="1">
        <v>-1.8</v>
      </c>
      <c r="AN40" s="1">
        <v>-2.6</v>
      </c>
      <c r="AO40" s="1"/>
      <c r="AP40" s="1">
        <f t="shared" si="18"/>
        <v>0</v>
      </c>
      <c r="AQ40" t="s">
        <v>118</v>
      </c>
    </row>
    <row r="41" spans="1:43" x14ac:dyDescent="0.25">
      <c r="A41" s="1" t="s">
        <v>119</v>
      </c>
      <c r="B41" s="1" t="s">
        <v>44</v>
      </c>
      <c r="C41" s="1">
        <v>49.481999999999999</v>
      </c>
      <c r="D41" s="1">
        <v>54.283000000000001</v>
      </c>
      <c r="E41" s="1">
        <v>91.793000000000006</v>
      </c>
      <c r="F41" s="1">
        <v>1.149</v>
      </c>
      <c r="G41" s="7">
        <v>1</v>
      </c>
      <c r="H41" s="1">
        <v>40</v>
      </c>
      <c r="I41" s="9" t="s">
        <v>62</v>
      </c>
      <c r="J41" s="1"/>
      <c r="K41" s="1">
        <v>133.69999999999999</v>
      </c>
      <c r="L41" s="1">
        <f t="shared" si="14"/>
        <v>-41.906999999999982</v>
      </c>
      <c r="M41" s="1"/>
      <c r="N41" s="1"/>
      <c r="O41" s="1">
        <v>80</v>
      </c>
      <c r="P41" s="18"/>
      <c r="Q41" s="22"/>
      <c r="R41" s="1">
        <v>80</v>
      </c>
      <c r="S41" s="22"/>
      <c r="T41" s="1"/>
      <c r="U41" s="18"/>
      <c r="V41" s="22"/>
      <c r="W41" s="1">
        <f t="shared" si="15"/>
        <v>18.358600000000003</v>
      </c>
      <c r="X41" s="5">
        <f>11.5*W41-T41-R41-O41-F41</f>
        <v>49.974900000000019</v>
      </c>
      <c r="Y41" s="5">
        <f t="shared" si="12"/>
        <v>49.974900000000019</v>
      </c>
      <c r="Z41" s="29"/>
      <c r="AA41" s="1"/>
      <c r="AB41" s="1"/>
      <c r="AC41" s="1">
        <f t="shared" si="16"/>
        <v>11.5</v>
      </c>
      <c r="AD41" s="1">
        <f t="shared" si="17"/>
        <v>8.7778479840510695</v>
      </c>
      <c r="AE41" s="1">
        <v>30.653400000000001</v>
      </c>
      <c r="AF41" s="1">
        <v>17.975200000000001</v>
      </c>
      <c r="AG41" s="1">
        <v>13.5848</v>
      </c>
      <c r="AH41" s="1">
        <v>8.2422000000000004</v>
      </c>
      <c r="AI41" s="1">
        <v>4.5888</v>
      </c>
      <c r="AJ41" s="1">
        <v>5.1204000000000001</v>
      </c>
      <c r="AK41" s="1">
        <v>5.9737999999999998</v>
      </c>
      <c r="AL41" s="1">
        <v>5.5386000000000006</v>
      </c>
      <c r="AM41" s="1">
        <v>1.1628000000000001</v>
      </c>
      <c r="AN41" s="1">
        <v>8.4174000000000007</v>
      </c>
      <c r="AO41" s="1"/>
      <c r="AP41" s="1">
        <f t="shared" si="18"/>
        <v>50</v>
      </c>
      <c r="AQ41" t="s">
        <v>120</v>
      </c>
    </row>
    <row r="42" spans="1:43" x14ac:dyDescent="0.25">
      <c r="A42" s="1" t="s">
        <v>121</v>
      </c>
      <c r="B42" s="1" t="s">
        <v>52</v>
      </c>
      <c r="C42" s="1"/>
      <c r="D42" s="1">
        <v>1398</v>
      </c>
      <c r="E42" s="1">
        <v>609</v>
      </c>
      <c r="F42" s="1">
        <v>663</v>
      </c>
      <c r="G42" s="7">
        <v>0.4</v>
      </c>
      <c r="H42" s="1">
        <v>40</v>
      </c>
      <c r="I42" s="9" t="s">
        <v>62</v>
      </c>
      <c r="J42" s="1"/>
      <c r="K42" s="1">
        <v>618</v>
      </c>
      <c r="L42" s="1">
        <f t="shared" si="14"/>
        <v>-9</v>
      </c>
      <c r="M42" s="1"/>
      <c r="N42" s="1"/>
      <c r="O42" s="1">
        <v>0</v>
      </c>
      <c r="P42" s="18"/>
      <c r="Q42" s="22"/>
      <c r="R42" s="1">
        <v>50</v>
      </c>
      <c r="S42" s="22"/>
      <c r="T42" s="1"/>
      <c r="U42" s="18"/>
      <c r="V42" s="22"/>
      <c r="W42" s="1">
        <f t="shared" si="15"/>
        <v>121.8</v>
      </c>
      <c r="X42" s="5">
        <f>11.5*W42-T42-R42-O42-F42</f>
        <v>687.7</v>
      </c>
      <c r="Y42" s="5">
        <f t="shared" si="12"/>
        <v>687.7</v>
      </c>
      <c r="Z42" s="29"/>
      <c r="AA42" s="1"/>
      <c r="AB42" s="1"/>
      <c r="AC42" s="1">
        <f t="shared" si="16"/>
        <v>11.5</v>
      </c>
      <c r="AD42" s="1">
        <f t="shared" si="17"/>
        <v>5.8538587848932675</v>
      </c>
      <c r="AE42" s="1">
        <v>74</v>
      </c>
      <c r="AF42" s="1">
        <v>58.2</v>
      </c>
      <c r="AG42" s="1">
        <v>100</v>
      </c>
      <c r="AH42" s="1">
        <v>68.400000000000006</v>
      </c>
      <c r="AI42" s="1">
        <v>43.4</v>
      </c>
      <c r="AJ42" s="1">
        <v>44.4</v>
      </c>
      <c r="AK42" s="1">
        <v>46.6</v>
      </c>
      <c r="AL42" s="1">
        <v>42.4</v>
      </c>
      <c r="AM42" s="1">
        <v>36.4</v>
      </c>
      <c r="AN42" s="1">
        <v>46.4</v>
      </c>
      <c r="AO42" s="1"/>
      <c r="AP42" s="1">
        <f t="shared" si="18"/>
        <v>275</v>
      </c>
      <c r="AQ42" t="s">
        <v>122</v>
      </c>
    </row>
    <row r="43" spans="1:43" x14ac:dyDescent="0.25">
      <c r="A43" s="1" t="s">
        <v>123</v>
      </c>
      <c r="B43" s="1" t="s">
        <v>52</v>
      </c>
      <c r="C43" s="1">
        <v>152</v>
      </c>
      <c r="D43" s="1">
        <v>254</v>
      </c>
      <c r="E43" s="1">
        <v>276</v>
      </c>
      <c r="F43" s="1">
        <v>92</v>
      </c>
      <c r="G43" s="7">
        <v>0.4</v>
      </c>
      <c r="H43" s="1">
        <v>45</v>
      </c>
      <c r="I43" s="9" t="s">
        <v>62</v>
      </c>
      <c r="J43" s="1"/>
      <c r="K43" s="1">
        <v>367</v>
      </c>
      <c r="L43" s="1">
        <f t="shared" si="14"/>
        <v>-91</v>
      </c>
      <c r="M43" s="1"/>
      <c r="N43" s="1"/>
      <c r="O43" s="1">
        <v>50</v>
      </c>
      <c r="P43" s="18"/>
      <c r="Q43" s="22"/>
      <c r="R43" s="1">
        <v>100</v>
      </c>
      <c r="S43" s="22"/>
      <c r="T43" s="1">
        <v>150</v>
      </c>
      <c r="U43" s="18"/>
      <c r="V43" s="22"/>
      <c r="W43" s="1">
        <f t="shared" si="15"/>
        <v>55.2</v>
      </c>
      <c r="X43" s="5">
        <f>11.5*W43-T43-R43-O43-F43</f>
        <v>242.80000000000007</v>
      </c>
      <c r="Y43" s="5">
        <f t="shared" si="12"/>
        <v>242.80000000000007</v>
      </c>
      <c r="Z43" s="29"/>
      <c r="AA43" s="1"/>
      <c r="AB43" s="1"/>
      <c r="AC43" s="1">
        <f t="shared" si="16"/>
        <v>11.5</v>
      </c>
      <c r="AD43" s="1">
        <f t="shared" si="17"/>
        <v>7.1014492753623184</v>
      </c>
      <c r="AE43" s="1">
        <v>56.8</v>
      </c>
      <c r="AF43" s="1">
        <v>32.799999999999997</v>
      </c>
      <c r="AG43" s="1">
        <v>43</v>
      </c>
      <c r="AH43" s="1">
        <v>54.2</v>
      </c>
      <c r="AI43" s="1">
        <v>52</v>
      </c>
      <c r="AJ43" s="1">
        <v>47.6</v>
      </c>
      <c r="AK43" s="1">
        <v>30.8</v>
      </c>
      <c r="AL43" s="1">
        <v>30.4</v>
      </c>
      <c r="AM43" s="1">
        <v>30.2</v>
      </c>
      <c r="AN43" s="1">
        <v>25.8</v>
      </c>
      <c r="AO43" s="1"/>
      <c r="AP43" s="1">
        <f t="shared" si="18"/>
        <v>97</v>
      </c>
      <c r="AQ43" t="s">
        <v>124</v>
      </c>
    </row>
    <row r="44" spans="1:43" x14ac:dyDescent="0.25">
      <c r="A44" s="1" t="s">
        <v>125</v>
      </c>
      <c r="B44" s="1" t="s">
        <v>44</v>
      </c>
      <c r="C44" s="1">
        <v>0.93899999999999995</v>
      </c>
      <c r="D44" s="1">
        <v>0.73099999999999998</v>
      </c>
      <c r="E44" s="1">
        <v>-2.327</v>
      </c>
      <c r="F44" s="1">
        <v>0.93700000000000006</v>
      </c>
      <c r="G44" s="7">
        <v>1</v>
      </c>
      <c r="H44" s="1">
        <v>40</v>
      </c>
      <c r="I44" s="9" t="s">
        <v>62</v>
      </c>
      <c r="J44" s="1"/>
      <c r="K44" s="1">
        <v>110.1</v>
      </c>
      <c r="L44" s="1">
        <f t="shared" si="14"/>
        <v>-112.42699999999999</v>
      </c>
      <c r="M44" s="1"/>
      <c r="N44" s="1"/>
      <c r="O44" s="1">
        <v>300</v>
      </c>
      <c r="P44" s="18"/>
      <c r="Q44" s="22"/>
      <c r="R44" s="1">
        <v>200</v>
      </c>
      <c r="S44" s="22"/>
      <c r="T44" s="1">
        <v>300</v>
      </c>
      <c r="U44" s="18"/>
      <c r="V44" s="22"/>
      <c r="W44" s="1">
        <f t="shared" si="15"/>
        <v>-0.46539999999999998</v>
      </c>
      <c r="X44" s="5"/>
      <c r="Y44" s="5">
        <f t="shared" si="12"/>
        <v>0</v>
      </c>
      <c r="Z44" s="29"/>
      <c r="AA44" s="1"/>
      <c r="AB44" s="1"/>
      <c r="AC44" s="1">
        <f t="shared" si="16"/>
        <v>-1720.9647614954879</v>
      </c>
      <c r="AD44" s="1">
        <f t="shared" si="17"/>
        <v>-1720.9647614954879</v>
      </c>
      <c r="AE44" s="1">
        <v>37.095999999999997</v>
      </c>
      <c r="AF44" s="1">
        <v>60.197799999999987</v>
      </c>
      <c r="AG44" s="1">
        <v>34.119799999999998</v>
      </c>
      <c r="AH44" s="1">
        <v>15.690799999999999</v>
      </c>
      <c r="AI44" s="1">
        <v>19.270199999999999</v>
      </c>
      <c r="AJ44" s="1">
        <v>22.2332</v>
      </c>
      <c r="AK44" s="1">
        <v>14.362</v>
      </c>
      <c r="AL44" s="1">
        <v>23.499600000000001</v>
      </c>
      <c r="AM44" s="1">
        <v>24.4682</v>
      </c>
      <c r="AN44" s="1">
        <v>21.0944</v>
      </c>
      <c r="AO44" s="1"/>
      <c r="AP44" s="1">
        <f t="shared" si="18"/>
        <v>0</v>
      </c>
      <c r="AQ44" t="s">
        <v>126</v>
      </c>
    </row>
    <row r="45" spans="1:43" x14ac:dyDescent="0.25">
      <c r="A45" s="1" t="s">
        <v>127</v>
      </c>
      <c r="B45" s="1" t="s">
        <v>52</v>
      </c>
      <c r="C45" s="1">
        <v>196</v>
      </c>
      <c r="D45" s="1">
        <v>8</v>
      </c>
      <c r="E45" s="1">
        <v>160</v>
      </c>
      <c r="F45" s="1">
        <v>18</v>
      </c>
      <c r="G45" s="7">
        <v>0.35</v>
      </c>
      <c r="H45" s="1">
        <v>40</v>
      </c>
      <c r="I45" s="9" t="s">
        <v>62</v>
      </c>
      <c r="J45" s="1"/>
      <c r="K45" s="1">
        <v>1221</v>
      </c>
      <c r="L45" s="1">
        <f t="shared" si="14"/>
        <v>-1061</v>
      </c>
      <c r="M45" s="1"/>
      <c r="N45" s="1"/>
      <c r="O45" s="1">
        <v>531.20000000000027</v>
      </c>
      <c r="P45" s="18"/>
      <c r="Q45" s="22"/>
      <c r="R45" s="1">
        <v>280</v>
      </c>
      <c r="S45" s="22"/>
      <c r="T45" s="1">
        <v>420</v>
      </c>
      <c r="U45" s="18"/>
      <c r="V45" s="22"/>
      <c r="W45" s="1">
        <f t="shared" si="15"/>
        <v>32</v>
      </c>
      <c r="X45" s="5"/>
      <c r="Y45" s="5">
        <f t="shared" si="12"/>
        <v>0</v>
      </c>
      <c r="Z45" s="29"/>
      <c r="AA45" s="1"/>
      <c r="AB45" s="1"/>
      <c r="AC45" s="1">
        <f t="shared" si="16"/>
        <v>39.037500000000009</v>
      </c>
      <c r="AD45" s="1">
        <f t="shared" si="17"/>
        <v>39.037500000000009</v>
      </c>
      <c r="AE45" s="1">
        <v>167.4</v>
      </c>
      <c r="AF45" s="1">
        <v>255.8</v>
      </c>
      <c r="AG45" s="1">
        <v>270</v>
      </c>
      <c r="AH45" s="1">
        <v>263.60000000000002</v>
      </c>
      <c r="AI45" s="1">
        <v>224.4</v>
      </c>
      <c r="AJ45" s="1">
        <v>103.4</v>
      </c>
      <c r="AK45" s="1">
        <v>-5.6</v>
      </c>
      <c r="AL45" s="1">
        <v>122.6</v>
      </c>
      <c r="AM45" s="1">
        <v>238</v>
      </c>
      <c r="AN45" s="1">
        <v>305.39999999999998</v>
      </c>
      <c r="AO45" s="1"/>
      <c r="AP45" s="1">
        <f t="shared" si="18"/>
        <v>0</v>
      </c>
      <c r="AQ45" t="s">
        <v>128</v>
      </c>
    </row>
    <row r="46" spans="1:43" x14ac:dyDescent="0.25">
      <c r="A46" s="1" t="s">
        <v>129</v>
      </c>
      <c r="B46" s="1" t="s">
        <v>52</v>
      </c>
      <c r="C46" s="1">
        <v>624</v>
      </c>
      <c r="D46" s="1">
        <v>708</v>
      </c>
      <c r="E46" s="1">
        <v>731</v>
      </c>
      <c r="F46" s="1">
        <v>427</v>
      </c>
      <c r="G46" s="7">
        <v>0.4</v>
      </c>
      <c r="H46" s="1">
        <v>40</v>
      </c>
      <c r="I46" s="9" t="s">
        <v>62</v>
      </c>
      <c r="J46" s="1"/>
      <c r="K46" s="1">
        <v>748</v>
      </c>
      <c r="L46" s="1">
        <f t="shared" si="14"/>
        <v>-17</v>
      </c>
      <c r="M46" s="1"/>
      <c r="N46" s="1"/>
      <c r="O46" s="1">
        <v>0</v>
      </c>
      <c r="P46" s="18"/>
      <c r="Q46" s="22"/>
      <c r="R46" s="1">
        <v>279.27999999999992</v>
      </c>
      <c r="S46" s="22"/>
      <c r="T46" s="1">
        <v>418.9199999999999</v>
      </c>
      <c r="U46" s="18"/>
      <c r="V46" s="22"/>
      <c r="W46" s="1">
        <f t="shared" si="15"/>
        <v>146.19999999999999</v>
      </c>
      <c r="X46" s="5">
        <f>11.5*W46-T46-R46-O46-F46</f>
        <v>556.10000000000014</v>
      </c>
      <c r="Y46" s="5">
        <f t="shared" si="12"/>
        <v>556.10000000000014</v>
      </c>
      <c r="Z46" s="29"/>
      <c r="AA46" s="1"/>
      <c r="AB46" s="1"/>
      <c r="AC46" s="1">
        <f t="shared" si="16"/>
        <v>11.5</v>
      </c>
      <c r="AD46" s="1">
        <f t="shared" si="17"/>
        <v>7.6963064295485628</v>
      </c>
      <c r="AE46" s="1">
        <v>130.19999999999999</v>
      </c>
      <c r="AF46" s="1">
        <v>140.4</v>
      </c>
      <c r="AG46" s="1">
        <v>153.6</v>
      </c>
      <c r="AH46" s="1">
        <v>183.2</v>
      </c>
      <c r="AI46" s="1">
        <v>176.6</v>
      </c>
      <c r="AJ46" s="1">
        <v>127.8</v>
      </c>
      <c r="AK46" s="1">
        <v>137.6</v>
      </c>
      <c r="AL46" s="1">
        <v>146</v>
      </c>
      <c r="AM46" s="1">
        <v>142.80000000000001</v>
      </c>
      <c r="AN46" s="1">
        <v>156.80000000000001</v>
      </c>
      <c r="AO46" s="1"/>
      <c r="AP46" s="1">
        <f t="shared" si="18"/>
        <v>222</v>
      </c>
      <c r="AQ46" t="s">
        <v>130</v>
      </c>
    </row>
    <row r="47" spans="1:43" x14ac:dyDescent="0.25">
      <c r="A47" s="1" t="s">
        <v>131</v>
      </c>
      <c r="B47" s="1" t="s">
        <v>44</v>
      </c>
      <c r="C47" s="1">
        <v>344.34399999999999</v>
      </c>
      <c r="D47" s="1">
        <v>760.25300000000004</v>
      </c>
      <c r="E47" s="1">
        <v>526.06200000000001</v>
      </c>
      <c r="F47" s="1">
        <v>514.02200000000005</v>
      </c>
      <c r="G47" s="7">
        <v>1</v>
      </c>
      <c r="H47" s="1">
        <v>50</v>
      </c>
      <c r="I47" s="1" t="s">
        <v>45</v>
      </c>
      <c r="J47" s="1"/>
      <c r="K47" s="1">
        <v>518.75</v>
      </c>
      <c r="L47" s="1">
        <f t="shared" si="14"/>
        <v>7.3120000000000118</v>
      </c>
      <c r="M47" s="1"/>
      <c r="N47" s="1"/>
      <c r="O47" s="1">
        <v>193.9913134</v>
      </c>
      <c r="P47" s="18"/>
      <c r="Q47" s="22"/>
      <c r="R47" s="1">
        <v>76.510232317200007</v>
      </c>
      <c r="S47" s="22"/>
      <c r="T47" s="1">
        <v>114.7653484758</v>
      </c>
      <c r="U47" s="18"/>
      <c r="V47" s="22"/>
      <c r="W47" s="1">
        <f t="shared" si="15"/>
        <v>105.2124</v>
      </c>
      <c r="X47" s="5">
        <f>11.5*W47-T47-R47-O47-F47</f>
        <v>310.65370580700005</v>
      </c>
      <c r="Y47" s="5">
        <f t="shared" si="12"/>
        <v>310.65370580700005</v>
      </c>
      <c r="Z47" s="29"/>
      <c r="AA47" s="1"/>
      <c r="AB47" s="1"/>
      <c r="AC47" s="1">
        <f t="shared" si="16"/>
        <v>11.5</v>
      </c>
      <c r="AD47" s="1">
        <f t="shared" si="17"/>
        <v>8.5473660347354503</v>
      </c>
      <c r="AE47" s="1">
        <v>95.491600000000005</v>
      </c>
      <c r="AF47" s="1">
        <v>93.509</v>
      </c>
      <c r="AG47" s="1">
        <v>94.5214</v>
      </c>
      <c r="AH47" s="1">
        <v>94.858399999999989</v>
      </c>
      <c r="AI47" s="1">
        <v>83.390799999999999</v>
      </c>
      <c r="AJ47" s="1">
        <v>63.038800000000002</v>
      </c>
      <c r="AK47" s="1">
        <v>68.847400000000007</v>
      </c>
      <c r="AL47" s="1">
        <v>90.637199999999993</v>
      </c>
      <c r="AM47" s="1">
        <v>89.163399999999996</v>
      </c>
      <c r="AN47" s="1">
        <v>89.271799999999999</v>
      </c>
      <c r="AO47" s="1"/>
      <c r="AP47" s="1">
        <f t="shared" si="18"/>
        <v>311</v>
      </c>
      <c r="AQ47" t="s">
        <v>132</v>
      </c>
    </row>
    <row r="48" spans="1:43" x14ac:dyDescent="0.25">
      <c r="A48" s="1" t="s">
        <v>133</v>
      </c>
      <c r="B48" s="1" t="s">
        <v>44</v>
      </c>
      <c r="C48" s="1">
        <v>404.25900000000001</v>
      </c>
      <c r="D48" s="1">
        <v>1127.77</v>
      </c>
      <c r="E48" s="1">
        <v>732.12900000000002</v>
      </c>
      <c r="F48" s="1">
        <v>682.572</v>
      </c>
      <c r="G48" s="7">
        <v>1</v>
      </c>
      <c r="H48" s="1">
        <v>50</v>
      </c>
      <c r="I48" s="1" t="s">
        <v>45</v>
      </c>
      <c r="J48" s="1"/>
      <c r="K48" s="1">
        <v>726.85</v>
      </c>
      <c r="L48" s="1">
        <f t="shared" si="14"/>
        <v>5.2789999999999964</v>
      </c>
      <c r="M48" s="1"/>
      <c r="N48" s="1"/>
      <c r="O48" s="1">
        <v>243.3991309999997</v>
      </c>
      <c r="P48" s="18"/>
      <c r="Q48" s="22"/>
      <c r="R48" s="1">
        <v>184.7405109268002</v>
      </c>
      <c r="S48" s="22"/>
      <c r="T48" s="1">
        <v>277.1107663902003</v>
      </c>
      <c r="U48" s="18"/>
      <c r="V48" s="22"/>
      <c r="W48" s="1">
        <f t="shared" si="15"/>
        <v>146.42580000000001</v>
      </c>
      <c r="X48" s="5">
        <f>11.5*W48-T48-R48-O48-F48</f>
        <v>296.07429168299984</v>
      </c>
      <c r="Y48" s="5">
        <f t="shared" si="12"/>
        <v>296.07429168299984</v>
      </c>
      <c r="Z48" s="29"/>
      <c r="AA48" s="1"/>
      <c r="AB48" s="1"/>
      <c r="AC48" s="1">
        <f t="shared" si="16"/>
        <v>11.5</v>
      </c>
      <c r="AD48" s="1">
        <f t="shared" si="17"/>
        <v>9.4779909573108032</v>
      </c>
      <c r="AE48" s="1">
        <v>147.56039999999999</v>
      </c>
      <c r="AF48" s="1">
        <v>129.40299999999999</v>
      </c>
      <c r="AG48" s="1">
        <v>132.53659999999999</v>
      </c>
      <c r="AH48" s="1">
        <v>146.15979999999999</v>
      </c>
      <c r="AI48" s="1">
        <v>135.85380000000001</v>
      </c>
      <c r="AJ48" s="1">
        <v>91.289000000000001</v>
      </c>
      <c r="AK48" s="1">
        <v>86.8</v>
      </c>
      <c r="AL48" s="1">
        <v>108.23560000000001</v>
      </c>
      <c r="AM48" s="1">
        <v>107.86839999999999</v>
      </c>
      <c r="AN48" s="1">
        <v>115.7372</v>
      </c>
      <c r="AO48" s="1"/>
      <c r="AP48" s="1">
        <f t="shared" si="18"/>
        <v>296</v>
      </c>
      <c r="AQ48" t="s">
        <v>134</v>
      </c>
    </row>
    <row r="49" spans="1:43" x14ac:dyDescent="0.25">
      <c r="A49" s="1" t="s">
        <v>135</v>
      </c>
      <c r="B49" s="1" t="s">
        <v>44</v>
      </c>
      <c r="C49" s="1"/>
      <c r="D49" s="1">
        <v>17.664000000000001</v>
      </c>
      <c r="E49" s="1"/>
      <c r="F49" s="1">
        <v>16.169</v>
      </c>
      <c r="G49" s="7">
        <v>1</v>
      </c>
      <c r="H49" s="1">
        <v>45</v>
      </c>
      <c r="I49" s="9" t="s">
        <v>62</v>
      </c>
      <c r="J49" s="1"/>
      <c r="K49" s="1"/>
      <c r="L49" s="1">
        <f t="shared" si="14"/>
        <v>0</v>
      </c>
      <c r="M49" s="1"/>
      <c r="N49" s="1"/>
      <c r="O49" s="1">
        <v>10</v>
      </c>
      <c r="P49" s="18"/>
      <c r="Q49" s="22"/>
      <c r="R49" s="1">
        <v>10</v>
      </c>
      <c r="S49" s="22"/>
      <c r="T49" s="1"/>
      <c r="U49" s="18"/>
      <c r="V49" s="22"/>
      <c r="W49" s="1">
        <f t="shared" si="15"/>
        <v>0</v>
      </c>
      <c r="X49" s="5"/>
      <c r="Y49" s="5">
        <f t="shared" si="12"/>
        <v>0</v>
      </c>
      <c r="Z49" s="29"/>
      <c r="AA49" s="1"/>
      <c r="AB49" s="1"/>
      <c r="AC49" s="1" t="e">
        <f t="shared" si="16"/>
        <v>#DIV/0!</v>
      </c>
      <c r="AD49" s="1" t="e">
        <f t="shared" si="17"/>
        <v>#DIV/0!</v>
      </c>
      <c r="AE49" s="1">
        <v>-0.30520000000000003</v>
      </c>
      <c r="AF49" s="1">
        <v>-0.30520000000000003</v>
      </c>
      <c r="AG49" s="1">
        <v>0</v>
      </c>
      <c r="AH49" s="1">
        <v>0</v>
      </c>
      <c r="AI49" s="1">
        <v>0</v>
      </c>
      <c r="AJ49" s="1">
        <v>-0.28960000000000002</v>
      </c>
      <c r="AK49" s="1">
        <v>-0.28960000000000002</v>
      </c>
      <c r="AL49" s="1">
        <v>0</v>
      </c>
      <c r="AM49" s="1">
        <v>0</v>
      </c>
      <c r="AN49" s="1">
        <v>-0.23499999999999999</v>
      </c>
      <c r="AO49" s="1" t="s">
        <v>136</v>
      </c>
      <c r="AP49" s="1">
        <f t="shared" si="18"/>
        <v>0</v>
      </c>
      <c r="AQ49" t="s">
        <v>137</v>
      </c>
    </row>
    <row r="50" spans="1:43" x14ac:dyDescent="0.25">
      <c r="A50" s="1" t="s">
        <v>138</v>
      </c>
      <c r="B50" s="1" t="s">
        <v>52</v>
      </c>
      <c r="C50" s="1">
        <v>242</v>
      </c>
      <c r="D50" s="1">
        <v>150</v>
      </c>
      <c r="E50" s="1">
        <v>196</v>
      </c>
      <c r="F50" s="1">
        <v>164</v>
      </c>
      <c r="G50" s="7">
        <v>0.45</v>
      </c>
      <c r="H50" s="1">
        <v>50</v>
      </c>
      <c r="I50" s="1" t="s">
        <v>45</v>
      </c>
      <c r="J50" s="1"/>
      <c r="K50" s="1">
        <v>200</v>
      </c>
      <c r="L50" s="1">
        <f t="shared" si="14"/>
        <v>-4</v>
      </c>
      <c r="M50" s="1"/>
      <c r="N50" s="1"/>
      <c r="O50" s="1">
        <v>134.51400000000001</v>
      </c>
      <c r="P50" s="18"/>
      <c r="Q50" s="22"/>
      <c r="R50" s="1">
        <v>79.714399999999983</v>
      </c>
      <c r="S50" s="22"/>
      <c r="T50" s="1">
        <v>119.5716</v>
      </c>
      <c r="U50" s="18"/>
      <c r="V50" s="22"/>
      <c r="W50" s="1">
        <f t="shared" si="15"/>
        <v>39.200000000000003</v>
      </c>
      <c r="X50" s="5"/>
      <c r="Y50" s="5">
        <f t="shared" si="12"/>
        <v>0</v>
      </c>
      <c r="Z50" s="29"/>
      <c r="AA50" s="1"/>
      <c r="AB50" s="1"/>
      <c r="AC50" s="1">
        <f t="shared" si="16"/>
        <v>12.698979591836732</v>
      </c>
      <c r="AD50" s="1">
        <f t="shared" si="17"/>
        <v>12.698979591836732</v>
      </c>
      <c r="AE50" s="1">
        <v>49.8</v>
      </c>
      <c r="AF50" s="1">
        <v>39</v>
      </c>
      <c r="AG50" s="1">
        <v>34.4</v>
      </c>
      <c r="AH50" s="1">
        <v>39.4</v>
      </c>
      <c r="AI50" s="1">
        <v>44.6</v>
      </c>
      <c r="AJ50" s="1">
        <v>40</v>
      </c>
      <c r="AK50" s="1">
        <v>30.2</v>
      </c>
      <c r="AL50" s="1">
        <v>37.6</v>
      </c>
      <c r="AM50" s="1">
        <v>36.4</v>
      </c>
      <c r="AN50" s="1">
        <v>27.2</v>
      </c>
      <c r="AO50" s="1"/>
      <c r="AP50" s="1">
        <f t="shared" si="18"/>
        <v>0</v>
      </c>
      <c r="AQ50" t="s">
        <v>139</v>
      </c>
    </row>
    <row r="51" spans="1:43" x14ac:dyDescent="0.25">
      <c r="A51" s="1" t="s">
        <v>140</v>
      </c>
      <c r="B51" s="1" t="s">
        <v>52</v>
      </c>
      <c r="C51" s="1">
        <v>712</v>
      </c>
      <c r="D51" s="1">
        <v>452</v>
      </c>
      <c r="E51" s="1">
        <v>567</v>
      </c>
      <c r="F51" s="1">
        <v>467</v>
      </c>
      <c r="G51" s="7">
        <v>0.45</v>
      </c>
      <c r="H51" s="1">
        <v>50</v>
      </c>
      <c r="I51" s="1" t="s">
        <v>45</v>
      </c>
      <c r="J51" s="1"/>
      <c r="K51" s="1">
        <v>572</v>
      </c>
      <c r="L51" s="1">
        <f t="shared" si="14"/>
        <v>-5</v>
      </c>
      <c r="M51" s="1"/>
      <c r="N51" s="1"/>
      <c r="O51" s="1">
        <v>95.146000000000001</v>
      </c>
      <c r="P51" s="18"/>
      <c r="Q51" s="22"/>
      <c r="R51" s="1">
        <v>156.98159999999999</v>
      </c>
      <c r="S51" s="22"/>
      <c r="T51" s="1">
        <v>235.47239999999999</v>
      </c>
      <c r="U51" s="18"/>
      <c r="V51" s="22"/>
      <c r="W51" s="1">
        <f t="shared" si="15"/>
        <v>113.4</v>
      </c>
      <c r="X51" s="5">
        <f>11.5*W51-T51-R51-O51-F51</f>
        <v>349.50000000000034</v>
      </c>
      <c r="Y51" s="5">
        <f t="shared" si="12"/>
        <v>349.50000000000034</v>
      </c>
      <c r="Z51" s="29"/>
      <c r="AA51" s="1"/>
      <c r="AB51" s="1"/>
      <c r="AC51" s="1">
        <f t="shared" si="16"/>
        <v>11.500000000000002</v>
      </c>
      <c r="AD51" s="1">
        <f t="shared" si="17"/>
        <v>8.4179894179894159</v>
      </c>
      <c r="AE51" s="1">
        <v>107.6</v>
      </c>
      <c r="AF51" s="1">
        <v>84.2</v>
      </c>
      <c r="AG51" s="1">
        <v>90.2</v>
      </c>
      <c r="AH51" s="1">
        <v>119.8</v>
      </c>
      <c r="AI51" s="1">
        <v>126</v>
      </c>
      <c r="AJ51" s="1">
        <v>96.6</v>
      </c>
      <c r="AK51" s="1">
        <v>92.4</v>
      </c>
      <c r="AL51" s="1">
        <v>100.2</v>
      </c>
      <c r="AM51" s="1">
        <v>92.8</v>
      </c>
      <c r="AN51" s="1">
        <v>92.4</v>
      </c>
      <c r="AO51" s="1"/>
      <c r="AP51" s="1">
        <f t="shared" si="18"/>
        <v>157</v>
      </c>
      <c r="AQ51" t="s">
        <v>141</v>
      </c>
    </row>
    <row r="52" spans="1:43" x14ac:dyDescent="0.25">
      <c r="A52" s="1" t="s">
        <v>142</v>
      </c>
      <c r="B52" s="1" t="s">
        <v>52</v>
      </c>
      <c r="C52" s="1">
        <v>6</v>
      </c>
      <c r="D52" s="1">
        <v>150</v>
      </c>
      <c r="E52" s="1">
        <v>46</v>
      </c>
      <c r="F52" s="1">
        <v>103</v>
      </c>
      <c r="G52" s="7">
        <v>0.4</v>
      </c>
      <c r="H52" s="1">
        <v>40</v>
      </c>
      <c r="I52" s="9" t="s">
        <v>62</v>
      </c>
      <c r="J52" s="1"/>
      <c r="K52" s="1">
        <v>50</v>
      </c>
      <c r="L52" s="1">
        <f t="shared" si="14"/>
        <v>-4</v>
      </c>
      <c r="M52" s="1"/>
      <c r="N52" s="1"/>
      <c r="O52" s="1">
        <v>40</v>
      </c>
      <c r="P52" s="18">
        <v>-42.5</v>
      </c>
      <c r="Q52" s="22"/>
      <c r="R52" s="1">
        <v>0</v>
      </c>
      <c r="S52" s="22"/>
      <c r="T52" s="1"/>
      <c r="U52" s="18"/>
      <c r="V52" s="22"/>
      <c r="W52" s="1">
        <f t="shared" si="15"/>
        <v>9.1999999999999993</v>
      </c>
      <c r="X52" s="5"/>
      <c r="Y52" s="5">
        <f t="shared" si="12"/>
        <v>0</v>
      </c>
      <c r="Z52" s="29"/>
      <c r="AA52" s="1"/>
      <c r="AB52" s="1"/>
      <c r="AC52" s="1">
        <f t="shared" si="16"/>
        <v>15.543478260869566</v>
      </c>
      <c r="AD52" s="1">
        <f t="shared" si="17"/>
        <v>15.543478260869566</v>
      </c>
      <c r="AE52" s="1">
        <v>9.1999999999999993</v>
      </c>
      <c r="AF52" s="1">
        <v>7.2</v>
      </c>
      <c r="AG52" s="1">
        <v>1.2</v>
      </c>
      <c r="AH52" s="1">
        <v>-0.8</v>
      </c>
      <c r="AI52" s="1">
        <v>-0.2</v>
      </c>
      <c r="AJ52" s="1">
        <v>-0.6</v>
      </c>
      <c r="AK52" s="1">
        <v>-1</v>
      </c>
      <c r="AL52" s="1">
        <v>3.2</v>
      </c>
      <c r="AM52" s="1">
        <v>17.399999999999999</v>
      </c>
      <c r="AN52" s="1">
        <v>31.8</v>
      </c>
      <c r="AO52" s="1"/>
      <c r="AP52" s="1">
        <f t="shared" si="18"/>
        <v>0</v>
      </c>
      <c r="AQ52" t="s">
        <v>143</v>
      </c>
    </row>
    <row r="53" spans="1:43" x14ac:dyDescent="0.25">
      <c r="A53" s="1" t="s">
        <v>144</v>
      </c>
      <c r="B53" s="1" t="s">
        <v>52</v>
      </c>
      <c r="C53" s="1">
        <v>125</v>
      </c>
      <c r="D53" s="1">
        <v>78</v>
      </c>
      <c r="E53" s="1">
        <v>112</v>
      </c>
      <c r="F53" s="1">
        <v>73</v>
      </c>
      <c r="G53" s="7">
        <v>0.4</v>
      </c>
      <c r="H53" s="1">
        <v>40</v>
      </c>
      <c r="I53" s="9" t="s">
        <v>62</v>
      </c>
      <c r="J53" s="1"/>
      <c r="K53" s="1">
        <v>117</v>
      </c>
      <c r="L53" s="1">
        <f t="shared" si="14"/>
        <v>-5</v>
      </c>
      <c r="M53" s="1"/>
      <c r="N53" s="1"/>
      <c r="O53" s="1">
        <v>10</v>
      </c>
      <c r="P53" s="18"/>
      <c r="Q53" s="22"/>
      <c r="R53" s="1">
        <v>48.400000000000013</v>
      </c>
      <c r="S53" s="22"/>
      <c r="T53" s="1"/>
      <c r="U53" s="18"/>
      <c r="V53" s="22"/>
      <c r="W53" s="1">
        <f t="shared" si="15"/>
        <v>22.4</v>
      </c>
      <c r="X53" s="5">
        <f>11.5*W53-T53-R53-O53-F53</f>
        <v>126.19999999999996</v>
      </c>
      <c r="Y53" s="5">
        <f t="shared" si="12"/>
        <v>126.19999999999996</v>
      </c>
      <c r="Z53" s="29"/>
      <c r="AA53" s="1"/>
      <c r="AB53" s="1"/>
      <c r="AC53" s="1">
        <f t="shared" si="16"/>
        <v>11.5</v>
      </c>
      <c r="AD53" s="1">
        <f t="shared" si="17"/>
        <v>5.8660714285714288</v>
      </c>
      <c r="AE53" s="1">
        <v>14.4</v>
      </c>
      <c r="AF53" s="1">
        <v>10.4</v>
      </c>
      <c r="AG53" s="1">
        <v>13</v>
      </c>
      <c r="AH53" s="1">
        <v>16.600000000000001</v>
      </c>
      <c r="AI53" s="1">
        <v>22.8</v>
      </c>
      <c r="AJ53" s="1">
        <v>16.600000000000001</v>
      </c>
      <c r="AK53" s="1">
        <v>11.4</v>
      </c>
      <c r="AL53" s="1">
        <v>10.6</v>
      </c>
      <c r="AM53" s="1">
        <v>11.8</v>
      </c>
      <c r="AN53" s="1">
        <v>13.8</v>
      </c>
      <c r="AO53" s="1"/>
      <c r="AP53" s="1">
        <f t="shared" si="18"/>
        <v>50</v>
      </c>
      <c r="AQ53" t="s">
        <v>145</v>
      </c>
    </row>
    <row r="54" spans="1:43" x14ac:dyDescent="0.25">
      <c r="A54" s="1" t="s">
        <v>146</v>
      </c>
      <c r="B54" s="1" t="s">
        <v>44</v>
      </c>
      <c r="C54" s="1">
        <v>735.58600000000001</v>
      </c>
      <c r="D54" s="1">
        <v>887.49900000000002</v>
      </c>
      <c r="E54" s="1">
        <v>705.81399999999996</v>
      </c>
      <c r="F54" s="1">
        <v>804.02599999999995</v>
      </c>
      <c r="G54" s="7">
        <v>1</v>
      </c>
      <c r="H54" s="1">
        <v>50</v>
      </c>
      <c r="I54" s="1" t="s">
        <v>45</v>
      </c>
      <c r="J54" s="1"/>
      <c r="K54" s="1">
        <v>692.2</v>
      </c>
      <c r="L54" s="1">
        <f t="shared" si="14"/>
        <v>13.613999999999919</v>
      </c>
      <c r="M54" s="1"/>
      <c r="N54" s="1"/>
      <c r="O54" s="1">
        <v>134.020938</v>
      </c>
      <c r="P54" s="18"/>
      <c r="Q54" s="22"/>
      <c r="R54" s="1">
        <v>194.9390648000001</v>
      </c>
      <c r="S54" s="22"/>
      <c r="T54" s="1">
        <v>292.40859720000009</v>
      </c>
      <c r="U54" s="18"/>
      <c r="V54" s="22"/>
      <c r="W54" s="1">
        <f t="shared" si="15"/>
        <v>141.1628</v>
      </c>
      <c r="X54" s="5">
        <f>11.5*W54-T54-R54-O54-F54</f>
        <v>197.97759999999994</v>
      </c>
      <c r="Y54" s="5">
        <f t="shared" si="12"/>
        <v>197.97759999999994</v>
      </c>
      <c r="Z54" s="29"/>
      <c r="AA54" s="1"/>
      <c r="AB54" s="1"/>
      <c r="AC54" s="1">
        <f t="shared" si="16"/>
        <v>11.5</v>
      </c>
      <c r="AD54" s="1">
        <f t="shared" si="17"/>
        <v>10.09752286013029</v>
      </c>
      <c r="AE54" s="1">
        <v>146.07660000000001</v>
      </c>
      <c r="AF54" s="1">
        <v>118.6026</v>
      </c>
      <c r="AG54" s="1">
        <v>123.30800000000001</v>
      </c>
      <c r="AH54" s="1">
        <v>169.84139999999999</v>
      </c>
      <c r="AI54" s="1">
        <v>161.1634</v>
      </c>
      <c r="AJ54" s="1">
        <v>109.1048</v>
      </c>
      <c r="AK54" s="1">
        <v>121.73820000000001</v>
      </c>
      <c r="AL54" s="1">
        <v>139.08959999999999</v>
      </c>
      <c r="AM54" s="1">
        <v>135.32220000000001</v>
      </c>
      <c r="AN54" s="1">
        <v>134.5496</v>
      </c>
      <c r="AO54" s="1"/>
      <c r="AP54" s="1">
        <f t="shared" si="18"/>
        <v>198</v>
      </c>
      <c r="AQ54" t="s">
        <v>147</v>
      </c>
    </row>
    <row r="55" spans="1:43" x14ac:dyDescent="0.25">
      <c r="A55" s="1" t="s">
        <v>148</v>
      </c>
      <c r="B55" s="1" t="s">
        <v>52</v>
      </c>
      <c r="C55" s="1">
        <v>54</v>
      </c>
      <c r="D55" s="1">
        <v>1041</v>
      </c>
      <c r="E55" s="14">
        <f>260+E128</f>
        <v>368</v>
      </c>
      <c r="F55" s="14">
        <f>521+F128</f>
        <v>546</v>
      </c>
      <c r="G55" s="7">
        <v>0.1</v>
      </c>
      <c r="H55" s="1">
        <v>731</v>
      </c>
      <c r="I55" s="1" t="s">
        <v>45</v>
      </c>
      <c r="J55" s="1"/>
      <c r="K55" s="1">
        <v>263</v>
      </c>
      <c r="L55" s="1">
        <f t="shared" si="14"/>
        <v>105</v>
      </c>
      <c r="M55" s="1"/>
      <c r="N55" s="1"/>
      <c r="O55" s="1">
        <v>162.36600000000001</v>
      </c>
      <c r="P55" s="18"/>
      <c r="Q55" s="22"/>
      <c r="R55" s="1">
        <v>0</v>
      </c>
      <c r="S55" s="22"/>
      <c r="T55" s="1"/>
      <c r="U55" s="18"/>
      <c r="V55" s="22"/>
      <c r="W55" s="1">
        <f t="shared" si="15"/>
        <v>73.599999999999994</v>
      </c>
      <c r="X55" s="5">
        <f>11.5*W55-T55-R55-O55-F55</f>
        <v>138.03399999999999</v>
      </c>
      <c r="Y55" s="5">
        <f t="shared" si="12"/>
        <v>138.03399999999999</v>
      </c>
      <c r="Z55" s="29"/>
      <c r="AA55" s="1"/>
      <c r="AB55" s="1"/>
      <c r="AC55" s="1">
        <f t="shared" si="16"/>
        <v>11.5</v>
      </c>
      <c r="AD55" s="1">
        <f t="shared" si="17"/>
        <v>9.6245380434782621</v>
      </c>
      <c r="AE55" s="1">
        <v>77.2</v>
      </c>
      <c r="AF55" s="1">
        <v>84.4</v>
      </c>
      <c r="AG55" s="1">
        <v>84.4</v>
      </c>
      <c r="AH55" s="1">
        <v>66.400000000000006</v>
      </c>
      <c r="AI55" s="1">
        <v>53.4</v>
      </c>
      <c r="AJ55" s="1">
        <v>31.6</v>
      </c>
      <c r="AK55" s="1">
        <v>39.4</v>
      </c>
      <c r="AL55" s="1">
        <v>56.6</v>
      </c>
      <c r="AM55" s="1">
        <v>47.4</v>
      </c>
      <c r="AN55" s="1">
        <v>37.200000000000003</v>
      </c>
      <c r="AO55" s="1"/>
      <c r="AP55" s="1">
        <f t="shared" si="18"/>
        <v>14</v>
      </c>
      <c r="AQ55" t="s">
        <v>149</v>
      </c>
    </row>
    <row r="56" spans="1:43" x14ac:dyDescent="0.25">
      <c r="A56" s="1" t="s">
        <v>150</v>
      </c>
      <c r="B56" s="1" t="s">
        <v>44</v>
      </c>
      <c r="C56" s="1">
        <v>657.76099999999997</v>
      </c>
      <c r="D56" s="1">
        <v>1493.962</v>
      </c>
      <c r="E56" s="1">
        <v>972.197</v>
      </c>
      <c r="F56" s="1">
        <v>989.27</v>
      </c>
      <c r="G56" s="7">
        <v>1</v>
      </c>
      <c r="H56" s="1">
        <v>50</v>
      </c>
      <c r="I56" s="1" t="s">
        <v>45</v>
      </c>
      <c r="J56" s="1"/>
      <c r="K56" s="1">
        <v>947.25</v>
      </c>
      <c r="L56" s="1">
        <f t="shared" si="14"/>
        <v>24.947000000000003</v>
      </c>
      <c r="M56" s="1"/>
      <c r="N56" s="1"/>
      <c r="O56" s="1">
        <v>272.40740540000007</v>
      </c>
      <c r="P56" s="18"/>
      <c r="Q56" s="22"/>
      <c r="R56" s="1">
        <v>221.19948764392001</v>
      </c>
      <c r="S56" s="22"/>
      <c r="T56" s="1">
        <v>331.79923146587993</v>
      </c>
      <c r="U56" s="18"/>
      <c r="V56" s="22"/>
      <c r="W56" s="1">
        <f t="shared" si="15"/>
        <v>194.43940000000001</v>
      </c>
      <c r="X56" s="5">
        <f>11.5*W56-T56-R56-O56-F56</f>
        <v>421.37697549020004</v>
      </c>
      <c r="Y56" s="5">
        <f t="shared" si="12"/>
        <v>421.37697549020004</v>
      </c>
      <c r="Z56" s="29"/>
      <c r="AA56" s="1"/>
      <c r="AB56" s="1"/>
      <c r="AC56" s="1">
        <f t="shared" si="16"/>
        <v>11.5</v>
      </c>
      <c r="AD56" s="1">
        <f t="shared" si="17"/>
        <v>9.3328621900180728</v>
      </c>
      <c r="AE56" s="1">
        <v>195.25960000000001</v>
      </c>
      <c r="AF56" s="1">
        <v>175.315</v>
      </c>
      <c r="AG56" s="1">
        <v>180.76220000000001</v>
      </c>
      <c r="AH56" s="1">
        <v>194.12440000000001</v>
      </c>
      <c r="AI56" s="1">
        <v>183.68260000000001</v>
      </c>
      <c r="AJ56" s="1">
        <v>117.99379999999999</v>
      </c>
      <c r="AK56" s="1">
        <v>124.1302</v>
      </c>
      <c r="AL56" s="1">
        <v>163.53100000000001</v>
      </c>
      <c r="AM56" s="1">
        <v>153.71940000000001</v>
      </c>
      <c r="AN56" s="1">
        <v>178.23</v>
      </c>
      <c r="AO56" s="1"/>
      <c r="AP56" s="1">
        <f t="shared" si="18"/>
        <v>421</v>
      </c>
      <c r="AQ56" t="s">
        <v>151</v>
      </c>
    </row>
    <row r="57" spans="1:43" x14ac:dyDescent="0.25">
      <c r="A57" s="1" t="s">
        <v>152</v>
      </c>
      <c r="B57" s="1" t="s">
        <v>44</v>
      </c>
      <c r="C57" s="1">
        <v>149.68100000000001</v>
      </c>
      <c r="D57" s="1">
        <v>21.972999999999999</v>
      </c>
      <c r="E57" s="1">
        <v>74.572999999999993</v>
      </c>
      <c r="F57" s="1">
        <v>82.09</v>
      </c>
      <c r="G57" s="7">
        <v>1</v>
      </c>
      <c r="H57" s="1">
        <v>55</v>
      </c>
      <c r="I57" s="1" t="s">
        <v>45</v>
      </c>
      <c r="J57" s="1"/>
      <c r="K57" s="1">
        <v>71.7</v>
      </c>
      <c r="L57" s="1">
        <f t="shared" si="14"/>
        <v>2.8729999999999905</v>
      </c>
      <c r="M57" s="1"/>
      <c r="N57" s="1"/>
      <c r="O57" s="1">
        <v>124.73517200000001</v>
      </c>
      <c r="P57" s="18"/>
      <c r="Q57" s="22"/>
      <c r="R57" s="1">
        <v>0</v>
      </c>
      <c r="S57" s="22"/>
      <c r="T57" s="1"/>
      <c r="U57" s="18"/>
      <c r="V57" s="22"/>
      <c r="W57" s="1">
        <f t="shared" si="15"/>
        <v>14.914599999999998</v>
      </c>
      <c r="X57" s="5"/>
      <c r="Y57" s="5">
        <f t="shared" si="12"/>
        <v>0</v>
      </c>
      <c r="Z57" s="29"/>
      <c r="AA57" s="1"/>
      <c r="AB57" s="1"/>
      <c r="AC57" s="1">
        <f t="shared" si="16"/>
        <v>13.867295938208201</v>
      </c>
      <c r="AD57" s="1">
        <f t="shared" si="17"/>
        <v>13.867295938208201</v>
      </c>
      <c r="AE57" s="1">
        <v>20.043399999999998</v>
      </c>
      <c r="AF57" s="1">
        <v>21.0244</v>
      </c>
      <c r="AG57" s="1">
        <v>18.474</v>
      </c>
      <c r="AH57" s="1">
        <v>16.654399999999999</v>
      </c>
      <c r="AI57" s="1">
        <v>12.705399999999999</v>
      </c>
      <c r="AJ57" s="1">
        <v>10.586</v>
      </c>
      <c r="AK57" s="1">
        <v>11.1212</v>
      </c>
      <c r="AL57" s="1">
        <v>21.421600000000002</v>
      </c>
      <c r="AM57" s="1">
        <v>21.666799999999999</v>
      </c>
      <c r="AN57" s="1">
        <v>16.1006</v>
      </c>
      <c r="AO57" s="1"/>
      <c r="AP57" s="1">
        <f t="shared" si="18"/>
        <v>0</v>
      </c>
      <c r="AQ57" t="s">
        <v>153</v>
      </c>
    </row>
    <row r="58" spans="1:43" x14ac:dyDescent="0.25">
      <c r="A58" s="1" t="s">
        <v>154</v>
      </c>
      <c r="B58" s="1" t="s">
        <v>52</v>
      </c>
      <c r="C58" s="1">
        <v>109</v>
      </c>
      <c r="D58" s="1">
        <v>528</v>
      </c>
      <c r="E58" s="1">
        <v>190</v>
      </c>
      <c r="F58" s="1">
        <v>392</v>
      </c>
      <c r="G58" s="7">
        <v>0.1</v>
      </c>
      <c r="H58" s="1">
        <v>731</v>
      </c>
      <c r="I58" s="1" t="s">
        <v>45</v>
      </c>
      <c r="J58" s="1"/>
      <c r="K58" s="1">
        <v>196</v>
      </c>
      <c r="L58" s="1">
        <f t="shared" si="14"/>
        <v>-6</v>
      </c>
      <c r="M58" s="1"/>
      <c r="N58" s="1"/>
      <c r="O58" s="1">
        <v>51.753999999999991</v>
      </c>
      <c r="P58" s="18"/>
      <c r="Q58" s="22"/>
      <c r="R58" s="1">
        <v>0</v>
      </c>
      <c r="S58" s="22"/>
      <c r="T58" s="1"/>
      <c r="U58" s="18"/>
      <c r="V58" s="22"/>
      <c r="W58" s="1">
        <f t="shared" si="15"/>
        <v>38</v>
      </c>
      <c r="X58" s="5"/>
      <c r="Y58" s="5">
        <f t="shared" si="12"/>
        <v>0</v>
      </c>
      <c r="Z58" s="29"/>
      <c r="AA58" s="1"/>
      <c r="AB58" s="1"/>
      <c r="AC58" s="1">
        <f t="shared" si="16"/>
        <v>11.677736842105263</v>
      </c>
      <c r="AD58" s="1">
        <f t="shared" si="17"/>
        <v>11.677736842105263</v>
      </c>
      <c r="AE58" s="1">
        <v>36.6</v>
      </c>
      <c r="AF58" s="1">
        <v>45.8</v>
      </c>
      <c r="AG58" s="1">
        <v>49.2</v>
      </c>
      <c r="AH58" s="1">
        <v>39.4</v>
      </c>
      <c r="AI58" s="1">
        <v>37.4</v>
      </c>
      <c r="AJ58" s="1">
        <v>34.200000000000003</v>
      </c>
      <c r="AK58" s="1">
        <v>34.799999999999997</v>
      </c>
      <c r="AL58" s="1">
        <v>41.6</v>
      </c>
      <c r="AM58" s="1">
        <v>38</v>
      </c>
      <c r="AN58" s="1">
        <v>30.6</v>
      </c>
      <c r="AO58" s="1"/>
      <c r="AP58" s="1">
        <f t="shared" si="18"/>
        <v>0</v>
      </c>
      <c r="AQ58" t="s">
        <v>155</v>
      </c>
    </row>
    <row r="59" spans="1:43" x14ac:dyDescent="0.25">
      <c r="A59" s="1" t="s">
        <v>156</v>
      </c>
      <c r="B59" s="1" t="s">
        <v>52</v>
      </c>
      <c r="C59" s="1">
        <v>329</v>
      </c>
      <c r="D59" s="1">
        <v>152</v>
      </c>
      <c r="E59" s="1">
        <v>200</v>
      </c>
      <c r="F59" s="1">
        <v>185</v>
      </c>
      <c r="G59" s="7">
        <v>0.4</v>
      </c>
      <c r="H59" s="1">
        <v>50</v>
      </c>
      <c r="I59" s="1" t="s">
        <v>45</v>
      </c>
      <c r="J59" s="1"/>
      <c r="K59" s="1">
        <v>213</v>
      </c>
      <c r="L59" s="1">
        <f t="shared" si="14"/>
        <v>-13</v>
      </c>
      <c r="M59" s="1"/>
      <c r="N59" s="1"/>
      <c r="O59" s="1">
        <v>107.408</v>
      </c>
      <c r="P59" s="18">
        <v>-110</v>
      </c>
      <c r="Q59" s="22"/>
      <c r="R59" s="1">
        <v>42.192000000000007</v>
      </c>
      <c r="S59" s="22"/>
      <c r="T59" s="1"/>
      <c r="U59" s="18"/>
      <c r="V59" s="22"/>
      <c r="W59" s="1">
        <f t="shared" si="15"/>
        <v>40</v>
      </c>
      <c r="X59" s="5">
        <f>11.5*W59-T59-R59-O59-F59</f>
        <v>125.39999999999998</v>
      </c>
      <c r="Y59" s="5">
        <f t="shared" si="12"/>
        <v>125.39999999999998</v>
      </c>
      <c r="Z59" s="29"/>
      <c r="AA59" s="1"/>
      <c r="AB59" s="1"/>
      <c r="AC59" s="1">
        <f t="shared" si="16"/>
        <v>11.5</v>
      </c>
      <c r="AD59" s="1">
        <f t="shared" si="17"/>
        <v>8.3650000000000002</v>
      </c>
      <c r="AE59" s="1">
        <v>40.6</v>
      </c>
      <c r="AF59" s="1">
        <v>41.6</v>
      </c>
      <c r="AG59" s="1">
        <v>40.799999999999997</v>
      </c>
      <c r="AH59" s="1">
        <v>54.8</v>
      </c>
      <c r="AI59" s="1">
        <v>47.4</v>
      </c>
      <c r="AJ59" s="1">
        <v>43</v>
      </c>
      <c r="AK59" s="1">
        <v>63</v>
      </c>
      <c r="AL59" s="1">
        <v>63.2</v>
      </c>
      <c r="AM59" s="1">
        <v>63.4</v>
      </c>
      <c r="AN59" s="1">
        <v>66</v>
      </c>
      <c r="AO59" s="1"/>
      <c r="AP59" s="1">
        <f t="shared" si="18"/>
        <v>50</v>
      </c>
      <c r="AQ59" t="s">
        <v>157</v>
      </c>
    </row>
    <row r="60" spans="1:43" x14ac:dyDescent="0.25">
      <c r="A60" s="1" t="s">
        <v>158</v>
      </c>
      <c r="B60" s="1" t="s">
        <v>44</v>
      </c>
      <c r="C60" s="1">
        <v>273.53500000000003</v>
      </c>
      <c r="D60" s="1">
        <v>868.37800000000004</v>
      </c>
      <c r="E60" s="1">
        <v>525.79399999999998</v>
      </c>
      <c r="F60" s="1">
        <v>559.00199999999995</v>
      </c>
      <c r="G60" s="7">
        <v>1</v>
      </c>
      <c r="H60" s="1">
        <v>40</v>
      </c>
      <c r="I60" s="9" t="s">
        <v>62</v>
      </c>
      <c r="J60" s="1"/>
      <c r="K60" s="1">
        <v>534.9</v>
      </c>
      <c r="L60" s="1">
        <f t="shared" si="14"/>
        <v>-9.1059999999999945</v>
      </c>
      <c r="M60" s="1"/>
      <c r="N60" s="1"/>
      <c r="O60" s="1">
        <v>0</v>
      </c>
      <c r="P60" s="18"/>
      <c r="Q60" s="22"/>
      <c r="R60" s="1">
        <v>158.17663999999999</v>
      </c>
      <c r="S60" s="22"/>
      <c r="T60" s="1">
        <v>237.26496</v>
      </c>
      <c r="U60" s="18"/>
      <c r="V60" s="22"/>
      <c r="W60" s="1">
        <f t="shared" si="15"/>
        <v>105.1588</v>
      </c>
      <c r="X60" s="5">
        <f>11.5*W60-T60-R60-O60-F60</f>
        <v>254.88260000000002</v>
      </c>
      <c r="Y60" s="5">
        <f t="shared" si="12"/>
        <v>254.88260000000002</v>
      </c>
      <c r="Z60" s="29"/>
      <c r="AA60" s="1"/>
      <c r="AB60" s="1"/>
      <c r="AC60" s="1">
        <f t="shared" si="16"/>
        <v>11.5</v>
      </c>
      <c r="AD60" s="1">
        <f t="shared" si="17"/>
        <v>9.076212356930661</v>
      </c>
      <c r="AE60" s="1">
        <v>95.004600000000011</v>
      </c>
      <c r="AF60" s="1">
        <v>56.900799999999997</v>
      </c>
      <c r="AG60" s="1">
        <v>72.902999999999992</v>
      </c>
      <c r="AH60" s="1">
        <v>117.24079999999999</v>
      </c>
      <c r="AI60" s="1">
        <v>108.114</v>
      </c>
      <c r="AJ60" s="1">
        <v>73.970799999999997</v>
      </c>
      <c r="AK60" s="1">
        <v>112.611</v>
      </c>
      <c r="AL60" s="1">
        <v>79.74199999999999</v>
      </c>
      <c r="AM60" s="1">
        <v>5.6125999999999996</v>
      </c>
      <c r="AN60" s="1">
        <v>90.891600000000011</v>
      </c>
      <c r="AO60" s="1"/>
      <c r="AP60" s="1">
        <f t="shared" si="18"/>
        <v>255</v>
      </c>
      <c r="AQ60" t="s">
        <v>159</v>
      </c>
    </row>
    <row r="61" spans="1:43" x14ac:dyDescent="0.25">
      <c r="A61" s="1" t="s">
        <v>160</v>
      </c>
      <c r="B61" s="1" t="s">
        <v>44</v>
      </c>
      <c r="C61" s="1">
        <v>316.947</v>
      </c>
      <c r="D61" s="1"/>
      <c r="E61" s="1">
        <v>315.05200000000002</v>
      </c>
      <c r="F61" s="1">
        <v>-2.8069999999999999</v>
      </c>
      <c r="G61" s="7">
        <v>1</v>
      </c>
      <c r="H61" s="1">
        <v>40</v>
      </c>
      <c r="I61" s="9" t="s">
        <v>62</v>
      </c>
      <c r="J61" s="1"/>
      <c r="K61" s="1">
        <v>309.60000000000002</v>
      </c>
      <c r="L61" s="1">
        <f t="shared" si="14"/>
        <v>5.4519999999999982</v>
      </c>
      <c r="M61" s="1"/>
      <c r="N61" s="1"/>
      <c r="O61" s="1">
        <v>408.34542650000031</v>
      </c>
      <c r="P61" s="18"/>
      <c r="Q61" s="22"/>
      <c r="R61" s="1">
        <v>120</v>
      </c>
      <c r="S61" s="22"/>
      <c r="T61" s="1">
        <v>180</v>
      </c>
      <c r="U61" s="18"/>
      <c r="V61" s="22"/>
      <c r="W61" s="1">
        <f t="shared" si="15"/>
        <v>63.010400000000004</v>
      </c>
      <c r="X61" s="5">
        <f>11.5*W61-T61-R61-O61-F61</f>
        <v>19.081173499999675</v>
      </c>
      <c r="Y61" s="5">
        <f t="shared" si="12"/>
        <v>19.081173499999675</v>
      </c>
      <c r="Z61" s="29"/>
      <c r="AA61" s="1"/>
      <c r="AB61" s="1"/>
      <c r="AC61" s="1">
        <f t="shared" si="16"/>
        <v>11.499999999999996</v>
      </c>
      <c r="AD61" s="1">
        <f t="shared" si="17"/>
        <v>11.197174220446152</v>
      </c>
      <c r="AE61" s="1">
        <v>100.036</v>
      </c>
      <c r="AF61" s="1">
        <v>103.18680000000001</v>
      </c>
      <c r="AG61" s="1">
        <v>88.636200000000002</v>
      </c>
      <c r="AH61" s="1">
        <v>68.945799999999991</v>
      </c>
      <c r="AI61" s="1">
        <v>82.884799999999998</v>
      </c>
      <c r="AJ61" s="1">
        <v>66.700599999999994</v>
      </c>
      <c r="AK61" s="1">
        <v>23.886800000000001</v>
      </c>
      <c r="AL61" s="1">
        <v>23.633800000000001</v>
      </c>
      <c r="AM61" s="1">
        <v>61.535799999999988</v>
      </c>
      <c r="AN61" s="1">
        <v>85.055199999999999</v>
      </c>
      <c r="AO61" s="1" t="s">
        <v>81</v>
      </c>
      <c r="AP61" s="1">
        <f t="shared" si="18"/>
        <v>19</v>
      </c>
      <c r="AQ61" t="s">
        <v>161</v>
      </c>
    </row>
    <row r="62" spans="1:43" x14ac:dyDescent="0.25">
      <c r="A62" s="1" t="s">
        <v>162</v>
      </c>
      <c r="B62" s="1" t="s">
        <v>52</v>
      </c>
      <c r="C62" s="1">
        <v>1209</v>
      </c>
      <c r="D62" s="1">
        <v>1354</v>
      </c>
      <c r="E62" s="1">
        <v>967</v>
      </c>
      <c r="F62" s="1">
        <v>1371</v>
      </c>
      <c r="G62" s="7">
        <v>0.4</v>
      </c>
      <c r="H62" s="1">
        <v>40</v>
      </c>
      <c r="I62" s="9" t="s">
        <v>62</v>
      </c>
      <c r="J62" s="1"/>
      <c r="K62" s="1">
        <v>992</v>
      </c>
      <c r="L62" s="1">
        <f t="shared" si="14"/>
        <v>-25</v>
      </c>
      <c r="M62" s="1"/>
      <c r="N62" s="1"/>
      <c r="O62" s="1">
        <v>0</v>
      </c>
      <c r="P62" s="18"/>
      <c r="Q62" s="22"/>
      <c r="R62" s="1">
        <v>143.36000000000001</v>
      </c>
      <c r="S62" s="22"/>
      <c r="T62" s="1">
        <v>215.04</v>
      </c>
      <c r="U62" s="18"/>
      <c r="V62" s="22"/>
      <c r="W62" s="1">
        <f t="shared" si="15"/>
        <v>193.4</v>
      </c>
      <c r="X62" s="5">
        <f>11.5*W62-T62-R62-O62-F62</f>
        <v>494.69999999999982</v>
      </c>
      <c r="Y62" s="5">
        <f t="shared" si="12"/>
        <v>494.69999999999982</v>
      </c>
      <c r="Z62" s="29"/>
      <c r="AA62" s="1"/>
      <c r="AB62" s="1"/>
      <c r="AC62" s="1">
        <f t="shared" si="16"/>
        <v>11.5</v>
      </c>
      <c r="AD62" s="1">
        <f t="shared" si="17"/>
        <v>8.9420889348500516</v>
      </c>
      <c r="AE62" s="1">
        <v>188.4</v>
      </c>
      <c r="AF62" s="1">
        <v>196.8</v>
      </c>
      <c r="AG62" s="1">
        <v>233</v>
      </c>
      <c r="AH62" s="1">
        <v>274.2</v>
      </c>
      <c r="AI62" s="1">
        <v>247.6</v>
      </c>
      <c r="AJ62" s="1">
        <v>193.2</v>
      </c>
      <c r="AK62" s="1">
        <v>198.8</v>
      </c>
      <c r="AL62" s="1">
        <v>196.6</v>
      </c>
      <c r="AM62" s="1">
        <v>246.4</v>
      </c>
      <c r="AN62" s="1">
        <v>312.2</v>
      </c>
      <c r="AO62" s="1"/>
      <c r="AP62" s="1">
        <f t="shared" si="18"/>
        <v>198</v>
      </c>
      <c r="AQ62" t="s">
        <v>163</v>
      </c>
    </row>
    <row r="63" spans="1:43" x14ac:dyDescent="0.25">
      <c r="A63" s="1" t="s">
        <v>164</v>
      </c>
      <c r="B63" s="1" t="s">
        <v>52</v>
      </c>
      <c r="C63" s="1">
        <v>16</v>
      </c>
      <c r="D63" s="1">
        <v>1605</v>
      </c>
      <c r="E63" s="1">
        <v>509</v>
      </c>
      <c r="F63" s="1">
        <v>919</v>
      </c>
      <c r="G63" s="7">
        <v>0.4</v>
      </c>
      <c r="H63" s="1">
        <v>40</v>
      </c>
      <c r="I63" s="1" t="s">
        <v>45</v>
      </c>
      <c r="J63" s="1"/>
      <c r="K63" s="1">
        <v>634</v>
      </c>
      <c r="L63" s="1">
        <f t="shared" si="14"/>
        <v>-125</v>
      </c>
      <c r="M63" s="1"/>
      <c r="N63" s="1"/>
      <c r="O63" s="1">
        <v>0</v>
      </c>
      <c r="P63" s="18"/>
      <c r="Q63" s="22"/>
      <c r="R63" s="1">
        <v>0</v>
      </c>
      <c r="S63" s="22"/>
      <c r="T63" s="1"/>
      <c r="U63" s="18"/>
      <c r="V63" s="22"/>
      <c r="W63" s="1">
        <f t="shared" si="15"/>
        <v>101.8</v>
      </c>
      <c r="X63" s="5">
        <f>11.5*W63-T63-R63-O63-F63</f>
        <v>251.70000000000005</v>
      </c>
      <c r="Y63" s="5">
        <f t="shared" si="12"/>
        <v>251.70000000000005</v>
      </c>
      <c r="Z63" s="29"/>
      <c r="AA63" s="1"/>
      <c r="AB63" s="1"/>
      <c r="AC63" s="1">
        <f t="shared" si="16"/>
        <v>11.5</v>
      </c>
      <c r="AD63" s="1">
        <f t="shared" si="17"/>
        <v>9.0275049115913557</v>
      </c>
      <c r="AE63" s="1">
        <v>61.8</v>
      </c>
      <c r="AF63" s="1">
        <v>99.6</v>
      </c>
      <c r="AG63" s="1">
        <v>148.4</v>
      </c>
      <c r="AH63" s="1">
        <v>73.599999999999994</v>
      </c>
      <c r="AI63" s="1">
        <v>47.8</v>
      </c>
      <c r="AJ63" s="1">
        <v>89.4</v>
      </c>
      <c r="AK63" s="1">
        <v>82</v>
      </c>
      <c r="AL63" s="1">
        <v>41.4</v>
      </c>
      <c r="AM63" s="1">
        <v>49.4</v>
      </c>
      <c r="AN63" s="1">
        <v>124.2</v>
      </c>
      <c r="AO63" s="1"/>
      <c r="AP63" s="1">
        <f t="shared" si="18"/>
        <v>101</v>
      </c>
      <c r="AQ63" t="s">
        <v>165</v>
      </c>
    </row>
    <row r="64" spans="1:43" x14ac:dyDescent="0.25">
      <c r="A64" s="1" t="s">
        <v>166</v>
      </c>
      <c r="B64" s="1" t="s">
        <v>44</v>
      </c>
      <c r="C64" s="1">
        <v>0.28100000000000003</v>
      </c>
      <c r="D64" s="1">
        <v>310.60199999999998</v>
      </c>
      <c r="E64" s="1">
        <v>126.298</v>
      </c>
      <c r="F64" s="1">
        <v>1.6E-2</v>
      </c>
      <c r="G64" s="7">
        <v>1</v>
      </c>
      <c r="H64" s="1">
        <v>40</v>
      </c>
      <c r="I64" s="9" t="s">
        <v>62</v>
      </c>
      <c r="J64" s="1"/>
      <c r="K64" s="1">
        <v>174.85</v>
      </c>
      <c r="L64" s="1">
        <f t="shared" si="14"/>
        <v>-48.551999999999992</v>
      </c>
      <c r="M64" s="1"/>
      <c r="N64" s="1"/>
      <c r="O64" s="1">
        <v>382.65420000000012</v>
      </c>
      <c r="P64" s="18"/>
      <c r="Q64" s="22"/>
      <c r="R64" s="1">
        <v>0</v>
      </c>
      <c r="S64" s="22"/>
      <c r="T64" s="1"/>
      <c r="U64" s="18"/>
      <c r="V64" s="22"/>
      <c r="W64" s="1">
        <f t="shared" si="15"/>
        <v>25.259599999999999</v>
      </c>
      <c r="X64" s="5"/>
      <c r="Y64" s="5">
        <f t="shared" si="12"/>
        <v>0</v>
      </c>
      <c r="Z64" s="29"/>
      <c r="AA64" s="1"/>
      <c r="AB64" s="1"/>
      <c r="AC64" s="1">
        <f t="shared" si="16"/>
        <v>15.149495637302259</v>
      </c>
      <c r="AD64" s="1">
        <f t="shared" si="17"/>
        <v>15.149495637302259</v>
      </c>
      <c r="AE64" s="1">
        <v>18.2072</v>
      </c>
      <c r="AF64" s="1">
        <v>61.124800000000008</v>
      </c>
      <c r="AG64" s="1">
        <v>70.778999999999996</v>
      </c>
      <c r="AH64" s="1">
        <v>27.305800000000001</v>
      </c>
      <c r="AI64" s="1">
        <v>-1.0952</v>
      </c>
      <c r="AJ64" s="1">
        <v>-0.55000000000000004</v>
      </c>
      <c r="AK64" s="1">
        <v>24.584800000000001</v>
      </c>
      <c r="AL64" s="1">
        <v>65.170600000000007</v>
      </c>
      <c r="AM64" s="1">
        <v>61.546000000000006</v>
      </c>
      <c r="AN64" s="1">
        <v>65.935000000000002</v>
      </c>
      <c r="AO64" s="1"/>
      <c r="AP64" s="1">
        <f t="shared" si="18"/>
        <v>0</v>
      </c>
      <c r="AQ64" t="s">
        <v>167</v>
      </c>
    </row>
    <row r="65" spans="1:43" x14ac:dyDescent="0.25">
      <c r="A65" s="1" t="s">
        <v>168</v>
      </c>
      <c r="B65" s="1" t="s">
        <v>44</v>
      </c>
      <c r="C65" s="1"/>
      <c r="D65" s="1">
        <v>103.00700000000001</v>
      </c>
      <c r="E65" s="1">
        <v>86.917000000000002</v>
      </c>
      <c r="F65" s="1">
        <v>-0.16600000000000001</v>
      </c>
      <c r="G65" s="7">
        <v>1</v>
      </c>
      <c r="H65" s="1">
        <v>40</v>
      </c>
      <c r="I65" s="9" t="s">
        <v>62</v>
      </c>
      <c r="J65" s="1"/>
      <c r="K65" s="1">
        <v>110.15</v>
      </c>
      <c r="L65" s="1">
        <f t="shared" si="14"/>
        <v>-23.233000000000004</v>
      </c>
      <c r="M65" s="1"/>
      <c r="N65" s="1"/>
      <c r="O65" s="1">
        <v>80</v>
      </c>
      <c r="P65" s="18">
        <v>-81</v>
      </c>
      <c r="Q65" s="22"/>
      <c r="R65" s="1">
        <v>0</v>
      </c>
      <c r="S65" s="22"/>
      <c r="T65" s="1"/>
      <c r="U65" s="18"/>
      <c r="V65" s="22"/>
      <c r="W65" s="1">
        <f t="shared" si="15"/>
        <v>17.383400000000002</v>
      </c>
      <c r="X65" s="5">
        <f>11.5*W65-T65-R65-O65-F65</f>
        <v>120.07510000000002</v>
      </c>
      <c r="Y65" s="5">
        <f>AA65</f>
        <v>200</v>
      </c>
      <c r="Z65" s="29"/>
      <c r="AA65" s="1">
        <f>VLOOKUP(A65,[1]Sheet!$A:$T,20,0)</f>
        <v>200</v>
      </c>
      <c r="AB65" s="15" t="s">
        <v>169</v>
      </c>
      <c r="AC65" s="1">
        <f t="shared" si="16"/>
        <v>16.097771437118169</v>
      </c>
      <c r="AD65" s="1">
        <f t="shared" si="17"/>
        <v>4.5925423104801126</v>
      </c>
      <c r="AE65" s="1">
        <v>-0.53600000000000003</v>
      </c>
      <c r="AF65" s="1">
        <v>1.5669999999999999</v>
      </c>
      <c r="AG65" s="1">
        <v>1.5669999999999999</v>
      </c>
      <c r="AH65" s="1">
        <v>-0.7268</v>
      </c>
      <c r="AI65" s="1">
        <v>-0.90999999999999992</v>
      </c>
      <c r="AJ65" s="1">
        <v>-0.45700000000000002</v>
      </c>
      <c r="AK65" s="1">
        <v>2.2844000000000002</v>
      </c>
      <c r="AL65" s="1">
        <v>72.720799999999997</v>
      </c>
      <c r="AM65" s="1">
        <v>89.860799999999998</v>
      </c>
      <c r="AN65" s="1">
        <v>74.588200000000001</v>
      </c>
      <c r="AO65" s="1"/>
      <c r="AP65" s="1">
        <f t="shared" si="18"/>
        <v>200</v>
      </c>
      <c r="AQ65" t="s">
        <v>170</v>
      </c>
    </row>
    <row r="66" spans="1:43" x14ac:dyDescent="0.25">
      <c r="A66" s="1" t="s">
        <v>171</v>
      </c>
      <c r="B66" s="1" t="s">
        <v>44</v>
      </c>
      <c r="C66" s="1">
        <v>-0.122</v>
      </c>
      <c r="D66" s="1">
        <v>303.916</v>
      </c>
      <c r="E66" s="1">
        <v>297.61500000000001</v>
      </c>
      <c r="F66" s="1">
        <v>-1.042</v>
      </c>
      <c r="G66" s="7">
        <v>1</v>
      </c>
      <c r="H66" s="1">
        <v>40</v>
      </c>
      <c r="I66" s="9" t="s">
        <v>62</v>
      </c>
      <c r="J66" s="1"/>
      <c r="K66" s="1">
        <v>350.65</v>
      </c>
      <c r="L66" s="1">
        <f t="shared" si="14"/>
        <v>-53.034999999999968</v>
      </c>
      <c r="M66" s="1"/>
      <c r="N66" s="1"/>
      <c r="O66" s="1">
        <v>150</v>
      </c>
      <c r="P66" s="18">
        <v>-151</v>
      </c>
      <c r="Q66" s="22"/>
      <c r="R66" s="1">
        <v>240</v>
      </c>
      <c r="S66" s="22"/>
      <c r="T66" s="1">
        <v>360</v>
      </c>
      <c r="U66" s="18">
        <v>-362</v>
      </c>
      <c r="V66" s="22"/>
      <c r="W66" s="1">
        <f t="shared" si="15"/>
        <v>59.523000000000003</v>
      </c>
      <c r="X66" s="5"/>
      <c r="Y66" s="5">
        <f t="shared" ref="Y66:Y81" si="19">X66</f>
        <v>0</v>
      </c>
      <c r="Z66" s="29"/>
      <c r="AA66" s="1"/>
      <c r="AB66" s="1"/>
      <c r="AC66" s="1">
        <f t="shared" si="16"/>
        <v>12.582665524251128</v>
      </c>
      <c r="AD66" s="1">
        <f t="shared" si="17"/>
        <v>12.582665524251128</v>
      </c>
      <c r="AE66" s="1">
        <v>61.708000000000013</v>
      </c>
      <c r="AF66" s="1">
        <v>37.239999999999988</v>
      </c>
      <c r="AG66" s="1">
        <v>34.334000000000003</v>
      </c>
      <c r="AH66" s="1">
        <v>-2.6212</v>
      </c>
      <c r="AI66" s="1">
        <v>-3.4367999999999999</v>
      </c>
      <c r="AJ66" s="1">
        <v>-2.5032000000000001</v>
      </c>
      <c r="AK66" s="1">
        <v>28.1082</v>
      </c>
      <c r="AL66" s="1">
        <v>131.87299999999999</v>
      </c>
      <c r="AM66" s="1">
        <v>154.22540000000001</v>
      </c>
      <c r="AN66" s="1">
        <v>177.6354</v>
      </c>
      <c r="AO66" s="1"/>
      <c r="AP66" s="1">
        <f t="shared" si="18"/>
        <v>0</v>
      </c>
      <c r="AQ66" t="s">
        <v>172</v>
      </c>
    </row>
    <row r="67" spans="1:43" x14ac:dyDescent="0.25">
      <c r="A67" s="1" t="s">
        <v>173</v>
      </c>
      <c r="B67" s="1" t="s">
        <v>44</v>
      </c>
      <c r="C67" s="1">
        <v>-10.111000000000001</v>
      </c>
      <c r="D67" s="1"/>
      <c r="E67" s="1">
        <v>-4.5039999999999996</v>
      </c>
      <c r="F67" s="1">
        <v>-10.111000000000001</v>
      </c>
      <c r="G67" s="7">
        <v>1</v>
      </c>
      <c r="H67" s="1">
        <v>40</v>
      </c>
      <c r="I67" s="9" t="s">
        <v>62</v>
      </c>
      <c r="J67" s="1"/>
      <c r="K67" s="1">
        <v>14.4</v>
      </c>
      <c r="L67" s="1">
        <f t="shared" si="14"/>
        <v>-18.904</v>
      </c>
      <c r="M67" s="1"/>
      <c r="N67" s="1"/>
      <c r="O67" s="1">
        <v>50</v>
      </c>
      <c r="P67" s="18">
        <v>-54</v>
      </c>
      <c r="Q67" s="22"/>
      <c r="R67" s="1">
        <v>50</v>
      </c>
      <c r="S67" s="22"/>
      <c r="T67" s="1"/>
      <c r="U67" s="18"/>
      <c r="V67" s="22"/>
      <c r="W67" s="1">
        <f t="shared" si="15"/>
        <v>-0.90079999999999993</v>
      </c>
      <c r="X67" s="5"/>
      <c r="Y67" s="5">
        <f t="shared" si="19"/>
        <v>0</v>
      </c>
      <c r="Z67" s="29"/>
      <c r="AA67" s="1"/>
      <c r="AB67" s="1"/>
      <c r="AC67" s="1">
        <f t="shared" si="16"/>
        <v>-99.787966252220258</v>
      </c>
      <c r="AD67" s="1">
        <f t="shared" si="17"/>
        <v>-99.787966252220258</v>
      </c>
      <c r="AE67" s="1">
        <v>-0.53520000000000001</v>
      </c>
      <c r="AF67" s="1">
        <v>16.866399999999999</v>
      </c>
      <c r="AG67" s="1">
        <v>33.512999999999998</v>
      </c>
      <c r="AH67" s="1">
        <v>40.464799999999997</v>
      </c>
      <c r="AI67" s="1">
        <v>40.846600000000002</v>
      </c>
      <c r="AJ67" s="1">
        <v>16.485800000000001</v>
      </c>
      <c r="AK67" s="1">
        <v>10.116400000000001</v>
      </c>
      <c r="AL67" s="1">
        <v>52.983400000000003</v>
      </c>
      <c r="AM67" s="1">
        <v>61.165399999999998</v>
      </c>
      <c r="AN67" s="1">
        <v>53.972799999999992</v>
      </c>
      <c r="AO67" s="1"/>
      <c r="AP67" s="1">
        <f t="shared" si="18"/>
        <v>0</v>
      </c>
      <c r="AQ67" t="s">
        <v>174</v>
      </c>
    </row>
    <row r="68" spans="1:43" x14ac:dyDescent="0.25">
      <c r="A68" s="1" t="s">
        <v>175</v>
      </c>
      <c r="B68" s="1" t="s">
        <v>52</v>
      </c>
      <c r="C68" s="1">
        <v>23</v>
      </c>
      <c r="D68" s="1"/>
      <c r="E68" s="1">
        <v>8</v>
      </c>
      <c r="F68" s="1">
        <v>14</v>
      </c>
      <c r="G68" s="7">
        <v>0.6</v>
      </c>
      <c r="H68" s="1">
        <v>70</v>
      </c>
      <c r="I68" s="1" t="s">
        <v>45</v>
      </c>
      <c r="J68" s="1"/>
      <c r="K68" s="1">
        <v>9</v>
      </c>
      <c r="L68" s="1">
        <f t="shared" si="14"/>
        <v>-1</v>
      </c>
      <c r="M68" s="1"/>
      <c r="N68" s="1"/>
      <c r="O68" s="1">
        <v>0</v>
      </c>
      <c r="P68" s="18"/>
      <c r="Q68" s="22"/>
      <c r="R68" s="1">
        <v>0</v>
      </c>
      <c r="S68" s="22"/>
      <c r="T68" s="1"/>
      <c r="U68" s="18"/>
      <c r="V68" s="22"/>
      <c r="W68" s="1">
        <f t="shared" si="15"/>
        <v>1.6</v>
      </c>
      <c r="X68" s="5">
        <v>8</v>
      </c>
      <c r="Y68" s="5">
        <f t="shared" si="19"/>
        <v>8</v>
      </c>
      <c r="Z68" s="29"/>
      <c r="AA68" s="1"/>
      <c r="AB68" s="1"/>
      <c r="AC68" s="1">
        <f t="shared" si="16"/>
        <v>13.75</v>
      </c>
      <c r="AD68" s="1">
        <f t="shared" si="17"/>
        <v>8.75</v>
      </c>
      <c r="AE68" s="1">
        <v>0.6</v>
      </c>
      <c r="AF68" s="1">
        <v>1.2</v>
      </c>
      <c r="AG68" s="1">
        <v>1.2</v>
      </c>
      <c r="AH68" s="1">
        <v>0</v>
      </c>
      <c r="AI68" s="1">
        <v>1.2</v>
      </c>
      <c r="AJ68" s="1">
        <v>1.2</v>
      </c>
      <c r="AK68" s="1">
        <v>1.4</v>
      </c>
      <c r="AL68" s="1">
        <v>2.4</v>
      </c>
      <c r="AM68" s="1">
        <v>2.2000000000000002</v>
      </c>
      <c r="AN68" s="1">
        <v>1.2</v>
      </c>
      <c r="AO68" s="1"/>
      <c r="AP68" s="1">
        <f t="shared" si="18"/>
        <v>5</v>
      </c>
      <c r="AQ68" t="s">
        <v>176</v>
      </c>
    </row>
    <row r="69" spans="1:43" x14ac:dyDescent="0.25">
      <c r="A69" s="1" t="s">
        <v>177</v>
      </c>
      <c r="B69" s="1" t="s">
        <v>44</v>
      </c>
      <c r="C69" s="1">
        <v>100.504</v>
      </c>
      <c r="D69" s="1">
        <v>332.25200000000001</v>
      </c>
      <c r="E69" s="1">
        <v>185.94399999999999</v>
      </c>
      <c r="F69" s="1">
        <v>165.11600000000001</v>
      </c>
      <c r="G69" s="7">
        <v>1</v>
      </c>
      <c r="H69" s="1">
        <v>30</v>
      </c>
      <c r="I69" s="9" t="s">
        <v>62</v>
      </c>
      <c r="J69" s="1"/>
      <c r="K69" s="1">
        <v>215.8</v>
      </c>
      <c r="L69" s="1">
        <f t="shared" si="14"/>
        <v>-29.856000000000023</v>
      </c>
      <c r="M69" s="1"/>
      <c r="N69" s="1"/>
      <c r="O69" s="1">
        <v>103.1854000000001</v>
      </c>
      <c r="P69" s="18"/>
      <c r="Q69" s="22"/>
      <c r="R69" s="1">
        <v>72.262599999999907</v>
      </c>
      <c r="S69" s="22"/>
      <c r="T69" s="1"/>
      <c r="U69" s="18"/>
      <c r="V69" s="22"/>
      <c r="W69" s="1">
        <f t="shared" si="15"/>
        <v>37.188800000000001</v>
      </c>
      <c r="X69" s="5">
        <f>11.5*W69-T69-R69-O69-F69</f>
        <v>87.107199999999978</v>
      </c>
      <c r="Y69" s="5">
        <f t="shared" si="19"/>
        <v>87.107199999999978</v>
      </c>
      <c r="Z69" s="29"/>
      <c r="AA69" s="1"/>
      <c r="AB69" s="1"/>
      <c r="AC69" s="1">
        <f t="shared" si="16"/>
        <v>11.5</v>
      </c>
      <c r="AD69" s="1">
        <f t="shared" si="17"/>
        <v>9.1577033945704081</v>
      </c>
      <c r="AE69" s="1">
        <v>38.170999999999999</v>
      </c>
      <c r="AF69" s="1">
        <v>39.023200000000003</v>
      </c>
      <c r="AG69" s="1">
        <v>41.531599999999997</v>
      </c>
      <c r="AH69" s="1">
        <v>38.9026</v>
      </c>
      <c r="AI69" s="1">
        <v>42.365200000000002</v>
      </c>
      <c r="AJ69" s="1">
        <v>40.881999999999998</v>
      </c>
      <c r="AK69" s="1">
        <v>42.170200000000001</v>
      </c>
      <c r="AL69" s="1">
        <v>58.654400000000003</v>
      </c>
      <c r="AM69" s="1">
        <v>59.754800000000003</v>
      </c>
      <c r="AN69" s="1">
        <v>63.089399999999998</v>
      </c>
      <c r="AO69" s="1"/>
      <c r="AP69" s="1">
        <f t="shared" si="18"/>
        <v>87</v>
      </c>
      <c r="AQ69" t="s">
        <v>178</v>
      </c>
    </row>
    <row r="70" spans="1:43" x14ac:dyDescent="0.25">
      <c r="A70" s="1" t="s">
        <v>179</v>
      </c>
      <c r="B70" s="1" t="s">
        <v>52</v>
      </c>
      <c r="C70" s="1">
        <v>127</v>
      </c>
      <c r="D70" s="1">
        <v>96</v>
      </c>
      <c r="E70" s="1">
        <v>130</v>
      </c>
      <c r="F70" s="1">
        <v>49</v>
      </c>
      <c r="G70" s="7">
        <v>0.6</v>
      </c>
      <c r="H70" s="1">
        <v>60</v>
      </c>
      <c r="I70" s="1" t="s">
        <v>45</v>
      </c>
      <c r="J70" s="1"/>
      <c r="K70" s="1">
        <v>130</v>
      </c>
      <c r="L70" s="1">
        <f t="shared" ref="L70:L101" si="20">E70-K70</f>
        <v>0</v>
      </c>
      <c r="M70" s="1"/>
      <c r="N70" s="1"/>
      <c r="O70" s="1">
        <v>151.858</v>
      </c>
      <c r="P70" s="18"/>
      <c r="Q70" s="22"/>
      <c r="R70" s="1">
        <v>76.341999999999985</v>
      </c>
      <c r="S70" s="22"/>
      <c r="T70" s="1"/>
      <c r="U70" s="18"/>
      <c r="V70" s="22"/>
      <c r="W70" s="1">
        <f t="shared" ref="W70:W101" si="21">E70/5</f>
        <v>26</v>
      </c>
      <c r="X70" s="5">
        <f>11.5*W70-T70-R70-O70-F70</f>
        <v>21.800000000000011</v>
      </c>
      <c r="Y70" s="5">
        <f t="shared" si="19"/>
        <v>21.800000000000011</v>
      </c>
      <c r="Z70" s="29"/>
      <c r="AA70" s="1"/>
      <c r="AB70" s="1"/>
      <c r="AC70" s="1">
        <f t="shared" ref="AC70:AC101" si="22">(F70+O70+R70+T70+Y70)/W70</f>
        <v>11.5</v>
      </c>
      <c r="AD70" s="1">
        <f t="shared" ref="AD70:AD101" si="23">(F70+O70+R70+T70)/W70</f>
        <v>10.661538461538461</v>
      </c>
      <c r="AE70" s="1">
        <v>31.2</v>
      </c>
      <c r="AF70" s="1">
        <v>26.6</v>
      </c>
      <c r="AG70" s="1">
        <v>23.6</v>
      </c>
      <c r="AH70" s="1">
        <v>26.2</v>
      </c>
      <c r="AI70" s="1">
        <v>25.8</v>
      </c>
      <c r="AJ70" s="1">
        <v>24.4</v>
      </c>
      <c r="AK70" s="1">
        <v>19.2</v>
      </c>
      <c r="AL70" s="1">
        <v>23.2</v>
      </c>
      <c r="AM70" s="1">
        <v>26.8</v>
      </c>
      <c r="AN70" s="1">
        <v>24.8</v>
      </c>
      <c r="AO70" s="1"/>
      <c r="AP70" s="1">
        <f t="shared" ref="AP70:AP101" si="24">ROUND(G70*Y70,0)</f>
        <v>13</v>
      </c>
      <c r="AQ70" t="s">
        <v>180</v>
      </c>
    </row>
    <row r="71" spans="1:43" x14ac:dyDescent="0.25">
      <c r="A71" s="1" t="s">
        <v>181</v>
      </c>
      <c r="B71" s="1" t="s">
        <v>52</v>
      </c>
      <c r="C71" s="1">
        <v>39</v>
      </c>
      <c r="D71" s="1">
        <v>32</v>
      </c>
      <c r="E71" s="1">
        <v>63</v>
      </c>
      <c r="F71" s="1">
        <v>4</v>
      </c>
      <c r="G71" s="7">
        <v>0.6</v>
      </c>
      <c r="H71" s="1">
        <v>60</v>
      </c>
      <c r="I71" s="1" t="s">
        <v>45</v>
      </c>
      <c r="J71" s="1"/>
      <c r="K71" s="1">
        <v>63</v>
      </c>
      <c r="L71" s="1">
        <f t="shared" si="20"/>
        <v>0</v>
      </c>
      <c r="M71" s="1"/>
      <c r="N71" s="1"/>
      <c r="O71" s="1">
        <v>67.699999999999989</v>
      </c>
      <c r="P71" s="18"/>
      <c r="Q71" s="22"/>
      <c r="R71" s="1">
        <v>52.5</v>
      </c>
      <c r="S71" s="22"/>
      <c r="T71" s="1"/>
      <c r="U71" s="18"/>
      <c r="V71" s="22"/>
      <c r="W71" s="1">
        <f t="shared" si="21"/>
        <v>12.6</v>
      </c>
      <c r="X71" s="5">
        <f>11.5*W71-T71-R71-O71-F71</f>
        <v>20.700000000000017</v>
      </c>
      <c r="Y71" s="5">
        <f t="shared" si="19"/>
        <v>20.700000000000017</v>
      </c>
      <c r="Z71" s="29"/>
      <c r="AA71" s="1"/>
      <c r="AB71" s="1"/>
      <c r="AC71" s="1">
        <f t="shared" si="22"/>
        <v>11.5</v>
      </c>
      <c r="AD71" s="1">
        <f t="shared" si="23"/>
        <v>9.8571428571428559</v>
      </c>
      <c r="AE71" s="1">
        <v>13.2</v>
      </c>
      <c r="AF71" s="1">
        <v>11</v>
      </c>
      <c r="AG71" s="1">
        <v>8.8000000000000007</v>
      </c>
      <c r="AH71" s="1">
        <v>6.4</v>
      </c>
      <c r="AI71" s="1">
        <v>9.6</v>
      </c>
      <c r="AJ71" s="1">
        <v>10.4</v>
      </c>
      <c r="AK71" s="1">
        <v>6.6</v>
      </c>
      <c r="AL71" s="1">
        <v>6.4</v>
      </c>
      <c r="AM71" s="1">
        <v>6.4</v>
      </c>
      <c r="AN71" s="1">
        <v>6.8</v>
      </c>
      <c r="AO71" s="1"/>
      <c r="AP71" s="1">
        <f t="shared" si="24"/>
        <v>12</v>
      </c>
      <c r="AQ71" t="s">
        <v>182</v>
      </c>
    </row>
    <row r="72" spans="1:43" x14ac:dyDescent="0.25">
      <c r="A72" s="1" t="s">
        <v>183</v>
      </c>
      <c r="B72" s="1" t="s">
        <v>52</v>
      </c>
      <c r="C72" s="1">
        <v>244</v>
      </c>
      <c r="D72" s="1">
        <v>56</v>
      </c>
      <c r="E72" s="1">
        <v>155</v>
      </c>
      <c r="F72" s="1">
        <v>133</v>
      </c>
      <c r="G72" s="7">
        <v>0.4</v>
      </c>
      <c r="H72" s="1">
        <v>90</v>
      </c>
      <c r="I72" s="9" t="s">
        <v>62</v>
      </c>
      <c r="J72" s="1"/>
      <c r="K72" s="1">
        <v>154</v>
      </c>
      <c r="L72" s="1">
        <f t="shared" si="20"/>
        <v>1</v>
      </c>
      <c r="M72" s="1"/>
      <c r="N72" s="1"/>
      <c r="O72" s="1">
        <v>49</v>
      </c>
      <c r="P72" s="18"/>
      <c r="Q72" s="22"/>
      <c r="R72" s="1">
        <v>57.800000000000011</v>
      </c>
      <c r="S72" s="22"/>
      <c r="T72" s="1"/>
      <c r="U72" s="18"/>
      <c r="V72" s="22"/>
      <c r="W72" s="1">
        <f t="shared" si="21"/>
        <v>31</v>
      </c>
      <c r="X72" s="5">
        <f>11.5*W72-T72-R72-O72-F72</f>
        <v>116.69999999999999</v>
      </c>
      <c r="Y72" s="5">
        <f t="shared" si="19"/>
        <v>116.69999999999999</v>
      </c>
      <c r="Z72" s="29"/>
      <c r="AA72" s="1"/>
      <c r="AB72" s="1"/>
      <c r="AC72" s="1">
        <f t="shared" si="22"/>
        <v>11.5</v>
      </c>
      <c r="AD72" s="1">
        <f t="shared" si="23"/>
        <v>7.7354838709677427</v>
      </c>
      <c r="AE72" s="1">
        <v>25.8</v>
      </c>
      <c r="AF72" s="1">
        <v>28</v>
      </c>
      <c r="AG72" s="1">
        <v>30</v>
      </c>
      <c r="AH72" s="1">
        <v>36.799999999999997</v>
      </c>
      <c r="AI72" s="1">
        <v>39.6</v>
      </c>
      <c r="AJ72" s="1">
        <v>30.6</v>
      </c>
      <c r="AK72" s="1">
        <v>18.399999999999999</v>
      </c>
      <c r="AL72" s="1">
        <v>20.399999999999999</v>
      </c>
      <c r="AM72" s="1">
        <v>24.8</v>
      </c>
      <c r="AN72" s="1">
        <v>20.6</v>
      </c>
      <c r="AO72" s="1"/>
      <c r="AP72" s="1">
        <f t="shared" si="24"/>
        <v>47</v>
      </c>
      <c r="AQ72" t="s">
        <v>184</v>
      </c>
    </row>
    <row r="73" spans="1:43" x14ac:dyDescent="0.25">
      <c r="A73" s="1" t="s">
        <v>185</v>
      </c>
      <c r="B73" s="1" t="s">
        <v>52</v>
      </c>
      <c r="C73" s="1">
        <v>218</v>
      </c>
      <c r="D73" s="1">
        <v>200</v>
      </c>
      <c r="E73" s="1">
        <v>168</v>
      </c>
      <c r="F73" s="1">
        <v>239</v>
      </c>
      <c r="G73" s="7">
        <v>0.33</v>
      </c>
      <c r="H73" s="1">
        <v>60</v>
      </c>
      <c r="I73" s="9" t="s">
        <v>62</v>
      </c>
      <c r="J73" s="1"/>
      <c r="K73" s="1">
        <v>169</v>
      </c>
      <c r="L73" s="1">
        <f t="shared" si="20"/>
        <v>-1</v>
      </c>
      <c r="M73" s="1"/>
      <c r="N73" s="1"/>
      <c r="O73" s="1">
        <v>75.799999999999955</v>
      </c>
      <c r="P73" s="18"/>
      <c r="Q73" s="22"/>
      <c r="R73" s="1">
        <v>94.800000000000011</v>
      </c>
      <c r="S73" s="22"/>
      <c r="T73" s="1"/>
      <c r="U73" s="18"/>
      <c r="V73" s="22"/>
      <c r="W73" s="1">
        <f t="shared" si="21"/>
        <v>33.6</v>
      </c>
      <c r="X73" s="5">
        <v>60</v>
      </c>
      <c r="Y73" s="5">
        <f t="shared" si="19"/>
        <v>60</v>
      </c>
      <c r="Z73" s="29"/>
      <c r="AA73" s="1"/>
      <c r="AB73" s="1"/>
      <c r="AC73" s="1">
        <f t="shared" si="22"/>
        <v>13.976190476190474</v>
      </c>
      <c r="AD73" s="1">
        <f t="shared" si="23"/>
        <v>12.19047619047619</v>
      </c>
      <c r="AE73" s="1">
        <v>41.4</v>
      </c>
      <c r="AF73" s="1">
        <v>40.799999999999997</v>
      </c>
      <c r="AG73" s="1">
        <v>37.6</v>
      </c>
      <c r="AH73" s="1">
        <v>24</v>
      </c>
      <c r="AI73" s="1">
        <v>30</v>
      </c>
      <c r="AJ73" s="1">
        <v>37.799999999999997</v>
      </c>
      <c r="AK73" s="1">
        <v>26.4</v>
      </c>
      <c r="AL73" s="1">
        <v>26</v>
      </c>
      <c r="AM73" s="1">
        <v>27</v>
      </c>
      <c r="AN73" s="1">
        <v>28.2</v>
      </c>
      <c r="AO73" s="1"/>
      <c r="AP73" s="1">
        <f t="shared" si="24"/>
        <v>20</v>
      </c>
      <c r="AQ73" t="s">
        <v>186</v>
      </c>
    </row>
    <row r="74" spans="1:43" x14ac:dyDescent="0.25">
      <c r="A74" s="1" t="s">
        <v>187</v>
      </c>
      <c r="B74" s="1" t="s">
        <v>52</v>
      </c>
      <c r="C74" s="1">
        <v>5</v>
      </c>
      <c r="D74" s="1">
        <v>104</v>
      </c>
      <c r="E74" s="1">
        <v>27</v>
      </c>
      <c r="F74" s="1">
        <v>72</v>
      </c>
      <c r="G74" s="7">
        <v>0.35</v>
      </c>
      <c r="H74" s="1">
        <v>90</v>
      </c>
      <c r="I74" s="9" t="s">
        <v>62</v>
      </c>
      <c r="J74" s="1"/>
      <c r="K74" s="1">
        <v>112</v>
      </c>
      <c r="L74" s="1">
        <f t="shared" si="20"/>
        <v>-85</v>
      </c>
      <c r="M74" s="1"/>
      <c r="N74" s="1"/>
      <c r="O74" s="1">
        <v>150</v>
      </c>
      <c r="P74" s="18"/>
      <c r="Q74" s="22"/>
      <c r="R74" s="1">
        <v>0</v>
      </c>
      <c r="S74" s="22"/>
      <c r="T74" s="1"/>
      <c r="U74" s="18"/>
      <c r="V74" s="22"/>
      <c r="W74" s="1">
        <f t="shared" si="21"/>
        <v>5.4</v>
      </c>
      <c r="X74" s="5">
        <v>50</v>
      </c>
      <c r="Y74" s="5">
        <f t="shared" si="19"/>
        <v>50</v>
      </c>
      <c r="Z74" s="29"/>
      <c r="AA74" s="1"/>
      <c r="AB74" s="1"/>
      <c r="AC74" s="1">
        <f t="shared" si="22"/>
        <v>50.370370370370367</v>
      </c>
      <c r="AD74" s="1">
        <f t="shared" si="23"/>
        <v>41.111111111111107</v>
      </c>
      <c r="AE74" s="1">
        <v>9</v>
      </c>
      <c r="AF74" s="1">
        <v>27.8</v>
      </c>
      <c r="AG74" s="1">
        <v>31</v>
      </c>
      <c r="AH74" s="1">
        <v>23.2</v>
      </c>
      <c r="AI74" s="1">
        <v>17</v>
      </c>
      <c r="AJ74" s="1">
        <v>15.4</v>
      </c>
      <c r="AK74" s="1">
        <v>16.600000000000001</v>
      </c>
      <c r="AL74" s="1">
        <v>20</v>
      </c>
      <c r="AM74" s="1">
        <v>29.8</v>
      </c>
      <c r="AN74" s="1">
        <v>29</v>
      </c>
      <c r="AO74" s="1"/>
      <c r="AP74" s="1">
        <f t="shared" si="24"/>
        <v>18</v>
      </c>
      <c r="AQ74" t="s">
        <v>188</v>
      </c>
    </row>
    <row r="75" spans="1:43" x14ac:dyDescent="0.25">
      <c r="A75" s="1" t="s">
        <v>189</v>
      </c>
      <c r="B75" s="1" t="s">
        <v>52</v>
      </c>
      <c r="C75" s="1">
        <v>351</v>
      </c>
      <c r="D75" s="1">
        <v>991</v>
      </c>
      <c r="E75" s="1">
        <v>522</v>
      </c>
      <c r="F75" s="1">
        <v>740</v>
      </c>
      <c r="G75" s="7">
        <v>0.37</v>
      </c>
      <c r="H75" s="1">
        <v>50</v>
      </c>
      <c r="I75" s="1" t="s">
        <v>45</v>
      </c>
      <c r="J75" s="1"/>
      <c r="K75" s="1">
        <v>525</v>
      </c>
      <c r="L75" s="1">
        <f t="shared" si="20"/>
        <v>-3</v>
      </c>
      <c r="M75" s="1"/>
      <c r="N75" s="1"/>
      <c r="O75" s="1">
        <v>189.56</v>
      </c>
      <c r="P75" s="18"/>
      <c r="Q75" s="22"/>
      <c r="R75" s="1">
        <v>25.380628000000119</v>
      </c>
      <c r="S75" s="22"/>
      <c r="T75" s="1"/>
      <c r="U75" s="18"/>
      <c r="V75" s="22"/>
      <c r="W75" s="1">
        <f t="shared" si="21"/>
        <v>104.4</v>
      </c>
      <c r="X75" s="5">
        <f>11.5*W75-T75-R75-O75-F75</f>
        <v>245.65937200000008</v>
      </c>
      <c r="Y75" s="5">
        <f t="shared" si="19"/>
        <v>245.65937200000008</v>
      </c>
      <c r="Z75" s="29"/>
      <c r="AA75" s="1"/>
      <c r="AB75" s="1"/>
      <c r="AC75" s="1">
        <f t="shared" si="22"/>
        <v>11.5</v>
      </c>
      <c r="AD75" s="1">
        <f t="shared" si="23"/>
        <v>9.1469408812260529</v>
      </c>
      <c r="AE75" s="1">
        <v>100.2</v>
      </c>
      <c r="AF75" s="1">
        <v>113.2</v>
      </c>
      <c r="AG75" s="1">
        <v>114.4</v>
      </c>
      <c r="AH75" s="1">
        <v>101.2</v>
      </c>
      <c r="AI75" s="1">
        <v>91.8</v>
      </c>
      <c r="AJ75" s="1">
        <v>81.400000000000006</v>
      </c>
      <c r="AK75" s="1">
        <v>102.6</v>
      </c>
      <c r="AL75" s="1">
        <v>100</v>
      </c>
      <c r="AM75" s="1">
        <v>93.6</v>
      </c>
      <c r="AN75" s="1">
        <v>104.8</v>
      </c>
      <c r="AO75" s="1"/>
      <c r="AP75" s="1">
        <f t="shared" si="24"/>
        <v>91</v>
      </c>
      <c r="AQ75" t="s">
        <v>190</v>
      </c>
    </row>
    <row r="76" spans="1:43" x14ac:dyDescent="0.25">
      <c r="A76" s="1" t="s">
        <v>191</v>
      </c>
      <c r="B76" s="1" t="s">
        <v>52</v>
      </c>
      <c r="C76" s="1">
        <v>63</v>
      </c>
      <c r="D76" s="1">
        <v>510</v>
      </c>
      <c r="E76" s="1">
        <v>181</v>
      </c>
      <c r="F76" s="1">
        <v>324</v>
      </c>
      <c r="G76" s="7">
        <v>0.6</v>
      </c>
      <c r="H76" s="1">
        <v>70</v>
      </c>
      <c r="I76" s="1" t="s">
        <v>45</v>
      </c>
      <c r="J76" s="1"/>
      <c r="K76" s="1">
        <v>187</v>
      </c>
      <c r="L76" s="1">
        <f t="shared" si="20"/>
        <v>-6</v>
      </c>
      <c r="M76" s="1"/>
      <c r="N76" s="1"/>
      <c r="O76" s="1">
        <v>50.849999999999987</v>
      </c>
      <c r="P76" s="18"/>
      <c r="Q76" s="22"/>
      <c r="R76" s="1">
        <v>0</v>
      </c>
      <c r="S76" s="22"/>
      <c r="T76" s="1"/>
      <c r="U76" s="18"/>
      <c r="V76" s="22"/>
      <c r="W76" s="1">
        <f t="shared" si="21"/>
        <v>36.200000000000003</v>
      </c>
      <c r="X76" s="5">
        <f>11.5*W76-T76-R76-O76-F76</f>
        <v>41.450000000000045</v>
      </c>
      <c r="Y76" s="5">
        <f t="shared" si="19"/>
        <v>41.450000000000045</v>
      </c>
      <c r="Z76" s="29"/>
      <c r="AA76" s="1"/>
      <c r="AB76" s="1"/>
      <c r="AC76" s="1">
        <f t="shared" si="22"/>
        <v>11.5</v>
      </c>
      <c r="AD76" s="1">
        <f t="shared" si="23"/>
        <v>10.354972375690606</v>
      </c>
      <c r="AE76" s="1">
        <v>30.2</v>
      </c>
      <c r="AF76" s="1">
        <v>45</v>
      </c>
      <c r="AG76" s="1">
        <v>48.6</v>
      </c>
      <c r="AH76" s="1">
        <v>30.2</v>
      </c>
      <c r="AI76" s="1">
        <v>27.8</v>
      </c>
      <c r="AJ76" s="1">
        <v>25.6</v>
      </c>
      <c r="AK76" s="1">
        <v>22.8</v>
      </c>
      <c r="AL76" s="1">
        <v>23.6</v>
      </c>
      <c r="AM76" s="1">
        <v>26.2</v>
      </c>
      <c r="AN76" s="1">
        <v>25.4</v>
      </c>
      <c r="AO76" s="1"/>
      <c r="AP76" s="1">
        <f t="shared" si="24"/>
        <v>25</v>
      </c>
      <c r="AQ76" t="s">
        <v>192</v>
      </c>
    </row>
    <row r="77" spans="1:43" x14ac:dyDescent="0.25">
      <c r="A77" s="1" t="s">
        <v>193</v>
      </c>
      <c r="B77" s="1" t="s">
        <v>52</v>
      </c>
      <c r="C77" s="1">
        <v>55</v>
      </c>
      <c r="D77" s="1">
        <v>29</v>
      </c>
      <c r="E77" s="1">
        <v>61</v>
      </c>
      <c r="F77" s="1">
        <v>16</v>
      </c>
      <c r="G77" s="7">
        <v>0.33</v>
      </c>
      <c r="H77" s="1">
        <v>40</v>
      </c>
      <c r="I77" s="1" t="s">
        <v>45</v>
      </c>
      <c r="J77" s="1"/>
      <c r="K77" s="1">
        <v>68</v>
      </c>
      <c r="L77" s="1">
        <f t="shared" si="20"/>
        <v>-7</v>
      </c>
      <c r="M77" s="1"/>
      <c r="N77" s="1"/>
      <c r="O77" s="1">
        <v>82.200000000000017</v>
      </c>
      <c r="P77" s="18"/>
      <c r="Q77" s="22"/>
      <c r="R77" s="1">
        <v>25.999999999999972</v>
      </c>
      <c r="S77" s="22"/>
      <c r="T77" s="1"/>
      <c r="U77" s="18"/>
      <c r="V77" s="22"/>
      <c r="W77" s="1">
        <f t="shared" si="21"/>
        <v>12.2</v>
      </c>
      <c r="X77" s="5">
        <f>11.5*W77-T77-R77-O77-F77</f>
        <v>16.099999999999994</v>
      </c>
      <c r="Y77" s="5">
        <f t="shared" si="19"/>
        <v>16.099999999999994</v>
      </c>
      <c r="Z77" s="29"/>
      <c r="AA77" s="1"/>
      <c r="AB77" s="1"/>
      <c r="AC77" s="1">
        <f t="shared" si="22"/>
        <v>11.5</v>
      </c>
      <c r="AD77" s="1">
        <f t="shared" si="23"/>
        <v>10.180327868852459</v>
      </c>
      <c r="AE77" s="1">
        <v>12.2</v>
      </c>
      <c r="AF77" s="1">
        <v>12.8</v>
      </c>
      <c r="AG77" s="1">
        <v>9</v>
      </c>
      <c r="AH77" s="1">
        <v>8.1999999999999993</v>
      </c>
      <c r="AI77" s="1">
        <v>11.4</v>
      </c>
      <c r="AJ77" s="1">
        <v>12</v>
      </c>
      <c r="AK77" s="1">
        <v>5.4</v>
      </c>
      <c r="AL77" s="1">
        <v>-0.2</v>
      </c>
      <c r="AM77" s="1">
        <v>10</v>
      </c>
      <c r="AN77" s="1">
        <v>13.8</v>
      </c>
      <c r="AO77" s="1"/>
      <c r="AP77" s="1">
        <f t="shared" si="24"/>
        <v>5</v>
      </c>
      <c r="AQ77" t="s">
        <v>194</v>
      </c>
    </row>
    <row r="78" spans="1:43" x14ac:dyDescent="0.25">
      <c r="A78" s="1" t="s">
        <v>195</v>
      </c>
      <c r="B78" s="1" t="s">
        <v>52</v>
      </c>
      <c r="C78" s="1">
        <v>363</v>
      </c>
      <c r="D78" s="1">
        <v>330</v>
      </c>
      <c r="E78" s="1">
        <v>271</v>
      </c>
      <c r="F78" s="1">
        <v>364</v>
      </c>
      <c r="G78" s="7">
        <v>0.4</v>
      </c>
      <c r="H78" s="1">
        <v>55</v>
      </c>
      <c r="I78" s="1" t="s">
        <v>45</v>
      </c>
      <c r="J78" s="1"/>
      <c r="K78" s="1">
        <v>273</v>
      </c>
      <c r="L78" s="1">
        <f t="shared" si="20"/>
        <v>-2</v>
      </c>
      <c r="M78" s="1"/>
      <c r="N78" s="1"/>
      <c r="O78" s="1">
        <v>0</v>
      </c>
      <c r="P78" s="18"/>
      <c r="Q78" s="22"/>
      <c r="R78" s="1">
        <v>48.21786800000001</v>
      </c>
      <c r="S78" s="22"/>
      <c r="T78" s="1"/>
      <c r="U78" s="18"/>
      <c r="V78" s="22"/>
      <c r="W78" s="1">
        <f t="shared" si="21"/>
        <v>54.2</v>
      </c>
      <c r="X78" s="5">
        <f>11.5*W78-T78-R78-O78-F78</f>
        <v>211.082132</v>
      </c>
      <c r="Y78" s="5">
        <f t="shared" si="19"/>
        <v>211.082132</v>
      </c>
      <c r="Z78" s="29"/>
      <c r="AA78" s="1"/>
      <c r="AB78" s="1"/>
      <c r="AC78" s="1">
        <f t="shared" si="22"/>
        <v>11.499999999999998</v>
      </c>
      <c r="AD78" s="1">
        <f t="shared" si="23"/>
        <v>7.6054957195571955</v>
      </c>
      <c r="AE78" s="1">
        <v>46</v>
      </c>
      <c r="AF78" s="1">
        <v>49.8</v>
      </c>
      <c r="AG78" s="1">
        <v>56.4</v>
      </c>
      <c r="AH78" s="1">
        <v>55.6</v>
      </c>
      <c r="AI78" s="1">
        <v>60.4</v>
      </c>
      <c r="AJ78" s="1">
        <v>55</v>
      </c>
      <c r="AK78" s="1">
        <v>52</v>
      </c>
      <c r="AL78" s="1">
        <v>54.4</v>
      </c>
      <c r="AM78" s="1">
        <v>57.4</v>
      </c>
      <c r="AN78" s="1">
        <v>51.8</v>
      </c>
      <c r="AO78" s="1"/>
      <c r="AP78" s="1">
        <f t="shared" si="24"/>
        <v>84</v>
      </c>
      <c r="AQ78" t="s">
        <v>196</v>
      </c>
    </row>
    <row r="79" spans="1:43" x14ac:dyDescent="0.25">
      <c r="A79" s="1" t="s">
        <v>197</v>
      </c>
      <c r="B79" s="1" t="s">
        <v>52</v>
      </c>
      <c r="C79" s="1"/>
      <c r="D79" s="1"/>
      <c r="E79" s="1"/>
      <c r="F79" s="1"/>
      <c r="G79" s="7">
        <v>0.35</v>
      </c>
      <c r="H79" s="1">
        <v>40</v>
      </c>
      <c r="I79" s="9" t="s">
        <v>62</v>
      </c>
      <c r="J79" s="1"/>
      <c r="K79" s="1">
        <v>15</v>
      </c>
      <c r="L79" s="1">
        <f t="shared" si="20"/>
        <v>-15</v>
      </c>
      <c r="M79" s="1"/>
      <c r="N79" s="1"/>
      <c r="O79" s="1">
        <v>100</v>
      </c>
      <c r="P79" s="18">
        <v>-102.85714285714286</v>
      </c>
      <c r="Q79" s="22"/>
      <c r="R79" s="1">
        <v>60</v>
      </c>
      <c r="S79" s="22"/>
      <c r="T79" s="1"/>
      <c r="U79" s="18"/>
      <c r="V79" s="22"/>
      <c r="W79" s="1">
        <f t="shared" si="21"/>
        <v>0</v>
      </c>
      <c r="X79" s="5">
        <v>30</v>
      </c>
      <c r="Y79" s="5">
        <f t="shared" si="19"/>
        <v>30</v>
      </c>
      <c r="Z79" s="29"/>
      <c r="AA79" s="1"/>
      <c r="AB79" s="1"/>
      <c r="AC79" s="1" t="e">
        <f t="shared" si="22"/>
        <v>#DIV/0!</v>
      </c>
      <c r="AD79" s="1" t="e">
        <f t="shared" si="23"/>
        <v>#DIV/0!</v>
      </c>
      <c r="AE79" s="1">
        <v>0.4</v>
      </c>
      <c r="AF79" s="1">
        <v>10.8</v>
      </c>
      <c r="AG79" s="1">
        <v>10.199999999999999</v>
      </c>
      <c r="AH79" s="1">
        <v>-0.4</v>
      </c>
      <c r="AI79" s="1">
        <v>-0.4</v>
      </c>
      <c r="AJ79" s="1">
        <v>-0.2</v>
      </c>
      <c r="AK79" s="1">
        <v>6</v>
      </c>
      <c r="AL79" s="1">
        <v>17.399999999999999</v>
      </c>
      <c r="AM79" s="1">
        <v>31.2</v>
      </c>
      <c r="AN79" s="1">
        <v>23</v>
      </c>
      <c r="AO79" s="1"/>
      <c r="AP79" s="1">
        <f t="shared" si="24"/>
        <v>11</v>
      </c>
      <c r="AQ79" t="s">
        <v>198</v>
      </c>
    </row>
    <row r="80" spans="1:43" x14ac:dyDescent="0.25">
      <c r="A80" s="1" t="s">
        <v>199</v>
      </c>
      <c r="B80" s="1" t="s">
        <v>52</v>
      </c>
      <c r="C80" s="1">
        <v>143</v>
      </c>
      <c r="D80" s="1">
        <v>162</v>
      </c>
      <c r="E80" s="1">
        <v>180</v>
      </c>
      <c r="F80" s="1">
        <v>95</v>
      </c>
      <c r="G80" s="7">
        <v>0.35</v>
      </c>
      <c r="H80" s="1">
        <v>45</v>
      </c>
      <c r="I80" s="9" t="s">
        <v>62</v>
      </c>
      <c r="J80" s="1"/>
      <c r="K80" s="1">
        <v>196</v>
      </c>
      <c r="L80" s="1">
        <f t="shared" si="20"/>
        <v>-16</v>
      </c>
      <c r="M80" s="1"/>
      <c r="N80" s="1"/>
      <c r="O80" s="1">
        <v>0</v>
      </c>
      <c r="P80" s="18"/>
      <c r="Q80" s="22"/>
      <c r="R80" s="1">
        <v>44.16</v>
      </c>
      <c r="S80" s="22"/>
      <c r="T80" s="1">
        <v>66.239999999999981</v>
      </c>
      <c r="U80" s="18">
        <v>-65.714285714285722</v>
      </c>
      <c r="V80" s="22"/>
      <c r="W80" s="1">
        <f t="shared" si="21"/>
        <v>36</v>
      </c>
      <c r="X80" s="5">
        <f>11.5*W80-T80-R80-O80-F80</f>
        <v>208.60000000000002</v>
      </c>
      <c r="Y80" s="5">
        <f t="shared" si="19"/>
        <v>208.60000000000002</v>
      </c>
      <c r="Z80" s="29"/>
      <c r="AA80" s="1"/>
      <c r="AB80" s="1"/>
      <c r="AC80" s="1">
        <f t="shared" si="22"/>
        <v>11.5</v>
      </c>
      <c r="AD80" s="1">
        <f t="shared" si="23"/>
        <v>5.7055555555555548</v>
      </c>
      <c r="AE80" s="1">
        <v>24.4</v>
      </c>
      <c r="AF80" s="1">
        <v>1.8</v>
      </c>
      <c r="AG80" s="1">
        <v>0</v>
      </c>
      <c r="AH80" s="1">
        <v>26.4</v>
      </c>
      <c r="AI80" s="1">
        <v>35.6</v>
      </c>
      <c r="AJ80" s="1">
        <v>42.2</v>
      </c>
      <c r="AK80" s="1">
        <v>46.2</v>
      </c>
      <c r="AL80" s="1">
        <v>38.4</v>
      </c>
      <c r="AM80" s="1">
        <v>35.200000000000003</v>
      </c>
      <c r="AN80" s="1">
        <v>32.200000000000003</v>
      </c>
      <c r="AO80" s="1"/>
      <c r="AP80" s="1">
        <f t="shared" si="24"/>
        <v>73</v>
      </c>
      <c r="AQ80" t="s">
        <v>200</v>
      </c>
    </row>
    <row r="81" spans="1:43" x14ac:dyDescent="0.25">
      <c r="A81" s="1" t="s">
        <v>201</v>
      </c>
      <c r="B81" s="1" t="s">
        <v>52</v>
      </c>
      <c r="C81" s="1">
        <v>311</v>
      </c>
      <c r="D81" s="1">
        <v>20</v>
      </c>
      <c r="E81" s="1">
        <v>148</v>
      </c>
      <c r="F81" s="1">
        <v>176</v>
      </c>
      <c r="G81" s="7">
        <v>0.4</v>
      </c>
      <c r="H81" s="1">
        <v>55</v>
      </c>
      <c r="I81" s="1" t="s">
        <v>45</v>
      </c>
      <c r="J81" s="1"/>
      <c r="K81" s="1">
        <v>183</v>
      </c>
      <c r="L81" s="1">
        <f t="shared" si="20"/>
        <v>-35</v>
      </c>
      <c r="M81" s="1"/>
      <c r="N81" s="1"/>
      <c r="O81" s="1">
        <v>0</v>
      </c>
      <c r="P81" s="18"/>
      <c r="Q81" s="22"/>
      <c r="R81" s="1">
        <v>57.92</v>
      </c>
      <c r="S81" s="22"/>
      <c r="T81" s="1">
        <v>86.88000000000001</v>
      </c>
      <c r="U81" s="18"/>
      <c r="V81" s="22"/>
      <c r="W81" s="1">
        <f t="shared" si="21"/>
        <v>29.6</v>
      </c>
      <c r="X81" s="5">
        <f>11.5*W81-T81-R81-O81-F81</f>
        <v>19.600000000000023</v>
      </c>
      <c r="Y81" s="5">
        <f t="shared" si="19"/>
        <v>19.600000000000023</v>
      </c>
      <c r="Z81" s="29"/>
      <c r="AA81" s="1"/>
      <c r="AB81" s="1"/>
      <c r="AC81" s="1">
        <f t="shared" si="22"/>
        <v>11.5</v>
      </c>
      <c r="AD81" s="1">
        <f t="shared" si="23"/>
        <v>10.837837837837837</v>
      </c>
      <c r="AE81" s="1">
        <v>29.8</v>
      </c>
      <c r="AF81" s="1">
        <v>18.600000000000001</v>
      </c>
      <c r="AG81" s="1">
        <v>19.2</v>
      </c>
      <c r="AH81" s="1">
        <v>36</v>
      </c>
      <c r="AI81" s="1">
        <v>36.200000000000003</v>
      </c>
      <c r="AJ81" s="1">
        <v>32.200000000000003</v>
      </c>
      <c r="AK81" s="1">
        <v>34.4</v>
      </c>
      <c r="AL81" s="1">
        <v>26.8</v>
      </c>
      <c r="AM81" s="1">
        <v>24</v>
      </c>
      <c r="AN81" s="1">
        <v>16.399999999999999</v>
      </c>
      <c r="AO81" s="1"/>
      <c r="AP81" s="1">
        <f t="shared" si="24"/>
        <v>8</v>
      </c>
      <c r="AQ81" t="s">
        <v>202</v>
      </c>
    </row>
    <row r="82" spans="1:43" x14ac:dyDescent="0.25">
      <c r="A82" s="1" t="s">
        <v>203</v>
      </c>
      <c r="B82" s="1" t="s">
        <v>44</v>
      </c>
      <c r="C82" s="1">
        <v>15.638</v>
      </c>
      <c r="D82" s="1">
        <v>23.035</v>
      </c>
      <c r="E82" s="1">
        <v>5.7560000000000002</v>
      </c>
      <c r="F82" s="1">
        <v>20.181000000000001</v>
      </c>
      <c r="G82" s="7">
        <v>1</v>
      </c>
      <c r="H82" s="1">
        <v>55</v>
      </c>
      <c r="I82" s="1" t="s">
        <v>45</v>
      </c>
      <c r="J82" s="1"/>
      <c r="K82" s="1">
        <v>5.5</v>
      </c>
      <c r="L82" s="1">
        <f t="shared" si="20"/>
        <v>0.25600000000000023</v>
      </c>
      <c r="M82" s="1"/>
      <c r="N82" s="1"/>
      <c r="O82" s="1">
        <v>11.448123999999989</v>
      </c>
      <c r="P82" s="18"/>
      <c r="Q82" s="22"/>
      <c r="R82" s="1">
        <v>5.401476000000013</v>
      </c>
      <c r="S82" s="22"/>
      <c r="T82" s="1"/>
      <c r="U82" s="18"/>
      <c r="V82" s="22"/>
      <c r="W82" s="1">
        <f t="shared" si="21"/>
        <v>1.1512</v>
      </c>
      <c r="X82" s="5"/>
      <c r="Y82" s="5">
        <f>AA82</f>
        <v>30</v>
      </c>
      <c r="Z82" s="29"/>
      <c r="AA82" s="1">
        <f>VLOOKUP(A82,[1]Sheet!$A:$T,20,0)</f>
        <v>30</v>
      </c>
      <c r="AB82" s="15" t="s">
        <v>204</v>
      </c>
      <c r="AC82" s="1">
        <f t="shared" si="22"/>
        <v>58.226719944405843</v>
      </c>
      <c r="AD82" s="1">
        <f t="shared" si="23"/>
        <v>32.166956219596948</v>
      </c>
      <c r="AE82" s="1">
        <v>3.4895999999999998</v>
      </c>
      <c r="AF82" s="1">
        <v>3.4748000000000001</v>
      </c>
      <c r="AG82" s="1">
        <v>3.3445999999999998</v>
      </c>
      <c r="AH82" s="1">
        <v>3.0251999999999999</v>
      </c>
      <c r="AI82" s="1">
        <v>1.9418</v>
      </c>
      <c r="AJ82" s="1">
        <v>2.1454</v>
      </c>
      <c r="AK82" s="1">
        <v>3.6688000000000001</v>
      </c>
      <c r="AL82" s="1">
        <v>4.3439999999999994</v>
      </c>
      <c r="AM82" s="1">
        <v>2.5808</v>
      </c>
      <c r="AN82" s="1">
        <v>3.1728000000000001</v>
      </c>
      <c r="AO82" s="15" t="s">
        <v>205</v>
      </c>
      <c r="AP82" s="1">
        <f t="shared" si="24"/>
        <v>30</v>
      </c>
      <c r="AQ82" t="s">
        <v>206</v>
      </c>
    </row>
    <row r="83" spans="1:43" x14ac:dyDescent="0.25">
      <c r="A83" s="1" t="s">
        <v>207</v>
      </c>
      <c r="B83" s="1" t="s">
        <v>44</v>
      </c>
      <c r="C83" s="1">
        <v>322.18599999999998</v>
      </c>
      <c r="D83" s="1">
        <v>2.8759999999999999</v>
      </c>
      <c r="E83" s="1">
        <v>102.089</v>
      </c>
      <c r="F83" s="1">
        <v>194.07900000000001</v>
      </c>
      <c r="G83" s="7">
        <v>1</v>
      </c>
      <c r="H83" s="1">
        <v>55</v>
      </c>
      <c r="I83" s="1" t="s">
        <v>45</v>
      </c>
      <c r="J83" s="1"/>
      <c r="K83" s="1">
        <v>101.3</v>
      </c>
      <c r="L83" s="1">
        <f t="shared" si="20"/>
        <v>0.78900000000000148</v>
      </c>
      <c r="M83" s="1"/>
      <c r="N83" s="1"/>
      <c r="O83" s="1">
        <v>36.201599999999978</v>
      </c>
      <c r="P83" s="18"/>
      <c r="Q83" s="22"/>
      <c r="R83" s="1">
        <v>26.926800000000011</v>
      </c>
      <c r="S83" s="22"/>
      <c r="T83" s="1"/>
      <c r="U83" s="18"/>
      <c r="V83" s="22"/>
      <c r="W83" s="1">
        <f t="shared" si="21"/>
        <v>20.4178</v>
      </c>
      <c r="X83" s="5"/>
      <c r="Y83" s="5">
        <f>X83</f>
        <v>0</v>
      </c>
      <c r="Z83" s="29"/>
      <c r="AA83" s="1"/>
      <c r="AB83" s="1"/>
      <c r="AC83" s="1">
        <f t="shared" si="22"/>
        <v>12.597214195456905</v>
      </c>
      <c r="AD83" s="1">
        <f t="shared" si="23"/>
        <v>12.597214195456905</v>
      </c>
      <c r="AE83" s="1">
        <v>26.796399999999998</v>
      </c>
      <c r="AF83" s="1">
        <v>27.92</v>
      </c>
      <c r="AG83" s="1">
        <v>28.6614</v>
      </c>
      <c r="AH83" s="1">
        <v>27.568000000000001</v>
      </c>
      <c r="AI83" s="1">
        <v>29.284600000000001</v>
      </c>
      <c r="AJ83" s="1">
        <v>38.7044</v>
      </c>
      <c r="AK83" s="1">
        <v>42.098200000000013</v>
      </c>
      <c r="AL83" s="1">
        <v>51.278799999999997</v>
      </c>
      <c r="AM83" s="1">
        <v>46.261600000000001</v>
      </c>
      <c r="AN83" s="1">
        <v>53.542400000000001</v>
      </c>
      <c r="AO83" s="1"/>
      <c r="AP83" s="1">
        <f t="shared" si="24"/>
        <v>0</v>
      </c>
      <c r="AQ83" t="s">
        <v>208</v>
      </c>
    </row>
    <row r="84" spans="1:43" x14ac:dyDescent="0.25">
      <c r="A84" s="1" t="s">
        <v>209</v>
      </c>
      <c r="B84" s="1" t="s">
        <v>44</v>
      </c>
      <c r="C84" s="1">
        <v>724.745</v>
      </c>
      <c r="D84" s="1">
        <v>1152.7360000000001</v>
      </c>
      <c r="E84" s="1">
        <v>787.03200000000004</v>
      </c>
      <c r="F84" s="1">
        <v>908.29899999999998</v>
      </c>
      <c r="G84" s="7">
        <v>1</v>
      </c>
      <c r="H84" s="1">
        <v>60</v>
      </c>
      <c r="I84" s="1" t="s">
        <v>45</v>
      </c>
      <c r="J84" s="1"/>
      <c r="K84" s="1">
        <v>802.01</v>
      </c>
      <c r="L84" s="1">
        <f t="shared" si="20"/>
        <v>-14.977999999999952</v>
      </c>
      <c r="M84" s="1"/>
      <c r="N84" s="1"/>
      <c r="O84" s="1">
        <v>227.56410388319989</v>
      </c>
      <c r="P84" s="18"/>
      <c r="Q84" s="22"/>
      <c r="R84" s="1">
        <v>81.59492746150346</v>
      </c>
      <c r="S84" s="22"/>
      <c r="T84" s="1">
        <v>122.3923911922552</v>
      </c>
      <c r="U84" s="18"/>
      <c r="V84" s="22"/>
      <c r="W84" s="1">
        <f t="shared" si="21"/>
        <v>157.40640000000002</v>
      </c>
      <c r="X84" s="5">
        <f>11.5*W84-T84-R84-O84-F84</f>
        <v>470.3231774630417</v>
      </c>
      <c r="Y84" s="5">
        <f>X84</f>
        <v>470.3231774630417</v>
      </c>
      <c r="Z84" s="29"/>
      <c r="AA84" s="1"/>
      <c r="AB84" s="1"/>
      <c r="AC84" s="1">
        <f t="shared" si="22"/>
        <v>11.5</v>
      </c>
      <c r="AD84" s="1">
        <f t="shared" si="23"/>
        <v>8.5120453967370988</v>
      </c>
      <c r="AE84" s="1">
        <v>149.3056</v>
      </c>
      <c r="AF84" s="1">
        <v>150.80600000000001</v>
      </c>
      <c r="AG84" s="1">
        <v>161.60239999999999</v>
      </c>
      <c r="AH84" s="1">
        <v>168.8852</v>
      </c>
      <c r="AI84" s="1">
        <v>173.46860000000001</v>
      </c>
      <c r="AJ84" s="1">
        <v>131.9092</v>
      </c>
      <c r="AK84" s="1">
        <v>126.0938</v>
      </c>
      <c r="AL84" s="1">
        <v>156.63380000000001</v>
      </c>
      <c r="AM84" s="1">
        <v>149.66300000000001</v>
      </c>
      <c r="AN84" s="1">
        <v>165.05600000000001</v>
      </c>
      <c r="AO84" s="1"/>
      <c r="AP84" s="1">
        <f t="shared" si="24"/>
        <v>470</v>
      </c>
      <c r="AQ84" t="s">
        <v>210</v>
      </c>
    </row>
    <row r="85" spans="1:43" x14ac:dyDescent="0.25">
      <c r="A85" s="10" t="s">
        <v>211</v>
      </c>
      <c r="B85" s="10" t="s">
        <v>52</v>
      </c>
      <c r="C85" s="10"/>
      <c r="D85" s="10"/>
      <c r="E85" s="10"/>
      <c r="F85" s="10"/>
      <c r="G85" s="11">
        <v>0</v>
      </c>
      <c r="H85" s="10"/>
      <c r="I85" s="10" t="s">
        <v>45</v>
      </c>
      <c r="J85" s="10"/>
      <c r="K85" s="10"/>
      <c r="L85" s="10">
        <f t="shared" si="20"/>
        <v>0</v>
      </c>
      <c r="M85" s="10"/>
      <c r="N85" s="10"/>
      <c r="O85" s="10">
        <v>0</v>
      </c>
      <c r="P85" s="20"/>
      <c r="Q85" s="24"/>
      <c r="R85" s="10">
        <v>0</v>
      </c>
      <c r="S85" s="24"/>
      <c r="T85" s="10"/>
      <c r="U85" s="20"/>
      <c r="V85" s="24"/>
      <c r="W85" s="10">
        <f t="shared" si="21"/>
        <v>0</v>
      </c>
      <c r="X85" s="12"/>
      <c r="Y85" s="5">
        <f>X85</f>
        <v>0</v>
      </c>
      <c r="Z85" s="29"/>
      <c r="AA85" s="1"/>
      <c r="AB85" s="1"/>
      <c r="AC85" s="1" t="e">
        <f t="shared" si="22"/>
        <v>#DIV/0!</v>
      </c>
      <c r="AD85" s="10" t="e">
        <f t="shared" si="23"/>
        <v>#DIV/0!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 t="s">
        <v>53</v>
      </c>
      <c r="AP85" s="1">
        <f t="shared" si="24"/>
        <v>0</v>
      </c>
      <c r="AQ85" t="s">
        <v>212</v>
      </c>
    </row>
    <row r="86" spans="1:43" x14ac:dyDescent="0.25">
      <c r="A86" s="1" t="s">
        <v>213</v>
      </c>
      <c r="B86" s="1" t="s">
        <v>44</v>
      </c>
      <c r="C86" s="1">
        <v>1372.797</v>
      </c>
      <c r="D86" s="1">
        <v>5993.116</v>
      </c>
      <c r="E86" s="1">
        <v>2631.5610000000001</v>
      </c>
      <c r="F86" s="1">
        <v>4287.5389999999998</v>
      </c>
      <c r="G86" s="7">
        <v>1</v>
      </c>
      <c r="H86" s="1">
        <v>60</v>
      </c>
      <c r="I86" s="1" t="s">
        <v>45</v>
      </c>
      <c r="J86" s="1"/>
      <c r="K86" s="1">
        <v>2671.6</v>
      </c>
      <c r="L86" s="1">
        <f t="shared" si="20"/>
        <v>-40.03899999999976</v>
      </c>
      <c r="M86" s="1"/>
      <c r="N86" s="1"/>
      <c r="O86" s="1">
        <v>570.75237799999991</v>
      </c>
      <c r="P86" s="18"/>
      <c r="Q86" s="22"/>
      <c r="R86" s="1">
        <v>0</v>
      </c>
      <c r="S86" s="22">
        <v>330</v>
      </c>
      <c r="T86" s="1"/>
      <c r="U86" s="18"/>
      <c r="V86" s="22"/>
      <c r="W86" s="1">
        <f t="shared" si="21"/>
        <v>526.31220000000008</v>
      </c>
      <c r="X86" s="5">
        <f>11.5*W86-T86-R86-O86-F86</f>
        <v>1194.2989220000009</v>
      </c>
      <c r="Y86" s="17">
        <v>700</v>
      </c>
      <c r="Z86" s="29">
        <v>300</v>
      </c>
      <c r="AA86" s="1"/>
      <c r="AB86" s="1"/>
      <c r="AC86" s="1">
        <f t="shared" si="22"/>
        <v>10.560825643030883</v>
      </c>
      <c r="AD86" s="1">
        <f t="shared" si="23"/>
        <v>9.2308165723690223</v>
      </c>
      <c r="AE86" s="1">
        <v>493.4196</v>
      </c>
      <c r="AF86" s="1">
        <v>505.09059999999999</v>
      </c>
      <c r="AG86" s="1">
        <v>580.20420000000001</v>
      </c>
      <c r="AH86" s="1">
        <v>540.80640000000005</v>
      </c>
      <c r="AI86" s="1">
        <v>482.77339999999998</v>
      </c>
      <c r="AJ86" s="1">
        <v>374.46940000000001</v>
      </c>
      <c r="AK86" s="1">
        <v>330.53120000000001</v>
      </c>
      <c r="AL86" s="1">
        <v>384.51900000000001</v>
      </c>
      <c r="AM86" s="1">
        <v>398.24380000000002</v>
      </c>
      <c r="AN86" s="1">
        <v>447.41399999999999</v>
      </c>
      <c r="AO86" s="1"/>
      <c r="AP86" s="1">
        <f t="shared" si="24"/>
        <v>700</v>
      </c>
      <c r="AQ86" t="s">
        <v>214</v>
      </c>
    </row>
    <row r="87" spans="1:43" x14ac:dyDescent="0.25">
      <c r="A87" s="1" t="s">
        <v>215</v>
      </c>
      <c r="B87" s="1" t="s">
        <v>44</v>
      </c>
      <c r="C87" s="1">
        <v>1167.4480000000001</v>
      </c>
      <c r="D87" s="1">
        <v>6051.598</v>
      </c>
      <c r="E87" s="1">
        <v>2320.0880000000002</v>
      </c>
      <c r="F87" s="1">
        <v>4398.0169999999998</v>
      </c>
      <c r="G87" s="7">
        <v>1</v>
      </c>
      <c r="H87" s="1">
        <v>60</v>
      </c>
      <c r="I87" s="1" t="s">
        <v>45</v>
      </c>
      <c r="J87" s="1"/>
      <c r="K87" s="1">
        <v>2341.1999999999998</v>
      </c>
      <c r="L87" s="1">
        <f t="shared" si="20"/>
        <v>-21.111999999999625</v>
      </c>
      <c r="M87" s="1"/>
      <c r="N87" s="1"/>
      <c r="O87" s="1">
        <v>831.62519159999988</v>
      </c>
      <c r="P87" s="18"/>
      <c r="Q87" s="22"/>
      <c r="R87" s="1">
        <v>0</v>
      </c>
      <c r="S87" s="22">
        <v>300</v>
      </c>
      <c r="T87" s="1"/>
      <c r="U87" s="18"/>
      <c r="V87" s="22"/>
      <c r="W87" s="1">
        <f t="shared" si="21"/>
        <v>464.01760000000002</v>
      </c>
      <c r="X87" s="5">
        <f>11.5*W87-T87-R87-O87-F87</f>
        <v>106.56020840000019</v>
      </c>
      <c r="Y87" s="17"/>
      <c r="Z87" s="29">
        <v>105</v>
      </c>
      <c r="AA87" s="1"/>
      <c r="AB87" s="1"/>
      <c r="AC87" s="1">
        <f t="shared" si="22"/>
        <v>11.270353089193168</v>
      </c>
      <c r="AD87" s="1">
        <f t="shared" si="23"/>
        <v>11.270353089193168</v>
      </c>
      <c r="AE87" s="1">
        <v>470.22359999999998</v>
      </c>
      <c r="AF87" s="1">
        <v>519.2894</v>
      </c>
      <c r="AG87" s="1">
        <v>564.46319999999992</v>
      </c>
      <c r="AH87" s="1">
        <v>484.53480000000002</v>
      </c>
      <c r="AI87" s="1">
        <v>439.11</v>
      </c>
      <c r="AJ87" s="1">
        <v>325.41399999999999</v>
      </c>
      <c r="AK87" s="1">
        <v>311.01179999999999</v>
      </c>
      <c r="AL87" s="1">
        <v>381.4794</v>
      </c>
      <c r="AM87" s="1">
        <v>377.36160000000001</v>
      </c>
      <c r="AN87" s="1">
        <v>462.4796</v>
      </c>
      <c r="AO87" s="1"/>
      <c r="AP87" s="1">
        <f t="shared" si="24"/>
        <v>0</v>
      </c>
      <c r="AQ87" t="s">
        <v>216</v>
      </c>
    </row>
    <row r="88" spans="1:43" x14ac:dyDescent="0.25">
      <c r="A88" s="1" t="s">
        <v>217</v>
      </c>
      <c r="B88" s="1" t="s">
        <v>44</v>
      </c>
      <c r="C88" s="1">
        <v>2248.3609999999999</v>
      </c>
      <c r="D88" s="1">
        <v>5422.1790000000001</v>
      </c>
      <c r="E88" s="1">
        <v>3028.2649999999999</v>
      </c>
      <c r="F88" s="1">
        <v>4208.2809999999999</v>
      </c>
      <c r="G88" s="7">
        <v>1</v>
      </c>
      <c r="H88" s="1">
        <v>60</v>
      </c>
      <c r="I88" s="1" t="s">
        <v>45</v>
      </c>
      <c r="J88" s="1"/>
      <c r="K88" s="1">
        <v>3039.5</v>
      </c>
      <c r="L88" s="1">
        <f t="shared" si="20"/>
        <v>-11.235000000000127</v>
      </c>
      <c r="M88" s="1"/>
      <c r="N88" s="1"/>
      <c r="O88" s="1">
        <v>1360.6122069999999</v>
      </c>
      <c r="P88" s="18"/>
      <c r="Q88" s="22">
        <v>300</v>
      </c>
      <c r="R88" s="1">
        <v>201.47933794119979</v>
      </c>
      <c r="S88" s="22">
        <v>330</v>
      </c>
      <c r="T88" s="1">
        <v>302.21900691179968</v>
      </c>
      <c r="U88" s="18"/>
      <c r="V88" s="22"/>
      <c r="W88" s="1">
        <f t="shared" si="21"/>
        <v>605.65300000000002</v>
      </c>
      <c r="X88" s="5">
        <f>11.5*W88-T88-R88-O88-F88</f>
        <v>892.41794814700097</v>
      </c>
      <c r="Y88" s="17">
        <v>450</v>
      </c>
      <c r="Z88" s="29"/>
      <c r="AA88" s="1"/>
      <c r="AB88" s="1"/>
      <c r="AC88" s="1">
        <f t="shared" si="22"/>
        <v>10.769519100628576</v>
      </c>
      <c r="AD88" s="1">
        <f t="shared" si="23"/>
        <v>10.026519396177347</v>
      </c>
      <c r="AE88" s="1">
        <v>579.95619999999997</v>
      </c>
      <c r="AF88" s="1">
        <v>556.60360000000003</v>
      </c>
      <c r="AG88" s="1">
        <v>587.1934</v>
      </c>
      <c r="AH88" s="1">
        <v>598.42560000000003</v>
      </c>
      <c r="AI88" s="1">
        <v>557.10379999999998</v>
      </c>
      <c r="AJ88" s="1">
        <v>421.68540000000002</v>
      </c>
      <c r="AK88" s="1">
        <v>393.09879999999998</v>
      </c>
      <c r="AL88" s="1">
        <v>476.79520000000002</v>
      </c>
      <c r="AM88" s="1">
        <v>487.5804</v>
      </c>
      <c r="AN88" s="1">
        <v>602.74900000000002</v>
      </c>
      <c r="AO88" s="1"/>
      <c r="AP88" s="1">
        <f t="shared" si="24"/>
        <v>450</v>
      </c>
      <c r="AQ88" t="s">
        <v>218</v>
      </c>
    </row>
    <row r="89" spans="1:43" x14ac:dyDescent="0.25">
      <c r="A89" s="1" t="s">
        <v>219</v>
      </c>
      <c r="B89" s="1" t="s">
        <v>44</v>
      </c>
      <c r="C89" s="1">
        <v>39.545999999999999</v>
      </c>
      <c r="D89" s="1">
        <v>53.76</v>
      </c>
      <c r="E89" s="1">
        <v>41.52</v>
      </c>
      <c r="F89" s="1">
        <v>51.786000000000001</v>
      </c>
      <c r="G89" s="7">
        <v>1</v>
      </c>
      <c r="H89" s="1">
        <v>55</v>
      </c>
      <c r="I89" s="1" t="s">
        <v>45</v>
      </c>
      <c r="J89" s="1"/>
      <c r="K89" s="1">
        <v>72.5</v>
      </c>
      <c r="L89" s="1">
        <f t="shared" si="20"/>
        <v>-30.979999999999997</v>
      </c>
      <c r="M89" s="1"/>
      <c r="N89" s="1"/>
      <c r="O89" s="1">
        <v>17.872412000000011</v>
      </c>
      <c r="P89" s="18"/>
      <c r="Q89" s="22"/>
      <c r="R89" s="1">
        <v>24.657788</v>
      </c>
      <c r="S89" s="22"/>
      <c r="T89" s="1"/>
      <c r="U89" s="18"/>
      <c r="V89" s="22"/>
      <c r="W89" s="1">
        <f t="shared" si="21"/>
        <v>8.3040000000000003</v>
      </c>
      <c r="X89" s="5">
        <v>4</v>
      </c>
      <c r="Y89" s="5">
        <f>AA89</f>
        <v>60</v>
      </c>
      <c r="Z89" s="29"/>
      <c r="AA89" s="1">
        <f>VLOOKUP(A89,[1]Sheet!$A:$T,20,0)</f>
        <v>60</v>
      </c>
      <c r="AB89" s="15" t="s">
        <v>204</v>
      </c>
      <c r="AC89" s="1">
        <f t="shared" si="22"/>
        <v>18.583357418111753</v>
      </c>
      <c r="AD89" s="1">
        <f t="shared" si="23"/>
        <v>11.357923892100194</v>
      </c>
      <c r="AE89" s="1">
        <v>8.5742000000000012</v>
      </c>
      <c r="AF89" s="1">
        <v>8.3124000000000002</v>
      </c>
      <c r="AG89" s="1">
        <v>8.0421999999999993</v>
      </c>
      <c r="AH89" s="1">
        <v>5.9122000000000003</v>
      </c>
      <c r="AI89" s="1">
        <v>6.9909999999999997</v>
      </c>
      <c r="AJ89" s="1">
        <v>2.9689999999999999</v>
      </c>
      <c r="AK89" s="1">
        <v>5.1075999999999997</v>
      </c>
      <c r="AL89" s="1">
        <v>11.430400000000001</v>
      </c>
      <c r="AM89" s="1">
        <v>8.48</v>
      </c>
      <c r="AN89" s="1">
        <v>2.9582000000000002</v>
      </c>
      <c r="AO89" s="1"/>
      <c r="AP89" s="1">
        <f t="shared" si="24"/>
        <v>60</v>
      </c>
      <c r="AQ89" t="s">
        <v>220</v>
      </c>
    </row>
    <row r="90" spans="1:43" x14ac:dyDescent="0.25">
      <c r="A90" s="1" t="s">
        <v>221</v>
      </c>
      <c r="B90" s="1" t="s">
        <v>52</v>
      </c>
      <c r="C90" s="1"/>
      <c r="D90" s="1"/>
      <c r="E90" s="1">
        <v>-4</v>
      </c>
      <c r="F90" s="1"/>
      <c r="G90" s="7">
        <v>0.3</v>
      </c>
      <c r="H90" s="1">
        <v>40</v>
      </c>
      <c r="I90" s="9" t="s">
        <v>62</v>
      </c>
      <c r="J90" s="1"/>
      <c r="K90" s="1">
        <v>2</v>
      </c>
      <c r="L90" s="1">
        <f t="shared" si="20"/>
        <v>-6</v>
      </c>
      <c r="M90" s="1"/>
      <c r="N90" s="1"/>
      <c r="O90" s="1">
        <v>10</v>
      </c>
      <c r="P90" s="18">
        <v>-13.333333333333334</v>
      </c>
      <c r="Q90" s="22"/>
      <c r="R90" s="1">
        <v>10</v>
      </c>
      <c r="S90" s="22"/>
      <c r="T90" s="1"/>
      <c r="U90" s="18"/>
      <c r="V90" s="22"/>
      <c r="W90" s="1">
        <f t="shared" si="21"/>
        <v>-0.8</v>
      </c>
      <c r="X90" s="5"/>
      <c r="Y90" s="5">
        <f t="shared" ref="Y90:Y117" si="25">X90</f>
        <v>0</v>
      </c>
      <c r="Z90" s="29"/>
      <c r="AA90" s="1"/>
      <c r="AB90" s="1"/>
      <c r="AC90" s="1">
        <f t="shared" si="22"/>
        <v>-25</v>
      </c>
      <c r="AD90" s="1">
        <f t="shared" si="23"/>
        <v>-25</v>
      </c>
      <c r="AE90" s="1">
        <v>-0.6</v>
      </c>
      <c r="AF90" s="1">
        <v>-0.4</v>
      </c>
      <c r="AG90" s="1">
        <v>-2</v>
      </c>
      <c r="AH90" s="1">
        <v>-3.2</v>
      </c>
      <c r="AI90" s="1">
        <v>-2.2000000000000002</v>
      </c>
      <c r="AJ90" s="1">
        <v>-1.2</v>
      </c>
      <c r="AK90" s="1">
        <v>-1.4</v>
      </c>
      <c r="AL90" s="1">
        <v>-1.4</v>
      </c>
      <c r="AM90" s="1">
        <v>-1.8</v>
      </c>
      <c r="AN90" s="1">
        <v>-2.4</v>
      </c>
      <c r="AO90" s="1"/>
      <c r="AP90" s="1">
        <f t="shared" si="24"/>
        <v>0</v>
      </c>
      <c r="AQ90" t="s">
        <v>222</v>
      </c>
    </row>
    <row r="91" spans="1:43" x14ac:dyDescent="0.25">
      <c r="A91" s="1" t="s">
        <v>223</v>
      </c>
      <c r="B91" s="1" t="s">
        <v>52</v>
      </c>
      <c r="C91" s="1">
        <v>351</v>
      </c>
      <c r="D91" s="1">
        <v>336</v>
      </c>
      <c r="E91" s="1">
        <v>78</v>
      </c>
      <c r="F91" s="1">
        <v>602</v>
      </c>
      <c r="G91" s="7">
        <v>0.3</v>
      </c>
      <c r="H91" s="1">
        <v>40</v>
      </c>
      <c r="I91" s="1" t="s">
        <v>45</v>
      </c>
      <c r="J91" s="1"/>
      <c r="K91" s="1">
        <v>78</v>
      </c>
      <c r="L91" s="1">
        <f t="shared" si="20"/>
        <v>0</v>
      </c>
      <c r="M91" s="1"/>
      <c r="N91" s="1"/>
      <c r="O91" s="1">
        <v>0</v>
      </c>
      <c r="P91" s="18"/>
      <c r="Q91" s="22"/>
      <c r="R91" s="1">
        <v>0</v>
      </c>
      <c r="S91" s="22"/>
      <c r="T91" s="1"/>
      <c r="U91" s="18"/>
      <c r="V91" s="22"/>
      <c r="W91" s="1">
        <f t="shared" si="21"/>
        <v>15.6</v>
      </c>
      <c r="X91" s="5"/>
      <c r="Y91" s="5">
        <f t="shared" si="25"/>
        <v>0</v>
      </c>
      <c r="Z91" s="29"/>
      <c r="AA91" s="1"/>
      <c r="AB91" s="1"/>
      <c r="AC91" s="1">
        <f t="shared" si="22"/>
        <v>38.589743589743591</v>
      </c>
      <c r="AD91" s="1">
        <f t="shared" si="23"/>
        <v>38.589743589743591</v>
      </c>
      <c r="AE91" s="1">
        <v>15</v>
      </c>
      <c r="AF91" s="1">
        <v>7.8</v>
      </c>
      <c r="AG91" s="1">
        <v>9.4</v>
      </c>
      <c r="AH91" s="1">
        <v>58.2</v>
      </c>
      <c r="AI91" s="1">
        <v>58.8</v>
      </c>
      <c r="AJ91" s="1">
        <v>34.200000000000003</v>
      </c>
      <c r="AK91" s="1">
        <v>35.6</v>
      </c>
      <c r="AL91" s="1">
        <v>47.4</v>
      </c>
      <c r="AM91" s="1">
        <v>49</v>
      </c>
      <c r="AN91" s="1">
        <v>51.8</v>
      </c>
      <c r="AO91" s="13" t="s">
        <v>224</v>
      </c>
      <c r="AP91" s="1">
        <f t="shared" si="24"/>
        <v>0</v>
      </c>
      <c r="AQ91" t="s">
        <v>225</v>
      </c>
    </row>
    <row r="92" spans="1:43" x14ac:dyDescent="0.25">
      <c r="A92" s="10" t="s">
        <v>226</v>
      </c>
      <c r="B92" s="10" t="s">
        <v>52</v>
      </c>
      <c r="C92" s="10"/>
      <c r="D92" s="10"/>
      <c r="E92" s="10"/>
      <c r="F92" s="10"/>
      <c r="G92" s="11">
        <v>0</v>
      </c>
      <c r="H92" s="10"/>
      <c r="I92" s="10" t="s">
        <v>45</v>
      </c>
      <c r="J92" s="10"/>
      <c r="K92" s="10"/>
      <c r="L92" s="10">
        <f t="shared" si="20"/>
        <v>0</v>
      </c>
      <c r="M92" s="10"/>
      <c r="N92" s="10"/>
      <c r="O92" s="10">
        <v>0</v>
      </c>
      <c r="P92" s="20"/>
      <c r="Q92" s="24"/>
      <c r="R92" s="10">
        <v>0</v>
      </c>
      <c r="S92" s="24"/>
      <c r="T92" s="10"/>
      <c r="U92" s="20"/>
      <c r="V92" s="24"/>
      <c r="W92" s="10">
        <f t="shared" si="21"/>
        <v>0</v>
      </c>
      <c r="X92" s="12"/>
      <c r="Y92" s="5">
        <f t="shared" si="25"/>
        <v>0</v>
      </c>
      <c r="Z92" s="29"/>
      <c r="AA92" s="1"/>
      <c r="AB92" s="1"/>
      <c r="AC92" s="1" t="e">
        <f t="shared" si="22"/>
        <v>#DIV/0!</v>
      </c>
      <c r="AD92" s="10" t="e">
        <f t="shared" si="23"/>
        <v>#DIV/0!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 t="s">
        <v>53</v>
      </c>
      <c r="AP92" s="1">
        <f t="shared" si="24"/>
        <v>0</v>
      </c>
      <c r="AQ92" t="s">
        <v>227</v>
      </c>
    </row>
    <row r="93" spans="1:43" x14ac:dyDescent="0.25">
      <c r="A93" s="1" t="s">
        <v>228</v>
      </c>
      <c r="B93" s="1" t="s">
        <v>52</v>
      </c>
      <c r="C93" s="1">
        <v>295</v>
      </c>
      <c r="D93" s="1">
        <v>44</v>
      </c>
      <c r="E93" s="1">
        <v>161</v>
      </c>
      <c r="F93" s="1">
        <v>131</v>
      </c>
      <c r="G93" s="7">
        <v>7.0000000000000007E-2</v>
      </c>
      <c r="H93" s="1">
        <v>90</v>
      </c>
      <c r="I93" s="9" t="s">
        <v>62</v>
      </c>
      <c r="J93" s="1"/>
      <c r="K93" s="1">
        <v>170</v>
      </c>
      <c r="L93" s="1">
        <f t="shared" si="20"/>
        <v>-9</v>
      </c>
      <c r="M93" s="1"/>
      <c r="N93" s="1"/>
      <c r="O93" s="1">
        <v>30.800000000000011</v>
      </c>
      <c r="P93" s="18">
        <v>-42.857142857142854</v>
      </c>
      <c r="Q93" s="22"/>
      <c r="R93" s="1">
        <v>55.52000000000001</v>
      </c>
      <c r="S93" s="22"/>
      <c r="T93" s="1">
        <v>83.28</v>
      </c>
      <c r="U93" s="18">
        <v>-85.714285714285708</v>
      </c>
      <c r="V93" s="22"/>
      <c r="W93" s="1">
        <f t="shared" si="21"/>
        <v>32.200000000000003</v>
      </c>
      <c r="X93" s="5">
        <f>11.5*W93-T93-R93-O93-F93</f>
        <v>69.69999999999996</v>
      </c>
      <c r="Y93" s="5">
        <f t="shared" si="25"/>
        <v>69.69999999999996</v>
      </c>
      <c r="Z93" s="29"/>
      <c r="AA93" s="1"/>
      <c r="AB93" s="1"/>
      <c r="AC93" s="1">
        <f t="shared" si="22"/>
        <v>11.499999999999998</v>
      </c>
      <c r="AD93" s="1">
        <f t="shared" si="23"/>
        <v>9.3354037267080745</v>
      </c>
      <c r="AE93" s="1">
        <v>32.6</v>
      </c>
      <c r="AF93" s="1">
        <v>27.2</v>
      </c>
      <c r="AG93" s="1">
        <v>27.8</v>
      </c>
      <c r="AH93" s="1">
        <v>25.6</v>
      </c>
      <c r="AI93" s="1">
        <v>31.8</v>
      </c>
      <c r="AJ93" s="1">
        <v>34.799999999999997</v>
      </c>
      <c r="AK93" s="1">
        <v>27.6</v>
      </c>
      <c r="AL93" s="1">
        <v>10.4</v>
      </c>
      <c r="AM93" s="1">
        <v>4</v>
      </c>
      <c r="AN93" s="1">
        <v>33.4</v>
      </c>
      <c r="AO93" s="1"/>
      <c r="AP93" s="1">
        <f t="shared" si="24"/>
        <v>5</v>
      </c>
      <c r="AQ93" t="s">
        <v>229</v>
      </c>
    </row>
    <row r="94" spans="1:43" x14ac:dyDescent="0.25">
      <c r="A94" s="1" t="s">
        <v>230</v>
      </c>
      <c r="B94" s="1" t="s">
        <v>52</v>
      </c>
      <c r="C94" s="1">
        <v>184</v>
      </c>
      <c r="D94" s="1">
        <v>126</v>
      </c>
      <c r="E94" s="1">
        <v>109</v>
      </c>
      <c r="F94" s="1">
        <v>175</v>
      </c>
      <c r="G94" s="7">
        <v>7.0000000000000007E-2</v>
      </c>
      <c r="H94" s="1">
        <v>90</v>
      </c>
      <c r="I94" s="9" t="s">
        <v>62</v>
      </c>
      <c r="J94" s="1"/>
      <c r="K94" s="1">
        <v>114</v>
      </c>
      <c r="L94" s="1">
        <f t="shared" si="20"/>
        <v>-5</v>
      </c>
      <c r="M94" s="1"/>
      <c r="N94" s="1"/>
      <c r="O94" s="1">
        <v>0</v>
      </c>
      <c r="P94" s="18"/>
      <c r="Q94" s="22"/>
      <c r="R94" s="1">
        <v>36.199999999999989</v>
      </c>
      <c r="S94" s="22"/>
      <c r="T94" s="1"/>
      <c r="U94" s="18"/>
      <c r="V94" s="22"/>
      <c r="W94" s="1">
        <f t="shared" si="21"/>
        <v>21.8</v>
      </c>
      <c r="X94" s="5">
        <f>11.5*W94-T94-R94-O94-F94</f>
        <v>39.500000000000028</v>
      </c>
      <c r="Y94" s="5">
        <f t="shared" si="25"/>
        <v>39.500000000000028</v>
      </c>
      <c r="Z94" s="29"/>
      <c r="AA94" s="1"/>
      <c r="AB94" s="1"/>
      <c r="AC94" s="1">
        <f t="shared" si="22"/>
        <v>11.5</v>
      </c>
      <c r="AD94" s="1">
        <f t="shared" si="23"/>
        <v>9.6880733944954116</v>
      </c>
      <c r="AE94" s="1">
        <v>23.2</v>
      </c>
      <c r="AF94" s="1">
        <v>22.4</v>
      </c>
      <c r="AG94" s="1">
        <v>26.4</v>
      </c>
      <c r="AH94" s="1">
        <v>33.200000000000003</v>
      </c>
      <c r="AI94" s="1">
        <v>32.6</v>
      </c>
      <c r="AJ94" s="1">
        <v>29.4</v>
      </c>
      <c r="AK94" s="1">
        <v>26.8</v>
      </c>
      <c r="AL94" s="1">
        <v>29.8</v>
      </c>
      <c r="AM94" s="1">
        <v>36.6</v>
      </c>
      <c r="AN94" s="1">
        <v>39.4</v>
      </c>
      <c r="AO94" s="1"/>
      <c r="AP94" s="1">
        <f t="shared" si="24"/>
        <v>3</v>
      </c>
      <c r="AQ94" t="s">
        <v>231</v>
      </c>
    </row>
    <row r="95" spans="1:43" x14ac:dyDescent="0.25">
      <c r="A95" s="1" t="s">
        <v>232</v>
      </c>
      <c r="B95" s="1" t="s">
        <v>52</v>
      </c>
      <c r="C95" s="1">
        <v>230</v>
      </c>
      <c r="D95" s="1">
        <v>60</v>
      </c>
      <c r="E95" s="1">
        <v>179</v>
      </c>
      <c r="F95" s="1">
        <v>97</v>
      </c>
      <c r="G95" s="7">
        <v>0.3</v>
      </c>
      <c r="H95" s="1">
        <v>40</v>
      </c>
      <c r="I95" s="1" t="s">
        <v>45</v>
      </c>
      <c r="J95" s="1"/>
      <c r="K95" s="1">
        <v>184</v>
      </c>
      <c r="L95" s="1">
        <f t="shared" si="20"/>
        <v>-5</v>
      </c>
      <c r="M95" s="1"/>
      <c r="N95" s="1"/>
      <c r="O95" s="1">
        <v>0</v>
      </c>
      <c r="P95" s="18"/>
      <c r="Q95" s="22"/>
      <c r="R95" s="1">
        <v>65.440000000000012</v>
      </c>
      <c r="S95" s="22"/>
      <c r="T95" s="1">
        <v>98.160000000000011</v>
      </c>
      <c r="U95" s="18"/>
      <c r="V95" s="22"/>
      <c r="W95" s="1">
        <f t="shared" si="21"/>
        <v>35.799999999999997</v>
      </c>
      <c r="X95" s="5">
        <f>11.5*W95-T95-R95-O95-F95</f>
        <v>151.09999999999997</v>
      </c>
      <c r="Y95" s="5">
        <f t="shared" si="25"/>
        <v>151.09999999999997</v>
      </c>
      <c r="Z95" s="29"/>
      <c r="AA95" s="1"/>
      <c r="AB95" s="1"/>
      <c r="AC95" s="1">
        <f t="shared" si="22"/>
        <v>11.5</v>
      </c>
      <c r="AD95" s="1">
        <f t="shared" si="23"/>
        <v>7.2793296089385491</v>
      </c>
      <c r="AE95" s="1">
        <v>35.200000000000003</v>
      </c>
      <c r="AF95" s="1">
        <v>21.2</v>
      </c>
      <c r="AG95" s="1">
        <v>23.2</v>
      </c>
      <c r="AH95" s="1">
        <v>33.799999999999997</v>
      </c>
      <c r="AI95" s="1">
        <v>32</v>
      </c>
      <c r="AJ95" s="1">
        <v>3.6</v>
      </c>
      <c r="AK95" s="1">
        <v>2</v>
      </c>
      <c r="AL95" s="1">
        <v>33.4</v>
      </c>
      <c r="AM95" s="1">
        <v>38.200000000000003</v>
      </c>
      <c r="AN95" s="1">
        <v>19</v>
      </c>
      <c r="AO95" s="1"/>
      <c r="AP95" s="1">
        <f t="shared" si="24"/>
        <v>45</v>
      </c>
      <c r="AQ95" t="s">
        <v>233</v>
      </c>
    </row>
    <row r="96" spans="1:43" x14ac:dyDescent="0.25">
      <c r="A96" s="1" t="s">
        <v>234</v>
      </c>
      <c r="B96" s="1" t="s">
        <v>44</v>
      </c>
      <c r="C96" s="1">
        <v>41.301000000000002</v>
      </c>
      <c r="D96" s="1">
        <v>175.14</v>
      </c>
      <c r="E96" s="1">
        <v>80.096000000000004</v>
      </c>
      <c r="F96" s="1">
        <v>123.88500000000001</v>
      </c>
      <c r="G96" s="7">
        <v>1</v>
      </c>
      <c r="H96" s="1">
        <v>55</v>
      </c>
      <c r="I96" s="9" t="s">
        <v>62</v>
      </c>
      <c r="J96" s="1"/>
      <c r="K96" s="1">
        <v>85.3</v>
      </c>
      <c r="L96" s="1">
        <f t="shared" si="20"/>
        <v>-5.2039999999999935</v>
      </c>
      <c r="M96" s="1"/>
      <c r="N96" s="1"/>
      <c r="O96" s="1">
        <v>0</v>
      </c>
      <c r="P96" s="18"/>
      <c r="Q96" s="22"/>
      <c r="R96" s="1">
        <v>27.343000000000021</v>
      </c>
      <c r="S96" s="22"/>
      <c r="T96" s="1"/>
      <c r="U96" s="18"/>
      <c r="V96" s="22"/>
      <c r="W96" s="1">
        <f t="shared" si="21"/>
        <v>16.019200000000001</v>
      </c>
      <c r="X96" s="5">
        <f>11.5*W96-T96-R96-O96-F96</f>
        <v>32.992800000000003</v>
      </c>
      <c r="Y96" s="5">
        <f t="shared" si="25"/>
        <v>32.992800000000003</v>
      </c>
      <c r="Z96" s="29"/>
      <c r="AA96" s="1"/>
      <c r="AB96" s="1"/>
      <c r="AC96" s="1">
        <f t="shared" si="22"/>
        <v>11.500000000000002</v>
      </c>
      <c r="AD96" s="1">
        <f t="shared" si="23"/>
        <v>9.4404214942069533</v>
      </c>
      <c r="AE96" s="1">
        <v>15.393000000000001</v>
      </c>
      <c r="AF96" s="1">
        <v>14.175000000000001</v>
      </c>
      <c r="AG96" s="1">
        <v>19.166799999999999</v>
      </c>
      <c r="AH96" s="1">
        <v>18.487400000000001</v>
      </c>
      <c r="AI96" s="1">
        <v>14.2752</v>
      </c>
      <c r="AJ96" s="1">
        <v>14.007400000000001</v>
      </c>
      <c r="AK96" s="1">
        <v>16.1724</v>
      </c>
      <c r="AL96" s="1">
        <v>23.736799999999999</v>
      </c>
      <c r="AM96" s="1">
        <v>21.739000000000001</v>
      </c>
      <c r="AN96" s="1">
        <v>21.257400000000001</v>
      </c>
      <c r="AO96" s="1"/>
      <c r="AP96" s="1">
        <f t="shared" si="24"/>
        <v>33</v>
      </c>
      <c r="AQ96" t="s">
        <v>235</v>
      </c>
    </row>
    <row r="97" spans="1:43" x14ac:dyDescent="0.25">
      <c r="A97" s="10" t="s">
        <v>236</v>
      </c>
      <c r="B97" s="10" t="s">
        <v>52</v>
      </c>
      <c r="C97" s="10"/>
      <c r="D97" s="10"/>
      <c r="E97" s="10"/>
      <c r="F97" s="10"/>
      <c r="G97" s="11">
        <v>0</v>
      </c>
      <c r="H97" s="10"/>
      <c r="I97" s="10" t="s">
        <v>45</v>
      </c>
      <c r="J97" s="10"/>
      <c r="K97" s="10"/>
      <c r="L97" s="10">
        <f t="shared" si="20"/>
        <v>0</v>
      </c>
      <c r="M97" s="10"/>
      <c r="N97" s="10"/>
      <c r="O97" s="10">
        <v>0</v>
      </c>
      <c r="P97" s="20"/>
      <c r="Q97" s="24"/>
      <c r="R97" s="10">
        <v>0</v>
      </c>
      <c r="S97" s="24"/>
      <c r="T97" s="10"/>
      <c r="U97" s="20"/>
      <c r="V97" s="24"/>
      <c r="W97" s="10">
        <f t="shared" si="21"/>
        <v>0</v>
      </c>
      <c r="X97" s="12"/>
      <c r="Y97" s="5">
        <f t="shared" si="25"/>
        <v>0</v>
      </c>
      <c r="Z97" s="29"/>
      <c r="AA97" s="1"/>
      <c r="AB97" s="1"/>
      <c r="AC97" s="1" t="e">
        <f t="shared" si="22"/>
        <v>#DIV/0!</v>
      </c>
      <c r="AD97" s="10" t="e">
        <f t="shared" si="23"/>
        <v>#DIV/0!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 t="s">
        <v>53</v>
      </c>
      <c r="AP97" s="1">
        <f t="shared" si="24"/>
        <v>0</v>
      </c>
      <c r="AQ97" t="s">
        <v>237</v>
      </c>
    </row>
    <row r="98" spans="1:43" x14ac:dyDescent="0.25">
      <c r="A98" s="1" t="s">
        <v>238</v>
      </c>
      <c r="B98" s="1" t="s">
        <v>52</v>
      </c>
      <c r="C98" s="1"/>
      <c r="D98" s="1"/>
      <c r="E98" s="1"/>
      <c r="F98" s="1"/>
      <c r="G98" s="7">
        <v>0.1</v>
      </c>
      <c r="H98" s="1">
        <v>30</v>
      </c>
      <c r="I98" s="9" t="s">
        <v>62</v>
      </c>
      <c r="J98" s="1"/>
      <c r="K98" s="1"/>
      <c r="L98" s="1">
        <f t="shared" si="20"/>
        <v>0</v>
      </c>
      <c r="M98" s="1"/>
      <c r="N98" s="1"/>
      <c r="O98" s="1">
        <v>10</v>
      </c>
      <c r="P98" s="18">
        <v>-10</v>
      </c>
      <c r="Q98" s="22"/>
      <c r="R98" s="1">
        <v>10</v>
      </c>
      <c r="S98" s="22"/>
      <c r="T98" s="1"/>
      <c r="U98" s="18"/>
      <c r="V98" s="22"/>
      <c r="W98" s="1">
        <f t="shared" si="21"/>
        <v>0</v>
      </c>
      <c r="X98" s="5"/>
      <c r="Y98" s="5">
        <f t="shared" si="25"/>
        <v>0</v>
      </c>
      <c r="Z98" s="29"/>
      <c r="AA98" s="1"/>
      <c r="AB98" s="1"/>
      <c r="AC98" s="1" t="e">
        <f t="shared" si="22"/>
        <v>#DIV/0!</v>
      </c>
      <c r="AD98" s="1" t="e">
        <f t="shared" si="23"/>
        <v>#DIV/0!</v>
      </c>
      <c r="AE98" s="1">
        <v>0</v>
      </c>
      <c r="AF98" s="1">
        <v>0</v>
      </c>
      <c r="AG98" s="1">
        <v>0</v>
      </c>
      <c r="AH98" s="1">
        <v>0</v>
      </c>
      <c r="AI98" s="1">
        <v>-0.2</v>
      </c>
      <c r="AJ98" s="1">
        <v>-0.4</v>
      </c>
      <c r="AK98" s="1">
        <v>-0.2</v>
      </c>
      <c r="AL98" s="1">
        <v>-0.2</v>
      </c>
      <c r="AM98" s="1">
        <v>2.4</v>
      </c>
      <c r="AN98" s="1">
        <v>3.6</v>
      </c>
      <c r="AO98" s="1" t="s">
        <v>239</v>
      </c>
      <c r="AP98" s="1">
        <f t="shared" si="24"/>
        <v>0</v>
      </c>
      <c r="AQ98" t="s">
        <v>240</v>
      </c>
    </row>
    <row r="99" spans="1:43" x14ac:dyDescent="0.25">
      <c r="A99" s="1" t="s">
        <v>241</v>
      </c>
      <c r="B99" s="1" t="s">
        <v>52</v>
      </c>
      <c r="C99" s="1">
        <v>364</v>
      </c>
      <c r="D99" s="1">
        <v>254</v>
      </c>
      <c r="E99" s="1">
        <v>234</v>
      </c>
      <c r="F99" s="1">
        <v>328</v>
      </c>
      <c r="G99" s="7">
        <v>0.08</v>
      </c>
      <c r="H99" s="1">
        <v>45</v>
      </c>
      <c r="I99" s="1" t="s">
        <v>45</v>
      </c>
      <c r="J99" s="1"/>
      <c r="K99" s="1">
        <v>240</v>
      </c>
      <c r="L99" s="1">
        <f t="shared" si="20"/>
        <v>-6</v>
      </c>
      <c r="M99" s="1"/>
      <c r="N99" s="1"/>
      <c r="O99" s="1">
        <v>74.213999999999942</v>
      </c>
      <c r="P99" s="18"/>
      <c r="Q99" s="22"/>
      <c r="R99" s="1">
        <v>32.186000000000043</v>
      </c>
      <c r="S99" s="22"/>
      <c r="T99" s="1"/>
      <c r="U99" s="18"/>
      <c r="V99" s="22"/>
      <c r="W99" s="1">
        <f t="shared" si="21"/>
        <v>46.8</v>
      </c>
      <c r="X99" s="5">
        <f>11.5*W99-T99-R99-O99-F99</f>
        <v>103.79999999999995</v>
      </c>
      <c r="Y99" s="5">
        <f t="shared" si="25"/>
        <v>103.79999999999995</v>
      </c>
      <c r="Z99" s="29"/>
      <c r="AA99" s="1"/>
      <c r="AB99" s="1"/>
      <c r="AC99" s="1">
        <f t="shared" si="22"/>
        <v>11.5</v>
      </c>
      <c r="AD99" s="1">
        <f t="shared" si="23"/>
        <v>9.2820512820512828</v>
      </c>
      <c r="AE99" s="1">
        <v>48.4</v>
      </c>
      <c r="AF99" s="1">
        <v>49.6</v>
      </c>
      <c r="AG99" s="1">
        <v>51.6</v>
      </c>
      <c r="AH99" s="1">
        <v>58.6</v>
      </c>
      <c r="AI99" s="1">
        <v>63</v>
      </c>
      <c r="AJ99" s="1">
        <v>48</v>
      </c>
      <c r="AK99" s="1">
        <v>47</v>
      </c>
      <c r="AL99" s="1">
        <v>62</v>
      </c>
      <c r="AM99" s="1">
        <v>57.4</v>
      </c>
      <c r="AN99" s="1">
        <v>55.6</v>
      </c>
      <c r="AO99" s="1"/>
      <c r="AP99" s="1">
        <f t="shared" si="24"/>
        <v>8</v>
      </c>
      <c r="AQ99" t="s">
        <v>242</v>
      </c>
    </row>
    <row r="100" spans="1:43" x14ac:dyDescent="0.25">
      <c r="A100" s="1" t="s">
        <v>243</v>
      </c>
      <c r="B100" s="1" t="s">
        <v>52</v>
      </c>
      <c r="C100" s="1">
        <v>315</v>
      </c>
      <c r="D100" s="1">
        <v>154</v>
      </c>
      <c r="E100" s="1">
        <v>188</v>
      </c>
      <c r="F100" s="1">
        <v>224</v>
      </c>
      <c r="G100" s="7">
        <v>0.08</v>
      </c>
      <c r="H100" s="1">
        <v>45</v>
      </c>
      <c r="I100" s="1" t="s">
        <v>45</v>
      </c>
      <c r="J100" s="1"/>
      <c r="K100" s="1">
        <v>200</v>
      </c>
      <c r="L100" s="1">
        <f t="shared" si="20"/>
        <v>-12</v>
      </c>
      <c r="M100" s="1"/>
      <c r="N100" s="1"/>
      <c r="O100" s="1">
        <v>67.518000000000029</v>
      </c>
      <c r="P100" s="18"/>
      <c r="Q100" s="22"/>
      <c r="R100" s="1">
        <v>32.081999999999987</v>
      </c>
      <c r="S100" s="22"/>
      <c r="T100" s="1"/>
      <c r="U100" s="18"/>
      <c r="V100" s="22"/>
      <c r="W100" s="1">
        <f t="shared" si="21"/>
        <v>37.6</v>
      </c>
      <c r="X100" s="5">
        <f>11.5*W100-T100-R100-O100-F100</f>
        <v>108.80000000000001</v>
      </c>
      <c r="Y100" s="5">
        <f t="shared" si="25"/>
        <v>108.80000000000001</v>
      </c>
      <c r="Z100" s="29"/>
      <c r="AA100" s="1"/>
      <c r="AB100" s="1"/>
      <c r="AC100" s="1">
        <f t="shared" si="22"/>
        <v>11.5</v>
      </c>
      <c r="AD100" s="1">
        <f t="shared" si="23"/>
        <v>8.6063829787234045</v>
      </c>
      <c r="AE100" s="1">
        <v>37.6</v>
      </c>
      <c r="AF100" s="1">
        <v>38.6</v>
      </c>
      <c r="AG100" s="1">
        <v>42.2</v>
      </c>
      <c r="AH100" s="1">
        <v>49</v>
      </c>
      <c r="AI100" s="1">
        <v>51.6</v>
      </c>
      <c r="AJ100" s="1">
        <v>45.6</v>
      </c>
      <c r="AK100" s="1">
        <v>43</v>
      </c>
      <c r="AL100" s="1">
        <v>55.6</v>
      </c>
      <c r="AM100" s="1">
        <v>54.2</v>
      </c>
      <c r="AN100" s="1">
        <v>46</v>
      </c>
      <c r="AO100" s="1"/>
      <c r="AP100" s="1">
        <f t="shared" si="24"/>
        <v>9</v>
      </c>
      <c r="AQ100" t="s">
        <v>244</v>
      </c>
    </row>
    <row r="101" spans="1:43" x14ac:dyDescent="0.25">
      <c r="A101" s="1" t="s">
        <v>245</v>
      </c>
      <c r="B101" s="1" t="s">
        <v>52</v>
      </c>
      <c r="C101" s="1">
        <v>7</v>
      </c>
      <c r="D101" s="1">
        <v>16</v>
      </c>
      <c r="E101" s="1">
        <v>18</v>
      </c>
      <c r="F101" s="1">
        <v>4</v>
      </c>
      <c r="G101" s="7">
        <v>0.17</v>
      </c>
      <c r="H101" s="1">
        <v>30</v>
      </c>
      <c r="I101" s="1" t="s">
        <v>45</v>
      </c>
      <c r="J101" s="1"/>
      <c r="K101" s="1">
        <v>18</v>
      </c>
      <c r="L101" s="1">
        <f t="shared" si="20"/>
        <v>0</v>
      </c>
      <c r="M101" s="1"/>
      <c r="N101" s="1"/>
      <c r="O101" s="1">
        <v>8.4860000000000007</v>
      </c>
      <c r="P101" s="18">
        <v>-5.8823529411764701</v>
      </c>
      <c r="Q101" s="22"/>
      <c r="R101" s="1">
        <v>23.513999999999999</v>
      </c>
      <c r="S101" s="22"/>
      <c r="T101" s="1"/>
      <c r="U101" s="18"/>
      <c r="V101" s="22"/>
      <c r="W101" s="1">
        <f t="shared" si="21"/>
        <v>3.6</v>
      </c>
      <c r="X101" s="5">
        <v>10</v>
      </c>
      <c r="Y101" s="5">
        <f t="shared" si="25"/>
        <v>10</v>
      </c>
      <c r="Z101" s="29"/>
      <c r="AA101" s="1"/>
      <c r="AB101" s="1"/>
      <c r="AC101" s="1">
        <f t="shared" si="22"/>
        <v>12.777777777777777</v>
      </c>
      <c r="AD101" s="1">
        <f t="shared" si="23"/>
        <v>10</v>
      </c>
      <c r="AE101" s="1">
        <v>5</v>
      </c>
      <c r="AF101" s="1">
        <v>2.2000000000000002</v>
      </c>
      <c r="AG101" s="1">
        <v>1.2</v>
      </c>
      <c r="AH101" s="1">
        <v>2</v>
      </c>
      <c r="AI101" s="1">
        <v>2</v>
      </c>
      <c r="AJ101" s="1">
        <v>1.2</v>
      </c>
      <c r="AK101" s="1">
        <v>0</v>
      </c>
      <c r="AL101" s="1">
        <v>0</v>
      </c>
      <c r="AM101" s="1">
        <v>1.4</v>
      </c>
      <c r="AN101" s="1">
        <v>1.6</v>
      </c>
      <c r="AO101" s="1" t="s">
        <v>246</v>
      </c>
      <c r="AP101" s="1">
        <f t="shared" si="24"/>
        <v>2</v>
      </c>
      <c r="AQ101" t="s">
        <v>247</v>
      </c>
    </row>
    <row r="102" spans="1:43" x14ac:dyDescent="0.25">
      <c r="A102" s="1" t="s">
        <v>248</v>
      </c>
      <c r="B102" s="1" t="s">
        <v>44</v>
      </c>
      <c r="C102" s="1">
        <v>-0.71299999999999997</v>
      </c>
      <c r="D102" s="1">
        <v>612.51700000000005</v>
      </c>
      <c r="E102" s="1">
        <v>475.00299999999999</v>
      </c>
      <c r="F102" s="1">
        <v>-0.24299999999999999</v>
      </c>
      <c r="G102" s="7">
        <v>1</v>
      </c>
      <c r="H102" s="1">
        <v>40</v>
      </c>
      <c r="I102" s="9" t="s">
        <v>62</v>
      </c>
      <c r="J102" s="1"/>
      <c r="K102" s="1">
        <v>859.60400000000004</v>
      </c>
      <c r="L102" s="1">
        <f t="shared" ref="L102:L128" si="26">E102-K102</f>
        <v>-384.60100000000006</v>
      </c>
      <c r="M102" s="1"/>
      <c r="N102" s="1"/>
      <c r="O102" s="1">
        <v>321.90300000000002</v>
      </c>
      <c r="P102" s="18">
        <v>-322</v>
      </c>
      <c r="Q102" s="22"/>
      <c r="R102" s="1">
        <v>200</v>
      </c>
      <c r="S102" s="22"/>
      <c r="T102" s="1">
        <v>300</v>
      </c>
      <c r="U102" s="18"/>
      <c r="V102" s="22"/>
      <c r="W102" s="1">
        <f t="shared" ref="W102:W128" si="27">E102/5</f>
        <v>95.000599999999991</v>
      </c>
      <c r="X102" s="5">
        <v>400</v>
      </c>
      <c r="Y102" s="5">
        <f t="shared" si="25"/>
        <v>400</v>
      </c>
      <c r="Z102" s="29"/>
      <c r="AA102" s="1"/>
      <c r="AB102" s="1"/>
      <c r="AC102" s="1">
        <f t="shared" ref="AC102:AC128" si="28">(F102+O102+R102+T102+Y102)/W102</f>
        <v>12.859497729488027</v>
      </c>
      <c r="AD102" s="1">
        <f t="shared" ref="AD102:AD128" si="29">(F102+O102+R102+T102)/W102</f>
        <v>8.648998006328382</v>
      </c>
      <c r="AE102" s="1">
        <v>36.310600000000001</v>
      </c>
      <c r="AF102" s="1">
        <v>67.372</v>
      </c>
      <c r="AG102" s="1">
        <v>87.045000000000002</v>
      </c>
      <c r="AH102" s="1">
        <v>19.298999999999999</v>
      </c>
      <c r="AI102" s="1">
        <v>3.8765999999999998</v>
      </c>
      <c r="AJ102" s="1">
        <v>19.322399999999998</v>
      </c>
      <c r="AK102" s="1">
        <v>14.2462</v>
      </c>
      <c r="AL102" s="1">
        <v>43.054199999999987</v>
      </c>
      <c r="AM102" s="1">
        <v>80.952399999999997</v>
      </c>
      <c r="AN102" s="1">
        <v>96.791799999999995</v>
      </c>
      <c r="AO102" s="1" t="s">
        <v>81</v>
      </c>
      <c r="AP102" s="1">
        <f t="shared" ref="AP102:AP128" si="30">ROUND(G102*Y102,0)</f>
        <v>400</v>
      </c>
      <c r="AQ102" t="s">
        <v>249</v>
      </c>
    </row>
    <row r="103" spans="1:43" x14ac:dyDescent="0.25">
      <c r="A103" s="1" t="s">
        <v>250</v>
      </c>
      <c r="B103" s="1" t="s">
        <v>44</v>
      </c>
      <c r="C103" s="1">
        <v>-2.1930000000000001</v>
      </c>
      <c r="D103" s="1">
        <v>880.39300000000003</v>
      </c>
      <c r="E103" s="1">
        <v>423.64499999999998</v>
      </c>
      <c r="F103" s="1">
        <v>182.32900000000001</v>
      </c>
      <c r="G103" s="7">
        <v>1</v>
      </c>
      <c r="H103" s="1">
        <v>40</v>
      </c>
      <c r="I103" s="9" t="s">
        <v>62</v>
      </c>
      <c r="J103" s="1"/>
      <c r="K103" s="1">
        <v>606.26099999999997</v>
      </c>
      <c r="L103" s="1">
        <f t="shared" si="26"/>
        <v>-182.61599999999999</v>
      </c>
      <c r="M103" s="1"/>
      <c r="N103" s="1"/>
      <c r="O103" s="1">
        <v>432.15289999999999</v>
      </c>
      <c r="P103" s="18"/>
      <c r="Q103" s="22"/>
      <c r="R103" s="1">
        <v>112</v>
      </c>
      <c r="S103" s="22"/>
      <c r="T103" s="1">
        <v>168</v>
      </c>
      <c r="U103" s="18"/>
      <c r="V103" s="22"/>
      <c r="W103" s="1">
        <f t="shared" si="27"/>
        <v>84.728999999999999</v>
      </c>
      <c r="X103" s="5">
        <v>120</v>
      </c>
      <c r="Y103" s="5">
        <f t="shared" si="25"/>
        <v>120</v>
      </c>
      <c r="Z103" s="29"/>
      <c r="AA103" s="1"/>
      <c r="AB103" s="1"/>
      <c r="AC103" s="1">
        <f t="shared" si="28"/>
        <v>11.973254729785552</v>
      </c>
      <c r="AD103" s="1">
        <f t="shared" si="29"/>
        <v>10.556974589573818</v>
      </c>
      <c r="AE103" s="1">
        <v>37.037599999999998</v>
      </c>
      <c r="AF103" s="1">
        <v>99.776600000000002</v>
      </c>
      <c r="AG103" s="1">
        <v>121.7056</v>
      </c>
      <c r="AH103" s="1">
        <v>49.871600000000001</v>
      </c>
      <c r="AI103" s="1">
        <v>59.215599999999988</v>
      </c>
      <c r="AJ103" s="1">
        <v>80.884199999999993</v>
      </c>
      <c r="AK103" s="1">
        <v>78.121400000000008</v>
      </c>
      <c r="AL103" s="1">
        <v>29.4024</v>
      </c>
      <c r="AM103" s="1">
        <v>27.0656</v>
      </c>
      <c r="AN103" s="1">
        <v>78.425399999999996</v>
      </c>
      <c r="AO103" s="1" t="s">
        <v>81</v>
      </c>
      <c r="AP103" s="1">
        <f t="shared" si="30"/>
        <v>120</v>
      </c>
      <c r="AQ103" t="s">
        <v>251</v>
      </c>
    </row>
    <row r="104" spans="1:43" x14ac:dyDescent="0.25">
      <c r="A104" s="1" t="s">
        <v>252</v>
      </c>
      <c r="B104" s="1" t="s">
        <v>44</v>
      </c>
      <c r="C104" s="1"/>
      <c r="D104" s="1"/>
      <c r="E104" s="1">
        <v>-3.7240000000000002</v>
      </c>
      <c r="F104" s="1"/>
      <c r="G104" s="7">
        <v>1</v>
      </c>
      <c r="H104" s="1">
        <v>40</v>
      </c>
      <c r="I104" s="9" t="s">
        <v>62</v>
      </c>
      <c r="J104" s="1"/>
      <c r="K104" s="1">
        <v>28.1</v>
      </c>
      <c r="L104" s="1">
        <f t="shared" si="26"/>
        <v>-31.824000000000002</v>
      </c>
      <c r="M104" s="1"/>
      <c r="N104" s="1"/>
      <c r="O104" s="1">
        <v>50</v>
      </c>
      <c r="P104" s="18"/>
      <c r="Q104" s="22"/>
      <c r="R104" s="1">
        <v>160</v>
      </c>
      <c r="S104" s="22"/>
      <c r="T104" s="1">
        <v>240</v>
      </c>
      <c r="U104" s="18">
        <v>-67</v>
      </c>
      <c r="V104" s="22"/>
      <c r="W104" s="1">
        <f t="shared" si="27"/>
        <v>-0.74480000000000002</v>
      </c>
      <c r="X104" s="5"/>
      <c r="Y104" s="5">
        <f t="shared" si="25"/>
        <v>0</v>
      </c>
      <c r="Z104" s="29"/>
      <c r="AA104" s="1"/>
      <c r="AB104" s="1"/>
      <c r="AC104" s="1">
        <f t="shared" si="28"/>
        <v>-604.18904403866804</v>
      </c>
      <c r="AD104" s="1">
        <f t="shared" si="29"/>
        <v>-604.18904403866804</v>
      </c>
      <c r="AE104" s="1">
        <v>-0.85359999999999991</v>
      </c>
      <c r="AF104" s="1">
        <v>-2.0251999999999999</v>
      </c>
      <c r="AG104" s="1">
        <v>-1.8894</v>
      </c>
      <c r="AH104" s="1">
        <v>-2.2866</v>
      </c>
      <c r="AI104" s="1">
        <v>-2.1309999999999998</v>
      </c>
      <c r="AJ104" s="1">
        <v>-0.42120000000000002</v>
      </c>
      <c r="AK104" s="1">
        <v>-1.1818</v>
      </c>
      <c r="AL104" s="1">
        <v>9.0351999999999997</v>
      </c>
      <c r="AM104" s="1">
        <v>38.4574</v>
      </c>
      <c r="AN104" s="1">
        <v>90.9636</v>
      </c>
      <c r="AO104" s="1"/>
      <c r="AP104" s="1">
        <f t="shared" si="30"/>
        <v>0</v>
      </c>
      <c r="AQ104" t="s">
        <v>253</v>
      </c>
    </row>
    <row r="105" spans="1:43" x14ac:dyDescent="0.25">
      <c r="A105" s="10" t="s">
        <v>254</v>
      </c>
      <c r="B105" s="10" t="s">
        <v>52</v>
      </c>
      <c r="C105" s="10"/>
      <c r="D105" s="10"/>
      <c r="E105" s="10"/>
      <c r="F105" s="10"/>
      <c r="G105" s="11">
        <v>0</v>
      </c>
      <c r="H105" s="10"/>
      <c r="I105" s="10" t="s">
        <v>45</v>
      </c>
      <c r="J105" s="10"/>
      <c r="K105" s="10"/>
      <c r="L105" s="10">
        <f t="shared" si="26"/>
        <v>0</v>
      </c>
      <c r="M105" s="10"/>
      <c r="N105" s="10"/>
      <c r="O105" s="10">
        <v>0</v>
      </c>
      <c r="P105" s="20"/>
      <c r="Q105" s="24"/>
      <c r="R105" s="10">
        <v>0</v>
      </c>
      <c r="S105" s="24"/>
      <c r="T105" s="10"/>
      <c r="U105" s="20"/>
      <c r="V105" s="24"/>
      <c r="W105" s="10">
        <f t="shared" si="27"/>
        <v>0</v>
      </c>
      <c r="X105" s="12"/>
      <c r="Y105" s="5">
        <f t="shared" si="25"/>
        <v>0</v>
      </c>
      <c r="Z105" s="29"/>
      <c r="AA105" s="1"/>
      <c r="AB105" s="1"/>
      <c r="AC105" s="1" t="e">
        <f t="shared" si="28"/>
        <v>#DIV/0!</v>
      </c>
      <c r="AD105" s="10" t="e">
        <f t="shared" si="29"/>
        <v>#DIV/0!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 t="s">
        <v>53</v>
      </c>
      <c r="AP105" s="1">
        <f t="shared" si="30"/>
        <v>0</v>
      </c>
      <c r="AQ105" t="s">
        <v>255</v>
      </c>
    </row>
    <row r="106" spans="1:43" x14ac:dyDescent="0.25">
      <c r="A106" s="1" t="s">
        <v>256</v>
      </c>
      <c r="B106" s="1" t="s">
        <v>44</v>
      </c>
      <c r="C106" s="1">
        <v>18.827000000000002</v>
      </c>
      <c r="D106" s="1">
        <v>34.377000000000002</v>
      </c>
      <c r="E106" s="1">
        <v>10.695</v>
      </c>
      <c r="F106" s="1">
        <v>38.417000000000002</v>
      </c>
      <c r="G106" s="7">
        <v>1</v>
      </c>
      <c r="H106" s="1">
        <v>55</v>
      </c>
      <c r="I106" s="1" t="s">
        <v>45</v>
      </c>
      <c r="J106" s="1"/>
      <c r="K106" s="1">
        <v>9.8000000000000007</v>
      </c>
      <c r="L106" s="1">
        <f t="shared" si="26"/>
        <v>0.89499999999999957</v>
      </c>
      <c r="M106" s="1"/>
      <c r="N106" s="1"/>
      <c r="O106" s="1">
        <v>4.3075599999999996</v>
      </c>
      <c r="P106" s="18"/>
      <c r="Q106" s="22"/>
      <c r="R106" s="1">
        <v>0</v>
      </c>
      <c r="S106" s="22"/>
      <c r="T106" s="1"/>
      <c r="U106" s="18"/>
      <c r="V106" s="22"/>
      <c r="W106" s="1">
        <f t="shared" si="27"/>
        <v>2.1390000000000002</v>
      </c>
      <c r="X106" s="5"/>
      <c r="Y106" s="5">
        <f t="shared" si="25"/>
        <v>0</v>
      </c>
      <c r="Z106" s="29"/>
      <c r="AA106" s="1"/>
      <c r="AB106" s="1"/>
      <c r="AC106" s="1">
        <f t="shared" si="28"/>
        <v>19.974081346423564</v>
      </c>
      <c r="AD106" s="1">
        <f t="shared" si="29"/>
        <v>19.974081346423564</v>
      </c>
      <c r="AE106" s="1">
        <v>2.1389999999999998</v>
      </c>
      <c r="AF106" s="1">
        <v>3.8119999999999998</v>
      </c>
      <c r="AG106" s="1">
        <v>4.6360000000000001</v>
      </c>
      <c r="AH106" s="1">
        <v>0.82400000000000007</v>
      </c>
      <c r="AI106" s="1">
        <v>0.27460000000000001</v>
      </c>
      <c r="AJ106" s="1">
        <v>0.27460000000000001</v>
      </c>
      <c r="AK106" s="1">
        <v>2.4338000000000002</v>
      </c>
      <c r="AL106" s="1">
        <v>2.9998</v>
      </c>
      <c r="AM106" s="1">
        <v>0.56600000000000006</v>
      </c>
      <c r="AN106" s="1">
        <v>0</v>
      </c>
      <c r="AO106" s="1" t="s">
        <v>257</v>
      </c>
      <c r="AP106" s="1">
        <f t="shared" si="30"/>
        <v>0</v>
      </c>
      <c r="AQ106" t="s">
        <v>258</v>
      </c>
    </row>
    <row r="107" spans="1:43" x14ac:dyDescent="0.25">
      <c r="A107" s="1" t="s">
        <v>259</v>
      </c>
      <c r="B107" s="1" t="s">
        <v>52</v>
      </c>
      <c r="C107" s="1">
        <v>388</v>
      </c>
      <c r="D107" s="1">
        <v>5</v>
      </c>
      <c r="E107" s="1">
        <v>301</v>
      </c>
      <c r="F107" s="1">
        <v>74</v>
      </c>
      <c r="G107" s="7">
        <v>0.28000000000000003</v>
      </c>
      <c r="H107" s="1">
        <v>40</v>
      </c>
      <c r="I107" s="9" t="s">
        <v>62</v>
      </c>
      <c r="J107" s="1"/>
      <c r="K107" s="1">
        <v>672</v>
      </c>
      <c r="L107" s="1">
        <f t="shared" si="26"/>
        <v>-371</v>
      </c>
      <c r="M107" s="1"/>
      <c r="N107" s="1"/>
      <c r="O107" s="1">
        <v>406.4</v>
      </c>
      <c r="P107" s="18">
        <v>-407.14285714285711</v>
      </c>
      <c r="Q107" s="22"/>
      <c r="R107" s="1">
        <v>120</v>
      </c>
      <c r="S107" s="22"/>
      <c r="T107" s="1">
        <v>180</v>
      </c>
      <c r="U107" s="18"/>
      <c r="V107" s="22"/>
      <c r="W107" s="1">
        <f t="shared" si="27"/>
        <v>60.2</v>
      </c>
      <c r="X107" s="5"/>
      <c r="Y107" s="5">
        <f t="shared" si="25"/>
        <v>0</v>
      </c>
      <c r="Z107" s="29"/>
      <c r="AA107" s="1"/>
      <c r="AB107" s="1"/>
      <c r="AC107" s="1">
        <f t="shared" si="28"/>
        <v>12.963455149501661</v>
      </c>
      <c r="AD107" s="1">
        <f t="shared" si="29"/>
        <v>12.963455149501661</v>
      </c>
      <c r="AE107" s="1">
        <v>110.8</v>
      </c>
      <c r="AF107" s="1">
        <v>85.6</v>
      </c>
      <c r="AG107" s="1">
        <v>33</v>
      </c>
      <c r="AH107" s="1">
        <v>-2.8</v>
      </c>
      <c r="AI107" s="1">
        <v>44</v>
      </c>
      <c r="AJ107" s="1">
        <v>78.599999999999994</v>
      </c>
      <c r="AK107" s="1">
        <v>33.4</v>
      </c>
      <c r="AL107" s="1">
        <v>9.6</v>
      </c>
      <c r="AM107" s="1">
        <v>43.4</v>
      </c>
      <c r="AN107" s="1">
        <v>70.8</v>
      </c>
      <c r="AO107" s="1"/>
      <c r="AP107" s="1">
        <f t="shared" si="30"/>
        <v>0</v>
      </c>
      <c r="AQ107" t="s">
        <v>260</v>
      </c>
    </row>
    <row r="108" spans="1:43" x14ac:dyDescent="0.25">
      <c r="A108" s="10" t="s">
        <v>261</v>
      </c>
      <c r="B108" s="10" t="s">
        <v>52</v>
      </c>
      <c r="C108" s="10"/>
      <c r="D108" s="10"/>
      <c r="E108" s="10"/>
      <c r="F108" s="10"/>
      <c r="G108" s="11">
        <v>0</v>
      </c>
      <c r="H108" s="10"/>
      <c r="I108" s="10" t="s">
        <v>45</v>
      </c>
      <c r="J108" s="10"/>
      <c r="K108" s="10">
        <v>5</v>
      </c>
      <c r="L108" s="10">
        <f t="shared" si="26"/>
        <v>-5</v>
      </c>
      <c r="M108" s="10"/>
      <c r="N108" s="10"/>
      <c r="O108" s="10">
        <v>0</v>
      </c>
      <c r="P108" s="20"/>
      <c r="Q108" s="24"/>
      <c r="R108" s="10">
        <v>0</v>
      </c>
      <c r="S108" s="24"/>
      <c r="T108" s="10"/>
      <c r="U108" s="20"/>
      <c r="V108" s="24"/>
      <c r="W108" s="10">
        <f t="shared" si="27"/>
        <v>0</v>
      </c>
      <c r="X108" s="12"/>
      <c r="Y108" s="5">
        <f t="shared" si="25"/>
        <v>0</v>
      </c>
      <c r="Z108" s="29"/>
      <c r="AA108" s="1"/>
      <c r="AB108" s="1"/>
      <c r="AC108" s="1" t="e">
        <f t="shared" si="28"/>
        <v>#DIV/0!</v>
      </c>
      <c r="AD108" s="10" t="e">
        <f t="shared" si="29"/>
        <v>#DIV/0!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 t="s">
        <v>53</v>
      </c>
      <c r="AP108" s="1">
        <f t="shared" si="30"/>
        <v>0</v>
      </c>
      <c r="AQ108" t="s">
        <v>262</v>
      </c>
    </row>
    <row r="109" spans="1:43" x14ac:dyDescent="0.25">
      <c r="A109" s="1" t="s">
        <v>263</v>
      </c>
      <c r="B109" s="1" t="s">
        <v>52</v>
      </c>
      <c r="C109" s="1">
        <v>74</v>
      </c>
      <c r="D109" s="1">
        <v>206</v>
      </c>
      <c r="E109" s="1">
        <v>193</v>
      </c>
      <c r="F109" s="1">
        <v>72</v>
      </c>
      <c r="G109" s="7">
        <v>0.28000000000000003</v>
      </c>
      <c r="H109" s="1">
        <v>40</v>
      </c>
      <c r="I109" s="9" t="s">
        <v>62</v>
      </c>
      <c r="J109" s="1"/>
      <c r="K109" s="1">
        <v>722</v>
      </c>
      <c r="L109" s="1">
        <f t="shared" si="26"/>
        <v>-529</v>
      </c>
      <c r="M109" s="1"/>
      <c r="N109" s="1"/>
      <c r="O109" s="1">
        <v>90.400000000000034</v>
      </c>
      <c r="P109" s="18">
        <v>-89.285714285714278</v>
      </c>
      <c r="Q109" s="22"/>
      <c r="R109" s="1">
        <v>80</v>
      </c>
      <c r="S109" s="22"/>
      <c r="T109" s="1">
        <v>120</v>
      </c>
      <c r="U109" s="18"/>
      <c r="V109" s="22"/>
      <c r="W109" s="1">
        <f t="shared" si="27"/>
        <v>38.6</v>
      </c>
      <c r="X109" s="5">
        <f>11.5*W109-T109-R109-O109-F109</f>
        <v>81.5</v>
      </c>
      <c r="Y109" s="5">
        <f t="shared" si="25"/>
        <v>81.5</v>
      </c>
      <c r="Z109" s="29"/>
      <c r="AA109" s="1"/>
      <c r="AB109" s="1"/>
      <c r="AC109" s="1">
        <f t="shared" si="28"/>
        <v>11.5</v>
      </c>
      <c r="AD109" s="1">
        <f t="shared" si="29"/>
        <v>9.3886010362694314</v>
      </c>
      <c r="AE109" s="1">
        <v>63</v>
      </c>
      <c r="AF109" s="1">
        <v>37.6</v>
      </c>
      <c r="AG109" s="1">
        <v>11.4</v>
      </c>
      <c r="AH109" s="1">
        <v>18.600000000000001</v>
      </c>
      <c r="AI109" s="1">
        <v>57.8</v>
      </c>
      <c r="AJ109" s="1">
        <v>35.799999999999997</v>
      </c>
      <c r="AK109" s="1">
        <v>-2</v>
      </c>
      <c r="AL109" s="1">
        <v>12</v>
      </c>
      <c r="AM109" s="1">
        <v>46.2</v>
      </c>
      <c r="AN109" s="1">
        <v>76.400000000000006</v>
      </c>
      <c r="AO109" s="1"/>
      <c r="AP109" s="1">
        <f t="shared" si="30"/>
        <v>23</v>
      </c>
      <c r="AQ109" t="s">
        <v>264</v>
      </c>
    </row>
    <row r="110" spans="1:43" x14ac:dyDescent="0.25">
      <c r="A110" s="1" t="s">
        <v>265</v>
      </c>
      <c r="B110" s="1" t="s">
        <v>52</v>
      </c>
      <c r="C110" s="1">
        <v>58</v>
      </c>
      <c r="D110" s="1">
        <v>191</v>
      </c>
      <c r="E110" s="1">
        <v>112</v>
      </c>
      <c r="F110" s="1">
        <v>105</v>
      </c>
      <c r="G110" s="7">
        <v>0.09</v>
      </c>
      <c r="H110" s="1"/>
      <c r="I110" s="1" t="s">
        <v>45</v>
      </c>
      <c r="J110" s="1"/>
      <c r="K110" s="1">
        <v>125</v>
      </c>
      <c r="L110" s="1">
        <f t="shared" si="26"/>
        <v>-13</v>
      </c>
      <c r="M110" s="1"/>
      <c r="N110" s="1"/>
      <c r="O110" s="1">
        <v>22.148</v>
      </c>
      <c r="P110" s="18"/>
      <c r="Q110" s="22"/>
      <c r="R110" s="1">
        <v>36.652000000000022</v>
      </c>
      <c r="S110" s="22"/>
      <c r="T110" s="1"/>
      <c r="U110" s="18"/>
      <c r="V110" s="22"/>
      <c r="W110" s="1">
        <f t="shared" si="27"/>
        <v>22.4</v>
      </c>
      <c r="X110" s="5">
        <f>11.5*W110-T110-R110-O110-F110</f>
        <v>93.799999999999955</v>
      </c>
      <c r="Y110" s="5">
        <f t="shared" si="25"/>
        <v>93.799999999999955</v>
      </c>
      <c r="Z110" s="29"/>
      <c r="AA110" s="1"/>
      <c r="AB110" s="1"/>
      <c r="AC110" s="1">
        <f t="shared" si="28"/>
        <v>11.5</v>
      </c>
      <c r="AD110" s="1">
        <f t="shared" si="29"/>
        <v>7.3125000000000009</v>
      </c>
      <c r="AE110" s="1">
        <v>19.8</v>
      </c>
      <c r="AF110" s="1">
        <v>19.600000000000001</v>
      </c>
      <c r="AG110" s="1">
        <v>24</v>
      </c>
      <c r="AH110" s="1">
        <v>23.2</v>
      </c>
      <c r="AI110" s="1">
        <v>17.8</v>
      </c>
      <c r="AJ110" s="1">
        <v>6</v>
      </c>
      <c r="AK110" s="1">
        <v>6</v>
      </c>
      <c r="AL110" s="1">
        <v>14.2</v>
      </c>
      <c r="AM110" s="1">
        <v>12.6</v>
      </c>
      <c r="AN110" s="1">
        <v>3.8</v>
      </c>
      <c r="AO110" s="1"/>
      <c r="AP110" s="1">
        <f t="shared" si="30"/>
        <v>8</v>
      </c>
      <c r="AQ110" t="s">
        <v>266</v>
      </c>
    </row>
    <row r="111" spans="1:43" x14ac:dyDescent="0.25">
      <c r="A111" s="1" t="s">
        <v>267</v>
      </c>
      <c r="B111" s="1" t="s">
        <v>44</v>
      </c>
      <c r="C111" s="1">
        <v>427.78100000000001</v>
      </c>
      <c r="D111" s="1"/>
      <c r="E111" s="1">
        <v>221.09100000000001</v>
      </c>
      <c r="F111" s="1">
        <v>199.02799999999999</v>
      </c>
      <c r="G111" s="7">
        <v>1</v>
      </c>
      <c r="H111" s="1">
        <v>60</v>
      </c>
      <c r="I111" s="1" t="s">
        <v>45</v>
      </c>
      <c r="J111" s="1"/>
      <c r="K111" s="1">
        <v>217.5</v>
      </c>
      <c r="L111" s="1">
        <f t="shared" si="26"/>
        <v>3.5910000000000082</v>
      </c>
      <c r="M111" s="1"/>
      <c r="N111" s="1"/>
      <c r="O111" s="1">
        <v>0</v>
      </c>
      <c r="P111" s="18"/>
      <c r="Q111" s="22"/>
      <c r="R111" s="1">
        <v>0</v>
      </c>
      <c r="S111" s="22"/>
      <c r="T111" s="1"/>
      <c r="U111" s="18"/>
      <c r="V111" s="22"/>
      <c r="W111" s="1">
        <f t="shared" si="27"/>
        <v>44.218200000000003</v>
      </c>
      <c r="X111" s="5">
        <f>10*W111-T111-R111-O111-F111</f>
        <v>243.15400000000002</v>
      </c>
      <c r="Y111" s="5">
        <f t="shared" si="25"/>
        <v>243.15400000000002</v>
      </c>
      <c r="Z111" s="29"/>
      <c r="AA111" s="1"/>
      <c r="AB111" s="1"/>
      <c r="AC111" s="1">
        <f t="shared" si="28"/>
        <v>10</v>
      </c>
      <c r="AD111" s="1">
        <f t="shared" si="29"/>
        <v>4.5010425571371062</v>
      </c>
      <c r="AE111" s="1">
        <v>10.622999999999999</v>
      </c>
      <c r="AF111" s="1">
        <v>11.144600000000001</v>
      </c>
      <c r="AG111" s="1">
        <v>19.508400000000002</v>
      </c>
      <c r="AH111" s="1">
        <v>24.999600000000001</v>
      </c>
      <c r="AI111" s="1">
        <v>21.991399999999999</v>
      </c>
      <c r="AJ111" s="1">
        <v>8.8583999999999996</v>
      </c>
      <c r="AK111" s="1">
        <v>2.6758000000000002</v>
      </c>
      <c r="AL111" s="1">
        <v>38.171399999999998</v>
      </c>
      <c r="AM111" s="1">
        <v>43.339199999999998</v>
      </c>
      <c r="AN111" s="1">
        <v>23.119599999999998</v>
      </c>
      <c r="AO111" s="1"/>
      <c r="AP111" s="1">
        <f t="shared" si="30"/>
        <v>243</v>
      </c>
      <c r="AQ111" t="s">
        <v>268</v>
      </c>
    </row>
    <row r="112" spans="1:43" x14ac:dyDescent="0.25">
      <c r="A112" s="1" t="s">
        <v>269</v>
      </c>
      <c r="B112" s="1" t="s">
        <v>44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45</v>
      </c>
      <c r="J112" s="1"/>
      <c r="K112" s="1">
        <v>15</v>
      </c>
      <c r="L112" s="1">
        <f t="shared" si="26"/>
        <v>-15</v>
      </c>
      <c r="M112" s="1"/>
      <c r="N112" s="1"/>
      <c r="O112" s="1">
        <v>0</v>
      </c>
      <c r="P112" s="18"/>
      <c r="Q112" s="22"/>
      <c r="R112" s="1">
        <v>0</v>
      </c>
      <c r="S112" s="22"/>
      <c r="T112" s="1"/>
      <c r="U112" s="18"/>
      <c r="V112" s="22"/>
      <c r="W112" s="1">
        <f t="shared" si="27"/>
        <v>0</v>
      </c>
      <c r="X112" s="5"/>
      <c r="Y112" s="5">
        <f t="shared" si="25"/>
        <v>0</v>
      </c>
      <c r="Z112" s="29"/>
      <c r="AA112" s="1"/>
      <c r="AB112" s="1"/>
      <c r="AC112" s="1" t="e">
        <f t="shared" si="28"/>
        <v>#DIV/0!</v>
      </c>
      <c r="AD112" s="1" t="e">
        <f t="shared" si="29"/>
        <v>#DIV/0!</v>
      </c>
      <c r="AE112" s="1">
        <v>-0.3352</v>
      </c>
      <c r="AF112" s="1">
        <v>-0.3352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-0.2356</v>
      </c>
      <c r="AN112" s="1">
        <v>-0.3604</v>
      </c>
      <c r="AO112" s="13" t="s">
        <v>224</v>
      </c>
      <c r="AP112" s="1">
        <f t="shared" si="30"/>
        <v>0</v>
      </c>
      <c r="AQ112" t="s">
        <v>270</v>
      </c>
    </row>
    <row r="113" spans="1:43" x14ac:dyDescent="0.25">
      <c r="A113" s="1" t="s">
        <v>271</v>
      </c>
      <c r="B113" s="1" t="s">
        <v>52</v>
      </c>
      <c r="C113" s="1">
        <v>3</v>
      </c>
      <c r="D113" s="1">
        <v>170</v>
      </c>
      <c r="E113" s="1">
        <v>41</v>
      </c>
      <c r="F113" s="1">
        <v>117</v>
      </c>
      <c r="G113" s="7">
        <v>0.09</v>
      </c>
      <c r="H113" s="1"/>
      <c r="I113" s="1" t="s">
        <v>45</v>
      </c>
      <c r="J113" s="1"/>
      <c r="K113" s="1">
        <v>70</v>
      </c>
      <c r="L113" s="1">
        <f t="shared" si="26"/>
        <v>-29</v>
      </c>
      <c r="M113" s="1"/>
      <c r="N113" s="1"/>
      <c r="O113" s="1">
        <v>25.62400000000002</v>
      </c>
      <c r="P113" s="18"/>
      <c r="Q113" s="22"/>
      <c r="R113" s="1">
        <v>0</v>
      </c>
      <c r="S113" s="22"/>
      <c r="T113" s="1"/>
      <c r="U113" s="18"/>
      <c r="V113" s="22"/>
      <c r="W113" s="1">
        <f t="shared" si="27"/>
        <v>8.1999999999999993</v>
      </c>
      <c r="X113" s="5"/>
      <c r="Y113" s="5">
        <f t="shared" si="25"/>
        <v>0</v>
      </c>
      <c r="Z113" s="29"/>
      <c r="AA113" s="1"/>
      <c r="AB113" s="1"/>
      <c r="AC113" s="1">
        <f t="shared" si="28"/>
        <v>17.393170731707322</v>
      </c>
      <c r="AD113" s="1">
        <f t="shared" si="29"/>
        <v>17.393170731707322</v>
      </c>
      <c r="AE113" s="1">
        <v>6.6</v>
      </c>
      <c r="AF113" s="1">
        <v>14.8</v>
      </c>
      <c r="AG113" s="1">
        <v>20.2</v>
      </c>
      <c r="AH113" s="1">
        <v>8.1999999999999993</v>
      </c>
      <c r="AI113" s="1">
        <v>2</v>
      </c>
      <c r="AJ113" s="1">
        <v>1.4</v>
      </c>
      <c r="AK113" s="1">
        <v>4</v>
      </c>
      <c r="AL113" s="1">
        <v>13.6</v>
      </c>
      <c r="AM113" s="1">
        <v>12.6</v>
      </c>
      <c r="AN113" s="1">
        <v>2.6</v>
      </c>
      <c r="AO113" s="1"/>
      <c r="AP113" s="1">
        <f t="shared" si="30"/>
        <v>0</v>
      </c>
      <c r="AQ113" t="s">
        <v>272</v>
      </c>
    </row>
    <row r="114" spans="1:43" x14ac:dyDescent="0.25">
      <c r="A114" s="10" t="s">
        <v>273</v>
      </c>
      <c r="B114" s="10" t="s">
        <v>52</v>
      </c>
      <c r="C114" s="10"/>
      <c r="D114" s="10"/>
      <c r="E114" s="10"/>
      <c r="F114" s="10"/>
      <c r="G114" s="11">
        <v>0</v>
      </c>
      <c r="H114" s="10"/>
      <c r="I114" s="10" t="s">
        <v>45</v>
      </c>
      <c r="J114" s="10"/>
      <c r="K114" s="10">
        <v>5</v>
      </c>
      <c r="L114" s="10">
        <f t="shared" si="26"/>
        <v>-5</v>
      </c>
      <c r="M114" s="10"/>
      <c r="N114" s="10"/>
      <c r="O114" s="10">
        <v>0</v>
      </c>
      <c r="P114" s="20"/>
      <c r="Q114" s="24"/>
      <c r="R114" s="10">
        <v>0</v>
      </c>
      <c r="S114" s="24"/>
      <c r="T114" s="10"/>
      <c r="U114" s="20"/>
      <c r="V114" s="24"/>
      <c r="W114" s="10">
        <f t="shared" si="27"/>
        <v>0</v>
      </c>
      <c r="X114" s="12"/>
      <c r="Y114" s="5">
        <f t="shared" si="25"/>
        <v>0</v>
      </c>
      <c r="Z114" s="29"/>
      <c r="AA114" s="1"/>
      <c r="AB114" s="1"/>
      <c r="AC114" s="1" t="e">
        <f t="shared" si="28"/>
        <v>#DIV/0!</v>
      </c>
      <c r="AD114" s="10" t="e">
        <f t="shared" si="29"/>
        <v>#DIV/0!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 t="s">
        <v>53</v>
      </c>
      <c r="AP114" s="1">
        <f t="shared" si="30"/>
        <v>0</v>
      </c>
      <c r="AQ114" t="s">
        <v>274</v>
      </c>
    </row>
    <row r="115" spans="1:43" x14ac:dyDescent="0.25">
      <c r="A115" s="1" t="s">
        <v>275</v>
      </c>
      <c r="B115" s="1" t="s">
        <v>44</v>
      </c>
      <c r="C115" s="1">
        <v>197.46</v>
      </c>
      <c r="D115" s="1">
        <v>1046.5719999999999</v>
      </c>
      <c r="E115" s="1">
        <v>433.97</v>
      </c>
      <c r="F115" s="1">
        <v>698.14099999999996</v>
      </c>
      <c r="G115" s="7">
        <v>1</v>
      </c>
      <c r="H115" s="1">
        <v>60</v>
      </c>
      <c r="I115" s="1" t="s">
        <v>45</v>
      </c>
      <c r="J115" s="1"/>
      <c r="K115" s="1">
        <v>414.4</v>
      </c>
      <c r="L115" s="1">
        <f t="shared" si="26"/>
        <v>19.57000000000005</v>
      </c>
      <c r="M115" s="1"/>
      <c r="N115" s="1"/>
      <c r="O115" s="1">
        <v>102.228162</v>
      </c>
      <c r="P115" s="18"/>
      <c r="Q115" s="22"/>
      <c r="R115" s="1">
        <v>0</v>
      </c>
      <c r="S115" s="22"/>
      <c r="T115" s="1"/>
      <c r="U115" s="18"/>
      <c r="V115" s="22"/>
      <c r="W115" s="1">
        <f t="shared" si="27"/>
        <v>86.794000000000011</v>
      </c>
      <c r="X115" s="5">
        <f>11.5*W115-T115-R115-O115-F115</f>
        <v>197.76183800000013</v>
      </c>
      <c r="Y115" s="5">
        <f t="shared" si="25"/>
        <v>197.76183800000013</v>
      </c>
      <c r="Z115" s="29"/>
      <c r="AA115" s="1"/>
      <c r="AB115" s="1"/>
      <c r="AC115" s="1">
        <f t="shared" si="28"/>
        <v>11.5</v>
      </c>
      <c r="AD115" s="1">
        <f t="shared" si="29"/>
        <v>9.2214803096988263</v>
      </c>
      <c r="AE115" s="1">
        <v>73.754199999999997</v>
      </c>
      <c r="AF115" s="1">
        <v>90.467399999999998</v>
      </c>
      <c r="AG115" s="1">
        <v>99.922799999999995</v>
      </c>
      <c r="AH115" s="1">
        <v>94.257800000000003</v>
      </c>
      <c r="AI115" s="1">
        <v>86.013800000000003</v>
      </c>
      <c r="AJ115" s="1">
        <v>49.147399999999998</v>
      </c>
      <c r="AK115" s="1">
        <v>53.992400000000004</v>
      </c>
      <c r="AL115" s="1">
        <v>69.008799999999994</v>
      </c>
      <c r="AM115" s="1">
        <v>70.288600000000002</v>
      </c>
      <c r="AN115" s="1">
        <v>78.236599999999996</v>
      </c>
      <c r="AO115" s="1"/>
      <c r="AP115" s="1">
        <f t="shared" si="30"/>
        <v>198</v>
      </c>
      <c r="AQ115" t="s">
        <v>276</v>
      </c>
    </row>
    <row r="116" spans="1:43" x14ac:dyDescent="0.25">
      <c r="A116" s="1" t="s">
        <v>277</v>
      </c>
      <c r="B116" s="1" t="s">
        <v>44</v>
      </c>
      <c r="C116" s="1">
        <v>257.947</v>
      </c>
      <c r="D116" s="1">
        <v>1288.329</v>
      </c>
      <c r="E116" s="1">
        <v>630.67899999999997</v>
      </c>
      <c r="F116" s="1">
        <v>779.11199999999997</v>
      </c>
      <c r="G116" s="7">
        <v>1</v>
      </c>
      <c r="H116" s="1">
        <v>60</v>
      </c>
      <c r="I116" s="1" t="s">
        <v>45</v>
      </c>
      <c r="J116" s="1"/>
      <c r="K116" s="1">
        <v>623.41399999999999</v>
      </c>
      <c r="L116" s="1">
        <f t="shared" si="26"/>
        <v>7.2649999999999864</v>
      </c>
      <c r="M116" s="1"/>
      <c r="N116" s="1"/>
      <c r="O116" s="1">
        <v>293.8447160000004</v>
      </c>
      <c r="P116" s="18"/>
      <c r="Q116" s="22"/>
      <c r="R116" s="1">
        <v>9.1559158859997751</v>
      </c>
      <c r="S116" s="22"/>
      <c r="T116" s="1"/>
      <c r="U116" s="18"/>
      <c r="V116" s="22"/>
      <c r="W116" s="1">
        <f t="shared" si="27"/>
        <v>126.13579999999999</v>
      </c>
      <c r="X116" s="5">
        <f>11.5*W116-T116-R116-O116-F116</f>
        <v>368.44906811399972</v>
      </c>
      <c r="Y116" s="5">
        <f t="shared" si="25"/>
        <v>368.44906811399972</v>
      </c>
      <c r="Z116" s="29"/>
      <c r="AA116" s="1"/>
      <c r="AB116" s="1"/>
      <c r="AC116" s="1">
        <f t="shared" si="28"/>
        <v>11.499999999999998</v>
      </c>
      <c r="AD116" s="1">
        <f t="shared" si="29"/>
        <v>8.578949290257011</v>
      </c>
      <c r="AE116" s="1">
        <v>118.1798</v>
      </c>
      <c r="AF116" s="1">
        <v>128.58260000000001</v>
      </c>
      <c r="AG116" s="1">
        <v>126.9572</v>
      </c>
      <c r="AH116" s="1">
        <v>118.0086</v>
      </c>
      <c r="AI116" s="1">
        <v>112.2222</v>
      </c>
      <c r="AJ116" s="1">
        <v>68.132000000000005</v>
      </c>
      <c r="AK116" s="1">
        <v>70.727800000000002</v>
      </c>
      <c r="AL116" s="1">
        <v>89.804999999999993</v>
      </c>
      <c r="AM116" s="1">
        <v>93.597000000000008</v>
      </c>
      <c r="AN116" s="1">
        <v>92.200800000000001</v>
      </c>
      <c r="AO116" s="1"/>
      <c r="AP116" s="1">
        <f t="shared" si="30"/>
        <v>368</v>
      </c>
      <c r="AQ116" t="s">
        <v>278</v>
      </c>
    </row>
    <row r="117" spans="1:43" x14ac:dyDescent="0.25">
      <c r="A117" s="1" t="s">
        <v>279</v>
      </c>
      <c r="B117" s="1" t="s">
        <v>44</v>
      </c>
      <c r="C117" s="1">
        <v>108.25700000000001</v>
      </c>
      <c r="D117" s="1">
        <v>485.964</v>
      </c>
      <c r="E117" s="1">
        <v>171.31399999999999</v>
      </c>
      <c r="F117" s="1">
        <v>374.947</v>
      </c>
      <c r="G117" s="7">
        <v>1</v>
      </c>
      <c r="H117" s="1">
        <v>60</v>
      </c>
      <c r="I117" s="1" t="s">
        <v>45</v>
      </c>
      <c r="J117" s="1"/>
      <c r="K117" s="1">
        <v>169.8</v>
      </c>
      <c r="L117" s="1">
        <f t="shared" si="26"/>
        <v>1.5139999999999816</v>
      </c>
      <c r="M117" s="1"/>
      <c r="N117" s="1"/>
      <c r="O117" s="1">
        <v>80.577055999999814</v>
      </c>
      <c r="P117" s="18"/>
      <c r="Q117" s="22"/>
      <c r="R117" s="1">
        <v>0</v>
      </c>
      <c r="S117" s="22"/>
      <c r="T117" s="1"/>
      <c r="U117" s="18"/>
      <c r="V117" s="22"/>
      <c r="W117" s="1">
        <f t="shared" si="27"/>
        <v>34.262799999999999</v>
      </c>
      <c r="X117" s="5"/>
      <c r="Y117" s="5">
        <f t="shared" si="25"/>
        <v>0</v>
      </c>
      <c r="Z117" s="29"/>
      <c r="AA117" s="1"/>
      <c r="AB117" s="1"/>
      <c r="AC117" s="1">
        <f t="shared" si="28"/>
        <v>13.295003794202453</v>
      </c>
      <c r="AD117" s="1">
        <f t="shared" si="29"/>
        <v>13.295003794202453</v>
      </c>
      <c r="AE117" s="1">
        <v>34.434399999999997</v>
      </c>
      <c r="AF117" s="1">
        <v>48.102999999999987</v>
      </c>
      <c r="AG117" s="1">
        <v>48.851599999999998</v>
      </c>
      <c r="AH117" s="1">
        <v>46.164200000000001</v>
      </c>
      <c r="AI117" s="1">
        <v>43.4572</v>
      </c>
      <c r="AJ117" s="1">
        <v>25.361000000000001</v>
      </c>
      <c r="AK117" s="1">
        <v>30.110399999999998</v>
      </c>
      <c r="AL117" s="1">
        <v>35.292999999999999</v>
      </c>
      <c r="AM117" s="1">
        <v>31.552</v>
      </c>
      <c r="AN117" s="1">
        <v>45.125</v>
      </c>
      <c r="AO117" s="1"/>
      <c r="AP117" s="1">
        <f t="shared" si="30"/>
        <v>0</v>
      </c>
      <c r="AQ117" t="s">
        <v>280</v>
      </c>
    </row>
    <row r="118" spans="1:43" x14ac:dyDescent="0.25">
      <c r="A118" s="1" t="s">
        <v>281</v>
      </c>
      <c r="B118" s="1" t="s">
        <v>44</v>
      </c>
      <c r="C118" s="1">
        <v>963.30700000000002</v>
      </c>
      <c r="D118" s="1">
        <v>3335.4369999999999</v>
      </c>
      <c r="E118" s="1">
        <v>1938.547</v>
      </c>
      <c r="F118" s="1">
        <v>2051.8040000000001</v>
      </c>
      <c r="G118" s="7">
        <v>1</v>
      </c>
      <c r="H118" s="1">
        <v>60</v>
      </c>
      <c r="I118" s="1" t="s">
        <v>45</v>
      </c>
      <c r="J118" s="1"/>
      <c r="K118" s="1">
        <v>1953.1</v>
      </c>
      <c r="L118" s="1">
        <f t="shared" si="26"/>
        <v>-14.552999999999884</v>
      </c>
      <c r="M118" s="1"/>
      <c r="N118" s="1"/>
      <c r="O118" s="1">
        <v>0</v>
      </c>
      <c r="P118" s="18"/>
      <c r="Q118" s="22">
        <v>300</v>
      </c>
      <c r="R118" s="1">
        <v>222.74838562062399</v>
      </c>
      <c r="S118" s="22"/>
      <c r="T118" s="1">
        <v>334.1225784309359</v>
      </c>
      <c r="U118" s="18"/>
      <c r="V118" s="22"/>
      <c r="W118" s="1">
        <f t="shared" si="27"/>
        <v>387.70940000000002</v>
      </c>
      <c r="X118" s="5">
        <f>11.5*W118-T118-R118-O118-F118</f>
        <v>1849.9831359484401</v>
      </c>
      <c r="Y118" s="5">
        <v>1300</v>
      </c>
      <c r="Z118" s="29"/>
      <c r="AA118" s="1"/>
      <c r="AB118" s="1"/>
      <c r="AC118" s="1">
        <f t="shared" si="28"/>
        <v>10.081455244705339</v>
      </c>
      <c r="AD118" s="1">
        <f t="shared" si="29"/>
        <v>6.7284284674334947</v>
      </c>
      <c r="AE118" s="1">
        <v>346.7552</v>
      </c>
      <c r="AF118" s="1">
        <v>311.18439999999998</v>
      </c>
      <c r="AG118" s="1">
        <v>354.33460000000002</v>
      </c>
      <c r="AH118" s="1">
        <v>335.30160000000001</v>
      </c>
      <c r="AI118" s="1">
        <v>299.90980000000002</v>
      </c>
      <c r="AJ118" s="1">
        <v>264.20240000000001</v>
      </c>
      <c r="AK118" s="1">
        <v>254.80359999999999</v>
      </c>
      <c r="AL118" s="1">
        <v>300.63580000000002</v>
      </c>
      <c r="AM118" s="1">
        <v>316.26139999999998</v>
      </c>
      <c r="AN118" s="1">
        <v>312.13819999999998</v>
      </c>
      <c r="AO118" s="1"/>
      <c r="AP118" s="1">
        <f t="shared" si="30"/>
        <v>1300</v>
      </c>
      <c r="AQ118" t="s">
        <v>282</v>
      </c>
    </row>
    <row r="119" spans="1:43" x14ac:dyDescent="0.25">
      <c r="A119" s="1" t="s">
        <v>283</v>
      </c>
      <c r="B119" s="1" t="s">
        <v>52</v>
      </c>
      <c r="C119" s="1">
        <v>284</v>
      </c>
      <c r="D119" s="1"/>
      <c r="E119" s="1">
        <v>37</v>
      </c>
      <c r="F119" s="1">
        <v>238</v>
      </c>
      <c r="G119" s="7">
        <v>0.25</v>
      </c>
      <c r="H119" s="1">
        <v>1096</v>
      </c>
      <c r="I119" s="1" t="s">
        <v>45</v>
      </c>
      <c r="J119" s="1"/>
      <c r="K119" s="1">
        <v>37</v>
      </c>
      <c r="L119" s="1">
        <f t="shared" si="26"/>
        <v>0</v>
      </c>
      <c r="M119" s="1"/>
      <c r="N119" s="1"/>
      <c r="O119" s="1">
        <v>0</v>
      </c>
      <c r="P119" s="18"/>
      <c r="Q119" s="22"/>
      <c r="R119" s="1">
        <v>0</v>
      </c>
      <c r="S119" s="22"/>
      <c r="T119" s="1"/>
      <c r="U119" s="18"/>
      <c r="V119" s="22"/>
      <c r="W119" s="1">
        <f t="shared" si="27"/>
        <v>7.4</v>
      </c>
      <c r="X119" s="5"/>
      <c r="Y119" s="5">
        <f t="shared" ref="Y119:Y128" si="31">X119</f>
        <v>0</v>
      </c>
      <c r="Z119" s="29"/>
      <c r="AA119" s="1"/>
      <c r="AB119" s="1"/>
      <c r="AC119" s="1">
        <f t="shared" si="28"/>
        <v>32.162162162162161</v>
      </c>
      <c r="AD119" s="1">
        <f t="shared" si="29"/>
        <v>32.162162162162161</v>
      </c>
      <c r="AE119" s="1">
        <v>11.8</v>
      </c>
      <c r="AF119" s="1">
        <v>14.8</v>
      </c>
      <c r="AG119" s="1">
        <v>15.2</v>
      </c>
      <c r="AH119" s="1">
        <v>11.8</v>
      </c>
      <c r="AI119" s="1">
        <v>7.4</v>
      </c>
      <c r="AJ119" s="1">
        <v>3.2</v>
      </c>
      <c r="AK119" s="1">
        <v>4.2</v>
      </c>
      <c r="AL119" s="1">
        <v>5.8</v>
      </c>
      <c r="AM119" s="1">
        <v>8</v>
      </c>
      <c r="AN119" s="1">
        <v>4.2</v>
      </c>
      <c r="AO119" s="13" t="s">
        <v>224</v>
      </c>
      <c r="AP119" s="1">
        <f t="shared" si="30"/>
        <v>0</v>
      </c>
      <c r="AQ119" t="s">
        <v>284</v>
      </c>
    </row>
    <row r="120" spans="1:43" x14ac:dyDescent="0.25">
      <c r="A120" s="1" t="s">
        <v>285</v>
      </c>
      <c r="B120" s="1" t="s">
        <v>52</v>
      </c>
      <c r="C120" s="1">
        <v>355</v>
      </c>
      <c r="D120" s="1"/>
      <c r="E120" s="1">
        <v>17</v>
      </c>
      <c r="F120" s="1">
        <v>329</v>
      </c>
      <c r="G120" s="7">
        <v>0.32500000000000001</v>
      </c>
      <c r="H120" s="1">
        <v>1096</v>
      </c>
      <c r="I120" s="1" t="s">
        <v>45</v>
      </c>
      <c r="J120" s="1"/>
      <c r="K120" s="1">
        <v>17</v>
      </c>
      <c r="L120" s="1">
        <f t="shared" si="26"/>
        <v>0</v>
      </c>
      <c r="M120" s="1"/>
      <c r="N120" s="1"/>
      <c r="O120" s="1">
        <v>0</v>
      </c>
      <c r="P120" s="18"/>
      <c r="Q120" s="22"/>
      <c r="R120" s="1">
        <v>0</v>
      </c>
      <c r="S120" s="22"/>
      <c r="T120" s="1"/>
      <c r="U120" s="18"/>
      <c r="V120" s="22"/>
      <c r="W120" s="1">
        <f t="shared" si="27"/>
        <v>3.4</v>
      </c>
      <c r="X120" s="5"/>
      <c r="Y120" s="5">
        <f t="shared" si="31"/>
        <v>0</v>
      </c>
      <c r="Z120" s="29"/>
      <c r="AA120" s="1"/>
      <c r="AB120" s="1"/>
      <c r="AC120" s="1">
        <f t="shared" si="28"/>
        <v>96.764705882352942</v>
      </c>
      <c r="AD120" s="1">
        <f t="shared" si="29"/>
        <v>96.764705882352942</v>
      </c>
      <c r="AE120" s="1">
        <v>5.6</v>
      </c>
      <c r="AF120" s="1">
        <v>9.4</v>
      </c>
      <c r="AG120" s="1">
        <v>8.1999999999999993</v>
      </c>
      <c r="AH120" s="1">
        <v>8.1999999999999993</v>
      </c>
      <c r="AI120" s="1">
        <v>6.8</v>
      </c>
      <c r="AJ120" s="1">
        <v>4.4000000000000004</v>
      </c>
      <c r="AK120" s="1">
        <v>7</v>
      </c>
      <c r="AL120" s="1">
        <v>5.6</v>
      </c>
      <c r="AM120" s="1">
        <v>5.4</v>
      </c>
      <c r="AN120" s="1">
        <v>3.4</v>
      </c>
      <c r="AO120" s="13" t="s">
        <v>224</v>
      </c>
      <c r="AP120" s="1">
        <f t="shared" si="30"/>
        <v>0</v>
      </c>
      <c r="AQ120" t="s">
        <v>286</v>
      </c>
    </row>
    <row r="121" spans="1:43" x14ac:dyDescent="0.25">
      <c r="A121" s="1" t="s">
        <v>287</v>
      </c>
      <c r="B121" s="1" t="s">
        <v>52</v>
      </c>
      <c r="C121" s="1">
        <v>158</v>
      </c>
      <c r="D121" s="1"/>
      <c r="E121" s="1">
        <v>41</v>
      </c>
      <c r="F121" s="1">
        <v>108</v>
      </c>
      <c r="G121" s="7">
        <v>0.25</v>
      </c>
      <c r="H121" s="1">
        <v>1096</v>
      </c>
      <c r="I121" s="1" t="s">
        <v>45</v>
      </c>
      <c r="J121" s="1"/>
      <c r="K121" s="1">
        <v>41</v>
      </c>
      <c r="L121" s="1">
        <f t="shared" si="26"/>
        <v>0</v>
      </c>
      <c r="M121" s="1"/>
      <c r="N121" s="1"/>
      <c r="O121" s="1">
        <v>0</v>
      </c>
      <c r="P121" s="18"/>
      <c r="Q121" s="22"/>
      <c r="R121" s="1">
        <v>35</v>
      </c>
      <c r="S121" s="22"/>
      <c r="T121" s="1"/>
      <c r="U121" s="18"/>
      <c r="V121" s="22"/>
      <c r="W121" s="1">
        <f t="shared" si="27"/>
        <v>8.1999999999999993</v>
      </c>
      <c r="X121" s="5"/>
      <c r="Y121" s="5">
        <f t="shared" si="31"/>
        <v>0</v>
      </c>
      <c r="Z121" s="29"/>
      <c r="AA121" s="1"/>
      <c r="AB121" s="1"/>
      <c r="AC121" s="1">
        <f t="shared" si="28"/>
        <v>17.439024390243905</v>
      </c>
      <c r="AD121" s="1">
        <f t="shared" si="29"/>
        <v>17.439024390243905</v>
      </c>
      <c r="AE121" s="1">
        <v>14</v>
      </c>
      <c r="AF121" s="1">
        <v>11.4</v>
      </c>
      <c r="AG121" s="1">
        <v>11.2</v>
      </c>
      <c r="AH121" s="1">
        <v>12.4</v>
      </c>
      <c r="AI121" s="1">
        <v>6.6</v>
      </c>
      <c r="AJ121" s="1">
        <v>3.6</v>
      </c>
      <c r="AK121" s="1">
        <v>3.2</v>
      </c>
      <c r="AL121" s="1">
        <v>5.2</v>
      </c>
      <c r="AM121" s="1">
        <v>7.8</v>
      </c>
      <c r="AN121" s="1">
        <v>6.4</v>
      </c>
      <c r="AO121" s="1" t="s">
        <v>288</v>
      </c>
      <c r="AP121" s="1">
        <f t="shared" si="30"/>
        <v>0</v>
      </c>
      <c r="AQ121" t="s">
        <v>289</v>
      </c>
    </row>
    <row r="122" spans="1:43" x14ac:dyDescent="0.25">
      <c r="A122" s="10" t="s">
        <v>290</v>
      </c>
      <c r="B122" s="10" t="s">
        <v>44</v>
      </c>
      <c r="C122" s="10">
        <v>94.091999999999999</v>
      </c>
      <c r="D122" s="10"/>
      <c r="E122" s="10"/>
      <c r="F122" s="10">
        <v>92.75</v>
      </c>
      <c r="G122" s="11">
        <v>0</v>
      </c>
      <c r="H122" s="10"/>
      <c r="I122" s="10" t="s">
        <v>291</v>
      </c>
      <c r="J122" s="10"/>
      <c r="K122" s="10"/>
      <c r="L122" s="10">
        <f t="shared" si="26"/>
        <v>0</v>
      </c>
      <c r="M122" s="10"/>
      <c r="N122" s="10"/>
      <c r="O122" s="10">
        <v>0</v>
      </c>
      <c r="P122" s="20"/>
      <c r="Q122" s="24"/>
      <c r="R122" s="10">
        <v>0</v>
      </c>
      <c r="S122" s="24"/>
      <c r="T122" s="10"/>
      <c r="U122" s="20"/>
      <c r="V122" s="24"/>
      <c r="W122" s="10">
        <f t="shared" si="27"/>
        <v>0</v>
      </c>
      <c r="X122" s="12"/>
      <c r="Y122" s="5">
        <f t="shared" si="31"/>
        <v>0</v>
      </c>
      <c r="Z122" s="29"/>
      <c r="AA122" s="1"/>
      <c r="AB122" s="1"/>
      <c r="AC122" s="1" t="e">
        <f t="shared" si="28"/>
        <v>#DIV/0!</v>
      </c>
      <c r="AD122" s="10" t="e">
        <f t="shared" si="29"/>
        <v>#DIV/0!</v>
      </c>
      <c r="AE122" s="10">
        <v>0.26960000000000001</v>
      </c>
      <c r="AF122" s="10">
        <v>0.54359999999999997</v>
      </c>
      <c r="AG122" s="10">
        <v>0.27400000000000002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3" t="s">
        <v>292</v>
      </c>
      <c r="AP122" s="1">
        <f t="shared" si="30"/>
        <v>0</v>
      </c>
    </row>
    <row r="123" spans="1:43" x14ac:dyDescent="0.25">
      <c r="A123" s="1" t="s">
        <v>293</v>
      </c>
      <c r="B123" s="1" t="s">
        <v>52</v>
      </c>
      <c r="C123" s="1"/>
      <c r="D123" s="1">
        <v>102</v>
      </c>
      <c r="E123" s="1">
        <v>90</v>
      </c>
      <c r="F123" s="1">
        <v>1</v>
      </c>
      <c r="G123" s="7">
        <v>0.3</v>
      </c>
      <c r="H123" s="1">
        <v>40</v>
      </c>
      <c r="I123" s="9" t="s">
        <v>62</v>
      </c>
      <c r="J123" s="1"/>
      <c r="K123" s="1">
        <v>171</v>
      </c>
      <c r="L123" s="1">
        <f t="shared" si="26"/>
        <v>-81</v>
      </c>
      <c r="M123" s="1"/>
      <c r="N123" s="1"/>
      <c r="O123" s="1">
        <v>50</v>
      </c>
      <c r="P123" s="18">
        <v>-53.333333333333336</v>
      </c>
      <c r="Q123" s="22"/>
      <c r="R123" s="1">
        <v>100</v>
      </c>
      <c r="S123" s="22"/>
      <c r="T123" s="1"/>
      <c r="U123" s="18"/>
      <c r="V123" s="22"/>
      <c r="W123" s="1">
        <f t="shared" si="27"/>
        <v>18</v>
      </c>
      <c r="X123" s="5">
        <f>11.5*W123-T123-R123-O123-F123</f>
        <v>56</v>
      </c>
      <c r="Y123" s="5">
        <f t="shared" si="31"/>
        <v>56</v>
      </c>
      <c r="Z123" s="29"/>
      <c r="AA123" s="1"/>
      <c r="AB123" s="1"/>
      <c r="AC123" s="1">
        <f t="shared" si="28"/>
        <v>11.5</v>
      </c>
      <c r="AD123" s="1">
        <f t="shared" si="29"/>
        <v>8.3888888888888893</v>
      </c>
      <c r="AE123" s="1">
        <v>19</v>
      </c>
      <c r="AF123" s="1">
        <v>-2</v>
      </c>
      <c r="AG123" s="1">
        <v>6.2</v>
      </c>
      <c r="AH123" s="1">
        <v>26</v>
      </c>
      <c r="AI123" s="1">
        <v>17</v>
      </c>
      <c r="AJ123" s="1">
        <v>-2.4</v>
      </c>
      <c r="AK123" s="1">
        <v>-1.4</v>
      </c>
      <c r="AL123" s="1">
        <v>-1.6</v>
      </c>
      <c r="AM123" s="1">
        <v>-1</v>
      </c>
      <c r="AN123" s="1">
        <v>74.599999999999994</v>
      </c>
      <c r="AO123" s="1"/>
      <c r="AP123" s="1">
        <f t="shared" si="30"/>
        <v>17</v>
      </c>
      <c r="AQ123" t="s">
        <v>294</v>
      </c>
    </row>
    <row r="124" spans="1:43" x14ac:dyDescent="0.25">
      <c r="A124" s="1" t="s">
        <v>295</v>
      </c>
      <c r="B124" s="1" t="s">
        <v>52</v>
      </c>
      <c r="C124" s="1"/>
      <c r="D124" s="1"/>
      <c r="E124" s="1">
        <v>-9</v>
      </c>
      <c r="F124" s="1"/>
      <c r="G124" s="7">
        <v>0.3</v>
      </c>
      <c r="H124" s="1">
        <v>40</v>
      </c>
      <c r="I124" s="9" t="s">
        <v>62</v>
      </c>
      <c r="J124" s="1"/>
      <c r="K124" s="1">
        <v>2</v>
      </c>
      <c r="L124" s="1">
        <f t="shared" si="26"/>
        <v>-11</v>
      </c>
      <c r="M124" s="1"/>
      <c r="N124" s="1"/>
      <c r="O124" s="1">
        <v>20</v>
      </c>
      <c r="P124" s="18"/>
      <c r="Q124" s="22"/>
      <c r="R124" s="1">
        <v>10</v>
      </c>
      <c r="S124" s="22"/>
      <c r="T124" s="1"/>
      <c r="U124" s="18"/>
      <c r="V124" s="22"/>
      <c r="W124" s="1">
        <f t="shared" si="27"/>
        <v>-1.8</v>
      </c>
      <c r="X124" s="5"/>
      <c r="Y124" s="5">
        <f t="shared" si="31"/>
        <v>0</v>
      </c>
      <c r="Z124" s="29"/>
      <c r="AA124" s="1"/>
      <c r="AB124" s="1"/>
      <c r="AC124" s="1">
        <f t="shared" si="28"/>
        <v>-16.666666666666668</v>
      </c>
      <c r="AD124" s="1">
        <f t="shared" si="29"/>
        <v>-16.666666666666668</v>
      </c>
      <c r="AE124" s="1">
        <v>-0.6</v>
      </c>
      <c r="AF124" s="1">
        <v>-1.4</v>
      </c>
      <c r="AG124" s="1">
        <v>-2.8</v>
      </c>
      <c r="AH124" s="1">
        <v>-3.4</v>
      </c>
      <c r="AI124" s="1">
        <v>-4.2</v>
      </c>
      <c r="AJ124" s="1">
        <v>-3.2</v>
      </c>
      <c r="AK124" s="1">
        <v>-1.8</v>
      </c>
      <c r="AL124" s="1">
        <v>-2.8</v>
      </c>
      <c r="AM124" s="1">
        <v>-3</v>
      </c>
      <c r="AN124" s="1">
        <v>-2</v>
      </c>
      <c r="AO124" s="1"/>
      <c r="AP124" s="1">
        <f t="shared" si="30"/>
        <v>0</v>
      </c>
      <c r="AQ124" t="s">
        <v>296</v>
      </c>
    </row>
    <row r="125" spans="1:43" x14ac:dyDescent="0.25">
      <c r="A125" s="1" t="s">
        <v>297</v>
      </c>
      <c r="B125" s="1" t="s">
        <v>44</v>
      </c>
      <c r="C125" s="1">
        <v>236.25899999999999</v>
      </c>
      <c r="D125" s="1">
        <v>377.07799999999997</v>
      </c>
      <c r="E125" s="1">
        <v>377.76400000000001</v>
      </c>
      <c r="F125" s="1">
        <v>168.601</v>
      </c>
      <c r="G125" s="7">
        <v>1</v>
      </c>
      <c r="H125" s="1">
        <v>50</v>
      </c>
      <c r="I125" s="1" t="s">
        <v>45</v>
      </c>
      <c r="J125" s="1"/>
      <c r="K125" s="1">
        <v>370.05</v>
      </c>
      <c r="L125" s="1">
        <f t="shared" si="26"/>
        <v>7.7139999999999986</v>
      </c>
      <c r="M125" s="1"/>
      <c r="N125" s="1"/>
      <c r="O125" s="1">
        <v>171.170995</v>
      </c>
      <c r="P125" s="18"/>
      <c r="Q125" s="22"/>
      <c r="R125" s="1">
        <v>73.538561999999985</v>
      </c>
      <c r="S125" s="22"/>
      <c r="T125" s="1">
        <v>110.30784300000001</v>
      </c>
      <c r="U125" s="18"/>
      <c r="V125" s="22"/>
      <c r="W125" s="1">
        <f t="shared" si="27"/>
        <v>75.552800000000005</v>
      </c>
      <c r="X125" s="5">
        <f>11.5*W125-T125-R125-O125-F125</f>
        <v>345.23879999999997</v>
      </c>
      <c r="Y125" s="5">
        <f t="shared" si="31"/>
        <v>345.23879999999997</v>
      </c>
      <c r="Z125" s="29"/>
      <c r="AA125" s="1"/>
      <c r="AB125" s="1"/>
      <c r="AC125" s="1">
        <f t="shared" si="28"/>
        <v>11.5</v>
      </c>
      <c r="AD125" s="1">
        <f t="shared" si="29"/>
        <v>6.9304962886881762</v>
      </c>
      <c r="AE125" s="1">
        <v>57.231399999999987</v>
      </c>
      <c r="AF125" s="1">
        <v>55.252400000000002</v>
      </c>
      <c r="AG125" s="1">
        <v>52.905799999999999</v>
      </c>
      <c r="AH125" s="1">
        <v>54.902999999999999</v>
      </c>
      <c r="AI125" s="1">
        <v>50.931199999999997</v>
      </c>
      <c r="AJ125" s="1">
        <v>40.594000000000001</v>
      </c>
      <c r="AK125" s="1">
        <v>43.313800000000001</v>
      </c>
      <c r="AL125" s="1">
        <v>51.1004</v>
      </c>
      <c r="AM125" s="1">
        <v>57.784999999999997</v>
      </c>
      <c r="AN125" s="1">
        <v>63.404400000000003</v>
      </c>
      <c r="AO125" s="1"/>
      <c r="AP125" s="1">
        <f t="shared" si="30"/>
        <v>345</v>
      </c>
      <c r="AQ125" t="s">
        <v>298</v>
      </c>
    </row>
    <row r="126" spans="1:43" x14ac:dyDescent="0.25">
      <c r="A126" s="1" t="s">
        <v>299</v>
      </c>
      <c r="B126" s="1" t="s">
        <v>52</v>
      </c>
      <c r="C126" s="1">
        <v>1</v>
      </c>
      <c r="D126" s="1"/>
      <c r="E126" s="1">
        <v>5</v>
      </c>
      <c r="F126" s="1">
        <v>-6</v>
      </c>
      <c r="G126" s="7">
        <v>0.3</v>
      </c>
      <c r="H126" s="1">
        <v>40</v>
      </c>
      <c r="I126" s="9" t="s">
        <v>62</v>
      </c>
      <c r="J126" s="1"/>
      <c r="K126" s="1">
        <v>25</v>
      </c>
      <c r="L126" s="1">
        <f t="shared" si="26"/>
        <v>-20</v>
      </c>
      <c r="M126" s="1"/>
      <c r="N126" s="1"/>
      <c r="O126" s="1">
        <v>50</v>
      </c>
      <c r="P126" s="18">
        <v>-53.333333333333336</v>
      </c>
      <c r="Q126" s="22"/>
      <c r="R126" s="1">
        <v>50</v>
      </c>
      <c r="S126" s="22"/>
      <c r="T126" s="1"/>
      <c r="U126" s="18"/>
      <c r="V126" s="22"/>
      <c r="W126" s="1">
        <f t="shared" si="27"/>
        <v>1</v>
      </c>
      <c r="X126" s="5">
        <v>30</v>
      </c>
      <c r="Y126" s="5">
        <f t="shared" si="31"/>
        <v>30</v>
      </c>
      <c r="Z126" s="29"/>
      <c r="AA126" s="1"/>
      <c r="AB126" s="1"/>
      <c r="AC126" s="1">
        <f t="shared" si="28"/>
        <v>124</v>
      </c>
      <c r="AD126" s="1">
        <f t="shared" si="29"/>
        <v>94</v>
      </c>
      <c r="AE126" s="1">
        <v>-0.2</v>
      </c>
      <c r="AF126" s="1">
        <v>-0.2</v>
      </c>
      <c r="AG126" s="1">
        <v>-1</v>
      </c>
      <c r="AH126" s="1">
        <v>-0.6</v>
      </c>
      <c r="AI126" s="1">
        <v>1.6</v>
      </c>
      <c r="AJ126" s="1">
        <v>17.2</v>
      </c>
      <c r="AK126" s="1">
        <v>42.4</v>
      </c>
      <c r="AL126" s="1">
        <v>33.799999999999997</v>
      </c>
      <c r="AM126" s="1">
        <v>44.6</v>
      </c>
      <c r="AN126" s="1">
        <v>75.2</v>
      </c>
      <c r="AO126" s="1"/>
      <c r="AP126" s="1">
        <f t="shared" si="30"/>
        <v>9</v>
      </c>
      <c r="AQ126" t="s">
        <v>300</v>
      </c>
    </row>
    <row r="127" spans="1:43" x14ac:dyDescent="0.25">
      <c r="A127" s="1" t="s">
        <v>301</v>
      </c>
      <c r="B127" s="1" t="s">
        <v>52</v>
      </c>
      <c r="C127" s="1">
        <v>33</v>
      </c>
      <c r="D127" s="1">
        <v>122</v>
      </c>
      <c r="E127" s="1">
        <v>71</v>
      </c>
      <c r="F127" s="1">
        <v>59</v>
      </c>
      <c r="G127" s="7">
        <v>0.12</v>
      </c>
      <c r="H127" s="1">
        <v>45</v>
      </c>
      <c r="I127" s="9" t="s">
        <v>62</v>
      </c>
      <c r="J127" s="1"/>
      <c r="K127" s="1">
        <v>91</v>
      </c>
      <c r="L127" s="1">
        <f t="shared" si="26"/>
        <v>-20</v>
      </c>
      <c r="M127" s="1"/>
      <c r="N127" s="1"/>
      <c r="O127" s="1">
        <v>10</v>
      </c>
      <c r="P127" s="18"/>
      <c r="Q127" s="22"/>
      <c r="R127" s="1">
        <v>46.800000000000011</v>
      </c>
      <c r="S127" s="22"/>
      <c r="T127" s="1"/>
      <c r="U127" s="18"/>
      <c r="V127" s="22"/>
      <c r="W127" s="1">
        <f t="shared" si="27"/>
        <v>14.2</v>
      </c>
      <c r="X127" s="5">
        <f>11.5*W127-T127-R127-O127-F127</f>
        <v>47.499999999999972</v>
      </c>
      <c r="Y127" s="5">
        <f t="shared" si="31"/>
        <v>47.499999999999972</v>
      </c>
      <c r="Z127" s="29"/>
      <c r="AA127" s="1"/>
      <c r="AB127" s="1"/>
      <c r="AC127" s="1">
        <f t="shared" si="28"/>
        <v>11.5</v>
      </c>
      <c r="AD127" s="1">
        <f t="shared" si="29"/>
        <v>8.1549295774647899</v>
      </c>
      <c r="AE127" s="1">
        <v>13.8</v>
      </c>
      <c r="AF127" s="1">
        <v>10</v>
      </c>
      <c r="AG127" s="1">
        <v>9.6</v>
      </c>
      <c r="AH127" s="1">
        <v>11.6</v>
      </c>
      <c r="AI127" s="1">
        <v>10.4</v>
      </c>
      <c r="AJ127" s="1">
        <v>9.1999999999999993</v>
      </c>
      <c r="AK127" s="1">
        <v>12.4</v>
      </c>
      <c r="AL127" s="1">
        <v>20.6</v>
      </c>
      <c r="AM127" s="1">
        <v>19.8</v>
      </c>
      <c r="AN127" s="1">
        <v>13.6</v>
      </c>
      <c r="AO127" s="1"/>
      <c r="AP127" s="1">
        <f t="shared" si="30"/>
        <v>6</v>
      </c>
      <c r="AQ127" t="s">
        <v>302</v>
      </c>
    </row>
    <row r="128" spans="1:43" x14ac:dyDescent="0.25">
      <c r="A128" s="10" t="s">
        <v>303</v>
      </c>
      <c r="B128" s="10" t="s">
        <v>52</v>
      </c>
      <c r="C128" s="10">
        <v>19</v>
      </c>
      <c r="D128" s="10">
        <v>156</v>
      </c>
      <c r="E128" s="14">
        <v>108</v>
      </c>
      <c r="F128" s="14">
        <v>25</v>
      </c>
      <c r="G128" s="11">
        <v>0</v>
      </c>
      <c r="H128" s="10"/>
      <c r="I128" s="10" t="s">
        <v>304</v>
      </c>
      <c r="J128" s="10" t="s">
        <v>148</v>
      </c>
      <c r="K128" s="10">
        <v>114</v>
      </c>
      <c r="L128" s="10">
        <f t="shared" si="26"/>
        <v>-6</v>
      </c>
      <c r="M128" s="10"/>
      <c r="N128" s="10"/>
      <c r="O128" s="10">
        <v>0</v>
      </c>
      <c r="P128" s="20"/>
      <c r="Q128" s="24"/>
      <c r="R128" s="10">
        <v>0</v>
      </c>
      <c r="S128" s="24"/>
      <c r="T128" s="10"/>
      <c r="U128" s="20"/>
      <c r="V128" s="24"/>
      <c r="W128" s="10">
        <f t="shared" si="27"/>
        <v>21.6</v>
      </c>
      <c r="X128" s="12"/>
      <c r="Y128" s="5">
        <f t="shared" si="31"/>
        <v>0</v>
      </c>
      <c r="Z128" s="29"/>
      <c r="AA128" s="1"/>
      <c r="AB128" s="1"/>
      <c r="AC128" s="1">
        <f t="shared" si="28"/>
        <v>1.1574074074074074</v>
      </c>
      <c r="AD128" s="10">
        <f t="shared" si="29"/>
        <v>1.1574074074074074</v>
      </c>
      <c r="AE128" s="10">
        <v>26</v>
      </c>
      <c r="AF128" s="10">
        <v>31</v>
      </c>
      <c r="AG128" s="10">
        <v>28.6</v>
      </c>
      <c r="AH128" s="10">
        <v>14.4</v>
      </c>
      <c r="AI128" s="10">
        <v>9.4</v>
      </c>
      <c r="AJ128" s="10">
        <v>0.8</v>
      </c>
      <c r="AK128" s="10">
        <v>0</v>
      </c>
      <c r="AL128" s="10">
        <v>0</v>
      </c>
      <c r="AM128" s="10">
        <v>0</v>
      </c>
      <c r="AN128" s="10">
        <v>0</v>
      </c>
      <c r="AO128" s="10"/>
      <c r="AP128" s="1">
        <f t="shared" si="30"/>
        <v>0</v>
      </c>
    </row>
    <row r="129" spans="1:4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8"/>
      <c r="Q129" s="22"/>
      <c r="R129" s="1"/>
      <c r="S129" s="22"/>
      <c r="T129" s="1"/>
      <c r="U129" s="18"/>
      <c r="V129" s="22"/>
      <c r="W129" s="1"/>
      <c r="X129" s="1"/>
      <c r="Y129" s="1"/>
      <c r="Z129" s="22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8"/>
      <c r="Q130" s="22"/>
      <c r="R130" s="1"/>
      <c r="S130" s="22"/>
      <c r="T130" s="1"/>
      <c r="U130" s="18"/>
      <c r="V130" s="22"/>
      <c r="W130" s="1"/>
      <c r="X130" s="1"/>
      <c r="Y130" s="1"/>
      <c r="Z130" s="22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8"/>
      <c r="Q131" s="22"/>
      <c r="R131" s="1"/>
      <c r="S131" s="22"/>
      <c r="T131" s="1"/>
      <c r="U131" s="18"/>
      <c r="V131" s="22"/>
      <c r="W131" s="1"/>
      <c r="X131" s="1"/>
      <c r="Y131" s="1"/>
      <c r="Z131" s="22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8"/>
      <c r="Q132" s="22"/>
      <c r="R132" s="1"/>
      <c r="S132" s="22"/>
      <c r="T132" s="1"/>
      <c r="U132" s="18"/>
      <c r="V132" s="22"/>
      <c r="W132" s="1"/>
      <c r="X132" s="1"/>
      <c r="Y132" s="1"/>
      <c r="Z132" s="22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8"/>
      <c r="Q133" s="22"/>
      <c r="R133" s="1"/>
      <c r="S133" s="22"/>
      <c r="T133" s="1"/>
      <c r="U133" s="18"/>
      <c r="V133" s="22"/>
      <c r="W133" s="1"/>
      <c r="X133" s="1"/>
      <c r="Y133" s="1"/>
      <c r="Z133" s="22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8"/>
      <c r="Q134" s="22"/>
      <c r="R134" s="1"/>
      <c r="S134" s="22"/>
      <c r="T134" s="1"/>
      <c r="U134" s="18"/>
      <c r="V134" s="22"/>
      <c r="W134" s="1"/>
      <c r="X134" s="1"/>
      <c r="Y134" s="1"/>
      <c r="Z134" s="22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8"/>
      <c r="Q135" s="22"/>
      <c r="R135" s="1"/>
      <c r="S135" s="22"/>
      <c r="T135" s="1"/>
      <c r="U135" s="18"/>
      <c r="V135" s="22"/>
      <c r="W135" s="1"/>
      <c r="X135" s="1"/>
      <c r="Y135" s="1"/>
      <c r="Z135" s="22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8"/>
      <c r="Q136" s="22"/>
      <c r="R136" s="1"/>
      <c r="S136" s="22"/>
      <c r="T136" s="1"/>
      <c r="U136" s="18"/>
      <c r="V136" s="22"/>
      <c r="W136" s="1"/>
      <c r="X136" s="1"/>
      <c r="Y136" s="1"/>
      <c r="Z136" s="22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8"/>
      <c r="Q137" s="22"/>
      <c r="R137" s="1"/>
      <c r="S137" s="22"/>
      <c r="T137" s="1"/>
      <c r="U137" s="18"/>
      <c r="V137" s="22"/>
      <c r="W137" s="1"/>
      <c r="X137" s="1"/>
      <c r="Y137" s="1"/>
      <c r="Z137" s="22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8"/>
      <c r="Q138" s="22"/>
      <c r="R138" s="1"/>
      <c r="S138" s="22"/>
      <c r="T138" s="1"/>
      <c r="U138" s="18"/>
      <c r="V138" s="22"/>
      <c r="W138" s="1"/>
      <c r="X138" s="1"/>
      <c r="Y138" s="1"/>
      <c r="Z138" s="22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8"/>
      <c r="Q139" s="22"/>
      <c r="R139" s="1"/>
      <c r="S139" s="22"/>
      <c r="T139" s="1"/>
      <c r="U139" s="18"/>
      <c r="V139" s="22"/>
      <c r="W139" s="1"/>
      <c r="X139" s="1"/>
      <c r="Y139" s="1"/>
      <c r="Z139" s="22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8"/>
      <c r="Q140" s="22"/>
      <c r="R140" s="1"/>
      <c r="S140" s="22"/>
      <c r="T140" s="1"/>
      <c r="U140" s="18"/>
      <c r="V140" s="22"/>
      <c r="W140" s="1"/>
      <c r="X140" s="1"/>
      <c r="Y140" s="1"/>
      <c r="Z140" s="22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8"/>
      <c r="Q141" s="22"/>
      <c r="R141" s="1"/>
      <c r="S141" s="22"/>
      <c r="T141" s="1"/>
      <c r="U141" s="18"/>
      <c r="V141" s="22"/>
      <c r="W141" s="1"/>
      <c r="X141" s="1"/>
      <c r="Y141" s="1"/>
      <c r="Z141" s="22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8"/>
      <c r="Q142" s="22"/>
      <c r="R142" s="1"/>
      <c r="S142" s="22"/>
      <c r="T142" s="1"/>
      <c r="U142" s="18"/>
      <c r="V142" s="22"/>
      <c r="W142" s="1"/>
      <c r="X142" s="1"/>
      <c r="Y142" s="1"/>
      <c r="Z142" s="22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8"/>
      <c r="Q143" s="22"/>
      <c r="R143" s="1"/>
      <c r="S143" s="22"/>
      <c r="T143" s="1"/>
      <c r="U143" s="18"/>
      <c r="V143" s="22"/>
      <c r="W143" s="1"/>
      <c r="X143" s="1"/>
      <c r="Y143" s="1"/>
      <c r="Z143" s="22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8"/>
      <c r="Q144" s="22"/>
      <c r="R144" s="1"/>
      <c r="S144" s="22"/>
      <c r="T144" s="1"/>
      <c r="U144" s="18"/>
      <c r="V144" s="22"/>
      <c r="W144" s="1"/>
      <c r="X144" s="1"/>
      <c r="Y144" s="1"/>
      <c r="Z144" s="22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8"/>
      <c r="Q145" s="22"/>
      <c r="R145" s="1"/>
      <c r="S145" s="22"/>
      <c r="T145" s="1"/>
      <c r="U145" s="18"/>
      <c r="V145" s="22"/>
      <c r="W145" s="1"/>
      <c r="X145" s="1"/>
      <c r="Y145" s="1"/>
      <c r="Z145" s="22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8"/>
      <c r="Q146" s="22"/>
      <c r="R146" s="1"/>
      <c r="S146" s="22"/>
      <c r="T146" s="1"/>
      <c r="U146" s="18"/>
      <c r="V146" s="22"/>
      <c r="W146" s="1"/>
      <c r="X146" s="1"/>
      <c r="Y146" s="1"/>
      <c r="Z146" s="22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8"/>
      <c r="Q147" s="22"/>
      <c r="R147" s="1"/>
      <c r="S147" s="22"/>
      <c r="T147" s="1"/>
      <c r="U147" s="18"/>
      <c r="V147" s="22"/>
      <c r="W147" s="1"/>
      <c r="X147" s="1"/>
      <c r="Y147" s="1"/>
      <c r="Z147" s="22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8"/>
      <c r="Q148" s="22"/>
      <c r="R148" s="1"/>
      <c r="S148" s="22"/>
      <c r="T148" s="1"/>
      <c r="U148" s="18"/>
      <c r="V148" s="22"/>
      <c r="W148" s="1"/>
      <c r="X148" s="1"/>
      <c r="Y148" s="1"/>
      <c r="Z148" s="22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8"/>
      <c r="Q149" s="22"/>
      <c r="R149" s="1"/>
      <c r="S149" s="22"/>
      <c r="T149" s="1"/>
      <c r="U149" s="18"/>
      <c r="V149" s="22"/>
      <c r="W149" s="1"/>
      <c r="X149" s="1"/>
      <c r="Y149" s="1"/>
      <c r="Z149" s="22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8"/>
      <c r="Q150" s="22"/>
      <c r="R150" s="1"/>
      <c r="S150" s="22"/>
      <c r="T150" s="1"/>
      <c r="U150" s="18"/>
      <c r="V150" s="22"/>
      <c r="W150" s="1"/>
      <c r="X150" s="1"/>
      <c r="Y150" s="1"/>
      <c r="Z150" s="22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8"/>
      <c r="Q151" s="22"/>
      <c r="R151" s="1"/>
      <c r="S151" s="22"/>
      <c r="T151" s="1"/>
      <c r="U151" s="18"/>
      <c r="V151" s="22"/>
      <c r="W151" s="1"/>
      <c r="X151" s="1"/>
      <c r="Y151" s="1"/>
      <c r="Z151" s="22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8"/>
      <c r="Q152" s="22"/>
      <c r="R152" s="1"/>
      <c r="S152" s="22"/>
      <c r="T152" s="1"/>
      <c r="U152" s="18"/>
      <c r="V152" s="22"/>
      <c r="W152" s="1"/>
      <c r="X152" s="1"/>
      <c r="Y152" s="1"/>
      <c r="Z152" s="22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8"/>
      <c r="Q153" s="22"/>
      <c r="R153" s="1"/>
      <c r="S153" s="22"/>
      <c r="T153" s="1"/>
      <c r="U153" s="18"/>
      <c r="V153" s="22"/>
      <c r="W153" s="1"/>
      <c r="X153" s="1"/>
      <c r="Y153" s="1"/>
      <c r="Z153" s="22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8"/>
      <c r="Q154" s="22"/>
      <c r="R154" s="1"/>
      <c r="S154" s="22"/>
      <c r="T154" s="1"/>
      <c r="U154" s="18"/>
      <c r="V154" s="22"/>
      <c r="W154" s="1"/>
      <c r="X154" s="1"/>
      <c r="Y154" s="1"/>
      <c r="Z154" s="22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8"/>
      <c r="Q155" s="22"/>
      <c r="R155" s="1"/>
      <c r="S155" s="22"/>
      <c r="T155" s="1"/>
      <c r="U155" s="18"/>
      <c r="V155" s="22"/>
      <c r="W155" s="1"/>
      <c r="X155" s="1"/>
      <c r="Y155" s="1"/>
      <c r="Z155" s="22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8"/>
      <c r="Q156" s="22"/>
      <c r="R156" s="1"/>
      <c r="S156" s="22"/>
      <c r="T156" s="1"/>
      <c r="U156" s="18"/>
      <c r="V156" s="22"/>
      <c r="W156" s="1"/>
      <c r="X156" s="1"/>
      <c r="Y156" s="1"/>
      <c r="Z156" s="22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8"/>
      <c r="Q157" s="22"/>
      <c r="R157" s="1"/>
      <c r="S157" s="22"/>
      <c r="T157" s="1"/>
      <c r="U157" s="18"/>
      <c r="V157" s="22"/>
      <c r="W157" s="1"/>
      <c r="X157" s="1"/>
      <c r="Y157" s="1"/>
      <c r="Z157" s="22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8"/>
      <c r="Q158" s="22"/>
      <c r="R158" s="1"/>
      <c r="S158" s="22"/>
      <c r="T158" s="1"/>
      <c r="U158" s="18"/>
      <c r="V158" s="22"/>
      <c r="W158" s="1"/>
      <c r="X158" s="1"/>
      <c r="Y158" s="1"/>
      <c r="Z158" s="22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8"/>
      <c r="Q159" s="22"/>
      <c r="R159" s="1"/>
      <c r="S159" s="22"/>
      <c r="T159" s="1"/>
      <c r="U159" s="18"/>
      <c r="V159" s="22"/>
      <c r="W159" s="1"/>
      <c r="X159" s="1"/>
      <c r="Y159" s="1"/>
      <c r="Z159" s="22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8"/>
      <c r="Q160" s="22"/>
      <c r="R160" s="1"/>
      <c r="S160" s="22"/>
      <c r="T160" s="1"/>
      <c r="U160" s="18"/>
      <c r="V160" s="22"/>
      <c r="W160" s="1"/>
      <c r="X160" s="1"/>
      <c r="Y160" s="1"/>
      <c r="Z160" s="22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8"/>
      <c r="Q161" s="22"/>
      <c r="R161" s="1"/>
      <c r="S161" s="22"/>
      <c r="T161" s="1"/>
      <c r="U161" s="18"/>
      <c r="V161" s="22"/>
      <c r="W161" s="1"/>
      <c r="X161" s="1"/>
      <c r="Y161" s="1"/>
      <c r="Z161" s="22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8"/>
      <c r="Q162" s="22"/>
      <c r="R162" s="1"/>
      <c r="S162" s="22"/>
      <c r="T162" s="1"/>
      <c r="U162" s="18"/>
      <c r="V162" s="22"/>
      <c r="W162" s="1"/>
      <c r="X162" s="1"/>
      <c r="Y162" s="1"/>
      <c r="Z162" s="22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8"/>
      <c r="Q163" s="22"/>
      <c r="R163" s="1"/>
      <c r="S163" s="22"/>
      <c r="T163" s="1"/>
      <c r="U163" s="18"/>
      <c r="V163" s="22"/>
      <c r="W163" s="1"/>
      <c r="X163" s="1"/>
      <c r="Y163" s="1"/>
      <c r="Z163" s="22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8"/>
      <c r="Q164" s="22"/>
      <c r="R164" s="1"/>
      <c r="S164" s="22"/>
      <c r="T164" s="1"/>
      <c r="U164" s="18"/>
      <c r="V164" s="22"/>
      <c r="W164" s="1"/>
      <c r="X164" s="1"/>
      <c r="Y164" s="1"/>
      <c r="Z164" s="22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8"/>
      <c r="Q165" s="22"/>
      <c r="R165" s="1"/>
      <c r="S165" s="22"/>
      <c r="T165" s="1"/>
      <c r="U165" s="18"/>
      <c r="V165" s="22"/>
      <c r="W165" s="1"/>
      <c r="X165" s="1"/>
      <c r="Y165" s="1"/>
      <c r="Z165" s="22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8"/>
      <c r="Q166" s="22"/>
      <c r="R166" s="1"/>
      <c r="S166" s="22"/>
      <c r="T166" s="1"/>
      <c r="U166" s="18"/>
      <c r="V166" s="22"/>
      <c r="W166" s="1"/>
      <c r="X166" s="1"/>
      <c r="Y166" s="1"/>
      <c r="Z166" s="22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8"/>
      <c r="Q167" s="22"/>
      <c r="R167" s="1"/>
      <c r="S167" s="22"/>
      <c r="T167" s="1"/>
      <c r="U167" s="18"/>
      <c r="V167" s="22"/>
      <c r="W167" s="1"/>
      <c r="X167" s="1"/>
      <c r="Y167" s="1"/>
      <c r="Z167" s="22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8"/>
      <c r="Q168" s="22"/>
      <c r="R168" s="1"/>
      <c r="S168" s="22"/>
      <c r="T168" s="1"/>
      <c r="U168" s="18"/>
      <c r="V168" s="22"/>
      <c r="W168" s="1"/>
      <c r="X168" s="1"/>
      <c r="Y168" s="1"/>
      <c r="Z168" s="22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8"/>
      <c r="Q169" s="22"/>
      <c r="R169" s="1"/>
      <c r="S169" s="22"/>
      <c r="T169" s="1"/>
      <c r="U169" s="18"/>
      <c r="V169" s="22"/>
      <c r="W169" s="1"/>
      <c r="X169" s="1"/>
      <c r="Y169" s="1"/>
      <c r="Z169" s="22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8"/>
      <c r="Q170" s="22"/>
      <c r="R170" s="1"/>
      <c r="S170" s="22"/>
      <c r="T170" s="1"/>
      <c r="U170" s="18"/>
      <c r="V170" s="22"/>
      <c r="W170" s="1"/>
      <c r="X170" s="1"/>
      <c r="Y170" s="1"/>
      <c r="Z170" s="22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8"/>
      <c r="Q171" s="22"/>
      <c r="R171" s="1"/>
      <c r="S171" s="22"/>
      <c r="T171" s="1"/>
      <c r="U171" s="18"/>
      <c r="V171" s="22"/>
      <c r="W171" s="1"/>
      <c r="X171" s="1"/>
      <c r="Y171" s="1"/>
      <c r="Z171" s="22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8"/>
      <c r="Q172" s="22"/>
      <c r="R172" s="1"/>
      <c r="S172" s="22"/>
      <c r="T172" s="1"/>
      <c r="U172" s="18"/>
      <c r="V172" s="22"/>
      <c r="W172" s="1"/>
      <c r="X172" s="1"/>
      <c r="Y172" s="1"/>
      <c r="Z172" s="22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8"/>
      <c r="Q173" s="22"/>
      <c r="R173" s="1"/>
      <c r="S173" s="22"/>
      <c r="T173" s="1"/>
      <c r="U173" s="18"/>
      <c r="V173" s="22"/>
      <c r="W173" s="1"/>
      <c r="X173" s="1"/>
      <c r="Y173" s="1"/>
      <c r="Z173" s="22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8"/>
      <c r="Q174" s="22"/>
      <c r="R174" s="1"/>
      <c r="S174" s="22"/>
      <c r="T174" s="1"/>
      <c r="U174" s="18"/>
      <c r="V174" s="22"/>
      <c r="W174" s="1"/>
      <c r="X174" s="1"/>
      <c r="Y174" s="1"/>
      <c r="Z174" s="22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8"/>
      <c r="Q175" s="22"/>
      <c r="R175" s="1"/>
      <c r="S175" s="22"/>
      <c r="T175" s="1"/>
      <c r="U175" s="18"/>
      <c r="V175" s="22"/>
      <c r="W175" s="1"/>
      <c r="X175" s="1"/>
      <c r="Y175" s="1"/>
      <c r="Z175" s="22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8"/>
      <c r="Q176" s="22"/>
      <c r="R176" s="1"/>
      <c r="S176" s="22"/>
      <c r="T176" s="1"/>
      <c r="U176" s="18"/>
      <c r="V176" s="22"/>
      <c r="W176" s="1"/>
      <c r="X176" s="1"/>
      <c r="Y176" s="1"/>
      <c r="Z176" s="22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8"/>
      <c r="Q177" s="22"/>
      <c r="R177" s="1"/>
      <c r="S177" s="22"/>
      <c r="T177" s="1"/>
      <c r="U177" s="18"/>
      <c r="V177" s="22"/>
      <c r="W177" s="1"/>
      <c r="X177" s="1"/>
      <c r="Y177" s="1"/>
      <c r="Z177" s="22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8"/>
      <c r="Q178" s="22"/>
      <c r="R178" s="1"/>
      <c r="S178" s="22"/>
      <c r="T178" s="1"/>
      <c r="U178" s="18"/>
      <c r="V178" s="22"/>
      <c r="W178" s="1"/>
      <c r="X178" s="1"/>
      <c r="Y178" s="1"/>
      <c r="Z178" s="22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8"/>
      <c r="Q179" s="22"/>
      <c r="R179" s="1"/>
      <c r="S179" s="22"/>
      <c r="T179" s="1"/>
      <c r="U179" s="18"/>
      <c r="V179" s="22"/>
      <c r="W179" s="1"/>
      <c r="X179" s="1"/>
      <c r="Y179" s="1"/>
      <c r="Z179" s="22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8"/>
      <c r="Q180" s="22"/>
      <c r="R180" s="1"/>
      <c r="S180" s="22"/>
      <c r="T180" s="1"/>
      <c r="U180" s="18"/>
      <c r="V180" s="22"/>
      <c r="W180" s="1"/>
      <c r="X180" s="1"/>
      <c r="Y180" s="1"/>
      <c r="Z180" s="22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8"/>
      <c r="Q181" s="22"/>
      <c r="R181" s="1"/>
      <c r="S181" s="22"/>
      <c r="T181" s="1"/>
      <c r="U181" s="18"/>
      <c r="V181" s="22"/>
      <c r="W181" s="1"/>
      <c r="X181" s="1"/>
      <c r="Y181" s="1"/>
      <c r="Z181" s="22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8"/>
      <c r="Q182" s="22"/>
      <c r="R182" s="1"/>
      <c r="S182" s="22"/>
      <c r="T182" s="1"/>
      <c r="U182" s="18"/>
      <c r="V182" s="22"/>
      <c r="W182" s="1"/>
      <c r="X182" s="1"/>
      <c r="Y182" s="1"/>
      <c r="Z182" s="22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8"/>
      <c r="Q183" s="22"/>
      <c r="R183" s="1"/>
      <c r="S183" s="22"/>
      <c r="T183" s="1"/>
      <c r="U183" s="18"/>
      <c r="V183" s="22"/>
      <c r="W183" s="1"/>
      <c r="X183" s="1"/>
      <c r="Y183" s="1"/>
      <c r="Z183" s="22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8"/>
      <c r="Q184" s="22"/>
      <c r="R184" s="1"/>
      <c r="S184" s="22"/>
      <c r="T184" s="1"/>
      <c r="U184" s="18"/>
      <c r="V184" s="22"/>
      <c r="W184" s="1"/>
      <c r="X184" s="1"/>
      <c r="Y184" s="1"/>
      <c r="Z184" s="22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8"/>
      <c r="Q185" s="22"/>
      <c r="R185" s="1"/>
      <c r="S185" s="22"/>
      <c r="T185" s="1"/>
      <c r="U185" s="18"/>
      <c r="V185" s="22"/>
      <c r="W185" s="1"/>
      <c r="X185" s="1"/>
      <c r="Y185" s="1"/>
      <c r="Z185" s="22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8"/>
      <c r="Q186" s="22"/>
      <c r="R186" s="1"/>
      <c r="S186" s="22"/>
      <c r="T186" s="1"/>
      <c r="U186" s="18"/>
      <c r="V186" s="22"/>
      <c r="W186" s="1"/>
      <c r="X186" s="1"/>
      <c r="Y186" s="1"/>
      <c r="Z186" s="22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8"/>
      <c r="Q187" s="22"/>
      <c r="R187" s="1"/>
      <c r="S187" s="22"/>
      <c r="T187" s="1"/>
      <c r="U187" s="18"/>
      <c r="V187" s="22"/>
      <c r="W187" s="1"/>
      <c r="X187" s="1"/>
      <c r="Y187" s="1"/>
      <c r="Z187" s="22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8"/>
      <c r="Q188" s="22"/>
      <c r="R188" s="1"/>
      <c r="S188" s="22"/>
      <c r="T188" s="1"/>
      <c r="U188" s="18"/>
      <c r="V188" s="22"/>
      <c r="W188" s="1"/>
      <c r="X188" s="1"/>
      <c r="Y188" s="1"/>
      <c r="Z188" s="22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8"/>
      <c r="Q189" s="22"/>
      <c r="R189" s="1"/>
      <c r="S189" s="22"/>
      <c r="T189" s="1"/>
      <c r="U189" s="18"/>
      <c r="V189" s="22"/>
      <c r="W189" s="1"/>
      <c r="X189" s="1"/>
      <c r="Y189" s="1"/>
      <c r="Z189" s="22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8"/>
      <c r="Q190" s="22"/>
      <c r="R190" s="1"/>
      <c r="S190" s="22"/>
      <c r="T190" s="1"/>
      <c r="U190" s="18"/>
      <c r="V190" s="22"/>
      <c r="W190" s="1"/>
      <c r="X190" s="1"/>
      <c r="Y190" s="1"/>
      <c r="Z190" s="22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8"/>
      <c r="Q191" s="22"/>
      <c r="R191" s="1"/>
      <c r="S191" s="22"/>
      <c r="T191" s="1"/>
      <c r="U191" s="18"/>
      <c r="V191" s="22"/>
      <c r="W191" s="1"/>
      <c r="X191" s="1"/>
      <c r="Y191" s="1"/>
      <c r="Z191" s="22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8"/>
      <c r="Q192" s="22"/>
      <c r="R192" s="1"/>
      <c r="S192" s="22"/>
      <c r="T192" s="1"/>
      <c r="U192" s="18"/>
      <c r="V192" s="22"/>
      <c r="W192" s="1"/>
      <c r="X192" s="1"/>
      <c r="Y192" s="1"/>
      <c r="Z192" s="22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8"/>
      <c r="Q193" s="22"/>
      <c r="R193" s="1"/>
      <c r="S193" s="22"/>
      <c r="T193" s="1"/>
      <c r="U193" s="18"/>
      <c r="V193" s="22"/>
      <c r="W193" s="1"/>
      <c r="X193" s="1"/>
      <c r="Y193" s="1"/>
      <c r="Z193" s="22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8"/>
      <c r="Q194" s="22"/>
      <c r="R194" s="1"/>
      <c r="S194" s="22"/>
      <c r="T194" s="1"/>
      <c r="U194" s="18"/>
      <c r="V194" s="22"/>
      <c r="W194" s="1"/>
      <c r="X194" s="1"/>
      <c r="Y194" s="1"/>
      <c r="Z194" s="22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8"/>
      <c r="Q195" s="22"/>
      <c r="R195" s="1"/>
      <c r="S195" s="22"/>
      <c r="T195" s="1"/>
      <c r="U195" s="18"/>
      <c r="V195" s="22"/>
      <c r="W195" s="1"/>
      <c r="X195" s="1"/>
      <c r="Y195" s="1"/>
      <c r="Z195" s="22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8"/>
      <c r="Q196" s="22"/>
      <c r="R196" s="1"/>
      <c r="S196" s="22"/>
      <c r="T196" s="1"/>
      <c r="U196" s="18"/>
      <c r="V196" s="22"/>
      <c r="W196" s="1"/>
      <c r="X196" s="1"/>
      <c r="Y196" s="1"/>
      <c r="Z196" s="22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8"/>
      <c r="Q197" s="22"/>
      <c r="R197" s="1"/>
      <c r="S197" s="22"/>
      <c r="T197" s="1"/>
      <c r="U197" s="18"/>
      <c r="V197" s="22"/>
      <c r="W197" s="1"/>
      <c r="X197" s="1"/>
      <c r="Y197" s="1"/>
      <c r="Z197" s="22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8"/>
      <c r="Q198" s="22"/>
      <c r="R198" s="1"/>
      <c r="S198" s="22"/>
      <c r="T198" s="1"/>
      <c r="U198" s="18"/>
      <c r="V198" s="22"/>
      <c r="W198" s="1"/>
      <c r="X198" s="1"/>
      <c r="Y198" s="1"/>
      <c r="Z198" s="22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8"/>
      <c r="Q199" s="22"/>
      <c r="R199" s="1"/>
      <c r="S199" s="22"/>
      <c r="T199" s="1"/>
      <c r="U199" s="18"/>
      <c r="V199" s="22"/>
      <c r="W199" s="1"/>
      <c r="X199" s="1"/>
      <c r="Y199" s="1"/>
      <c r="Z199" s="22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8"/>
      <c r="Q200" s="22"/>
      <c r="R200" s="1"/>
      <c r="S200" s="22"/>
      <c r="T200" s="1"/>
      <c r="U200" s="18"/>
      <c r="V200" s="22"/>
      <c r="W200" s="1"/>
      <c r="X200" s="1"/>
      <c r="Y200" s="1"/>
      <c r="Z200" s="22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8"/>
      <c r="Q201" s="22"/>
      <c r="R201" s="1"/>
      <c r="S201" s="22"/>
      <c r="T201" s="1"/>
      <c r="U201" s="18"/>
      <c r="V201" s="22"/>
      <c r="W201" s="1"/>
      <c r="X201" s="1"/>
      <c r="Y201" s="1"/>
      <c r="Z201" s="22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8"/>
      <c r="Q202" s="22"/>
      <c r="R202" s="1"/>
      <c r="S202" s="22"/>
      <c r="T202" s="1"/>
      <c r="U202" s="18"/>
      <c r="V202" s="22"/>
      <c r="W202" s="1"/>
      <c r="X202" s="1"/>
      <c r="Y202" s="1"/>
      <c r="Z202" s="22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8"/>
      <c r="Q203" s="22"/>
      <c r="R203" s="1"/>
      <c r="S203" s="22"/>
      <c r="T203" s="1"/>
      <c r="U203" s="18"/>
      <c r="V203" s="22"/>
      <c r="W203" s="1"/>
      <c r="X203" s="1"/>
      <c r="Y203" s="1"/>
      <c r="Z203" s="22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8"/>
      <c r="Q204" s="22"/>
      <c r="R204" s="1"/>
      <c r="S204" s="22"/>
      <c r="T204" s="1"/>
      <c r="U204" s="18"/>
      <c r="V204" s="22"/>
      <c r="W204" s="1"/>
      <c r="X204" s="1"/>
      <c r="Y204" s="1"/>
      <c r="Z204" s="22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8"/>
      <c r="Q205" s="22"/>
      <c r="R205" s="1"/>
      <c r="S205" s="22"/>
      <c r="T205" s="1"/>
      <c r="U205" s="18"/>
      <c r="V205" s="22"/>
      <c r="W205" s="1"/>
      <c r="X205" s="1"/>
      <c r="Y205" s="1"/>
      <c r="Z205" s="22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8"/>
      <c r="Q206" s="22"/>
      <c r="R206" s="1"/>
      <c r="S206" s="22"/>
      <c r="T206" s="1"/>
      <c r="U206" s="18"/>
      <c r="V206" s="22"/>
      <c r="W206" s="1"/>
      <c r="X206" s="1"/>
      <c r="Y206" s="1"/>
      <c r="Z206" s="22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8"/>
      <c r="Q207" s="22"/>
      <c r="R207" s="1"/>
      <c r="S207" s="22"/>
      <c r="T207" s="1"/>
      <c r="U207" s="18"/>
      <c r="V207" s="22"/>
      <c r="W207" s="1"/>
      <c r="X207" s="1"/>
      <c r="Y207" s="1"/>
      <c r="Z207" s="22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8"/>
      <c r="Q208" s="22"/>
      <c r="R208" s="1"/>
      <c r="S208" s="22"/>
      <c r="T208" s="1"/>
      <c r="U208" s="18"/>
      <c r="V208" s="22"/>
      <c r="W208" s="1"/>
      <c r="X208" s="1"/>
      <c r="Y208" s="1"/>
      <c r="Z208" s="22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8"/>
      <c r="Q209" s="22"/>
      <c r="R209" s="1"/>
      <c r="S209" s="22"/>
      <c r="T209" s="1"/>
      <c r="U209" s="18"/>
      <c r="V209" s="22"/>
      <c r="W209" s="1"/>
      <c r="X209" s="1"/>
      <c r="Y209" s="1"/>
      <c r="Z209" s="22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8"/>
      <c r="Q210" s="22"/>
      <c r="R210" s="1"/>
      <c r="S210" s="22"/>
      <c r="T210" s="1"/>
      <c r="U210" s="18"/>
      <c r="V210" s="22"/>
      <c r="W210" s="1"/>
      <c r="X210" s="1"/>
      <c r="Y210" s="1"/>
      <c r="Z210" s="22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8"/>
      <c r="Q211" s="22"/>
      <c r="R211" s="1"/>
      <c r="S211" s="22"/>
      <c r="T211" s="1"/>
      <c r="U211" s="18"/>
      <c r="V211" s="22"/>
      <c r="W211" s="1"/>
      <c r="X211" s="1"/>
      <c r="Y211" s="1"/>
      <c r="Z211" s="22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8"/>
      <c r="Q212" s="22"/>
      <c r="R212" s="1"/>
      <c r="S212" s="22"/>
      <c r="T212" s="1"/>
      <c r="U212" s="18"/>
      <c r="V212" s="22"/>
      <c r="W212" s="1"/>
      <c r="X212" s="1"/>
      <c r="Y212" s="1"/>
      <c r="Z212" s="22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8"/>
      <c r="Q213" s="22"/>
      <c r="R213" s="1"/>
      <c r="S213" s="22"/>
      <c r="T213" s="1"/>
      <c r="U213" s="18"/>
      <c r="V213" s="22"/>
      <c r="W213" s="1"/>
      <c r="X213" s="1"/>
      <c r="Y213" s="1"/>
      <c r="Z213" s="22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8"/>
      <c r="Q214" s="22"/>
      <c r="R214" s="1"/>
      <c r="S214" s="22"/>
      <c r="T214" s="1"/>
      <c r="U214" s="18"/>
      <c r="V214" s="22"/>
      <c r="W214" s="1"/>
      <c r="X214" s="1"/>
      <c r="Y214" s="1"/>
      <c r="Z214" s="22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8"/>
      <c r="Q215" s="22"/>
      <c r="R215" s="1"/>
      <c r="S215" s="22"/>
      <c r="T215" s="1"/>
      <c r="U215" s="18"/>
      <c r="V215" s="22"/>
      <c r="W215" s="1"/>
      <c r="X215" s="1"/>
      <c r="Y215" s="1"/>
      <c r="Z215" s="22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8"/>
      <c r="Q216" s="22"/>
      <c r="R216" s="1"/>
      <c r="S216" s="22"/>
      <c r="T216" s="1"/>
      <c r="U216" s="18"/>
      <c r="V216" s="22"/>
      <c r="W216" s="1"/>
      <c r="X216" s="1"/>
      <c r="Y216" s="1"/>
      <c r="Z216" s="22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8"/>
      <c r="Q217" s="22"/>
      <c r="R217" s="1"/>
      <c r="S217" s="22"/>
      <c r="T217" s="1"/>
      <c r="U217" s="18"/>
      <c r="V217" s="22"/>
      <c r="W217" s="1"/>
      <c r="X217" s="1"/>
      <c r="Y217" s="1"/>
      <c r="Z217" s="22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8"/>
      <c r="Q218" s="22"/>
      <c r="R218" s="1"/>
      <c r="S218" s="22"/>
      <c r="T218" s="1"/>
      <c r="U218" s="18"/>
      <c r="V218" s="22"/>
      <c r="W218" s="1"/>
      <c r="X218" s="1"/>
      <c r="Y218" s="1"/>
      <c r="Z218" s="22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8"/>
      <c r="Q219" s="22"/>
      <c r="R219" s="1"/>
      <c r="S219" s="22"/>
      <c r="T219" s="1"/>
      <c r="U219" s="18"/>
      <c r="V219" s="22"/>
      <c r="W219" s="1"/>
      <c r="X219" s="1"/>
      <c r="Y219" s="1"/>
      <c r="Z219" s="22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8"/>
      <c r="Q220" s="22"/>
      <c r="R220" s="1"/>
      <c r="S220" s="22"/>
      <c r="T220" s="1"/>
      <c r="U220" s="18"/>
      <c r="V220" s="22"/>
      <c r="W220" s="1"/>
      <c r="X220" s="1"/>
      <c r="Y220" s="1"/>
      <c r="Z220" s="22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8"/>
      <c r="Q221" s="22"/>
      <c r="R221" s="1"/>
      <c r="S221" s="22"/>
      <c r="T221" s="1"/>
      <c r="U221" s="18"/>
      <c r="V221" s="22"/>
      <c r="W221" s="1"/>
      <c r="X221" s="1"/>
      <c r="Y221" s="1"/>
      <c r="Z221" s="22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8"/>
      <c r="Q222" s="22"/>
      <c r="R222" s="1"/>
      <c r="S222" s="22"/>
      <c r="T222" s="1"/>
      <c r="U222" s="18"/>
      <c r="V222" s="22"/>
      <c r="W222" s="1"/>
      <c r="X222" s="1"/>
      <c r="Y222" s="1"/>
      <c r="Z222" s="22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8"/>
      <c r="Q223" s="22"/>
      <c r="R223" s="1"/>
      <c r="S223" s="22"/>
      <c r="T223" s="1"/>
      <c r="U223" s="18"/>
      <c r="V223" s="22"/>
      <c r="W223" s="1"/>
      <c r="X223" s="1"/>
      <c r="Y223" s="1"/>
      <c r="Z223" s="22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8"/>
      <c r="Q224" s="22"/>
      <c r="R224" s="1"/>
      <c r="S224" s="22"/>
      <c r="T224" s="1"/>
      <c r="U224" s="18"/>
      <c r="V224" s="22"/>
      <c r="W224" s="1"/>
      <c r="X224" s="1"/>
      <c r="Y224" s="1"/>
      <c r="Z224" s="22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8"/>
      <c r="Q225" s="22"/>
      <c r="R225" s="1"/>
      <c r="S225" s="22"/>
      <c r="T225" s="1"/>
      <c r="U225" s="18"/>
      <c r="V225" s="22"/>
      <c r="W225" s="1"/>
      <c r="X225" s="1"/>
      <c r="Y225" s="1"/>
      <c r="Z225" s="22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8"/>
      <c r="Q226" s="22"/>
      <c r="R226" s="1"/>
      <c r="S226" s="22"/>
      <c r="T226" s="1"/>
      <c r="U226" s="18"/>
      <c r="V226" s="22"/>
      <c r="W226" s="1"/>
      <c r="X226" s="1"/>
      <c r="Y226" s="1"/>
      <c r="Z226" s="22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8"/>
      <c r="Q227" s="22"/>
      <c r="R227" s="1"/>
      <c r="S227" s="22"/>
      <c r="T227" s="1"/>
      <c r="U227" s="18"/>
      <c r="V227" s="22"/>
      <c r="W227" s="1"/>
      <c r="X227" s="1"/>
      <c r="Y227" s="1"/>
      <c r="Z227" s="22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8"/>
      <c r="Q228" s="22"/>
      <c r="R228" s="1"/>
      <c r="S228" s="22"/>
      <c r="T228" s="1"/>
      <c r="U228" s="18"/>
      <c r="V228" s="22"/>
      <c r="W228" s="1"/>
      <c r="X228" s="1"/>
      <c r="Y228" s="1"/>
      <c r="Z228" s="22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8"/>
      <c r="Q229" s="22"/>
      <c r="R229" s="1"/>
      <c r="S229" s="22"/>
      <c r="T229" s="1"/>
      <c r="U229" s="18"/>
      <c r="V229" s="22"/>
      <c r="W229" s="1"/>
      <c r="X229" s="1"/>
      <c r="Y229" s="1"/>
      <c r="Z229" s="22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8"/>
      <c r="Q230" s="22"/>
      <c r="R230" s="1"/>
      <c r="S230" s="22"/>
      <c r="T230" s="1"/>
      <c r="U230" s="18"/>
      <c r="V230" s="22"/>
      <c r="W230" s="1"/>
      <c r="X230" s="1"/>
      <c r="Y230" s="1"/>
      <c r="Z230" s="22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8"/>
      <c r="Q231" s="22"/>
      <c r="R231" s="1"/>
      <c r="S231" s="22"/>
      <c r="T231" s="1"/>
      <c r="U231" s="18"/>
      <c r="V231" s="22"/>
      <c r="W231" s="1"/>
      <c r="X231" s="1"/>
      <c r="Y231" s="1"/>
      <c r="Z231" s="22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8"/>
      <c r="Q232" s="22"/>
      <c r="R232" s="1"/>
      <c r="S232" s="22"/>
      <c r="T232" s="1"/>
      <c r="U232" s="18"/>
      <c r="V232" s="22"/>
      <c r="W232" s="1"/>
      <c r="X232" s="1"/>
      <c r="Y232" s="1"/>
      <c r="Z232" s="22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8"/>
      <c r="Q233" s="22"/>
      <c r="R233" s="1"/>
      <c r="S233" s="22"/>
      <c r="T233" s="1"/>
      <c r="U233" s="18"/>
      <c r="V233" s="22"/>
      <c r="W233" s="1"/>
      <c r="X233" s="1"/>
      <c r="Y233" s="1"/>
      <c r="Z233" s="22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8"/>
      <c r="Q234" s="22"/>
      <c r="R234" s="1"/>
      <c r="S234" s="22"/>
      <c r="T234" s="1"/>
      <c r="U234" s="18"/>
      <c r="V234" s="22"/>
      <c r="W234" s="1"/>
      <c r="X234" s="1"/>
      <c r="Y234" s="1"/>
      <c r="Z234" s="22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8"/>
      <c r="Q235" s="22"/>
      <c r="R235" s="1"/>
      <c r="S235" s="22"/>
      <c r="T235" s="1"/>
      <c r="U235" s="18"/>
      <c r="V235" s="22"/>
      <c r="W235" s="1"/>
      <c r="X235" s="1"/>
      <c r="Y235" s="1"/>
      <c r="Z235" s="22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8"/>
      <c r="Q236" s="22"/>
      <c r="R236" s="1"/>
      <c r="S236" s="22"/>
      <c r="T236" s="1"/>
      <c r="U236" s="18"/>
      <c r="V236" s="22"/>
      <c r="W236" s="1"/>
      <c r="X236" s="1"/>
      <c r="Y236" s="1"/>
      <c r="Z236" s="22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8"/>
      <c r="Q237" s="22"/>
      <c r="R237" s="1"/>
      <c r="S237" s="22"/>
      <c r="T237" s="1"/>
      <c r="U237" s="18"/>
      <c r="V237" s="22"/>
      <c r="W237" s="1"/>
      <c r="X237" s="1"/>
      <c r="Y237" s="1"/>
      <c r="Z237" s="22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8"/>
      <c r="Q238" s="22"/>
      <c r="R238" s="1"/>
      <c r="S238" s="22"/>
      <c r="T238" s="1"/>
      <c r="U238" s="18"/>
      <c r="V238" s="22"/>
      <c r="W238" s="1"/>
      <c r="X238" s="1"/>
      <c r="Y238" s="1"/>
      <c r="Z238" s="22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8"/>
      <c r="Q239" s="22"/>
      <c r="R239" s="1"/>
      <c r="S239" s="22"/>
      <c r="T239" s="1"/>
      <c r="U239" s="18"/>
      <c r="V239" s="22"/>
      <c r="W239" s="1"/>
      <c r="X239" s="1"/>
      <c r="Y239" s="1"/>
      <c r="Z239" s="22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8"/>
      <c r="Q240" s="22"/>
      <c r="R240" s="1"/>
      <c r="S240" s="22"/>
      <c r="T240" s="1"/>
      <c r="U240" s="18"/>
      <c r="V240" s="22"/>
      <c r="W240" s="1"/>
      <c r="X240" s="1"/>
      <c r="Y240" s="1"/>
      <c r="Z240" s="22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8"/>
      <c r="Q241" s="22"/>
      <c r="R241" s="1"/>
      <c r="S241" s="22"/>
      <c r="T241" s="1"/>
      <c r="U241" s="18"/>
      <c r="V241" s="22"/>
      <c r="W241" s="1"/>
      <c r="X241" s="1"/>
      <c r="Y241" s="1"/>
      <c r="Z241" s="22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8"/>
      <c r="Q242" s="22"/>
      <c r="R242" s="1"/>
      <c r="S242" s="22"/>
      <c r="T242" s="1"/>
      <c r="U242" s="18"/>
      <c r="V242" s="22"/>
      <c r="W242" s="1"/>
      <c r="X242" s="1"/>
      <c r="Y242" s="1"/>
      <c r="Z242" s="22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8"/>
      <c r="Q243" s="22"/>
      <c r="R243" s="1"/>
      <c r="S243" s="22"/>
      <c r="T243" s="1"/>
      <c r="U243" s="18"/>
      <c r="V243" s="22"/>
      <c r="W243" s="1"/>
      <c r="X243" s="1"/>
      <c r="Y243" s="1"/>
      <c r="Z243" s="22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8"/>
      <c r="Q244" s="22"/>
      <c r="R244" s="1"/>
      <c r="S244" s="22"/>
      <c r="T244" s="1"/>
      <c r="U244" s="18"/>
      <c r="V244" s="22"/>
      <c r="W244" s="1"/>
      <c r="X244" s="1"/>
      <c r="Y244" s="1"/>
      <c r="Z244" s="22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8"/>
      <c r="Q245" s="22"/>
      <c r="R245" s="1"/>
      <c r="S245" s="22"/>
      <c r="T245" s="1"/>
      <c r="U245" s="18"/>
      <c r="V245" s="22"/>
      <c r="W245" s="1"/>
      <c r="X245" s="1"/>
      <c r="Y245" s="1"/>
      <c r="Z245" s="22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8"/>
      <c r="Q246" s="22"/>
      <c r="R246" s="1"/>
      <c r="S246" s="22"/>
      <c r="T246" s="1"/>
      <c r="U246" s="18"/>
      <c r="V246" s="22"/>
      <c r="W246" s="1"/>
      <c r="X246" s="1"/>
      <c r="Y246" s="1"/>
      <c r="Z246" s="22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8"/>
      <c r="Q247" s="22"/>
      <c r="R247" s="1"/>
      <c r="S247" s="22"/>
      <c r="T247" s="1"/>
      <c r="U247" s="18"/>
      <c r="V247" s="22"/>
      <c r="W247" s="1"/>
      <c r="X247" s="1"/>
      <c r="Y247" s="1"/>
      <c r="Z247" s="22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8"/>
      <c r="Q248" s="22"/>
      <c r="R248" s="1"/>
      <c r="S248" s="22"/>
      <c r="T248" s="1"/>
      <c r="U248" s="18"/>
      <c r="V248" s="22"/>
      <c r="W248" s="1"/>
      <c r="X248" s="1"/>
      <c r="Y248" s="1"/>
      <c r="Z248" s="22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8"/>
      <c r="Q249" s="22"/>
      <c r="R249" s="1"/>
      <c r="S249" s="22"/>
      <c r="T249" s="1"/>
      <c r="U249" s="18"/>
      <c r="V249" s="22"/>
      <c r="W249" s="1"/>
      <c r="X249" s="1"/>
      <c r="Y249" s="1"/>
      <c r="Z249" s="22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8"/>
      <c r="Q250" s="22"/>
      <c r="R250" s="1"/>
      <c r="S250" s="22"/>
      <c r="T250" s="1"/>
      <c r="U250" s="18"/>
      <c r="V250" s="22"/>
      <c r="W250" s="1"/>
      <c r="X250" s="1"/>
      <c r="Y250" s="1"/>
      <c r="Z250" s="22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8"/>
      <c r="Q251" s="22"/>
      <c r="R251" s="1"/>
      <c r="S251" s="22"/>
      <c r="T251" s="1"/>
      <c r="U251" s="18"/>
      <c r="V251" s="22"/>
      <c r="W251" s="1"/>
      <c r="X251" s="1"/>
      <c r="Y251" s="1"/>
      <c r="Z251" s="22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8"/>
      <c r="Q252" s="22"/>
      <c r="R252" s="1"/>
      <c r="S252" s="22"/>
      <c r="T252" s="1"/>
      <c r="U252" s="18"/>
      <c r="V252" s="22"/>
      <c r="W252" s="1"/>
      <c r="X252" s="1"/>
      <c r="Y252" s="1"/>
      <c r="Z252" s="22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8"/>
      <c r="Q253" s="22"/>
      <c r="R253" s="1"/>
      <c r="S253" s="22"/>
      <c r="T253" s="1"/>
      <c r="U253" s="18"/>
      <c r="V253" s="22"/>
      <c r="W253" s="1"/>
      <c r="X253" s="1"/>
      <c r="Y253" s="1"/>
      <c r="Z253" s="22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8"/>
      <c r="Q254" s="22"/>
      <c r="R254" s="1"/>
      <c r="S254" s="22"/>
      <c r="T254" s="1"/>
      <c r="U254" s="18"/>
      <c r="V254" s="22"/>
      <c r="W254" s="1"/>
      <c r="X254" s="1"/>
      <c r="Y254" s="1"/>
      <c r="Z254" s="22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8"/>
      <c r="Q255" s="22"/>
      <c r="R255" s="1"/>
      <c r="S255" s="22"/>
      <c r="T255" s="1"/>
      <c r="U255" s="18"/>
      <c r="V255" s="22"/>
      <c r="W255" s="1"/>
      <c r="X255" s="1"/>
      <c r="Y255" s="1"/>
      <c r="Z255" s="22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8"/>
      <c r="Q256" s="22"/>
      <c r="R256" s="1"/>
      <c r="S256" s="22"/>
      <c r="T256" s="1"/>
      <c r="U256" s="18"/>
      <c r="V256" s="22"/>
      <c r="W256" s="1"/>
      <c r="X256" s="1"/>
      <c r="Y256" s="1"/>
      <c r="Z256" s="22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8"/>
      <c r="Q257" s="22"/>
      <c r="R257" s="1"/>
      <c r="S257" s="22"/>
      <c r="T257" s="1"/>
      <c r="U257" s="18"/>
      <c r="V257" s="22"/>
      <c r="W257" s="1"/>
      <c r="X257" s="1"/>
      <c r="Y257" s="1"/>
      <c r="Z257" s="22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8"/>
      <c r="Q258" s="22"/>
      <c r="R258" s="1"/>
      <c r="S258" s="22"/>
      <c r="T258" s="1"/>
      <c r="U258" s="18"/>
      <c r="V258" s="22"/>
      <c r="W258" s="1"/>
      <c r="X258" s="1"/>
      <c r="Y258" s="1"/>
      <c r="Z258" s="22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8"/>
      <c r="Q259" s="22"/>
      <c r="R259" s="1"/>
      <c r="S259" s="22"/>
      <c r="T259" s="1"/>
      <c r="U259" s="18"/>
      <c r="V259" s="22"/>
      <c r="W259" s="1"/>
      <c r="X259" s="1"/>
      <c r="Y259" s="1"/>
      <c r="Z259" s="22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8"/>
      <c r="Q260" s="22"/>
      <c r="R260" s="1"/>
      <c r="S260" s="22"/>
      <c r="T260" s="1"/>
      <c r="U260" s="18"/>
      <c r="V260" s="22"/>
      <c r="W260" s="1"/>
      <c r="X260" s="1"/>
      <c r="Y260" s="1"/>
      <c r="Z260" s="22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8"/>
      <c r="Q261" s="22"/>
      <c r="R261" s="1"/>
      <c r="S261" s="22"/>
      <c r="T261" s="1"/>
      <c r="U261" s="18"/>
      <c r="V261" s="22"/>
      <c r="W261" s="1"/>
      <c r="X261" s="1"/>
      <c r="Y261" s="1"/>
      <c r="Z261" s="22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8"/>
      <c r="Q262" s="22"/>
      <c r="R262" s="1"/>
      <c r="S262" s="22"/>
      <c r="T262" s="1"/>
      <c r="U262" s="18"/>
      <c r="V262" s="22"/>
      <c r="W262" s="1"/>
      <c r="X262" s="1"/>
      <c r="Y262" s="1"/>
      <c r="Z262" s="22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8"/>
      <c r="Q263" s="22"/>
      <c r="R263" s="1"/>
      <c r="S263" s="22"/>
      <c r="T263" s="1"/>
      <c r="U263" s="18"/>
      <c r="V263" s="22"/>
      <c r="W263" s="1"/>
      <c r="X263" s="1"/>
      <c r="Y263" s="1"/>
      <c r="Z263" s="22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8"/>
      <c r="Q264" s="22"/>
      <c r="R264" s="1"/>
      <c r="S264" s="22"/>
      <c r="T264" s="1"/>
      <c r="U264" s="18"/>
      <c r="V264" s="22"/>
      <c r="W264" s="1"/>
      <c r="X264" s="1"/>
      <c r="Y264" s="1"/>
      <c r="Z264" s="22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8"/>
      <c r="Q265" s="22"/>
      <c r="R265" s="1"/>
      <c r="S265" s="22"/>
      <c r="T265" s="1"/>
      <c r="U265" s="18"/>
      <c r="V265" s="22"/>
      <c r="W265" s="1"/>
      <c r="X265" s="1"/>
      <c r="Y265" s="1"/>
      <c r="Z265" s="22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8"/>
      <c r="Q266" s="22"/>
      <c r="R266" s="1"/>
      <c r="S266" s="22"/>
      <c r="T266" s="1"/>
      <c r="U266" s="18"/>
      <c r="V266" s="22"/>
      <c r="W266" s="1"/>
      <c r="X266" s="1"/>
      <c r="Y266" s="1"/>
      <c r="Z266" s="22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8"/>
      <c r="Q267" s="22"/>
      <c r="R267" s="1"/>
      <c r="S267" s="22"/>
      <c r="T267" s="1"/>
      <c r="U267" s="18"/>
      <c r="V267" s="22"/>
      <c r="W267" s="1"/>
      <c r="X267" s="1"/>
      <c r="Y267" s="1"/>
      <c r="Z267" s="22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8"/>
      <c r="Q268" s="22"/>
      <c r="R268" s="1"/>
      <c r="S268" s="22"/>
      <c r="T268" s="1"/>
      <c r="U268" s="18"/>
      <c r="V268" s="22"/>
      <c r="W268" s="1"/>
      <c r="X268" s="1"/>
      <c r="Y268" s="1"/>
      <c r="Z268" s="22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8"/>
      <c r="Q269" s="22"/>
      <c r="R269" s="1"/>
      <c r="S269" s="22"/>
      <c r="T269" s="1"/>
      <c r="U269" s="18"/>
      <c r="V269" s="22"/>
      <c r="W269" s="1"/>
      <c r="X269" s="1"/>
      <c r="Y269" s="1"/>
      <c r="Z269" s="22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8"/>
      <c r="Q270" s="22"/>
      <c r="R270" s="1"/>
      <c r="S270" s="22"/>
      <c r="T270" s="1"/>
      <c r="U270" s="18"/>
      <c r="V270" s="22"/>
      <c r="W270" s="1"/>
      <c r="X270" s="1"/>
      <c r="Y270" s="1"/>
      <c r="Z270" s="22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8"/>
      <c r="Q271" s="22"/>
      <c r="R271" s="1"/>
      <c r="S271" s="22"/>
      <c r="T271" s="1"/>
      <c r="U271" s="18"/>
      <c r="V271" s="22"/>
      <c r="W271" s="1"/>
      <c r="X271" s="1"/>
      <c r="Y271" s="1"/>
      <c r="Z271" s="22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8"/>
      <c r="Q272" s="22"/>
      <c r="R272" s="1"/>
      <c r="S272" s="22"/>
      <c r="T272" s="1"/>
      <c r="U272" s="18"/>
      <c r="V272" s="22"/>
      <c r="W272" s="1"/>
      <c r="X272" s="1"/>
      <c r="Y272" s="1"/>
      <c r="Z272" s="22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8"/>
      <c r="Q273" s="22"/>
      <c r="R273" s="1"/>
      <c r="S273" s="22"/>
      <c r="T273" s="1"/>
      <c r="U273" s="18"/>
      <c r="V273" s="22"/>
      <c r="W273" s="1"/>
      <c r="X273" s="1"/>
      <c r="Y273" s="1"/>
      <c r="Z273" s="22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8"/>
      <c r="Q274" s="22"/>
      <c r="R274" s="1"/>
      <c r="S274" s="22"/>
      <c r="T274" s="1"/>
      <c r="U274" s="18"/>
      <c r="V274" s="22"/>
      <c r="W274" s="1"/>
      <c r="X274" s="1"/>
      <c r="Y274" s="1"/>
      <c r="Z274" s="22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8"/>
      <c r="Q275" s="22"/>
      <c r="R275" s="1"/>
      <c r="S275" s="22"/>
      <c r="T275" s="1"/>
      <c r="U275" s="18"/>
      <c r="V275" s="22"/>
      <c r="W275" s="1"/>
      <c r="X275" s="1"/>
      <c r="Y275" s="1"/>
      <c r="Z275" s="22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8"/>
      <c r="Q276" s="22"/>
      <c r="R276" s="1"/>
      <c r="S276" s="22"/>
      <c r="T276" s="1"/>
      <c r="U276" s="18"/>
      <c r="V276" s="22"/>
      <c r="W276" s="1"/>
      <c r="X276" s="1"/>
      <c r="Y276" s="1"/>
      <c r="Z276" s="22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8"/>
      <c r="Q277" s="22"/>
      <c r="R277" s="1"/>
      <c r="S277" s="22"/>
      <c r="T277" s="1"/>
      <c r="U277" s="18"/>
      <c r="V277" s="22"/>
      <c r="W277" s="1"/>
      <c r="X277" s="1"/>
      <c r="Y277" s="1"/>
      <c r="Z277" s="22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8"/>
      <c r="Q278" s="22"/>
      <c r="R278" s="1"/>
      <c r="S278" s="22"/>
      <c r="T278" s="1"/>
      <c r="U278" s="18"/>
      <c r="V278" s="22"/>
      <c r="W278" s="1"/>
      <c r="X278" s="1"/>
      <c r="Y278" s="1"/>
      <c r="Z278" s="22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8"/>
      <c r="Q279" s="22"/>
      <c r="R279" s="1"/>
      <c r="S279" s="22"/>
      <c r="T279" s="1"/>
      <c r="U279" s="18"/>
      <c r="V279" s="22"/>
      <c r="W279" s="1"/>
      <c r="X279" s="1"/>
      <c r="Y279" s="1"/>
      <c r="Z279" s="22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8"/>
      <c r="Q280" s="22"/>
      <c r="R280" s="1"/>
      <c r="S280" s="22"/>
      <c r="T280" s="1"/>
      <c r="U280" s="18"/>
      <c r="V280" s="22"/>
      <c r="W280" s="1"/>
      <c r="X280" s="1"/>
      <c r="Y280" s="1"/>
      <c r="Z280" s="22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8"/>
      <c r="Q281" s="22"/>
      <c r="R281" s="1"/>
      <c r="S281" s="22"/>
      <c r="T281" s="1"/>
      <c r="U281" s="18"/>
      <c r="V281" s="22"/>
      <c r="W281" s="1"/>
      <c r="X281" s="1"/>
      <c r="Y281" s="1"/>
      <c r="Z281" s="22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8"/>
      <c r="Q282" s="22"/>
      <c r="R282" s="1"/>
      <c r="S282" s="22"/>
      <c r="T282" s="1"/>
      <c r="U282" s="18"/>
      <c r="V282" s="22"/>
      <c r="W282" s="1"/>
      <c r="X282" s="1"/>
      <c r="Y282" s="1"/>
      <c r="Z282" s="22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8"/>
      <c r="Q283" s="22"/>
      <c r="R283" s="1"/>
      <c r="S283" s="22"/>
      <c r="T283" s="1"/>
      <c r="U283" s="18"/>
      <c r="V283" s="22"/>
      <c r="W283" s="1"/>
      <c r="X283" s="1"/>
      <c r="Y283" s="1"/>
      <c r="Z283" s="22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8"/>
      <c r="Q284" s="22"/>
      <c r="R284" s="1"/>
      <c r="S284" s="22"/>
      <c r="T284" s="1"/>
      <c r="U284" s="18"/>
      <c r="V284" s="22"/>
      <c r="W284" s="1"/>
      <c r="X284" s="1"/>
      <c r="Y284" s="1"/>
      <c r="Z284" s="22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8"/>
      <c r="Q285" s="22"/>
      <c r="R285" s="1"/>
      <c r="S285" s="22"/>
      <c r="T285" s="1"/>
      <c r="U285" s="18"/>
      <c r="V285" s="22"/>
      <c r="W285" s="1"/>
      <c r="X285" s="1"/>
      <c r="Y285" s="1"/>
      <c r="Z285" s="22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8"/>
      <c r="Q286" s="22"/>
      <c r="R286" s="1"/>
      <c r="S286" s="22"/>
      <c r="T286" s="1"/>
      <c r="U286" s="18"/>
      <c r="V286" s="22"/>
      <c r="W286" s="1"/>
      <c r="X286" s="1"/>
      <c r="Y286" s="1"/>
      <c r="Z286" s="22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8"/>
      <c r="Q287" s="22"/>
      <c r="R287" s="1"/>
      <c r="S287" s="22"/>
      <c r="T287" s="1"/>
      <c r="U287" s="18"/>
      <c r="V287" s="22"/>
      <c r="W287" s="1"/>
      <c r="X287" s="1"/>
      <c r="Y287" s="1"/>
      <c r="Z287" s="22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8"/>
      <c r="Q288" s="22"/>
      <c r="R288" s="1"/>
      <c r="S288" s="22"/>
      <c r="T288" s="1"/>
      <c r="U288" s="18"/>
      <c r="V288" s="22"/>
      <c r="W288" s="1"/>
      <c r="X288" s="1"/>
      <c r="Y288" s="1"/>
      <c r="Z288" s="22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8"/>
      <c r="Q289" s="22"/>
      <c r="R289" s="1"/>
      <c r="S289" s="22"/>
      <c r="T289" s="1"/>
      <c r="U289" s="18"/>
      <c r="V289" s="22"/>
      <c r="W289" s="1"/>
      <c r="X289" s="1"/>
      <c r="Y289" s="1"/>
      <c r="Z289" s="22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8"/>
      <c r="Q290" s="22"/>
      <c r="R290" s="1"/>
      <c r="S290" s="22"/>
      <c r="T290" s="1"/>
      <c r="U290" s="18"/>
      <c r="V290" s="22"/>
      <c r="W290" s="1"/>
      <c r="X290" s="1"/>
      <c r="Y290" s="1"/>
      <c r="Z290" s="22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8"/>
      <c r="Q291" s="22"/>
      <c r="R291" s="1"/>
      <c r="S291" s="22"/>
      <c r="T291" s="1"/>
      <c r="U291" s="18"/>
      <c r="V291" s="22"/>
      <c r="W291" s="1"/>
      <c r="X291" s="1"/>
      <c r="Y291" s="1"/>
      <c r="Z291" s="22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8"/>
      <c r="Q292" s="22"/>
      <c r="R292" s="1"/>
      <c r="S292" s="22"/>
      <c r="T292" s="1"/>
      <c r="U292" s="18"/>
      <c r="V292" s="22"/>
      <c r="W292" s="1"/>
      <c r="X292" s="1"/>
      <c r="Y292" s="1"/>
      <c r="Z292" s="22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8"/>
      <c r="Q293" s="22"/>
      <c r="R293" s="1"/>
      <c r="S293" s="22"/>
      <c r="T293" s="1"/>
      <c r="U293" s="18"/>
      <c r="V293" s="22"/>
      <c r="W293" s="1"/>
      <c r="X293" s="1"/>
      <c r="Y293" s="1"/>
      <c r="Z293" s="22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8"/>
      <c r="Q294" s="22"/>
      <c r="R294" s="1"/>
      <c r="S294" s="22"/>
      <c r="T294" s="1"/>
      <c r="U294" s="18"/>
      <c r="V294" s="22"/>
      <c r="W294" s="1"/>
      <c r="X294" s="1"/>
      <c r="Y294" s="1"/>
      <c r="Z294" s="22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8"/>
      <c r="Q295" s="22"/>
      <c r="R295" s="1"/>
      <c r="S295" s="22"/>
      <c r="T295" s="1"/>
      <c r="U295" s="18"/>
      <c r="V295" s="22"/>
      <c r="W295" s="1"/>
      <c r="X295" s="1"/>
      <c r="Y295" s="1"/>
      <c r="Z295" s="22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8"/>
      <c r="Q296" s="22"/>
      <c r="R296" s="1"/>
      <c r="S296" s="22"/>
      <c r="T296" s="1"/>
      <c r="U296" s="18"/>
      <c r="V296" s="22"/>
      <c r="W296" s="1"/>
      <c r="X296" s="1"/>
      <c r="Y296" s="1"/>
      <c r="Z296" s="22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8"/>
      <c r="Q297" s="22"/>
      <c r="R297" s="1"/>
      <c r="S297" s="22"/>
      <c r="T297" s="1"/>
      <c r="U297" s="18"/>
      <c r="V297" s="22"/>
      <c r="W297" s="1"/>
      <c r="X297" s="1"/>
      <c r="Y297" s="1"/>
      <c r="Z297" s="22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8"/>
      <c r="Q298" s="22"/>
      <c r="R298" s="1"/>
      <c r="S298" s="22"/>
      <c r="T298" s="1"/>
      <c r="U298" s="18"/>
      <c r="V298" s="22"/>
      <c r="W298" s="1"/>
      <c r="X298" s="1"/>
      <c r="Y298" s="1"/>
      <c r="Z298" s="22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8"/>
      <c r="Q299" s="22"/>
      <c r="R299" s="1"/>
      <c r="S299" s="22"/>
      <c r="T299" s="1"/>
      <c r="U299" s="18"/>
      <c r="V299" s="22"/>
      <c r="W299" s="1"/>
      <c r="X299" s="1"/>
      <c r="Y299" s="1"/>
      <c r="Z299" s="22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8"/>
      <c r="Q300" s="22"/>
      <c r="R300" s="1"/>
      <c r="S300" s="22"/>
      <c r="T300" s="1"/>
      <c r="U300" s="18"/>
      <c r="V300" s="22"/>
      <c r="W300" s="1"/>
      <c r="X300" s="1"/>
      <c r="Y300" s="1"/>
      <c r="Z300" s="22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8"/>
      <c r="Q301" s="22"/>
      <c r="R301" s="1"/>
      <c r="S301" s="22"/>
      <c r="T301" s="1"/>
      <c r="U301" s="18"/>
      <c r="V301" s="22"/>
      <c r="W301" s="1"/>
      <c r="X301" s="1"/>
      <c r="Y301" s="1"/>
      <c r="Z301" s="22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8"/>
      <c r="Q302" s="22"/>
      <c r="R302" s="1"/>
      <c r="S302" s="22"/>
      <c r="T302" s="1"/>
      <c r="U302" s="18"/>
      <c r="V302" s="22"/>
      <c r="W302" s="1"/>
      <c r="X302" s="1"/>
      <c r="Y302" s="1"/>
      <c r="Z302" s="22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8"/>
      <c r="Q303" s="22"/>
      <c r="R303" s="1"/>
      <c r="S303" s="22"/>
      <c r="T303" s="1"/>
      <c r="U303" s="18"/>
      <c r="V303" s="22"/>
      <c r="W303" s="1"/>
      <c r="X303" s="1"/>
      <c r="Y303" s="1"/>
      <c r="Z303" s="22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8"/>
      <c r="Q304" s="22"/>
      <c r="R304" s="1"/>
      <c r="S304" s="22"/>
      <c r="T304" s="1"/>
      <c r="U304" s="18"/>
      <c r="V304" s="22"/>
      <c r="W304" s="1"/>
      <c r="X304" s="1"/>
      <c r="Y304" s="1"/>
      <c r="Z304" s="22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8"/>
      <c r="Q305" s="22"/>
      <c r="R305" s="1"/>
      <c r="S305" s="22"/>
      <c r="T305" s="1"/>
      <c r="U305" s="18"/>
      <c r="V305" s="22"/>
      <c r="W305" s="1"/>
      <c r="X305" s="1"/>
      <c r="Y305" s="1"/>
      <c r="Z305" s="22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8"/>
      <c r="Q306" s="22"/>
      <c r="R306" s="1"/>
      <c r="S306" s="22"/>
      <c r="T306" s="1"/>
      <c r="U306" s="18"/>
      <c r="V306" s="22"/>
      <c r="W306" s="1"/>
      <c r="X306" s="1"/>
      <c r="Y306" s="1"/>
      <c r="Z306" s="22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8"/>
      <c r="Q307" s="22"/>
      <c r="R307" s="1"/>
      <c r="S307" s="22"/>
      <c r="T307" s="1"/>
      <c r="U307" s="18"/>
      <c r="V307" s="22"/>
      <c r="W307" s="1"/>
      <c r="X307" s="1"/>
      <c r="Y307" s="1"/>
      <c r="Z307" s="22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8"/>
      <c r="Q308" s="22"/>
      <c r="R308" s="1"/>
      <c r="S308" s="22"/>
      <c r="T308" s="1"/>
      <c r="U308" s="18"/>
      <c r="V308" s="22"/>
      <c r="W308" s="1"/>
      <c r="X308" s="1"/>
      <c r="Y308" s="1"/>
      <c r="Z308" s="22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8"/>
      <c r="Q309" s="22"/>
      <c r="R309" s="1"/>
      <c r="S309" s="22"/>
      <c r="T309" s="1"/>
      <c r="U309" s="18"/>
      <c r="V309" s="22"/>
      <c r="W309" s="1"/>
      <c r="X309" s="1"/>
      <c r="Y309" s="1"/>
      <c r="Z309" s="22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8"/>
      <c r="Q310" s="22"/>
      <c r="R310" s="1"/>
      <c r="S310" s="22"/>
      <c r="T310" s="1"/>
      <c r="U310" s="18"/>
      <c r="V310" s="22"/>
      <c r="W310" s="1"/>
      <c r="X310" s="1"/>
      <c r="Y310" s="1"/>
      <c r="Z310" s="22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8"/>
      <c r="Q311" s="22"/>
      <c r="R311" s="1"/>
      <c r="S311" s="22"/>
      <c r="T311" s="1"/>
      <c r="U311" s="18"/>
      <c r="V311" s="22"/>
      <c r="W311" s="1"/>
      <c r="X311" s="1"/>
      <c r="Y311" s="1"/>
      <c r="Z311" s="22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8"/>
      <c r="Q312" s="22"/>
      <c r="R312" s="1"/>
      <c r="S312" s="22"/>
      <c r="T312" s="1"/>
      <c r="U312" s="18"/>
      <c r="V312" s="22"/>
      <c r="W312" s="1"/>
      <c r="X312" s="1"/>
      <c r="Y312" s="1"/>
      <c r="Z312" s="22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8"/>
      <c r="Q313" s="22"/>
      <c r="R313" s="1"/>
      <c r="S313" s="22"/>
      <c r="T313" s="1"/>
      <c r="U313" s="18"/>
      <c r="V313" s="22"/>
      <c r="W313" s="1"/>
      <c r="X313" s="1"/>
      <c r="Y313" s="1"/>
      <c r="Z313" s="22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8"/>
      <c r="Q314" s="22"/>
      <c r="R314" s="1"/>
      <c r="S314" s="22"/>
      <c r="T314" s="1"/>
      <c r="U314" s="18"/>
      <c r="V314" s="22"/>
      <c r="W314" s="1"/>
      <c r="X314" s="1"/>
      <c r="Y314" s="1"/>
      <c r="Z314" s="22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8"/>
      <c r="Q315" s="22"/>
      <c r="R315" s="1"/>
      <c r="S315" s="22"/>
      <c r="T315" s="1"/>
      <c r="U315" s="18"/>
      <c r="V315" s="22"/>
      <c r="W315" s="1"/>
      <c r="X315" s="1"/>
      <c r="Y315" s="1"/>
      <c r="Z315" s="22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8"/>
      <c r="Q316" s="22"/>
      <c r="R316" s="1"/>
      <c r="S316" s="22"/>
      <c r="T316" s="1"/>
      <c r="U316" s="18"/>
      <c r="V316" s="22"/>
      <c r="W316" s="1"/>
      <c r="X316" s="1"/>
      <c r="Y316" s="1"/>
      <c r="Z316" s="22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8"/>
      <c r="Q317" s="22"/>
      <c r="R317" s="1"/>
      <c r="S317" s="22"/>
      <c r="T317" s="1"/>
      <c r="U317" s="18"/>
      <c r="V317" s="22"/>
      <c r="W317" s="1"/>
      <c r="X317" s="1"/>
      <c r="Y317" s="1"/>
      <c r="Z317" s="22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8"/>
      <c r="Q318" s="22"/>
      <c r="R318" s="1"/>
      <c r="S318" s="22"/>
      <c r="T318" s="1"/>
      <c r="U318" s="18"/>
      <c r="V318" s="22"/>
      <c r="W318" s="1"/>
      <c r="X318" s="1"/>
      <c r="Y318" s="1"/>
      <c r="Z318" s="22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8"/>
      <c r="Q319" s="22"/>
      <c r="R319" s="1"/>
      <c r="S319" s="22"/>
      <c r="T319" s="1"/>
      <c r="U319" s="18"/>
      <c r="V319" s="22"/>
      <c r="W319" s="1"/>
      <c r="X319" s="1"/>
      <c r="Y319" s="1"/>
      <c r="Z319" s="22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8"/>
      <c r="Q320" s="22"/>
      <c r="R320" s="1"/>
      <c r="S320" s="22"/>
      <c r="T320" s="1"/>
      <c r="U320" s="18"/>
      <c r="V320" s="22"/>
      <c r="W320" s="1"/>
      <c r="X320" s="1"/>
      <c r="Y320" s="1"/>
      <c r="Z320" s="22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8"/>
      <c r="Q321" s="22"/>
      <c r="R321" s="1"/>
      <c r="S321" s="22"/>
      <c r="T321" s="1"/>
      <c r="U321" s="18"/>
      <c r="V321" s="22"/>
      <c r="W321" s="1"/>
      <c r="X321" s="1"/>
      <c r="Y321" s="1"/>
      <c r="Z321" s="22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8"/>
      <c r="Q322" s="22"/>
      <c r="R322" s="1"/>
      <c r="S322" s="22"/>
      <c r="T322" s="1"/>
      <c r="U322" s="18"/>
      <c r="V322" s="22"/>
      <c r="W322" s="1"/>
      <c r="X322" s="1"/>
      <c r="Y322" s="1"/>
      <c r="Z322" s="22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8"/>
      <c r="Q323" s="22"/>
      <c r="R323" s="1"/>
      <c r="S323" s="22"/>
      <c r="T323" s="1"/>
      <c r="U323" s="18"/>
      <c r="V323" s="22"/>
      <c r="W323" s="1"/>
      <c r="X323" s="1"/>
      <c r="Y323" s="1"/>
      <c r="Z323" s="22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8"/>
      <c r="Q324" s="22"/>
      <c r="R324" s="1"/>
      <c r="S324" s="22"/>
      <c r="T324" s="1"/>
      <c r="U324" s="18"/>
      <c r="V324" s="22"/>
      <c r="W324" s="1"/>
      <c r="X324" s="1"/>
      <c r="Y324" s="1"/>
      <c r="Z324" s="22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8"/>
      <c r="Q325" s="22"/>
      <c r="R325" s="1"/>
      <c r="S325" s="22"/>
      <c r="T325" s="1"/>
      <c r="U325" s="18"/>
      <c r="V325" s="22"/>
      <c r="W325" s="1"/>
      <c r="X325" s="1"/>
      <c r="Y325" s="1"/>
      <c r="Z325" s="22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8"/>
      <c r="Q326" s="22"/>
      <c r="R326" s="1"/>
      <c r="S326" s="22"/>
      <c r="T326" s="1"/>
      <c r="U326" s="18"/>
      <c r="V326" s="22"/>
      <c r="W326" s="1"/>
      <c r="X326" s="1"/>
      <c r="Y326" s="1"/>
      <c r="Z326" s="22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8"/>
      <c r="Q327" s="22"/>
      <c r="R327" s="1"/>
      <c r="S327" s="22"/>
      <c r="T327" s="1"/>
      <c r="U327" s="18"/>
      <c r="V327" s="22"/>
      <c r="W327" s="1"/>
      <c r="X327" s="1"/>
      <c r="Y327" s="1"/>
      <c r="Z327" s="22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8"/>
      <c r="Q328" s="22"/>
      <c r="R328" s="1"/>
      <c r="S328" s="22"/>
      <c r="T328" s="1"/>
      <c r="U328" s="18"/>
      <c r="V328" s="22"/>
      <c r="W328" s="1"/>
      <c r="X328" s="1"/>
      <c r="Y328" s="1"/>
      <c r="Z328" s="22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8"/>
      <c r="Q329" s="22"/>
      <c r="R329" s="1"/>
      <c r="S329" s="22"/>
      <c r="T329" s="1"/>
      <c r="U329" s="18"/>
      <c r="V329" s="22"/>
      <c r="W329" s="1"/>
      <c r="X329" s="1"/>
      <c r="Y329" s="1"/>
      <c r="Z329" s="22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8"/>
      <c r="Q330" s="22"/>
      <c r="R330" s="1"/>
      <c r="S330" s="22"/>
      <c r="T330" s="1"/>
      <c r="U330" s="18"/>
      <c r="V330" s="22"/>
      <c r="W330" s="1"/>
      <c r="X330" s="1"/>
      <c r="Y330" s="1"/>
      <c r="Z330" s="22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8"/>
      <c r="Q331" s="22"/>
      <c r="R331" s="1"/>
      <c r="S331" s="22"/>
      <c r="T331" s="1"/>
      <c r="U331" s="18"/>
      <c r="V331" s="22"/>
      <c r="W331" s="1"/>
      <c r="X331" s="1"/>
      <c r="Y331" s="1"/>
      <c r="Z331" s="22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8"/>
      <c r="Q332" s="22"/>
      <c r="R332" s="1"/>
      <c r="S332" s="22"/>
      <c r="T332" s="1"/>
      <c r="U332" s="18"/>
      <c r="V332" s="22"/>
      <c r="W332" s="1"/>
      <c r="X332" s="1"/>
      <c r="Y332" s="1"/>
      <c r="Z332" s="22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8"/>
      <c r="Q333" s="22"/>
      <c r="R333" s="1"/>
      <c r="S333" s="22"/>
      <c r="T333" s="1"/>
      <c r="U333" s="18"/>
      <c r="V333" s="22"/>
      <c r="W333" s="1"/>
      <c r="X333" s="1"/>
      <c r="Y333" s="1"/>
      <c r="Z333" s="22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8"/>
      <c r="Q334" s="22"/>
      <c r="R334" s="1"/>
      <c r="S334" s="22"/>
      <c r="T334" s="1"/>
      <c r="U334" s="18"/>
      <c r="V334" s="22"/>
      <c r="W334" s="1"/>
      <c r="X334" s="1"/>
      <c r="Y334" s="1"/>
      <c r="Z334" s="22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8"/>
      <c r="Q335" s="22"/>
      <c r="R335" s="1"/>
      <c r="S335" s="22"/>
      <c r="T335" s="1"/>
      <c r="U335" s="18"/>
      <c r="V335" s="22"/>
      <c r="W335" s="1"/>
      <c r="X335" s="1"/>
      <c r="Y335" s="1"/>
      <c r="Z335" s="22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8"/>
      <c r="Q336" s="22"/>
      <c r="R336" s="1"/>
      <c r="S336" s="22"/>
      <c r="T336" s="1"/>
      <c r="U336" s="18"/>
      <c r="V336" s="22"/>
      <c r="W336" s="1"/>
      <c r="X336" s="1"/>
      <c r="Y336" s="1"/>
      <c r="Z336" s="22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8"/>
      <c r="Q337" s="22"/>
      <c r="R337" s="1"/>
      <c r="S337" s="22"/>
      <c r="T337" s="1"/>
      <c r="U337" s="18"/>
      <c r="V337" s="22"/>
      <c r="W337" s="1"/>
      <c r="X337" s="1"/>
      <c r="Y337" s="1"/>
      <c r="Z337" s="22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8"/>
      <c r="Q338" s="22"/>
      <c r="R338" s="1"/>
      <c r="S338" s="22"/>
      <c r="T338" s="1"/>
      <c r="U338" s="18"/>
      <c r="V338" s="22"/>
      <c r="W338" s="1"/>
      <c r="X338" s="1"/>
      <c r="Y338" s="1"/>
      <c r="Z338" s="22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8"/>
      <c r="Q339" s="22"/>
      <c r="R339" s="1"/>
      <c r="S339" s="22"/>
      <c r="T339" s="1"/>
      <c r="U339" s="18"/>
      <c r="V339" s="22"/>
      <c r="W339" s="1"/>
      <c r="X339" s="1"/>
      <c r="Y339" s="1"/>
      <c r="Z339" s="22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8"/>
      <c r="Q340" s="22"/>
      <c r="R340" s="1"/>
      <c r="S340" s="22"/>
      <c r="T340" s="1"/>
      <c r="U340" s="18"/>
      <c r="V340" s="22"/>
      <c r="W340" s="1"/>
      <c r="X340" s="1"/>
      <c r="Y340" s="1"/>
      <c r="Z340" s="22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8"/>
      <c r="Q341" s="22"/>
      <c r="R341" s="1"/>
      <c r="S341" s="22"/>
      <c r="T341" s="1"/>
      <c r="U341" s="18"/>
      <c r="V341" s="22"/>
      <c r="W341" s="1"/>
      <c r="X341" s="1"/>
      <c r="Y341" s="1"/>
      <c r="Z341" s="22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8"/>
      <c r="Q342" s="22"/>
      <c r="R342" s="1"/>
      <c r="S342" s="22"/>
      <c r="T342" s="1"/>
      <c r="U342" s="18"/>
      <c r="V342" s="22"/>
      <c r="W342" s="1"/>
      <c r="X342" s="1"/>
      <c r="Y342" s="1"/>
      <c r="Z342" s="22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8"/>
      <c r="Q343" s="22"/>
      <c r="R343" s="1"/>
      <c r="S343" s="22"/>
      <c r="T343" s="1"/>
      <c r="U343" s="18"/>
      <c r="V343" s="22"/>
      <c r="W343" s="1"/>
      <c r="X343" s="1"/>
      <c r="Y343" s="1"/>
      <c r="Z343" s="22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8"/>
      <c r="Q344" s="22"/>
      <c r="R344" s="1"/>
      <c r="S344" s="22"/>
      <c r="T344" s="1"/>
      <c r="U344" s="18"/>
      <c r="V344" s="22"/>
      <c r="W344" s="1"/>
      <c r="X344" s="1"/>
      <c r="Y344" s="1"/>
      <c r="Z344" s="22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8"/>
      <c r="Q345" s="22"/>
      <c r="R345" s="1"/>
      <c r="S345" s="22"/>
      <c r="T345" s="1"/>
      <c r="U345" s="18"/>
      <c r="V345" s="22"/>
      <c r="W345" s="1"/>
      <c r="X345" s="1"/>
      <c r="Y345" s="1"/>
      <c r="Z345" s="22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8"/>
      <c r="Q346" s="22"/>
      <c r="R346" s="1"/>
      <c r="S346" s="22"/>
      <c r="T346" s="1"/>
      <c r="U346" s="18"/>
      <c r="V346" s="22"/>
      <c r="W346" s="1"/>
      <c r="X346" s="1"/>
      <c r="Y346" s="1"/>
      <c r="Z346" s="22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8"/>
      <c r="Q347" s="22"/>
      <c r="R347" s="1"/>
      <c r="S347" s="22"/>
      <c r="T347" s="1"/>
      <c r="U347" s="18"/>
      <c r="V347" s="22"/>
      <c r="W347" s="1"/>
      <c r="X347" s="1"/>
      <c r="Y347" s="1"/>
      <c r="Z347" s="22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8"/>
      <c r="Q348" s="22"/>
      <c r="R348" s="1"/>
      <c r="S348" s="22"/>
      <c r="T348" s="1"/>
      <c r="U348" s="18"/>
      <c r="V348" s="22"/>
      <c r="W348" s="1"/>
      <c r="X348" s="1"/>
      <c r="Y348" s="1"/>
      <c r="Z348" s="22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8"/>
      <c r="Q349" s="22"/>
      <c r="R349" s="1"/>
      <c r="S349" s="22"/>
      <c r="T349" s="1"/>
      <c r="U349" s="18"/>
      <c r="V349" s="22"/>
      <c r="W349" s="1"/>
      <c r="X349" s="1"/>
      <c r="Y349" s="1"/>
      <c r="Z349" s="22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8"/>
      <c r="Q350" s="22"/>
      <c r="R350" s="1"/>
      <c r="S350" s="22"/>
      <c r="T350" s="1"/>
      <c r="U350" s="18"/>
      <c r="V350" s="22"/>
      <c r="W350" s="1"/>
      <c r="X350" s="1"/>
      <c r="Y350" s="1"/>
      <c r="Z350" s="22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8"/>
      <c r="Q351" s="22"/>
      <c r="R351" s="1"/>
      <c r="S351" s="22"/>
      <c r="T351" s="1"/>
      <c r="U351" s="18"/>
      <c r="V351" s="22"/>
      <c r="W351" s="1"/>
      <c r="X351" s="1"/>
      <c r="Y351" s="1"/>
      <c r="Z351" s="22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8"/>
      <c r="Q352" s="22"/>
      <c r="R352" s="1"/>
      <c r="S352" s="22"/>
      <c r="T352" s="1"/>
      <c r="U352" s="18"/>
      <c r="V352" s="22"/>
      <c r="W352" s="1"/>
      <c r="X352" s="1"/>
      <c r="Y352" s="1"/>
      <c r="Z352" s="22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8"/>
      <c r="Q353" s="22"/>
      <c r="R353" s="1"/>
      <c r="S353" s="22"/>
      <c r="T353" s="1"/>
      <c r="U353" s="18"/>
      <c r="V353" s="22"/>
      <c r="W353" s="1"/>
      <c r="X353" s="1"/>
      <c r="Y353" s="1"/>
      <c r="Z353" s="22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8"/>
      <c r="Q354" s="22"/>
      <c r="R354" s="1"/>
      <c r="S354" s="22"/>
      <c r="T354" s="1"/>
      <c r="U354" s="18"/>
      <c r="V354" s="22"/>
      <c r="W354" s="1"/>
      <c r="X354" s="1"/>
      <c r="Y354" s="1"/>
      <c r="Z354" s="22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8"/>
      <c r="Q355" s="22"/>
      <c r="R355" s="1"/>
      <c r="S355" s="22"/>
      <c r="T355" s="1"/>
      <c r="U355" s="18"/>
      <c r="V355" s="22"/>
      <c r="W355" s="1"/>
      <c r="X355" s="1"/>
      <c r="Y355" s="1"/>
      <c r="Z355" s="22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8"/>
      <c r="Q356" s="22"/>
      <c r="R356" s="1"/>
      <c r="S356" s="22"/>
      <c r="T356" s="1"/>
      <c r="U356" s="18"/>
      <c r="V356" s="22"/>
      <c r="W356" s="1"/>
      <c r="X356" s="1"/>
      <c r="Y356" s="1"/>
      <c r="Z356" s="22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8"/>
      <c r="Q357" s="22"/>
      <c r="R357" s="1"/>
      <c r="S357" s="22"/>
      <c r="T357" s="1"/>
      <c r="U357" s="18"/>
      <c r="V357" s="22"/>
      <c r="W357" s="1"/>
      <c r="X357" s="1"/>
      <c r="Y357" s="1"/>
      <c r="Z357" s="22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8"/>
      <c r="Q358" s="22"/>
      <c r="R358" s="1"/>
      <c r="S358" s="22"/>
      <c r="T358" s="1"/>
      <c r="U358" s="18"/>
      <c r="V358" s="22"/>
      <c r="W358" s="1"/>
      <c r="X358" s="1"/>
      <c r="Y358" s="1"/>
      <c r="Z358" s="22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8"/>
      <c r="Q359" s="22"/>
      <c r="R359" s="1"/>
      <c r="S359" s="22"/>
      <c r="T359" s="1"/>
      <c r="U359" s="18"/>
      <c r="V359" s="22"/>
      <c r="W359" s="1"/>
      <c r="X359" s="1"/>
      <c r="Y359" s="1"/>
      <c r="Z359" s="22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8"/>
      <c r="Q360" s="22"/>
      <c r="R360" s="1"/>
      <c r="S360" s="22"/>
      <c r="T360" s="1"/>
      <c r="U360" s="18"/>
      <c r="V360" s="22"/>
      <c r="W360" s="1"/>
      <c r="X360" s="1"/>
      <c r="Y360" s="1"/>
      <c r="Z360" s="22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8"/>
      <c r="Q361" s="22"/>
      <c r="R361" s="1"/>
      <c r="S361" s="22"/>
      <c r="T361" s="1"/>
      <c r="U361" s="18"/>
      <c r="V361" s="22"/>
      <c r="W361" s="1"/>
      <c r="X361" s="1"/>
      <c r="Y361" s="1"/>
      <c r="Z361" s="22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8"/>
      <c r="Q362" s="22"/>
      <c r="R362" s="1"/>
      <c r="S362" s="22"/>
      <c r="T362" s="1"/>
      <c r="U362" s="18"/>
      <c r="V362" s="22"/>
      <c r="W362" s="1"/>
      <c r="X362" s="1"/>
      <c r="Y362" s="1"/>
      <c r="Z362" s="22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8"/>
      <c r="Q363" s="22"/>
      <c r="R363" s="1"/>
      <c r="S363" s="22"/>
      <c r="T363" s="1"/>
      <c r="U363" s="18"/>
      <c r="V363" s="22"/>
      <c r="W363" s="1"/>
      <c r="X363" s="1"/>
      <c r="Y363" s="1"/>
      <c r="Z363" s="22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8"/>
      <c r="Q364" s="22"/>
      <c r="R364" s="1"/>
      <c r="S364" s="22"/>
      <c r="T364" s="1"/>
      <c r="U364" s="18"/>
      <c r="V364" s="22"/>
      <c r="W364" s="1"/>
      <c r="X364" s="1"/>
      <c r="Y364" s="1"/>
      <c r="Z364" s="22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8"/>
      <c r="Q365" s="22"/>
      <c r="R365" s="1"/>
      <c r="S365" s="22"/>
      <c r="T365" s="1"/>
      <c r="U365" s="18"/>
      <c r="V365" s="22"/>
      <c r="W365" s="1"/>
      <c r="X365" s="1"/>
      <c r="Y365" s="1"/>
      <c r="Z365" s="22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8"/>
      <c r="Q366" s="22"/>
      <c r="R366" s="1"/>
      <c r="S366" s="22"/>
      <c r="T366" s="1"/>
      <c r="U366" s="18"/>
      <c r="V366" s="22"/>
      <c r="W366" s="1"/>
      <c r="X366" s="1"/>
      <c r="Y366" s="1"/>
      <c r="Z366" s="22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8"/>
      <c r="Q367" s="22"/>
      <c r="R367" s="1"/>
      <c r="S367" s="22"/>
      <c r="T367" s="1"/>
      <c r="U367" s="18"/>
      <c r="V367" s="22"/>
      <c r="W367" s="1"/>
      <c r="X367" s="1"/>
      <c r="Y367" s="1"/>
      <c r="Z367" s="22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8"/>
      <c r="Q368" s="22"/>
      <c r="R368" s="1"/>
      <c r="S368" s="22"/>
      <c r="T368" s="1"/>
      <c r="U368" s="18"/>
      <c r="V368" s="22"/>
      <c r="W368" s="1"/>
      <c r="X368" s="1"/>
      <c r="Y368" s="1"/>
      <c r="Z368" s="22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8"/>
      <c r="Q369" s="22"/>
      <c r="R369" s="1"/>
      <c r="S369" s="22"/>
      <c r="T369" s="1"/>
      <c r="U369" s="18"/>
      <c r="V369" s="22"/>
      <c r="W369" s="1"/>
      <c r="X369" s="1"/>
      <c r="Y369" s="1"/>
      <c r="Z369" s="22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8"/>
      <c r="Q370" s="22"/>
      <c r="R370" s="1"/>
      <c r="S370" s="22"/>
      <c r="T370" s="1"/>
      <c r="U370" s="18"/>
      <c r="V370" s="22"/>
      <c r="W370" s="1"/>
      <c r="X370" s="1"/>
      <c r="Y370" s="1"/>
      <c r="Z370" s="22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8"/>
      <c r="Q371" s="22"/>
      <c r="R371" s="1"/>
      <c r="S371" s="22"/>
      <c r="T371" s="1"/>
      <c r="U371" s="18"/>
      <c r="V371" s="22"/>
      <c r="W371" s="1"/>
      <c r="X371" s="1"/>
      <c r="Y371" s="1"/>
      <c r="Z371" s="22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8"/>
      <c r="Q372" s="22"/>
      <c r="R372" s="1"/>
      <c r="S372" s="22"/>
      <c r="T372" s="1"/>
      <c r="U372" s="18"/>
      <c r="V372" s="22"/>
      <c r="W372" s="1"/>
      <c r="X372" s="1"/>
      <c r="Y372" s="1"/>
      <c r="Z372" s="22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8"/>
      <c r="Q373" s="22"/>
      <c r="R373" s="1"/>
      <c r="S373" s="22"/>
      <c r="T373" s="1"/>
      <c r="U373" s="18"/>
      <c r="V373" s="22"/>
      <c r="W373" s="1"/>
      <c r="X373" s="1"/>
      <c r="Y373" s="1"/>
      <c r="Z373" s="22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8"/>
      <c r="Q374" s="22"/>
      <c r="R374" s="1"/>
      <c r="S374" s="22"/>
      <c r="T374" s="1"/>
      <c r="U374" s="18"/>
      <c r="V374" s="22"/>
      <c r="W374" s="1"/>
      <c r="X374" s="1"/>
      <c r="Y374" s="1"/>
      <c r="Z374" s="22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8"/>
      <c r="Q375" s="22"/>
      <c r="R375" s="1"/>
      <c r="S375" s="22"/>
      <c r="T375" s="1"/>
      <c r="U375" s="18"/>
      <c r="V375" s="22"/>
      <c r="W375" s="1"/>
      <c r="X375" s="1"/>
      <c r="Y375" s="1"/>
      <c r="Z375" s="22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8"/>
      <c r="Q376" s="22"/>
      <c r="R376" s="1"/>
      <c r="S376" s="22"/>
      <c r="T376" s="1"/>
      <c r="U376" s="18"/>
      <c r="V376" s="22"/>
      <c r="W376" s="1"/>
      <c r="X376" s="1"/>
      <c r="Y376" s="1"/>
      <c r="Z376" s="22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8"/>
      <c r="Q377" s="22"/>
      <c r="R377" s="1"/>
      <c r="S377" s="22"/>
      <c r="T377" s="1"/>
      <c r="U377" s="18"/>
      <c r="V377" s="22"/>
      <c r="W377" s="1"/>
      <c r="X377" s="1"/>
      <c r="Y377" s="1"/>
      <c r="Z377" s="22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8"/>
      <c r="Q378" s="22"/>
      <c r="R378" s="1"/>
      <c r="S378" s="22"/>
      <c r="T378" s="1"/>
      <c r="U378" s="18"/>
      <c r="V378" s="22"/>
      <c r="W378" s="1"/>
      <c r="X378" s="1"/>
      <c r="Y378" s="1"/>
      <c r="Z378" s="22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8"/>
      <c r="Q379" s="22"/>
      <c r="R379" s="1"/>
      <c r="S379" s="22"/>
      <c r="T379" s="1"/>
      <c r="U379" s="18"/>
      <c r="V379" s="22"/>
      <c r="W379" s="1"/>
      <c r="X379" s="1"/>
      <c r="Y379" s="1"/>
      <c r="Z379" s="22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8"/>
      <c r="Q380" s="22"/>
      <c r="R380" s="1"/>
      <c r="S380" s="22"/>
      <c r="T380" s="1"/>
      <c r="U380" s="18"/>
      <c r="V380" s="22"/>
      <c r="W380" s="1"/>
      <c r="X380" s="1"/>
      <c r="Y380" s="1"/>
      <c r="Z380" s="22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8"/>
      <c r="Q381" s="22"/>
      <c r="R381" s="1"/>
      <c r="S381" s="22"/>
      <c r="T381" s="1"/>
      <c r="U381" s="18"/>
      <c r="V381" s="22"/>
      <c r="W381" s="1"/>
      <c r="X381" s="1"/>
      <c r="Y381" s="1"/>
      <c r="Z381" s="22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8"/>
      <c r="Q382" s="22"/>
      <c r="R382" s="1"/>
      <c r="S382" s="22"/>
      <c r="T382" s="1"/>
      <c r="U382" s="18"/>
      <c r="V382" s="22"/>
      <c r="W382" s="1"/>
      <c r="X382" s="1"/>
      <c r="Y382" s="1"/>
      <c r="Z382" s="22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8"/>
      <c r="Q383" s="22"/>
      <c r="R383" s="1"/>
      <c r="S383" s="22"/>
      <c r="T383" s="1"/>
      <c r="U383" s="18"/>
      <c r="V383" s="22"/>
      <c r="W383" s="1"/>
      <c r="X383" s="1"/>
      <c r="Y383" s="1"/>
      <c r="Z383" s="22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8"/>
      <c r="Q384" s="22"/>
      <c r="R384" s="1"/>
      <c r="S384" s="22"/>
      <c r="T384" s="1"/>
      <c r="U384" s="18"/>
      <c r="V384" s="22"/>
      <c r="W384" s="1"/>
      <c r="X384" s="1"/>
      <c r="Y384" s="1"/>
      <c r="Z384" s="22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8"/>
      <c r="Q385" s="22"/>
      <c r="R385" s="1"/>
      <c r="S385" s="22"/>
      <c r="T385" s="1"/>
      <c r="U385" s="18"/>
      <c r="V385" s="22"/>
      <c r="W385" s="1"/>
      <c r="X385" s="1"/>
      <c r="Y385" s="1"/>
      <c r="Z385" s="22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8"/>
      <c r="Q386" s="22"/>
      <c r="R386" s="1"/>
      <c r="S386" s="22"/>
      <c r="T386" s="1"/>
      <c r="U386" s="18"/>
      <c r="V386" s="22"/>
      <c r="W386" s="1"/>
      <c r="X386" s="1"/>
      <c r="Y386" s="1"/>
      <c r="Z386" s="22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8"/>
      <c r="Q387" s="22"/>
      <c r="R387" s="1"/>
      <c r="S387" s="22"/>
      <c r="T387" s="1"/>
      <c r="U387" s="18"/>
      <c r="V387" s="22"/>
      <c r="W387" s="1"/>
      <c r="X387" s="1"/>
      <c r="Y387" s="1"/>
      <c r="Z387" s="22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8"/>
      <c r="Q388" s="22"/>
      <c r="R388" s="1"/>
      <c r="S388" s="22"/>
      <c r="T388" s="1"/>
      <c r="U388" s="18"/>
      <c r="V388" s="22"/>
      <c r="W388" s="1"/>
      <c r="X388" s="1"/>
      <c r="Y388" s="1"/>
      <c r="Z388" s="22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8"/>
      <c r="Q389" s="22"/>
      <c r="R389" s="1"/>
      <c r="S389" s="22"/>
      <c r="T389" s="1"/>
      <c r="U389" s="18"/>
      <c r="V389" s="22"/>
      <c r="W389" s="1"/>
      <c r="X389" s="1"/>
      <c r="Y389" s="1"/>
      <c r="Z389" s="22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8"/>
      <c r="Q390" s="22"/>
      <c r="R390" s="1"/>
      <c r="S390" s="22"/>
      <c r="T390" s="1"/>
      <c r="U390" s="18"/>
      <c r="V390" s="22"/>
      <c r="W390" s="1"/>
      <c r="X390" s="1"/>
      <c r="Y390" s="1"/>
      <c r="Z390" s="22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8"/>
      <c r="Q391" s="22"/>
      <c r="R391" s="1"/>
      <c r="S391" s="22"/>
      <c r="T391" s="1"/>
      <c r="U391" s="18"/>
      <c r="V391" s="22"/>
      <c r="W391" s="1"/>
      <c r="X391" s="1"/>
      <c r="Y391" s="1"/>
      <c r="Z391" s="22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8"/>
      <c r="Q392" s="22"/>
      <c r="R392" s="1"/>
      <c r="S392" s="22"/>
      <c r="T392" s="1"/>
      <c r="U392" s="18"/>
      <c r="V392" s="22"/>
      <c r="W392" s="1"/>
      <c r="X392" s="1"/>
      <c r="Y392" s="1"/>
      <c r="Z392" s="22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8"/>
      <c r="Q393" s="22"/>
      <c r="R393" s="1"/>
      <c r="S393" s="22"/>
      <c r="T393" s="1"/>
      <c r="U393" s="18"/>
      <c r="V393" s="22"/>
      <c r="W393" s="1"/>
      <c r="X393" s="1"/>
      <c r="Y393" s="1"/>
      <c r="Z393" s="22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8"/>
      <c r="Q394" s="22"/>
      <c r="R394" s="1"/>
      <c r="S394" s="22"/>
      <c r="T394" s="1"/>
      <c r="U394" s="18"/>
      <c r="V394" s="22"/>
      <c r="W394" s="1"/>
      <c r="X394" s="1"/>
      <c r="Y394" s="1"/>
      <c r="Z394" s="22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8"/>
      <c r="Q395" s="22"/>
      <c r="R395" s="1"/>
      <c r="S395" s="22"/>
      <c r="T395" s="1"/>
      <c r="U395" s="18"/>
      <c r="V395" s="22"/>
      <c r="W395" s="1"/>
      <c r="X395" s="1"/>
      <c r="Y395" s="1"/>
      <c r="Z395" s="22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8"/>
      <c r="Q396" s="22"/>
      <c r="R396" s="1"/>
      <c r="S396" s="22"/>
      <c r="T396" s="1"/>
      <c r="U396" s="18"/>
      <c r="V396" s="22"/>
      <c r="W396" s="1"/>
      <c r="X396" s="1"/>
      <c r="Y396" s="1"/>
      <c r="Z396" s="22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8"/>
      <c r="Q397" s="22"/>
      <c r="R397" s="1"/>
      <c r="S397" s="22"/>
      <c r="T397" s="1"/>
      <c r="U397" s="18"/>
      <c r="V397" s="22"/>
      <c r="W397" s="1"/>
      <c r="X397" s="1"/>
      <c r="Y397" s="1"/>
      <c r="Z397" s="22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8"/>
      <c r="Q398" s="22"/>
      <c r="R398" s="1"/>
      <c r="S398" s="22"/>
      <c r="T398" s="1"/>
      <c r="U398" s="18"/>
      <c r="V398" s="22"/>
      <c r="W398" s="1"/>
      <c r="X398" s="1"/>
      <c r="Y398" s="1"/>
      <c r="Z398" s="22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8"/>
      <c r="Q399" s="22"/>
      <c r="R399" s="1"/>
      <c r="S399" s="22"/>
      <c r="T399" s="1"/>
      <c r="U399" s="18"/>
      <c r="V399" s="22"/>
      <c r="W399" s="1"/>
      <c r="X399" s="1"/>
      <c r="Y399" s="1"/>
      <c r="Z399" s="22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8"/>
      <c r="Q400" s="22"/>
      <c r="R400" s="1"/>
      <c r="S400" s="22"/>
      <c r="T400" s="1"/>
      <c r="U400" s="18"/>
      <c r="V400" s="22"/>
      <c r="W400" s="1"/>
      <c r="X400" s="1"/>
      <c r="Y400" s="1"/>
      <c r="Z400" s="22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8"/>
      <c r="Q401" s="22"/>
      <c r="R401" s="1"/>
      <c r="S401" s="22"/>
      <c r="T401" s="1"/>
      <c r="U401" s="18"/>
      <c r="V401" s="22"/>
      <c r="W401" s="1"/>
      <c r="X401" s="1"/>
      <c r="Y401" s="1"/>
      <c r="Z401" s="22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8"/>
      <c r="Q402" s="22"/>
      <c r="R402" s="1"/>
      <c r="S402" s="22"/>
      <c r="T402" s="1"/>
      <c r="U402" s="18"/>
      <c r="V402" s="22"/>
      <c r="W402" s="1"/>
      <c r="X402" s="1"/>
      <c r="Y402" s="1"/>
      <c r="Z402" s="22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8"/>
      <c r="Q403" s="22"/>
      <c r="R403" s="1"/>
      <c r="S403" s="22"/>
      <c r="T403" s="1"/>
      <c r="U403" s="18"/>
      <c r="V403" s="22"/>
      <c r="W403" s="1"/>
      <c r="X403" s="1"/>
      <c r="Y403" s="1"/>
      <c r="Z403" s="22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8"/>
      <c r="Q404" s="22"/>
      <c r="R404" s="1"/>
      <c r="S404" s="22"/>
      <c r="T404" s="1"/>
      <c r="U404" s="18"/>
      <c r="V404" s="22"/>
      <c r="W404" s="1"/>
      <c r="X404" s="1"/>
      <c r="Y404" s="1"/>
      <c r="Z404" s="22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8"/>
      <c r="Q405" s="22"/>
      <c r="R405" s="1"/>
      <c r="S405" s="22"/>
      <c r="T405" s="1"/>
      <c r="U405" s="18"/>
      <c r="V405" s="22"/>
      <c r="W405" s="1"/>
      <c r="X405" s="1"/>
      <c r="Y405" s="1"/>
      <c r="Z405" s="22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8"/>
      <c r="Q406" s="22"/>
      <c r="R406" s="1"/>
      <c r="S406" s="22"/>
      <c r="T406" s="1"/>
      <c r="U406" s="18"/>
      <c r="V406" s="22"/>
      <c r="W406" s="1"/>
      <c r="X406" s="1"/>
      <c r="Y406" s="1"/>
      <c r="Z406" s="22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8"/>
      <c r="Q407" s="22"/>
      <c r="R407" s="1"/>
      <c r="S407" s="22"/>
      <c r="T407" s="1"/>
      <c r="U407" s="18"/>
      <c r="V407" s="22"/>
      <c r="W407" s="1"/>
      <c r="X407" s="1"/>
      <c r="Y407" s="1"/>
      <c r="Z407" s="22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8"/>
      <c r="Q408" s="22"/>
      <c r="R408" s="1"/>
      <c r="S408" s="22"/>
      <c r="T408" s="1"/>
      <c r="U408" s="18"/>
      <c r="V408" s="22"/>
      <c r="W408" s="1"/>
      <c r="X408" s="1"/>
      <c r="Y408" s="1"/>
      <c r="Z408" s="22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8"/>
      <c r="Q409" s="22"/>
      <c r="R409" s="1"/>
      <c r="S409" s="22"/>
      <c r="T409" s="1"/>
      <c r="U409" s="18"/>
      <c r="V409" s="22"/>
      <c r="W409" s="1"/>
      <c r="X409" s="1"/>
      <c r="Y409" s="1"/>
      <c r="Z409" s="22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8"/>
      <c r="Q410" s="22"/>
      <c r="R410" s="1"/>
      <c r="S410" s="22"/>
      <c r="T410" s="1"/>
      <c r="U410" s="18"/>
      <c r="V410" s="22"/>
      <c r="W410" s="1"/>
      <c r="X410" s="1"/>
      <c r="Y410" s="1"/>
      <c r="Z410" s="22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8"/>
      <c r="Q411" s="22"/>
      <c r="R411" s="1"/>
      <c r="S411" s="22"/>
      <c r="T411" s="1"/>
      <c r="U411" s="18"/>
      <c r="V411" s="22"/>
      <c r="W411" s="1"/>
      <c r="X411" s="1"/>
      <c r="Y411" s="1"/>
      <c r="Z411" s="22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8"/>
      <c r="Q412" s="22"/>
      <c r="R412" s="1"/>
      <c r="S412" s="22"/>
      <c r="T412" s="1"/>
      <c r="U412" s="18"/>
      <c r="V412" s="22"/>
      <c r="W412" s="1"/>
      <c r="X412" s="1"/>
      <c r="Y412" s="1"/>
      <c r="Z412" s="22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8"/>
      <c r="Q413" s="22"/>
      <c r="R413" s="1"/>
      <c r="S413" s="22"/>
      <c r="T413" s="1"/>
      <c r="U413" s="18"/>
      <c r="V413" s="22"/>
      <c r="W413" s="1"/>
      <c r="X413" s="1"/>
      <c r="Y413" s="1"/>
      <c r="Z413" s="22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8"/>
      <c r="Q414" s="22"/>
      <c r="R414" s="1"/>
      <c r="S414" s="22"/>
      <c r="T414" s="1"/>
      <c r="U414" s="18"/>
      <c r="V414" s="22"/>
      <c r="W414" s="1"/>
      <c r="X414" s="1"/>
      <c r="Y414" s="1"/>
      <c r="Z414" s="22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8"/>
      <c r="Q415" s="22"/>
      <c r="R415" s="1"/>
      <c r="S415" s="22"/>
      <c r="T415" s="1"/>
      <c r="U415" s="18"/>
      <c r="V415" s="22"/>
      <c r="W415" s="1"/>
      <c r="X415" s="1"/>
      <c r="Y415" s="1"/>
      <c r="Z415" s="22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8"/>
      <c r="Q416" s="22"/>
      <c r="R416" s="1"/>
      <c r="S416" s="22"/>
      <c r="T416" s="1"/>
      <c r="U416" s="18"/>
      <c r="V416" s="22"/>
      <c r="W416" s="1"/>
      <c r="X416" s="1"/>
      <c r="Y416" s="1"/>
      <c r="Z416" s="22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8"/>
      <c r="Q417" s="22"/>
      <c r="R417" s="1"/>
      <c r="S417" s="22"/>
      <c r="T417" s="1"/>
      <c r="U417" s="18"/>
      <c r="V417" s="22"/>
      <c r="W417" s="1"/>
      <c r="X417" s="1"/>
      <c r="Y417" s="1"/>
      <c r="Z417" s="22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8"/>
      <c r="Q418" s="22"/>
      <c r="R418" s="1"/>
      <c r="S418" s="22"/>
      <c r="T418" s="1"/>
      <c r="U418" s="18"/>
      <c r="V418" s="22"/>
      <c r="W418" s="1"/>
      <c r="X418" s="1"/>
      <c r="Y418" s="1"/>
      <c r="Z418" s="22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8"/>
      <c r="Q419" s="22"/>
      <c r="R419" s="1"/>
      <c r="S419" s="22"/>
      <c r="T419" s="1"/>
      <c r="U419" s="18"/>
      <c r="V419" s="22"/>
      <c r="W419" s="1"/>
      <c r="X419" s="1"/>
      <c r="Y419" s="1"/>
      <c r="Z419" s="22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8"/>
      <c r="Q420" s="22"/>
      <c r="R420" s="1"/>
      <c r="S420" s="22"/>
      <c r="T420" s="1"/>
      <c r="U420" s="18"/>
      <c r="V420" s="22"/>
      <c r="W420" s="1"/>
      <c r="X420" s="1"/>
      <c r="Y420" s="1"/>
      <c r="Z420" s="22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8"/>
      <c r="Q421" s="22"/>
      <c r="R421" s="1"/>
      <c r="S421" s="22"/>
      <c r="T421" s="1"/>
      <c r="U421" s="18"/>
      <c r="V421" s="22"/>
      <c r="W421" s="1"/>
      <c r="X421" s="1"/>
      <c r="Y421" s="1"/>
      <c r="Z421" s="22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8"/>
      <c r="Q422" s="22"/>
      <c r="R422" s="1"/>
      <c r="S422" s="22"/>
      <c r="T422" s="1"/>
      <c r="U422" s="18"/>
      <c r="V422" s="22"/>
      <c r="W422" s="1"/>
      <c r="X422" s="1"/>
      <c r="Y422" s="1"/>
      <c r="Z422" s="22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8"/>
      <c r="Q423" s="22"/>
      <c r="R423" s="1"/>
      <c r="S423" s="22"/>
      <c r="T423" s="1"/>
      <c r="U423" s="18"/>
      <c r="V423" s="22"/>
      <c r="W423" s="1"/>
      <c r="X423" s="1"/>
      <c r="Y423" s="1"/>
      <c r="Z423" s="22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8"/>
      <c r="Q424" s="22"/>
      <c r="R424" s="1"/>
      <c r="S424" s="22"/>
      <c r="T424" s="1"/>
      <c r="U424" s="18"/>
      <c r="V424" s="22"/>
      <c r="W424" s="1"/>
      <c r="X424" s="1"/>
      <c r="Y424" s="1"/>
      <c r="Z424" s="22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8"/>
      <c r="Q425" s="22"/>
      <c r="R425" s="1"/>
      <c r="S425" s="22"/>
      <c r="T425" s="1"/>
      <c r="U425" s="18"/>
      <c r="V425" s="22"/>
      <c r="W425" s="1"/>
      <c r="X425" s="1"/>
      <c r="Y425" s="1"/>
      <c r="Z425" s="22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8"/>
      <c r="Q426" s="22"/>
      <c r="R426" s="1"/>
      <c r="S426" s="22"/>
      <c r="T426" s="1"/>
      <c r="U426" s="18"/>
      <c r="V426" s="22"/>
      <c r="W426" s="1"/>
      <c r="X426" s="1"/>
      <c r="Y426" s="1"/>
      <c r="Z426" s="22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8"/>
      <c r="Q427" s="22"/>
      <c r="R427" s="1"/>
      <c r="S427" s="22"/>
      <c r="T427" s="1"/>
      <c r="U427" s="18"/>
      <c r="V427" s="22"/>
      <c r="W427" s="1"/>
      <c r="X427" s="1"/>
      <c r="Y427" s="1"/>
      <c r="Z427" s="22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8"/>
      <c r="Q428" s="22"/>
      <c r="R428" s="1"/>
      <c r="S428" s="22"/>
      <c r="T428" s="1"/>
      <c r="U428" s="18"/>
      <c r="V428" s="22"/>
      <c r="W428" s="1"/>
      <c r="X428" s="1"/>
      <c r="Y428" s="1"/>
      <c r="Z428" s="22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8"/>
      <c r="Q429" s="22"/>
      <c r="R429" s="1"/>
      <c r="S429" s="22"/>
      <c r="T429" s="1"/>
      <c r="U429" s="18"/>
      <c r="V429" s="22"/>
      <c r="W429" s="1"/>
      <c r="X429" s="1"/>
      <c r="Y429" s="1"/>
      <c r="Z429" s="22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8"/>
      <c r="Q430" s="22"/>
      <c r="R430" s="1"/>
      <c r="S430" s="22"/>
      <c r="T430" s="1"/>
      <c r="U430" s="18"/>
      <c r="V430" s="22"/>
      <c r="W430" s="1"/>
      <c r="X430" s="1"/>
      <c r="Y430" s="1"/>
      <c r="Z430" s="22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8"/>
      <c r="Q431" s="22"/>
      <c r="R431" s="1"/>
      <c r="S431" s="22"/>
      <c r="T431" s="1"/>
      <c r="U431" s="18"/>
      <c r="V431" s="22"/>
      <c r="W431" s="1"/>
      <c r="X431" s="1"/>
      <c r="Y431" s="1"/>
      <c r="Z431" s="22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8"/>
      <c r="Q432" s="22"/>
      <c r="R432" s="1"/>
      <c r="S432" s="22"/>
      <c r="T432" s="1"/>
      <c r="U432" s="18"/>
      <c r="V432" s="22"/>
      <c r="W432" s="1"/>
      <c r="X432" s="1"/>
      <c r="Y432" s="1"/>
      <c r="Z432" s="22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8"/>
      <c r="Q433" s="22"/>
      <c r="R433" s="1"/>
      <c r="S433" s="22"/>
      <c r="T433" s="1"/>
      <c r="U433" s="18"/>
      <c r="V433" s="22"/>
      <c r="W433" s="1"/>
      <c r="X433" s="1"/>
      <c r="Y433" s="1"/>
      <c r="Z433" s="22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8"/>
      <c r="Q434" s="22"/>
      <c r="R434" s="1"/>
      <c r="S434" s="22"/>
      <c r="T434" s="1"/>
      <c r="U434" s="18"/>
      <c r="V434" s="22"/>
      <c r="W434" s="1"/>
      <c r="X434" s="1"/>
      <c r="Y434" s="1"/>
      <c r="Z434" s="22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8"/>
      <c r="Q435" s="22"/>
      <c r="R435" s="1"/>
      <c r="S435" s="22"/>
      <c r="T435" s="1"/>
      <c r="U435" s="18"/>
      <c r="V435" s="22"/>
      <c r="W435" s="1"/>
      <c r="X435" s="1"/>
      <c r="Y435" s="1"/>
      <c r="Z435" s="22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8"/>
      <c r="Q436" s="22"/>
      <c r="R436" s="1"/>
      <c r="S436" s="22"/>
      <c r="T436" s="1"/>
      <c r="U436" s="18"/>
      <c r="V436" s="22"/>
      <c r="W436" s="1"/>
      <c r="X436" s="1"/>
      <c r="Y436" s="1"/>
      <c r="Z436" s="22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8"/>
      <c r="Q437" s="22"/>
      <c r="R437" s="1"/>
      <c r="S437" s="22"/>
      <c r="T437" s="1"/>
      <c r="U437" s="18"/>
      <c r="V437" s="22"/>
      <c r="W437" s="1"/>
      <c r="X437" s="1"/>
      <c r="Y437" s="1"/>
      <c r="Z437" s="22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8"/>
      <c r="Q438" s="22"/>
      <c r="R438" s="1"/>
      <c r="S438" s="22"/>
      <c r="T438" s="1"/>
      <c r="U438" s="18"/>
      <c r="V438" s="22"/>
      <c r="W438" s="1"/>
      <c r="X438" s="1"/>
      <c r="Y438" s="1"/>
      <c r="Z438" s="22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8"/>
      <c r="Q439" s="22"/>
      <c r="R439" s="1"/>
      <c r="S439" s="22"/>
      <c r="T439" s="1"/>
      <c r="U439" s="18"/>
      <c r="V439" s="22"/>
      <c r="W439" s="1"/>
      <c r="X439" s="1"/>
      <c r="Y439" s="1"/>
      <c r="Z439" s="22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8"/>
      <c r="Q440" s="22"/>
      <c r="R440" s="1"/>
      <c r="S440" s="22"/>
      <c r="T440" s="1"/>
      <c r="U440" s="18"/>
      <c r="V440" s="22"/>
      <c r="W440" s="1"/>
      <c r="X440" s="1"/>
      <c r="Y440" s="1"/>
      <c r="Z440" s="22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8"/>
      <c r="Q441" s="22"/>
      <c r="R441" s="1"/>
      <c r="S441" s="22"/>
      <c r="T441" s="1"/>
      <c r="U441" s="18"/>
      <c r="V441" s="22"/>
      <c r="W441" s="1"/>
      <c r="X441" s="1"/>
      <c r="Y441" s="1"/>
      <c r="Z441" s="22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8"/>
      <c r="Q442" s="22"/>
      <c r="R442" s="1"/>
      <c r="S442" s="22"/>
      <c r="T442" s="1"/>
      <c r="U442" s="18"/>
      <c r="V442" s="22"/>
      <c r="W442" s="1"/>
      <c r="X442" s="1"/>
      <c r="Y442" s="1"/>
      <c r="Z442" s="22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8"/>
      <c r="Q443" s="22"/>
      <c r="R443" s="1"/>
      <c r="S443" s="22"/>
      <c r="T443" s="1"/>
      <c r="U443" s="18"/>
      <c r="V443" s="22"/>
      <c r="W443" s="1"/>
      <c r="X443" s="1"/>
      <c r="Y443" s="1"/>
      <c r="Z443" s="22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8"/>
      <c r="Q444" s="22"/>
      <c r="R444" s="1"/>
      <c r="S444" s="22"/>
      <c r="T444" s="1"/>
      <c r="U444" s="18"/>
      <c r="V444" s="22"/>
      <c r="W444" s="1"/>
      <c r="X444" s="1"/>
      <c r="Y444" s="1"/>
      <c r="Z444" s="22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8"/>
      <c r="Q445" s="22"/>
      <c r="R445" s="1"/>
      <c r="S445" s="22"/>
      <c r="T445" s="1"/>
      <c r="U445" s="18"/>
      <c r="V445" s="22"/>
      <c r="W445" s="1"/>
      <c r="X445" s="1"/>
      <c r="Y445" s="1"/>
      <c r="Z445" s="22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8"/>
      <c r="Q446" s="22"/>
      <c r="R446" s="1"/>
      <c r="S446" s="22"/>
      <c r="T446" s="1"/>
      <c r="U446" s="18"/>
      <c r="V446" s="22"/>
      <c r="W446" s="1"/>
      <c r="X446" s="1"/>
      <c r="Y446" s="1"/>
      <c r="Z446" s="22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8"/>
      <c r="Q447" s="22"/>
      <c r="R447" s="1"/>
      <c r="S447" s="22"/>
      <c r="T447" s="1"/>
      <c r="U447" s="18"/>
      <c r="V447" s="22"/>
      <c r="W447" s="1"/>
      <c r="X447" s="1"/>
      <c r="Y447" s="1"/>
      <c r="Z447" s="22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8"/>
      <c r="Q448" s="22"/>
      <c r="R448" s="1"/>
      <c r="S448" s="22"/>
      <c r="T448" s="1"/>
      <c r="U448" s="18"/>
      <c r="V448" s="22"/>
      <c r="W448" s="1"/>
      <c r="X448" s="1"/>
      <c r="Y448" s="1"/>
      <c r="Z448" s="22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8"/>
      <c r="Q449" s="22"/>
      <c r="R449" s="1"/>
      <c r="S449" s="22"/>
      <c r="T449" s="1"/>
      <c r="U449" s="18"/>
      <c r="V449" s="22"/>
      <c r="W449" s="1"/>
      <c r="X449" s="1"/>
      <c r="Y449" s="1"/>
      <c r="Z449" s="22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8"/>
      <c r="Q450" s="22"/>
      <c r="R450" s="1"/>
      <c r="S450" s="22"/>
      <c r="T450" s="1"/>
      <c r="U450" s="18"/>
      <c r="V450" s="22"/>
      <c r="W450" s="1"/>
      <c r="X450" s="1"/>
      <c r="Y450" s="1"/>
      <c r="Z450" s="22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8"/>
      <c r="Q451" s="22"/>
      <c r="R451" s="1"/>
      <c r="S451" s="22"/>
      <c r="T451" s="1"/>
      <c r="U451" s="18"/>
      <c r="V451" s="22"/>
      <c r="W451" s="1"/>
      <c r="X451" s="1"/>
      <c r="Y451" s="1"/>
      <c r="Z451" s="22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8"/>
      <c r="Q452" s="22"/>
      <c r="R452" s="1"/>
      <c r="S452" s="22"/>
      <c r="T452" s="1"/>
      <c r="U452" s="18"/>
      <c r="V452" s="22"/>
      <c r="W452" s="1"/>
      <c r="X452" s="1"/>
      <c r="Y452" s="1"/>
      <c r="Z452" s="22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8"/>
      <c r="Q453" s="22"/>
      <c r="R453" s="1"/>
      <c r="S453" s="22"/>
      <c r="T453" s="1"/>
      <c r="U453" s="18"/>
      <c r="V453" s="22"/>
      <c r="W453" s="1"/>
      <c r="X453" s="1"/>
      <c r="Y453" s="1"/>
      <c r="Z453" s="22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8"/>
      <c r="Q454" s="22"/>
      <c r="R454" s="1"/>
      <c r="S454" s="22"/>
      <c r="T454" s="1"/>
      <c r="U454" s="18"/>
      <c r="V454" s="22"/>
      <c r="W454" s="1"/>
      <c r="X454" s="1"/>
      <c r="Y454" s="1"/>
      <c r="Z454" s="22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8"/>
      <c r="Q455" s="22"/>
      <c r="R455" s="1"/>
      <c r="S455" s="22"/>
      <c r="T455" s="1"/>
      <c r="U455" s="18"/>
      <c r="V455" s="22"/>
      <c r="W455" s="1"/>
      <c r="X455" s="1"/>
      <c r="Y455" s="1"/>
      <c r="Z455" s="22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8"/>
      <c r="Q456" s="22"/>
      <c r="R456" s="1"/>
      <c r="S456" s="22"/>
      <c r="T456" s="1"/>
      <c r="U456" s="18"/>
      <c r="V456" s="22"/>
      <c r="W456" s="1"/>
      <c r="X456" s="1"/>
      <c r="Y456" s="1"/>
      <c r="Z456" s="22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8"/>
      <c r="Q457" s="22"/>
      <c r="R457" s="1"/>
      <c r="S457" s="22"/>
      <c r="T457" s="1"/>
      <c r="U457" s="18"/>
      <c r="V457" s="22"/>
      <c r="W457" s="1"/>
      <c r="X457" s="1"/>
      <c r="Y457" s="1"/>
      <c r="Z457" s="22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8"/>
      <c r="Q458" s="22"/>
      <c r="R458" s="1"/>
      <c r="S458" s="22"/>
      <c r="T458" s="1"/>
      <c r="U458" s="18"/>
      <c r="V458" s="22"/>
      <c r="W458" s="1"/>
      <c r="X458" s="1"/>
      <c r="Y458" s="1"/>
      <c r="Z458" s="22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8"/>
      <c r="Q459" s="22"/>
      <c r="R459" s="1"/>
      <c r="S459" s="22"/>
      <c r="T459" s="1"/>
      <c r="U459" s="18"/>
      <c r="V459" s="22"/>
      <c r="W459" s="1"/>
      <c r="X459" s="1"/>
      <c r="Y459" s="1"/>
      <c r="Z459" s="22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8"/>
      <c r="Q460" s="22"/>
      <c r="R460" s="1"/>
      <c r="S460" s="22"/>
      <c r="T460" s="1"/>
      <c r="U460" s="18"/>
      <c r="V460" s="22"/>
      <c r="W460" s="1"/>
      <c r="X460" s="1"/>
      <c r="Y460" s="1"/>
      <c r="Z460" s="22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8"/>
      <c r="Q461" s="22"/>
      <c r="R461" s="1"/>
      <c r="S461" s="22"/>
      <c r="T461" s="1"/>
      <c r="U461" s="18"/>
      <c r="V461" s="22"/>
      <c r="W461" s="1"/>
      <c r="X461" s="1"/>
      <c r="Y461" s="1"/>
      <c r="Z461" s="22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8"/>
      <c r="Q462" s="22"/>
      <c r="R462" s="1"/>
      <c r="S462" s="22"/>
      <c r="T462" s="1"/>
      <c r="U462" s="18"/>
      <c r="V462" s="22"/>
      <c r="W462" s="1"/>
      <c r="X462" s="1"/>
      <c r="Y462" s="1"/>
      <c r="Z462" s="22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8"/>
      <c r="Q463" s="22"/>
      <c r="R463" s="1"/>
      <c r="S463" s="22"/>
      <c r="T463" s="1"/>
      <c r="U463" s="18"/>
      <c r="V463" s="22"/>
      <c r="W463" s="1"/>
      <c r="X463" s="1"/>
      <c r="Y463" s="1"/>
      <c r="Z463" s="22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8"/>
      <c r="Q464" s="22"/>
      <c r="R464" s="1"/>
      <c r="S464" s="22"/>
      <c r="T464" s="1"/>
      <c r="U464" s="18"/>
      <c r="V464" s="22"/>
      <c r="W464" s="1"/>
      <c r="X464" s="1"/>
      <c r="Y464" s="1"/>
      <c r="Z464" s="22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8"/>
      <c r="Q465" s="22"/>
      <c r="R465" s="1"/>
      <c r="S465" s="22"/>
      <c r="T465" s="1"/>
      <c r="U465" s="18"/>
      <c r="V465" s="22"/>
      <c r="W465" s="1"/>
      <c r="X465" s="1"/>
      <c r="Y465" s="1"/>
      <c r="Z465" s="22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8"/>
      <c r="Q466" s="22"/>
      <c r="R466" s="1"/>
      <c r="S466" s="22"/>
      <c r="T466" s="1"/>
      <c r="U466" s="18"/>
      <c r="V466" s="22"/>
      <c r="W466" s="1"/>
      <c r="X466" s="1"/>
      <c r="Y466" s="1"/>
      <c r="Z466" s="22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8"/>
      <c r="Q467" s="22"/>
      <c r="R467" s="1"/>
      <c r="S467" s="22"/>
      <c r="T467" s="1"/>
      <c r="U467" s="18"/>
      <c r="V467" s="22"/>
      <c r="W467" s="1"/>
      <c r="X467" s="1"/>
      <c r="Y467" s="1"/>
      <c r="Z467" s="22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8"/>
      <c r="Q468" s="22"/>
      <c r="R468" s="1"/>
      <c r="S468" s="22"/>
      <c r="T468" s="1"/>
      <c r="U468" s="18"/>
      <c r="V468" s="22"/>
      <c r="W468" s="1"/>
      <c r="X468" s="1"/>
      <c r="Y468" s="1"/>
      <c r="Z468" s="22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8"/>
      <c r="Q469" s="22"/>
      <c r="R469" s="1"/>
      <c r="S469" s="22"/>
      <c r="T469" s="1"/>
      <c r="U469" s="18"/>
      <c r="V469" s="22"/>
      <c r="W469" s="1"/>
      <c r="X469" s="1"/>
      <c r="Y469" s="1"/>
      <c r="Z469" s="22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8"/>
      <c r="Q470" s="22"/>
      <c r="R470" s="1"/>
      <c r="S470" s="22"/>
      <c r="T470" s="1"/>
      <c r="U470" s="18"/>
      <c r="V470" s="22"/>
      <c r="W470" s="1"/>
      <c r="X470" s="1"/>
      <c r="Y470" s="1"/>
      <c r="Z470" s="22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8"/>
      <c r="Q471" s="22"/>
      <c r="R471" s="1"/>
      <c r="S471" s="22"/>
      <c r="T471" s="1"/>
      <c r="U471" s="18"/>
      <c r="V471" s="22"/>
      <c r="W471" s="1"/>
      <c r="X471" s="1"/>
      <c r="Y471" s="1"/>
      <c r="Z471" s="22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8"/>
      <c r="Q472" s="22"/>
      <c r="R472" s="1"/>
      <c r="S472" s="22"/>
      <c r="T472" s="1"/>
      <c r="U472" s="18"/>
      <c r="V472" s="22"/>
      <c r="W472" s="1"/>
      <c r="X472" s="1"/>
      <c r="Y472" s="1"/>
      <c r="Z472" s="22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8"/>
      <c r="Q473" s="22"/>
      <c r="R473" s="1"/>
      <c r="S473" s="22"/>
      <c r="T473" s="1"/>
      <c r="U473" s="18"/>
      <c r="V473" s="22"/>
      <c r="W473" s="1"/>
      <c r="X473" s="1"/>
      <c r="Y473" s="1"/>
      <c r="Z473" s="22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8"/>
      <c r="Q474" s="22"/>
      <c r="R474" s="1"/>
      <c r="S474" s="22"/>
      <c r="T474" s="1"/>
      <c r="U474" s="18"/>
      <c r="V474" s="22"/>
      <c r="W474" s="1"/>
      <c r="X474" s="1"/>
      <c r="Y474" s="1"/>
      <c r="Z474" s="22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8"/>
      <c r="Q475" s="22"/>
      <c r="R475" s="1"/>
      <c r="S475" s="22"/>
      <c r="T475" s="1"/>
      <c r="U475" s="18"/>
      <c r="V475" s="22"/>
      <c r="W475" s="1"/>
      <c r="X475" s="1"/>
      <c r="Y475" s="1"/>
      <c r="Z475" s="22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8"/>
      <c r="Q476" s="22"/>
      <c r="R476" s="1"/>
      <c r="S476" s="22"/>
      <c r="T476" s="1"/>
      <c r="U476" s="18"/>
      <c r="V476" s="22"/>
      <c r="W476" s="1"/>
      <c r="X476" s="1"/>
      <c r="Y476" s="1"/>
      <c r="Z476" s="22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8"/>
      <c r="Q477" s="22"/>
      <c r="R477" s="1"/>
      <c r="S477" s="22"/>
      <c r="T477" s="1"/>
      <c r="U477" s="18"/>
      <c r="V477" s="22"/>
      <c r="W477" s="1"/>
      <c r="X477" s="1"/>
      <c r="Y477" s="1"/>
      <c r="Z477" s="22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8"/>
      <c r="Q478" s="22"/>
      <c r="R478" s="1"/>
      <c r="S478" s="22"/>
      <c r="T478" s="1"/>
      <c r="U478" s="18"/>
      <c r="V478" s="22"/>
      <c r="W478" s="1"/>
      <c r="X478" s="1"/>
      <c r="Y478" s="1"/>
      <c r="Z478" s="22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8"/>
      <c r="Q479" s="22"/>
      <c r="R479" s="1"/>
      <c r="S479" s="22"/>
      <c r="T479" s="1"/>
      <c r="U479" s="18"/>
      <c r="V479" s="22"/>
      <c r="W479" s="1"/>
      <c r="X479" s="1"/>
      <c r="Y479" s="1"/>
      <c r="Z479" s="22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8"/>
      <c r="Q480" s="22"/>
      <c r="R480" s="1"/>
      <c r="S480" s="22"/>
      <c r="T480" s="1"/>
      <c r="U480" s="18"/>
      <c r="V480" s="22"/>
      <c r="W480" s="1"/>
      <c r="X480" s="1"/>
      <c r="Y480" s="1"/>
      <c r="Z480" s="22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8"/>
      <c r="Q481" s="22"/>
      <c r="R481" s="1"/>
      <c r="S481" s="22"/>
      <c r="T481" s="1"/>
      <c r="U481" s="18"/>
      <c r="V481" s="22"/>
      <c r="W481" s="1"/>
      <c r="X481" s="1"/>
      <c r="Y481" s="1"/>
      <c r="Z481" s="22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8"/>
      <c r="Q482" s="22"/>
      <c r="R482" s="1"/>
      <c r="S482" s="22"/>
      <c r="T482" s="1"/>
      <c r="U482" s="18"/>
      <c r="V482" s="22"/>
      <c r="W482" s="1"/>
      <c r="X482" s="1"/>
      <c r="Y482" s="1"/>
      <c r="Z482" s="22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8"/>
      <c r="Q483" s="22"/>
      <c r="R483" s="1"/>
      <c r="S483" s="22"/>
      <c r="T483" s="1"/>
      <c r="U483" s="18"/>
      <c r="V483" s="22"/>
      <c r="W483" s="1"/>
      <c r="X483" s="1"/>
      <c r="Y483" s="1"/>
      <c r="Z483" s="22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8"/>
      <c r="Q484" s="22"/>
      <c r="R484" s="1"/>
      <c r="S484" s="22"/>
      <c r="T484" s="1"/>
      <c r="U484" s="18"/>
      <c r="V484" s="22"/>
      <c r="W484" s="1"/>
      <c r="X484" s="1"/>
      <c r="Y484" s="1"/>
      <c r="Z484" s="22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8"/>
      <c r="Q485" s="22"/>
      <c r="R485" s="1"/>
      <c r="S485" s="22"/>
      <c r="T485" s="1"/>
      <c r="U485" s="18"/>
      <c r="V485" s="22"/>
      <c r="W485" s="1"/>
      <c r="X485" s="1"/>
      <c r="Y485" s="1"/>
      <c r="Z485" s="22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8"/>
      <c r="Q486" s="22"/>
      <c r="R486" s="1"/>
      <c r="S486" s="22"/>
      <c r="T486" s="1"/>
      <c r="U486" s="18"/>
      <c r="V486" s="22"/>
      <c r="W486" s="1"/>
      <c r="X486" s="1"/>
      <c r="Y486" s="1"/>
      <c r="Z486" s="22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8"/>
      <c r="Q487" s="22"/>
      <c r="R487" s="1"/>
      <c r="S487" s="22"/>
      <c r="T487" s="1"/>
      <c r="U487" s="18"/>
      <c r="V487" s="22"/>
      <c r="W487" s="1"/>
      <c r="X487" s="1"/>
      <c r="Y487" s="1"/>
      <c r="Z487" s="22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8"/>
      <c r="Q488" s="22"/>
      <c r="R488" s="1"/>
      <c r="S488" s="22"/>
      <c r="T488" s="1"/>
      <c r="U488" s="18"/>
      <c r="V488" s="22"/>
      <c r="W488" s="1"/>
      <c r="X488" s="1"/>
      <c r="Y488" s="1"/>
      <c r="Z488" s="22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8"/>
      <c r="Q489" s="22"/>
      <c r="R489" s="1"/>
      <c r="S489" s="22"/>
      <c r="T489" s="1"/>
      <c r="U489" s="18"/>
      <c r="V489" s="22"/>
      <c r="W489" s="1"/>
      <c r="X489" s="1"/>
      <c r="Y489" s="1"/>
      <c r="Z489" s="22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8"/>
      <c r="Q490" s="22"/>
      <c r="R490" s="1"/>
      <c r="S490" s="22"/>
      <c r="T490" s="1"/>
      <c r="U490" s="18"/>
      <c r="V490" s="22"/>
      <c r="W490" s="1"/>
      <c r="X490" s="1"/>
      <c r="Y490" s="1"/>
      <c r="Z490" s="22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8"/>
      <c r="Q491" s="22"/>
      <c r="R491" s="1"/>
      <c r="S491" s="22"/>
      <c r="T491" s="1"/>
      <c r="U491" s="18"/>
      <c r="V491" s="22"/>
      <c r="W491" s="1"/>
      <c r="X491" s="1"/>
      <c r="Y491" s="1"/>
      <c r="Z491" s="22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8"/>
      <c r="Q492" s="22"/>
      <c r="R492" s="1"/>
      <c r="S492" s="22"/>
      <c r="T492" s="1"/>
      <c r="U492" s="18"/>
      <c r="V492" s="22"/>
      <c r="W492" s="1"/>
      <c r="X492" s="1"/>
      <c r="Y492" s="1"/>
      <c r="Z492" s="22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8"/>
      <c r="Q493" s="22"/>
      <c r="R493" s="1"/>
      <c r="S493" s="22"/>
      <c r="T493" s="1"/>
      <c r="U493" s="18"/>
      <c r="V493" s="22"/>
      <c r="W493" s="1"/>
      <c r="X493" s="1"/>
      <c r="Y493" s="1"/>
      <c r="Z493" s="22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8"/>
      <c r="Q494" s="22"/>
      <c r="R494" s="1"/>
      <c r="S494" s="22"/>
      <c r="T494" s="1"/>
      <c r="U494" s="18"/>
      <c r="V494" s="22"/>
      <c r="W494" s="1"/>
      <c r="X494" s="1"/>
      <c r="Y494" s="1"/>
      <c r="Z494" s="22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8"/>
      <c r="Q495" s="22"/>
      <c r="R495" s="1"/>
      <c r="S495" s="22"/>
      <c r="T495" s="1"/>
      <c r="U495" s="18"/>
      <c r="V495" s="22"/>
      <c r="W495" s="1"/>
      <c r="X495" s="1"/>
      <c r="Y495" s="1"/>
      <c r="Z495" s="22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8"/>
      <c r="Q496" s="22"/>
      <c r="R496" s="1"/>
      <c r="S496" s="22"/>
      <c r="T496" s="1"/>
      <c r="U496" s="18"/>
      <c r="V496" s="22"/>
      <c r="W496" s="1"/>
      <c r="X496" s="1"/>
      <c r="Y496" s="1"/>
      <c r="Z496" s="22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8"/>
      <c r="Q497" s="22"/>
      <c r="R497" s="1"/>
      <c r="S497" s="22"/>
      <c r="T497" s="1"/>
      <c r="U497" s="18"/>
      <c r="V497" s="22"/>
      <c r="W497" s="1"/>
      <c r="X497" s="1"/>
      <c r="Y497" s="1"/>
      <c r="Z497" s="22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8"/>
      <c r="Q498" s="22"/>
      <c r="R498" s="1"/>
      <c r="S498" s="22"/>
      <c r="T498" s="1"/>
      <c r="U498" s="18"/>
      <c r="V498" s="22"/>
      <c r="W498" s="1"/>
      <c r="X498" s="1"/>
      <c r="Y498" s="1"/>
      <c r="Z498" s="22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8"/>
      <c r="Q499" s="22"/>
      <c r="R499" s="1"/>
      <c r="S499" s="22"/>
      <c r="T499" s="1"/>
      <c r="U499" s="18"/>
      <c r="V499" s="22"/>
      <c r="W499" s="1"/>
      <c r="X499" s="1"/>
      <c r="Y499" s="1"/>
      <c r="Z499" s="22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</sheetData>
  <autoFilter ref="A3:AP128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D631-254B-488E-AD70-CF804A290715}">
  <dimension ref="A1:H16"/>
  <sheetViews>
    <sheetView workbookViewId="0">
      <selection activeCell="B1" sqref="B1"/>
    </sheetView>
  </sheetViews>
  <sheetFormatPr defaultRowHeight="15" x14ac:dyDescent="0.25"/>
  <cols>
    <col min="2" max="2" width="11.85546875" style="21" customWidth="1"/>
    <col min="3" max="3" width="100.5703125" bestFit="1" customWidth="1"/>
  </cols>
  <sheetData>
    <row r="1" spans="1:8" x14ac:dyDescent="0.25">
      <c r="A1" t="s">
        <v>305</v>
      </c>
      <c r="B1" s="21" t="str">
        <f>SUBSTITUTE(A1," ","")</f>
        <v>SU002354</v>
      </c>
      <c r="C1" t="s">
        <v>306</v>
      </c>
      <c r="D1" t="s">
        <v>307</v>
      </c>
      <c r="E1" t="s">
        <v>308</v>
      </c>
      <c r="F1" t="s">
        <v>308</v>
      </c>
      <c r="G1" t="s">
        <v>309</v>
      </c>
      <c r="H1">
        <f>--SUBSTITUTE(G1," ","")</f>
        <v>-1</v>
      </c>
    </row>
    <row r="2" spans="1:8" x14ac:dyDescent="0.25">
      <c r="A2" t="s">
        <v>310</v>
      </c>
      <c r="B2" s="21" t="str">
        <f t="shared" ref="B2:B16" si="0">SUBSTITUTE(A2," ","")</f>
        <v>SU002356</v>
      </c>
      <c r="C2" t="s">
        <v>311</v>
      </c>
      <c r="D2" t="s">
        <v>308</v>
      </c>
      <c r="E2" t="s">
        <v>312</v>
      </c>
      <c r="F2" t="s">
        <v>312</v>
      </c>
      <c r="G2" t="s">
        <v>309</v>
      </c>
      <c r="H2">
        <f t="shared" ref="H2:H16" si="1">--SUBSTITUTE(G2," ","")</f>
        <v>-1</v>
      </c>
    </row>
    <row r="3" spans="1:8" x14ac:dyDescent="0.25">
      <c r="A3" t="s">
        <v>313</v>
      </c>
      <c r="B3" s="21" t="str">
        <f t="shared" si="0"/>
        <v>SU002758</v>
      </c>
      <c r="C3" t="s">
        <v>314</v>
      </c>
      <c r="D3" t="s">
        <v>315</v>
      </c>
      <c r="E3" t="s">
        <v>312</v>
      </c>
      <c r="F3" t="s">
        <v>312</v>
      </c>
      <c r="G3" t="s">
        <v>316</v>
      </c>
      <c r="H3">
        <f t="shared" si="1"/>
        <v>-17</v>
      </c>
    </row>
    <row r="4" spans="1:8" x14ac:dyDescent="0.25">
      <c r="A4" t="s">
        <v>317</v>
      </c>
      <c r="B4" s="21" t="str">
        <f t="shared" si="0"/>
        <v>SU002831</v>
      </c>
      <c r="C4" t="s">
        <v>318</v>
      </c>
      <c r="D4" t="s">
        <v>319</v>
      </c>
      <c r="E4" t="s">
        <v>319</v>
      </c>
      <c r="F4" t="s">
        <v>312</v>
      </c>
      <c r="G4" t="s">
        <v>320</v>
      </c>
      <c r="H4">
        <f t="shared" si="1"/>
        <v>-44</v>
      </c>
    </row>
    <row r="5" spans="1:8" x14ac:dyDescent="0.25">
      <c r="A5" t="s">
        <v>321</v>
      </c>
      <c r="B5" s="21" t="str">
        <f t="shared" si="0"/>
        <v>SU002839</v>
      </c>
      <c r="C5" t="s">
        <v>322</v>
      </c>
      <c r="D5" t="s">
        <v>323</v>
      </c>
      <c r="E5" t="s">
        <v>324</v>
      </c>
      <c r="F5" t="s">
        <v>325</v>
      </c>
      <c r="G5" t="s">
        <v>326</v>
      </c>
      <c r="H5">
        <f t="shared" si="1"/>
        <v>-209</v>
      </c>
    </row>
    <row r="6" spans="1:8" x14ac:dyDescent="0.25">
      <c r="A6" t="s">
        <v>327</v>
      </c>
      <c r="B6" s="21" t="str">
        <f t="shared" si="0"/>
        <v>SU002943</v>
      </c>
      <c r="C6" t="s">
        <v>328</v>
      </c>
      <c r="D6" t="s">
        <v>329</v>
      </c>
      <c r="E6" t="s">
        <v>329</v>
      </c>
      <c r="F6" t="s">
        <v>312</v>
      </c>
      <c r="G6" t="s">
        <v>330</v>
      </c>
      <c r="H6">
        <f t="shared" si="1"/>
        <v>-81</v>
      </c>
    </row>
    <row r="7" spans="1:8" x14ac:dyDescent="0.25">
      <c r="A7" t="s">
        <v>331</v>
      </c>
      <c r="B7" s="21" t="str">
        <f t="shared" si="0"/>
        <v>SU002944</v>
      </c>
      <c r="C7" t="s">
        <v>332</v>
      </c>
      <c r="D7" t="s">
        <v>333</v>
      </c>
      <c r="E7" t="s">
        <v>312</v>
      </c>
      <c r="F7" t="s">
        <v>312</v>
      </c>
      <c r="G7" t="s">
        <v>334</v>
      </c>
      <c r="H7">
        <f t="shared" si="1"/>
        <v>-16</v>
      </c>
    </row>
    <row r="8" spans="1:8" x14ac:dyDescent="0.25">
      <c r="A8" t="s">
        <v>335</v>
      </c>
      <c r="B8" s="21" t="str">
        <f t="shared" si="0"/>
        <v>SU002945</v>
      </c>
      <c r="C8" t="s">
        <v>336</v>
      </c>
      <c r="D8" t="s">
        <v>337</v>
      </c>
      <c r="E8" t="s">
        <v>337</v>
      </c>
      <c r="F8" t="s">
        <v>312</v>
      </c>
      <c r="G8" t="s">
        <v>338</v>
      </c>
      <c r="H8">
        <f t="shared" si="1"/>
        <v>-151</v>
      </c>
    </row>
    <row r="9" spans="1:8" x14ac:dyDescent="0.25">
      <c r="A9" t="s">
        <v>339</v>
      </c>
      <c r="B9" s="21" t="str">
        <f t="shared" si="0"/>
        <v>SU002947</v>
      </c>
      <c r="C9" t="s">
        <v>340</v>
      </c>
      <c r="D9" t="s">
        <v>341</v>
      </c>
      <c r="E9" t="s">
        <v>341</v>
      </c>
      <c r="F9" t="s">
        <v>312</v>
      </c>
      <c r="G9" t="s">
        <v>342</v>
      </c>
      <c r="H9">
        <f t="shared" si="1"/>
        <v>-54</v>
      </c>
    </row>
    <row r="10" spans="1:8" x14ac:dyDescent="0.25">
      <c r="A10" t="s">
        <v>343</v>
      </c>
      <c r="B10" s="21" t="str">
        <f t="shared" si="0"/>
        <v>SU002948</v>
      </c>
      <c r="C10" t="s">
        <v>344</v>
      </c>
      <c r="D10" t="s">
        <v>345</v>
      </c>
      <c r="E10" t="s">
        <v>312</v>
      </c>
      <c r="F10" t="s">
        <v>312</v>
      </c>
      <c r="G10" t="s">
        <v>346</v>
      </c>
      <c r="H10">
        <f t="shared" si="1"/>
        <v>-4</v>
      </c>
    </row>
    <row r="11" spans="1:8" x14ac:dyDescent="0.25">
      <c r="A11" t="s">
        <v>347</v>
      </c>
      <c r="B11" s="21" t="str">
        <f t="shared" si="0"/>
        <v>SU003168</v>
      </c>
      <c r="C11" t="s">
        <v>348</v>
      </c>
      <c r="D11" t="s">
        <v>349</v>
      </c>
      <c r="E11" t="s">
        <v>349</v>
      </c>
      <c r="F11" t="s">
        <v>312</v>
      </c>
      <c r="G11" t="s">
        <v>350</v>
      </c>
      <c r="H11">
        <f t="shared" si="1"/>
        <v>-36</v>
      </c>
    </row>
    <row r="12" spans="1:8" x14ac:dyDescent="0.25">
      <c r="A12" t="s">
        <v>351</v>
      </c>
      <c r="B12" s="21" t="str">
        <f t="shared" si="0"/>
        <v>SU003829</v>
      </c>
      <c r="C12" t="s">
        <v>352</v>
      </c>
      <c r="D12" t="s">
        <v>333</v>
      </c>
      <c r="E12" t="s">
        <v>312</v>
      </c>
      <c r="F12" t="s">
        <v>312</v>
      </c>
      <c r="G12" t="s">
        <v>334</v>
      </c>
      <c r="H12">
        <f t="shared" si="1"/>
        <v>-16</v>
      </c>
    </row>
    <row r="13" spans="1:8" x14ac:dyDescent="0.25">
      <c r="A13" t="s">
        <v>353</v>
      </c>
      <c r="B13" s="21" t="str">
        <f t="shared" si="0"/>
        <v>SU003894</v>
      </c>
      <c r="C13" t="s">
        <v>354</v>
      </c>
      <c r="D13" t="s">
        <v>355</v>
      </c>
      <c r="E13" t="s">
        <v>312</v>
      </c>
      <c r="F13" t="s">
        <v>312</v>
      </c>
      <c r="G13" t="s">
        <v>356</v>
      </c>
      <c r="H13">
        <f t="shared" si="1"/>
        <v>-3</v>
      </c>
    </row>
    <row r="14" spans="1:8" x14ac:dyDescent="0.25">
      <c r="A14" t="s">
        <v>357</v>
      </c>
      <c r="B14" s="21" t="str">
        <f t="shared" si="0"/>
        <v>SU004039</v>
      </c>
      <c r="C14" t="s">
        <v>358</v>
      </c>
      <c r="D14" t="s">
        <v>359</v>
      </c>
      <c r="E14" t="s">
        <v>359</v>
      </c>
      <c r="F14" t="s">
        <v>312</v>
      </c>
      <c r="G14" t="s">
        <v>360</v>
      </c>
      <c r="H14">
        <f t="shared" si="1"/>
        <v>-114</v>
      </c>
    </row>
    <row r="15" spans="1:8" x14ac:dyDescent="0.25">
      <c r="A15" t="s">
        <v>361</v>
      </c>
      <c r="B15" s="21" t="str">
        <f t="shared" si="0"/>
        <v>SU004042</v>
      </c>
      <c r="C15" t="s">
        <v>362</v>
      </c>
      <c r="D15" t="s">
        <v>363</v>
      </c>
      <c r="E15" t="s">
        <v>363</v>
      </c>
      <c r="F15" t="s">
        <v>312</v>
      </c>
      <c r="G15" t="s">
        <v>364</v>
      </c>
      <c r="H15">
        <f t="shared" si="1"/>
        <v>-25</v>
      </c>
    </row>
    <row r="16" spans="1:8" x14ac:dyDescent="0.25">
      <c r="A16" t="s">
        <v>365</v>
      </c>
      <c r="B16" s="21" t="str">
        <f t="shared" si="0"/>
        <v>SU004044</v>
      </c>
      <c r="C16" t="s">
        <v>366</v>
      </c>
      <c r="D16" t="s">
        <v>367</v>
      </c>
      <c r="E16" t="s">
        <v>367</v>
      </c>
      <c r="F16" t="s">
        <v>312</v>
      </c>
      <c r="G16" t="s">
        <v>368</v>
      </c>
      <c r="H16">
        <f t="shared" si="1"/>
        <v>-322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3CE4-2F3C-44DE-A81D-29087F70FA95}">
  <dimension ref="A1:H6"/>
  <sheetViews>
    <sheetView workbookViewId="0">
      <selection activeCell="H11" sqref="H11"/>
    </sheetView>
  </sheetViews>
  <sheetFormatPr defaultRowHeight="15" x14ac:dyDescent="0.25"/>
  <cols>
    <col min="1" max="1" width="10.85546875" customWidth="1"/>
    <col min="2" max="2" width="10.85546875" style="21" customWidth="1"/>
    <col min="3" max="3" width="91.85546875" customWidth="1"/>
  </cols>
  <sheetData>
    <row r="1" spans="1:8" x14ac:dyDescent="0.25">
      <c r="A1" s="27" t="s">
        <v>371</v>
      </c>
      <c r="B1" s="27" t="str">
        <f>SUBSTITUTE(A1," ","")</f>
        <v>SU001430</v>
      </c>
      <c r="C1" s="27" t="s">
        <v>372</v>
      </c>
      <c r="D1" s="28" t="s">
        <v>373</v>
      </c>
      <c r="E1" s="28" t="s">
        <v>373</v>
      </c>
      <c r="F1" s="28" t="s">
        <v>312</v>
      </c>
      <c r="G1" s="28" t="s">
        <v>374</v>
      </c>
      <c r="H1">
        <f>--SUBSTITUTE(G1," ","")</f>
        <v>-101</v>
      </c>
    </row>
    <row r="2" spans="1:8" x14ac:dyDescent="0.25">
      <c r="A2" s="27" t="s">
        <v>375</v>
      </c>
      <c r="B2" s="27" t="str">
        <f t="shared" ref="B2:B6" si="0">SUBSTITUTE(A2," ","")</f>
        <v>SU001523</v>
      </c>
      <c r="C2" s="27" t="s">
        <v>376</v>
      </c>
      <c r="D2" s="28" t="s">
        <v>377</v>
      </c>
      <c r="E2" s="28" t="s">
        <v>377</v>
      </c>
      <c r="F2" s="28" t="s">
        <v>378</v>
      </c>
      <c r="G2" s="28" t="s">
        <v>379</v>
      </c>
      <c r="H2">
        <f t="shared" ref="H2:H6" si="1">--SUBSTITUTE(G2," ","")</f>
        <v>-10</v>
      </c>
    </row>
    <row r="3" spans="1:8" x14ac:dyDescent="0.25">
      <c r="A3" s="27" t="s">
        <v>335</v>
      </c>
      <c r="B3" s="27" t="str">
        <f t="shared" si="0"/>
        <v>SU002945</v>
      </c>
      <c r="C3" s="27" t="s">
        <v>336</v>
      </c>
      <c r="D3" s="28" t="s">
        <v>380</v>
      </c>
      <c r="E3" s="28" t="s">
        <v>312</v>
      </c>
      <c r="F3" s="28" t="s">
        <v>312</v>
      </c>
      <c r="G3" s="28" t="s">
        <v>381</v>
      </c>
      <c r="H3">
        <f t="shared" si="1"/>
        <v>-362</v>
      </c>
    </row>
    <row r="4" spans="1:8" x14ac:dyDescent="0.25">
      <c r="A4" s="27" t="s">
        <v>382</v>
      </c>
      <c r="B4" s="27" t="str">
        <f t="shared" si="0"/>
        <v>SU003167</v>
      </c>
      <c r="C4" s="27" t="s">
        <v>383</v>
      </c>
      <c r="D4" s="28" t="s">
        <v>384</v>
      </c>
      <c r="E4" s="28" t="s">
        <v>312</v>
      </c>
      <c r="F4" s="28" t="s">
        <v>312</v>
      </c>
      <c r="G4" s="28" t="s">
        <v>385</v>
      </c>
      <c r="H4">
        <f t="shared" si="1"/>
        <v>-23</v>
      </c>
    </row>
    <row r="5" spans="1:8" x14ac:dyDescent="0.25">
      <c r="A5" s="27" t="s">
        <v>353</v>
      </c>
      <c r="B5" s="27" t="str">
        <f t="shared" si="0"/>
        <v>SU003894</v>
      </c>
      <c r="C5" s="27" t="s">
        <v>354</v>
      </c>
      <c r="D5" s="28" t="s">
        <v>386</v>
      </c>
      <c r="E5" s="28" t="s">
        <v>312</v>
      </c>
      <c r="F5" s="28" t="s">
        <v>312</v>
      </c>
      <c r="G5" s="28" t="s">
        <v>387</v>
      </c>
      <c r="H5">
        <f t="shared" si="1"/>
        <v>-6</v>
      </c>
    </row>
    <row r="6" spans="1:8" x14ac:dyDescent="0.25">
      <c r="A6" s="27" t="s">
        <v>388</v>
      </c>
      <c r="B6" s="27" t="str">
        <f t="shared" si="0"/>
        <v>SU004041</v>
      </c>
      <c r="C6" s="27" t="s">
        <v>389</v>
      </c>
      <c r="D6" s="28" t="s">
        <v>390</v>
      </c>
      <c r="E6" s="28" t="s">
        <v>390</v>
      </c>
      <c r="F6" s="28" t="s">
        <v>391</v>
      </c>
      <c r="G6" s="28" t="s">
        <v>392</v>
      </c>
      <c r="H6">
        <f t="shared" si="1"/>
        <v>-67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дефицит 22,09</vt:lpstr>
      <vt:lpstr>дефицит 26,09(2)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2026-09-24T16:20:18Z</dcterms:created>
  <dcterms:modified xsi:type="dcterms:W3CDTF">2026-09-29T12:40:43Z</dcterms:modified>
</cp:coreProperties>
</file>