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1977C00-2835-481F-B7EF-F8D928DC45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дефицит 28,09" sheetId="2" r:id="rId2"/>
  </sheets>
  <definedNames>
    <definedName name="_xlnm._FilterDatabase" localSheetId="0" hidden="1">Sheet!$A$3:$AH$129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7" i="1" l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4" i="1"/>
  <c r="AJ125" i="1"/>
  <c r="AJ126" i="1"/>
  <c r="AJ127" i="1"/>
  <c r="AJ128" i="1"/>
  <c r="AJ6" i="1"/>
  <c r="P5" i="1" l="1"/>
  <c r="H2" i="2"/>
  <c r="H3" i="2"/>
  <c r="H4" i="2"/>
  <c r="H5" i="2"/>
  <c r="H6" i="2"/>
  <c r="H7" i="2"/>
  <c r="H8" i="2"/>
  <c r="H1" i="2"/>
  <c r="B2" i="2"/>
  <c r="B3" i="2"/>
  <c r="B4" i="2"/>
  <c r="B5" i="2"/>
  <c r="B6" i="2"/>
  <c r="B7" i="2"/>
  <c r="B8" i="2"/>
  <c r="B1" i="2"/>
  <c r="AH129" i="1" l="1"/>
  <c r="S129" i="1"/>
  <c r="L129" i="1"/>
  <c r="S128" i="1"/>
  <c r="L128" i="1"/>
  <c r="AH127" i="1"/>
  <c r="S127" i="1"/>
  <c r="V127" i="1" s="1"/>
  <c r="L127" i="1"/>
  <c r="AH126" i="1"/>
  <c r="S126" i="1"/>
  <c r="L126" i="1"/>
  <c r="S125" i="1"/>
  <c r="L125" i="1"/>
  <c r="AH124" i="1"/>
  <c r="S124" i="1"/>
  <c r="V124" i="1" s="1"/>
  <c r="L124" i="1"/>
  <c r="AH123" i="1"/>
  <c r="S123" i="1"/>
  <c r="L123" i="1"/>
  <c r="AH122" i="1"/>
  <c r="S122" i="1"/>
  <c r="V122" i="1" s="1"/>
  <c r="L122" i="1"/>
  <c r="AH121" i="1"/>
  <c r="S121" i="1"/>
  <c r="L121" i="1"/>
  <c r="AH120" i="1"/>
  <c r="S120" i="1"/>
  <c r="V120" i="1" s="1"/>
  <c r="L120" i="1"/>
  <c r="AH119" i="1"/>
  <c r="S119" i="1"/>
  <c r="L119" i="1"/>
  <c r="S118" i="1"/>
  <c r="L118" i="1"/>
  <c r="AH117" i="1"/>
  <c r="S117" i="1"/>
  <c r="V117" i="1" s="1"/>
  <c r="L117" i="1"/>
  <c r="AH116" i="1"/>
  <c r="S116" i="1"/>
  <c r="L116" i="1"/>
  <c r="AH115" i="1"/>
  <c r="S115" i="1"/>
  <c r="V115" i="1" s="1"/>
  <c r="L115" i="1"/>
  <c r="AH114" i="1"/>
  <c r="S114" i="1"/>
  <c r="L114" i="1"/>
  <c r="S113" i="1"/>
  <c r="L113" i="1"/>
  <c r="AH112" i="1"/>
  <c r="S112" i="1"/>
  <c r="V112" i="1" s="1"/>
  <c r="L112" i="1"/>
  <c r="AH111" i="1"/>
  <c r="S111" i="1"/>
  <c r="L111" i="1"/>
  <c r="S110" i="1"/>
  <c r="L110" i="1"/>
  <c r="AH109" i="1"/>
  <c r="S109" i="1"/>
  <c r="V109" i="1" s="1"/>
  <c r="L109" i="1"/>
  <c r="AH108" i="1"/>
  <c r="S108" i="1"/>
  <c r="L108" i="1"/>
  <c r="AH107" i="1"/>
  <c r="S107" i="1"/>
  <c r="V107" i="1" s="1"/>
  <c r="L107" i="1"/>
  <c r="S106" i="1"/>
  <c r="T106" i="1" s="1"/>
  <c r="L106" i="1"/>
  <c r="AH105" i="1"/>
  <c r="S105" i="1"/>
  <c r="L105" i="1"/>
  <c r="S104" i="1"/>
  <c r="L104" i="1"/>
  <c r="AH103" i="1"/>
  <c r="S103" i="1"/>
  <c r="V103" i="1" s="1"/>
  <c r="L103" i="1"/>
  <c r="AH102" i="1"/>
  <c r="S102" i="1"/>
  <c r="L102" i="1"/>
  <c r="AH101" i="1"/>
  <c r="S101" i="1"/>
  <c r="V101" i="1" s="1"/>
  <c r="L101" i="1"/>
  <c r="S100" i="1"/>
  <c r="T100" i="1" s="1"/>
  <c r="L100" i="1"/>
  <c r="S99" i="1"/>
  <c r="T99" i="1" s="1"/>
  <c r="L99" i="1"/>
  <c r="AH98" i="1"/>
  <c r="S98" i="1"/>
  <c r="L98" i="1"/>
  <c r="AH97" i="1"/>
  <c r="S97" i="1"/>
  <c r="V97" i="1" s="1"/>
  <c r="L97" i="1"/>
  <c r="S96" i="1"/>
  <c r="L96" i="1"/>
  <c r="F96" i="1"/>
  <c r="AH95" i="1"/>
  <c r="S95" i="1"/>
  <c r="V95" i="1" s="1"/>
  <c r="L95" i="1"/>
  <c r="S94" i="1"/>
  <c r="T94" i="1" s="1"/>
  <c r="L94" i="1"/>
  <c r="S93" i="1"/>
  <c r="T93" i="1" s="1"/>
  <c r="L93" i="1"/>
  <c r="AH92" i="1"/>
  <c r="S92" i="1"/>
  <c r="U92" i="1" s="1"/>
  <c r="L92" i="1"/>
  <c r="AH91" i="1"/>
  <c r="S91" i="1"/>
  <c r="V91" i="1" s="1"/>
  <c r="L91" i="1"/>
  <c r="AH90" i="1"/>
  <c r="S90" i="1"/>
  <c r="U90" i="1" s="1"/>
  <c r="L90" i="1"/>
  <c r="AH89" i="1"/>
  <c r="S89" i="1"/>
  <c r="V89" i="1" s="1"/>
  <c r="L89" i="1"/>
  <c r="S88" i="1"/>
  <c r="T88" i="1" s="1"/>
  <c r="L88" i="1"/>
  <c r="S87" i="1"/>
  <c r="T87" i="1" s="1"/>
  <c r="L87" i="1"/>
  <c r="S86" i="1"/>
  <c r="T86" i="1" s="1"/>
  <c r="L86" i="1"/>
  <c r="AH85" i="1"/>
  <c r="S85" i="1"/>
  <c r="U85" i="1" s="1"/>
  <c r="L85" i="1"/>
  <c r="S84" i="1"/>
  <c r="L84" i="1"/>
  <c r="S83" i="1"/>
  <c r="L83" i="1"/>
  <c r="AH82" i="1"/>
  <c r="S82" i="1"/>
  <c r="V82" i="1" s="1"/>
  <c r="L82" i="1"/>
  <c r="S81" i="1"/>
  <c r="T81" i="1" s="1"/>
  <c r="L81" i="1"/>
  <c r="AH80" i="1"/>
  <c r="S80" i="1"/>
  <c r="U80" i="1" s="1"/>
  <c r="L80" i="1"/>
  <c r="AH79" i="1"/>
  <c r="S79" i="1"/>
  <c r="V79" i="1" s="1"/>
  <c r="L79" i="1"/>
  <c r="S78" i="1"/>
  <c r="T78" i="1" s="1"/>
  <c r="L78" i="1"/>
  <c r="AH77" i="1"/>
  <c r="S77" i="1"/>
  <c r="U77" i="1" s="1"/>
  <c r="L77" i="1"/>
  <c r="S76" i="1"/>
  <c r="L76" i="1"/>
  <c r="S75" i="1"/>
  <c r="L75" i="1"/>
  <c r="AH74" i="1"/>
  <c r="S74" i="1"/>
  <c r="V74" i="1" s="1"/>
  <c r="L74" i="1"/>
  <c r="S73" i="1"/>
  <c r="T73" i="1" s="1"/>
  <c r="L73" i="1"/>
  <c r="AH72" i="1"/>
  <c r="S72" i="1"/>
  <c r="U72" i="1" s="1"/>
  <c r="L72" i="1"/>
  <c r="AH71" i="1"/>
  <c r="S71" i="1"/>
  <c r="V71" i="1" s="1"/>
  <c r="L71" i="1"/>
  <c r="S70" i="1"/>
  <c r="T70" i="1" s="1"/>
  <c r="L70" i="1"/>
  <c r="S69" i="1"/>
  <c r="V69" i="1" s="1"/>
  <c r="L69" i="1"/>
  <c r="AH68" i="1"/>
  <c r="S68" i="1"/>
  <c r="U68" i="1" s="1"/>
  <c r="L68" i="1"/>
  <c r="AH67" i="1"/>
  <c r="S67" i="1"/>
  <c r="V67" i="1" s="1"/>
  <c r="L67" i="1"/>
  <c r="AH66" i="1"/>
  <c r="S66" i="1"/>
  <c r="U66" i="1" s="1"/>
  <c r="L66" i="1"/>
  <c r="AH65" i="1"/>
  <c r="S65" i="1"/>
  <c r="V65" i="1" s="1"/>
  <c r="L65" i="1"/>
  <c r="AH64" i="1"/>
  <c r="S64" i="1"/>
  <c r="U64" i="1" s="1"/>
  <c r="L64" i="1"/>
  <c r="S63" i="1"/>
  <c r="L63" i="1"/>
  <c r="S62" i="1"/>
  <c r="L62" i="1"/>
  <c r="S61" i="1"/>
  <c r="L61" i="1"/>
  <c r="S60" i="1"/>
  <c r="L60" i="1"/>
  <c r="S59" i="1"/>
  <c r="L59" i="1"/>
  <c r="S58" i="1"/>
  <c r="L58" i="1"/>
  <c r="S57" i="1"/>
  <c r="L57" i="1"/>
  <c r="S56" i="1"/>
  <c r="L56" i="1"/>
  <c r="F55" i="1"/>
  <c r="E55" i="1"/>
  <c r="L55" i="1" s="1"/>
  <c r="S54" i="1"/>
  <c r="L54" i="1"/>
  <c r="S53" i="1"/>
  <c r="L53" i="1"/>
  <c r="AH52" i="1"/>
  <c r="S52" i="1"/>
  <c r="V52" i="1" s="1"/>
  <c r="L52" i="1"/>
  <c r="S51" i="1"/>
  <c r="T51" i="1" s="1"/>
  <c r="L51" i="1"/>
  <c r="S50" i="1"/>
  <c r="T50" i="1" s="1"/>
  <c r="L50" i="1"/>
  <c r="AH49" i="1"/>
  <c r="S49" i="1"/>
  <c r="U49" i="1" s="1"/>
  <c r="L49" i="1"/>
  <c r="S48" i="1"/>
  <c r="L48" i="1"/>
  <c r="S47" i="1"/>
  <c r="L47" i="1"/>
  <c r="S46" i="1"/>
  <c r="L46" i="1"/>
  <c r="AH45" i="1"/>
  <c r="S45" i="1"/>
  <c r="V45" i="1" s="1"/>
  <c r="L45" i="1"/>
  <c r="S44" i="1"/>
  <c r="V44" i="1" s="1"/>
  <c r="L44" i="1"/>
  <c r="AH43" i="1"/>
  <c r="S43" i="1"/>
  <c r="U43" i="1" s="1"/>
  <c r="L43" i="1"/>
  <c r="S42" i="1"/>
  <c r="L42" i="1"/>
  <c r="S41" i="1"/>
  <c r="L41" i="1"/>
  <c r="AH40" i="1"/>
  <c r="S40" i="1"/>
  <c r="V40" i="1" s="1"/>
  <c r="L40" i="1"/>
  <c r="S39" i="1"/>
  <c r="T39" i="1" s="1"/>
  <c r="L39" i="1"/>
  <c r="S38" i="1"/>
  <c r="T38" i="1" s="1"/>
  <c r="L38" i="1"/>
  <c r="S37" i="1"/>
  <c r="T37" i="1" s="1"/>
  <c r="L37" i="1"/>
  <c r="S36" i="1"/>
  <c r="T36" i="1" s="1"/>
  <c r="L36" i="1"/>
  <c r="S35" i="1"/>
  <c r="T35" i="1" s="1"/>
  <c r="L35" i="1"/>
  <c r="S34" i="1"/>
  <c r="T34" i="1" s="1"/>
  <c r="AH34" i="1" s="1"/>
  <c r="L34" i="1"/>
  <c r="AH33" i="1"/>
  <c r="S33" i="1"/>
  <c r="U33" i="1" s="1"/>
  <c r="L33" i="1"/>
  <c r="AH32" i="1"/>
  <c r="S32" i="1"/>
  <c r="V32" i="1" s="1"/>
  <c r="L32" i="1"/>
  <c r="S31" i="1"/>
  <c r="V31" i="1" s="1"/>
  <c r="L31" i="1"/>
  <c r="AH30" i="1"/>
  <c r="S30" i="1"/>
  <c r="U30" i="1" s="1"/>
  <c r="L30" i="1"/>
  <c r="S29" i="1"/>
  <c r="V29" i="1" s="1"/>
  <c r="L29" i="1"/>
  <c r="S28" i="1"/>
  <c r="V28" i="1" s="1"/>
  <c r="L28" i="1"/>
  <c r="S27" i="1"/>
  <c r="V27" i="1" s="1"/>
  <c r="L27" i="1"/>
  <c r="S26" i="1"/>
  <c r="V26" i="1" s="1"/>
  <c r="L26" i="1"/>
  <c r="S25" i="1"/>
  <c r="V25" i="1" s="1"/>
  <c r="L25" i="1"/>
  <c r="S24" i="1"/>
  <c r="V24" i="1" s="1"/>
  <c r="L24" i="1"/>
  <c r="AH23" i="1"/>
  <c r="S23" i="1"/>
  <c r="V23" i="1" s="1"/>
  <c r="L23" i="1"/>
  <c r="S22" i="1"/>
  <c r="T22" i="1" s="1"/>
  <c r="AH22" i="1" s="1"/>
  <c r="L22" i="1"/>
  <c r="S21" i="1"/>
  <c r="T21" i="1" s="1"/>
  <c r="AH21" i="1" s="1"/>
  <c r="L21" i="1"/>
  <c r="S20" i="1"/>
  <c r="T20" i="1" s="1"/>
  <c r="AH20" i="1" s="1"/>
  <c r="L20" i="1"/>
  <c r="AH19" i="1"/>
  <c r="S19" i="1"/>
  <c r="U19" i="1" s="1"/>
  <c r="L19" i="1"/>
  <c r="AH18" i="1"/>
  <c r="S18" i="1"/>
  <c r="V18" i="1" s="1"/>
  <c r="L18" i="1"/>
  <c r="AH17" i="1"/>
  <c r="S17" i="1"/>
  <c r="U17" i="1" s="1"/>
  <c r="L17" i="1"/>
  <c r="S16" i="1"/>
  <c r="V16" i="1" s="1"/>
  <c r="L16" i="1"/>
  <c r="S15" i="1"/>
  <c r="V15" i="1" s="1"/>
  <c r="L15" i="1"/>
  <c r="S14" i="1"/>
  <c r="V14" i="1" s="1"/>
  <c r="L14" i="1"/>
  <c r="AH13" i="1"/>
  <c r="S13" i="1"/>
  <c r="V13" i="1" s="1"/>
  <c r="L13" i="1"/>
  <c r="S12" i="1"/>
  <c r="T12" i="1" s="1"/>
  <c r="AH12" i="1" s="1"/>
  <c r="L12" i="1"/>
  <c r="S11" i="1"/>
  <c r="T11" i="1" s="1"/>
  <c r="AH11" i="1" s="1"/>
  <c r="L11" i="1"/>
  <c r="S10" i="1"/>
  <c r="T10" i="1" s="1"/>
  <c r="AH10" i="1" s="1"/>
  <c r="L10" i="1"/>
  <c r="AH9" i="1"/>
  <c r="S9" i="1"/>
  <c r="U9" i="1" s="1"/>
  <c r="L9" i="1"/>
  <c r="S8" i="1"/>
  <c r="V8" i="1" s="1"/>
  <c r="L8" i="1"/>
  <c r="S7" i="1"/>
  <c r="V7" i="1" s="1"/>
  <c r="L7" i="1"/>
  <c r="S6" i="1"/>
  <c r="V6" i="1" s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O5" i="1"/>
  <c r="N5" i="1"/>
  <c r="M5" i="1"/>
  <c r="K5" i="1"/>
  <c r="U45" i="1" l="1"/>
  <c r="V64" i="1"/>
  <c r="U65" i="1"/>
  <c r="V66" i="1"/>
  <c r="U67" i="1"/>
  <c r="V68" i="1"/>
  <c r="T69" i="1"/>
  <c r="AH69" i="1" s="1"/>
  <c r="E5" i="1"/>
  <c r="U18" i="1"/>
  <c r="U109" i="1"/>
  <c r="T96" i="1"/>
  <c r="AH96" i="1" s="1"/>
  <c r="U32" i="1"/>
  <c r="U97" i="1"/>
  <c r="U120" i="1"/>
  <c r="L5" i="1"/>
  <c r="T31" i="1"/>
  <c r="AH31" i="1" s="1"/>
  <c r="T44" i="1"/>
  <c r="U44" i="1" s="1"/>
  <c r="U103" i="1"/>
  <c r="U115" i="1"/>
  <c r="U124" i="1"/>
  <c r="V10" i="1"/>
  <c r="V11" i="1"/>
  <c r="V12" i="1"/>
  <c r="V20" i="1"/>
  <c r="V21" i="1"/>
  <c r="V22" i="1"/>
  <c r="V34" i="1"/>
  <c r="V35" i="1"/>
  <c r="V36" i="1"/>
  <c r="V37" i="1"/>
  <c r="V38" i="1"/>
  <c r="V39" i="1"/>
  <c r="V50" i="1"/>
  <c r="V51" i="1"/>
  <c r="V70" i="1"/>
  <c r="V73" i="1"/>
  <c r="V78" i="1"/>
  <c r="V81" i="1"/>
  <c r="V86" i="1"/>
  <c r="V87" i="1"/>
  <c r="V88" i="1"/>
  <c r="V93" i="1"/>
  <c r="V94" i="1"/>
  <c r="V99" i="1"/>
  <c r="V100" i="1"/>
  <c r="V106" i="1"/>
  <c r="F5" i="1"/>
  <c r="U13" i="1"/>
  <c r="U23" i="1"/>
  <c r="U40" i="1"/>
  <c r="U52" i="1"/>
  <c r="S55" i="1"/>
  <c r="V55" i="1" s="1"/>
  <c r="U71" i="1"/>
  <c r="V72" i="1"/>
  <c r="U74" i="1"/>
  <c r="V77" i="1"/>
  <c r="U79" i="1"/>
  <c r="V80" i="1"/>
  <c r="U82" i="1"/>
  <c r="V85" i="1"/>
  <c r="U89" i="1"/>
  <c r="V90" i="1"/>
  <c r="U91" i="1"/>
  <c r="V92" i="1"/>
  <c r="U95" i="1"/>
  <c r="V96" i="1"/>
  <c r="U101" i="1"/>
  <c r="U107" i="1"/>
  <c r="U112" i="1"/>
  <c r="U117" i="1"/>
  <c r="U122" i="1"/>
  <c r="U127" i="1"/>
  <c r="V9" i="1"/>
  <c r="V17" i="1"/>
  <c r="V19" i="1"/>
  <c r="V30" i="1"/>
  <c r="V33" i="1"/>
  <c r="V41" i="1"/>
  <c r="T41" i="1"/>
  <c r="V42" i="1"/>
  <c r="T42" i="1"/>
  <c r="V46" i="1"/>
  <c r="T46" i="1"/>
  <c r="V47" i="1"/>
  <c r="T47" i="1"/>
  <c r="V48" i="1"/>
  <c r="T48" i="1"/>
  <c r="V53" i="1"/>
  <c r="T53" i="1"/>
  <c r="V54" i="1"/>
  <c r="T54" i="1"/>
  <c r="U102" i="1"/>
  <c r="V102" i="1"/>
  <c r="U105" i="1"/>
  <c r="V105" i="1"/>
  <c r="V110" i="1"/>
  <c r="T110" i="1"/>
  <c r="V113" i="1"/>
  <c r="T113" i="1"/>
  <c r="U116" i="1"/>
  <c r="V116" i="1"/>
  <c r="U119" i="1"/>
  <c r="V119" i="1"/>
  <c r="U123" i="1"/>
  <c r="V123" i="1"/>
  <c r="U126" i="1"/>
  <c r="V126" i="1"/>
  <c r="U129" i="1"/>
  <c r="V129" i="1"/>
  <c r="T6" i="1"/>
  <c r="T7" i="1"/>
  <c r="T8" i="1"/>
  <c r="U10" i="1"/>
  <c r="U11" i="1"/>
  <c r="U12" i="1"/>
  <c r="T14" i="1"/>
  <c r="T15" i="1"/>
  <c r="T16" i="1"/>
  <c r="U20" i="1"/>
  <c r="U21" i="1"/>
  <c r="U22" i="1"/>
  <c r="T24" i="1"/>
  <c r="T25" i="1"/>
  <c r="T26" i="1"/>
  <c r="T27" i="1"/>
  <c r="T28" i="1"/>
  <c r="T29" i="1"/>
  <c r="U34" i="1"/>
  <c r="AH35" i="1"/>
  <c r="U35" i="1"/>
  <c r="AH36" i="1"/>
  <c r="U36" i="1"/>
  <c r="AH37" i="1"/>
  <c r="U37" i="1"/>
  <c r="AH38" i="1"/>
  <c r="U38" i="1"/>
  <c r="AH39" i="1"/>
  <c r="U39" i="1"/>
  <c r="V43" i="1"/>
  <c r="V49" i="1"/>
  <c r="AH50" i="1"/>
  <c r="U50" i="1"/>
  <c r="AH51" i="1"/>
  <c r="U51" i="1"/>
  <c r="V56" i="1"/>
  <c r="T56" i="1"/>
  <c r="V57" i="1"/>
  <c r="T57" i="1"/>
  <c r="V58" i="1"/>
  <c r="T58" i="1"/>
  <c r="V59" i="1"/>
  <c r="T59" i="1"/>
  <c r="V60" i="1"/>
  <c r="T60" i="1"/>
  <c r="V61" i="1"/>
  <c r="T61" i="1"/>
  <c r="V62" i="1"/>
  <c r="T62" i="1"/>
  <c r="V63" i="1"/>
  <c r="T63" i="1"/>
  <c r="AH70" i="1"/>
  <c r="U70" i="1"/>
  <c r="AH73" i="1"/>
  <c r="U73" i="1"/>
  <c r="AH78" i="1"/>
  <c r="U78" i="1"/>
  <c r="AH81" i="1"/>
  <c r="U81" i="1"/>
  <c r="AH86" i="1"/>
  <c r="U86" i="1"/>
  <c r="AH87" i="1"/>
  <c r="U87" i="1"/>
  <c r="AH88" i="1"/>
  <c r="U88" i="1"/>
  <c r="AH93" i="1"/>
  <c r="U93" i="1"/>
  <c r="AH94" i="1"/>
  <c r="U94" i="1"/>
  <c r="U98" i="1"/>
  <c r="V98" i="1"/>
  <c r="V104" i="1"/>
  <c r="T104" i="1"/>
  <c r="U108" i="1"/>
  <c r="V108" i="1"/>
  <c r="U111" i="1"/>
  <c r="V111" i="1"/>
  <c r="U114" i="1"/>
  <c r="V114" i="1"/>
  <c r="V118" i="1"/>
  <c r="T118" i="1"/>
  <c r="U121" i="1"/>
  <c r="V121" i="1"/>
  <c r="V125" i="1"/>
  <c r="T125" i="1"/>
  <c r="V128" i="1"/>
  <c r="T128" i="1"/>
  <c r="V75" i="1"/>
  <c r="T75" i="1"/>
  <c r="V76" i="1"/>
  <c r="T76" i="1"/>
  <c r="V83" i="1"/>
  <c r="T83" i="1"/>
  <c r="V84" i="1"/>
  <c r="T84" i="1"/>
  <c r="AH99" i="1"/>
  <c r="U99" i="1"/>
  <c r="AH100" i="1"/>
  <c r="U100" i="1"/>
  <c r="AH106" i="1"/>
  <c r="U106" i="1"/>
  <c r="U69" i="1" l="1"/>
  <c r="AH44" i="1"/>
  <c r="U96" i="1"/>
  <c r="T55" i="1"/>
  <c r="AH55" i="1" s="1"/>
  <c r="U31" i="1"/>
  <c r="U55" i="1"/>
  <c r="S5" i="1"/>
  <c r="AH29" i="1"/>
  <c r="U29" i="1"/>
  <c r="AH27" i="1"/>
  <c r="U27" i="1"/>
  <c r="AH25" i="1"/>
  <c r="U25" i="1"/>
  <c r="AH15" i="1"/>
  <c r="U15" i="1"/>
  <c r="AH7" i="1"/>
  <c r="U7" i="1"/>
  <c r="U113" i="1"/>
  <c r="AH113" i="1"/>
  <c r="U110" i="1"/>
  <c r="AH110" i="1"/>
  <c r="AH84" i="1"/>
  <c r="U84" i="1"/>
  <c r="AH83" i="1"/>
  <c r="U83" i="1"/>
  <c r="AH76" i="1"/>
  <c r="U76" i="1"/>
  <c r="AH75" i="1"/>
  <c r="U75" i="1"/>
  <c r="U128" i="1"/>
  <c r="AH128" i="1"/>
  <c r="U125" i="1"/>
  <c r="AH125" i="1"/>
  <c r="U118" i="1"/>
  <c r="AH118" i="1"/>
  <c r="U104" i="1"/>
  <c r="AH104" i="1"/>
  <c r="AH63" i="1"/>
  <c r="U63" i="1"/>
  <c r="AH62" i="1"/>
  <c r="U62" i="1"/>
  <c r="AH61" i="1"/>
  <c r="U61" i="1"/>
  <c r="AH60" i="1"/>
  <c r="U60" i="1"/>
  <c r="AH59" i="1"/>
  <c r="U59" i="1"/>
  <c r="AH58" i="1"/>
  <c r="U58" i="1"/>
  <c r="AH57" i="1"/>
  <c r="U57" i="1"/>
  <c r="AH56" i="1"/>
  <c r="U56" i="1"/>
  <c r="AH28" i="1"/>
  <c r="U28" i="1"/>
  <c r="AH26" i="1"/>
  <c r="U26" i="1"/>
  <c r="AH24" i="1"/>
  <c r="U24" i="1"/>
  <c r="AH16" i="1"/>
  <c r="U16" i="1"/>
  <c r="AH14" i="1"/>
  <c r="U14" i="1"/>
  <c r="AH8" i="1"/>
  <c r="U8" i="1"/>
  <c r="T5" i="1"/>
  <c r="AH6" i="1"/>
  <c r="U6" i="1"/>
  <c r="U54" i="1"/>
  <c r="AH54" i="1"/>
  <c r="U53" i="1"/>
  <c r="AH53" i="1"/>
  <c r="U48" i="1"/>
  <c r="AH48" i="1"/>
  <c r="U47" i="1"/>
  <c r="AH47" i="1"/>
  <c r="U46" i="1"/>
  <c r="AH46" i="1"/>
  <c r="U42" i="1"/>
  <c r="AH42" i="1"/>
  <c r="U41" i="1"/>
  <c r="AH41" i="1"/>
  <c r="AH5" i="1" l="1"/>
</calcChain>
</file>

<file path=xl/sharedStrings.xml><?xml version="1.0" encoding="utf-8"?>
<sst xmlns="http://schemas.openxmlformats.org/spreadsheetml/2006/main" count="623" uniqueCount="333">
  <si>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</si>
  <si>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</si>
  <si>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</si>
  <si>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</si>
  <si>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</si>
  <si>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</si>
  <si>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</si>
  <si>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</si>
  <si>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</si>
  <si>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</si>
  <si>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</si>
  <si>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</si>
  <si>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</si>
  <si>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</si>
  <si>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</si>
  <si>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</si>
  <si>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</t>
  </si>
  <si>
    <t>кон ост</t>
  </si>
  <si>
    <t>факт</t>
  </si>
  <si>
    <t>ср</t>
  </si>
  <si>
    <t>комментарии</t>
  </si>
  <si>
    <t>вес</t>
  </si>
  <si>
    <t>28,09,</t>
  </si>
  <si>
    <t>28,09,доз</t>
  </si>
  <si>
    <t>03,10,</t>
  </si>
  <si>
    <t>01,10,</t>
  </si>
  <si>
    <t>05,10,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</si>
  <si>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</si>
  <si>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</si>
  <si>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</si>
  <si>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</si>
  <si>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</si>
  <si>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</si>
  <si>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</si>
  <si>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</si>
  <si>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</si>
  <si>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</si>
  <si>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</si>
  <si>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</si>
  <si>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</si>
  <si>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</si>
  <si>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</si>
  <si>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</si>
  <si>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</si>
  <si>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</si>
  <si>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</si>
  <si>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</si>
  <si>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</si>
  <si>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</si>
  <si>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</si>
  <si>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</si>
  <si>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</si>
  <si>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</si>
  <si>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</si>
  <si>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</si>
  <si>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</si>
  <si>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</si>
  <si>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</si>
  <si>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</si>
  <si>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</si>
  <si>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</si>
  <si>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</si>
  <si>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</si>
  <si>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</si>
  <si>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</si>
  <si>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</si>
  <si>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</si>
  <si>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</si>
  <si>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</si>
  <si>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</si>
  <si>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</si>
  <si>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</si>
  <si>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</si>
  <si>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</si>
  <si>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</si>
  <si>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ПРОМ сентябрь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</si>
  <si>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</si>
  <si>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</si>
  <si>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</si>
  <si>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</si>
  <si>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</si>
  <si>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</si>
  <si>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</si>
  <si>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</si>
  <si>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</si>
  <si>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</si>
  <si>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</si>
  <si>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</si>
  <si>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</si>
  <si>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</si>
  <si>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</si>
  <si>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</si>
  <si>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</si>
  <si>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</si>
  <si>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</si>
  <si>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</si>
  <si>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</si>
  <si>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</si>
  <si>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</si>
  <si>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</si>
  <si>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</si>
  <si>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</si>
  <si>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</si>
  <si>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</si>
  <si>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</si>
  <si>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</si>
  <si>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</si>
  <si>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</si>
  <si>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</si>
  <si>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</si>
  <si>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</si>
  <si>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</si>
  <si>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</si>
  <si>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</si>
  <si>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</si>
  <si>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</si>
  <si>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</si>
  <si>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</si>
  <si>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</si>
  <si>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</si>
  <si>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</si>
  <si>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</si>
  <si>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</si>
  <si>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</si>
  <si>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</si>
  <si>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</si>
  <si>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</si>
  <si>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</si>
  <si>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</si>
  <si>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</si>
  <si>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нужно увеличить продажи!!! / 33кг списаны (29,08,26)</t>
  </si>
  <si>
    <t>SU004392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</si>
  <si>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</si>
  <si>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</si>
  <si>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</si>
  <si>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</si>
  <si>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</si>
  <si>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</si>
  <si>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</si>
  <si>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</si>
  <si>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</si>
  <si>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</si>
  <si>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</si>
  <si>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</si>
  <si>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</si>
  <si>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</si>
  <si>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</si>
  <si>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</si>
  <si>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</si>
  <si>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</si>
  <si>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</si>
  <si>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</si>
  <si>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</si>
  <si>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</si>
  <si>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</si>
  <si>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</si>
  <si>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</si>
  <si>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</si>
  <si>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</si>
  <si>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</si>
  <si>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</si>
  <si>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</si>
  <si>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</si>
  <si>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</si>
  <si>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</si>
  <si>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</si>
  <si>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</si>
  <si>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</si>
  <si>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</si>
  <si>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</si>
  <si>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</si>
  <si>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</si>
  <si>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</si>
  <si>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</si>
  <si>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</si>
  <si>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</si>
  <si>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</si>
  <si>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</si>
  <si>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</si>
  <si>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</si>
  <si>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</si>
  <si>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</si>
  <si>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</si>
  <si>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</si>
  <si>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</si>
  <si>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</si>
  <si>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</si>
  <si>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</si>
  <si>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</si>
  <si>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</si>
  <si>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</si>
  <si>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</si>
  <si>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</si>
  <si>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</si>
  <si>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</si>
  <si>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</si>
  <si>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</si>
  <si>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</si>
  <si>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</si>
  <si>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</si>
  <si>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</si>
  <si>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</si>
  <si>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</si>
  <si>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</si>
  <si>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</si>
  <si>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</si>
  <si>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</si>
  <si>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</si>
  <si>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</si>
  <si>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</si>
  <si>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</si>
  <si>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</si>
  <si>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</si>
  <si>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</si>
  <si>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</si>
  <si>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</si>
  <si>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</si>
  <si>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</si>
  <si>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</si>
  <si>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</si>
  <si>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</si>
  <si>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</si>
  <si>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</si>
  <si>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</si>
  <si>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</si>
  <si>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</si>
  <si>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</si>
  <si>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</si>
  <si>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</si>
  <si>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</si>
  <si>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нет в бланке / 15шт списано (24,08,26)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</si>
  <si>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</si>
  <si>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</si>
  <si>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</si>
  <si>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</si>
  <si>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</si>
  <si>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</si>
  <si>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</si>
  <si>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</si>
  <si>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</si>
  <si>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</si>
  <si>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</si>
  <si>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</si>
  <si>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</si>
  <si>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</si>
  <si>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</si>
  <si>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</si>
  <si>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</si>
  <si>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</si>
  <si>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>SU004007</t>
  </si>
  <si>
    <t xml:space="preserve"> 569  Колбаса Балыковая ТМ Вязанка в оболочке фиброуз в вакуумной упаковке 0,28 кг срез.  ПОКОМ</t>
  </si>
  <si>
    <t>нужно увеличить продажи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</si>
  <si>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</si>
  <si>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</si>
  <si>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</si>
  <si>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</si>
  <si>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</si>
  <si>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</si>
  <si>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</si>
  <si>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</si>
  <si>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</si>
  <si>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</si>
  <si>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</si>
  <si>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</si>
  <si>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</si>
  <si>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</si>
  <si>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</si>
  <si>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</si>
  <si>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</si>
  <si>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</si>
  <si>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</si>
  <si>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</si>
  <si>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</si>
  <si>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</si>
  <si>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</si>
  <si>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</si>
  <si>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</si>
  <si>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</si>
  <si>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</si>
  <si>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</si>
  <si>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нужно увеличить продажи / ПРОМ сентябрь (н+1)</t>
  </si>
  <si>
    <t>SU004145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</si>
  <si>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</si>
  <si>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</si>
  <si>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</si>
  <si>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</si>
  <si>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</si>
  <si>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</si>
  <si>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</si>
  <si>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</si>
  <si>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</si>
  <si>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</si>
  <si>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</si>
  <si>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</si>
  <si>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</si>
  <si>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</si>
  <si>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</si>
  <si>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</si>
  <si>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</si>
  <si>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 SU002725 </t>
  </si>
  <si>
    <t> Сосиски «Сочинки» Весовой п/а ТМ «Стародворье» </t>
  </si>
  <si>
    <t> 70 </t>
  </si>
  <si>
    <t> 0 </t>
  </si>
  <si>
    <t> -70 </t>
  </si>
  <si>
    <t> SU002801 </t>
  </si>
  <si>
    <t> Сосиски «Сочинки по-баварски с сыром» Фикс.вес 0,4 П/а мгс ТМ «Стародворье» </t>
  </si>
  <si>
    <t> 276 </t>
  </si>
  <si>
    <t> -276 </t>
  </si>
  <si>
    <t> SU002944 </t>
  </si>
  <si>
    <t> В/к колбасы «Сочинка по-европейски с сочной грудинкой» срез Фикс.вес 0,3 фиброуз ТМ «Стародворье» </t>
  </si>
  <si>
    <t> 18 </t>
  </si>
  <si>
    <t> -18 </t>
  </si>
  <si>
    <t> SU003167 </t>
  </si>
  <si>
    <t> Сосиски «Баварские» Фикс.вес 0,35 П/а ТМ «Стародворье» </t>
  </si>
  <si>
    <t> 74 </t>
  </si>
  <si>
    <t> -74 </t>
  </si>
  <si>
    <t> SU003168 </t>
  </si>
  <si>
    <t> Сосиски «Баварские с сыром» Фикс.вес 0,35 п/а ТМ «Стародворье» </t>
  </si>
  <si>
    <t> 13 </t>
  </si>
  <si>
    <t> -13 </t>
  </si>
  <si>
    <t> SU003829 </t>
  </si>
  <si>
    <t> Копченые колбасы «Сервелат Мясорубский Делюкс» Фикс.вес 0,3 фиброуз ТМ «Стародворье» </t>
  </si>
  <si>
    <t> 9 </t>
  </si>
  <si>
    <t> -9 </t>
  </si>
  <si>
    <t> SU003894 </t>
  </si>
  <si>
    <t> Сырокопченые колбасы «Сервелат Ореховый» Фикс.вес 0,07 нарезка ТМ «Стародворье» </t>
  </si>
  <si>
    <t> 5 </t>
  </si>
  <si>
    <t> -5 </t>
  </si>
  <si>
    <t> SU004042 </t>
  </si>
  <si>
    <t> Копченые колбасы «Сервелат Ореховый» Фикс.вес 0,28 фиброуз срез ТМ «Вязанка» </t>
  </si>
  <si>
    <t> 24 </t>
  </si>
  <si>
    <t> -24 </t>
  </si>
  <si>
    <t>28,09,недогр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</si>
</sst>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5" fillId="7" borderId="1" xfId="1" applyNumberFormat="1" applyFont="1" applyFill="1"/>
    <xf numFmtId="164" fontId="1" fillId="4" borderId="1" xfId="1" applyNumberFormat="1" applyFill="1"/>
    <xf numFmtId="164" fontId="6" fillId="4" borderId="1" xfId="1" applyNumberFormat="1" applyFont="1" applyFill="1"/>
    <xf numFmtId="164" fontId="1" fillId="0" borderId="1" xfId="1" applyNumberFormat="1"/>
    <xf numFmtId="164" fontId="1" fillId="8" borderId="2" xfId="1" applyNumberFormat="1" applyFill="1" applyBorder="1"/>
    <xf numFmtId="164" fontId="1" fillId="8" borderId="1" xfId="1" applyNumberFormat="1" applyFill="1"/>
    <xf numFmtId="0" fontId="0" fillId="0" borderId="1" xfId="0" applyBorder="1"/>
    <xf numFmtId="164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4" sqref="AJ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5" width="7" customWidth="1"/>
    <col min="16" max="16" width="7" style="19" customWidth="1"/>
    <col min="17" max="20" width="7" customWidth="1"/>
    <col min="21" max="22" width="5" customWidth="1"/>
    <col min="23" max="29" width="6.5703125" customWidth="1"/>
    <col min="30" max="32" width="6" customWidth="1"/>
    <col min="33" max="33" width="38" customWidth="1"/>
    <col min="34" max="34" width="7" customWidth="1"/>
  </cols>
  <sheetData>
    <row r="1" spans="1:36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6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20</v>
      </c>
      <c r="AH3" s="1" t="s">
        <v>21</v>
      </c>
    </row>
    <row r="4" spans="1:36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22</v>
      </c>
      <c r="P4" s="16" t="s">
        <v>332</v>
      </c>
      <c r="Q4" s="16" t="s">
        <v>23</v>
      </c>
      <c r="R4" s="16" t="s">
        <v>24</v>
      </c>
      <c r="S4" s="16" t="s">
        <v>25</v>
      </c>
      <c r="T4" s="16" t="s">
        <v>26</v>
      </c>
      <c r="U4" s="16"/>
      <c r="V4" s="16"/>
      <c r="W4" s="16" t="s">
        <v>27</v>
      </c>
      <c r="X4" s="16" t="s">
        <v>28</v>
      </c>
      <c r="Y4" s="16" t="s">
        <v>29</v>
      </c>
      <c r="Z4" s="16" t="s">
        <v>30</v>
      </c>
      <c r="AA4" s="16" t="s">
        <v>31</v>
      </c>
      <c r="AB4" s="16" t="s">
        <v>32</v>
      </c>
      <c r="AC4" s="16" t="s">
        <v>33</v>
      </c>
      <c r="AD4" s="16" t="s">
        <v>34</v>
      </c>
      <c r="AE4" s="16" t="s">
        <v>35</v>
      </c>
      <c r="AF4" s="16" t="s">
        <v>36</v>
      </c>
      <c r="AG4" s="16"/>
      <c r="AH4" s="16"/>
    </row>
    <row r="5" spans="1:36" x14ac:dyDescent="0.25">
      <c r="A5" s="16"/>
      <c r="B5" s="16"/>
      <c r="C5" s="16"/>
      <c r="D5" s="16"/>
      <c r="E5" s="3">
        <f>SUM(E6:E500)</f>
        <v>48442.635999999969</v>
      </c>
      <c r="F5" s="3">
        <f>SUM(F6:F500)</f>
        <v>55791.69999999999</v>
      </c>
      <c r="G5" s="6"/>
      <c r="H5" s="16"/>
      <c r="I5" s="16"/>
      <c r="J5" s="16"/>
      <c r="K5" s="3">
        <f t="shared" ref="K5:T5" si="0">SUM(K6:K500)</f>
        <v>51331.271000000001</v>
      </c>
      <c r="L5" s="3">
        <f t="shared" si="0"/>
        <v>-2888.6349999999993</v>
      </c>
      <c r="M5" s="3">
        <f t="shared" si="0"/>
        <v>0</v>
      </c>
      <c r="N5" s="3">
        <f t="shared" si="0"/>
        <v>0</v>
      </c>
      <c r="O5" s="3">
        <f t="shared" si="0"/>
        <v>24320.567929330733</v>
      </c>
      <c r="P5" s="3">
        <f t="shared" ref="P5" si="1">SUM(P6:P500)</f>
        <v>-1255.7142857142858</v>
      </c>
      <c r="Q5" s="3">
        <f t="shared" si="0"/>
        <v>405</v>
      </c>
      <c r="R5" s="3">
        <f t="shared" si="0"/>
        <v>12619.924876532839</v>
      </c>
      <c r="S5" s="3">
        <f t="shared" si="0"/>
        <v>9688.5272000000004</v>
      </c>
      <c r="T5" s="3">
        <f t="shared" si="0"/>
        <v>23067.148773250421</v>
      </c>
      <c r="U5" s="16"/>
      <c r="V5" s="16"/>
      <c r="W5" s="3">
        <f t="shared" ref="W5:AF5" si="2">SUM(W6:W500)</f>
        <v>10274.442600000009</v>
      </c>
      <c r="X5" s="3">
        <f t="shared" si="2"/>
        <v>10906.315000000001</v>
      </c>
      <c r="Y5" s="3">
        <f t="shared" si="2"/>
        <v>10747.732599999996</v>
      </c>
      <c r="Z5" s="3">
        <f t="shared" si="2"/>
        <v>10833.357999999998</v>
      </c>
      <c r="AA5" s="3">
        <f t="shared" si="2"/>
        <v>11492.782400000011</v>
      </c>
      <c r="AB5" s="3">
        <f t="shared" si="2"/>
        <v>11039.104400000004</v>
      </c>
      <c r="AC5" s="3">
        <f t="shared" si="2"/>
        <v>10515.967599999998</v>
      </c>
      <c r="AD5" s="3">
        <f t="shared" si="2"/>
        <v>8445.5477999999985</v>
      </c>
      <c r="AE5" s="3">
        <f t="shared" si="2"/>
        <v>8096.6249999999964</v>
      </c>
      <c r="AF5" s="3">
        <f t="shared" si="2"/>
        <v>9775.619999999999</v>
      </c>
      <c r="AG5" s="16"/>
      <c r="AH5" s="3">
        <f>SUM(AH6:AH500)</f>
        <v>16860</v>
      </c>
    </row>
    <row r="6" spans="1:36" x14ac:dyDescent="0.25">
      <c r="A6" s="16" t="s">
        <v>37</v>
      </c>
      <c r="B6" s="16" t="s">
        <v>38</v>
      </c>
      <c r="C6" s="16">
        <v>4733.9549999999999</v>
      </c>
      <c r="D6" s="16">
        <v>2611.5259999999998</v>
      </c>
      <c r="E6" s="16">
        <v>2648.7669999999998</v>
      </c>
      <c r="F6" s="16">
        <v>2322.6170000000002</v>
      </c>
      <c r="G6" s="6">
        <v>1</v>
      </c>
      <c r="H6" s="16">
        <v>50</v>
      </c>
      <c r="I6" s="16" t="s">
        <v>39</v>
      </c>
      <c r="J6" s="16"/>
      <c r="K6" s="16">
        <v>2599</v>
      </c>
      <c r="L6" s="16">
        <f t="shared" ref="L6:L37" si="3">E6-K6</f>
        <v>49.766999999999825</v>
      </c>
      <c r="M6" s="16"/>
      <c r="N6" s="16"/>
      <c r="O6" s="16">
        <v>1436.4075234981999</v>
      </c>
      <c r="P6" s="16"/>
      <c r="Q6" s="16"/>
      <c r="R6" s="16">
        <v>651.06713399999967</v>
      </c>
      <c r="S6" s="16">
        <f t="shared" ref="S6:S37" si="4">E6/5</f>
        <v>529.75339999999994</v>
      </c>
      <c r="T6" s="4">
        <f>11.5*S6-R6-Q6-O6-F6</f>
        <v>1682.0724425017988</v>
      </c>
      <c r="U6" s="16">
        <f t="shared" ref="U6:U37" si="5">(F6+O6+Q6+R6+T6)/S6</f>
        <v>11.5</v>
      </c>
      <c r="V6" s="16">
        <f t="shared" ref="V6:V37" si="6">(F6+O6+Q6+R6)/S6</f>
        <v>8.3248010442183116</v>
      </c>
      <c r="W6" s="16">
        <v>513.3356</v>
      </c>
      <c r="X6" s="16">
        <v>551.42700000000002</v>
      </c>
      <c r="Y6" s="16">
        <v>517.61120000000005</v>
      </c>
      <c r="Z6" s="16">
        <v>560.27980000000002</v>
      </c>
      <c r="AA6" s="16">
        <v>683.02780000000007</v>
      </c>
      <c r="AB6" s="16">
        <v>629.77780000000007</v>
      </c>
      <c r="AC6" s="16">
        <v>485.76420000000002</v>
      </c>
      <c r="AD6" s="16">
        <v>331.30880000000002</v>
      </c>
      <c r="AE6" s="16">
        <v>348.86619999999999</v>
      </c>
      <c r="AF6" s="16">
        <v>493.49700000000001</v>
      </c>
      <c r="AG6" s="16"/>
      <c r="AH6" s="16">
        <f t="shared" ref="AH6:AH37" si="7">ROUND(G6*T6,0)</f>
        <v>1682</v>
      </c>
      <c r="AI6" t="s">
        <v>40</v>
      </c>
      <c r="AJ6" s="20" t="str">
        <f>I6</f>
        <v>матрица</v>
      </c>
    </row>
    <row r="7" spans="1:36" x14ac:dyDescent="0.25">
      <c r="A7" s="16" t="s">
        <v>41</v>
      </c>
      <c r="B7" s="16" t="s">
        <v>38</v>
      </c>
      <c r="C7" s="16">
        <v>1486.8969999999999</v>
      </c>
      <c r="D7" s="16">
        <v>1184.8330000000001</v>
      </c>
      <c r="E7" s="16">
        <v>1064.3800000000001</v>
      </c>
      <c r="F7" s="16">
        <v>1047.2660000000001</v>
      </c>
      <c r="G7" s="6">
        <v>1</v>
      </c>
      <c r="H7" s="16">
        <v>45</v>
      </c>
      <c r="I7" s="16" t="s">
        <v>39</v>
      </c>
      <c r="J7" s="16"/>
      <c r="K7" s="16">
        <v>1016.03</v>
      </c>
      <c r="L7" s="16">
        <f t="shared" si="3"/>
        <v>48.350000000000136</v>
      </c>
      <c r="M7" s="16"/>
      <c r="N7" s="16"/>
      <c r="O7" s="16">
        <v>329.59429999999969</v>
      </c>
      <c r="P7" s="16"/>
      <c r="Q7" s="16"/>
      <c r="R7" s="16">
        <v>628.53033200000061</v>
      </c>
      <c r="S7" s="16">
        <f t="shared" si="4"/>
        <v>212.87600000000003</v>
      </c>
      <c r="T7" s="4">
        <f>11.5*S7-R7-Q7-O7-F7</f>
        <v>442.68336799999997</v>
      </c>
      <c r="U7" s="16">
        <f t="shared" si="5"/>
        <v>11.5</v>
      </c>
      <c r="V7" s="16">
        <f t="shared" si="6"/>
        <v>9.4204637065709633</v>
      </c>
      <c r="W7" s="16">
        <v>220.70779999999999</v>
      </c>
      <c r="X7" s="16">
        <v>207.75020000000001</v>
      </c>
      <c r="Y7" s="16">
        <v>215.72300000000001</v>
      </c>
      <c r="Z7" s="16">
        <v>234.3954</v>
      </c>
      <c r="AA7" s="16">
        <v>230.3776</v>
      </c>
      <c r="AB7" s="16">
        <v>285.33019999999999</v>
      </c>
      <c r="AC7" s="16">
        <v>305.41860000000003</v>
      </c>
      <c r="AD7" s="16">
        <v>214.02080000000001</v>
      </c>
      <c r="AE7" s="16">
        <v>215.65379999999999</v>
      </c>
      <c r="AF7" s="16">
        <v>292.72160000000002</v>
      </c>
      <c r="AG7" s="16"/>
      <c r="AH7" s="16">
        <f t="shared" si="7"/>
        <v>443</v>
      </c>
      <c r="AI7" t="s">
        <v>42</v>
      </c>
      <c r="AJ7" s="20" t="str">
        <f t="shared" ref="AJ7:AJ70" si="8">I7</f>
        <v>матрица</v>
      </c>
    </row>
    <row r="8" spans="1:36" x14ac:dyDescent="0.25">
      <c r="A8" s="16" t="s">
        <v>43</v>
      </c>
      <c r="B8" s="16" t="s">
        <v>38</v>
      </c>
      <c r="C8" s="16">
        <v>2124.8690000000001</v>
      </c>
      <c r="D8" s="16">
        <v>641.74</v>
      </c>
      <c r="E8" s="16">
        <v>1114.155</v>
      </c>
      <c r="F8" s="16">
        <v>933.75199999999995</v>
      </c>
      <c r="G8" s="6">
        <v>1</v>
      </c>
      <c r="H8" s="16">
        <v>45</v>
      </c>
      <c r="I8" s="16" t="s">
        <v>56</v>
      </c>
      <c r="J8" s="16"/>
      <c r="K8" s="16">
        <v>1091.8800000000001</v>
      </c>
      <c r="L8" s="16">
        <f t="shared" si="3"/>
        <v>22.274999999999864</v>
      </c>
      <c r="M8" s="16"/>
      <c r="N8" s="16"/>
      <c r="O8" s="16">
        <v>397.00366155100028</v>
      </c>
      <c r="P8" s="16"/>
      <c r="Q8" s="16"/>
      <c r="R8" s="16">
        <v>491.97502999999978</v>
      </c>
      <c r="S8" s="16">
        <f t="shared" si="4"/>
        <v>222.83099999999999</v>
      </c>
      <c r="T8" s="4">
        <f>11.5*S8-R8-Q8-O8-F8</f>
        <v>739.82580844899985</v>
      </c>
      <c r="U8" s="16">
        <f t="shared" si="5"/>
        <v>11.5</v>
      </c>
      <c r="V8" s="16">
        <f t="shared" si="6"/>
        <v>8.1798793325479853</v>
      </c>
      <c r="W8" s="16">
        <v>217.4478</v>
      </c>
      <c r="X8" s="16">
        <v>214.1678</v>
      </c>
      <c r="Y8" s="16">
        <v>218.27119999999999</v>
      </c>
      <c r="Z8" s="16">
        <v>225.20240000000001</v>
      </c>
      <c r="AA8" s="16">
        <v>269.71019999999999</v>
      </c>
      <c r="AB8" s="16">
        <v>293.387</v>
      </c>
      <c r="AC8" s="16">
        <v>257.86320000000001</v>
      </c>
      <c r="AD8" s="16">
        <v>178.08920000000001</v>
      </c>
      <c r="AE8" s="16">
        <v>182.8776</v>
      </c>
      <c r="AF8" s="16">
        <v>261.28660000000002</v>
      </c>
      <c r="AG8" s="16"/>
      <c r="AH8" s="16">
        <f t="shared" si="7"/>
        <v>740</v>
      </c>
      <c r="AI8" t="s">
        <v>44</v>
      </c>
      <c r="AJ8" s="20" t="str">
        <f t="shared" si="8"/>
        <v>НЕДОГРУЗ / матрица</v>
      </c>
    </row>
    <row r="9" spans="1:36" x14ac:dyDescent="0.25">
      <c r="A9" s="9" t="s">
        <v>45</v>
      </c>
      <c r="B9" s="9" t="s">
        <v>46</v>
      </c>
      <c r="C9" s="9"/>
      <c r="D9" s="9"/>
      <c r="E9" s="9"/>
      <c r="F9" s="9"/>
      <c r="G9" s="10">
        <v>0</v>
      </c>
      <c r="H9" s="9"/>
      <c r="I9" s="9" t="s">
        <v>39</v>
      </c>
      <c r="J9" s="9"/>
      <c r="K9" s="9"/>
      <c r="L9" s="9">
        <f t="shared" si="3"/>
        <v>0</v>
      </c>
      <c r="M9" s="9"/>
      <c r="N9" s="9"/>
      <c r="O9" s="9">
        <v>0</v>
      </c>
      <c r="P9" s="9"/>
      <c r="Q9" s="9"/>
      <c r="R9" s="9">
        <v>0</v>
      </c>
      <c r="S9" s="9">
        <f t="shared" si="4"/>
        <v>0</v>
      </c>
      <c r="T9" s="11"/>
      <c r="U9" s="9" t="e">
        <f t="shared" si="5"/>
        <v>#DIV/0!</v>
      </c>
      <c r="V9" s="9" t="e">
        <f t="shared" si="6"/>
        <v>#DIV/0!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 t="s">
        <v>47</v>
      </c>
      <c r="AH9" s="16">
        <f t="shared" si="7"/>
        <v>0</v>
      </c>
      <c r="AI9" t="s">
        <v>48</v>
      </c>
      <c r="AJ9" s="20" t="str">
        <f t="shared" si="8"/>
        <v>матрица</v>
      </c>
    </row>
    <row r="10" spans="1:36" x14ac:dyDescent="0.25">
      <c r="A10" s="16" t="s">
        <v>49</v>
      </c>
      <c r="B10" s="16" t="s">
        <v>46</v>
      </c>
      <c r="C10" s="16">
        <v>1187</v>
      </c>
      <c r="D10" s="16">
        <v>1044</v>
      </c>
      <c r="E10" s="16">
        <v>709</v>
      </c>
      <c r="F10" s="16">
        <v>644</v>
      </c>
      <c r="G10" s="6">
        <v>0.45</v>
      </c>
      <c r="H10" s="16">
        <v>45</v>
      </c>
      <c r="I10" s="16" t="s">
        <v>39</v>
      </c>
      <c r="J10" s="16"/>
      <c r="K10" s="16">
        <v>729</v>
      </c>
      <c r="L10" s="16">
        <f t="shared" si="3"/>
        <v>-20</v>
      </c>
      <c r="M10" s="16"/>
      <c r="N10" s="16"/>
      <c r="O10" s="16">
        <v>339.11555200000038</v>
      </c>
      <c r="P10" s="16"/>
      <c r="Q10" s="16"/>
      <c r="R10" s="16">
        <v>162.46444799999969</v>
      </c>
      <c r="S10" s="16">
        <f t="shared" si="4"/>
        <v>141.80000000000001</v>
      </c>
      <c r="T10" s="4">
        <f>11.5*S10-R10-Q10-O10-F10</f>
        <v>485.11999999999989</v>
      </c>
      <c r="U10" s="16">
        <f t="shared" si="5"/>
        <v>11.5</v>
      </c>
      <c r="V10" s="16">
        <f t="shared" si="6"/>
        <v>8.0788434414668551</v>
      </c>
      <c r="W10" s="16">
        <v>138.80000000000001</v>
      </c>
      <c r="X10" s="16">
        <v>146</v>
      </c>
      <c r="Y10" s="16">
        <v>145.4</v>
      </c>
      <c r="Z10" s="16">
        <v>163.19999999999999</v>
      </c>
      <c r="AA10" s="16">
        <v>166.4</v>
      </c>
      <c r="AB10" s="16">
        <v>157.4</v>
      </c>
      <c r="AC10" s="16">
        <v>159.4</v>
      </c>
      <c r="AD10" s="16">
        <v>129.6</v>
      </c>
      <c r="AE10" s="16">
        <v>121.2</v>
      </c>
      <c r="AF10" s="16">
        <v>121</v>
      </c>
      <c r="AG10" s="16"/>
      <c r="AH10" s="16">
        <f t="shared" si="7"/>
        <v>218</v>
      </c>
      <c r="AI10" t="s">
        <v>50</v>
      </c>
      <c r="AJ10" s="20" t="str">
        <f t="shared" si="8"/>
        <v>матрица</v>
      </c>
    </row>
    <row r="11" spans="1:36" x14ac:dyDescent="0.25">
      <c r="A11" s="16" t="s">
        <v>51</v>
      </c>
      <c r="B11" s="16" t="s">
        <v>46</v>
      </c>
      <c r="C11" s="16">
        <v>1327.24</v>
      </c>
      <c r="D11" s="16">
        <v>2142.7600000000002</v>
      </c>
      <c r="E11" s="16">
        <v>1037</v>
      </c>
      <c r="F11" s="16">
        <v>750</v>
      </c>
      <c r="G11" s="6">
        <v>0.45</v>
      </c>
      <c r="H11" s="16">
        <v>45</v>
      </c>
      <c r="I11" s="16" t="s">
        <v>39</v>
      </c>
      <c r="J11" s="16"/>
      <c r="K11" s="16">
        <v>1066</v>
      </c>
      <c r="L11" s="16">
        <f t="shared" si="3"/>
        <v>-29</v>
      </c>
      <c r="M11" s="16"/>
      <c r="N11" s="16"/>
      <c r="O11" s="16">
        <v>496.16705900000011</v>
      </c>
      <c r="P11" s="16"/>
      <c r="Q11" s="16"/>
      <c r="R11" s="16">
        <v>407.5189999999991</v>
      </c>
      <c r="S11" s="16">
        <f t="shared" si="4"/>
        <v>207.4</v>
      </c>
      <c r="T11" s="4">
        <f>11.5*S11-R11-Q11-O11-F11</f>
        <v>731.4139410000007</v>
      </c>
      <c r="U11" s="16">
        <f t="shared" si="5"/>
        <v>11.5</v>
      </c>
      <c r="V11" s="16">
        <f t="shared" si="6"/>
        <v>7.9734139778206323</v>
      </c>
      <c r="W11" s="16">
        <v>199.2</v>
      </c>
      <c r="X11" s="16">
        <v>198.6</v>
      </c>
      <c r="Y11" s="16">
        <v>206</v>
      </c>
      <c r="Z11" s="16">
        <v>206.2</v>
      </c>
      <c r="AA11" s="16">
        <v>205.4</v>
      </c>
      <c r="AB11" s="16">
        <v>250.2</v>
      </c>
      <c r="AC11" s="16">
        <v>262.2</v>
      </c>
      <c r="AD11" s="16">
        <v>226.6</v>
      </c>
      <c r="AE11" s="16">
        <v>220.8</v>
      </c>
      <c r="AF11" s="16">
        <v>239.6</v>
      </c>
      <c r="AG11" s="16"/>
      <c r="AH11" s="16">
        <f t="shared" si="7"/>
        <v>329</v>
      </c>
      <c r="AI11" t="s">
        <v>52</v>
      </c>
      <c r="AJ11" s="20" t="str">
        <f t="shared" si="8"/>
        <v>матрица</v>
      </c>
    </row>
    <row r="12" spans="1:36" x14ac:dyDescent="0.25">
      <c r="A12" s="16" t="s">
        <v>53</v>
      </c>
      <c r="B12" s="16" t="s">
        <v>46</v>
      </c>
      <c r="C12" s="16">
        <v>164</v>
      </c>
      <c r="D12" s="16">
        <v>5</v>
      </c>
      <c r="E12" s="16">
        <v>72</v>
      </c>
      <c r="F12" s="16">
        <v>74</v>
      </c>
      <c r="G12" s="6">
        <v>0.17</v>
      </c>
      <c r="H12" s="16">
        <v>180</v>
      </c>
      <c r="I12" s="16" t="s">
        <v>39</v>
      </c>
      <c r="J12" s="16"/>
      <c r="K12" s="16">
        <v>72</v>
      </c>
      <c r="L12" s="16">
        <f t="shared" si="3"/>
        <v>0</v>
      </c>
      <c r="M12" s="16"/>
      <c r="N12" s="16"/>
      <c r="O12" s="16">
        <v>10</v>
      </c>
      <c r="P12" s="16"/>
      <c r="Q12" s="16"/>
      <c r="R12" s="16">
        <v>48.800000000000011</v>
      </c>
      <c r="S12" s="16">
        <f t="shared" si="4"/>
        <v>14.4</v>
      </c>
      <c r="T12" s="4">
        <f>11.5*S12-R12-Q12-O12-F12</f>
        <v>32.799999999999983</v>
      </c>
      <c r="U12" s="16">
        <f t="shared" si="5"/>
        <v>11.5</v>
      </c>
      <c r="V12" s="16">
        <f t="shared" si="6"/>
        <v>9.2222222222222232</v>
      </c>
      <c r="W12" s="16">
        <v>14.8</v>
      </c>
      <c r="X12" s="16">
        <v>11.8</v>
      </c>
      <c r="Y12" s="16">
        <v>11</v>
      </c>
      <c r="Z12" s="16">
        <v>15.8</v>
      </c>
      <c r="AA12" s="16">
        <v>20.399999999999999</v>
      </c>
      <c r="AB12" s="16">
        <v>21.4</v>
      </c>
      <c r="AC12" s="16">
        <v>18.600000000000001</v>
      </c>
      <c r="AD12" s="16">
        <v>14.2</v>
      </c>
      <c r="AE12" s="16">
        <v>15</v>
      </c>
      <c r="AF12" s="16">
        <v>13.8</v>
      </c>
      <c r="AG12" s="16"/>
      <c r="AH12" s="16">
        <f t="shared" si="7"/>
        <v>6</v>
      </c>
      <c r="AI12" t="s">
        <v>54</v>
      </c>
      <c r="AJ12" s="20" t="str">
        <f t="shared" si="8"/>
        <v>матрица</v>
      </c>
    </row>
    <row r="13" spans="1:36" x14ac:dyDescent="0.25">
      <c r="A13" s="16" t="s">
        <v>55</v>
      </c>
      <c r="B13" s="16" t="s">
        <v>46</v>
      </c>
      <c r="C13" s="16">
        <v>76</v>
      </c>
      <c r="D13" s="16">
        <v>281</v>
      </c>
      <c r="E13" s="16">
        <v>122</v>
      </c>
      <c r="F13" s="16">
        <v>181</v>
      </c>
      <c r="G13" s="6">
        <v>0.3</v>
      </c>
      <c r="H13" s="16">
        <v>40</v>
      </c>
      <c r="I13" s="8" t="s">
        <v>39</v>
      </c>
      <c r="J13" s="16"/>
      <c r="K13" s="16">
        <v>129</v>
      </c>
      <c r="L13" s="16">
        <f t="shared" si="3"/>
        <v>-7</v>
      </c>
      <c r="M13" s="16"/>
      <c r="N13" s="16"/>
      <c r="O13" s="16">
        <v>112</v>
      </c>
      <c r="P13" s="16"/>
      <c r="Q13" s="16"/>
      <c r="R13" s="16">
        <v>10</v>
      </c>
      <c r="S13" s="16">
        <f t="shared" si="4"/>
        <v>24.4</v>
      </c>
      <c r="T13" s="4"/>
      <c r="U13" s="16">
        <f t="shared" si="5"/>
        <v>12.418032786885247</v>
      </c>
      <c r="V13" s="16">
        <f t="shared" si="6"/>
        <v>12.418032786885247</v>
      </c>
      <c r="W13" s="16">
        <v>28.4</v>
      </c>
      <c r="X13" s="16">
        <v>36</v>
      </c>
      <c r="Y13" s="16">
        <v>39.4</v>
      </c>
      <c r="Z13" s="16">
        <v>26</v>
      </c>
      <c r="AA13" s="16">
        <v>10.8</v>
      </c>
      <c r="AB13" s="16">
        <v>12.4</v>
      </c>
      <c r="AC13" s="16">
        <v>11.2</v>
      </c>
      <c r="AD13" s="16">
        <v>3.4</v>
      </c>
      <c r="AE13" s="16">
        <v>0.4</v>
      </c>
      <c r="AF13" s="16">
        <v>12.4</v>
      </c>
      <c r="AG13" s="16"/>
      <c r="AH13" s="16">
        <f t="shared" si="7"/>
        <v>0</v>
      </c>
      <c r="AI13" t="s">
        <v>57</v>
      </c>
      <c r="AJ13" s="20" t="str">
        <f t="shared" si="8"/>
        <v>матрица</v>
      </c>
    </row>
    <row r="14" spans="1:36" x14ac:dyDescent="0.25">
      <c r="A14" s="16" t="s">
        <v>58</v>
      </c>
      <c r="B14" s="16" t="s">
        <v>46</v>
      </c>
      <c r="C14" s="16">
        <v>448</v>
      </c>
      <c r="D14" s="16">
        <v>103</v>
      </c>
      <c r="E14" s="16">
        <v>205</v>
      </c>
      <c r="F14" s="16">
        <v>200</v>
      </c>
      <c r="G14" s="6">
        <v>0.17</v>
      </c>
      <c r="H14" s="16">
        <v>180</v>
      </c>
      <c r="I14" s="16" t="s">
        <v>39</v>
      </c>
      <c r="J14" s="16"/>
      <c r="K14" s="16">
        <v>205</v>
      </c>
      <c r="L14" s="16">
        <f t="shared" si="3"/>
        <v>0</v>
      </c>
      <c r="M14" s="16"/>
      <c r="N14" s="16"/>
      <c r="O14" s="16">
        <v>93.905999999999949</v>
      </c>
      <c r="P14" s="16"/>
      <c r="Q14" s="16"/>
      <c r="R14" s="16">
        <v>28.69400000000007</v>
      </c>
      <c r="S14" s="16">
        <f t="shared" si="4"/>
        <v>41</v>
      </c>
      <c r="T14" s="4">
        <f>11.5*S14-R14-Q14-O14-F14</f>
        <v>148.89999999999998</v>
      </c>
      <c r="U14" s="16">
        <f t="shared" si="5"/>
        <v>11.5</v>
      </c>
      <c r="V14" s="16">
        <f t="shared" si="6"/>
        <v>7.86829268292683</v>
      </c>
      <c r="W14" s="16">
        <v>42.6</v>
      </c>
      <c r="X14" s="16">
        <v>45.8</v>
      </c>
      <c r="Y14" s="16">
        <v>48.6</v>
      </c>
      <c r="Z14" s="16">
        <v>53.8</v>
      </c>
      <c r="AA14" s="16">
        <v>56.6</v>
      </c>
      <c r="AB14" s="16">
        <v>54.4</v>
      </c>
      <c r="AC14" s="16">
        <v>61.4</v>
      </c>
      <c r="AD14" s="16">
        <v>53.8</v>
      </c>
      <c r="AE14" s="16">
        <v>47.8</v>
      </c>
      <c r="AF14" s="16">
        <v>45.8</v>
      </c>
      <c r="AG14" s="16"/>
      <c r="AH14" s="16">
        <f t="shared" si="7"/>
        <v>25</v>
      </c>
      <c r="AI14" t="s">
        <v>59</v>
      </c>
      <c r="AJ14" s="20" t="str">
        <f t="shared" si="8"/>
        <v>матрица</v>
      </c>
    </row>
    <row r="15" spans="1:36" x14ac:dyDescent="0.25">
      <c r="A15" s="16" t="s">
        <v>60</v>
      </c>
      <c r="B15" s="16" t="s">
        <v>38</v>
      </c>
      <c r="C15" s="16">
        <v>865.79200000000003</v>
      </c>
      <c r="D15" s="16">
        <v>2167.33</v>
      </c>
      <c r="E15" s="16">
        <v>1151.912</v>
      </c>
      <c r="F15" s="16">
        <v>1356.7850000000001</v>
      </c>
      <c r="G15" s="6">
        <v>1</v>
      </c>
      <c r="H15" s="16">
        <v>70</v>
      </c>
      <c r="I15" s="8" t="s">
        <v>39</v>
      </c>
      <c r="J15" s="16"/>
      <c r="K15" s="16">
        <v>1111.693</v>
      </c>
      <c r="L15" s="16">
        <f t="shared" si="3"/>
        <v>40.219000000000051</v>
      </c>
      <c r="M15" s="16"/>
      <c r="N15" s="16"/>
      <c r="O15" s="16">
        <v>614.39529999999991</v>
      </c>
      <c r="P15" s="16"/>
      <c r="Q15" s="16"/>
      <c r="R15" s="16">
        <v>124.7298878000002</v>
      </c>
      <c r="S15" s="16">
        <f t="shared" si="4"/>
        <v>230.38240000000002</v>
      </c>
      <c r="T15" s="4">
        <f>12*S15-R15-Q15-O15-F15</f>
        <v>668.67861220000032</v>
      </c>
      <c r="U15" s="16">
        <f t="shared" si="5"/>
        <v>12.000000000000002</v>
      </c>
      <c r="V15" s="16">
        <f t="shared" si="6"/>
        <v>9.0975273623332331</v>
      </c>
      <c r="W15" s="16">
        <v>239.61060000000001</v>
      </c>
      <c r="X15" s="16">
        <v>266.99099999999999</v>
      </c>
      <c r="Y15" s="16">
        <v>267.36419999999998</v>
      </c>
      <c r="Z15" s="16">
        <v>230.82159999999999</v>
      </c>
      <c r="AA15" s="16">
        <v>233.12559999999999</v>
      </c>
      <c r="AB15" s="16">
        <v>259.81060000000002</v>
      </c>
      <c r="AC15" s="16">
        <v>267.96080000000001</v>
      </c>
      <c r="AD15" s="16">
        <v>195.66640000000001</v>
      </c>
      <c r="AE15" s="16">
        <v>187.86779999999999</v>
      </c>
      <c r="AF15" s="16">
        <v>228.3366</v>
      </c>
      <c r="AG15" s="16"/>
      <c r="AH15" s="16">
        <f t="shared" si="7"/>
        <v>669</v>
      </c>
      <c r="AI15" t="s">
        <v>61</v>
      </c>
      <c r="AJ15" s="20" t="str">
        <f t="shared" si="8"/>
        <v>матрица</v>
      </c>
    </row>
    <row r="16" spans="1:36" x14ac:dyDescent="0.25">
      <c r="A16" s="16" t="s">
        <v>62</v>
      </c>
      <c r="B16" s="16" t="s">
        <v>38</v>
      </c>
      <c r="C16" s="16">
        <v>5376.1090000000004</v>
      </c>
      <c r="D16" s="16">
        <v>6798.1729999999998</v>
      </c>
      <c r="E16" s="16">
        <v>3204.08</v>
      </c>
      <c r="F16" s="16">
        <v>6706.22</v>
      </c>
      <c r="G16" s="6">
        <v>1</v>
      </c>
      <c r="H16" s="16">
        <v>50</v>
      </c>
      <c r="I16" s="16" t="s">
        <v>39</v>
      </c>
      <c r="J16" s="16"/>
      <c r="K16" s="16">
        <v>3206.2</v>
      </c>
      <c r="L16" s="16">
        <f t="shared" si="3"/>
        <v>-2.1199999999998909</v>
      </c>
      <c r="M16" s="16"/>
      <c r="N16" s="16"/>
      <c r="O16" s="16"/>
      <c r="P16" s="16"/>
      <c r="Q16" s="16"/>
      <c r="R16" s="16">
        <v>51.11650081299814</v>
      </c>
      <c r="S16" s="16">
        <f t="shared" si="4"/>
        <v>640.81600000000003</v>
      </c>
      <c r="T16" s="4">
        <f>11.5*S16-R16-Q16-O16-F16</f>
        <v>612.04749918700145</v>
      </c>
      <c r="U16" s="16">
        <f t="shared" si="5"/>
        <v>11.5</v>
      </c>
      <c r="V16" s="16">
        <f t="shared" si="6"/>
        <v>10.544893543252662</v>
      </c>
      <c r="W16" s="16">
        <v>767.41360000000009</v>
      </c>
      <c r="X16" s="16">
        <v>828.15359999999998</v>
      </c>
      <c r="Y16" s="16">
        <v>790.303</v>
      </c>
      <c r="Z16" s="16">
        <v>764.45860000000005</v>
      </c>
      <c r="AA16" s="16">
        <v>816.20259999999996</v>
      </c>
      <c r="AB16" s="16">
        <v>828.27839999999992</v>
      </c>
      <c r="AC16" s="16">
        <v>796.69399999999996</v>
      </c>
      <c r="AD16" s="16">
        <v>602.02499999999998</v>
      </c>
      <c r="AE16" s="16">
        <v>540.52719999999999</v>
      </c>
      <c r="AF16" s="16">
        <v>666.84559999999999</v>
      </c>
      <c r="AG16" s="16"/>
      <c r="AH16" s="16">
        <f t="shared" si="7"/>
        <v>612</v>
      </c>
      <c r="AI16" t="s">
        <v>63</v>
      </c>
      <c r="AJ16" s="20" t="str">
        <f t="shared" si="8"/>
        <v>матрица</v>
      </c>
    </row>
    <row r="17" spans="1:36" x14ac:dyDescent="0.25">
      <c r="A17" s="16" t="s">
        <v>64</v>
      </c>
      <c r="B17" s="16" t="s">
        <v>38</v>
      </c>
      <c r="C17" s="16">
        <v>70.308999999999997</v>
      </c>
      <c r="D17" s="16">
        <v>155.51900000000001</v>
      </c>
      <c r="E17" s="16">
        <v>83.278000000000006</v>
      </c>
      <c r="F17" s="16">
        <v>121.758</v>
      </c>
      <c r="G17" s="6">
        <v>1</v>
      </c>
      <c r="H17" s="16">
        <v>60</v>
      </c>
      <c r="I17" s="16" t="s">
        <v>39</v>
      </c>
      <c r="J17" s="16"/>
      <c r="K17" s="16">
        <v>80.534999999999997</v>
      </c>
      <c r="L17" s="16">
        <f t="shared" si="3"/>
        <v>2.7430000000000092</v>
      </c>
      <c r="M17" s="16"/>
      <c r="N17" s="16"/>
      <c r="O17" s="16">
        <v>81.954499999999996</v>
      </c>
      <c r="P17" s="16"/>
      <c r="Q17" s="16"/>
      <c r="R17" s="16">
        <v>0</v>
      </c>
      <c r="S17" s="16">
        <f t="shared" si="4"/>
        <v>16.6556</v>
      </c>
      <c r="T17" s="4"/>
      <c r="U17" s="16">
        <f t="shared" si="5"/>
        <v>12.230871298542231</v>
      </c>
      <c r="V17" s="16">
        <f t="shared" si="6"/>
        <v>12.230871298542231</v>
      </c>
      <c r="W17" s="16">
        <v>20.724799999999998</v>
      </c>
      <c r="X17" s="16">
        <v>23.348199999999999</v>
      </c>
      <c r="Y17" s="16">
        <v>19.873799999999999</v>
      </c>
      <c r="Z17" s="16">
        <v>16.658200000000001</v>
      </c>
      <c r="AA17" s="16">
        <v>19.036799999999999</v>
      </c>
      <c r="AB17" s="16">
        <v>21.176200000000001</v>
      </c>
      <c r="AC17" s="16">
        <v>19.1052</v>
      </c>
      <c r="AD17" s="16">
        <v>13.417199999999999</v>
      </c>
      <c r="AE17" s="16">
        <v>12.323</v>
      </c>
      <c r="AF17" s="16">
        <v>17.948399999999999</v>
      </c>
      <c r="AG17" s="16"/>
      <c r="AH17" s="16">
        <f t="shared" si="7"/>
        <v>0</v>
      </c>
      <c r="AI17" t="s">
        <v>65</v>
      </c>
      <c r="AJ17" s="20" t="str">
        <f t="shared" si="8"/>
        <v>матрица</v>
      </c>
    </row>
    <row r="18" spans="1:36" x14ac:dyDescent="0.25">
      <c r="A18" s="16" t="s">
        <v>66</v>
      </c>
      <c r="B18" s="16" t="s">
        <v>38</v>
      </c>
      <c r="C18" s="16">
        <v>98.869</v>
      </c>
      <c r="D18" s="16">
        <v>94.281999999999996</v>
      </c>
      <c r="E18" s="16">
        <v>54.09</v>
      </c>
      <c r="F18" s="16">
        <v>83.984999999999999</v>
      </c>
      <c r="G18" s="6">
        <v>1</v>
      </c>
      <c r="H18" s="16">
        <v>60</v>
      </c>
      <c r="I18" s="8" t="s">
        <v>39</v>
      </c>
      <c r="J18" s="16"/>
      <c r="K18" s="16">
        <v>53.484999999999999</v>
      </c>
      <c r="L18" s="16">
        <f t="shared" si="3"/>
        <v>0.60500000000000398</v>
      </c>
      <c r="M18" s="16"/>
      <c r="N18" s="16"/>
      <c r="O18" s="16">
        <v>53.036300000000033</v>
      </c>
      <c r="P18" s="16"/>
      <c r="Q18" s="16"/>
      <c r="R18" s="16">
        <v>0</v>
      </c>
      <c r="S18" s="16">
        <f t="shared" si="4"/>
        <v>10.818000000000001</v>
      </c>
      <c r="T18" s="4"/>
      <c r="U18" s="16">
        <f t="shared" si="5"/>
        <v>12.666047328526531</v>
      </c>
      <c r="V18" s="16">
        <f t="shared" si="6"/>
        <v>12.666047328526531</v>
      </c>
      <c r="W18" s="16">
        <v>13.6614</v>
      </c>
      <c r="X18" s="16">
        <v>18.693000000000001</v>
      </c>
      <c r="Y18" s="16">
        <v>17.530200000000001</v>
      </c>
      <c r="Z18" s="16">
        <v>12.1244</v>
      </c>
      <c r="AA18" s="16">
        <v>14.151199999999999</v>
      </c>
      <c r="AB18" s="16">
        <v>20.768999999999998</v>
      </c>
      <c r="AC18" s="16">
        <v>18.800599999999999</v>
      </c>
      <c r="AD18" s="16">
        <v>14.020799999999999</v>
      </c>
      <c r="AE18" s="16">
        <v>14.549200000000001</v>
      </c>
      <c r="AF18" s="16">
        <v>15.186</v>
      </c>
      <c r="AG18" s="16"/>
      <c r="AH18" s="16">
        <f t="shared" si="7"/>
        <v>0</v>
      </c>
      <c r="AI18" t="s">
        <v>67</v>
      </c>
      <c r="AJ18" s="20" t="str">
        <f t="shared" si="8"/>
        <v>матрица</v>
      </c>
    </row>
    <row r="19" spans="1:36" x14ac:dyDescent="0.25">
      <c r="A19" s="16" t="s">
        <v>68</v>
      </c>
      <c r="B19" s="16" t="s">
        <v>38</v>
      </c>
      <c r="C19" s="16">
        <v>17.492999999999999</v>
      </c>
      <c r="D19" s="16">
        <v>10.004</v>
      </c>
      <c r="E19" s="16">
        <v>7.6230000000000002</v>
      </c>
      <c r="F19" s="16">
        <v>6.9610000000000003</v>
      </c>
      <c r="G19" s="6">
        <v>1</v>
      </c>
      <c r="H19" s="16">
        <v>180</v>
      </c>
      <c r="I19" s="16" t="s">
        <v>39</v>
      </c>
      <c r="J19" s="16"/>
      <c r="K19" s="16">
        <v>7.56</v>
      </c>
      <c r="L19" s="16">
        <f t="shared" si="3"/>
        <v>6.3000000000000611E-2</v>
      </c>
      <c r="M19" s="16"/>
      <c r="N19" s="16"/>
      <c r="O19" s="16">
        <v>4</v>
      </c>
      <c r="P19" s="16"/>
      <c r="Q19" s="16"/>
      <c r="R19" s="16">
        <v>6.6306000000000029</v>
      </c>
      <c r="S19" s="16">
        <f t="shared" si="4"/>
        <v>1.5246</v>
      </c>
      <c r="T19" s="4"/>
      <c r="U19" s="16">
        <f t="shared" si="5"/>
        <v>11.538501902138268</v>
      </c>
      <c r="V19" s="16">
        <f t="shared" si="6"/>
        <v>11.538501902138268</v>
      </c>
      <c r="W19" s="16">
        <v>1.8056000000000001</v>
      </c>
      <c r="X19" s="16">
        <v>1.9366000000000001</v>
      </c>
      <c r="Y19" s="16">
        <v>1.5718000000000001</v>
      </c>
      <c r="Z19" s="16">
        <v>1.7906</v>
      </c>
      <c r="AA19" s="16">
        <v>2.5901999999999998</v>
      </c>
      <c r="AB19" s="16">
        <v>1.7988</v>
      </c>
      <c r="AC19" s="16">
        <v>1.4292</v>
      </c>
      <c r="AD19" s="16">
        <v>2.8586</v>
      </c>
      <c r="AE19" s="16">
        <v>2.6456</v>
      </c>
      <c r="AF19" s="16">
        <v>1.0746</v>
      </c>
      <c r="AG19" s="16"/>
      <c r="AH19" s="16">
        <f t="shared" si="7"/>
        <v>0</v>
      </c>
      <c r="AI19" t="s">
        <v>69</v>
      </c>
      <c r="AJ19" s="20" t="str">
        <f t="shared" si="8"/>
        <v>матрица</v>
      </c>
    </row>
    <row r="20" spans="1:36" x14ac:dyDescent="0.25">
      <c r="A20" s="16" t="s">
        <v>70</v>
      </c>
      <c r="B20" s="16" t="s">
        <v>38</v>
      </c>
      <c r="C20" s="16">
        <v>1638.7619999999999</v>
      </c>
      <c r="D20" s="16">
        <v>1823.3040000000001</v>
      </c>
      <c r="E20" s="16">
        <v>1155.098</v>
      </c>
      <c r="F20" s="16">
        <v>1617.9010000000001</v>
      </c>
      <c r="G20" s="6">
        <v>1</v>
      </c>
      <c r="H20" s="16">
        <v>60</v>
      </c>
      <c r="I20" s="16" t="s">
        <v>39</v>
      </c>
      <c r="J20" s="16"/>
      <c r="K20" s="16">
        <v>1122.2929999999999</v>
      </c>
      <c r="L20" s="16">
        <f t="shared" si="3"/>
        <v>32.805000000000064</v>
      </c>
      <c r="M20" s="16"/>
      <c r="N20" s="16"/>
      <c r="O20" s="16">
        <v>588.43427022429591</v>
      </c>
      <c r="P20" s="16"/>
      <c r="Q20" s="16"/>
      <c r="R20" s="16">
        <v>83.316710141199536</v>
      </c>
      <c r="S20" s="16">
        <f t="shared" si="4"/>
        <v>231.0196</v>
      </c>
      <c r="T20" s="4">
        <f>11.5*S20-R20-Q20-O20-F20</f>
        <v>367.07341963450426</v>
      </c>
      <c r="U20" s="16">
        <f t="shared" si="5"/>
        <v>11.5</v>
      </c>
      <c r="V20" s="16">
        <f t="shared" si="6"/>
        <v>9.9110723954395894</v>
      </c>
      <c r="W20" s="16">
        <v>266.68880000000001</v>
      </c>
      <c r="X20" s="16">
        <v>289.93419999999998</v>
      </c>
      <c r="Y20" s="16">
        <v>292.35160000000002</v>
      </c>
      <c r="Z20" s="16">
        <v>267.48160000000001</v>
      </c>
      <c r="AA20" s="16">
        <v>272.67099999999999</v>
      </c>
      <c r="AB20" s="16">
        <v>299.54820000000001</v>
      </c>
      <c r="AC20" s="16">
        <v>310.22800000000001</v>
      </c>
      <c r="AD20" s="16">
        <v>239.51920000000001</v>
      </c>
      <c r="AE20" s="16">
        <v>213.66820000000001</v>
      </c>
      <c r="AF20" s="16">
        <v>253.92599999999999</v>
      </c>
      <c r="AG20" s="16"/>
      <c r="AH20" s="16">
        <f t="shared" si="7"/>
        <v>367</v>
      </c>
      <c r="AI20" t="s">
        <v>71</v>
      </c>
      <c r="AJ20" s="20" t="str">
        <f t="shared" si="8"/>
        <v>матрица</v>
      </c>
    </row>
    <row r="21" spans="1:36" x14ac:dyDescent="0.25">
      <c r="A21" s="16" t="s">
        <v>72</v>
      </c>
      <c r="B21" s="16" t="s">
        <v>38</v>
      </c>
      <c r="C21" s="16">
        <v>244.66300000000001</v>
      </c>
      <c r="D21" s="16">
        <v>408.94099999999997</v>
      </c>
      <c r="E21" s="16">
        <v>208.42599999999999</v>
      </c>
      <c r="F21" s="16">
        <v>270.57100000000003</v>
      </c>
      <c r="G21" s="6">
        <v>1</v>
      </c>
      <c r="H21" s="16">
        <v>70</v>
      </c>
      <c r="I21" s="16" t="s">
        <v>39</v>
      </c>
      <c r="J21" s="16"/>
      <c r="K21" s="16">
        <v>204.36500000000001</v>
      </c>
      <c r="L21" s="16">
        <f t="shared" si="3"/>
        <v>4.0609999999999786</v>
      </c>
      <c r="M21" s="16"/>
      <c r="N21" s="16"/>
      <c r="O21" s="16">
        <v>136.04280000000011</v>
      </c>
      <c r="P21" s="16"/>
      <c r="Q21" s="16"/>
      <c r="R21" s="16">
        <v>34.60337899999989</v>
      </c>
      <c r="S21" s="16">
        <f t="shared" si="4"/>
        <v>41.685199999999995</v>
      </c>
      <c r="T21" s="4">
        <f>11.5*S21-R21-Q21-O21-F21</f>
        <v>38.162620999999888</v>
      </c>
      <c r="U21" s="16">
        <f t="shared" si="5"/>
        <v>11.5</v>
      </c>
      <c r="V21" s="16">
        <f t="shared" si="6"/>
        <v>10.58450430848359</v>
      </c>
      <c r="W21" s="16">
        <v>47.904600000000002</v>
      </c>
      <c r="X21" s="16">
        <v>59.2864</v>
      </c>
      <c r="Y21" s="16">
        <v>56.157799999999988</v>
      </c>
      <c r="Z21" s="16">
        <v>44.815800000000003</v>
      </c>
      <c r="AA21" s="16">
        <v>46.234999999999999</v>
      </c>
      <c r="AB21" s="16">
        <v>51.521799999999999</v>
      </c>
      <c r="AC21" s="16">
        <v>51.721600000000002</v>
      </c>
      <c r="AD21" s="16">
        <v>37.593200000000003</v>
      </c>
      <c r="AE21" s="16">
        <v>36.026400000000002</v>
      </c>
      <c r="AF21" s="16">
        <v>37.416800000000002</v>
      </c>
      <c r="AG21" s="16"/>
      <c r="AH21" s="16">
        <f t="shared" si="7"/>
        <v>38</v>
      </c>
      <c r="AI21" t="s">
        <v>73</v>
      </c>
      <c r="AJ21" s="20" t="str">
        <f t="shared" si="8"/>
        <v>матрица</v>
      </c>
    </row>
    <row r="22" spans="1:36" x14ac:dyDescent="0.25">
      <c r="A22" s="16" t="s">
        <v>74</v>
      </c>
      <c r="B22" s="16" t="s">
        <v>38</v>
      </c>
      <c r="C22" s="16">
        <v>900.35299999999995</v>
      </c>
      <c r="D22" s="16">
        <v>201.565</v>
      </c>
      <c r="E22" s="16">
        <v>419.20299999999997</v>
      </c>
      <c r="F22" s="16">
        <v>535.47699999999998</v>
      </c>
      <c r="G22" s="6">
        <v>1</v>
      </c>
      <c r="H22" s="16">
        <v>70</v>
      </c>
      <c r="I22" s="8" t="s">
        <v>39</v>
      </c>
      <c r="J22" s="16"/>
      <c r="K22" s="16">
        <v>407.24</v>
      </c>
      <c r="L22" s="16">
        <f t="shared" si="3"/>
        <v>11.962999999999965</v>
      </c>
      <c r="M22" s="16"/>
      <c r="N22" s="16"/>
      <c r="O22" s="16">
        <v>282.67340000000019</v>
      </c>
      <c r="P22" s="16"/>
      <c r="Q22" s="16"/>
      <c r="R22" s="16">
        <v>57.95089999999994</v>
      </c>
      <c r="S22" s="16">
        <f t="shared" si="4"/>
        <v>83.840599999999995</v>
      </c>
      <c r="T22" s="4">
        <f>12*S22-R22-Q22-O22-F22</f>
        <v>129.98589999999979</v>
      </c>
      <c r="U22" s="16">
        <f t="shared" si="5"/>
        <v>12</v>
      </c>
      <c r="V22" s="16">
        <f t="shared" si="6"/>
        <v>10.449606753768464</v>
      </c>
      <c r="W22" s="16">
        <v>97.186000000000007</v>
      </c>
      <c r="X22" s="16">
        <v>100.78400000000001</v>
      </c>
      <c r="Y22" s="16">
        <v>98.3446</v>
      </c>
      <c r="Z22" s="16">
        <v>86.057199999999995</v>
      </c>
      <c r="AA22" s="16">
        <v>89.749800000000008</v>
      </c>
      <c r="AB22" s="16">
        <v>107.6352</v>
      </c>
      <c r="AC22" s="16">
        <v>111.0834</v>
      </c>
      <c r="AD22" s="16">
        <v>83.725200000000001</v>
      </c>
      <c r="AE22" s="16">
        <v>68.192800000000005</v>
      </c>
      <c r="AF22" s="16">
        <v>74.657200000000003</v>
      </c>
      <c r="AG22" s="16" t="s">
        <v>75</v>
      </c>
      <c r="AH22" s="16">
        <f t="shared" si="7"/>
        <v>130</v>
      </c>
      <c r="AI22" t="s">
        <v>76</v>
      </c>
      <c r="AJ22" s="20" t="str">
        <f t="shared" si="8"/>
        <v>матрица</v>
      </c>
    </row>
    <row r="23" spans="1:36" x14ac:dyDescent="0.25">
      <c r="A23" s="9" t="s">
        <v>77</v>
      </c>
      <c r="B23" s="9" t="s">
        <v>38</v>
      </c>
      <c r="C23" s="9"/>
      <c r="D23" s="9"/>
      <c r="E23" s="9"/>
      <c r="F23" s="9"/>
      <c r="G23" s="10">
        <v>0</v>
      </c>
      <c r="H23" s="9"/>
      <c r="I23" s="9" t="s">
        <v>39</v>
      </c>
      <c r="J23" s="9"/>
      <c r="K23" s="9"/>
      <c r="L23" s="9">
        <f t="shared" si="3"/>
        <v>0</v>
      </c>
      <c r="M23" s="9"/>
      <c r="N23" s="9"/>
      <c r="O23" s="9">
        <v>0</v>
      </c>
      <c r="P23" s="9"/>
      <c r="Q23" s="9"/>
      <c r="R23" s="9">
        <v>0</v>
      </c>
      <c r="S23" s="9">
        <f t="shared" si="4"/>
        <v>0</v>
      </c>
      <c r="T23" s="11"/>
      <c r="U23" s="9" t="e">
        <f t="shared" si="5"/>
        <v>#DIV/0!</v>
      </c>
      <c r="V23" s="9" t="e">
        <f t="shared" si="6"/>
        <v>#DIV/0!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 t="s">
        <v>47</v>
      </c>
      <c r="AH23" s="16">
        <f t="shared" si="7"/>
        <v>0</v>
      </c>
      <c r="AI23" t="s">
        <v>78</v>
      </c>
      <c r="AJ23" s="20" t="str">
        <f t="shared" si="8"/>
        <v>матрица</v>
      </c>
    </row>
    <row r="24" spans="1:36" x14ac:dyDescent="0.25">
      <c r="A24" s="16" t="s">
        <v>79</v>
      </c>
      <c r="B24" s="16" t="s">
        <v>38</v>
      </c>
      <c r="C24" s="16">
        <v>796.67700000000002</v>
      </c>
      <c r="D24" s="16">
        <v>906.02099999999996</v>
      </c>
      <c r="E24" s="16">
        <v>614.27800000000002</v>
      </c>
      <c r="F24" s="16">
        <v>658.95699999999999</v>
      </c>
      <c r="G24" s="6">
        <v>1</v>
      </c>
      <c r="H24" s="16">
        <v>70</v>
      </c>
      <c r="I24" s="8" t="s">
        <v>39</v>
      </c>
      <c r="J24" s="16"/>
      <c r="K24" s="16">
        <v>593.89499999999998</v>
      </c>
      <c r="L24" s="16">
        <f t="shared" si="3"/>
        <v>20.383000000000038</v>
      </c>
      <c r="M24" s="16"/>
      <c r="N24" s="16"/>
      <c r="O24" s="16">
        <v>490.85520000000002</v>
      </c>
      <c r="P24" s="16"/>
      <c r="Q24" s="16"/>
      <c r="R24" s="16">
        <v>222.42899000000011</v>
      </c>
      <c r="S24" s="16">
        <f t="shared" si="4"/>
        <v>122.85560000000001</v>
      </c>
      <c r="T24" s="4">
        <f t="shared" ref="T24:T29" si="9">12*S24-R24-Q24-O24-F24</f>
        <v>102.02601000000016</v>
      </c>
      <c r="U24" s="16">
        <f t="shared" si="5"/>
        <v>12.000000000000002</v>
      </c>
      <c r="V24" s="16">
        <f t="shared" si="6"/>
        <v>11.169545303592185</v>
      </c>
      <c r="W24" s="16">
        <v>154.4462</v>
      </c>
      <c r="X24" s="16">
        <v>156.86439999999999</v>
      </c>
      <c r="Y24" s="16">
        <v>146.11439999999999</v>
      </c>
      <c r="Z24" s="16">
        <v>137.9374</v>
      </c>
      <c r="AA24" s="16">
        <v>140.28139999999999</v>
      </c>
      <c r="AB24" s="16">
        <v>155.126</v>
      </c>
      <c r="AC24" s="16">
        <v>164.63640000000001</v>
      </c>
      <c r="AD24" s="16">
        <v>125.02379999999999</v>
      </c>
      <c r="AE24" s="16">
        <v>109.46899999999999</v>
      </c>
      <c r="AF24" s="16">
        <v>119.8348</v>
      </c>
      <c r="AG24" s="16" t="s">
        <v>75</v>
      </c>
      <c r="AH24" s="16">
        <f t="shared" si="7"/>
        <v>102</v>
      </c>
      <c r="AI24" t="s">
        <v>80</v>
      </c>
      <c r="AJ24" s="20" t="str">
        <f t="shared" si="8"/>
        <v>матрица</v>
      </c>
    </row>
    <row r="25" spans="1:36" x14ac:dyDescent="0.25">
      <c r="A25" s="16" t="s">
        <v>81</v>
      </c>
      <c r="B25" s="16" t="s">
        <v>38</v>
      </c>
      <c r="C25" s="16">
        <v>263.92</v>
      </c>
      <c r="D25" s="16">
        <v>86.007000000000005</v>
      </c>
      <c r="E25" s="16">
        <v>157.494</v>
      </c>
      <c r="F25" s="16">
        <v>85</v>
      </c>
      <c r="G25" s="6">
        <v>1</v>
      </c>
      <c r="H25" s="16">
        <v>40</v>
      </c>
      <c r="I25" s="8" t="s">
        <v>39</v>
      </c>
      <c r="J25" s="16"/>
      <c r="K25" s="16">
        <v>156.94999999999999</v>
      </c>
      <c r="L25" s="16">
        <f t="shared" si="3"/>
        <v>0.54400000000001114</v>
      </c>
      <c r="M25" s="16"/>
      <c r="N25" s="16"/>
      <c r="O25" s="16">
        <v>84.894399999999962</v>
      </c>
      <c r="P25" s="16"/>
      <c r="Q25" s="16"/>
      <c r="R25" s="16">
        <v>141.15835999999999</v>
      </c>
      <c r="S25" s="16">
        <f t="shared" si="4"/>
        <v>31.498799999999999</v>
      </c>
      <c r="T25" s="4">
        <f t="shared" si="9"/>
        <v>66.932840000000027</v>
      </c>
      <c r="U25" s="16">
        <f t="shared" si="5"/>
        <v>12</v>
      </c>
      <c r="V25" s="16">
        <f t="shared" si="6"/>
        <v>9.8750669866788545</v>
      </c>
      <c r="W25" s="16">
        <v>36.451999999999998</v>
      </c>
      <c r="X25" s="16">
        <v>28.552800000000001</v>
      </c>
      <c r="Y25" s="16">
        <v>25.166799999999999</v>
      </c>
      <c r="Z25" s="16">
        <v>29.244199999999999</v>
      </c>
      <c r="AA25" s="16">
        <v>30.193000000000001</v>
      </c>
      <c r="AB25" s="16">
        <v>20.341200000000001</v>
      </c>
      <c r="AC25" s="16">
        <v>17.2774</v>
      </c>
      <c r="AD25" s="16">
        <v>12.4376</v>
      </c>
      <c r="AE25" s="16">
        <v>11.840400000000001</v>
      </c>
      <c r="AF25" s="16">
        <v>19.3386</v>
      </c>
      <c r="AG25" s="16"/>
      <c r="AH25" s="16">
        <f t="shared" si="7"/>
        <v>67</v>
      </c>
      <c r="AI25" t="s">
        <v>82</v>
      </c>
      <c r="AJ25" s="20" t="str">
        <f t="shared" si="8"/>
        <v>матрица</v>
      </c>
    </row>
    <row r="26" spans="1:36" x14ac:dyDescent="0.25">
      <c r="A26" s="16" t="s">
        <v>83</v>
      </c>
      <c r="B26" s="16" t="s">
        <v>38</v>
      </c>
      <c r="C26" s="16">
        <v>51.814999999999998</v>
      </c>
      <c r="D26" s="16">
        <v>514.37599999999998</v>
      </c>
      <c r="E26" s="16">
        <v>170.31100000000001</v>
      </c>
      <c r="F26" s="16">
        <v>290.923</v>
      </c>
      <c r="G26" s="6">
        <v>1</v>
      </c>
      <c r="H26" s="16">
        <v>30</v>
      </c>
      <c r="I26" s="8" t="s">
        <v>39</v>
      </c>
      <c r="J26" s="16"/>
      <c r="K26" s="16">
        <v>187.2</v>
      </c>
      <c r="L26" s="16">
        <f t="shared" si="3"/>
        <v>-16.888999999999982</v>
      </c>
      <c r="M26" s="16"/>
      <c r="N26" s="16"/>
      <c r="O26" s="16">
        <v>77.959599999999952</v>
      </c>
      <c r="P26" s="16"/>
      <c r="Q26" s="16"/>
      <c r="R26" s="16">
        <v>30</v>
      </c>
      <c r="S26" s="16">
        <f t="shared" si="4"/>
        <v>34.062200000000004</v>
      </c>
      <c r="T26" s="4">
        <f t="shared" si="9"/>
        <v>9.8638000000000829</v>
      </c>
      <c r="U26" s="16">
        <f t="shared" si="5"/>
        <v>12</v>
      </c>
      <c r="V26" s="16">
        <f t="shared" si="6"/>
        <v>11.710418000011741</v>
      </c>
      <c r="W26" s="16">
        <v>31.221399999999999</v>
      </c>
      <c r="X26" s="16">
        <v>46.425600000000003</v>
      </c>
      <c r="Y26" s="16">
        <v>48.891800000000003</v>
      </c>
      <c r="Z26" s="16">
        <v>43.962200000000003</v>
      </c>
      <c r="AA26" s="16">
        <v>33.269799999999996</v>
      </c>
      <c r="AB26" s="16">
        <v>13.7828</v>
      </c>
      <c r="AC26" s="16">
        <v>31.713999999999999</v>
      </c>
      <c r="AD26" s="16">
        <v>56.964200000000012</v>
      </c>
      <c r="AE26" s="16">
        <v>51.535799999999988</v>
      </c>
      <c r="AF26" s="16">
        <v>64.481399999999994</v>
      </c>
      <c r="AG26" s="16"/>
      <c r="AH26" s="16">
        <f t="shared" si="7"/>
        <v>10</v>
      </c>
      <c r="AI26" t="s">
        <v>84</v>
      </c>
      <c r="AJ26" s="20" t="str">
        <f t="shared" si="8"/>
        <v>матрица</v>
      </c>
    </row>
    <row r="27" spans="1:36" x14ac:dyDescent="0.25">
      <c r="A27" s="16" t="s">
        <v>85</v>
      </c>
      <c r="B27" s="16" t="s">
        <v>38</v>
      </c>
      <c r="C27" s="16">
        <v>75.147999999999996</v>
      </c>
      <c r="D27" s="16">
        <v>381.83600000000001</v>
      </c>
      <c r="E27" s="16">
        <v>144.87100000000001</v>
      </c>
      <c r="F27" s="16">
        <v>245.58600000000001</v>
      </c>
      <c r="G27" s="6">
        <v>1</v>
      </c>
      <c r="H27" s="16">
        <v>40</v>
      </c>
      <c r="I27" s="8" t="s">
        <v>56</v>
      </c>
      <c r="J27" s="16"/>
      <c r="K27" s="16">
        <v>143</v>
      </c>
      <c r="L27" s="16">
        <f t="shared" si="3"/>
        <v>1.8710000000000093</v>
      </c>
      <c r="M27" s="16"/>
      <c r="N27" s="16"/>
      <c r="O27" s="16">
        <v>17.217100000000119</v>
      </c>
      <c r="P27" s="16"/>
      <c r="Q27" s="16"/>
      <c r="R27" s="16">
        <v>10</v>
      </c>
      <c r="S27" s="16">
        <f t="shared" si="4"/>
        <v>28.974200000000003</v>
      </c>
      <c r="T27" s="4">
        <f t="shared" si="9"/>
        <v>74.887299999999925</v>
      </c>
      <c r="U27" s="16">
        <f t="shared" si="5"/>
        <v>12.000000000000002</v>
      </c>
      <c r="V27" s="16">
        <f t="shared" si="6"/>
        <v>9.4153798896949734</v>
      </c>
      <c r="W27" s="16">
        <v>29.550999999999998</v>
      </c>
      <c r="X27" s="16">
        <v>35.141000000000012</v>
      </c>
      <c r="Y27" s="16">
        <v>39.5794</v>
      </c>
      <c r="Z27" s="16">
        <v>32.5458</v>
      </c>
      <c r="AA27" s="16">
        <v>22.7224</v>
      </c>
      <c r="AB27" s="16">
        <v>6.7043999999999997</v>
      </c>
      <c r="AC27" s="16">
        <v>-0.26340000000000002</v>
      </c>
      <c r="AD27" s="16">
        <v>-0.60759999999999992</v>
      </c>
      <c r="AE27" s="16">
        <v>-1.0568</v>
      </c>
      <c r="AF27" s="16">
        <v>-1.4947999999999999</v>
      </c>
      <c r="AG27" s="16"/>
      <c r="AH27" s="16">
        <f t="shared" si="7"/>
        <v>75</v>
      </c>
      <c r="AI27" t="s">
        <v>86</v>
      </c>
      <c r="AJ27" s="20" t="str">
        <f t="shared" si="8"/>
        <v>НЕДОГРУЗ / матрица</v>
      </c>
    </row>
    <row r="28" spans="1:36" x14ac:dyDescent="0.25">
      <c r="A28" s="16" t="s">
        <v>87</v>
      </c>
      <c r="B28" s="16" t="s">
        <v>38</v>
      </c>
      <c r="C28" s="16">
        <v>1632.039</v>
      </c>
      <c r="D28" s="16">
        <v>1895.932</v>
      </c>
      <c r="E28" s="16">
        <v>1352.26</v>
      </c>
      <c r="F28" s="16">
        <v>1519.8219999999999</v>
      </c>
      <c r="G28" s="6">
        <v>1</v>
      </c>
      <c r="H28" s="16">
        <v>30</v>
      </c>
      <c r="I28" s="8" t="s">
        <v>56</v>
      </c>
      <c r="J28" s="16"/>
      <c r="K28" s="16">
        <v>1412.12</v>
      </c>
      <c r="L28" s="16">
        <f t="shared" si="3"/>
        <v>-59.8599999999999</v>
      </c>
      <c r="M28" s="16"/>
      <c r="N28" s="16"/>
      <c r="O28" s="16">
        <v>647.4036000000001</v>
      </c>
      <c r="P28" s="16"/>
      <c r="Q28" s="16"/>
      <c r="R28" s="16">
        <v>257.47134000000011</v>
      </c>
      <c r="S28" s="16">
        <f t="shared" si="4"/>
        <v>270.452</v>
      </c>
      <c r="T28" s="4">
        <f t="shared" si="9"/>
        <v>820.72705999999994</v>
      </c>
      <c r="U28" s="16">
        <f t="shared" si="5"/>
        <v>12</v>
      </c>
      <c r="V28" s="16">
        <f t="shared" si="6"/>
        <v>8.9653503764069029</v>
      </c>
      <c r="W28" s="16">
        <v>280.71120000000002</v>
      </c>
      <c r="X28" s="16">
        <v>310.25920000000002</v>
      </c>
      <c r="Y28" s="16">
        <v>314.48059999999998</v>
      </c>
      <c r="Z28" s="16">
        <v>320.68</v>
      </c>
      <c r="AA28" s="16">
        <v>316.95460000000003</v>
      </c>
      <c r="AB28" s="16">
        <v>308.58339999999998</v>
      </c>
      <c r="AC28" s="16">
        <v>309.00920000000002</v>
      </c>
      <c r="AD28" s="16">
        <v>309.85000000000002</v>
      </c>
      <c r="AE28" s="16">
        <v>343.67439999999999</v>
      </c>
      <c r="AF28" s="16">
        <v>383.32839999999999</v>
      </c>
      <c r="AG28" s="16"/>
      <c r="AH28" s="16">
        <f t="shared" si="7"/>
        <v>821</v>
      </c>
      <c r="AI28" t="s">
        <v>88</v>
      </c>
      <c r="AJ28" s="20" t="str">
        <f t="shared" si="8"/>
        <v>НЕДОГРУЗ / матрица</v>
      </c>
    </row>
    <row r="29" spans="1:36" x14ac:dyDescent="0.25">
      <c r="A29" s="16" t="s">
        <v>89</v>
      </c>
      <c r="B29" s="16" t="s">
        <v>38</v>
      </c>
      <c r="C29" s="16">
        <v>2042.452</v>
      </c>
      <c r="D29" s="16">
        <v>2328.547</v>
      </c>
      <c r="E29" s="16">
        <v>1777.9659999999999</v>
      </c>
      <c r="F29" s="16">
        <v>1981.04</v>
      </c>
      <c r="G29" s="6">
        <v>1</v>
      </c>
      <c r="H29" s="16">
        <v>40</v>
      </c>
      <c r="I29" s="8" t="s">
        <v>39</v>
      </c>
      <c r="J29" s="16"/>
      <c r="K29" s="16">
        <v>1615.1</v>
      </c>
      <c r="L29" s="16">
        <f t="shared" si="3"/>
        <v>162.86599999999999</v>
      </c>
      <c r="M29" s="16"/>
      <c r="N29" s="16"/>
      <c r="O29" s="16">
        <v>650.52169999999956</v>
      </c>
      <c r="P29" s="16"/>
      <c r="Q29" s="16"/>
      <c r="R29" s="16">
        <v>651.45325000000128</v>
      </c>
      <c r="S29" s="16">
        <f t="shared" si="4"/>
        <v>355.59319999999997</v>
      </c>
      <c r="T29" s="4">
        <f t="shared" si="9"/>
        <v>984.1034499999987</v>
      </c>
      <c r="U29" s="16">
        <f t="shared" si="5"/>
        <v>12</v>
      </c>
      <c r="V29" s="16">
        <f t="shared" si="6"/>
        <v>9.2325020557198538</v>
      </c>
      <c r="W29" s="16">
        <v>382.23180000000002</v>
      </c>
      <c r="X29" s="16">
        <v>388.74599999999998</v>
      </c>
      <c r="Y29" s="16">
        <v>399.38979999999998</v>
      </c>
      <c r="Z29" s="16">
        <v>362.9348</v>
      </c>
      <c r="AA29" s="16">
        <v>381.44900000000001</v>
      </c>
      <c r="AB29" s="16">
        <v>488.75020000000012</v>
      </c>
      <c r="AC29" s="16">
        <v>422.90960000000001</v>
      </c>
      <c r="AD29" s="16">
        <v>262.32420000000002</v>
      </c>
      <c r="AE29" s="16">
        <v>321.25979999999998</v>
      </c>
      <c r="AF29" s="16">
        <v>287.47000000000003</v>
      </c>
      <c r="AG29" s="16"/>
      <c r="AH29" s="16">
        <f t="shared" si="7"/>
        <v>984</v>
      </c>
      <c r="AI29" t="s">
        <v>90</v>
      </c>
      <c r="AJ29" s="20" t="str">
        <f t="shared" si="8"/>
        <v>матрица</v>
      </c>
    </row>
    <row r="30" spans="1:36" x14ac:dyDescent="0.25">
      <c r="A30" s="9" t="s">
        <v>91</v>
      </c>
      <c r="B30" s="9" t="s">
        <v>38</v>
      </c>
      <c r="C30" s="9"/>
      <c r="D30" s="9"/>
      <c r="E30" s="9"/>
      <c r="F30" s="9"/>
      <c r="G30" s="10">
        <v>0</v>
      </c>
      <c r="H30" s="9"/>
      <c r="I30" s="9" t="s">
        <v>39</v>
      </c>
      <c r="J30" s="9"/>
      <c r="K30" s="9"/>
      <c r="L30" s="9">
        <f t="shared" si="3"/>
        <v>0</v>
      </c>
      <c r="M30" s="9"/>
      <c r="N30" s="9"/>
      <c r="O30" s="9">
        <v>0</v>
      </c>
      <c r="P30" s="9"/>
      <c r="Q30" s="9"/>
      <c r="R30" s="9">
        <v>0</v>
      </c>
      <c r="S30" s="9">
        <f t="shared" si="4"/>
        <v>0</v>
      </c>
      <c r="T30" s="11"/>
      <c r="U30" s="9" t="e">
        <f t="shared" si="5"/>
        <v>#DIV/0!</v>
      </c>
      <c r="V30" s="9" t="e">
        <f t="shared" si="6"/>
        <v>#DIV/0!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 t="s">
        <v>47</v>
      </c>
      <c r="AH30" s="16">
        <f t="shared" si="7"/>
        <v>0</v>
      </c>
      <c r="AI30" t="s">
        <v>92</v>
      </c>
      <c r="AJ30" s="20" t="str">
        <f t="shared" si="8"/>
        <v>матрица</v>
      </c>
    </row>
    <row r="31" spans="1:36" x14ac:dyDescent="0.25">
      <c r="A31" s="16" t="s">
        <v>93</v>
      </c>
      <c r="B31" s="16" t="s">
        <v>38</v>
      </c>
      <c r="C31" s="16">
        <v>80.528000000000006</v>
      </c>
      <c r="D31" s="16">
        <v>297.68099999999998</v>
      </c>
      <c r="E31" s="16">
        <v>152.922</v>
      </c>
      <c r="F31" s="16">
        <v>116.71</v>
      </c>
      <c r="G31" s="6">
        <v>1</v>
      </c>
      <c r="H31" s="16">
        <v>30</v>
      </c>
      <c r="I31" s="16" t="s">
        <v>56</v>
      </c>
      <c r="J31" s="16"/>
      <c r="K31" s="16">
        <v>157.80000000000001</v>
      </c>
      <c r="L31" s="16">
        <f t="shared" si="3"/>
        <v>-4.8780000000000143</v>
      </c>
      <c r="M31" s="16"/>
      <c r="N31" s="16"/>
      <c r="O31" s="16">
        <v>134.61399999999989</v>
      </c>
      <c r="P31" s="16"/>
      <c r="Q31" s="16"/>
      <c r="R31" s="16">
        <v>10.437469000000281</v>
      </c>
      <c r="S31" s="16">
        <f t="shared" si="4"/>
        <v>30.584399999999999</v>
      </c>
      <c r="T31" s="4">
        <f>11.5*S31-R31-Q31-O31-F31</f>
        <v>89.9591309999998</v>
      </c>
      <c r="U31" s="16">
        <f t="shared" si="5"/>
        <v>11.5</v>
      </c>
      <c r="V31" s="16">
        <f t="shared" si="6"/>
        <v>8.5586596107819748</v>
      </c>
      <c r="W31" s="16">
        <v>31.743400000000001</v>
      </c>
      <c r="X31" s="16">
        <v>43.1676</v>
      </c>
      <c r="Y31" s="16">
        <v>41.247399999999999</v>
      </c>
      <c r="Z31" s="16">
        <v>33.716799999999999</v>
      </c>
      <c r="AA31" s="16">
        <v>37.151000000000003</v>
      </c>
      <c r="AB31" s="16">
        <v>40.635000000000012</v>
      </c>
      <c r="AC31" s="16">
        <v>42.814599999999999</v>
      </c>
      <c r="AD31" s="16">
        <v>37.282200000000003</v>
      </c>
      <c r="AE31" s="16">
        <v>38.766399999999997</v>
      </c>
      <c r="AF31" s="16">
        <v>36.948799999999999</v>
      </c>
      <c r="AG31" s="16"/>
      <c r="AH31" s="16">
        <f t="shared" si="7"/>
        <v>90</v>
      </c>
      <c r="AI31" t="s">
        <v>94</v>
      </c>
      <c r="AJ31" s="20" t="str">
        <f t="shared" si="8"/>
        <v>НЕДОГРУЗ / матрица</v>
      </c>
    </row>
    <row r="32" spans="1:36" x14ac:dyDescent="0.25">
      <c r="A32" s="9" t="s">
        <v>95</v>
      </c>
      <c r="B32" s="9" t="s">
        <v>38</v>
      </c>
      <c r="C32" s="9"/>
      <c r="D32" s="9"/>
      <c r="E32" s="9"/>
      <c r="F32" s="9"/>
      <c r="G32" s="10">
        <v>0</v>
      </c>
      <c r="H32" s="9"/>
      <c r="I32" s="9" t="s">
        <v>39</v>
      </c>
      <c r="J32" s="9"/>
      <c r="K32" s="9"/>
      <c r="L32" s="9">
        <f t="shared" si="3"/>
        <v>0</v>
      </c>
      <c r="M32" s="9"/>
      <c r="N32" s="9"/>
      <c r="O32" s="9">
        <v>0</v>
      </c>
      <c r="P32" s="9"/>
      <c r="Q32" s="9"/>
      <c r="R32" s="9">
        <v>0</v>
      </c>
      <c r="S32" s="9">
        <f t="shared" si="4"/>
        <v>0</v>
      </c>
      <c r="T32" s="11"/>
      <c r="U32" s="9" t="e">
        <f t="shared" si="5"/>
        <v>#DIV/0!</v>
      </c>
      <c r="V32" s="9" t="e">
        <f t="shared" si="6"/>
        <v>#DIV/0!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 t="s">
        <v>47</v>
      </c>
      <c r="AH32" s="16">
        <f t="shared" si="7"/>
        <v>0</v>
      </c>
      <c r="AI32" t="s">
        <v>96</v>
      </c>
      <c r="AJ32" s="20" t="str">
        <f t="shared" si="8"/>
        <v>матрица</v>
      </c>
    </row>
    <row r="33" spans="1:36" x14ac:dyDescent="0.25">
      <c r="A33" s="9" t="s">
        <v>97</v>
      </c>
      <c r="B33" s="9" t="s">
        <v>38</v>
      </c>
      <c r="C33" s="9"/>
      <c r="D33" s="9"/>
      <c r="E33" s="9"/>
      <c r="F33" s="9"/>
      <c r="G33" s="10">
        <v>0</v>
      </c>
      <c r="H33" s="9"/>
      <c r="I33" s="9" t="s">
        <v>39</v>
      </c>
      <c r="J33" s="9"/>
      <c r="K33" s="9"/>
      <c r="L33" s="9">
        <f t="shared" si="3"/>
        <v>0</v>
      </c>
      <c r="M33" s="9"/>
      <c r="N33" s="9"/>
      <c r="O33" s="9">
        <v>0</v>
      </c>
      <c r="P33" s="9"/>
      <c r="Q33" s="9"/>
      <c r="R33" s="9">
        <v>0</v>
      </c>
      <c r="S33" s="9">
        <f t="shared" si="4"/>
        <v>0</v>
      </c>
      <c r="T33" s="11"/>
      <c r="U33" s="9" t="e">
        <f t="shared" si="5"/>
        <v>#DIV/0!</v>
      </c>
      <c r="V33" s="9" t="e">
        <f t="shared" si="6"/>
        <v>#DIV/0!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 t="s">
        <v>47</v>
      </c>
      <c r="AH33" s="16">
        <f t="shared" si="7"/>
        <v>0</v>
      </c>
      <c r="AI33" t="s">
        <v>98</v>
      </c>
      <c r="AJ33" s="20" t="str">
        <f t="shared" si="8"/>
        <v>матрица</v>
      </c>
    </row>
    <row r="34" spans="1:36" x14ac:dyDescent="0.25">
      <c r="A34" s="16" t="s">
        <v>99</v>
      </c>
      <c r="B34" s="16" t="s">
        <v>46</v>
      </c>
      <c r="C34" s="16">
        <v>3725</v>
      </c>
      <c r="D34" s="16">
        <v>6960</v>
      </c>
      <c r="E34" s="16">
        <v>4930.3</v>
      </c>
      <c r="F34" s="16">
        <v>2746</v>
      </c>
      <c r="G34" s="6">
        <v>0.4</v>
      </c>
      <c r="H34" s="16">
        <v>45</v>
      </c>
      <c r="I34" s="8" t="s">
        <v>56</v>
      </c>
      <c r="J34" s="16"/>
      <c r="K34" s="16">
        <v>4995</v>
      </c>
      <c r="L34" s="16">
        <f t="shared" si="3"/>
        <v>-64.699999999999818</v>
      </c>
      <c r="M34" s="16"/>
      <c r="N34" s="16"/>
      <c r="O34" s="16">
        <v>4969.2000000000007</v>
      </c>
      <c r="P34" s="16"/>
      <c r="Q34" s="16"/>
      <c r="R34" s="16">
        <v>1239.041999999999</v>
      </c>
      <c r="S34" s="16">
        <f t="shared" si="4"/>
        <v>986.06000000000006</v>
      </c>
      <c r="T34" s="4">
        <f>12*S34-R34-Q34-O34-F34</f>
        <v>2878.478000000001</v>
      </c>
      <c r="U34" s="16">
        <f t="shared" si="5"/>
        <v>12</v>
      </c>
      <c r="V34" s="16">
        <f t="shared" si="6"/>
        <v>9.0808287528142309</v>
      </c>
      <c r="W34" s="16">
        <v>1036.6600000000001</v>
      </c>
      <c r="X34" s="16">
        <v>1083.5999999999999</v>
      </c>
      <c r="Y34" s="16">
        <v>1082</v>
      </c>
      <c r="Z34" s="16">
        <v>1122.8</v>
      </c>
      <c r="AA34" s="16">
        <v>1122</v>
      </c>
      <c r="AB34" s="16">
        <v>775</v>
      </c>
      <c r="AC34" s="16">
        <v>836.2</v>
      </c>
      <c r="AD34" s="16">
        <v>969.8</v>
      </c>
      <c r="AE34" s="16">
        <v>933.4</v>
      </c>
      <c r="AF34" s="16">
        <v>1078.5999999999999</v>
      </c>
      <c r="AG34" s="16"/>
      <c r="AH34" s="16">
        <f t="shared" si="7"/>
        <v>1151</v>
      </c>
      <c r="AI34" t="s">
        <v>100</v>
      </c>
      <c r="AJ34" s="20" t="str">
        <f t="shared" si="8"/>
        <v>НЕДОГРУЗ / матрица</v>
      </c>
    </row>
    <row r="35" spans="1:36" x14ac:dyDescent="0.25">
      <c r="A35" s="16" t="s">
        <v>101</v>
      </c>
      <c r="B35" s="16" t="s">
        <v>46</v>
      </c>
      <c r="C35" s="16">
        <v>947</v>
      </c>
      <c r="D35" s="16">
        <v>891</v>
      </c>
      <c r="E35" s="16">
        <v>566</v>
      </c>
      <c r="F35" s="16">
        <v>598</v>
      </c>
      <c r="G35" s="6">
        <v>0.45</v>
      </c>
      <c r="H35" s="16">
        <v>50</v>
      </c>
      <c r="I35" s="16" t="s">
        <v>39</v>
      </c>
      <c r="J35" s="16"/>
      <c r="K35" s="16">
        <v>568</v>
      </c>
      <c r="L35" s="16">
        <f t="shared" si="3"/>
        <v>-2</v>
      </c>
      <c r="M35" s="16"/>
      <c r="N35" s="16"/>
      <c r="O35" s="16">
        <v>222.20822900000019</v>
      </c>
      <c r="P35" s="16"/>
      <c r="Q35" s="16"/>
      <c r="R35" s="16">
        <v>161.8850000000001</v>
      </c>
      <c r="S35" s="16">
        <f t="shared" si="4"/>
        <v>113.2</v>
      </c>
      <c r="T35" s="4">
        <f>11.5*S35-R35-Q35-O35-F35</f>
        <v>319.70677099999978</v>
      </c>
      <c r="U35" s="16">
        <f t="shared" si="5"/>
        <v>11.500000000000002</v>
      </c>
      <c r="V35" s="16">
        <f t="shared" si="6"/>
        <v>8.6757352385159034</v>
      </c>
      <c r="W35" s="16">
        <v>104.8</v>
      </c>
      <c r="X35" s="16">
        <v>113.8</v>
      </c>
      <c r="Y35" s="16">
        <v>116.6</v>
      </c>
      <c r="Z35" s="16">
        <v>125.4</v>
      </c>
      <c r="AA35" s="16">
        <v>125.8</v>
      </c>
      <c r="AB35" s="16">
        <v>125.6</v>
      </c>
      <c r="AC35" s="16">
        <v>116.8</v>
      </c>
      <c r="AD35" s="16">
        <v>77</v>
      </c>
      <c r="AE35" s="16">
        <v>84.6</v>
      </c>
      <c r="AF35" s="16">
        <v>90.2</v>
      </c>
      <c r="AG35" s="16"/>
      <c r="AH35" s="16">
        <f t="shared" si="7"/>
        <v>144</v>
      </c>
      <c r="AI35" t="s">
        <v>102</v>
      </c>
      <c r="AJ35" s="20" t="str">
        <f t="shared" si="8"/>
        <v>матрица</v>
      </c>
    </row>
    <row r="36" spans="1:36" x14ac:dyDescent="0.25">
      <c r="A36" s="16" t="s">
        <v>103</v>
      </c>
      <c r="B36" s="16" t="s">
        <v>46</v>
      </c>
      <c r="C36" s="16">
        <v>1296</v>
      </c>
      <c r="D36" s="16">
        <v>872</v>
      </c>
      <c r="E36" s="16">
        <v>987</v>
      </c>
      <c r="F36" s="16">
        <v>495</v>
      </c>
      <c r="G36" s="6">
        <v>0.4</v>
      </c>
      <c r="H36" s="16">
        <v>45</v>
      </c>
      <c r="I36" s="8" t="s">
        <v>39</v>
      </c>
      <c r="J36" s="16"/>
      <c r="K36" s="16">
        <v>1002</v>
      </c>
      <c r="L36" s="16">
        <f t="shared" si="3"/>
        <v>-15</v>
      </c>
      <c r="M36" s="16"/>
      <c r="N36" s="16"/>
      <c r="O36" s="16">
        <v>402.50000000000051</v>
      </c>
      <c r="P36" s="16"/>
      <c r="Q36" s="16"/>
      <c r="R36" s="16">
        <v>404.39</v>
      </c>
      <c r="S36" s="16">
        <f t="shared" si="4"/>
        <v>197.4</v>
      </c>
      <c r="T36" s="4">
        <f>12*S36-R36-Q36-O36-F36</f>
        <v>1066.9099999999999</v>
      </c>
      <c r="U36" s="16">
        <f t="shared" si="5"/>
        <v>12</v>
      </c>
      <c r="V36" s="16">
        <f t="shared" si="6"/>
        <v>6.5951874366767997</v>
      </c>
      <c r="W36" s="16">
        <v>174.8</v>
      </c>
      <c r="X36" s="16">
        <v>159.4</v>
      </c>
      <c r="Y36" s="16">
        <v>167.6</v>
      </c>
      <c r="Z36" s="16">
        <v>160.4</v>
      </c>
      <c r="AA36" s="16">
        <v>185.2</v>
      </c>
      <c r="AB36" s="16">
        <v>146</v>
      </c>
      <c r="AC36" s="16">
        <v>110.2</v>
      </c>
      <c r="AD36" s="16">
        <v>93.4</v>
      </c>
      <c r="AE36" s="16">
        <v>36</v>
      </c>
      <c r="AF36" s="16">
        <v>-0.6</v>
      </c>
      <c r="AG36" s="16"/>
      <c r="AH36" s="16">
        <f t="shared" si="7"/>
        <v>427</v>
      </c>
      <c r="AI36" t="s">
        <v>104</v>
      </c>
      <c r="AJ36" s="20" t="str">
        <f t="shared" si="8"/>
        <v>матрица</v>
      </c>
    </row>
    <row r="37" spans="1:36" x14ac:dyDescent="0.25">
      <c r="A37" s="16" t="s">
        <v>105</v>
      </c>
      <c r="B37" s="16" t="s">
        <v>46</v>
      </c>
      <c r="C37" s="16">
        <v>22</v>
      </c>
      <c r="D37" s="16">
        <v>31</v>
      </c>
      <c r="E37" s="16">
        <v>18</v>
      </c>
      <c r="F37" s="16">
        <v>34</v>
      </c>
      <c r="G37" s="6">
        <v>0.4</v>
      </c>
      <c r="H37" s="16">
        <v>40</v>
      </c>
      <c r="I37" s="8" t="s">
        <v>39</v>
      </c>
      <c r="J37" s="16"/>
      <c r="K37" s="16">
        <v>19</v>
      </c>
      <c r="L37" s="16">
        <f t="shared" si="3"/>
        <v>-1</v>
      </c>
      <c r="M37" s="16"/>
      <c r="N37" s="16"/>
      <c r="O37" s="16">
        <v>0</v>
      </c>
      <c r="P37" s="16"/>
      <c r="Q37" s="16"/>
      <c r="R37" s="16">
        <v>0</v>
      </c>
      <c r="S37" s="16">
        <f t="shared" si="4"/>
        <v>3.6</v>
      </c>
      <c r="T37" s="4">
        <f>12*S37-R37-Q37-O37-F37</f>
        <v>9.2000000000000028</v>
      </c>
      <c r="U37" s="16">
        <f t="shared" si="5"/>
        <v>12</v>
      </c>
      <c r="V37" s="16">
        <f t="shared" si="6"/>
        <v>9.4444444444444446</v>
      </c>
      <c r="W37" s="16">
        <v>2.6</v>
      </c>
      <c r="X37" s="16">
        <v>1.6</v>
      </c>
      <c r="Y37" s="16">
        <v>0.6</v>
      </c>
      <c r="Z37" s="16">
        <v>2</v>
      </c>
      <c r="AA37" s="16">
        <v>2.8</v>
      </c>
      <c r="AB37" s="16">
        <v>1.4</v>
      </c>
      <c r="AC37" s="16">
        <v>0</v>
      </c>
      <c r="AD37" s="16">
        <v>0</v>
      </c>
      <c r="AE37" s="16">
        <v>-0.2</v>
      </c>
      <c r="AF37" s="16">
        <v>-0.4</v>
      </c>
      <c r="AG37" s="16"/>
      <c r="AH37" s="16">
        <f t="shared" si="7"/>
        <v>4</v>
      </c>
      <c r="AI37" t="s">
        <v>106</v>
      </c>
      <c r="AJ37" s="20" t="str">
        <f t="shared" si="8"/>
        <v>матрица</v>
      </c>
    </row>
    <row r="38" spans="1:36" x14ac:dyDescent="0.25">
      <c r="A38" s="16" t="s">
        <v>107</v>
      </c>
      <c r="B38" s="16" t="s">
        <v>38</v>
      </c>
      <c r="C38" s="16">
        <v>204.43700000000001</v>
      </c>
      <c r="D38" s="16">
        <v>96.147999999999996</v>
      </c>
      <c r="E38" s="16">
        <v>117.066</v>
      </c>
      <c r="F38" s="16">
        <v>101.087</v>
      </c>
      <c r="G38" s="6">
        <v>1</v>
      </c>
      <c r="H38" s="16">
        <v>45</v>
      </c>
      <c r="I38" s="8" t="s">
        <v>56</v>
      </c>
      <c r="J38" s="16"/>
      <c r="K38" s="16">
        <v>112.8</v>
      </c>
      <c r="L38" s="16">
        <f t="shared" ref="L38:L69" si="10">E38-K38</f>
        <v>4.2660000000000053</v>
      </c>
      <c r="M38" s="16"/>
      <c r="N38" s="16"/>
      <c r="O38" s="16">
        <v>63.764799999999951</v>
      </c>
      <c r="P38" s="16">
        <v>-70</v>
      </c>
      <c r="Q38" s="16"/>
      <c r="R38" s="16">
        <v>44.013900000000064</v>
      </c>
      <c r="S38" s="16">
        <f t="shared" ref="S38:S69" si="11">E38/5</f>
        <v>23.4132</v>
      </c>
      <c r="T38" s="4">
        <f>12*S38-R38-Q38-O38-F38</f>
        <v>72.092699999999965</v>
      </c>
      <c r="U38" s="16">
        <f t="shared" ref="U38:U69" si="12">(F38+O38+Q38+R38+T38)/S38</f>
        <v>12</v>
      </c>
      <c r="V38" s="16">
        <f t="shared" ref="V38:V69" si="13">(F38+O38+Q38+R38)/S38</f>
        <v>8.9208523397058084</v>
      </c>
      <c r="W38" s="16">
        <v>27.113600000000002</v>
      </c>
      <c r="X38" s="16">
        <v>26.136800000000001</v>
      </c>
      <c r="Y38" s="16">
        <v>25.5244</v>
      </c>
      <c r="Z38" s="16">
        <v>32.070399999999999</v>
      </c>
      <c r="AA38" s="16">
        <v>33.582999999999998</v>
      </c>
      <c r="AB38" s="16">
        <v>38.2774</v>
      </c>
      <c r="AC38" s="16">
        <v>46.067599999999999</v>
      </c>
      <c r="AD38" s="16">
        <v>41.764200000000002</v>
      </c>
      <c r="AE38" s="16">
        <v>24.267199999999999</v>
      </c>
      <c r="AF38" s="16">
        <v>39.761800000000001</v>
      </c>
      <c r="AG38" s="16"/>
      <c r="AH38" s="16">
        <f t="shared" ref="AH38:AH69" si="14">ROUND(G38*T38,0)</f>
        <v>72</v>
      </c>
      <c r="AI38" t="s">
        <v>108</v>
      </c>
      <c r="AJ38" s="20" t="str">
        <f t="shared" si="8"/>
        <v>НЕДОГРУЗ / матрица</v>
      </c>
    </row>
    <row r="39" spans="1:36" x14ac:dyDescent="0.25">
      <c r="A39" s="16" t="s">
        <v>109</v>
      </c>
      <c r="B39" s="16" t="s">
        <v>46</v>
      </c>
      <c r="C39" s="16">
        <v>748</v>
      </c>
      <c r="D39" s="16">
        <v>199</v>
      </c>
      <c r="E39" s="16">
        <v>383</v>
      </c>
      <c r="F39" s="16">
        <v>414</v>
      </c>
      <c r="G39" s="6">
        <v>0.1</v>
      </c>
      <c r="H39" s="16">
        <v>731</v>
      </c>
      <c r="I39" s="16" t="s">
        <v>39</v>
      </c>
      <c r="J39" s="16"/>
      <c r="K39" s="16">
        <v>389</v>
      </c>
      <c r="L39" s="16">
        <f t="shared" si="10"/>
        <v>-6</v>
      </c>
      <c r="M39" s="16"/>
      <c r="N39" s="16"/>
      <c r="O39" s="16">
        <v>216.12499999999989</v>
      </c>
      <c r="P39" s="16"/>
      <c r="Q39" s="16"/>
      <c r="R39" s="16">
        <v>155.07500000000019</v>
      </c>
      <c r="S39" s="16">
        <f t="shared" si="11"/>
        <v>76.599999999999994</v>
      </c>
      <c r="T39" s="4">
        <f>11.5*S39-R39-Q39-O39-F39</f>
        <v>95.699999999999932</v>
      </c>
      <c r="U39" s="16">
        <f t="shared" si="12"/>
        <v>11.5</v>
      </c>
      <c r="V39" s="16">
        <f t="shared" si="13"/>
        <v>10.250652741514362</v>
      </c>
      <c r="W39" s="16">
        <v>83.2</v>
      </c>
      <c r="X39" s="16">
        <v>87.4</v>
      </c>
      <c r="Y39" s="16">
        <v>84.4</v>
      </c>
      <c r="Z39" s="16">
        <v>92.8</v>
      </c>
      <c r="AA39" s="16">
        <v>98.6</v>
      </c>
      <c r="AB39" s="16">
        <v>79.8</v>
      </c>
      <c r="AC39" s="16">
        <v>76.2</v>
      </c>
      <c r="AD39" s="16">
        <v>56.2</v>
      </c>
      <c r="AE39" s="16">
        <v>57.4</v>
      </c>
      <c r="AF39" s="16">
        <v>85</v>
      </c>
      <c r="AG39" s="16"/>
      <c r="AH39" s="16">
        <f t="shared" si="14"/>
        <v>10</v>
      </c>
      <c r="AI39" t="s">
        <v>110</v>
      </c>
      <c r="AJ39" s="20" t="str">
        <f t="shared" si="8"/>
        <v>матрица</v>
      </c>
    </row>
    <row r="40" spans="1:36" x14ac:dyDescent="0.25">
      <c r="A40" s="16" t="s">
        <v>111</v>
      </c>
      <c r="B40" s="16" t="s">
        <v>46</v>
      </c>
      <c r="C40" s="16">
        <v>18</v>
      </c>
      <c r="D40" s="16">
        <v>328</v>
      </c>
      <c r="E40" s="16">
        <v>161</v>
      </c>
      <c r="F40" s="16">
        <v>9</v>
      </c>
      <c r="G40" s="6">
        <v>0.35</v>
      </c>
      <c r="H40" s="16">
        <v>40</v>
      </c>
      <c r="I40" s="8" t="s">
        <v>56</v>
      </c>
      <c r="J40" s="16"/>
      <c r="K40" s="16">
        <v>294</v>
      </c>
      <c r="L40" s="16">
        <f t="shared" si="10"/>
        <v>-133</v>
      </c>
      <c r="M40" s="16"/>
      <c r="N40" s="16"/>
      <c r="O40" s="16">
        <v>0</v>
      </c>
      <c r="P40" s="16"/>
      <c r="Q40" s="16"/>
      <c r="R40" s="16">
        <v>50</v>
      </c>
      <c r="S40" s="16">
        <f t="shared" si="11"/>
        <v>32.200000000000003</v>
      </c>
      <c r="T40" s="4">
        <v>200</v>
      </c>
      <c r="U40" s="16">
        <f t="shared" si="12"/>
        <v>8.0434782608695645</v>
      </c>
      <c r="V40" s="16">
        <f t="shared" si="13"/>
        <v>1.8322981366459625</v>
      </c>
      <c r="W40" s="16">
        <v>1.2</v>
      </c>
      <c r="X40" s="16">
        <v>-0.2</v>
      </c>
      <c r="Y40" s="16">
        <v>-0.4</v>
      </c>
      <c r="Z40" s="16">
        <v>13.8</v>
      </c>
      <c r="AA40" s="16">
        <v>24</v>
      </c>
      <c r="AB40" s="16">
        <v>8.8000000000000007</v>
      </c>
      <c r="AC40" s="16">
        <v>-1.8</v>
      </c>
      <c r="AD40" s="16">
        <v>-2</v>
      </c>
      <c r="AE40" s="16">
        <v>-2.4</v>
      </c>
      <c r="AF40" s="16">
        <v>-2</v>
      </c>
      <c r="AG40" s="16"/>
      <c r="AH40" s="16">
        <f t="shared" si="14"/>
        <v>70</v>
      </c>
      <c r="AI40" t="s">
        <v>112</v>
      </c>
      <c r="AJ40" s="20" t="str">
        <f t="shared" si="8"/>
        <v>НЕДОГРУЗ / матрица</v>
      </c>
    </row>
    <row r="41" spans="1:36" x14ac:dyDescent="0.25">
      <c r="A41" s="16" t="s">
        <v>113</v>
      </c>
      <c r="B41" s="16" t="s">
        <v>38</v>
      </c>
      <c r="C41" s="16">
        <v>1.149</v>
      </c>
      <c r="D41" s="16">
        <v>198.827</v>
      </c>
      <c r="E41" s="16">
        <v>63.738</v>
      </c>
      <c r="F41" s="16">
        <v>78.400999999999996</v>
      </c>
      <c r="G41" s="6">
        <v>1</v>
      </c>
      <c r="H41" s="16">
        <v>40</v>
      </c>
      <c r="I41" s="8" t="s">
        <v>39</v>
      </c>
      <c r="J41" s="16"/>
      <c r="K41" s="16">
        <v>91.7</v>
      </c>
      <c r="L41" s="16">
        <f t="shared" si="10"/>
        <v>-27.962000000000003</v>
      </c>
      <c r="M41" s="16"/>
      <c r="N41" s="16"/>
      <c r="O41" s="16">
        <v>49.974900000000019</v>
      </c>
      <c r="P41" s="16"/>
      <c r="Q41" s="16"/>
      <c r="R41" s="16">
        <v>0</v>
      </c>
      <c r="S41" s="16">
        <f t="shared" si="11"/>
        <v>12.7476</v>
      </c>
      <c r="T41" s="4">
        <f>12*S41-R41-Q41-O41-F41</f>
        <v>24.595299999999995</v>
      </c>
      <c r="U41" s="16">
        <f t="shared" si="12"/>
        <v>12</v>
      </c>
      <c r="V41" s="16">
        <f t="shared" si="13"/>
        <v>10.070593680379051</v>
      </c>
      <c r="W41" s="16">
        <v>5.3621999999999996</v>
      </c>
      <c r="X41" s="16">
        <v>18.358599999999999</v>
      </c>
      <c r="Y41" s="16">
        <v>30.653400000000001</v>
      </c>
      <c r="Z41" s="16">
        <v>17.975200000000001</v>
      </c>
      <c r="AA41" s="16">
        <v>13.5848</v>
      </c>
      <c r="AB41" s="16">
        <v>8.2422000000000004</v>
      </c>
      <c r="AC41" s="16">
        <v>4.5888</v>
      </c>
      <c r="AD41" s="16">
        <v>5.1204000000000001</v>
      </c>
      <c r="AE41" s="16">
        <v>5.9737999999999998</v>
      </c>
      <c r="AF41" s="16">
        <v>5.5386000000000006</v>
      </c>
      <c r="AG41" s="16"/>
      <c r="AH41" s="16">
        <f t="shared" si="14"/>
        <v>25</v>
      </c>
      <c r="AI41" t="s">
        <v>114</v>
      </c>
      <c r="AJ41" s="20" t="str">
        <f t="shared" si="8"/>
        <v>матрица</v>
      </c>
    </row>
    <row r="42" spans="1:36" x14ac:dyDescent="0.25">
      <c r="A42" s="16" t="s">
        <v>115</v>
      </c>
      <c r="B42" s="16" t="s">
        <v>46</v>
      </c>
      <c r="C42" s="16">
        <v>782</v>
      </c>
      <c r="D42" s="16">
        <v>617</v>
      </c>
      <c r="E42" s="16">
        <v>498</v>
      </c>
      <c r="F42" s="16">
        <v>234</v>
      </c>
      <c r="G42" s="6">
        <v>0.4</v>
      </c>
      <c r="H42" s="16">
        <v>40</v>
      </c>
      <c r="I42" s="8" t="s">
        <v>56</v>
      </c>
      <c r="J42" s="16"/>
      <c r="K42" s="16">
        <v>501</v>
      </c>
      <c r="L42" s="16">
        <f t="shared" si="10"/>
        <v>-3</v>
      </c>
      <c r="M42" s="16"/>
      <c r="N42" s="16"/>
      <c r="O42" s="16">
        <v>687.7</v>
      </c>
      <c r="P42" s="16">
        <v>-690</v>
      </c>
      <c r="Q42" s="16"/>
      <c r="R42" s="16">
        <v>80.709999999999965</v>
      </c>
      <c r="S42" s="16">
        <f t="shared" si="11"/>
        <v>99.6</v>
      </c>
      <c r="T42" s="4">
        <f>12*S42-R42-Q42-O42-F42</f>
        <v>192.78999999999974</v>
      </c>
      <c r="U42" s="16">
        <f t="shared" si="12"/>
        <v>11.999999999999998</v>
      </c>
      <c r="V42" s="16">
        <f t="shared" si="13"/>
        <v>10.064357429718875</v>
      </c>
      <c r="W42" s="16">
        <v>112</v>
      </c>
      <c r="X42" s="16">
        <v>121.8</v>
      </c>
      <c r="Y42" s="16">
        <v>74</v>
      </c>
      <c r="Z42" s="16">
        <v>58.2</v>
      </c>
      <c r="AA42" s="16">
        <v>100</v>
      </c>
      <c r="AB42" s="16">
        <v>68.400000000000006</v>
      </c>
      <c r="AC42" s="16">
        <v>43.4</v>
      </c>
      <c r="AD42" s="16">
        <v>44.4</v>
      </c>
      <c r="AE42" s="16">
        <v>46.6</v>
      </c>
      <c r="AF42" s="16">
        <v>42.4</v>
      </c>
      <c r="AG42" s="16"/>
      <c r="AH42" s="16">
        <f t="shared" si="14"/>
        <v>77</v>
      </c>
      <c r="AI42" t="s">
        <v>116</v>
      </c>
      <c r="AJ42" s="20" t="str">
        <f t="shared" si="8"/>
        <v>НЕДОГРУЗ / матрица</v>
      </c>
    </row>
    <row r="43" spans="1:36" x14ac:dyDescent="0.25">
      <c r="A43" s="16" t="s">
        <v>117</v>
      </c>
      <c r="B43" s="16" t="s">
        <v>46</v>
      </c>
      <c r="C43" s="16">
        <v>123</v>
      </c>
      <c r="D43" s="16">
        <v>499</v>
      </c>
      <c r="E43" s="16">
        <v>169</v>
      </c>
      <c r="F43" s="16">
        <v>195</v>
      </c>
      <c r="G43" s="6">
        <v>0.4</v>
      </c>
      <c r="H43" s="16">
        <v>45</v>
      </c>
      <c r="I43" s="8" t="s">
        <v>56</v>
      </c>
      <c r="J43" s="16"/>
      <c r="K43" s="16">
        <v>318</v>
      </c>
      <c r="L43" s="16">
        <f t="shared" si="10"/>
        <v>-149</v>
      </c>
      <c r="M43" s="16"/>
      <c r="N43" s="16"/>
      <c r="O43" s="16">
        <v>242.8000000000001</v>
      </c>
      <c r="P43" s="16"/>
      <c r="Q43" s="16"/>
      <c r="R43" s="16">
        <v>50</v>
      </c>
      <c r="S43" s="16">
        <f t="shared" si="11"/>
        <v>33.799999999999997</v>
      </c>
      <c r="T43" s="4">
        <v>100</v>
      </c>
      <c r="U43" s="16">
        <f t="shared" si="12"/>
        <v>17.390532544378701</v>
      </c>
      <c r="V43" s="16">
        <f t="shared" si="13"/>
        <v>14.431952662721896</v>
      </c>
      <c r="W43" s="16">
        <v>43.2</v>
      </c>
      <c r="X43" s="16">
        <v>55.2</v>
      </c>
      <c r="Y43" s="16">
        <v>56.8</v>
      </c>
      <c r="Z43" s="16">
        <v>32.799999999999997</v>
      </c>
      <c r="AA43" s="16">
        <v>43</v>
      </c>
      <c r="AB43" s="16">
        <v>54.2</v>
      </c>
      <c r="AC43" s="16">
        <v>52</v>
      </c>
      <c r="AD43" s="16">
        <v>47.6</v>
      </c>
      <c r="AE43" s="16">
        <v>30.8</v>
      </c>
      <c r="AF43" s="16">
        <v>30.4</v>
      </c>
      <c r="AG43" s="16"/>
      <c r="AH43" s="16">
        <f t="shared" si="14"/>
        <v>40</v>
      </c>
      <c r="AI43" t="s">
        <v>118</v>
      </c>
      <c r="AJ43" s="20" t="str">
        <f t="shared" si="8"/>
        <v>НЕДОГРУЗ / матрица</v>
      </c>
    </row>
    <row r="44" spans="1:36" x14ac:dyDescent="0.25">
      <c r="A44" s="16" t="s">
        <v>119</v>
      </c>
      <c r="B44" s="16" t="s">
        <v>38</v>
      </c>
      <c r="C44" s="16">
        <v>0.93700000000000006</v>
      </c>
      <c r="D44" s="16">
        <v>837.53</v>
      </c>
      <c r="E44" s="16">
        <v>247.75399999999999</v>
      </c>
      <c r="F44" s="16">
        <v>475.762</v>
      </c>
      <c r="G44" s="6">
        <v>1</v>
      </c>
      <c r="H44" s="16">
        <v>40</v>
      </c>
      <c r="I44" s="8" t="s">
        <v>56</v>
      </c>
      <c r="J44" s="16"/>
      <c r="K44" s="16">
        <v>276.45</v>
      </c>
      <c r="L44" s="16">
        <f t="shared" si="10"/>
        <v>-28.695999999999998</v>
      </c>
      <c r="M44" s="16"/>
      <c r="N44" s="16"/>
      <c r="O44" s="16">
        <v>0</v>
      </c>
      <c r="P44" s="16"/>
      <c r="Q44" s="16"/>
      <c r="R44" s="16">
        <v>0</v>
      </c>
      <c r="S44" s="16">
        <f t="shared" si="11"/>
        <v>49.550799999999995</v>
      </c>
      <c r="T44" s="4">
        <f>12*S44-R44-Q44-O44-F44</f>
        <v>118.8476</v>
      </c>
      <c r="U44" s="16">
        <f t="shared" si="12"/>
        <v>12.000000000000002</v>
      </c>
      <c r="V44" s="16">
        <f t="shared" si="13"/>
        <v>9.601499874875886</v>
      </c>
      <c r="W44" s="16">
        <v>8.9260000000000002</v>
      </c>
      <c r="X44" s="16">
        <v>-0.46539999999999998</v>
      </c>
      <c r="Y44" s="16">
        <v>37.095999999999997</v>
      </c>
      <c r="Z44" s="16">
        <v>60.197799999999987</v>
      </c>
      <c r="AA44" s="16">
        <v>34.119799999999998</v>
      </c>
      <c r="AB44" s="16">
        <v>15.690799999999999</v>
      </c>
      <c r="AC44" s="16">
        <v>19.270199999999999</v>
      </c>
      <c r="AD44" s="16">
        <v>22.2332</v>
      </c>
      <c r="AE44" s="16">
        <v>14.362</v>
      </c>
      <c r="AF44" s="16">
        <v>23.499600000000001</v>
      </c>
      <c r="AG44" s="16"/>
      <c r="AH44" s="16">
        <f t="shared" si="14"/>
        <v>119</v>
      </c>
      <c r="AI44" t="s">
        <v>120</v>
      </c>
      <c r="AJ44" s="20" t="str">
        <f t="shared" si="8"/>
        <v>НЕДОГРУЗ / матрица</v>
      </c>
    </row>
    <row r="45" spans="1:36" x14ac:dyDescent="0.25">
      <c r="A45" s="16" t="s">
        <v>121</v>
      </c>
      <c r="B45" s="16" t="s">
        <v>46</v>
      </c>
      <c r="C45" s="16">
        <v>18</v>
      </c>
      <c r="D45" s="16">
        <v>1434</v>
      </c>
      <c r="E45" s="16">
        <v>533</v>
      </c>
      <c r="F45" s="16">
        <v>363</v>
      </c>
      <c r="G45" s="6">
        <v>0.35</v>
      </c>
      <c r="H45" s="16">
        <v>40</v>
      </c>
      <c r="I45" s="8" t="s">
        <v>56</v>
      </c>
      <c r="J45" s="16"/>
      <c r="K45" s="16">
        <v>1051</v>
      </c>
      <c r="L45" s="16">
        <f t="shared" si="10"/>
        <v>-518</v>
      </c>
      <c r="M45" s="16"/>
      <c r="N45" s="16"/>
      <c r="O45" s="16">
        <v>0</v>
      </c>
      <c r="P45" s="16"/>
      <c r="Q45" s="16"/>
      <c r="R45" s="16">
        <v>0</v>
      </c>
      <c r="S45" s="16">
        <f t="shared" si="11"/>
        <v>106.6</v>
      </c>
      <c r="T45" s="4">
        <v>800</v>
      </c>
      <c r="U45" s="16">
        <f t="shared" si="12"/>
        <v>10.909943714821765</v>
      </c>
      <c r="V45" s="16">
        <f t="shared" si="13"/>
        <v>3.4052532833020641</v>
      </c>
      <c r="W45" s="16">
        <v>39.4</v>
      </c>
      <c r="X45" s="16">
        <v>32</v>
      </c>
      <c r="Y45" s="16">
        <v>167.4</v>
      </c>
      <c r="Z45" s="16">
        <v>255.8</v>
      </c>
      <c r="AA45" s="16">
        <v>270</v>
      </c>
      <c r="AB45" s="16">
        <v>263.60000000000002</v>
      </c>
      <c r="AC45" s="16">
        <v>224.4</v>
      </c>
      <c r="AD45" s="16">
        <v>103.4</v>
      </c>
      <c r="AE45" s="16">
        <v>-5.6</v>
      </c>
      <c r="AF45" s="16">
        <v>122.6</v>
      </c>
      <c r="AG45" s="16"/>
      <c r="AH45" s="16">
        <f t="shared" si="14"/>
        <v>280</v>
      </c>
      <c r="AI45" t="s">
        <v>122</v>
      </c>
      <c r="AJ45" s="20" t="str">
        <f t="shared" si="8"/>
        <v>НЕДОГРУЗ / матрица</v>
      </c>
    </row>
    <row r="46" spans="1:36" x14ac:dyDescent="0.25">
      <c r="A46" s="16" t="s">
        <v>123</v>
      </c>
      <c r="B46" s="16" t="s">
        <v>46</v>
      </c>
      <c r="C46" s="16">
        <v>584</v>
      </c>
      <c r="D46" s="16">
        <v>966</v>
      </c>
      <c r="E46" s="16">
        <v>540</v>
      </c>
      <c r="F46" s="16">
        <v>574</v>
      </c>
      <c r="G46" s="6">
        <v>0.4</v>
      </c>
      <c r="H46" s="16">
        <v>40</v>
      </c>
      <c r="I46" s="8" t="s">
        <v>39</v>
      </c>
      <c r="J46" s="16"/>
      <c r="K46" s="16">
        <v>605</v>
      </c>
      <c r="L46" s="16">
        <f t="shared" si="10"/>
        <v>-65</v>
      </c>
      <c r="M46" s="16"/>
      <c r="N46" s="16"/>
      <c r="O46" s="16">
        <v>556.10000000000014</v>
      </c>
      <c r="P46" s="16"/>
      <c r="Q46" s="16"/>
      <c r="R46" s="16">
        <v>84</v>
      </c>
      <c r="S46" s="16">
        <f t="shared" si="11"/>
        <v>108</v>
      </c>
      <c r="T46" s="4">
        <f>12*S46-R46-Q46-O46-F46</f>
        <v>81.899999999999864</v>
      </c>
      <c r="U46" s="16">
        <f t="shared" si="12"/>
        <v>12</v>
      </c>
      <c r="V46" s="16">
        <f t="shared" si="13"/>
        <v>11.241666666666667</v>
      </c>
      <c r="W46" s="16">
        <v>131.80000000000001</v>
      </c>
      <c r="X46" s="16">
        <v>146.19999999999999</v>
      </c>
      <c r="Y46" s="16">
        <v>130.19999999999999</v>
      </c>
      <c r="Z46" s="16">
        <v>140.4</v>
      </c>
      <c r="AA46" s="16">
        <v>153.6</v>
      </c>
      <c r="AB46" s="16">
        <v>183.2</v>
      </c>
      <c r="AC46" s="16">
        <v>176.6</v>
      </c>
      <c r="AD46" s="16">
        <v>127.8</v>
      </c>
      <c r="AE46" s="16">
        <v>137.6</v>
      </c>
      <c r="AF46" s="16">
        <v>146</v>
      </c>
      <c r="AG46" s="16"/>
      <c r="AH46" s="16">
        <f t="shared" si="14"/>
        <v>33</v>
      </c>
      <c r="AI46" t="s">
        <v>124</v>
      </c>
      <c r="AJ46" s="20" t="str">
        <f t="shared" si="8"/>
        <v>матрица</v>
      </c>
    </row>
    <row r="47" spans="1:36" x14ac:dyDescent="0.25">
      <c r="A47" s="16" t="s">
        <v>125</v>
      </c>
      <c r="B47" s="16" t="s">
        <v>38</v>
      </c>
      <c r="C47" s="16">
        <v>570.59199999999998</v>
      </c>
      <c r="D47" s="16">
        <v>507.84800000000001</v>
      </c>
      <c r="E47" s="16">
        <v>423.41</v>
      </c>
      <c r="F47" s="16">
        <v>237.44</v>
      </c>
      <c r="G47" s="6">
        <v>1</v>
      </c>
      <c r="H47" s="16">
        <v>50</v>
      </c>
      <c r="I47" s="16" t="s">
        <v>39</v>
      </c>
      <c r="J47" s="16"/>
      <c r="K47" s="16">
        <v>419.5</v>
      </c>
      <c r="L47" s="16">
        <f t="shared" si="10"/>
        <v>3.910000000000025</v>
      </c>
      <c r="M47" s="16"/>
      <c r="N47" s="16"/>
      <c r="O47" s="16">
        <v>310.65370580700011</v>
      </c>
      <c r="P47" s="16"/>
      <c r="Q47" s="16"/>
      <c r="R47" s="16">
        <v>323.74856339999991</v>
      </c>
      <c r="S47" s="16">
        <f t="shared" si="11"/>
        <v>84.682000000000002</v>
      </c>
      <c r="T47" s="4">
        <f>11.5*S47-R47-Q47-O47-F47</f>
        <v>102.000730793</v>
      </c>
      <c r="U47" s="16">
        <f t="shared" si="12"/>
        <v>11.5</v>
      </c>
      <c r="V47" s="16">
        <f t="shared" si="13"/>
        <v>10.295485099631563</v>
      </c>
      <c r="W47" s="16">
        <v>101.071</v>
      </c>
      <c r="X47" s="16">
        <v>105.2124</v>
      </c>
      <c r="Y47" s="16">
        <v>95.491600000000005</v>
      </c>
      <c r="Z47" s="16">
        <v>93.509</v>
      </c>
      <c r="AA47" s="16">
        <v>94.5214</v>
      </c>
      <c r="AB47" s="16">
        <v>94.858399999999989</v>
      </c>
      <c r="AC47" s="16">
        <v>83.390799999999999</v>
      </c>
      <c r="AD47" s="16">
        <v>63.038800000000002</v>
      </c>
      <c r="AE47" s="16">
        <v>68.847400000000007</v>
      </c>
      <c r="AF47" s="16">
        <v>90.637199999999993</v>
      </c>
      <c r="AG47" s="16"/>
      <c r="AH47" s="16">
        <f t="shared" si="14"/>
        <v>102</v>
      </c>
      <c r="AI47" t="s">
        <v>126</v>
      </c>
      <c r="AJ47" s="20" t="str">
        <f t="shared" si="8"/>
        <v>матрица</v>
      </c>
    </row>
    <row r="48" spans="1:36" x14ac:dyDescent="0.25">
      <c r="A48" s="16" t="s">
        <v>127</v>
      </c>
      <c r="B48" s="16" t="s">
        <v>38</v>
      </c>
      <c r="C48" s="16">
        <v>787.34900000000005</v>
      </c>
      <c r="D48" s="16">
        <v>914.60900000000004</v>
      </c>
      <c r="E48" s="16">
        <v>583.06799999999998</v>
      </c>
      <c r="F48" s="16">
        <v>776.649</v>
      </c>
      <c r="G48" s="6">
        <v>1</v>
      </c>
      <c r="H48" s="16">
        <v>50</v>
      </c>
      <c r="I48" s="16" t="s">
        <v>39</v>
      </c>
      <c r="J48" s="16"/>
      <c r="K48" s="16">
        <v>629.25</v>
      </c>
      <c r="L48" s="16">
        <f t="shared" si="10"/>
        <v>-46.182000000000016</v>
      </c>
      <c r="M48" s="16"/>
      <c r="N48" s="16"/>
      <c r="O48" s="16">
        <v>296.07429168299979</v>
      </c>
      <c r="P48" s="16"/>
      <c r="Q48" s="16"/>
      <c r="R48" s="16">
        <v>45.255030999999803</v>
      </c>
      <c r="S48" s="16">
        <f t="shared" si="11"/>
        <v>116.61359999999999</v>
      </c>
      <c r="T48" s="4">
        <f>11.5*S48-R48-Q48-O48-F48</f>
        <v>223.07807731700052</v>
      </c>
      <c r="U48" s="16">
        <f t="shared" si="12"/>
        <v>11.5</v>
      </c>
      <c r="V48" s="16">
        <f t="shared" si="13"/>
        <v>9.5870320672974643</v>
      </c>
      <c r="W48" s="16">
        <v>124.0046</v>
      </c>
      <c r="X48" s="16">
        <v>146.42580000000001</v>
      </c>
      <c r="Y48" s="16">
        <v>147.56039999999999</v>
      </c>
      <c r="Z48" s="16">
        <v>129.40299999999999</v>
      </c>
      <c r="AA48" s="16">
        <v>132.53659999999999</v>
      </c>
      <c r="AB48" s="16">
        <v>146.15979999999999</v>
      </c>
      <c r="AC48" s="16">
        <v>135.85380000000001</v>
      </c>
      <c r="AD48" s="16">
        <v>91.289000000000001</v>
      </c>
      <c r="AE48" s="16">
        <v>86.8</v>
      </c>
      <c r="AF48" s="16">
        <v>108.23560000000001</v>
      </c>
      <c r="AG48" s="16"/>
      <c r="AH48" s="16">
        <f t="shared" si="14"/>
        <v>223</v>
      </c>
      <c r="AI48" t="s">
        <v>128</v>
      </c>
      <c r="AJ48" s="20" t="str">
        <f t="shared" si="8"/>
        <v>матрица</v>
      </c>
    </row>
    <row r="49" spans="1:36" x14ac:dyDescent="0.25">
      <c r="A49" s="16" t="s">
        <v>129</v>
      </c>
      <c r="B49" s="16" t="s">
        <v>38</v>
      </c>
      <c r="C49" s="16">
        <v>17.664000000000001</v>
      </c>
      <c r="D49" s="16">
        <v>18.407</v>
      </c>
      <c r="E49" s="16">
        <v>1.4950000000000001</v>
      </c>
      <c r="F49" s="16">
        <v>34.406999999999996</v>
      </c>
      <c r="G49" s="6">
        <v>1</v>
      </c>
      <c r="H49" s="16">
        <v>45</v>
      </c>
      <c r="I49" s="8" t="s">
        <v>56</v>
      </c>
      <c r="J49" s="16"/>
      <c r="K49" s="16">
        <v>1.3</v>
      </c>
      <c r="L49" s="16">
        <f t="shared" si="10"/>
        <v>0.19500000000000006</v>
      </c>
      <c r="M49" s="16"/>
      <c r="N49" s="16"/>
      <c r="O49" s="16">
        <v>0</v>
      </c>
      <c r="P49" s="16"/>
      <c r="Q49" s="16"/>
      <c r="R49" s="16">
        <v>0</v>
      </c>
      <c r="S49" s="16">
        <f t="shared" si="11"/>
        <v>0.29900000000000004</v>
      </c>
      <c r="T49" s="4"/>
      <c r="U49" s="16">
        <f t="shared" si="12"/>
        <v>115.0735785953177</v>
      </c>
      <c r="V49" s="16">
        <f t="shared" si="13"/>
        <v>115.0735785953177</v>
      </c>
      <c r="W49" s="16">
        <v>0.29899999999999999</v>
      </c>
      <c r="X49" s="16">
        <v>0</v>
      </c>
      <c r="Y49" s="16">
        <v>-0.30520000000000003</v>
      </c>
      <c r="Z49" s="16">
        <v>-0.30520000000000003</v>
      </c>
      <c r="AA49" s="16">
        <v>0</v>
      </c>
      <c r="AB49" s="16">
        <v>0</v>
      </c>
      <c r="AC49" s="16">
        <v>0</v>
      </c>
      <c r="AD49" s="16">
        <v>-0.28960000000000002</v>
      </c>
      <c r="AE49" s="16">
        <v>-0.28960000000000002</v>
      </c>
      <c r="AF49" s="16">
        <v>0</v>
      </c>
      <c r="AG49" s="15" t="s">
        <v>130</v>
      </c>
      <c r="AH49" s="16">
        <f t="shared" si="14"/>
        <v>0</v>
      </c>
      <c r="AI49" t="s">
        <v>131</v>
      </c>
      <c r="AJ49" s="20" t="str">
        <f t="shared" si="8"/>
        <v>НЕДОГРУЗ / матрица</v>
      </c>
    </row>
    <row r="50" spans="1:36" x14ac:dyDescent="0.25">
      <c r="A50" s="16" t="s">
        <v>132</v>
      </c>
      <c r="B50" s="16" t="s">
        <v>46</v>
      </c>
      <c r="C50" s="16">
        <v>192</v>
      </c>
      <c r="D50" s="16">
        <v>352</v>
      </c>
      <c r="E50" s="16">
        <v>185</v>
      </c>
      <c r="F50" s="16">
        <v>307</v>
      </c>
      <c r="G50" s="6">
        <v>0.45</v>
      </c>
      <c r="H50" s="16">
        <v>50</v>
      </c>
      <c r="I50" s="16" t="s">
        <v>39</v>
      </c>
      <c r="J50" s="16"/>
      <c r="K50" s="16">
        <v>193</v>
      </c>
      <c r="L50" s="16">
        <f t="shared" si="10"/>
        <v>-8</v>
      </c>
      <c r="M50" s="16"/>
      <c r="N50" s="16"/>
      <c r="O50" s="16">
        <v>0</v>
      </c>
      <c r="P50" s="16"/>
      <c r="Q50" s="16"/>
      <c r="R50" s="16">
        <v>0</v>
      </c>
      <c r="S50" s="16">
        <f t="shared" si="11"/>
        <v>37</v>
      </c>
      <c r="T50" s="4">
        <f>11.5*S50-R50-Q50-O50-F50</f>
        <v>118.5</v>
      </c>
      <c r="U50" s="16">
        <f t="shared" si="12"/>
        <v>11.5</v>
      </c>
      <c r="V50" s="16">
        <f t="shared" si="13"/>
        <v>8.2972972972972965</v>
      </c>
      <c r="W50" s="16">
        <v>29</v>
      </c>
      <c r="X50" s="16">
        <v>39.200000000000003</v>
      </c>
      <c r="Y50" s="16">
        <v>49.8</v>
      </c>
      <c r="Z50" s="16">
        <v>39</v>
      </c>
      <c r="AA50" s="16">
        <v>34.4</v>
      </c>
      <c r="AB50" s="16">
        <v>39.4</v>
      </c>
      <c r="AC50" s="16">
        <v>44.6</v>
      </c>
      <c r="AD50" s="16">
        <v>40</v>
      </c>
      <c r="AE50" s="16">
        <v>30.2</v>
      </c>
      <c r="AF50" s="16">
        <v>37.6</v>
      </c>
      <c r="AG50" s="16"/>
      <c r="AH50" s="16">
        <f t="shared" si="14"/>
        <v>53</v>
      </c>
      <c r="AI50" t="s">
        <v>133</v>
      </c>
      <c r="AJ50" s="20" t="str">
        <f t="shared" si="8"/>
        <v>матрица</v>
      </c>
    </row>
    <row r="51" spans="1:36" x14ac:dyDescent="0.25">
      <c r="A51" s="16" t="s">
        <v>134</v>
      </c>
      <c r="B51" s="16" t="s">
        <v>46</v>
      </c>
      <c r="C51" s="16">
        <v>592</v>
      </c>
      <c r="D51" s="16">
        <v>945</v>
      </c>
      <c r="E51" s="16">
        <v>496</v>
      </c>
      <c r="F51" s="16">
        <v>461</v>
      </c>
      <c r="G51" s="6">
        <v>0.45</v>
      </c>
      <c r="H51" s="16">
        <v>50</v>
      </c>
      <c r="I51" s="16" t="s">
        <v>39</v>
      </c>
      <c r="J51" s="16"/>
      <c r="K51" s="16">
        <v>499</v>
      </c>
      <c r="L51" s="16">
        <f t="shared" si="10"/>
        <v>-3</v>
      </c>
      <c r="M51" s="16"/>
      <c r="N51" s="16"/>
      <c r="O51" s="16">
        <v>349.50000000000028</v>
      </c>
      <c r="P51" s="16"/>
      <c r="Q51" s="16"/>
      <c r="R51" s="16">
        <v>94.045999999999822</v>
      </c>
      <c r="S51" s="16">
        <f t="shared" si="11"/>
        <v>99.2</v>
      </c>
      <c r="T51" s="4">
        <f>11.5*S51-R51-Q51-O51-F51</f>
        <v>236.25399999999991</v>
      </c>
      <c r="U51" s="16">
        <f t="shared" si="12"/>
        <v>11.5</v>
      </c>
      <c r="V51" s="16">
        <f t="shared" si="13"/>
        <v>9.1184072580645168</v>
      </c>
      <c r="W51" s="16">
        <v>100</v>
      </c>
      <c r="X51" s="16">
        <v>113.4</v>
      </c>
      <c r="Y51" s="16">
        <v>107.6</v>
      </c>
      <c r="Z51" s="16">
        <v>84.2</v>
      </c>
      <c r="AA51" s="16">
        <v>90.2</v>
      </c>
      <c r="AB51" s="16">
        <v>119.8</v>
      </c>
      <c r="AC51" s="16">
        <v>126</v>
      </c>
      <c r="AD51" s="16">
        <v>96.6</v>
      </c>
      <c r="AE51" s="16">
        <v>92.4</v>
      </c>
      <c r="AF51" s="16">
        <v>100.2</v>
      </c>
      <c r="AG51" s="16"/>
      <c r="AH51" s="16">
        <f t="shared" si="14"/>
        <v>106</v>
      </c>
      <c r="AI51" t="s">
        <v>135</v>
      </c>
      <c r="AJ51" s="20" t="str">
        <f t="shared" si="8"/>
        <v>матрица</v>
      </c>
    </row>
    <row r="52" spans="1:36" x14ac:dyDescent="0.25">
      <c r="A52" s="16" t="s">
        <v>136</v>
      </c>
      <c r="B52" s="16" t="s">
        <v>46</v>
      </c>
      <c r="C52" s="16">
        <v>108</v>
      </c>
      <c r="D52" s="16"/>
      <c r="E52" s="16">
        <v>31</v>
      </c>
      <c r="F52" s="16">
        <v>64</v>
      </c>
      <c r="G52" s="6">
        <v>0.4</v>
      </c>
      <c r="H52" s="16">
        <v>40</v>
      </c>
      <c r="I52" s="8" t="s">
        <v>39</v>
      </c>
      <c r="J52" s="16"/>
      <c r="K52" s="16">
        <v>45</v>
      </c>
      <c r="L52" s="16">
        <f t="shared" si="10"/>
        <v>-14</v>
      </c>
      <c r="M52" s="16"/>
      <c r="N52" s="16"/>
      <c r="O52" s="16">
        <v>0</v>
      </c>
      <c r="P52" s="16"/>
      <c r="Q52" s="16"/>
      <c r="R52" s="16">
        <v>15.19999999999999</v>
      </c>
      <c r="S52" s="16">
        <f t="shared" si="11"/>
        <v>6.2</v>
      </c>
      <c r="T52" s="4"/>
      <c r="U52" s="16">
        <f t="shared" si="12"/>
        <v>12.774193548387094</v>
      </c>
      <c r="V52" s="16">
        <f t="shared" si="13"/>
        <v>12.774193548387094</v>
      </c>
      <c r="W52" s="16">
        <v>9.1999999999999993</v>
      </c>
      <c r="X52" s="16">
        <v>9.1999999999999993</v>
      </c>
      <c r="Y52" s="16">
        <v>9.1999999999999993</v>
      </c>
      <c r="Z52" s="16">
        <v>7.2</v>
      </c>
      <c r="AA52" s="16">
        <v>1.2</v>
      </c>
      <c r="AB52" s="16">
        <v>-0.8</v>
      </c>
      <c r="AC52" s="16">
        <v>-0.2</v>
      </c>
      <c r="AD52" s="16">
        <v>-0.6</v>
      </c>
      <c r="AE52" s="16">
        <v>-1</v>
      </c>
      <c r="AF52" s="16">
        <v>3.2</v>
      </c>
      <c r="AG52" s="16"/>
      <c r="AH52" s="16">
        <f t="shared" si="14"/>
        <v>0</v>
      </c>
      <c r="AI52" t="s">
        <v>137</v>
      </c>
      <c r="AJ52" s="20" t="str">
        <f t="shared" si="8"/>
        <v>матрица</v>
      </c>
    </row>
    <row r="53" spans="1:36" x14ac:dyDescent="0.25">
      <c r="A53" s="16" t="s">
        <v>138</v>
      </c>
      <c r="B53" s="16" t="s">
        <v>46</v>
      </c>
      <c r="C53" s="16">
        <v>86</v>
      </c>
      <c r="D53" s="16">
        <v>107</v>
      </c>
      <c r="E53" s="16">
        <v>79</v>
      </c>
      <c r="F53" s="16">
        <v>46</v>
      </c>
      <c r="G53" s="6">
        <v>0.4</v>
      </c>
      <c r="H53" s="16">
        <v>40</v>
      </c>
      <c r="I53" s="8" t="s">
        <v>39</v>
      </c>
      <c r="J53" s="16"/>
      <c r="K53" s="16">
        <v>83</v>
      </c>
      <c r="L53" s="16">
        <f t="shared" si="10"/>
        <v>-4</v>
      </c>
      <c r="M53" s="16"/>
      <c r="N53" s="16"/>
      <c r="O53" s="16">
        <v>126.2</v>
      </c>
      <c r="P53" s="16"/>
      <c r="Q53" s="16"/>
      <c r="R53" s="16">
        <v>0</v>
      </c>
      <c r="S53" s="16">
        <f t="shared" si="11"/>
        <v>15.8</v>
      </c>
      <c r="T53" s="4">
        <f>12*S53-R53-Q53-O53-F53</f>
        <v>17.40000000000002</v>
      </c>
      <c r="U53" s="16">
        <f t="shared" si="12"/>
        <v>12.000000000000002</v>
      </c>
      <c r="V53" s="16">
        <f t="shared" si="13"/>
        <v>10.898734177215189</v>
      </c>
      <c r="W53" s="16">
        <v>17.399999999999999</v>
      </c>
      <c r="X53" s="16">
        <v>22.4</v>
      </c>
      <c r="Y53" s="16">
        <v>14.4</v>
      </c>
      <c r="Z53" s="16">
        <v>10.4</v>
      </c>
      <c r="AA53" s="16">
        <v>13</v>
      </c>
      <c r="AB53" s="16">
        <v>16.600000000000001</v>
      </c>
      <c r="AC53" s="16">
        <v>22.8</v>
      </c>
      <c r="AD53" s="16">
        <v>16.600000000000001</v>
      </c>
      <c r="AE53" s="16">
        <v>11.4</v>
      </c>
      <c r="AF53" s="16">
        <v>10.6</v>
      </c>
      <c r="AG53" s="16"/>
      <c r="AH53" s="16">
        <f t="shared" si="14"/>
        <v>7</v>
      </c>
      <c r="AI53" t="s">
        <v>139</v>
      </c>
      <c r="AJ53" s="20" t="str">
        <f t="shared" si="8"/>
        <v>матрица</v>
      </c>
    </row>
    <row r="54" spans="1:36" x14ac:dyDescent="0.25">
      <c r="A54" s="16" t="s">
        <v>140</v>
      </c>
      <c r="B54" s="16" t="s">
        <v>38</v>
      </c>
      <c r="C54" s="16">
        <v>900.15</v>
      </c>
      <c r="D54" s="16">
        <v>830.33299999999997</v>
      </c>
      <c r="E54" s="16">
        <v>618.928</v>
      </c>
      <c r="F54" s="16">
        <v>894.55100000000004</v>
      </c>
      <c r="G54" s="6">
        <v>1</v>
      </c>
      <c r="H54" s="16">
        <v>50</v>
      </c>
      <c r="I54" s="16" t="s">
        <v>39</v>
      </c>
      <c r="J54" s="16"/>
      <c r="K54" s="16">
        <v>604.9</v>
      </c>
      <c r="L54" s="16">
        <f t="shared" si="10"/>
        <v>14.02800000000002</v>
      </c>
      <c r="M54" s="16"/>
      <c r="N54" s="16"/>
      <c r="O54" s="16">
        <v>197.97759999999991</v>
      </c>
      <c r="P54" s="16"/>
      <c r="Q54" s="16"/>
      <c r="R54" s="16">
        <v>184.94293799999991</v>
      </c>
      <c r="S54" s="16">
        <f t="shared" si="11"/>
        <v>123.7856</v>
      </c>
      <c r="T54" s="4">
        <f t="shared" ref="T54:T59" si="15">11.5*S54-R54-Q54-O54-F54</f>
        <v>146.06286200000011</v>
      </c>
      <c r="U54" s="16">
        <f t="shared" si="12"/>
        <v>11.5</v>
      </c>
      <c r="V54" s="16">
        <f t="shared" si="13"/>
        <v>10.32003349339503</v>
      </c>
      <c r="W54" s="16">
        <v>130.64519999999999</v>
      </c>
      <c r="X54" s="16">
        <v>141.1628</v>
      </c>
      <c r="Y54" s="16">
        <v>146.07660000000001</v>
      </c>
      <c r="Z54" s="16">
        <v>118.6026</v>
      </c>
      <c r="AA54" s="16">
        <v>123.30800000000001</v>
      </c>
      <c r="AB54" s="16">
        <v>169.84139999999999</v>
      </c>
      <c r="AC54" s="16">
        <v>161.1634</v>
      </c>
      <c r="AD54" s="16">
        <v>109.1048</v>
      </c>
      <c r="AE54" s="16">
        <v>121.73820000000001</v>
      </c>
      <c r="AF54" s="16">
        <v>139.08959999999999</v>
      </c>
      <c r="AG54" s="16"/>
      <c r="AH54" s="16">
        <f t="shared" si="14"/>
        <v>146</v>
      </c>
      <c r="AI54" t="s">
        <v>141</v>
      </c>
      <c r="AJ54" s="20" t="str">
        <f t="shared" si="8"/>
        <v>матрица</v>
      </c>
    </row>
    <row r="55" spans="1:36" x14ac:dyDescent="0.25">
      <c r="A55" s="16" t="s">
        <v>142</v>
      </c>
      <c r="B55" s="16" t="s">
        <v>46</v>
      </c>
      <c r="C55" s="16">
        <v>581</v>
      </c>
      <c r="D55" s="16">
        <v>170</v>
      </c>
      <c r="E55" s="13">
        <f>242+E129</f>
        <v>339</v>
      </c>
      <c r="F55" s="13">
        <f>384+F129</f>
        <v>433</v>
      </c>
      <c r="G55" s="6">
        <v>0.1</v>
      </c>
      <c r="H55" s="16">
        <v>731</v>
      </c>
      <c r="I55" s="16" t="s">
        <v>39</v>
      </c>
      <c r="J55" s="16"/>
      <c r="K55" s="16">
        <v>242</v>
      </c>
      <c r="L55" s="16">
        <f t="shared" si="10"/>
        <v>97</v>
      </c>
      <c r="M55" s="16"/>
      <c r="N55" s="16"/>
      <c r="O55" s="16">
        <v>138.03399999999999</v>
      </c>
      <c r="P55" s="16"/>
      <c r="Q55" s="16"/>
      <c r="R55" s="16">
        <v>128.76599999999999</v>
      </c>
      <c r="S55" s="16">
        <f t="shared" si="11"/>
        <v>67.8</v>
      </c>
      <c r="T55" s="4">
        <f t="shared" si="15"/>
        <v>79.899999999999977</v>
      </c>
      <c r="U55" s="16">
        <f t="shared" si="12"/>
        <v>11.5</v>
      </c>
      <c r="V55" s="16">
        <f t="shared" si="13"/>
        <v>10.321533923303834</v>
      </c>
      <c r="W55" s="16">
        <v>70.8</v>
      </c>
      <c r="X55" s="16">
        <v>73.599999999999994</v>
      </c>
      <c r="Y55" s="16">
        <v>77.2</v>
      </c>
      <c r="Z55" s="16">
        <v>84.4</v>
      </c>
      <c r="AA55" s="16">
        <v>84.4</v>
      </c>
      <c r="AB55" s="16">
        <v>66.400000000000006</v>
      </c>
      <c r="AC55" s="16">
        <v>53.4</v>
      </c>
      <c r="AD55" s="16">
        <v>31.6</v>
      </c>
      <c r="AE55" s="16">
        <v>39.4</v>
      </c>
      <c r="AF55" s="16">
        <v>56.6</v>
      </c>
      <c r="AG55" s="16"/>
      <c r="AH55" s="16">
        <f t="shared" si="14"/>
        <v>8</v>
      </c>
      <c r="AI55" t="s">
        <v>143</v>
      </c>
      <c r="AJ55" s="20" t="str">
        <f t="shared" si="8"/>
        <v>матрица</v>
      </c>
    </row>
    <row r="56" spans="1:36" x14ac:dyDescent="0.25">
      <c r="A56" s="16" t="s">
        <v>144</v>
      </c>
      <c r="B56" s="16" t="s">
        <v>38</v>
      </c>
      <c r="C56" s="16">
        <v>1166.345</v>
      </c>
      <c r="D56" s="16">
        <v>1086.7460000000001</v>
      </c>
      <c r="E56" s="16">
        <v>914.10299999999995</v>
      </c>
      <c r="F56" s="16">
        <v>895.27800000000002</v>
      </c>
      <c r="G56" s="6">
        <v>1</v>
      </c>
      <c r="H56" s="16">
        <v>50</v>
      </c>
      <c r="I56" s="16" t="s">
        <v>39</v>
      </c>
      <c r="J56" s="16"/>
      <c r="K56" s="16">
        <v>910.33</v>
      </c>
      <c r="L56" s="16">
        <f t="shared" si="10"/>
        <v>3.7729999999999109</v>
      </c>
      <c r="M56" s="16"/>
      <c r="N56" s="16"/>
      <c r="O56" s="16">
        <v>421.37697549019998</v>
      </c>
      <c r="P56" s="16"/>
      <c r="Q56" s="16"/>
      <c r="R56" s="16">
        <v>307.34785539999979</v>
      </c>
      <c r="S56" s="16">
        <f t="shared" si="11"/>
        <v>182.82059999999998</v>
      </c>
      <c r="T56" s="4">
        <f t="shared" si="15"/>
        <v>478.43406910979979</v>
      </c>
      <c r="U56" s="16">
        <f t="shared" si="12"/>
        <v>11.5</v>
      </c>
      <c r="V56" s="16">
        <f t="shared" si="13"/>
        <v>8.8830407015959914</v>
      </c>
      <c r="W56" s="16">
        <v>186.57300000000001</v>
      </c>
      <c r="X56" s="16">
        <v>194.43940000000001</v>
      </c>
      <c r="Y56" s="16">
        <v>195.25960000000001</v>
      </c>
      <c r="Z56" s="16">
        <v>175.315</v>
      </c>
      <c r="AA56" s="16">
        <v>180.76220000000001</v>
      </c>
      <c r="AB56" s="16">
        <v>194.12440000000001</v>
      </c>
      <c r="AC56" s="16">
        <v>183.68260000000001</v>
      </c>
      <c r="AD56" s="16">
        <v>117.99379999999999</v>
      </c>
      <c r="AE56" s="16">
        <v>124.1302</v>
      </c>
      <c r="AF56" s="16">
        <v>163.53100000000001</v>
      </c>
      <c r="AG56" s="16"/>
      <c r="AH56" s="16">
        <f t="shared" si="14"/>
        <v>478</v>
      </c>
      <c r="AI56" t="s">
        <v>145</v>
      </c>
      <c r="AJ56" s="20" t="str">
        <f t="shared" si="8"/>
        <v>матрица</v>
      </c>
    </row>
    <row r="57" spans="1:36" x14ac:dyDescent="0.25">
      <c r="A57" s="16" t="s">
        <v>146</v>
      </c>
      <c r="B57" s="16" t="s">
        <v>38</v>
      </c>
      <c r="C57" s="16">
        <v>97.081000000000003</v>
      </c>
      <c r="D57" s="16">
        <v>146.11099999999999</v>
      </c>
      <c r="E57" s="16">
        <v>68.123999999999995</v>
      </c>
      <c r="F57" s="16">
        <v>148</v>
      </c>
      <c r="G57" s="6">
        <v>1</v>
      </c>
      <c r="H57" s="16">
        <v>55</v>
      </c>
      <c r="I57" s="16" t="s">
        <v>39</v>
      </c>
      <c r="J57" s="16"/>
      <c r="K57" s="16">
        <v>65.8</v>
      </c>
      <c r="L57" s="16">
        <f t="shared" si="10"/>
        <v>2.3239999999999981</v>
      </c>
      <c r="M57" s="16"/>
      <c r="N57" s="16"/>
      <c r="O57" s="16">
        <v>0</v>
      </c>
      <c r="P57" s="16"/>
      <c r="Q57" s="16"/>
      <c r="R57" s="16">
        <v>0</v>
      </c>
      <c r="S57" s="16">
        <f t="shared" si="11"/>
        <v>13.624799999999999</v>
      </c>
      <c r="T57" s="4">
        <f t="shared" si="15"/>
        <v>8.6851999999999805</v>
      </c>
      <c r="U57" s="16">
        <f t="shared" si="12"/>
        <v>11.5</v>
      </c>
      <c r="V57" s="16">
        <f t="shared" si="13"/>
        <v>10.862544771299396</v>
      </c>
      <c r="W57" s="16">
        <v>14.4322</v>
      </c>
      <c r="X57" s="16">
        <v>14.9146</v>
      </c>
      <c r="Y57" s="16">
        <v>20.043399999999998</v>
      </c>
      <c r="Z57" s="16">
        <v>21.0244</v>
      </c>
      <c r="AA57" s="16">
        <v>18.474</v>
      </c>
      <c r="AB57" s="16">
        <v>16.654399999999999</v>
      </c>
      <c r="AC57" s="16">
        <v>12.705399999999999</v>
      </c>
      <c r="AD57" s="16">
        <v>10.586</v>
      </c>
      <c r="AE57" s="16">
        <v>11.1212</v>
      </c>
      <c r="AF57" s="16">
        <v>21.421600000000002</v>
      </c>
      <c r="AG57" s="16"/>
      <c r="AH57" s="16">
        <f t="shared" si="14"/>
        <v>9</v>
      </c>
      <c r="AI57" t="s">
        <v>147</v>
      </c>
      <c r="AJ57" s="20" t="str">
        <f t="shared" si="8"/>
        <v>матрица</v>
      </c>
    </row>
    <row r="58" spans="1:36" x14ac:dyDescent="0.25">
      <c r="A58" s="16" t="s">
        <v>148</v>
      </c>
      <c r="B58" s="16" t="s">
        <v>46</v>
      </c>
      <c r="C58" s="16">
        <v>439</v>
      </c>
      <c r="D58" s="16">
        <v>85</v>
      </c>
      <c r="E58" s="16">
        <v>201</v>
      </c>
      <c r="F58" s="16">
        <v>273</v>
      </c>
      <c r="G58" s="6">
        <v>0.1</v>
      </c>
      <c r="H58" s="16">
        <v>731</v>
      </c>
      <c r="I58" s="16" t="s">
        <v>39</v>
      </c>
      <c r="J58" s="16"/>
      <c r="K58" s="16">
        <v>200</v>
      </c>
      <c r="L58" s="16">
        <f t="shared" si="10"/>
        <v>1</v>
      </c>
      <c r="M58" s="16"/>
      <c r="N58" s="16"/>
      <c r="O58" s="16">
        <v>0</v>
      </c>
      <c r="P58" s="16"/>
      <c r="Q58" s="16"/>
      <c r="R58" s="16">
        <v>71.600000000000023</v>
      </c>
      <c r="S58" s="16">
        <f t="shared" si="11"/>
        <v>40.200000000000003</v>
      </c>
      <c r="T58" s="4">
        <f t="shared" si="15"/>
        <v>117.69999999999999</v>
      </c>
      <c r="U58" s="16">
        <f t="shared" si="12"/>
        <v>11.5</v>
      </c>
      <c r="V58" s="16">
        <f t="shared" si="13"/>
        <v>8.5721393034825866</v>
      </c>
      <c r="W58" s="16">
        <v>36.6</v>
      </c>
      <c r="X58" s="16">
        <v>38</v>
      </c>
      <c r="Y58" s="16">
        <v>36.6</v>
      </c>
      <c r="Z58" s="16">
        <v>45.8</v>
      </c>
      <c r="AA58" s="16">
        <v>49.2</v>
      </c>
      <c r="AB58" s="16">
        <v>39.4</v>
      </c>
      <c r="AC58" s="16">
        <v>37.4</v>
      </c>
      <c r="AD58" s="16">
        <v>34.200000000000003</v>
      </c>
      <c r="AE58" s="16">
        <v>34.799999999999997</v>
      </c>
      <c r="AF58" s="16">
        <v>41.6</v>
      </c>
      <c r="AG58" s="16"/>
      <c r="AH58" s="16">
        <f t="shared" si="14"/>
        <v>12</v>
      </c>
      <c r="AI58" t="s">
        <v>149</v>
      </c>
      <c r="AJ58" s="20" t="str">
        <f t="shared" si="8"/>
        <v>матрица</v>
      </c>
    </row>
    <row r="59" spans="1:36" x14ac:dyDescent="0.25">
      <c r="A59" s="16" t="s">
        <v>150</v>
      </c>
      <c r="B59" s="16" t="s">
        <v>46</v>
      </c>
      <c r="C59" s="16">
        <v>268</v>
      </c>
      <c r="D59" s="16">
        <v>255</v>
      </c>
      <c r="E59" s="16">
        <v>235</v>
      </c>
      <c r="F59" s="16">
        <v>35</v>
      </c>
      <c r="G59" s="6">
        <v>0.4</v>
      </c>
      <c r="H59" s="16">
        <v>50</v>
      </c>
      <c r="I59" s="16" t="s">
        <v>39</v>
      </c>
      <c r="J59" s="16"/>
      <c r="K59" s="16">
        <v>252</v>
      </c>
      <c r="L59" s="16">
        <f t="shared" si="10"/>
        <v>-17</v>
      </c>
      <c r="M59" s="16"/>
      <c r="N59" s="16"/>
      <c r="O59" s="16">
        <v>125.4</v>
      </c>
      <c r="P59" s="16"/>
      <c r="Q59" s="16"/>
      <c r="R59" s="16">
        <v>308.21800000000002</v>
      </c>
      <c r="S59" s="16">
        <f t="shared" si="11"/>
        <v>47</v>
      </c>
      <c r="T59" s="4">
        <f t="shared" si="15"/>
        <v>71.881999999999977</v>
      </c>
      <c r="U59" s="16">
        <f t="shared" si="12"/>
        <v>11.5</v>
      </c>
      <c r="V59" s="16">
        <f t="shared" si="13"/>
        <v>9.9705957446808515</v>
      </c>
      <c r="W59" s="16">
        <v>52.6</v>
      </c>
      <c r="X59" s="16">
        <v>40</v>
      </c>
      <c r="Y59" s="16">
        <v>40.6</v>
      </c>
      <c r="Z59" s="16">
        <v>41.6</v>
      </c>
      <c r="AA59" s="16">
        <v>40.799999999999997</v>
      </c>
      <c r="AB59" s="16">
        <v>54.8</v>
      </c>
      <c r="AC59" s="16">
        <v>47.4</v>
      </c>
      <c r="AD59" s="16">
        <v>43</v>
      </c>
      <c r="AE59" s="16">
        <v>63</v>
      </c>
      <c r="AF59" s="16">
        <v>63.2</v>
      </c>
      <c r="AG59" s="16"/>
      <c r="AH59" s="16">
        <f t="shared" si="14"/>
        <v>29</v>
      </c>
      <c r="AI59" t="s">
        <v>151</v>
      </c>
      <c r="AJ59" s="20" t="str">
        <f t="shared" si="8"/>
        <v>матрица</v>
      </c>
    </row>
    <row r="60" spans="1:36" x14ac:dyDescent="0.25">
      <c r="A60" s="16" t="s">
        <v>152</v>
      </c>
      <c r="B60" s="16" t="s">
        <v>38</v>
      </c>
      <c r="C60" s="16">
        <v>614.85900000000004</v>
      </c>
      <c r="D60" s="16">
        <v>530.80600000000004</v>
      </c>
      <c r="E60" s="16">
        <v>460.86700000000002</v>
      </c>
      <c r="F60" s="16">
        <v>502.233</v>
      </c>
      <c r="G60" s="6">
        <v>1</v>
      </c>
      <c r="H60" s="16">
        <v>40</v>
      </c>
      <c r="I60" s="8" t="s">
        <v>56</v>
      </c>
      <c r="J60" s="16"/>
      <c r="K60" s="16">
        <v>491.2</v>
      </c>
      <c r="L60" s="16">
        <f t="shared" si="10"/>
        <v>-30.33299999999997</v>
      </c>
      <c r="M60" s="16"/>
      <c r="N60" s="16"/>
      <c r="O60" s="16">
        <v>254.8826</v>
      </c>
      <c r="P60" s="16"/>
      <c r="Q60" s="16"/>
      <c r="R60" s="16">
        <v>179.75691999999989</v>
      </c>
      <c r="S60" s="16">
        <f t="shared" si="11"/>
        <v>92.173400000000001</v>
      </c>
      <c r="T60" s="4">
        <f>12*S60-R60-Q60-O60-F60</f>
        <v>169.20828</v>
      </c>
      <c r="U60" s="16">
        <f t="shared" si="12"/>
        <v>12</v>
      </c>
      <c r="V60" s="16">
        <f t="shared" si="13"/>
        <v>10.164239574541027</v>
      </c>
      <c r="W60" s="16">
        <v>104.8788</v>
      </c>
      <c r="X60" s="16">
        <v>105.1588</v>
      </c>
      <c r="Y60" s="16">
        <v>95.004600000000011</v>
      </c>
      <c r="Z60" s="16">
        <v>56.900799999999997</v>
      </c>
      <c r="AA60" s="16">
        <v>72.902999999999992</v>
      </c>
      <c r="AB60" s="16">
        <v>117.24079999999999</v>
      </c>
      <c r="AC60" s="16">
        <v>108.114</v>
      </c>
      <c r="AD60" s="16">
        <v>73.970799999999997</v>
      </c>
      <c r="AE60" s="16">
        <v>112.611</v>
      </c>
      <c r="AF60" s="16">
        <v>79.74199999999999</v>
      </c>
      <c r="AG60" s="16"/>
      <c r="AH60" s="16">
        <f t="shared" si="14"/>
        <v>169</v>
      </c>
      <c r="AI60" t="s">
        <v>153</v>
      </c>
      <c r="AJ60" s="20" t="str">
        <f t="shared" si="8"/>
        <v>НЕДОГРУЗ / матрица</v>
      </c>
    </row>
    <row r="61" spans="1:36" x14ac:dyDescent="0.25">
      <c r="A61" s="16" t="s">
        <v>154</v>
      </c>
      <c r="B61" s="16" t="s">
        <v>38</v>
      </c>
      <c r="C61" s="16">
        <v>-1.4930000000000001</v>
      </c>
      <c r="D61" s="16">
        <v>910.14400000000001</v>
      </c>
      <c r="E61" s="16">
        <v>302.70100000000002</v>
      </c>
      <c r="F61" s="16">
        <v>385.50599999999997</v>
      </c>
      <c r="G61" s="6">
        <v>1</v>
      </c>
      <c r="H61" s="16">
        <v>40</v>
      </c>
      <c r="I61" s="8" t="s">
        <v>39</v>
      </c>
      <c r="J61" s="16"/>
      <c r="K61" s="16">
        <v>335</v>
      </c>
      <c r="L61" s="16">
        <f t="shared" si="10"/>
        <v>-32.298999999999978</v>
      </c>
      <c r="M61" s="16"/>
      <c r="N61" s="16"/>
      <c r="O61" s="16">
        <v>19.081173499999679</v>
      </c>
      <c r="P61" s="16"/>
      <c r="Q61" s="16"/>
      <c r="R61" s="16">
        <v>0</v>
      </c>
      <c r="S61" s="16">
        <f t="shared" si="11"/>
        <v>60.540200000000006</v>
      </c>
      <c r="T61" s="4">
        <f>12*S61-R61-Q61-O61-F61</f>
        <v>321.89522650000049</v>
      </c>
      <c r="U61" s="16">
        <f t="shared" si="12"/>
        <v>12</v>
      </c>
      <c r="V61" s="16">
        <f t="shared" si="13"/>
        <v>6.682950725303181</v>
      </c>
      <c r="W61" s="16">
        <v>16.110199999999999</v>
      </c>
      <c r="X61" s="16">
        <v>63.010399999999997</v>
      </c>
      <c r="Y61" s="16">
        <v>100.036</v>
      </c>
      <c r="Z61" s="16">
        <v>103.18680000000001</v>
      </c>
      <c r="AA61" s="16">
        <v>88.636200000000002</v>
      </c>
      <c r="AB61" s="16">
        <v>68.945799999999991</v>
      </c>
      <c r="AC61" s="16">
        <v>82.884799999999998</v>
      </c>
      <c r="AD61" s="16">
        <v>66.700599999999994</v>
      </c>
      <c r="AE61" s="16">
        <v>23.886800000000001</v>
      </c>
      <c r="AF61" s="16">
        <v>23.633800000000001</v>
      </c>
      <c r="AG61" s="16" t="s">
        <v>75</v>
      </c>
      <c r="AH61" s="16">
        <f t="shared" si="14"/>
        <v>322</v>
      </c>
      <c r="AI61" t="s">
        <v>155</v>
      </c>
      <c r="AJ61" s="20" t="str">
        <f t="shared" si="8"/>
        <v>матрица</v>
      </c>
    </row>
    <row r="62" spans="1:36" x14ac:dyDescent="0.25">
      <c r="A62" s="16" t="s">
        <v>156</v>
      </c>
      <c r="B62" s="16" t="s">
        <v>46</v>
      </c>
      <c r="C62" s="16">
        <v>1558</v>
      </c>
      <c r="D62" s="16">
        <v>462</v>
      </c>
      <c r="E62" s="16">
        <v>922</v>
      </c>
      <c r="F62" s="16">
        <v>791</v>
      </c>
      <c r="G62" s="6">
        <v>0.4</v>
      </c>
      <c r="H62" s="16">
        <v>40</v>
      </c>
      <c r="I62" s="8" t="s">
        <v>39</v>
      </c>
      <c r="J62" s="16"/>
      <c r="K62" s="16">
        <v>935</v>
      </c>
      <c r="L62" s="16">
        <f t="shared" si="10"/>
        <v>-13</v>
      </c>
      <c r="M62" s="16"/>
      <c r="N62" s="16"/>
      <c r="O62" s="16">
        <v>494.69999999999982</v>
      </c>
      <c r="P62" s="16"/>
      <c r="Q62" s="16"/>
      <c r="R62" s="16">
        <v>240.45</v>
      </c>
      <c r="S62" s="16">
        <f t="shared" si="11"/>
        <v>184.4</v>
      </c>
      <c r="T62" s="4">
        <f>12*S62-R62-Q62-O62-F62</f>
        <v>686.65000000000032</v>
      </c>
      <c r="U62" s="16">
        <f t="shared" si="12"/>
        <v>12</v>
      </c>
      <c r="V62" s="16">
        <f t="shared" si="13"/>
        <v>8.2763015184381761</v>
      </c>
      <c r="W62" s="16">
        <v>182.6</v>
      </c>
      <c r="X62" s="16">
        <v>193.4</v>
      </c>
      <c r="Y62" s="16">
        <v>188.4</v>
      </c>
      <c r="Z62" s="16">
        <v>196.8</v>
      </c>
      <c r="AA62" s="16">
        <v>233</v>
      </c>
      <c r="AB62" s="16">
        <v>274.2</v>
      </c>
      <c r="AC62" s="16">
        <v>247.6</v>
      </c>
      <c r="AD62" s="16">
        <v>193.2</v>
      </c>
      <c r="AE62" s="16">
        <v>198.8</v>
      </c>
      <c r="AF62" s="16">
        <v>196.6</v>
      </c>
      <c r="AG62" s="16"/>
      <c r="AH62" s="16">
        <f t="shared" si="14"/>
        <v>275</v>
      </c>
      <c r="AI62" t="s">
        <v>157</v>
      </c>
      <c r="AJ62" s="20" t="str">
        <f t="shared" si="8"/>
        <v>матрица</v>
      </c>
    </row>
    <row r="63" spans="1:36" x14ac:dyDescent="0.25">
      <c r="A63" s="16" t="s">
        <v>158</v>
      </c>
      <c r="B63" s="16" t="s">
        <v>46</v>
      </c>
      <c r="C63" s="16">
        <v>1100</v>
      </c>
      <c r="D63" s="16">
        <v>132</v>
      </c>
      <c r="E63" s="16">
        <v>637</v>
      </c>
      <c r="F63" s="16">
        <v>351</v>
      </c>
      <c r="G63" s="6">
        <v>0.4</v>
      </c>
      <c r="H63" s="16">
        <v>40</v>
      </c>
      <c r="I63" s="16" t="s">
        <v>56</v>
      </c>
      <c r="J63" s="16"/>
      <c r="K63" s="16">
        <v>646</v>
      </c>
      <c r="L63" s="16">
        <f t="shared" si="10"/>
        <v>-9</v>
      </c>
      <c r="M63" s="16"/>
      <c r="N63" s="16"/>
      <c r="O63" s="16">
        <v>251.7</v>
      </c>
      <c r="P63" s="16"/>
      <c r="Q63" s="16"/>
      <c r="R63" s="16">
        <v>477.30999999999977</v>
      </c>
      <c r="S63" s="16">
        <f t="shared" si="11"/>
        <v>127.4</v>
      </c>
      <c r="T63" s="4">
        <f>11.5*S63-R63-Q63-O63-F63</f>
        <v>385.09000000000037</v>
      </c>
      <c r="U63" s="16">
        <f t="shared" si="12"/>
        <v>11.5</v>
      </c>
      <c r="V63" s="16">
        <f t="shared" si="13"/>
        <v>8.4773155416012536</v>
      </c>
      <c r="W63" s="16">
        <v>128.6</v>
      </c>
      <c r="X63" s="16">
        <v>101.8</v>
      </c>
      <c r="Y63" s="16">
        <v>61.8</v>
      </c>
      <c r="Z63" s="16">
        <v>99.6</v>
      </c>
      <c r="AA63" s="16">
        <v>148.4</v>
      </c>
      <c r="AB63" s="16">
        <v>73.599999999999994</v>
      </c>
      <c r="AC63" s="16">
        <v>47.8</v>
      </c>
      <c r="AD63" s="16">
        <v>89.4</v>
      </c>
      <c r="AE63" s="16">
        <v>82</v>
      </c>
      <c r="AF63" s="16">
        <v>41.4</v>
      </c>
      <c r="AG63" s="16"/>
      <c r="AH63" s="16">
        <f t="shared" si="14"/>
        <v>154</v>
      </c>
      <c r="AI63" t="s">
        <v>159</v>
      </c>
      <c r="AJ63" s="20" t="str">
        <f t="shared" si="8"/>
        <v>НЕДОГРУЗ / матрица</v>
      </c>
    </row>
    <row r="64" spans="1:36" x14ac:dyDescent="0.25">
      <c r="A64" s="16" t="s">
        <v>160</v>
      </c>
      <c r="B64" s="16" t="s">
        <v>38</v>
      </c>
      <c r="C64" s="16">
        <v>180.06800000000001</v>
      </c>
      <c r="D64" s="16">
        <v>453.24099999999999</v>
      </c>
      <c r="E64" s="16">
        <v>484.262</v>
      </c>
      <c r="F64" s="16">
        <v>1.5820000000000001</v>
      </c>
      <c r="G64" s="6">
        <v>1</v>
      </c>
      <c r="H64" s="16">
        <v>40</v>
      </c>
      <c r="I64" s="8" t="s">
        <v>56</v>
      </c>
      <c r="J64" s="16"/>
      <c r="K64" s="16">
        <v>483.17500000000001</v>
      </c>
      <c r="L64" s="16">
        <f t="shared" si="10"/>
        <v>1.0869999999999891</v>
      </c>
      <c r="M64" s="16"/>
      <c r="N64" s="16"/>
      <c r="O64" s="16">
        <v>0</v>
      </c>
      <c r="P64" s="16"/>
      <c r="Q64" s="16"/>
      <c r="R64" s="16">
        <v>350</v>
      </c>
      <c r="S64" s="16">
        <f t="shared" si="11"/>
        <v>96.852400000000003</v>
      </c>
      <c r="T64" s="4">
        <v>550</v>
      </c>
      <c r="U64" s="16">
        <f t="shared" si="12"/>
        <v>9.3088245619107006</v>
      </c>
      <c r="V64" s="16">
        <f t="shared" si="13"/>
        <v>3.6300804110171763</v>
      </c>
      <c r="W64" s="16">
        <v>77.294000000000011</v>
      </c>
      <c r="X64" s="16">
        <v>25.259599999999999</v>
      </c>
      <c r="Y64" s="16">
        <v>18.2072</v>
      </c>
      <c r="Z64" s="16">
        <v>61.124800000000008</v>
      </c>
      <c r="AA64" s="16">
        <v>70.778999999999996</v>
      </c>
      <c r="AB64" s="16">
        <v>27.305800000000001</v>
      </c>
      <c r="AC64" s="16">
        <v>-1.0952</v>
      </c>
      <c r="AD64" s="16">
        <v>-0.55000000000000004</v>
      </c>
      <c r="AE64" s="16">
        <v>24.584800000000001</v>
      </c>
      <c r="AF64" s="16">
        <v>65.170600000000007</v>
      </c>
      <c r="AG64" s="16"/>
      <c r="AH64" s="16">
        <f t="shared" si="14"/>
        <v>550</v>
      </c>
      <c r="AI64" t="s">
        <v>161</v>
      </c>
      <c r="AJ64" s="20" t="str">
        <f t="shared" si="8"/>
        <v>НЕДОГРУЗ / матрица</v>
      </c>
    </row>
    <row r="65" spans="1:36" x14ac:dyDescent="0.25">
      <c r="A65" s="16" t="s">
        <v>162</v>
      </c>
      <c r="B65" s="16" t="s">
        <v>38</v>
      </c>
      <c r="C65" s="16">
        <v>11.618</v>
      </c>
      <c r="D65" s="16">
        <v>0.16600000000000001</v>
      </c>
      <c r="E65" s="16">
        <v>11.784000000000001</v>
      </c>
      <c r="F65" s="16"/>
      <c r="G65" s="6">
        <v>1</v>
      </c>
      <c r="H65" s="16">
        <v>40</v>
      </c>
      <c r="I65" s="8" t="s">
        <v>56</v>
      </c>
      <c r="J65" s="16"/>
      <c r="K65" s="16">
        <v>50.575000000000003</v>
      </c>
      <c r="L65" s="16">
        <f t="shared" si="10"/>
        <v>-38.791000000000004</v>
      </c>
      <c r="M65" s="16"/>
      <c r="N65" s="16"/>
      <c r="O65" s="16">
        <v>200</v>
      </c>
      <c r="P65" s="16"/>
      <c r="Q65" s="16"/>
      <c r="R65" s="16">
        <v>23.038199999999989</v>
      </c>
      <c r="S65" s="16">
        <f t="shared" si="11"/>
        <v>2.3568000000000002</v>
      </c>
      <c r="T65" s="4"/>
      <c r="U65" s="16">
        <f t="shared" si="12"/>
        <v>94.636031907671409</v>
      </c>
      <c r="V65" s="16">
        <f t="shared" si="13"/>
        <v>94.636031907671409</v>
      </c>
      <c r="W65" s="16">
        <v>20.276199999999999</v>
      </c>
      <c r="X65" s="16">
        <v>17.383400000000002</v>
      </c>
      <c r="Y65" s="16">
        <v>-0.53600000000000003</v>
      </c>
      <c r="Z65" s="16">
        <v>1.5669999999999999</v>
      </c>
      <c r="AA65" s="16">
        <v>1.5669999999999999</v>
      </c>
      <c r="AB65" s="16">
        <v>-0.7268</v>
      </c>
      <c r="AC65" s="16">
        <v>-0.90999999999999992</v>
      </c>
      <c r="AD65" s="16">
        <v>-0.45700000000000002</v>
      </c>
      <c r="AE65" s="16">
        <v>2.2844000000000002</v>
      </c>
      <c r="AF65" s="16">
        <v>72.720799999999997</v>
      </c>
      <c r="AG65" s="16"/>
      <c r="AH65" s="16">
        <f t="shared" si="14"/>
        <v>0</v>
      </c>
      <c r="AI65" t="s">
        <v>163</v>
      </c>
      <c r="AJ65" s="20" t="str">
        <f t="shared" si="8"/>
        <v>НЕДОГРУЗ / матрица</v>
      </c>
    </row>
    <row r="66" spans="1:36" x14ac:dyDescent="0.25">
      <c r="A66" s="16" t="s">
        <v>164</v>
      </c>
      <c r="B66" s="16" t="s">
        <v>38</v>
      </c>
      <c r="C66" s="16">
        <v>-1.042</v>
      </c>
      <c r="D66" s="16">
        <v>1.042</v>
      </c>
      <c r="E66" s="16">
        <v>-0.90600000000000003</v>
      </c>
      <c r="F66" s="16"/>
      <c r="G66" s="6">
        <v>1</v>
      </c>
      <c r="H66" s="16">
        <v>40</v>
      </c>
      <c r="I66" s="8" t="s">
        <v>56</v>
      </c>
      <c r="J66" s="16"/>
      <c r="K66" s="16">
        <v>160.6</v>
      </c>
      <c r="L66" s="16">
        <f t="shared" si="10"/>
        <v>-161.506</v>
      </c>
      <c r="M66" s="16"/>
      <c r="N66" s="16"/>
      <c r="O66" s="16">
        <v>0</v>
      </c>
      <c r="P66" s="16"/>
      <c r="Q66" s="16"/>
      <c r="R66" s="16">
        <v>105</v>
      </c>
      <c r="S66" s="16">
        <f t="shared" si="11"/>
        <v>-0.1812</v>
      </c>
      <c r="T66" s="4">
        <v>100</v>
      </c>
      <c r="U66" s="16">
        <f t="shared" si="12"/>
        <v>-1131.346578366446</v>
      </c>
      <c r="V66" s="16">
        <f t="shared" si="13"/>
        <v>-579.4701986754967</v>
      </c>
      <c r="W66" s="16">
        <v>-0.36499999999999999</v>
      </c>
      <c r="X66" s="16">
        <v>59.523000000000003</v>
      </c>
      <c r="Y66" s="16">
        <v>61.708000000000013</v>
      </c>
      <c r="Z66" s="16">
        <v>37.239999999999988</v>
      </c>
      <c r="AA66" s="16">
        <v>34.334000000000003</v>
      </c>
      <c r="AB66" s="16">
        <v>-2.6212</v>
      </c>
      <c r="AC66" s="16">
        <v>-3.4367999999999999</v>
      </c>
      <c r="AD66" s="16">
        <v>-2.5032000000000001</v>
      </c>
      <c r="AE66" s="16">
        <v>28.1082</v>
      </c>
      <c r="AF66" s="16">
        <v>131.87299999999999</v>
      </c>
      <c r="AG66" s="16"/>
      <c r="AH66" s="16">
        <f t="shared" si="14"/>
        <v>100</v>
      </c>
      <c r="AI66" t="s">
        <v>165</v>
      </c>
      <c r="AJ66" s="20" t="str">
        <f t="shared" si="8"/>
        <v>НЕДОГРУЗ / матрица</v>
      </c>
    </row>
    <row r="67" spans="1:36" x14ac:dyDescent="0.25">
      <c r="A67" s="16" t="s">
        <v>166</v>
      </c>
      <c r="B67" s="16" t="s">
        <v>38</v>
      </c>
      <c r="C67" s="16">
        <v>-10.111000000000001</v>
      </c>
      <c r="D67" s="16">
        <v>81.694999999999993</v>
      </c>
      <c r="E67" s="16">
        <v>-0.91200000000000003</v>
      </c>
      <c r="F67" s="16">
        <v>54.509</v>
      </c>
      <c r="G67" s="6">
        <v>1</v>
      </c>
      <c r="H67" s="16">
        <v>40</v>
      </c>
      <c r="I67" s="8" t="s">
        <v>56</v>
      </c>
      <c r="J67" s="16"/>
      <c r="K67" s="16">
        <v>5.6</v>
      </c>
      <c r="L67" s="16">
        <f t="shared" si="10"/>
        <v>-6.5119999999999996</v>
      </c>
      <c r="M67" s="16"/>
      <c r="N67" s="16"/>
      <c r="O67" s="16">
        <v>0</v>
      </c>
      <c r="P67" s="16"/>
      <c r="Q67" s="16"/>
      <c r="R67" s="16">
        <v>50</v>
      </c>
      <c r="S67" s="16">
        <f t="shared" si="11"/>
        <v>-0.18240000000000001</v>
      </c>
      <c r="T67" s="4">
        <v>30</v>
      </c>
      <c r="U67" s="16">
        <f t="shared" si="12"/>
        <v>-737.43969298245622</v>
      </c>
      <c r="V67" s="16">
        <f t="shared" si="13"/>
        <v>-572.96600877192975</v>
      </c>
      <c r="W67" s="16">
        <v>-0.54620000000000002</v>
      </c>
      <c r="X67" s="16">
        <v>-0.90079999999999993</v>
      </c>
      <c r="Y67" s="16">
        <v>-0.53520000000000001</v>
      </c>
      <c r="Z67" s="16">
        <v>16.866399999999999</v>
      </c>
      <c r="AA67" s="16">
        <v>33.512999999999998</v>
      </c>
      <c r="AB67" s="16">
        <v>40.464799999999997</v>
      </c>
      <c r="AC67" s="16">
        <v>40.846600000000002</v>
      </c>
      <c r="AD67" s="16">
        <v>16.485800000000001</v>
      </c>
      <c r="AE67" s="16">
        <v>10.116400000000001</v>
      </c>
      <c r="AF67" s="16">
        <v>52.983400000000003</v>
      </c>
      <c r="AG67" s="16"/>
      <c r="AH67" s="16">
        <f t="shared" si="14"/>
        <v>30</v>
      </c>
      <c r="AI67" t="s">
        <v>167</v>
      </c>
      <c r="AJ67" s="20" t="str">
        <f t="shared" si="8"/>
        <v>НЕДОГРУЗ / матрица</v>
      </c>
    </row>
    <row r="68" spans="1:36" x14ac:dyDescent="0.25">
      <c r="A68" s="16" t="s">
        <v>168</v>
      </c>
      <c r="B68" s="16" t="s">
        <v>46</v>
      </c>
      <c r="C68" s="16">
        <v>14</v>
      </c>
      <c r="D68" s="16">
        <v>3</v>
      </c>
      <c r="E68" s="16">
        <v>7</v>
      </c>
      <c r="F68" s="16">
        <v>7</v>
      </c>
      <c r="G68" s="6">
        <v>0.6</v>
      </c>
      <c r="H68" s="16">
        <v>70</v>
      </c>
      <c r="I68" s="16" t="s">
        <v>39</v>
      </c>
      <c r="J68" s="16"/>
      <c r="K68" s="16">
        <v>7</v>
      </c>
      <c r="L68" s="16">
        <f t="shared" si="10"/>
        <v>0</v>
      </c>
      <c r="M68" s="16"/>
      <c r="N68" s="16"/>
      <c r="O68" s="16">
        <v>8</v>
      </c>
      <c r="P68" s="16"/>
      <c r="Q68" s="16"/>
      <c r="R68" s="16">
        <v>0</v>
      </c>
      <c r="S68" s="16">
        <f t="shared" si="11"/>
        <v>1.4</v>
      </c>
      <c r="T68" s="4"/>
      <c r="U68" s="16">
        <f t="shared" si="12"/>
        <v>10.714285714285715</v>
      </c>
      <c r="V68" s="16">
        <f t="shared" si="13"/>
        <v>10.714285714285715</v>
      </c>
      <c r="W68" s="16">
        <v>1.2</v>
      </c>
      <c r="X68" s="16">
        <v>1.6</v>
      </c>
      <c r="Y68" s="16">
        <v>0.6</v>
      </c>
      <c r="Z68" s="16">
        <v>1.2</v>
      </c>
      <c r="AA68" s="16">
        <v>1.2</v>
      </c>
      <c r="AB68" s="16">
        <v>0</v>
      </c>
      <c r="AC68" s="16">
        <v>1.2</v>
      </c>
      <c r="AD68" s="16">
        <v>1.2</v>
      </c>
      <c r="AE68" s="16">
        <v>1.4</v>
      </c>
      <c r="AF68" s="16">
        <v>2.4</v>
      </c>
      <c r="AG68" s="16"/>
      <c r="AH68" s="16">
        <f t="shared" si="14"/>
        <v>0</v>
      </c>
      <c r="AI68" t="s">
        <v>169</v>
      </c>
      <c r="AJ68" s="20" t="str">
        <f t="shared" si="8"/>
        <v>матрица</v>
      </c>
    </row>
    <row r="69" spans="1:36" x14ac:dyDescent="0.25">
      <c r="A69" s="16" t="s">
        <v>170</v>
      </c>
      <c r="B69" s="16" t="s">
        <v>38</v>
      </c>
      <c r="C69" s="16">
        <v>208.71</v>
      </c>
      <c r="D69" s="16">
        <v>239.083</v>
      </c>
      <c r="E69" s="16">
        <v>173.73</v>
      </c>
      <c r="F69" s="16">
        <v>173.983</v>
      </c>
      <c r="G69" s="6">
        <v>1</v>
      </c>
      <c r="H69" s="16">
        <v>30</v>
      </c>
      <c r="I69" s="8" t="s">
        <v>39</v>
      </c>
      <c r="J69" s="16"/>
      <c r="K69" s="16">
        <v>198</v>
      </c>
      <c r="L69" s="16">
        <f t="shared" si="10"/>
        <v>-24.27000000000001</v>
      </c>
      <c r="M69" s="16"/>
      <c r="N69" s="16"/>
      <c r="O69" s="16">
        <v>87.107199999999978</v>
      </c>
      <c r="P69" s="16"/>
      <c r="Q69" s="16"/>
      <c r="R69" s="16">
        <v>70</v>
      </c>
      <c r="S69" s="16">
        <f t="shared" si="11"/>
        <v>34.745999999999995</v>
      </c>
      <c r="T69" s="4">
        <f>12*S69-R69-Q69-O69-F69</f>
        <v>85.86179999999996</v>
      </c>
      <c r="U69" s="16">
        <f t="shared" si="12"/>
        <v>12</v>
      </c>
      <c r="V69" s="16">
        <f t="shared" si="13"/>
        <v>9.5288723881885691</v>
      </c>
      <c r="W69" s="16">
        <v>35.825400000000002</v>
      </c>
      <c r="X69" s="16">
        <v>37.188800000000001</v>
      </c>
      <c r="Y69" s="16">
        <v>38.170999999999999</v>
      </c>
      <c r="Z69" s="16">
        <v>39.023200000000003</v>
      </c>
      <c r="AA69" s="16">
        <v>41.531599999999997</v>
      </c>
      <c r="AB69" s="16">
        <v>38.9026</v>
      </c>
      <c r="AC69" s="16">
        <v>42.365200000000002</v>
      </c>
      <c r="AD69" s="16">
        <v>40.881999999999998</v>
      </c>
      <c r="AE69" s="16">
        <v>42.170200000000001</v>
      </c>
      <c r="AF69" s="16">
        <v>58.654400000000003</v>
      </c>
      <c r="AG69" s="16"/>
      <c r="AH69" s="16">
        <f t="shared" si="14"/>
        <v>86</v>
      </c>
      <c r="AI69" t="s">
        <v>171</v>
      </c>
      <c r="AJ69" s="20" t="str">
        <f t="shared" si="8"/>
        <v>матрица</v>
      </c>
    </row>
    <row r="70" spans="1:36" x14ac:dyDescent="0.25">
      <c r="A70" s="16" t="s">
        <v>172</v>
      </c>
      <c r="B70" s="16" t="s">
        <v>46</v>
      </c>
      <c r="C70" s="16">
        <v>93</v>
      </c>
      <c r="D70" s="16">
        <v>486</v>
      </c>
      <c r="E70" s="16">
        <v>131</v>
      </c>
      <c r="F70" s="16">
        <v>163</v>
      </c>
      <c r="G70" s="6">
        <v>0.6</v>
      </c>
      <c r="H70" s="16">
        <v>60</v>
      </c>
      <c r="I70" s="16" t="s">
        <v>39</v>
      </c>
      <c r="J70" s="16"/>
      <c r="K70" s="16">
        <v>136</v>
      </c>
      <c r="L70" s="16">
        <f t="shared" ref="L70:L101" si="16">E70-K70</f>
        <v>-5</v>
      </c>
      <c r="M70" s="16"/>
      <c r="N70" s="16"/>
      <c r="O70" s="16">
        <v>21.800000000000011</v>
      </c>
      <c r="P70" s="16"/>
      <c r="Q70" s="16"/>
      <c r="R70" s="16">
        <v>103.05800000000001</v>
      </c>
      <c r="S70" s="16">
        <f t="shared" ref="S70:S101" si="17">E70/5</f>
        <v>26.2</v>
      </c>
      <c r="T70" s="4">
        <f>11.5*S70-R70-Q70-O70-F70</f>
        <v>13.442000000000007</v>
      </c>
      <c r="U70" s="16">
        <f t="shared" ref="U70:U101" si="18">(F70+O70+Q70+R70+T70)/S70</f>
        <v>11.5</v>
      </c>
      <c r="V70" s="16">
        <f t="shared" ref="V70:V101" si="19">(F70+O70+Q70+R70)/S70</f>
        <v>10.986946564885496</v>
      </c>
      <c r="W70" s="16">
        <v>30.2</v>
      </c>
      <c r="X70" s="16">
        <v>26</v>
      </c>
      <c r="Y70" s="16">
        <v>31.2</v>
      </c>
      <c r="Z70" s="16">
        <v>26.6</v>
      </c>
      <c r="AA70" s="16">
        <v>23.6</v>
      </c>
      <c r="AB70" s="16">
        <v>26.2</v>
      </c>
      <c r="AC70" s="16">
        <v>25.8</v>
      </c>
      <c r="AD70" s="16">
        <v>24.4</v>
      </c>
      <c r="AE70" s="16">
        <v>19.2</v>
      </c>
      <c r="AF70" s="16">
        <v>23.2</v>
      </c>
      <c r="AG70" s="16"/>
      <c r="AH70" s="16">
        <f t="shared" ref="AH70:AH101" si="20">ROUND(G70*T70,0)</f>
        <v>8</v>
      </c>
      <c r="AI70" t="s">
        <v>173</v>
      </c>
      <c r="AJ70" s="20" t="str">
        <f t="shared" si="8"/>
        <v>матрица</v>
      </c>
    </row>
    <row r="71" spans="1:36" x14ac:dyDescent="0.25">
      <c r="A71" s="16" t="s">
        <v>174</v>
      </c>
      <c r="B71" s="16" t="s">
        <v>46</v>
      </c>
      <c r="C71" s="16">
        <v>8</v>
      </c>
      <c r="D71" s="16">
        <v>139</v>
      </c>
      <c r="E71" s="16">
        <v>35</v>
      </c>
      <c r="F71" s="16">
        <v>99</v>
      </c>
      <c r="G71" s="6">
        <v>0.6</v>
      </c>
      <c r="H71" s="16">
        <v>60</v>
      </c>
      <c r="I71" s="16" t="s">
        <v>39</v>
      </c>
      <c r="J71" s="16"/>
      <c r="K71" s="16">
        <v>43</v>
      </c>
      <c r="L71" s="16">
        <f t="shared" si="16"/>
        <v>-8</v>
      </c>
      <c r="M71" s="16"/>
      <c r="N71" s="16"/>
      <c r="O71" s="16">
        <v>20.700000000000021</v>
      </c>
      <c r="P71" s="16"/>
      <c r="Q71" s="16"/>
      <c r="R71" s="16">
        <v>0</v>
      </c>
      <c r="S71" s="16">
        <f t="shared" si="17"/>
        <v>7</v>
      </c>
      <c r="T71" s="4"/>
      <c r="U71" s="16">
        <f t="shared" si="18"/>
        <v>17.100000000000001</v>
      </c>
      <c r="V71" s="16">
        <f t="shared" si="19"/>
        <v>17.100000000000001</v>
      </c>
      <c r="W71" s="16">
        <v>8.1999999999999993</v>
      </c>
      <c r="X71" s="16">
        <v>12.6</v>
      </c>
      <c r="Y71" s="16">
        <v>13.2</v>
      </c>
      <c r="Z71" s="16">
        <v>11</v>
      </c>
      <c r="AA71" s="16">
        <v>8.8000000000000007</v>
      </c>
      <c r="AB71" s="16">
        <v>6.4</v>
      </c>
      <c r="AC71" s="16">
        <v>9.6</v>
      </c>
      <c r="AD71" s="16">
        <v>10.4</v>
      </c>
      <c r="AE71" s="16">
        <v>6.6</v>
      </c>
      <c r="AF71" s="16">
        <v>6.4</v>
      </c>
      <c r="AG71" s="16"/>
      <c r="AH71" s="16">
        <f t="shared" si="20"/>
        <v>0</v>
      </c>
      <c r="AI71" t="s">
        <v>175</v>
      </c>
      <c r="AJ71" s="20" t="str">
        <f t="shared" ref="AJ71:AJ129" si="21">I71</f>
        <v>матрица</v>
      </c>
    </row>
    <row r="72" spans="1:36" x14ac:dyDescent="0.25">
      <c r="A72" s="16" t="s">
        <v>176</v>
      </c>
      <c r="B72" s="16" t="s">
        <v>46</v>
      </c>
      <c r="C72" s="16">
        <v>144</v>
      </c>
      <c r="D72" s="16">
        <v>153</v>
      </c>
      <c r="E72" s="16">
        <v>97</v>
      </c>
      <c r="F72" s="16">
        <v>130</v>
      </c>
      <c r="G72" s="6">
        <v>0.4</v>
      </c>
      <c r="H72" s="16">
        <v>90</v>
      </c>
      <c r="I72" s="8" t="s">
        <v>39</v>
      </c>
      <c r="J72" s="16"/>
      <c r="K72" s="16">
        <v>102</v>
      </c>
      <c r="L72" s="16">
        <f t="shared" si="16"/>
        <v>-5</v>
      </c>
      <c r="M72" s="16"/>
      <c r="N72" s="16"/>
      <c r="O72" s="16">
        <v>116.7</v>
      </c>
      <c r="P72" s="16"/>
      <c r="Q72" s="16"/>
      <c r="R72" s="16">
        <v>15.69999999999999</v>
      </c>
      <c r="S72" s="16">
        <f t="shared" si="17"/>
        <v>19.399999999999999</v>
      </c>
      <c r="T72" s="4"/>
      <c r="U72" s="16">
        <f t="shared" si="18"/>
        <v>13.525773195876289</v>
      </c>
      <c r="V72" s="16">
        <f t="shared" si="19"/>
        <v>13.525773195876289</v>
      </c>
      <c r="W72" s="16">
        <v>28.2</v>
      </c>
      <c r="X72" s="16">
        <v>31</v>
      </c>
      <c r="Y72" s="16">
        <v>25.8</v>
      </c>
      <c r="Z72" s="16">
        <v>28</v>
      </c>
      <c r="AA72" s="16">
        <v>30</v>
      </c>
      <c r="AB72" s="16">
        <v>36.799999999999997</v>
      </c>
      <c r="AC72" s="16">
        <v>39.6</v>
      </c>
      <c r="AD72" s="16">
        <v>30.6</v>
      </c>
      <c r="AE72" s="16">
        <v>18.399999999999999</v>
      </c>
      <c r="AF72" s="16">
        <v>20.399999999999999</v>
      </c>
      <c r="AG72" s="16"/>
      <c r="AH72" s="16">
        <f t="shared" si="20"/>
        <v>0</v>
      </c>
      <c r="AI72" t="s">
        <v>177</v>
      </c>
      <c r="AJ72" s="20" t="str">
        <f t="shared" si="21"/>
        <v>матрица</v>
      </c>
    </row>
    <row r="73" spans="1:36" x14ac:dyDescent="0.25">
      <c r="A73" s="16" t="s">
        <v>178</v>
      </c>
      <c r="B73" s="16" t="s">
        <v>46</v>
      </c>
      <c r="C73" s="16">
        <v>249</v>
      </c>
      <c r="D73" s="16">
        <v>243</v>
      </c>
      <c r="E73" s="16">
        <v>153</v>
      </c>
      <c r="F73" s="16">
        <v>264</v>
      </c>
      <c r="G73" s="6">
        <v>0.33</v>
      </c>
      <c r="H73" s="16">
        <v>60</v>
      </c>
      <c r="I73" s="8" t="s">
        <v>56</v>
      </c>
      <c r="J73" s="16"/>
      <c r="K73" s="16">
        <v>158</v>
      </c>
      <c r="L73" s="16">
        <f t="shared" si="16"/>
        <v>-5</v>
      </c>
      <c r="M73" s="16"/>
      <c r="N73" s="16"/>
      <c r="O73" s="16">
        <v>60</v>
      </c>
      <c r="P73" s="16"/>
      <c r="Q73" s="16"/>
      <c r="R73" s="16">
        <v>0</v>
      </c>
      <c r="S73" s="16">
        <f t="shared" si="17"/>
        <v>30.6</v>
      </c>
      <c r="T73" s="4">
        <f>12*S73-R73-Q73-O73-F73</f>
        <v>43.200000000000045</v>
      </c>
      <c r="U73" s="16">
        <f t="shared" si="18"/>
        <v>12.000000000000002</v>
      </c>
      <c r="V73" s="16">
        <f t="shared" si="19"/>
        <v>10.588235294117647</v>
      </c>
      <c r="W73" s="16">
        <v>23.6</v>
      </c>
      <c r="X73" s="16">
        <v>33.6</v>
      </c>
      <c r="Y73" s="16">
        <v>41.4</v>
      </c>
      <c r="Z73" s="16">
        <v>40.799999999999997</v>
      </c>
      <c r="AA73" s="16">
        <v>37.6</v>
      </c>
      <c r="AB73" s="16">
        <v>24</v>
      </c>
      <c r="AC73" s="16">
        <v>30</v>
      </c>
      <c r="AD73" s="16">
        <v>37.799999999999997</v>
      </c>
      <c r="AE73" s="16">
        <v>26.4</v>
      </c>
      <c r="AF73" s="16">
        <v>26</v>
      </c>
      <c r="AG73" s="16"/>
      <c r="AH73" s="16">
        <f t="shared" si="20"/>
        <v>14</v>
      </c>
      <c r="AI73" t="s">
        <v>179</v>
      </c>
      <c r="AJ73" s="20" t="str">
        <f t="shared" si="21"/>
        <v>НЕДОГРУЗ / матрица</v>
      </c>
    </row>
    <row r="74" spans="1:36" x14ac:dyDescent="0.25">
      <c r="A74" s="16" t="s">
        <v>180</v>
      </c>
      <c r="B74" s="16" t="s">
        <v>46</v>
      </c>
      <c r="C74" s="16">
        <v>82</v>
      </c>
      <c r="D74" s="16">
        <v>168</v>
      </c>
      <c r="E74" s="16">
        <v>85</v>
      </c>
      <c r="F74" s="16">
        <v>125</v>
      </c>
      <c r="G74" s="6">
        <v>0.35</v>
      </c>
      <c r="H74" s="16">
        <v>90</v>
      </c>
      <c r="I74" s="8" t="s">
        <v>39</v>
      </c>
      <c r="J74" s="16"/>
      <c r="K74" s="16">
        <v>90</v>
      </c>
      <c r="L74" s="16">
        <f t="shared" si="16"/>
        <v>-5</v>
      </c>
      <c r="M74" s="16"/>
      <c r="N74" s="16"/>
      <c r="O74" s="16">
        <v>50</v>
      </c>
      <c r="P74" s="16"/>
      <c r="Q74" s="16"/>
      <c r="R74" s="16">
        <v>30</v>
      </c>
      <c r="S74" s="16">
        <f t="shared" si="17"/>
        <v>17</v>
      </c>
      <c r="T74" s="4"/>
      <c r="U74" s="16">
        <f t="shared" si="18"/>
        <v>12.058823529411764</v>
      </c>
      <c r="V74" s="16">
        <f t="shared" si="19"/>
        <v>12.058823529411764</v>
      </c>
      <c r="W74" s="16">
        <v>14.8</v>
      </c>
      <c r="X74" s="16">
        <v>5.4</v>
      </c>
      <c r="Y74" s="16">
        <v>9</v>
      </c>
      <c r="Z74" s="16">
        <v>27.8</v>
      </c>
      <c r="AA74" s="16">
        <v>31</v>
      </c>
      <c r="AB74" s="16">
        <v>23.2</v>
      </c>
      <c r="AC74" s="16">
        <v>17</v>
      </c>
      <c r="AD74" s="16">
        <v>15.4</v>
      </c>
      <c r="AE74" s="16">
        <v>16.600000000000001</v>
      </c>
      <c r="AF74" s="16">
        <v>20</v>
      </c>
      <c r="AG74" s="16"/>
      <c r="AH74" s="16">
        <f t="shared" si="20"/>
        <v>0</v>
      </c>
      <c r="AI74" t="s">
        <v>181</v>
      </c>
      <c r="AJ74" s="20" t="str">
        <f t="shared" si="21"/>
        <v>матрица</v>
      </c>
    </row>
    <row r="75" spans="1:36" x14ac:dyDescent="0.25">
      <c r="A75" s="16" t="s">
        <v>182</v>
      </c>
      <c r="B75" s="16" t="s">
        <v>46</v>
      </c>
      <c r="C75" s="16">
        <v>817</v>
      </c>
      <c r="D75" s="16">
        <v>667</v>
      </c>
      <c r="E75" s="16">
        <v>428</v>
      </c>
      <c r="F75" s="16">
        <v>498</v>
      </c>
      <c r="G75" s="6">
        <v>0.37</v>
      </c>
      <c r="H75" s="16">
        <v>50</v>
      </c>
      <c r="I75" s="16" t="s">
        <v>39</v>
      </c>
      <c r="J75" s="16"/>
      <c r="K75" s="16">
        <v>451</v>
      </c>
      <c r="L75" s="16">
        <f t="shared" si="16"/>
        <v>-23</v>
      </c>
      <c r="M75" s="16"/>
      <c r="N75" s="16"/>
      <c r="O75" s="16">
        <v>245.6593720000001</v>
      </c>
      <c r="P75" s="16"/>
      <c r="Q75" s="16"/>
      <c r="R75" s="16">
        <v>40.759999999999764</v>
      </c>
      <c r="S75" s="16">
        <f t="shared" si="17"/>
        <v>85.6</v>
      </c>
      <c r="T75" s="4">
        <f>11.5*S75-R75-Q75-O75-F75</f>
        <v>199.98062800000014</v>
      </c>
      <c r="U75" s="16">
        <f t="shared" si="18"/>
        <v>11.5</v>
      </c>
      <c r="V75" s="16">
        <f t="shared" si="19"/>
        <v>9.1637777102803728</v>
      </c>
      <c r="W75" s="16">
        <v>87.8</v>
      </c>
      <c r="X75" s="16">
        <v>104.4</v>
      </c>
      <c r="Y75" s="16">
        <v>100.2</v>
      </c>
      <c r="Z75" s="16">
        <v>113.2</v>
      </c>
      <c r="AA75" s="16">
        <v>114.4</v>
      </c>
      <c r="AB75" s="16">
        <v>101.2</v>
      </c>
      <c r="AC75" s="16">
        <v>91.8</v>
      </c>
      <c r="AD75" s="16">
        <v>81.400000000000006</v>
      </c>
      <c r="AE75" s="16">
        <v>102.6</v>
      </c>
      <c r="AF75" s="16">
        <v>100</v>
      </c>
      <c r="AG75" s="16"/>
      <c r="AH75" s="16">
        <f t="shared" si="20"/>
        <v>74</v>
      </c>
      <c r="AI75" t="s">
        <v>183</v>
      </c>
      <c r="AJ75" s="20" t="str">
        <f t="shared" si="21"/>
        <v>матрица</v>
      </c>
    </row>
    <row r="76" spans="1:36" x14ac:dyDescent="0.25">
      <c r="A76" s="16" t="s">
        <v>184</v>
      </c>
      <c r="B76" s="16" t="s">
        <v>46</v>
      </c>
      <c r="C76" s="16">
        <v>386</v>
      </c>
      <c r="D76" s="16">
        <v>228</v>
      </c>
      <c r="E76" s="16">
        <v>181</v>
      </c>
      <c r="F76" s="16">
        <v>192</v>
      </c>
      <c r="G76" s="6">
        <v>0.6</v>
      </c>
      <c r="H76" s="16">
        <v>70</v>
      </c>
      <c r="I76" s="16" t="s">
        <v>39</v>
      </c>
      <c r="J76" s="16"/>
      <c r="K76" s="16">
        <v>185</v>
      </c>
      <c r="L76" s="16">
        <f t="shared" si="16"/>
        <v>-4</v>
      </c>
      <c r="M76" s="16"/>
      <c r="N76" s="16"/>
      <c r="O76" s="16">
        <v>41.450000000000053</v>
      </c>
      <c r="P76" s="16"/>
      <c r="Q76" s="16"/>
      <c r="R76" s="16">
        <v>121.15</v>
      </c>
      <c r="S76" s="16">
        <f t="shared" si="17"/>
        <v>36.200000000000003</v>
      </c>
      <c r="T76" s="4">
        <f>11.5*S76-R76-Q76-O76-F76</f>
        <v>61.699999999999932</v>
      </c>
      <c r="U76" s="16">
        <f t="shared" si="18"/>
        <v>11.499999999999998</v>
      </c>
      <c r="V76" s="16">
        <f t="shared" si="19"/>
        <v>9.7955801104972373</v>
      </c>
      <c r="W76" s="16">
        <v>37.6</v>
      </c>
      <c r="X76" s="16">
        <v>36.200000000000003</v>
      </c>
      <c r="Y76" s="16">
        <v>30.2</v>
      </c>
      <c r="Z76" s="16">
        <v>45</v>
      </c>
      <c r="AA76" s="16">
        <v>48.6</v>
      </c>
      <c r="AB76" s="16">
        <v>30.2</v>
      </c>
      <c r="AC76" s="16">
        <v>27.8</v>
      </c>
      <c r="AD76" s="16">
        <v>25.6</v>
      </c>
      <c r="AE76" s="16">
        <v>22.8</v>
      </c>
      <c r="AF76" s="16">
        <v>23.6</v>
      </c>
      <c r="AG76" s="16"/>
      <c r="AH76" s="16">
        <f t="shared" si="20"/>
        <v>37</v>
      </c>
      <c r="AI76" t="s">
        <v>185</v>
      </c>
      <c r="AJ76" s="20" t="str">
        <f t="shared" si="21"/>
        <v>матрица</v>
      </c>
    </row>
    <row r="77" spans="1:36" x14ac:dyDescent="0.25">
      <c r="A77" s="16" t="s">
        <v>186</v>
      </c>
      <c r="B77" s="16" t="s">
        <v>46</v>
      </c>
      <c r="C77" s="16">
        <v>18</v>
      </c>
      <c r="D77" s="16">
        <v>127</v>
      </c>
      <c r="E77" s="16">
        <v>22</v>
      </c>
      <c r="F77" s="16">
        <v>78</v>
      </c>
      <c r="G77" s="6">
        <v>0.33</v>
      </c>
      <c r="H77" s="16">
        <v>40</v>
      </c>
      <c r="I77" s="16" t="s">
        <v>39</v>
      </c>
      <c r="J77" s="16"/>
      <c r="K77" s="16">
        <v>32</v>
      </c>
      <c r="L77" s="16">
        <f t="shared" si="16"/>
        <v>-10</v>
      </c>
      <c r="M77" s="16"/>
      <c r="N77" s="16"/>
      <c r="O77" s="16">
        <v>16.099999999999991</v>
      </c>
      <c r="P77" s="16"/>
      <c r="Q77" s="16"/>
      <c r="R77" s="16">
        <v>0</v>
      </c>
      <c r="S77" s="16">
        <f t="shared" si="17"/>
        <v>4.4000000000000004</v>
      </c>
      <c r="T77" s="4"/>
      <c r="U77" s="16">
        <f t="shared" si="18"/>
        <v>21.386363636363633</v>
      </c>
      <c r="V77" s="16">
        <f t="shared" si="19"/>
        <v>21.386363636363633</v>
      </c>
      <c r="W77" s="16">
        <v>8.1999999999999993</v>
      </c>
      <c r="X77" s="16">
        <v>12.2</v>
      </c>
      <c r="Y77" s="16">
        <v>12.2</v>
      </c>
      <c r="Z77" s="16">
        <v>12.8</v>
      </c>
      <c r="AA77" s="16">
        <v>9</v>
      </c>
      <c r="AB77" s="16">
        <v>8.1999999999999993</v>
      </c>
      <c r="AC77" s="16">
        <v>11.4</v>
      </c>
      <c r="AD77" s="16">
        <v>12</v>
      </c>
      <c r="AE77" s="16">
        <v>5.4</v>
      </c>
      <c r="AF77" s="16">
        <v>-0.2</v>
      </c>
      <c r="AG77" s="16"/>
      <c r="AH77" s="16">
        <f t="shared" si="20"/>
        <v>0</v>
      </c>
      <c r="AI77" t="s">
        <v>187</v>
      </c>
      <c r="AJ77" s="20" t="str">
        <f t="shared" si="21"/>
        <v>матрица</v>
      </c>
    </row>
    <row r="78" spans="1:36" x14ac:dyDescent="0.25">
      <c r="A78" s="16" t="s">
        <v>188</v>
      </c>
      <c r="B78" s="16" t="s">
        <v>46</v>
      </c>
      <c r="C78" s="16">
        <v>420</v>
      </c>
      <c r="D78" s="16">
        <v>458</v>
      </c>
      <c r="E78" s="16">
        <v>222</v>
      </c>
      <c r="F78" s="16">
        <v>161</v>
      </c>
      <c r="G78" s="6">
        <v>0.4</v>
      </c>
      <c r="H78" s="16">
        <v>55</v>
      </c>
      <c r="I78" s="16" t="s">
        <v>56</v>
      </c>
      <c r="J78" s="16"/>
      <c r="K78" s="16">
        <v>227</v>
      </c>
      <c r="L78" s="16">
        <f t="shared" si="16"/>
        <v>-5</v>
      </c>
      <c r="M78" s="16"/>
      <c r="N78" s="16"/>
      <c r="O78" s="16">
        <v>211.082132</v>
      </c>
      <c r="P78" s="16"/>
      <c r="Q78" s="16"/>
      <c r="R78" s="16">
        <v>103.1</v>
      </c>
      <c r="S78" s="16">
        <f t="shared" si="17"/>
        <v>44.4</v>
      </c>
      <c r="T78" s="4">
        <f>11.5*S78-R78-Q78-O78-F78</f>
        <v>35.417867999999999</v>
      </c>
      <c r="U78" s="16">
        <f t="shared" si="18"/>
        <v>11.5</v>
      </c>
      <c r="V78" s="16">
        <f t="shared" si="19"/>
        <v>10.702300270270271</v>
      </c>
      <c r="W78" s="16">
        <v>49.4</v>
      </c>
      <c r="X78" s="16">
        <v>54.2</v>
      </c>
      <c r="Y78" s="16">
        <v>46</v>
      </c>
      <c r="Z78" s="16">
        <v>49.8</v>
      </c>
      <c r="AA78" s="16">
        <v>56.4</v>
      </c>
      <c r="AB78" s="16">
        <v>55.6</v>
      </c>
      <c r="AC78" s="16">
        <v>60.4</v>
      </c>
      <c r="AD78" s="16">
        <v>55</v>
      </c>
      <c r="AE78" s="16">
        <v>52</v>
      </c>
      <c r="AF78" s="16">
        <v>54.4</v>
      </c>
      <c r="AG78" s="16"/>
      <c r="AH78" s="16">
        <f t="shared" si="20"/>
        <v>14</v>
      </c>
      <c r="AI78" t="s">
        <v>189</v>
      </c>
      <c r="AJ78" s="20" t="str">
        <f t="shared" si="21"/>
        <v>НЕДОГРУЗ / матрица</v>
      </c>
    </row>
    <row r="79" spans="1:36" x14ac:dyDescent="0.25">
      <c r="A79" s="16" t="s">
        <v>190</v>
      </c>
      <c r="B79" s="16" t="s">
        <v>46</v>
      </c>
      <c r="C79" s="16"/>
      <c r="D79" s="16">
        <v>30</v>
      </c>
      <c r="E79" s="16">
        <v>-1</v>
      </c>
      <c r="F79" s="16"/>
      <c r="G79" s="6">
        <v>0.35</v>
      </c>
      <c r="H79" s="16">
        <v>40</v>
      </c>
      <c r="I79" s="8" t="s">
        <v>56</v>
      </c>
      <c r="J79" s="16"/>
      <c r="K79" s="16">
        <v>3</v>
      </c>
      <c r="L79" s="16">
        <f t="shared" si="16"/>
        <v>-4</v>
      </c>
      <c r="M79" s="16"/>
      <c r="N79" s="16"/>
      <c r="O79" s="16">
        <v>30</v>
      </c>
      <c r="P79" s="16">
        <v>-37.142857142857146</v>
      </c>
      <c r="Q79" s="16"/>
      <c r="R79" s="16">
        <v>10</v>
      </c>
      <c r="S79" s="16">
        <f t="shared" si="17"/>
        <v>-0.2</v>
      </c>
      <c r="T79" s="4">
        <v>10</v>
      </c>
      <c r="U79" s="16">
        <f t="shared" si="18"/>
        <v>-250</v>
      </c>
      <c r="V79" s="16">
        <f t="shared" si="19"/>
        <v>-200</v>
      </c>
      <c r="W79" s="16">
        <v>-0.2</v>
      </c>
      <c r="X79" s="16">
        <v>0</v>
      </c>
      <c r="Y79" s="16">
        <v>0.4</v>
      </c>
      <c r="Z79" s="16">
        <v>10.8</v>
      </c>
      <c r="AA79" s="16">
        <v>10.199999999999999</v>
      </c>
      <c r="AB79" s="16">
        <v>-0.4</v>
      </c>
      <c r="AC79" s="16">
        <v>-0.4</v>
      </c>
      <c r="AD79" s="16">
        <v>-0.2</v>
      </c>
      <c r="AE79" s="16">
        <v>6</v>
      </c>
      <c r="AF79" s="16">
        <v>17.399999999999999</v>
      </c>
      <c r="AG79" s="16"/>
      <c r="AH79" s="16">
        <f t="shared" si="20"/>
        <v>4</v>
      </c>
      <c r="AI79" t="s">
        <v>191</v>
      </c>
      <c r="AJ79" s="20" t="str">
        <f t="shared" si="21"/>
        <v>НЕДОГРУЗ / матрица</v>
      </c>
    </row>
    <row r="80" spans="1:36" x14ac:dyDescent="0.25">
      <c r="A80" s="16" t="s">
        <v>192</v>
      </c>
      <c r="B80" s="16" t="s">
        <v>46</v>
      </c>
      <c r="C80" s="16">
        <v>123</v>
      </c>
      <c r="D80" s="16">
        <v>143</v>
      </c>
      <c r="E80" s="16">
        <v>123</v>
      </c>
      <c r="F80" s="16"/>
      <c r="G80" s="6">
        <v>0.35</v>
      </c>
      <c r="H80" s="16">
        <v>45</v>
      </c>
      <c r="I80" s="8" t="s">
        <v>56</v>
      </c>
      <c r="J80" s="16"/>
      <c r="K80" s="16">
        <v>149</v>
      </c>
      <c r="L80" s="16">
        <f t="shared" si="16"/>
        <v>-26</v>
      </c>
      <c r="M80" s="16"/>
      <c r="N80" s="16"/>
      <c r="O80" s="16">
        <v>208.6</v>
      </c>
      <c r="P80" s="16">
        <v>-211.42857142857144</v>
      </c>
      <c r="Q80" s="16"/>
      <c r="R80" s="16">
        <v>105</v>
      </c>
      <c r="S80" s="16">
        <f t="shared" si="17"/>
        <v>24.6</v>
      </c>
      <c r="T80" s="4">
        <v>20</v>
      </c>
      <c r="U80" s="16">
        <f t="shared" si="18"/>
        <v>13.560975609756097</v>
      </c>
      <c r="V80" s="16">
        <f t="shared" si="19"/>
        <v>12.747967479674797</v>
      </c>
      <c r="W80" s="16">
        <v>39.4</v>
      </c>
      <c r="X80" s="16">
        <v>36</v>
      </c>
      <c r="Y80" s="16">
        <v>24.4</v>
      </c>
      <c r="Z80" s="16">
        <v>1.8</v>
      </c>
      <c r="AA80" s="16">
        <v>0</v>
      </c>
      <c r="AB80" s="16">
        <v>26.4</v>
      </c>
      <c r="AC80" s="16">
        <v>35.6</v>
      </c>
      <c r="AD80" s="16">
        <v>42.2</v>
      </c>
      <c r="AE80" s="16">
        <v>46.2</v>
      </c>
      <c r="AF80" s="16">
        <v>38.4</v>
      </c>
      <c r="AG80" s="16"/>
      <c r="AH80" s="16">
        <f t="shared" si="20"/>
        <v>7</v>
      </c>
      <c r="AI80" t="s">
        <v>193</v>
      </c>
      <c r="AJ80" s="20" t="str">
        <f t="shared" si="21"/>
        <v>НЕДОГРУЗ / матрица</v>
      </c>
    </row>
    <row r="81" spans="1:36" x14ac:dyDescent="0.25">
      <c r="A81" s="16" t="s">
        <v>194</v>
      </c>
      <c r="B81" s="16" t="s">
        <v>46</v>
      </c>
      <c r="C81" s="16">
        <v>183</v>
      </c>
      <c r="D81" s="16">
        <v>197</v>
      </c>
      <c r="E81" s="16">
        <v>179</v>
      </c>
      <c r="F81" s="16">
        <v>149</v>
      </c>
      <c r="G81" s="6">
        <v>0.4</v>
      </c>
      <c r="H81" s="16">
        <v>55</v>
      </c>
      <c r="I81" s="16" t="s">
        <v>39</v>
      </c>
      <c r="J81" s="16"/>
      <c r="K81" s="16">
        <v>190</v>
      </c>
      <c r="L81" s="16">
        <f t="shared" si="16"/>
        <v>-11</v>
      </c>
      <c r="M81" s="16"/>
      <c r="N81" s="16"/>
      <c r="O81" s="16">
        <v>19.600000000000019</v>
      </c>
      <c r="P81" s="16"/>
      <c r="Q81" s="16"/>
      <c r="R81" s="16">
        <v>198.06</v>
      </c>
      <c r="S81" s="16">
        <f t="shared" si="17"/>
        <v>35.799999999999997</v>
      </c>
      <c r="T81" s="4">
        <f>11.5*S81-R81-Q81-O81-F81</f>
        <v>45.039999999999964</v>
      </c>
      <c r="U81" s="16">
        <f t="shared" si="18"/>
        <v>11.5</v>
      </c>
      <c r="V81" s="16">
        <f t="shared" si="19"/>
        <v>10.241899441340784</v>
      </c>
      <c r="W81" s="16">
        <v>35.6</v>
      </c>
      <c r="X81" s="16">
        <v>29.6</v>
      </c>
      <c r="Y81" s="16">
        <v>29.8</v>
      </c>
      <c r="Z81" s="16">
        <v>18.600000000000001</v>
      </c>
      <c r="AA81" s="16">
        <v>19.2</v>
      </c>
      <c r="AB81" s="16">
        <v>36</v>
      </c>
      <c r="AC81" s="16">
        <v>36.200000000000003</v>
      </c>
      <c r="AD81" s="16">
        <v>32.200000000000003</v>
      </c>
      <c r="AE81" s="16">
        <v>34.4</v>
      </c>
      <c r="AF81" s="16">
        <v>26.8</v>
      </c>
      <c r="AG81" s="16"/>
      <c r="AH81" s="16">
        <f t="shared" si="20"/>
        <v>18</v>
      </c>
      <c r="AI81" t="s">
        <v>195</v>
      </c>
      <c r="AJ81" s="20" t="str">
        <f t="shared" si="21"/>
        <v>матрица</v>
      </c>
    </row>
    <row r="82" spans="1:36" x14ac:dyDescent="0.25">
      <c r="A82" s="16" t="s">
        <v>196</v>
      </c>
      <c r="B82" s="16" t="s">
        <v>38</v>
      </c>
      <c r="C82" s="16">
        <v>20.181000000000001</v>
      </c>
      <c r="D82" s="16">
        <v>42.841999999999999</v>
      </c>
      <c r="E82" s="16">
        <v>5.7229999999999999</v>
      </c>
      <c r="F82" s="16">
        <v>36.600999999999999</v>
      </c>
      <c r="G82" s="6">
        <v>1</v>
      </c>
      <c r="H82" s="16">
        <v>55</v>
      </c>
      <c r="I82" s="16" t="s">
        <v>39</v>
      </c>
      <c r="J82" s="16"/>
      <c r="K82" s="16">
        <v>5.3</v>
      </c>
      <c r="L82" s="16">
        <f t="shared" si="16"/>
        <v>0.42300000000000004</v>
      </c>
      <c r="M82" s="16"/>
      <c r="N82" s="16"/>
      <c r="O82" s="16">
        <v>30</v>
      </c>
      <c r="P82" s="16"/>
      <c r="Q82" s="16"/>
      <c r="R82" s="16">
        <v>0</v>
      </c>
      <c r="S82" s="16">
        <f t="shared" si="17"/>
        <v>1.1446000000000001</v>
      </c>
      <c r="T82" s="4"/>
      <c r="U82" s="16">
        <f t="shared" si="18"/>
        <v>58.187139612091556</v>
      </c>
      <c r="V82" s="16">
        <f t="shared" si="19"/>
        <v>58.187139612091556</v>
      </c>
      <c r="W82" s="16">
        <v>1.4156</v>
      </c>
      <c r="X82" s="16">
        <v>1.1512</v>
      </c>
      <c r="Y82" s="16">
        <v>3.4895999999999998</v>
      </c>
      <c r="Z82" s="16">
        <v>3.4748000000000001</v>
      </c>
      <c r="AA82" s="16">
        <v>3.3445999999999998</v>
      </c>
      <c r="AB82" s="16">
        <v>3.0251999999999999</v>
      </c>
      <c r="AC82" s="16">
        <v>1.9418</v>
      </c>
      <c r="AD82" s="16">
        <v>2.1454</v>
      </c>
      <c r="AE82" s="16">
        <v>3.6688000000000001</v>
      </c>
      <c r="AF82" s="16">
        <v>4.3439999999999994</v>
      </c>
      <c r="AG82" s="12" t="s">
        <v>197</v>
      </c>
      <c r="AH82" s="16">
        <f t="shared" si="20"/>
        <v>0</v>
      </c>
      <c r="AI82" t="s">
        <v>198</v>
      </c>
      <c r="AJ82" s="20" t="str">
        <f t="shared" si="21"/>
        <v>матрица</v>
      </c>
    </row>
    <row r="83" spans="1:36" x14ac:dyDescent="0.25">
      <c r="A83" s="16" t="s">
        <v>199</v>
      </c>
      <c r="B83" s="16" t="s">
        <v>38</v>
      </c>
      <c r="C83" s="16">
        <v>220.09700000000001</v>
      </c>
      <c r="D83" s="16">
        <v>291.24200000000002</v>
      </c>
      <c r="E83" s="16">
        <v>127.07299999999999</v>
      </c>
      <c r="F83" s="16">
        <v>148.239</v>
      </c>
      <c r="G83" s="6">
        <v>1</v>
      </c>
      <c r="H83" s="16">
        <v>55</v>
      </c>
      <c r="I83" s="16" t="s">
        <v>39</v>
      </c>
      <c r="J83" s="16"/>
      <c r="K83" s="16">
        <v>118.3</v>
      </c>
      <c r="L83" s="16">
        <f t="shared" si="16"/>
        <v>8.7729999999999961</v>
      </c>
      <c r="M83" s="16"/>
      <c r="N83" s="16"/>
      <c r="O83" s="16">
        <v>0</v>
      </c>
      <c r="P83" s="16"/>
      <c r="Q83" s="16"/>
      <c r="R83" s="16">
        <v>17.22039999999998</v>
      </c>
      <c r="S83" s="16">
        <f t="shared" si="17"/>
        <v>25.4146</v>
      </c>
      <c r="T83" s="4">
        <f>11.5*S83-R83-Q83-O83-F83</f>
        <v>126.80850000000001</v>
      </c>
      <c r="U83" s="16">
        <f t="shared" si="18"/>
        <v>11.5</v>
      </c>
      <c r="V83" s="16">
        <f t="shared" si="19"/>
        <v>6.5104074036183919</v>
      </c>
      <c r="W83" s="16">
        <v>20.510200000000001</v>
      </c>
      <c r="X83" s="16">
        <v>20.4178</v>
      </c>
      <c r="Y83" s="16">
        <v>26.796399999999998</v>
      </c>
      <c r="Z83" s="16">
        <v>27.92</v>
      </c>
      <c r="AA83" s="16">
        <v>28.6614</v>
      </c>
      <c r="AB83" s="16">
        <v>27.568000000000001</v>
      </c>
      <c r="AC83" s="16">
        <v>29.284600000000001</v>
      </c>
      <c r="AD83" s="16">
        <v>38.7044</v>
      </c>
      <c r="AE83" s="16">
        <v>42.098200000000013</v>
      </c>
      <c r="AF83" s="16">
        <v>51.278799999999997</v>
      </c>
      <c r="AG83" s="16"/>
      <c r="AH83" s="16">
        <f t="shared" si="20"/>
        <v>127</v>
      </c>
      <c r="AI83" t="s">
        <v>200</v>
      </c>
      <c r="AJ83" s="20" t="str">
        <f t="shared" si="21"/>
        <v>матрица</v>
      </c>
    </row>
    <row r="84" spans="1:36" x14ac:dyDescent="0.25">
      <c r="A84" s="16" t="s">
        <v>201</v>
      </c>
      <c r="B84" s="16" t="s">
        <v>38</v>
      </c>
      <c r="C84" s="16">
        <v>1085.3789999999999</v>
      </c>
      <c r="D84" s="16">
        <v>681.65099999999995</v>
      </c>
      <c r="E84" s="16">
        <v>643.09400000000005</v>
      </c>
      <c r="F84" s="16">
        <v>712.59100000000001</v>
      </c>
      <c r="G84" s="6">
        <v>1</v>
      </c>
      <c r="H84" s="16">
        <v>60</v>
      </c>
      <c r="I84" s="16" t="s">
        <v>39</v>
      </c>
      <c r="J84" s="16"/>
      <c r="K84" s="16">
        <v>648.19500000000005</v>
      </c>
      <c r="L84" s="16">
        <f t="shared" si="16"/>
        <v>-5.1009999999999991</v>
      </c>
      <c r="M84" s="16"/>
      <c r="N84" s="16"/>
      <c r="O84" s="16">
        <v>470.3231774630417</v>
      </c>
      <c r="P84" s="16"/>
      <c r="Q84" s="16"/>
      <c r="R84" s="16">
        <v>111.78016388319971</v>
      </c>
      <c r="S84" s="16">
        <f t="shared" si="17"/>
        <v>128.61880000000002</v>
      </c>
      <c r="T84" s="4">
        <f>11.5*S84-R84-Q84-O84-F84</f>
        <v>184.4218586537587</v>
      </c>
      <c r="U84" s="16">
        <f t="shared" si="18"/>
        <v>11.499999999999998</v>
      </c>
      <c r="V84" s="16">
        <f t="shared" si="19"/>
        <v>10.066136065227177</v>
      </c>
      <c r="W84" s="16">
        <v>152.0676</v>
      </c>
      <c r="X84" s="16">
        <v>157.40639999999999</v>
      </c>
      <c r="Y84" s="16">
        <v>149.3056</v>
      </c>
      <c r="Z84" s="16">
        <v>150.80600000000001</v>
      </c>
      <c r="AA84" s="16">
        <v>161.60239999999999</v>
      </c>
      <c r="AB84" s="16">
        <v>168.8852</v>
      </c>
      <c r="AC84" s="16">
        <v>173.46860000000001</v>
      </c>
      <c r="AD84" s="16">
        <v>131.9092</v>
      </c>
      <c r="AE84" s="16">
        <v>126.0938</v>
      </c>
      <c r="AF84" s="16">
        <v>156.63380000000001</v>
      </c>
      <c r="AG84" s="16"/>
      <c r="AH84" s="16">
        <f t="shared" si="20"/>
        <v>184</v>
      </c>
      <c r="AI84" t="s">
        <v>202</v>
      </c>
      <c r="AJ84" s="20" t="str">
        <f t="shared" si="21"/>
        <v>матрица</v>
      </c>
    </row>
    <row r="85" spans="1:36" x14ac:dyDescent="0.25">
      <c r="A85" s="9" t="s">
        <v>203</v>
      </c>
      <c r="B85" s="9" t="s">
        <v>46</v>
      </c>
      <c r="C85" s="9"/>
      <c r="D85" s="9"/>
      <c r="E85" s="9"/>
      <c r="F85" s="9"/>
      <c r="G85" s="10">
        <v>0</v>
      </c>
      <c r="H85" s="9"/>
      <c r="I85" s="9" t="s">
        <v>39</v>
      </c>
      <c r="J85" s="9"/>
      <c r="K85" s="9"/>
      <c r="L85" s="9">
        <f t="shared" si="16"/>
        <v>0</v>
      </c>
      <c r="M85" s="9"/>
      <c r="N85" s="9"/>
      <c r="O85" s="9">
        <v>0</v>
      </c>
      <c r="P85" s="9"/>
      <c r="Q85" s="9"/>
      <c r="R85" s="9">
        <v>0</v>
      </c>
      <c r="S85" s="9">
        <f t="shared" si="17"/>
        <v>0</v>
      </c>
      <c r="T85" s="11"/>
      <c r="U85" s="9" t="e">
        <f t="shared" si="18"/>
        <v>#DIV/0!</v>
      </c>
      <c r="V85" s="9" t="e">
        <f t="shared" si="19"/>
        <v>#DIV/0!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 t="s">
        <v>47</v>
      </c>
      <c r="AH85" s="16">
        <f t="shared" si="20"/>
        <v>0</v>
      </c>
      <c r="AI85" t="s">
        <v>204</v>
      </c>
      <c r="AJ85" s="20" t="str">
        <f t="shared" si="21"/>
        <v>матрица</v>
      </c>
    </row>
    <row r="86" spans="1:36" x14ac:dyDescent="0.25">
      <c r="A86" s="16" t="s">
        <v>205</v>
      </c>
      <c r="B86" s="16" t="s">
        <v>38</v>
      </c>
      <c r="C86" s="16">
        <v>4689.6670000000004</v>
      </c>
      <c r="D86" s="16">
        <v>2947.1880000000001</v>
      </c>
      <c r="E86" s="16">
        <v>2139.5140000000001</v>
      </c>
      <c r="F86" s="16">
        <v>3230.8409999999999</v>
      </c>
      <c r="G86" s="6">
        <v>1</v>
      </c>
      <c r="H86" s="16">
        <v>60</v>
      </c>
      <c r="I86" s="16" t="s">
        <v>39</v>
      </c>
      <c r="J86" s="16"/>
      <c r="K86" s="16">
        <v>2145.5</v>
      </c>
      <c r="L86" s="16">
        <f t="shared" si="16"/>
        <v>-5.9859999999998763</v>
      </c>
      <c r="M86" s="16"/>
      <c r="N86" s="16"/>
      <c r="O86" s="16">
        <v>700</v>
      </c>
      <c r="P86" s="16"/>
      <c r="Q86" s="16">
        <v>300</v>
      </c>
      <c r="R86" s="16">
        <v>320.75844000000029</v>
      </c>
      <c r="S86" s="16">
        <f t="shared" si="17"/>
        <v>427.90280000000001</v>
      </c>
      <c r="T86" s="4">
        <f>11.5*S86-R86-Q86-O86-F86</f>
        <v>369.2827599999996</v>
      </c>
      <c r="U86" s="16">
        <f t="shared" si="18"/>
        <v>11.5</v>
      </c>
      <c r="V86" s="16">
        <f t="shared" si="19"/>
        <v>10.636993821961438</v>
      </c>
      <c r="W86" s="16">
        <v>494.89839999999998</v>
      </c>
      <c r="X86" s="16">
        <v>526.31220000000008</v>
      </c>
      <c r="Y86" s="16">
        <v>493.4196</v>
      </c>
      <c r="Z86" s="16">
        <v>505.09059999999999</v>
      </c>
      <c r="AA86" s="16">
        <v>580.20420000000001</v>
      </c>
      <c r="AB86" s="16">
        <v>540.80640000000005</v>
      </c>
      <c r="AC86" s="16">
        <v>482.77339999999998</v>
      </c>
      <c r="AD86" s="16">
        <v>374.46940000000001</v>
      </c>
      <c r="AE86" s="16">
        <v>330.53120000000001</v>
      </c>
      <c r="AF86" s="16">
        <v>384.51900000000001</v>
      </c>
      <c r="AG86" s="16"/>
      <c r="AH86" s="16">
        <f t="shared" si="20"/>
        <v>369</v>
      </c>
      <c r="AI86" t="s">
        <v>206</v>
      </c>
      <c r="AJ86" s="20" t="str">
        <f t="shared" si="21"/>
        <v>матрица</v>
      </c>
    </row>
    <row r="87" spans="1:36" x14ac:dyDescent="0.25">
      <c r="A87" s="16" t="s">
        <v>207</v>
      </c>
      <c r="B87" s="16" t="s">
        <v>38</v>
      </c>
      <c r="C87" s="16">
        <v>4872.7489999999998</v>
      </c>
      <c r="D87" s="16">
        <v>2169.38</v>
      </c>
      <c r="E87" s="16">
        <v>2175.0639999999999</v>
      </c>
      <c r="F87" s="16">
        <v>3641.473</v>
      </c>
      <c r="G87" s="6">
        <v>1</v>
      </c>
      <c r="H87" s="16">
        <v>60</v>
      </c>
      <c r="I87" s="16" t="s">
        <v>39</v>
      </c>
      <c r="J87" s="16"/>
      <c r="K87" s="16">
        <v>2144.1</v>
      </c>
      <c r="L87" s="16">
        <f t="shared" si="16"/>
        <v>30.963999999999942</v>
      </c>
      <c r="M87" s="16"/>
      <c r="N87" s="16"/>
      <c r="O87" s="16"/>
      <c r="P87" s="16"/>
      <c r="Q87" s="16">
        <v>105</v>
      </c>
      <c r="R87" s="16">
        <v>77.056429999999978</v>
      </c>
      <c r="S87" s="16">
        <f t="shared" si="17"/>
        <v>435.01279999999997</v>
      </c>
      <c r="T87" s="4">
        <f>11.5*S87-R87-Q87-O87-F87</f>
        <v>1179.1177699999998</v>
      </c>
      <c r="U87" s="16">
        <f t="shared" si="18"/>
        <v>11.5</v>
      </c>
      <c r="V87" s="16">
        <f t="shared" si="19"/>
        <v>8.78946419507656</v>
      </c>
      <c r="W87" s="16">
        <v>454.02980000000002</v>
      </c>
      <c r="X87" s="16">
        <v>464.01760000000002</v>
      </c>
      <c r="Y87" s="16">
        <v>470.22359999999998</v>
      </c>
      <c r="Z87" s="16">
        <v>519.2894</v>
      </c>
      <c r="AA87" s="16">
        <v>564.46319999999992</v>
      </c>
      <c r="AB87" s="16">
        <v>484.53480000000002</v>
      </c>
      <c r="AC87" s="16">
        <v>439.11</v>
      </c>
      <c r="AD87" s="16">
        <v>325.41399999999999</v>
      </c>
      <c r="AE87" s="16">
        <v>311.01179999999999</v>
      </c>
      <c r="AF87" s="16">
        <v>381.4794</v>
      </c>
      <c r="AG87" s="16"/>
      <c r="AH87" s="16">
        <f t="shared" si="20"/>
        <v>1179</v>
      </c>
      <c r="AI87" t="s">
        <v>208</v>
      </c>
      <c r="AJ87" s="20" t="str">
        <f t="shared" si="21"/>
        <v>матрица</v>
      </c>
    </row>
    <row r="88" spans="1:36" x14ac:dyDescent="0.25">
      <c r="A88" s="16" t="s">
        <v>209</v>
      </c>
      <c r="B88" s="16" t="s">
        <v>38</v>
      </c>
      <c r="C88" s="16">
        <v>4617.2650000000003</v>
      </c>
      <c r="D88" s="16">
        <v>3727.2060000000001</v>
      </c>
      <c r="E88" s="16">
        <v>2318.7220000000002</v>
      </c>
      <c r="F88" s="16">
        <v>4387.3689999999997</v>
      </c>
      <c r="G88" s="6">
        <v>1</v>
      </c>
      <c r="H88" s="16">
        <v>60</v>
      </c>
      <c r="I88" s="16" t="s">
        <v>39</v>
      </c>
      <c r="J88" s="16"/>
      <c r="K88" s="16">
        <v>2351.6</v>
      </c>
      <c r="L88" s="16">
        <f t="shared" si="16"/>
        <v>-32.877999999999702</v>
      </c>
      <c r="M88" s="16"/>
      <c r="N88" s="16"/>
      <c r="O88" s="16">
        <v>450</v>
      </c>
      <c r="P88" s="16"/>
      <c r="Q88" s="16"/>
      <c r="R88" s="16">
        <v>110.40345514700221</v>
      </c>
      <c r="S88" s="16">
        <f t="shared" si="17"/>
        <v>463.74440000000004</v>
      </c>
      <c r="T88" s="4">
        <f>11.5*S88-R88-Q88-O88-F88</f>
        <v>385.28814485299881</v>
      </c>
      <c r="U88" s="16">
        <f t="shared" si="18"/>
        <v>11.5</v>
      </c>
      <c r="V88" s="16">
        <f t="shared" si="19"/>
        <v>10.669179951600498</v>
      </c>
      <c r="W88" s="16">
        <v>532.01880000000006</v>
      </c>
      <c r="X88" s="16">
        <v>605.65300000000002</v>
      </c>
      <c r="Y88" s="16">
        <v>579.95619999999997</v>
      </c>
      <c r="Z88" s="16">
        <v>556.60360000000003</v>
      </c>
      <c r="AA88" s="16">
        <v>587.1934</v>
      </c>
      <c r="AB88" s="16">
        <v>598.42560000000003</v>
      </c>
      <c r="AC88" s="16">
        <v>557.10379999999998</v>
      </c>
      <c r="AD88" s="16">
        <v>421.68540000000002</v>
      </c>
      <c r="AE88" s="16">
        <v>393.09879999999998</v>
      </c>
      <c r="AF88" s="16">
        <v>476.79520000000002</v>
      </c>
      <c r="AG88" s="16"/>
      <c r="AH88" s="16">
        <f t="shared" si="20"/>
        <v>385</v>
      </c>
      <c r="AI88" t="s">
        <v>210</v>
      </c>
      <c r="AJ88" s="20" t="str">
        <f t="shared" si="21"/>
        <v>матрица</v>
      </c>
    </row>
    <row r="89" spans="1:36" x14ac:dyDescent="0.25">
      <c r="A89" s="16" t="s">
        <v>211</v>
      </c>
      <c r="B89" s="16" t="s">
        <v>38</v>
      </c>
      <c r="C89" s="16">
        <v>51.786000000000001</v>
      </c>
      <c r="D89" s="16">
        <v>77.748999999999995</v>
      </c>
      <c r="E89" s="16">
        <v>34.686999999999998</v>
      </c>
      <c r="F89" s="16">
        <v>66.769000000000005</v>
      </c>
      <c r="G89" s="6">
        <v>1</v>
      </c>
      <c r="H89" s="16">
        <v>55</v>
      </c>
      <c r="I89" s="16" t="s">
        <v>56</v>
      </c>
      <c r="J89" s="16"/>
      <c r="K89" s="16">
        <v>34.6</v>
      </c>
      <c r="L89" s="16">
        <f t="shared" si="16"/>
        <v>8.6999999999996191E-2</v>
      </c>
      <c r="M89" s="16"/>
      <c r="N89" s="16"/>
      <c r="O89" s="16">
        <v>60</v>
      </c>
      <c r="P89" s="16"/>
      <c r="Q89" s="16"/>
      <c r="R89" s="16">
        <v>0</v>
      </c>
      <c r="S89" s="16">
        <f t="shared" si="17"/>
        <v>6.9373999999999993</v>
      </c>
      <c r="T89" s="4"/>
      <c r="U89" s="16">
        <f t="shared" si="18"/>
        <v>18.2732724075302</v>
      </c>
      <c r="V89" s="16">
        <f t="shared" si="19"/>
        <v>18.2732724075302</v>
      </c>
      <c r="W89" s="16">
        <v>6.7266000000000004</v>
      </c>
      <c r="X89" s="16">
        <v>8.3040000000000003</v>
      </c>
      <c r="Y89" s="16">
        <v>8.5742000000000012</v>
      </c>
      <c r="Z89" s="16">
        <v>8.3124000000000002</v>
      </c>
      <c r="AA89" s="16">
        <v>8.0421999999999993</v>
      </c>
      <c r="AB89" s="16">
        <v>5.9122000000000003</v>
      </c>
      <c r="AC89" s="16">
        <v>6.9909999999999997</v>
      </c>
      <c r="AD89" s="16">
        <v>2.9689999999999999</v>
      </c>
      <c r="AE89" s="16">
        <v>5.1075999999999997</v>
      </c>
      <c r="AF89" s="16">
        <v>11.430400000000001</v>
      </c>
      <c r="AG89" s="16"/>
      <c r="AH89" s="16">
        <f t="shared" si="20"/>
        <v>0</v>
      </c>
      <c r="AI89" t="s">
        <v>212</v>
      </c>
      <c r="AJ89" s="20" t="str">
        <f t="shared" si="21"/>
        <v>НЕДОГРУЗ / матрица</v>
      </c>
    </row>
    <row r="90" spans="1:36" x14ac:dyDescent="0.25">
      <c r="A90" s="16" t="s">
        <v>213</v>
      </c>
      <c r="B90" s="16" t="s">
        <v>46</v>
      </c>
      <c r="C90" s="16"/>
      <c r="D90" s="16"/>
      <c r="E90" s="16">
        <v>-1</v>
      </c>
      <c r="F90" s="16"/>
      <c r="G90" s="6">
        <v>0.3</v>
      </c>
      <c r="H90" s="16">
        <v>40</v>
      </c>
      <c r="I90" s="8" t="s">
        <v>56</v>
      </c>
      <c r="J90" s="16"/>
      <c r="K90" s="16"/>
      <c r="L90" s="16">
        <f t="shared" si="16"/>
        <v>-1</v>
      </c>
      <c r="M90" s="16"/>
      <c r="N90" s="16"/>
      <c r="O90" s="16">
        <v>0</v>
      </c>
      <c r="P90" s="16"/>
      <c r="Q90" s="16"/>
      <c r="R90" s="16">
        <v>10</v>
      </c>
      <c r="S90" s="16">
        <f t="shared" si="17"/>
        <v>-0.2</v>
      </c>
      <c r="T90" s="4">
        <v>10</v>
      </c>
      <c r="U90" s="16">
        <f t="shared" si="18"/>
        <v>-100</v>
      </c>
      <c r="V90" s="16">
        <f t="shared" si="19"/>
        <v>-50</v>
      </c>
      <c r="W90" s="16">
        <v>-0.2</v>
      </c>
      <c r="X90" s="16">
        <v>-0.8</v>
      </c>
      <c r="Y90" s="16">
        <v>-0.6</v>
      </c>
      <c r="Z90" s="16">
        <v>-0.4</v>
      </c>
      <c r="AA90" s="16">
        <v>-2</v>
      </c>
      <c r="AB90" s="16">
        <v>-3.2</v>
      </c>
      <c r="AC90" s="16">
        <v>-2.2000000000000002</v>
      </c>
      <c r="AD90" s="16">
        <v>-1.2</v>
      </c>
      <c r="AE90" s="16">
        <v>-1.4</v>
      </c>
      <c r="AF90" s="16">
        <v>-1.4</v>
      </c>
      <c r="AG90" s="16"/>
      <c r="AH90" s="16">
        <f t="shared" si="20"/>
        <v>3</v>
      </c>
      <c r="AI90" t="s">
        <v>214</v>
      </c>
      <c r="AJ90" s="20" t="str">
        <f t="shared" si="21"/>
        <v>НЕДОГРУЗ / матрица</v>
      </c>
    </row>
    <row r="91" spans="1:36" x14ac:dyDescent="0.25">
      <c r="A91" s="16" t="s">
        <v>215</v>
      </c>
      <c r="B91" s="16" t="s">
        <v>46</v>
      </c>
      <c r="C91" s="16">
        <v>609</v>
      </c>
      <c r="D91" s="16">
        <v>141</v>
      </c>
      <c r="E91" s="16">
        <v>97</v>
      </c>
      <c r="F91" s="16">
        <v>442</v>
      </c>
      <c r="G91" s="6">
        <v>0.3</v>
      </c>
      <c r="H91" s="16">
        <v>40</v>
      </c>
      <c r="I91" s="16" t="s">
        <v>56</v>
      </c>
      <c r="J91" s="16"/>
      <c r="K91" s="16">
        <v>104</v>
      </c>
      <c r="L91" s="16">
        <f t="shared" si="16"/>
        <v>-7</v>
      </c>
      <c r="M91" s="16"/>
      <c r="N91" s="16"/>
      <c r="O91" s="16">
        <v>0</v>
      </c>
      <c r="P91" s="16"/>
      <c r="Q91" s="16"/>
      <c r="R91" s="16">
        <v>0</v>
      </c>
      <c r="S91" s="16">
        <f t="shared" si="17"/>
        <v>19.399999999999999</v>
      </c>
      <c r="T91" s="4"/>
      <c r="U91" s="16">
        <f t="shared" si="18"/>
        <v>22.783505154639176</v>
      </c>
      <c r="V91" s="16">
        <f t="shared" si="19"/>
        <v>22.783505154639176</v>
      </c>
      <c r="W91" s="16">
        <v>18.8</v>
      </c>
      <c r="X91" s="16">
        <v>15.6</v>
      </c>
      <c r="Y91" s="16">
        <v>15</v>
      </c>
      <c r="Z91" s="16">
        <v>7.8</v>
      </c>
      <c r="AA91" s="16">
        <v>9.4</v>
      </c>
      <c r="AB91" s="16">
        <v>58.2</v>
      </c>
      <c r="AC91" s="16">
        <v>58.8</v>
      </c>
      <c r="AD91" s="16">
        <v>34.200000000000003</v>
      </c>
      <c r="AE91" s="16">
        <v>35.6</v>
      </c>
      <c r="AF91" s="16">
        <v>47.4</v>
      </c>
      <c r="AG91" s="12" t="s">
        <v>197</v>
      </c>
      <c r="AH91" s="16">
        <f t="shared" si="20"/>
        <v>0</v>
      </c>
      <c r="AI91" t="s">
        <v>216</v>
      </c>
      <c r="AJ91" s="20" t="str">
        <f t="shared" si="21"/>
        <v>НЕДОГРУЗ / матрица</v>
      </c>
    </row>
    <row r="92" spans="1:36" x14ac:dyDescent="0.25">
      <c r="A92" s="9" t="s">
        <v>217</v>
      </c>
      <c r="B92" s="9" t="s">
        <v>46</v>
      </c>
      <c r="C92" s="9"/>
      <c r="D92" s="9"/>
      <c r="E92" s="9"/>
      <c r="F92" s="9"/>
      <c r="G92" s="10">
        <v>0</v>
      </c>
      <c r="H92" s="9"/>
      <c r="I92" s="9" t="s">
        <v>56</v>
      </c>
      <c r="J92" s="9"/>
      <c r="K92" s="9"/>
      <c r="L92" s="9">
        <f t="shared" si="16"/>
        <v>0</v>
      </c>
      <c r="M92" s="9"/>
      <c r="N92" s="9"/>
      <c r="O92" s="9">
        <v>0</v>
      </c>
      <c r="P92" s="9"/>
      <c r="Q92" s="9"/>
      <c r="R92" s="9">
        <v>0</v>
      </c>
      <c r="S92" s="9">
        <f t="shared" si="17"/>
        <v>0</v>
      </c>
      <c r="T92" s="11"/>
      <c r="U92" s="9" t="e">
        <f t="shared" si="18"/>
        <v>#DIV/0!</v>
      </c>
      <c r="V92" s="9" t="e">
        <f t="shared" si="19"/>
        <v>#DIV/0!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 t="s">
        <v>47</v>
      </c>
      <c r="AH92" s="16">
        <f t="shared" si="20"/>
        <v>0</v>
      </c>
      <c r="AI92" t="s">
        <v>218</v>
      </c>
      <c r="AJ92" s="20" t="str">
        <f t="shared" si="21"/>
        <v>НЕДОГРУЗ / матрица</v>
      </c>
    </row>
    <row r="93" spans="1:36" x14ac:dyDescent="0.25">
      <c r="A93" s="16" t="s">
        <v>219</v>
      </c>
      <c r="B93" s="16" t="s">
        <v>46</v>
      </c>
      <c r="C93" s="16">
        <v>169</v>
      </c>
      <c r="D93" s="16">
        <v>21</v>
      </c>
      <c r="E93" s="16">
        <v>147</v>
      </c>
      <c r="F93" s="16">
        <v>-1</v>
      </c>
      <c r="G93" s="6">
        <v>7.0000000000000007E-2</v>
      </c>
      <c r="H93" s="16">
        <v>90</v>
      </c>
      <c r="I93" s="8" t="s">
        <v>56</v>
      </c>
      <c r="J93" s="16"/>
      <c r="K93" s="16">
        <v>151</v>
      </c>
      <c r="L93" s="16">
        <f t="shared" si="16"/>
        <v>-4</v>
      </c>
      <c r="M93" s="16"/>
      <c r="N93" s="16"/>
      <c r="O93" s="16">
        <v>69.69999999999996</v>
      </c>
      <c r="P93" s="16">
        <v>-71.428571428571416</v>
      </c>
      <c r="Q93" s="16"/>
      <c r="R93" s="16">
        <v>126</v>
      </c>
      <c r="S93" s="16">
        <f t="shared" si="17"/>
        <v>29.4</v>
      </c>
      <c r="T93" s="4">
        <f>12*S93-R93-Q93-O93-F93</f>
        <v>158.1</v>
      </c>
      <c r="U93" s="16">
        <f t="shared" si="18"/>
        <v>11.999999999999998</v>
      </c>
      <c r="V93" s="16">
        <f t="shared" si="19"/>
        <v>6.6224489795918355</v>
      </c>
      <c r="W93" s="16">
        <v>32.799999999999997</v>
      </c>
      <c r="X93" s="16">
        <v>32.200000000000003</v>
      </c>
      <c r="Y93" s="16">
        <v>32.6</v>
      </c>
      <c r="Z93" s="16">
        <v>27.2</v>
      </c>
      <c r="AA93" s="16">
        <v>27.8</v>
      </c>
      <c r="AB93" s="16">
        <v>25.6</v>
      </c>
      <c r="AC93" s="16">
        <v>31.8</v>
      </c>
      <c r="AD93" s="16">
        <v>34.799999999999997</v>
      </c>
      <c r="AE93" s="16">
        <v>27.6</v>
      </c>
      <c r="AF93" s="16">
        <v>10.4</v>
      </c>
      <c r="AG93" s="16"/>
      <c r="AH93" s="16">
        <f t="shared" si="20"/>
        <v>11</v>
      </c>
      <c r="AI93" t="s">
        <v>220</v>
      </c>
      <c r="AJ93" s="20" t="str">
        <f t="shared" si="21"/>
        <v>НЕДОГРУЗ / матрица</v>
      </c>
    </row>
    <row r="94" spans="1:36" x14ac:dyDescent="0.25">
      <c r="A94" s="16" t="s">
        <v>221</v>
      </c>
      <c r="B94" s="16" t="s">
        <v>46</v>
      </c>
      <c r="C94" s="16">
        <v>196</v>
      </c>
      <c r="D94" s="16">
        <v>66</v>
      </c>
      <c r="E94" s="16">
        <v>121</v>
      </c>
      <c r="F94" s="16">
        <v>102</v>
      </c>
      <c r="G94" s="6">
        <v>7.0000000000000007E-2</v>
      </c>
      <c r="H94" s="16">
        <v>90</v>
      </c>
      <c r="I94" s="8" t="s">
        <v>39</v>
      </c>
      <c r="J94" s="16"/>
      <c r="K94" s="16">
        <v>131</v>
      </c>
      <c r="L94" s="16">
        <f t="shared" si="16"/>
        <v>-10</v>
      </c>
      <c r="M94" s="16"/>
      <c r="N94" s="16"/>
      <c r="O94" s="16">
        <v>39.500000000000028</v>
      </c>
      <c r="P94" s="16"/>
      <c r="Q94" s="16"/>
      <c r="R94" s="16">
        <v>65.449999999999974</v>
      </c>
      <c r="S94" s="16">
        <f t="shared" si="17"/>
        <v>24.2</v>
      </c>
      <c r="T94" s="4">
        <f>12*S94-R94-Q94-O94-F94</f>
        <v>83.44999999999996</v>
      </c>
      <c r="U94" s="16">
        <f t="shared" si="18"/>
        <v>12</v>
      </c>
      <c r="V94" s="16">
        <f t="shared" si="19"/>
        <v>8.5516528925619841</v>
      </c>
      <c r="W94" s="16">
        <v>23.2</v>
      </c>
      <c r="X94" s="16">
        <v>21.8</v>
      </c>
      <c r="Y94" s="16">
        <v>23.2</v>
      </c>
      <c r="Z94" s="16">
        <v>22.4</v>
      </c>
      <c r="AA94" s="16">
        <v>26.4</v>
      </c>
      <c r="AB94" s="16">
        <v>33.200000000000003</v>
      </c>
      <c r="AC94" s="16">
        <v>32.6</v>
      </c>
      <c r="AD94" s="16">
        <v>29.4</v>
      </c>
      <c r="AE94" s="16">
        <v>26.8</v>
      </c>
      <c r="AF94" s="16">
        <v>29.8</v>
      </c>
      <c r="AG94" s="16"/>
      <c r="AH94" s="16">
        <f t="shared" si="20"/>
        <v>6</v>
      </c>
      <c r="AI94" t="s">
        <v>222</v>
      </c>
      <c r="AJ94" s="20" t="str">
        <f t="shared" si="21"/>
        <v>матрица</v>
      </c>
    </row>
    <row r="95" spans="1:36" x14ac:dyDescent="0.25">
      <c r="A95" s="16" t="s">
        <v>223</v>
      </c>
      <c r="B95" s="16" t="s">
        <v>46</v>
      </c>
      <c r="C95" s="16">
        <v>106</v>
      </c>
      <c r="D95" s="16">
        <v>226</v>
      </c>
      <c r="E95" s="16">
        <v>101</v>
      </c>
      <c r="F95" s="16">
        <v>165</v>
      </c>
      <c r="G95" s="6">
        <v>0.3</v>
      </c>
      <c r="H95" s="16">
        <v>40</v>
      </c>
      <c r="I95" s="16" t="s">
        <v>39</v>
      </c>
      <c r="J95" s="16"/>
      <c r="K95" s="16">
        <v>130</v>
      </c>
      <c r="L95" s="16">
        <f t="shared" si="16"/>
        <v>-29</v>
      </c>
      <c r="M95" s="16"/>
      <c r="N95" s="16"/>
      <c r="O95" s="16">
        <v>151.1</v>
      </c>
      <c r="P95" s="16"/>
      <c r="Q95" s="16"/>
      <c r="R95" s="16">
        <v>0</v>
      </c>
      <c r="S95" s="16">
        <f t="shared" si="17"/>
        <v>20.2</v>
      </c>
      <c r="T95" s="4"/>
      <c r="U95" s="16">
        <f t="shared" si="18"/>
        <v>15.64851485148515</v>
      </c>
      <c r="V95" s="16">
        <f t="shared" si="19"/>
        <v>15.64851485148515</v>
      </c>
      <c r="W95" s="16">
        <v>25.2</v>
      </c>
      <c r="X95" s="16">
        <v>35.799999999999997</v>
      </c>
      <c r="Y95" s="16">
        <v>35.200000000000003</v>
      </c>
      <c r="Z95" s="16">
        <v>21.2</v>
      </c>
      <c r="AA95" s="16">
        <v>23.2</v>
      </c>
      <c r="AB95" s="16">
        <v>33.799999999999997</v>
      </c>
      <c r="AC95" s="16">
        <v>32</v>
      </c>
      <c r="AD95" s="16">
        <v>3.6</v>
      </c>
      <c r="AE95" s="16">
        <v>2</v>
      </c>
      <c r="AF95" s="16">
        <v>33.4</v>
      </c>
      <c r="AG95" s="16"/>
      <c r="AH95" s="16">
        <f t="shared" si="20"/>
        <v>0</v>
      </c>
      <c r="AI95" t="s">
        <v>224</v>
      </c>
      <c r="AJ95" s="20" t="str">
        <f t="shared" si="21"/>
        <v>матрица</v>
      </c>
    </row>
    <row r="96" spans="1:36" x14ac:dyDescent="0.25">
      <c r="A96" s="16" t="s">
        <v>225</v>
      </c>
      <c r="B96" s="16" t="s">
        <v>38</v>
      </c>
      <c r="C96" s="16">
        <v>134.93299999999999</v>
      </c>
      <c r="D96" s="16">
        <v>25.942</v>
      </c>
      <c r="E96" s="16">
        <v>85.88</v>
      </c>
      <c r="F96" s="13">
        <f>40.055+F123</f>
        <v>70.001000000000005</v>
      </c>
      <c r="G96" s="6">
        <v>1</v>
      </c>
      <c r="H96" s="16">
        <v>55</v>
      </c>
      <c r="I96" s="8" t="s">
        <v>39</v>
      </c>
      <c r="J96" s="16"/>
      <c r="K96" s="16">
        <v>88.6</v>
      </c>
      <c r="L96" s="16">
        <f t="shared" si="16"/>
        <v>-2.7199999999999989</v>
      </c>
      <c r="M96" s="16"/>
      <c r="N96" s="16"/>
      <c r="O96" s="16">
        <v>32.992800000000003</v>
      </c>
      <c r="P96" s="16"/>
      <c r="Q96" s="16"/>
      <c r="R96" s="16">
        <v>54.961759999999977</v>
      </c>
      <c r="S96" s="16">
        <f t="shared" si="17"/>
        <v>17.175999999999998</v>
      </c>
      <c r="T96" s="4">
        <f>12*S96-R96-Q96-O96-F96</f>
        <v>48.156439999999989</v>
      </c>
      <c r="U96" s="16">
        <f t="shared" si="18"/>
        <v>12</v>
      </c>
      <c r="V96" s="16">
        <f t="shared" si="19"/>
        <v>9.1962948299953435</v>
      </c>
      <c r="W96" s="16">
        <v>17.811599999999999</v>
      </c>
      <c r="X96" s="16">
        <v>16.019200000000001</v>
      </c>
      <c r="Y96" s="16">
        <v>15.393000000000001</v>
      </c>
      <c r="Z96" s="16">
        <v>14.175000000000001</v>
      </c>
      <c r="AA96" s="16">
        <v>19.166799999999999</v>
      </c>
      <c r="AB96" s="16">
        <v>18.487400000000001</v>
      </c>
      <c r="AC96" s="16">
        <v>14.2752</v>
      </c>
      <c r="AD96" s="16">
        <v>14.007400000000001</v>
      </c>
      <c r="AE96" s="16">
        <v>16.1724</v>
      </c>
      <c r="AF96" s="16">
        <v>23.736799999999999</v>
      </c>
      <c r="AG96" s="16"/>
      <c r="AH96" s="16">
        <f t="shared" si="20"/>
        <v>48</v>
      </c>
      <c r="AI96" t="s">
        <v>226</v>
      </c>
      <c r="AJ96" s="20" t="str">
        <f t="shared" si="21"/>
        <v>матрица</v>
      </c>
    </row>
    <row r="97" spans="1:36" x14ac:dyDescent="0.25">
      <c r="A97" s="9" t="s">
        <v>227</v>
      </c>
      <c r="B97" s="9" t="s">
        <v>46</v>
      </c>
      <c r="C97" s="9"/>
      <c r="D97" s="9"/>
      <c r="E97" s="9"/>
      <c r="F97" s="9"/>
      <c r="G97" s="10">
        <v>0</v>
      </c>
      <c r="H97" s="9"/>
      <c r="I97" s="9" t="s">
        <v>39</v>
      </c>
      <c r="J97" s="9"/>
      <c r="K97" s="9"/>
      <c r="L97" s="9">
        <f t="shared" si="16"/>
        <v>0</v>
      </c>
      <c r="M97" s="9"/>
      <c r="N97" s="9"/>
      <c r="O97" s="9">
        <v>0</v>
      </c>
      <c r="P97" s="9"/>
      <c r="Q97" s="9"/>
      <c r="R97" s="9">
        <v>0</v>
      </c>
      <c r="S97" s="9">
        <f t="shared" si="17"/>
        <v>0</v>
      </c>
      <c r="T97" s="11"/>
      <c r="U97" s="9" t="e">
        <f t="shared" si="18"/>
        <v>#DIV/0!</v>
      </c>
      <c r="V97" s="9" t="e">
        <f t="shared" si="19"/>
        <v>#DIV/0!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 t="s">
        <v>47</v>
      </c>
      <c r="AH97" s="16">
        <f t="shared" si="20"/>
        <v>0</v>
      </c>
      <c r="AI97" t="s">
        <v>228</v>
      </c>
      <c r="AJ97" s="20" t="str">
        <f t="shared" si="21"/>
        <v>матрица</v>
      </c>
    </row>
    <row r="98" spans="1:36" x14ac:dyDescent="0.25">
      <c r="A98" s="16" t="s">
        <v>229</v>
      </c>
      <c r="B98" s="16" t="s">
        <v>46</v>
      </c>
      <c r="C98" s="16"/>
      <c r="D98" s="16"/>
      <c r="E98" s="16"/>
      <c r="F98" s="16"/>
      <c r="G98" s="6">
        <v>0.1</v>
      </c>
      <c r="H98" s="16">
        <v>30</v>
      </c>
      <c r="I98" s="8" t="s">
        <v>39</v>
      </c>
      <c r="J98" s="16"/>
      <c r="K98" s="16"/>
      <c r="L98" s="16">
        <f t="shared" si="16"/>
        <v>0</v>
      </c>
      <c r="M98" s="16"/>
      <c r="N98" s="16"/>
      <c r="O98" s="16">
        <v>0</v>
      </c>
      <c r="P98" s="16"/>
      <c r="Q98" s="16"/>
      <c r="R98" s="16">
        <v>0</v>
      </c>
      <c r="S98" s="16">
        <f t="shared" si="17"/>
        <v>0</v>
      </c>
      <c r="T98" s="17">
        <v>0</v>
      </c>
      <c r="U98" s="16" t="e">
        <f t="shared" si="18"/>
        <v>#DIV/0!</v>
      </c>
      <c r="V98" s="16" t="e">
        <f t="shared" si="19"/>
        <v>#DIV/0!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-0.2</v>
      </c>
      <c r="AD98" s="16">
        <v>-0.4</v>
      </c>
      <c r="AE98" s="16">
        <v>-0.2</v>
      </c>
      <c r="AF98" s="16">
        <v>-0.2</v>
      </c>
      <c r="AG98" s="18" t="s">
        <v>230</v>
      </c>
      <c r="AH98" s="16">
        <f t="shared" si="20"/>
        <v>0</v>
      </c>
      <c r="AI98" t="s">
        <v>231</v>
      </c>
      <c r="AJ98" s="20" t="str">
        <f t="shared" si="21"/>
        <v>матрица</v>
      </c>
    </row>
    <row r="99" spans="1:36" x14ac:dyDescent="0.25">
      <c r="A99" s="16" t="s">
        <v>232</v>
      </c>
      <c r="B99" s="16" t="s">
        <v>46</v>
      </c>
      <c r="C99" s="16">
        <v>378</v>
      </c>
      <c r="D99" s="16">
        <v>155</v>
      </c>
      <c r="E99" s="16">
        <v>219</v>
      </c>
      <c r="F99" s="16">
        <v>229</v>
      </c>
      <c r="G99" s="6">
        <v>0.08</v>
      </c>
      <c r="H99" s="16">
        <v>45</v>
      </c>
      <c r="I99" s="16" t="s">
        <v>39</v>
      </c>
      <c r="J99" s="16"/>
      <c r="K99" s="16">
        <v>230</v>
      </c>
      <c r="L99" s="16">
        <f t="shared" si="16"/>
        <v>-11</v>
      </c>
      <c r="M99" s="16"/>
      <c r="N99" s="16"/>
      <c r="O99" s="16">
        <v>103.8</v>
      </c>
      <c r="P99" s="16"/>
      <c r="Q99" s="16"/>
      <c r="R99" s="16">
        <v>96.213999999999999</v>
      </c>
      <c r="S99" s="16">
        <f t="shared" si="17"/>
        <v>43.8</v>
      </c>
      <c r="T99" s="4">
        <f>11.5*S99-R99-Q99-O99-F99</f>
        <v>74.685999999999979</v>
      </c>
      <c r="U99" s="16">
        <f t="shared" si="18"/>
        <v>11.5</v>
      </c>
      <c r="V99" s="16">
        <f t="shared" si="19"/>
        <v>9.7948401826484019</v>
      </c>
      <c r="W99" s="16">
        <v>45.2</v>
      </c>
      <c r="X99" s="16">
        <v>46.8</v>
      </c>
      <c r="Y99" s="16">
        <v>48.4</v>
      </c>
      <c r="Z99" s="16">
        <v>49.6</v>
      </c>
      <c r="AA99" s="16">
        <v>51.6</v>
      </c>
      <c r="AB99" s="16">
        <v>58.6</v>
      </c>
      <c r="AC99" s="16">
        <v>63</v>
      </c>
      <c r="AD99" s="16">
        <v>48</v>
      </c>
      <c r="AE99" s="16">
        <v>47</v>
      </c>
      <c r="AF99" s="16">
        <v>62</v>
      </c>
      <c r="AG99" s="16"/>
      <c r="AH99" s="16">
        <f t="shared" si="20"/>
        <v>6</v>
      </c>
      <c r="AI99" t="s">
        <v>233</v>
      </c>
      <c r="AJ99" s="20" t="str">
        <f t="shared" si="21"/>
        <v>матрица</v>
      </c>
    </row>
    <row r="100" spans="1:36" x14ac:dyDescent="0.25">
      <c r="A100" s="16" t="s">
        <v>234</v>
      </c>
      <c r="B100" s="16" t="s">
        <v>46</v>
      </c>
      <c r="C100" s="16">
        <v>272</v>
      </c>
      <c r="D100" s="16">
        <v>139</v>
      </c>
      <c r="E100" s="16">
        <v>205</v>
      </c>
      <c r="F100" s="16">
        <v>143</v>
      </c>
      <c r="G100" s="6">
        <v>0.08</v>
      </c>
      <c r="H100" s="16">
        <v>45</v>
      </c>
      <c r="I100" s="16" t="s">
        <v>39</v>
      </c>
      <c r="J100" s="16"/>
      <c r="K100" s="16">
        <v>218</v>
      </c>
      <c r="L100" s="16">
        <f t="shared" si="16"/>
        <v>-13</v>
      </c>
      <c r="M100" s="16"/>
      <c r="N100" s="16"/>
      <c r="O100" s="16">
        <v>108.8</v>
      </c>
      <c r="P100" s="16"/>
      <c r="Q100" s="16"/>
      <c r="R100" s="16">
        <v>107.718</v>
      </c>
      <c r="S100" s="16">
        <f t="shared" si="17"/>
        <v>41</v>
      </c>
      <c r="T100" s="4">
        <f>11.5*S100-R100-Q100-O100-F100</f>
        <v>111.98199999999997</v>
      </c>
      <c r="U100" s="16">
        <f t="shared" si="18"/>
        <v>11.5</v>
      </c>
      <c r="V100" s="16">
        <f t="shared" si="19"/>
        <v>8.7687317073170732</v>
      </c>
      <c r="W100" s="16">
        <v>38.6</v>
      </c>
      <c r="X100" s="16">
        <v>37.6</v>
      </c>
      <c r="Y100" s="16">
        <v>37.6</v>
      </c>
      <c r="Z100" s="16">
        <v>38.6</v>
      </c>
      <c r="AA100" s="16">
        <v>42.2</v>
      </c>
      <c r="AB100" s="16">
        <v>49</v>
      </c>
      <c r="AC100" s="16">
        <v>51.6</v>
      </c>
      <c r="AD100" s="16">
        <v>45.6</v>
      </c>
      <c r="AE100" s="16">
        <v>43</v>
      </c>
      <c r="AF100" s="16">
        <v>55.6</v>
      </c>
      <c r="AG100" s="16"/>
      <c r="AH100" s="16">
        <f t="shared" si="20"/>
        <v>9</v>
      </c>
      <c r="AI100" t="s">
        <v>235</v>
      </c>
      <c r="AJ100" s="20" t="str">
        <f t="shared" si="21"/>
        <v>матрица</v>
      </c>
    </row>
    <row r="101" spans="1:36" x14ac:dyDescent="0.25">
      <c r="A101" s="16" t="s">
        <v>236</v>
      </c>
      <c r="B101" s="16" t="s">
        <v>46</v>
      </c>
      <c r="C101" s="16">
        <v>4</v>
      </c>
      <c r="D101" s="16">
        <v>36</v>
      </c>
      <c r="E101" s="16">
        <v>-3</v>
      </c>
      <c r="F101" s="16">
        <v>33</v>
      </c>
      <c r="G101" s="6">
        <v>0.17</v>
      </c>
      <c r="H101" s="16">
        <v>30</v>
      </c>
      <c r="I101" s="16" t="s">
        <v>56</v>
      </c>
      <c r="J101" s="16"/>
      <c r="K101" s="16">
        <v>8</v>
      </c>
      <c r="L101" s="16">
        <f t="shared" si="16"/>
        <v>-11</v>
      </c>
      <c r="M101" s="16"/>
      <c r="N101" s="16"/>
      <c r="O101" s="16">
        <v>10</v>
      </c>
      <c r="P101" s="16"/>
      <c r="Q101" s="16"/>
      <c r="R101" s="16">
        <v>0</v>
      </c>
      <c r="S101" s="16">
        <f t="shared" si="17"/>
        <v>-0.6</v>
      </c>
      <c r="T101" s="4"/>
      <c r="U101" s="16">
        <f t="shared" si="18"/>
        <v>-71.666666666666671</v>
      </c>
      <c r="V101" s="16">
        <f t="shared" si="19"/>
        <v>-71.666666666666671</v>
      </c>
      <c r="W101" s="16">
        <v>-0.2</v>
      </c>
      <c r="X101" s="16">
        <v>3.6</v>
      </c>
      <c r="Y101" s="16">
        <v>5</v>
      </c>
      <c r="Z101" s="16">
        <v>2.2000000000000002</v>
      </c>
      <c r="AA101" s="16">
        <v>1.2</v>
      </c>
      <c r="AB101" s="16">
        <v>2</v>
      </c>
      <c r="AC101" s="16">
        <v>2</v>
      </c>
      <c r="AD101" s="16">
        <v>1.2</v>
      </c>
      <c r="AE101" s="16">
        <v>0</v>
      </c>
      <c r="AF101" s="16">
        <v>0</v>
      </c>
      <c r="AG101" s="16" t="s">
        <v>237</v>
      </c>
      <c r="AH101" s="16">
        <f t="shared" si="20"/>
        <v>0</v>
      </c>
      <c r="AI101" t="s">
        <v>238</v>
      </c>
      <c r="AJ101" s="20" t="str">
        <f t="shared" si="21"/>
        <v>НЕДОГРУЗ / матрица</v>
      </c>
    </row>
    <row r="102" spans="1:36" x14ac:dyDescent="0.25">
      <c r="A102" s="16" t="s">
        <v>239</v>
      </c>
      <c r="B102" s="16" t="s">
        <v>38</v>
      </c>
      <c r="C102" s="16">
        <v>133.19</v>
      </c>
      <c r="D102" s="16">
        <v>617.64700000000005</v>
      </c>
      <c r="E102" s="16">
        <v>132.69999999999999</v>
      </c>
      <c r="F102" s="16">
        <v>286.36900000000003</v>
      </c>
      <c r="G102" s="6">
        <v>1</v>
      </c>
      <c r="H102" s="16">
        <v>40</v>
      </c>
      <c r="I102" s="8" t="s">
        <v>56</v>
      </c>
      <c r="J102" s="16"/>
      <c r="K102" s="16">
        <v>354.7</v>
      </c>
      <c r="L102" s="16">
        <f t="shared" ref="L102:L129" si="22">E102-K102</f>
        <v>-222</v>
      </c>
      <c r="M102" s="16"/>
      <c r="N102" s="16"/>
      <c r="O102" s="16">
        <v>400</v>
      </c>
      <c r="P102" s="16"/>
      <c r="Q102" s="16"/>
      <c r="R102" s="16">
        <v>45.806999999999938</v>
      </c>
      <c r="S102" s="16">
        <f t="shared" ref="S102:S129" si="23">E102/5</f>
        <v>26.54</v>
      </c>
      <c r="T102" s="4">
        <v>50</v>
      </c>
      <c r="U102" s="16">
        <f t="shared" ref="U102:U129" si="24">(F102+O102+Q102+R102+T102)/S102</f>
        <v>29.471590052750564</v>
      </c>
      <c r="V102" s="16">
        <f t="shared" ref="V102:V129" si="25">(F102+O102+Q102+R102)/S102</f>
        <v>27.587641296156743</v>
      </c>
      <c r="W102" s="16">
        <v>85.914999999999992</v>
      </c>
      <c r="X102" s="16">
        <v>95.000599999999991</v>
      </c>
      <c r="Y102" s="16">
        <v>36.310600000000001</v>
      </c>
      <c r="Z102" s="16">
        <v>67.372</v>
      </c>
      <c r="AA102" s="16">
        <v>87.045000000000002</v>
      </c>
      <c r="AB102" s="16">
        <v>19.298999999999999</v>
      </c>
      <c r="AC102" s="16">
        <v>3.8765999999999998</v>
      </c>
      <c r="AD102" s="16">
        <v>19.322399999999998</v>
      </c>
      <c r="AE102" s="16">
        <v>14.2462</v>
      </c>
      <c r="AF102" s="16">
        <v>43.054199999999987</v>
      </c>
      <c r="AG102" s="16" t="s">
        <v>75</v>
      </c>
      <c r="AH102" s="16">
        <f t="shared" ref="AH102:AH129" si="26">ROUND(G102*T102,0)</f>
        <v>50</v>
      </c>
      <c r="AI102" t="s">
        <v>240</v>
      </c>
      <c r="AJ102" s="20" t="str">
        <f t="shared" si="21"/>
        <v>НЕДОГРУЗ / матрица</v>
      </c>
    </row>
    <row r="103" spans="1:36" x14ac:dyDescent="0.25">
      <c r="A103" s="16" t="s">
        <v>241</v>
      </c>
      <c r="B103" s="16" t="s">
        <v>38</v>
      </c>
      <c r="C103" s="16">
        <v>452.38900000000001</v>
      </c>
      <c r="D103" s="16">
        <v>907.61699999999996</v>
      </c>
      <c r="E103" s="16">
        <v>895.39300000000003</v>
      </c>
      <c r="F103" s="16">
        <v>148.83000000000001</v>
      </c>
      <c r="G103" s="6">
        <v>1</v>
      </c>
      <c r="H103" s="16">
        <v>40</v>
      </c>
      <c r="I103" s="8" t="s">
        <v>56</v>
      </c>
      <c r="J103" s="16"/>
      <c r="K103" s="16">
        <v>992.2</v>
      </c>
      <c r="L103" s="16">
        <f t="shared" si="22"/>
        <v>-96.807000000000016</v>
      </c>
      <c r="M103" s="16"/>
      <c r="N103" s="16"/>
      <c r="O103" s="16">
        <v>120</v>
      </c>
      <c r="P103" s="16"/>
      <c r="Q103" s="16"/>
      <c r="R103" s="16">
        <v>700</v>
      </c>
      <c r="S103" s="16">
        <f t="shared" si="23"/>
        <v>179.07859999999999</v>
      </c>
      <c r="T103" s="4">
        <v>1000</v>
      </c>
      <c r="U103" s="16">
        <f t="shared" si="24"/>
        <v>10.994222648602346</v>
      </c>
      <c r="V103" s="16">
        <f t="shared" si="25"/>
        <v>5.4100825000865544</v>
      </c>
      <c r="W103" s="16">
        <v>196.54900000000001</v>
      </c>
      <c r="X103" s="16">
        <v>84.728999999999999</v>
      </c>
      <c r="Y103" s="16">
        <v>37.037599999999998</v>
      </c>
      <c r="Z103" s="16">
        <v>99.776600000000002</v>
      </c>
      <c r="AA103" s="16">
        <v>121.7056</v>
      </c>
      <c r="AB103" s="16">
        <v>49.871600000000001</v>
      </c>
      <c r="AC103" s="16">
        <v>59.215599999999988</v>
      </c>
      <c r="AD103" s="16">
        <v>80.884199999999993</v>
      </c>
      <c r="AE103" s="16">
        <v>78.121400000000008</v>
      </c>
      <c r="AF103" s="16">
        <v>29.4024</v>
      </c>
      <c r="AG103" s="16" t="s">
        <v>75</v>
      </c>
      <c r="AH103" s="16">
        <f t="shared" si="26"/>
        <v>1000</v>
      </c>
      <c r="AI103" t="s">
        <v>242</v>
      </c>
      <c r="AJ103" s="20" t="str">
        <f t="shared" si="21"/>
        <v>НЕДОГРУЗ / матрица</v>
      </c>
    </row>
    <row r="104" spans="1:36" x14ac:dyDescent="0.25">
      <c r="A104" s="16" t="s">
        <v>243</v>
      </c>
      <c r="B104" s="16" t="s">
        <v>38</v>
      </c>
      <c r="C104" s="16"/>
      <c r="D104" s="16">
        <v>229.61699999999999</v>
      </c>
      <c r="E104" s="16">
        <v>51.966999999999999</v>
      </c>
      <c r="F104" s="16">
        <v>18.783999999999999</v>
      </c>
      <c r="G104" s="6">
        <v>1</v>
      </c>
      <c r="H104" s="16">
        <v>40</v>
      </c>
      <c r="I104" s="8" t="s">
        <v>56</v>
      </c>
      <c r="J104" s="16"/>
      <c r="K104" s="16">
        <v>173.7</v>
      </c>
      <c r="L104" s="16">
        <f t="shared" si="22"/>
        <v>-121.73299999999999</v>
      </c>
      <c r="M104" s="16"/>
      <c r="N104" s="16"/>
      <c r="O104" s="16">
        <v>0</v>
      </c>
      <c r="P104" s="16"/>
      <c r="Q104" s="16"/>
      <c r="R104" s="16">
        <v>0</v>
      </c>
      <c r="S104" s="16">
        <f t="shared" si="23"/>
        <v>10.3934</v>
      </c>
      <c r="T104" s="4">
        <f>12*S104-R104-Q104-O104-F104</f>
        <v>105.93680000000001</v>
      </c>
      <c r="U104" s="16">
        <f t="shared" si="24"/>
        <v>12</v>
      </c>
      <c r="V104" s="16">
        <f t="shared" si="25"/>
        <v>1.8073007870379278</v>
      </c>
      <c r="W104" s="16">
        <v>9.5038</v>
      </c>
      <c r="X104" s="16">
        <v>-0.74480000000000002</v>
      </c>
      <c r="Y104" s="16">
        <v>-0.85359999999999991</v>
      </c>
      <c r="Z104" s="16">
        <v>-2.0251999999999999</v>
      </c>
      <c r="AA104" s="16">
        <v>-1.8894</v>
      </c>
      <c r="AB104" s="16">
        <v>-2.2866</v>
      </c>
      <c r="AC104" s="16">
        <v>-2.1309999999999998</v>
      </c>
      <c r="AD104" s="16">
        <v>-0.42120000000000002</v>
      </c>
      <c r="AE104" s="16">
        <v>-1.1818</v>
      </c>
      <c r="AF104" s="16">
        <v>9.0351999999999997</v>
      </c>
      <c r="AG104" s="16"/>
      <c r="AH104" s="16">
        <f t="shared" si="26"/>
        <v>106</v>
      </c>
      <c r="AI104" t="s">
        <v>244</v>
      </c>
      <c r="AJ104" s="20" t="str">
        <f t="shared" si="21"/>
        <v>НЕДОГРУЗ / матрица</v>
      </c>
    </row>
    <row r="105" spans="1:36" x14ac:dyDescent="0.25">
      <c r="A105" s="9" t="s">
        <v>245</v>
      </c>
      <c r="B105" s="9" t="s">
        <v>46</v>
      </c>
      <c r="C105" s="9"/>
      <c r="D105" s="9"/>
      <c r="E105" s="9"/>
      <c r="F105" s="9"/>
      <c r="G105" s="10">
        <v>0</v>
      </c>
      <c r="H105" s="9"/>
      <c r="I105" s="9" t="s">
        <v>39</v>
      </c>
      <c r="J105" s="9"/>
      <c r="K105" s="9"/>
      <c r="L105" s="9">
        <f t="shared" si="22"/>
        <v>0</v>
      </c>
      <c r="M105" s="9"/>
      <c r="N105" s="9"/>
      <c r="O105" s="9">
        <v>0</v>
      </c>
      <c r="P105" s="9"/>
      <c r="Q105" s="9"/>
      <c r="R105" s="9">
        <v>0</v>
      </c>
      <c r="S105" s="9">
        <f t="shared" si="23"/>
        <v>0</v>
      </c>
      <c r="T105" s="11"/>
      <c r="U105" s="9" t="e">
        <f t="shared" si="24"/>
        <v>#DIV/0!</v>
      </c>
      <c r="V105" s="9" t="e">
        <f t="shared" si="25"/>
        <v>#DIV/0!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 t="s">
        <v>47</v>
      </c>
      <c r="AH105" s="16">
        <f t="shared" si="26"/>
        <v>0</v>
      </c>
      <c r="AI105" t="s">
        <v>246</v>
      </c>
      <c r="AJ105" s="20" t="str">
        <f t="shared" si="21"/>
        <v>матрица</v>
      </c>
    </row>
    <row r="106" spans="1:36" x14ac:dyDescent="0.25">
      <c r="A106" s="16" t="s">
        <v>247</v>
      </c>
      <c r="B106" s="16" t="s">
        <v>38</v>
      </c>
      <c r="C106" s="16">
        <v>41.156999999999996</v>
      </c>
      <c r="D106" s="16">
        <v>27.448</v>
      </c>
      <c r="E106" s="16">
        <v>24.75</v>
      </c>
      <c r="F106" s="16">
        <v>24.111999999999998</v>
      </c>
      <c r="G106" s="6">
        <v>1</v>
      </c>
      <c r="H106" s="16">
        <v>55</v>
      </c>
      <c r="I106" s="16" t="s">
        <v>56</v>
      </c>
      <c r="J106" s="16"/>
      <c r="K106" s="16">
        <v>19.100000000000001</v>
      </c>
      <c r="L106" s="16">
        <f t="shared" si="22"/>
        <v>5.6499999999999986</v>
      </c>
      <c r="M106" s="16"/>
      <c r="N106" s="16"/>
      <c r="O106" s="16">
        <v>0</v>
      </c>
      <c r="P106" s="16"/>
      <c r="Q106" s="16"/>
      <c r="R106" s="16">
        <v>27.62</v>
      </c>
      <c r="S106" s="16">
        <f t="shared" si="23"/>
        <v>4.95</v>
      </c>
      <c r="T106" s="4">
        <f>11.5*S106-R106-Q106-O106-F106</f>
        <v>5.1930000000000049</v>
      </c>
      <c r="U106" s="16">
        <f t="shared" si="24"/>
        <v>11.5</v>
      </c>
      <c r="V106" s="16">
        <f t="shared" si="25"/>
        <v>10.450909090909091</v>
      </c>
      <c r="W106" s="16">
        <v>4.95</v>
      </c>
      <c r="X106" s="16">
        <v>2.1389999999999998</v>
      </c>
      <c r="Y106" s="16">
        <v>2.1389999999999998</v>
      </c>
      <c r="Z106" s="16">
        <v>3.8119999999999998</v>
      </c>
      <c r="AA106" s="16">
        <v>4.6360000000000001</v>
      </c>
      <c r="AB106" s="16">
        <v>0.82400000000000007</v>
      </c>
      <c r="AC106" s="16">
        <v>0.27460000000000001</v>
      </c>
      <c r="AD106" s="16">
        <v>0.27460000000000001</v>
      </c>
      <c r="AE106" s="16">
        <v>2.4338000000000002</v>
      </c>
      <c r="AF106" s="16">
        <v>2.9998</v>
      </c>
      <c r="AG106" s="16" t="s">
        <v>248</v>
      </c>
      <c r="AH106" s="16">
        <f t="shared" si="26"/>
        <v>5</v>
      </c>
      <c r="AI106" t="s">
        <v>249</v>
      </c>
      <c r="AJ106" s="20" t="str">
        <f t="shared" si="21"/>
        <v>НЕДОГРУЗ / матрица</v>
      </c>
    </row>
    <row r="107" spans="1:36" x14ac:dyDescent="0.25">
      <c r="A107" s="16" t="s">
        <v>250</v>
      </c>
      <c r="B107" s="16" t="s">
        <v>46</v>
      </c>
      <c r="C107" s="16">
        <v>74</v>
      </c>
      <c r="D107" s="16">
        <v>374</v>
      </c>
      <c r="E107" s="16">
        <v>36</v>
      </c>
      <c r="F107" s="16">
        <v>273</v>
      </c>
      <c r="G107" s="6">
        <v>0.28000000000000003</v>
      </c>
      <c r="H107" s="16">
        <v>40</v>
      </c>
      <c r="I107" s="8" t="s">
        <v>56</v>
      </c>
      <c r="J107" s="16"/>
      <c r="K107" s="16">
        <v>608</v>
      </c>
      <c r="L107" s="16">
        <f t="shared" si="22"/>
        <v>-572</v>
      </c>
      <c r="M107" s="16"/>
      <c r="N107" s="16"/>
      <c r="O107" s="16">
        <v>0</v>
      </c>
      <c r="P107" s="16"/>
      <c r="Q107" s="16"/>
      <c r="R107" s="16">
        <v>0</v>
      </c>
      <c r="S107" s="16">
        <f t="shared" si="23"/>
        <v>7.2</v>
      </c>
      <c r="T107" s="4"/>
      <c r="U107" s="16">
        <f t="shared" si="24"/>
        <v>37.916666666666664</v>
      </c>
      <c r="V107" s="16">
        <f t="shared" si="25"/>
        <v>37.916666666666664</v>
      </c>
      <c r="W107" s="16">
        <v>-1.8</v>
      </c>
      <c r="X107" s="16">
        <v>60.2</v>
      </c>
      <c r="Y107" s="16">
        <v>110.8</v>
      </c>
      <c r="Z107" s="16">
        <v>85.6</v>
      </c>
      <c r="AA107" s="16">
        <v>33</v>
      </c>
      <c r="AB107" s="16">
        <v>-2.8</v>
      </c>
      <c r="AC107" s="16">
        <v>44</v>
      </c>
      <c r="AD107" s="16">
        <v>78.599999999999994</v>
      </c>
      <c r="AE107" s="16">
        <v>33.4</v>
      </c>
      <c r="AF107" s="16">
        <v>9.6</v>
      </c>
      <c r="AG107" s="14" t="s">
        <v>251</v>
      </c>
      <c r="AH107" s="16">
        <f t="shared" si="26"/>
        <v>0</v>
      </c>
      <c r="AI107" t="s">
        <v>252</v>
      </c>
      <c r="AJ107" s="20" t="str">
        <f t="shared" si="21"/>
        <v>НЕДОГРУЗ / матрица</v>
      </c>
    </row>
    <row r="108" spans="1:36" x14ac:dyDescent="0.25">
      <c r="A108" s="9" t="s">
        <v>253</v>
      </c>
      <c r="B108" s="9" t="s">
        <v>46</v>
      </c>
      <c r="C108" s="9"/>
      <c r="D108" s="9"/>
      <c r="E108" s="9"/>
      <c r="F108" s="9"/>
      <c r="G108" s="10">
        <v>0</v>
      </c>
      <c r="H108" s="9"/>
      <c r="I108" s="9" t="s">
        <v>56</v>
      </c>
      <c r="J108" s="9"/>
      <c r="K108" s="9"/>
      <c r="L108" s="9">
        <f t="shared" si="22"/>
        <v>0</v>
      </c>
      <c r="M108" s="9"/>
      <c r="N108" s="9"/>
      <c r="O108" s="9">
        <v>0</v>
      </c>
      <c r="P108" s="9"/>
      <c r="Q108" s="9"/>
      <c r="R108" s="9">
        <v>0</v>
      </c>
      <c r="S108" s="9">
        <f t="shared" si="23"/>
        <v>0</v>
      </c>
      <c r="T108" s="11"/>
      <c r="U108" s="9" t="e">
        <f t="shared" si="24"/>
        <v>#DIV/0!</v>
      </c>
      <c r="V108" s="9" t="e">
        <f t="shared" si="25"/>
        <v>#DIV/0!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 t="s">
        <v>47</v>
      </c>
      <c r="AH108" s="16">
        <f t="shared" si="26"/>
        <v>0</v>
      </c>
      <c r="AI108" t="s">
        <v>254</v>
      </c>
      <c r="AJ108" s="20" t="str">
        <f t="shared" si="21"/>
        <v>НЕДОГРУЗ / матрица</v>
      </c>
    </row>
    <row r="109" spans="1:36" x14ac:dyDescent="0.25">
      <c r="A109" s="16" t="s">
        <v>255</v>
      </c>
      <c r="B109" s="16" t="s">
        <v>46</v>
      </c>
      <c r="C109" s="16">
        <v>72</v>
      </c>
      <c r="D109" s="16">
        <v>221</v>
      </c>
      <c r="E109" s="16">
        <v>26</v>
      </c>
      <c r="F109" s="16">
        <v>167</v>
      </c>
      <c r="G109" s="6">
        <v>0.28000000000000003</v>
      </c>
      <c r="H109" s="16">
        <v>40</v>
      </c>
      <c r="I109" s="8" t="s">
        <v>56</v>
      </c>
      <c r="J109" s="16"/>
      <c r="K109" s="16">
        <v>581</v>
      </c>
      <c r="L109" s="16">
        <f t="shared" si="22"/>
        <v>-555</v>
      </c>
      <c r="M109" s="16"/>
      <c r="N109" s="16"/>
      <c r="O109" s="16">
        <v>81.5</v>
      </c>
      <c r="P109" s="16">
        <v>-85.714285714285708</v>
      </c>
      <c r="Q109" s="16"/>
      <c r="R109" s="16">
        <v>0</v>
      </c>
      <c r="S109" s="16">
        <f t="shared" si="23"/>
        <v>5.2</v>
      </c>
      <c r="T109" s="4"/>
      <c r="U109" s="16">
        <f t="shared" si="24"/>
        <v>47.78846153846154</v>
      </c>
      <c r="V109" s="16">
        <f t="shared" si="25"/>
        <v>47.78846153846154</v>
      </c>
      <c r="W109" s="16">
        <v>-1.4</v>
      </c>
      <c r="X109" s="16">
        <v>38.6</v>
      </c>
      <c r="Y109" s="16">
        <v>63</v>
      </c>
      <c r="Z109" s="16">
        <v>37.6</v>
      </c>
      <c r="AA109" s="16">
        <v>11.4</v>
      </c>
      <c r="AB109" s="16">
        <v>18.600000000000001</v>
      </c>
      <c r="AC109" s="16">
        <v>57.8</v>
      </c>
      <c r="AD109" s="16">
        <v>35.799999999999997</v>
      </c>
      <c r="AE109" s="16">
        <v>-2</v>
      </c>
      <c r="AF109" s="16">
        <v>12</v>
      </c>
      <c r="AG109" s="14" t="s">
        <v>251</v>
      </c>
      <c r="AH109" s="16">
        <f t="shared" si="26"/>
        <v>0</v>
      </c>
      <c r="AI109" t="s">
        <v>256</v>
      </c>
      <c r="AJ109" s="20" t="str">
        <f t="shared" si="21"/>
        <v>НЕДОГРУЗ / матрица</v>
      </c>
    </row>
    <row r="110" spans="1:36" x14ac:dyDescent="0.25">
      <c r="A110" s="16" t="s">
        <v>257</v>
      </c>
      <c r="B110" s="16" t="s">
        <v>46</v>
      </c>
      <c r="C110" s="16">
        <v>135</v>
      </c>
      <c r="D110" s="16">
        <v>80</v>
      </c>
      <c r="E110" s="16">
        <v>105</v>
      </c>
      <c r="F110" s="16">
        <v>82</v>
      </c>
      <c r="G110" s="6">
        <v>0.09</v>
      </c>
      <c r="H110" s="16"/>
      <c r="I110" s="16" t="s">
        <v>39</v>
      </c>
      <c r="J110" s="16"/>
      <c r="K110" s="16">
        <v>117</v>
      </c>
      <c r="L110" s="16">
        <f t="shared" si="22"/>
        <v>-12</v>
      </c>
      <c r="M110" s="16"/>
      <c r="N110" s="16"/>
      <c r="O110" s="16">
        <v>93.799999999999955</v>
      </c>
      <c r="P110" s="16"/>
      <c r="Q110" s="16"/>
      <c r="R110" s="16">
        <v>22.148000000000049</v>
      </c>
      <c r="S110" s="16">
        <f t="shared" si="23"/>
        <v>21</v>
      </c>
      <c r="T110" s="4">
        <f>11.5*S110-R110-Q110-O110-F110</f>
        <v>43.551999999999992</v>
      </c>
      <c r="U110" s="16">
        <f t="shared" si="24"/>
        <v>11.5</v>
      </c>
      <c r="V110" s="16">
        <f t="shared" si="25"/>
        <v>9.4260952380952379</v>
      </c>
      <c r="W110" s="16">
        <v>21.6</v>
      </c>
      <c r="X110" s="16">
        <v>22.4</v>
      </c>
      <c r="Y110" s="16">
        <v>19.8</v>
      </c>
      <c r="Z110" s="16">
        <v>19.600000000000001</v>
      </c>
      <c r="AA110" s="16">
        <v>24</v>
      </c>
      <c r="AB110" s="16">
        <v>23.2</v>
      </c>
      <c r="AC110" s="16">
        <v>17.8</v>
      </c>
      <c r="AD110" s="16">
        <v>6</v>
      </c>
      <c r="AE110" s="16">
        <v>6</v>
      </c>
      <c r="AF110" s="16">
        <v>14.2</v>
      </c>
      <c r="AG110" s="16"/>
      <c r="AH110" s="16">
        <f t="shared" si="26"/>
        <v>4</v>
      </c>
      <c r="AI110" t="s">
        <v>258</v>
      </c>
      <c r="AJ110" s="20" t="str">
        <f t="shared" si="21"/>
        <v>матрица</v>
      </c>
    </row>
    <row r="111" spans="1:36" x14ac:dyDescent="0.25">
      <c r="A111" s="16" t="s">
        <v>259</v>
      </c>
      <c r="B111" s="16" t="s">
        <v>38</v>
      </c>
      <c r="C111" s="16">
        <v>206.69</v>
      </c>
      <c r="D111" s="16">
        <v>31.1</v>
      </c>
      <c r="E111" s="16">
        <v>70.870999999999995</v>
      </c>
      <c r="F111" s="16">
        <v>120.73699999999999</v>
      </c>
      <c r="G111" s="6">
        <v>1</v>
      </c>
      <c r="H111" s="16">
        <v>60</v>
      </c>
      <c r="I111" s="16" t="s">
        <v>39</v>
      </c>
      <c r="J111" s="16"/>
      <c r="K111" s="16">
        <v>70</v>
      </c>
      <c r="L111" s="16">
        <f t="shared" si="22"/>
        <v>0.87099999999999511</v>
      </c>
      <c r="M111" s="16"/>
      <c r="N111" s="16"/>
      <c r="O111" s="16">
        <v>243.154</v>
      </c>
      <c r="P111" s="16"/>
      <c r="Q111" s="16"/>
      <c r="R111" s="16">
        <v>102.4038</v>
      </c>
      <c r="S111" s="16">
        <f t="shared" si="23"/>
        <v>14.174199999999999</v>
      </c>
      <c r="T111" s="4"/>
      <c r="U111" s="16">
        <f t="shared" si="24"/>
        <v>32.897433364845988</v>
      </c>
      <c r="V111" s="16">
        <f t="shared" si="25"/>
        <v>32.897433364845988</v>
      </c>
      <c r="W111" s="16">
        <v>45.174799999999998</v>
      </c>
      <c r="X111" s="16">
        <v>44.218200000000003</v>
      </c>
      <c r="Y111" s="16">
        <v>10.622999999999999</v>
      </c>
      <c r="Z111" s="16">
        <v>11.144600000000001</v>
      </c>
      <c r="AA111" s="16">
        <v>19.508400000000002</v>
      </c>
      <c r="AB111" s="16">
        <v>24.999600000000001</v>
      </c>
      <c r="AC111" s="16">
        <v>21.991399999999999</v>
      </c>
      <c r="AD111" s="16">
        <v>8.8583999999999996</v>
      </c>
      <c r="AE111" s="16">
        <v>2.6758000000000002</v>
      </c>
      <c r="AF111" s="16">
        <v>38.171399999999998</v>
      </c>
      <c r="AG111" s="12" t="s">
        <v>197</v>
      </c>
      <c r="AH111" s="16">
        <f t="shared" si="26"/>
        <v>0</v>
      </c>
      <c r="AI111" t="s">
        <v>260</v>
      </c>
      <c r="AJ111" s="20" t="str">
        <f t="shared" si="21"/>
        <v>матрица</v>
      </c>
    </row>
    <row r="112" spans="1:36" x14ac:dyDescent="0.25">
      <c r="A112" s="16" t="s">
        <v>261</v>
      </c>
      <c r="B112" s="16" t="s">
        <v>38</v>
      </c>
      <c r="C112" s="16">
        <v>89.655000000000001</v>
      </c>
      <c r="D112" s="16"/>
      <c r="E112" s="16"/>
      <c r="F112" s="16">
        <v>89.655000000000001</v>
      </c>
      <c r="G112" s="6">
        <v>1</v>
      </c>
      <c r="H112" s="16">
        <v>50</v>
      </c>
      <c r="I112" s="16" t="s">
        <v>39</v>
      </c>
      <c r="J112" s="16"/>
      <c r="K112" s="16">
        <v>15</v>
      </c>
      <c r="L112" s="16">
        <f t="shared" si="22"/>
        <v>-15</v>
      </c>
      <c r="M112" s="16"/>
      <c r="N112" s="16"/>
      <c r="O112" s="16">
        <v>0</v>
      </c>
      <c r="P112" s="16"/>
      <c r="Q112" s="16"/>
      <c r="R112" s="16">
        <v>0</v>
      </c>
      <c r="S112" s="16">
        <f t="shared" si="23"/>
        <v>0</v>
      </c>
      <c r="T112" s="4"/>
      <c r="U112" s="16" t="e">
        <f t="shared" si="24"/>
        <v>#DIV/0!</v>
      </c>
      <c r="V112" s="16" t="e">
        <f t="shared" si="25"/>
        <v>#DIV/0!</v>
      </c>
      <c r="W112" s="16">
        <v>0</v>
      </c>
      <c r="X112" s="16">
        <v>0</v>
      </c>
      <c r="Y112" s="16">
        <v>-0.3352</v>
      </c>
      <c r="Z112" s="16">
        <v>-0.3352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2" t="s">
        <v>197</v>
      </c>
      <c r="AH112" s="16">
        <f t="shared" si="26"/>
        <v>0</v>
      </c>
      <c r="AI112" t="s">
        <v>262</v>
      </c>
      <c r="AJ112" s="20" t="str">
        <f t="shared" si="21"/>
        <v>матрица</v>
      </c>
    </row>
    <row r="113" spans="1:36" x14ac:dyDescent="0.25">
      <c r="A113" s="16" t="s">
        <v>263</v>
      </c>
      <c r="B113" s="16" t="s">
        <v>46</v>
      </c>
      <c r="C113" s="16">
        <v>130</v>
      </c>
      <c r="D113" s="16">
        <v>35</v>
      </c>
      <c r="E113" s="16">
        <v>59</v>
      </c>
      <c r="F113" s="16">
        <v>66</v>
      </c>
      <c r="G113" s="6">
        <v>0.09</v>
      </c>
      <c r="H113" s="16"/>
      <c r="I113" s="16" t="s">
        <v>56</v>
      </c>
      <c r="J113" s="16"/>
      <c r="K113" s="16">
        <v>64</v>
      </c>
      <c r="L113" s="16">
        <f t="shared" si="22"/>
        <v>-5</v>
      </c>
      <c r="M113" s="16"/>
      <c r="N113" s="16"/>
      <c r="O113" s="16">
        <v>0</v>
      </c>
      <c r="P113" s="16"/>
      <c r="Q113" s="16"/>
      <c r="R113" s="16">
        <v>58.599999999999987</v>
      </c>
      <c r="S113" s="16">
        <f t="shared" si="23"/>
        <v>11.8</v>
      </c>
      <c r="T113" s="4">
        <f>11.5*S113-R113-Q113-O113-F113</f>
        <v>11.100000000000023</v>
      </c>
      <c r="U113" s="16">
        <f t="shared" si="24"/>
        <v>11.5</v>
      </c>
      <c r="V113" s="16">
        <f t="shared" si="25"/>
        <v>10.559322033898304</v>
      </c>
      <c r="W113" s="16">
        <v>12.6</v>
      </c>
      <c r="X113" s="16">
        <v>8.1999999999999993</v>
      </c>
      <c r="Y113" s="16">
        <v>6.6</v>
      </c>
      <c r="Z113" s="16">
        <v>14.8</v>
      </c>
      <c r="AA113" s="16">
        <v>20.2</v>
      </c>
      <c r="AB113" s="16">
        <v>8.1999999999999993</v>
      </c>
      <c r="AC113" s="16">
        <v>2</v>
      </c>
      <c r="AD113" s="16">
        <v>1.4</v>
      </c>
      <c r="AE113" s="16">
        <v>4</v>
      </c>
      <c r="AF113" s="16">
        <v>13.6</v>
      </c>
      <c r="AG113" s="16"/>
      <c r="AH113" s="16">
        <f t="shared" si="26"/>
        <v>1</v>
      </c>
      <c r="AI113" t="s">
        <v>264</v>
      </c>
      <c r="AJ113" s="20" t="str">
        <f t="shared" si="21"/>
        <v>НЕДОГРУЗ / матрица</v>
      </c>
    </row>
    <row r="114" spans="1:36" x14ac:dyDescent="0.25">
      <c r="A114" s="9" t="s">
        <v>265</v>
      </c>
      <c r="B114" s="9" t="s">
        <v>46</v>
      </c>
      <c r="C114" s="9"/>
      <c r="D114" s="9"/>
      <c r="E114" s="9"/>
      <c r="F114" s="9"/>
      <c r="G114" s="10">
        <v>0</v>
      </c>
      <c r="H114" s="9"/>
      <c r="I114" s="9" t="s">
        <v>39</v>
      </c>
      <c r="J114" s="9"/>
      <c r="K114" s="9"/>
      <c r="L114" s="9">
        <f t="shared" si="22"/>
        <v>0</v>
      </c>
      <c r="M114" s="9"/>
      <c r="N114" s="9"/>
      <c r="O114" s="9">
        <v>0</v>
      </c>
      <c r="P114" s="9"/>
      <c r="Q114" s="9"/>
      <c r="R114" s="9">
        <v>0</v>
      </c>
      <c r="S114" s="9">
        <f t="shared" si="23"/>
        <v>0</v>
      </c>
      <c r="T114" s="11"/>
      <c r="U114" s="9" t="e">
        <f t="shared" si="24"/>
        <v>#DIV/0!</v>
      </c>
      <c r="V114" s="9" t="e">
        <f t="shared" si="25"/>
        <v>#DIV/0!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 t="s">
        <v>47</v>
      </c>
      <c r="AH114" s="16">
        <f t="shared" si="26"/>
        <v>0</v>
      </c>
      <c r="AI114" t="s">
        <v>266</v>
      </c>
      <c r="AJ114" s="20" t="str">
        <f t="shared" si="21"/>
        <v>матрица</v>
      </c>
    </row>
    <row r="115" spans="1:36" x14ac:dyDescent="0.25">
      <c r="A115" s="16" t="s">
        <v>267</v>
      </c>
      <c r="B115" s="16" t="s">
        <v>38</v>
      </c>
      <c r="C115" s="16">
        <v>802.68100000000004</v>
      </c>
      <c r="D115" s="16">
        <v>181.696</v>
      </c>
      <c r="E115" s="16">
        <v>349.649</v>
      </c>
      <c r="F115" s="16">
        <v>476.815</v>
      </c>
      <c r="G115" s="6">
        <v>1</v>
      </c>
      <c r="H115" s="16">
        <v>60</v>
      </c>
      <c r="I115" s="16" t="s">
        <v>56</v>
      </c>
      <c r="J115" s="16"/>
      <c r="K115" s="16">
        <v>338.65</v>
      </c>
      <c r="L115" s="16">
        <f t="shared" si="22"/>
        <v>10.999000000000024</v>
      </c>
      <c r="M115" s="16"/>
      <c r="N115" s="16"/>
      <c r="O115" s="16">
        <v>197.7618380000001</v>
      </c>
      <c r="P115" s="16"/>
      <c r="Q115" s="16"/>
      <c r="R115" s="16">
        <v>155.28096199999979</v>
      </c>
      <c r="S115" s="16">
        <f t="shared" si="23"/>
        <v>69.9298</v>
      </c>
      <c r="T115" s="4"/>
      <c r="U115" s="16">
        <f t="shared" si="24"/>
        <v>11.867012346667657</v>
      </c>
      <c r="V115" s="16">
        <f t="shared" si="25"/>
        <v>11.867012346667657</v>
      </c>
      <c r="W115" s="16">
        <v>86.117800000000003</v>
      </c>
      <c r="X115" s="16">
        <v>86.794000000000011</v>
      </c>
      <c r="Y115" s="16">
        <v>73.754199999999997</v>
      </c>
      <c r="Z115" s="16">
        <v>90.467399999999998</v>
      </c>
      <c r="AA115" s="16">
        <v>99.922799999999995</v>
      </c>
      <c r="AB115" s="16">
        <v>94.257800000000003</v>
      </c>
      <c r="AC115" s="16">
        <v>86.013800000000003</v>
      </c>
      <c r="AD115" s="16">
        <v>49.147399999999998</v>
      </c>
      <c r="AE115" s="16">
        <v>53.992400000000004</v>
      </c>
      <c r="AF115" s="16">
        <v>69.008799999999994</v>
      </c>
      <c r="AG115" s="16"/>
      <c r="AH115" s="16">
        <f t="shared" si="26"/>
        <v>0</v>
      </c>
      <c r="AI115" t="s">
        <v>268</v>
      </c>
      <c r="AJ115" s="20" t="str">
        <f t="shared" si="21"/>
        <v>НЕДОГРУЗ / матрица</v>
      </c>
    </row>
    <row r="116" spans="1:36" x14ac:dyDescent="0.25">
      <c r="A116" s="16" t="s">
        <v>269</v>
      </c>
      <c r="B116" s="16" t="s">
        <v>38</v>
      </c>
      <c r="C116" s="16">
        <v>893.08100000000002</v>
      </c>
      <c r="D116" s="16">
        <v>534.00400000000002</v>
      </c>
      <c r="E116" s="16">
        <v>440.41399999999999</v>
      </c>
      <c r="F116" s="16">
        <v>677.15899999999999</v>
      </c>
      <c r="G116" s="6">
        <v>1</v>
      </c>
      <c r="H116" s="16">
        <v>60</v>
      </c>
      <c r="I116" s="16" t="s">
        <v>39</v>
      </c>
      <c r="J116" s="16"/>
      <c r="K116" s="16">
        <v>425.75</v>
      </c>
      <c r="L116" s="16">
        <f t="shared" si="22"/>
        <v>14.663999999999987</v>
      </c>
      <c r="M116" s="16"/>
      <c r="N116" s="16"/>
      <c r="O116" s="16">
        <v>368.44906811399972</v>
      </c>
      <c r="P116" s="16"/>
      <c r="Q116" s="16"/>
      <c r="R116" s="16">
        <v>13.45441600000049</v>
      </c>
      <c r="S116" s="16">
        <f t="shared" si="23"/>
        <v>88.082799999999992</v>
      </c>
      <c r="T116" s="4"/>
      <c r="U116" s="16">
        <f t="shared" si="24"/>
        <v>12.023487946727402</v>
      </c>
      <c r="V116" s="16">
        <f t="shared" si="25"/>
        <v>12.023487946727402</v>
      </c>
      <c r="W116" s="16">
        <v>110.0094</v>
      </c>
      <c r="X116" s="16">
        <v>126.1358</v>
      </c>
      <c r="Y116" s="16">
        <v>118.1798</v>
      </c>
      <c r="Z116" s="16">
        <v>128.58260000000001</v>
      </c>
      <c r="AA116" s="16">
        <v>126.9572</v>
      </c>
      <c r="AB116" s="16">
        <v>118.0086</v>
      </c>
      <c r="AC116" s="16">
        <v>112.2222</v>
      </c>
      <c r="AD116" s="16">
        <v>68.132000000000005</v>
      </c>
      <c r="AE116" s="16">
        <v>70.727800000000002</v>
      </c>
      <c r="AF116" s="16">
        <v>89.804999999999993</v>
      </c>
      <c r="AG116" s="16"/>
      <c r="AH116" s="16">
        <f t="shared" si="26"/>
        <v>0</v>
      </c>
      <c r="AI116" t="s">
        <v>270</v>
      </c>
      <c r="AJ116" s="20" t="str">
        <f t="shared" si="21"/>
        <v>матрица</v>
      </c>
    </row>
    <row r="117" spans="1:36" x14ac:dyDescent="0.25">
      <c r="A117" s="16" t="s">
        <v>271</v>
      </c>
      <c r="B117" s="16" t="s">
        <v>38</v>
      </c>
      <c r="C117" s="16">
        <v>414.91199999999998</v>
      </c>
      <c r="D117" s="16">
        <v>103.599</v>
      </c>
      <c r="E117" s="16">
        <v>129.15799999999999</v>
      </c>
      <c r="F117" s="16">
        <v>336.024</v>
      </c>
      <c r="G117" s="6">
        <v>1</v>
      </c>
      <c r="H117" s="16">
        <v>60</v>
      </c>
      <c r="I117" s="16" t="s">
        <v>56</v>
      </c>
      <c r="J117" s="16"/>
      <c r="K117" s="16">
        <v>129.30000000000001</v>
      </c>
      <c r="L117" s="16">
        <f t="shared" si="22"/>
        <v>-0.14200000000002433</v>
      </c>
      <c r="M117" s="16"/>
      <c r="N117" s="16"/>
      <c r="O117" s="16">
        <v>0</v>
      </c>
      <c r="P117" s="16"/>
      <c r="Q117" s="16"/>
      <c r="R117" s="16">
        <v>0</v>
      </c>
      <c r="S117" s="16">
        <f t="shared" si="23"/>
        <v>25.831599999999998</v>
      </c>
      <c r="T117" s="4"/>
      <c r="U117" s="16">
        <f t="shared" si="24"/>
        <v>13.008253457006148</v>
      </c>
      <c r="V117" s="16">
        <f t="shared" si="25"/>
        <v>13.008253457006148</v>
      </c>
      <c r="W117" s="16">
        <v>33.179000000000002</v>
      </c>
      <c r="X117" s="16">
        <v>34.262799999999999</v>
      </c>
      <c r="Y117" s="16">
        <v>34.434399999999997</v>
      </c>
      <c r="Z117" s="16">
        <v>48.102999999999987</v>
      </c>
      <c r="AA117" s="16">
        <v>48.851599999999998</v>
      </c>
      <c r="AB117" s="16">
        <v>46.164200000000001</v>
      </c>
      <c r="AC117" s="16">
        <v>43.4572</v>
      </c>
      <c r="AD117" s="16">
        <v>25.361000000000001</v>
      </c>
      <c r="AE117" s="16">
        <v>30.110399999999998</v>
      </c>
      <c r="AF117" s="16">
        <v>35.292999999999999</v>
      </c>
      <c r="AG117" s="16"/>
      <c r="AH117" s="16">
        <f t="shared" si="26"/>
        <v>0</v>
      </c>
      <c r="AI117" t="s">
        <v>272</v>
      </c>
      <c r="AJ117" s="20" t="str">
        <f t="shared" si="21"/>
        <v>НЕДОГРУЗ / матрица</v>
      </c>
    </row>
    <row r="118" spans="1:36" x14ac:dyDescent="0.25">
      <c r="A118" s="16" t="s">
        <v>273</v>
      </c>
      <c r="B118" s="16" t="s">
        <v>38</v>
      </c>
      <c r="C118" s="16">
        <v>2344.6590000000001</v>
      </c>
      <c r="D118" s="16">
        <v>1578.4860000000001</v>
      </c>
      <c r="E118" s="16">
        <v>1550.2349999999999</v>
      </c>
      <c r="F118" s="16">
        <v>1635.992</v>
      </c>
      <c r="G118" s="6">
        <v>1</v>
      </c>
      <c r="H118" s="16">
        <v>60</v>
      </c>
      <c r="I118" s="16" t="s">
        <v>39</v>
      </c>
      <c r="J118" s="16"/>
      <c r="K118" s="16">
        <v>1584.8</v>
      </c>
      <c r="L118" s="16">
        <f t="shared" si="22"/>
        <v>-34.565000000000055</v>
      </c>
      <c r="M118" s="16"/>
      <c r="N118" s="16"/>
      <c r="O118" s="16">
        <v>1300</v>
      </c>
      <c r="P118" s="16"/>
      <c r="Q118" s="16"/>
      <c r="R118" s="16">
        <v>187.11131594844011</v>
      </c>
      <c r="S118" s="16">
        <f t="shared" si="23"/>
        <v>310.04699999999997</v>
      </c>
      <c r="T118" s="4">
        <f>11.5*S118-R118-Q118-O118-F118</f>
        <v>442.43718405155937</v>
      </c>
      <c r="U118" s="16">
        <f t="shared" si="24"/>
        <v>11.500000000000002</v>
      </c>
      <c r="V118" s="16">
        <f t="shared" si="25"/>
        <v>10.072999628922199</v>
      </c>
      <c r="W118" s="16">
        <v>340.2808</v>
      </c>
      <c r="X118" s="16">
        <v>387.70940000000002</v>
      </c>
      <c r="Y118" s="16">
        <v>346.7552</v>
      </c>
      <c r="Z118" s="16">
        <v>311.18439999999998</v>
      </c>
      <c r="AA118" s="16">
        <v>354.33460000000002</v>
      </c>
      <c r="AB118" s="16">
        <v>335.30160000000001</v>
      </c>
      <c r="AC118" s="16">
        <v>299.90980000000002</v>
      </c>
      <c r="AD118" s="16">
        <v>264.20240000000001</v>
      </c>
      <c r="AE118" s="16">
        <v>254.80359999999999</v>
      </c>
      <c r="AF118" s="16">
        <v>300.63580000000002</v>
      </c>
      <c r="AG118" s="16"/>
      <c r="AH118" s="16">
        <f t="shared" si="26"/>
        <v>442</v>
      </c>
      <c r="AI118" t="s">
        <v>274</v>
      </c>
      <c r="AJ118" s="20" t="str">
        <f t="shared" si="21"/>
        <v>матрица</v>
      </c>
    </row>
    <row r="119" spans="1:36" x14ac:dyDescent="0.25">
      <c r="A119" s="16" t="s">
        <v>275</v>
      </c>
      <c r="B119" s="16" t="s">
        <v>46</v>
      </c>
      <c r="C119" s="16">
        <v>247</v>
      </c>
      <c r="D119" s="16">
        <v>5</v>
      </c>
      <c r="E119" s="16">
        <v>15</v>
      </c>
      <c r="F119" s="16">
        <v>217</v>
      </c>
      <c r="G119" s="6">
        <v>0.25</v>
      </c>
      <c r="H119" s="16">
        <v>1096</v>
      </c>
      <c r="I119" s="16" t="s">
        <v>39</v>
      </c>
      <c r="J119" s="16"/>
      <c r="K119" s="16">
        <v>15</v>
      </c>
      <c r="L119" s="16">
        <f t="shared" si="22"/>
        <v>0</v>
      </c>
      <c r="M119" s="16"/>
      <c r="N119" s="16"/>
      <c r="O119" s="16">
        <v>0</v>
      </c>
      <c r="P119" s="16"/>
      <c r="Q119" s="16"/>
      <c r="R119" s="16">
        <v>0</v>
      </c>
      <c r="S119" s="16">
        <f t="shared" si="23"/>
        <v>3</v>
      </c>
      <c r="T119" s="4"/>
      <c r="U119" s="16">
        <f t="shared" si="24"/>
        <v>72.333333333333329</v>
      </c>
      <c r="V119" s="16">
        <f t="shared" si="25"/>
        <v>72.333333333333329</v>
      </c>
      <c r="W119" s="16">
        <v>3.4</v>
      </c>
      <c r="X119" s="16">
        <v>7.4</v>
      </c>
      <c r="Y119" s="16">
        <v>11.8</v>
      </c>
      <c r="Z119" s="16">
        <v>14.8</v>
      </c>
      <c r="AA119" s="16">
        <v>15.2</v>
      </c>
      <c r="AB119" s="16">
        <v>11.8</v>
      </c>
      <c r="AC119" s="16">
        <v>7.4</v>
      </c>
      <c r="AD119" s="16">
        <v>3.2</v>
      </c>
      <c r="AE119" s="16">
        <v>4.2</v>
      </c>
      <c r="AF119" s="16">
        <v>5.8</v>
      </c>
      <c r="AG119" s="12" t="s">
        <v>197</v>
      </c>
      <c r="AH119" s="16">
        <f t="shared" si="26"/>
        <v>0</v>
      </c>
      <c r="AI119" t="s">
        <v>276</v>
      </c>
      <c r="AJ119" s="20" t="str">
        <f t="shared" si="21"/>
        <v>матрица</v>
      </c>
    </row>
    <row r="120" spans="1:36" x14ac:dyDescent="0.25">
      <c r="A120" s="16" t="s">
        <v>277</v>
      </c>
      <c r="B120" s="16" t="s">
        <v>46</v>
      </c>
      <c r="C120" s="16">
        <v>338</v>
      </c>
      <c r="D120" s="16"/>
      <c r="E120" s="16">
        <v>9</v>
      </c>
      <c r="F120" s="16">
        <v>322</v>
      </c>
      <c r="G120" s="6">
        <v>0.32500000000000001</v>
      </c>
      <c r="H120" s="16">
        <v>1096</v>
      </c>
      <c r="I120" s="16" t="s">
        <v>39</v>
      </c>
      <c r="J120" s="16"/>
      <c r="K120" s="16">
        <v>9</v>
      </c>
      <c r="L120" s="16">
        <f t="shared" si="22"/>
        <v>0</v>
      </c>
      <c r="M120" s="16"/>
      <c r="N120" s="16"/>
      <c r="O120" s="16">
        <v>0</v>
      </c>
      <c r="P120" s="16"/>
      <c r="Q120" s="16"/>
      <c r="R120" s="16">
        <v>0</v>
      </c>
      <c r="S120" s="16">
        <f t="shared" si="23"/>
        <v>1.8</v>
      </c>
      <c r="T120" s="4"/>
      <c r="U120" s="16">
        <f t="shared" si="24"/>
        <v>178.88888888888889</v>
      </c>
      <c r="V120" s="16">
        <f t="shared" si="25"/>
        <v>178.88888888888889</v>
      </c>
      <c r="W120" s="16">
        <v>3.2</v>
      </c>
      <c r="X120" s="16">
        <v>3.4</v>
      </c>
      <c r="Y120" s="16">
        <v>5.6</v>
      </c>
      <c r="Z120" s="16">
        <v>9.4</v>
      </c>
      <c r="AA120" s="16">
        <v>8.1999999999999993</v>
      </c>
      <c r="AB120" s="16">
        <v>8.1999999999999993</v>
      </c>
      <c r="AC120" s="16">
        <v>6.8</v>
      </c>
      <c r="AD120" s="16">
        <v>4.4000000000000004</v>
      </c>
      <c r="AE120" s="16">
        <v>7</v>
      </c>
      <c r="AF120" s="16">
        <v>5.6</v>
      </c>
      <c r="AG120" s="12" t="s">
        <v>197</v>
      </c>
      <c r="AH120" s="16">
        <f t="shared" si="26"/>
        <v>0</v>
      </c>
      <c r="AI120" t="s">
        <v>278</v>
      </c>
      <c r="AJ120" s="20" t="str">
        <f t="shared" si="21"/>
        <v>матрица</v>
      </c>
    </row>
    <row r="121" spans="1:36" x14ac:dyDescent="0.25">
      <c r="A121" s="16" t="s">
        <v>279</v>
      </c>
      <c r="B121" s="16" t="s">
        <v>46</v>
      </c>
      <c r="C121" s="16">
        <v>117</v>
      </c>
      <c r="D121" s="16">
        <v>38</v>
      </c>
      <c r="E121" s="16">
        <v>20</v>
      </c>
      <c r="F121" s="16">
        <v>128</v>
      </c>
      <c r="G121" s="6">
        <v>0.25</v>
      </c>
      <c r="H121" s="16">
        <v>1096</v>
      </c>
      <c r="I121" s="16" t="s">
        <v>56</v>
      </c>
      <c r="J121" s="16"/>
      <c r="K121" s="16">
        <v>20</v>
      </c>
      <c r="L121" s="16">
        <f t="shared" si="22"/>
        <v>0</v>
      </c>
      <c r="M121" s="16"/>
      <c r="N121" s="16"/>
      <c r="O121" s="16">
        <v>0</v>
      </c>
      <c r="P121" s="16"/>
      <c r="Q121" s="16"/>
      <c r="R121" s="16">
        <v>0</v>
      </c>
      <c r="S121" s="16">
        <f t="shared" si="23"/>
        <v>4</v>
      </c>
      <c r="T121" s="4"/>
      <c r="U121" s="16">
        <f t="shared" si="24"/>
        <v>32</v>
      </c>
      <c r="V121" s="16">
        <f t="shared" si="25"/>
        <v>32</v>
      </c>
      <c r="W121" s="16">
        <v>4.4000000000000004</v>
      </c>
      <c r="X121" s="16">
        <v>8.1999999999999993</v>
      </c>
      <c r="Y121" s="16">
        <v>14</v>
      </c>
      <c r="Z121" s="16">
        <v>11.4</v>
      </c>
      <c r="AA121" s="16">
        <v>11.2</v>
      </c>
      <c r="AB121" s="16">
        <v>12.4</v>
      </c>
      <c r="AC121" s="16">
        <v>6.6</v>
      </c>
      <c r="AD121" s="16">
        <v>3.6</v>
      </c>
      <c r="AE121" s="16">
        <v>3.2</v>
      </c>
      <c r="AF121" s="16">
        <v>5.2</v>
      </c>
      <c r="AG121" s="15" t="s">
        <v>280</v>
      </c>
      <c r="AH121" s="16">
        <f t="shared" si="26"/>
        <v>0</v>
      </c>
      <c r="AI121" t="s">
        <v>281</v>
      </c>
      <c r="AJ121" s="20" t="str">
        <f t="shared" si="21"/>
        <v>НЕДОГРУЗ / матрица</v>
      </c>
    </row>
    <row r="122" spans="1:36" x14ac:dyDescent="0.25">
      <c r="A122" s="9" t="s">
        <v>282</v>
      </c>
      <c r="B122" s="9" t="s">
        <v>38</v>
      </c>
      <c r="C122" s="9">
        <v>94.091999999999999</v>
      </c>
      <c r="D122" s="9"/>
      <c r="E122" s="9">
        <v>1.3420000000000001</v>
      </c>
      <c r="F122" s="9">
        <v>92</v>
      </c>
      <c r="G122" s="10">
        <v>0</v>
      </c>
      <c r="H122" s="9"/>
      <c r="I122" s="9" t="s">
        <v>283</v>
      </c>
      <c r="J122" s="9"/>
      <c r="K122" s="9">
        <v>1.3</v>
      </c>
      <c r="L122" s="9">
        <f t="shared" si="22"/>
        <v>4.2000000000000037E-2</v>
      </c>
      <c r="M122" s="9"/>
      <c r="N122" s="9"/>
      <c r="O122" s="9">
        <v>0</v>
      </c>
      <c r="P122" s="9"/>
      <c r="Q122" s="9"/>
      <c r="R122" s="9">
        <v>0</v>
      </c>
      <c r="S122" s="9">
        <f t="shared" si="23"/>
        <v>0.26840000000000003</v>
      </c>
      <c r="T122" s="11"/>
      <c r="U122" s="9">
        <f t="shared" si="24"/>
        <v>342.77198211624437</v>
      </c>
      <c r="V122" s="9">
        <f t="shared" si="25"/>
        <v>342.77198211624437</v>
      </c>
      <c r="W122" s="9">
        <v>0.26840000000000003</v>
      </c>
      <c r="X122" s="9">
        <v>0</v>
      </c>
      <c r="Y122" s="9">
        <v>0.26960000000000001</v>
      </c>
      <c r="Z122" s="9">
        <v>0.54359999999999997</v>
      </c>
      <c r="AA122" s="9">
        <v>0.27400000000000002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12" t="s">
        <v>284</v>
      </c>
      <c r="AH122" s="16">
        <f t="shared" si="26"/>
        <v>0</v>
      </c>
      <c r="AJ122" s="20"/>
    </row>
    <row r="123" spans="1:36" x14ac:dyDescent="0.25">
      <c r="A123" s="9" t="s">
        <v>285</v>
      </c>
      <c r="B123" s="9" t="s">
        <v>38</v>
      </c>
      <c r="C123" s="9"/>
      <c r="D123" s="9">
        <v>29.946000000000002</v>
      </c>
      <c r="E123" s="9"/>
      <c r="F123" s="13">
        <v>29.946000000000002</v>
      </c>
      <c r="G123" s="10">
        <v>0</v>
      </c>
      <c r="H123" s="9"/>
      <c r="I123" s="9" t="s">
        <v>286</v>
      </c>
      <c r="J123" s="9" t="s">
        <v>225</v>
      </c>
      <c r="K123" s="9"/>
      <c r="L123" s="9">
        <f t="shared" si="22"/>
        <v>0</v>
      </c>
      <c r="M123" s="9"/>
      <c r="N123" s="9"/>
      <c r="O123" s="9"/>
      <c r="P123" s="9"/>
      <c r="Q123" s="9"/>
      <c r="R123" s="9"/>
      <c r="S123" s="9">
        <f t="shared" si="23"/>
        <v>0</v>
      </c>
      <c r="T123" s="11"/>
      <c r="U123" s="9" t="e">
        <f t="shared" si="24"/>
        <v>#DIV/0!</v>
      </c>
      <c r="V123" s="9" t="e">
        <f t="shared" si="25"/>
        <v>#DIV/0!</v>
      </c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16">
        <f t="shared" si="26"/>
        <v>0</v>
      </c>
      <c r="AJ123" s="20"/>
    </row>
    <row r="124" spans="1:36" x14ac:dyDescent="0.25">
      <c r="A124" s="16" t="s">
        <v>287</v>
      </c>
      <c r="B124" s="16" t="s">
        <v>46</v>
      </c>
      <c r="C124" s="16">
        <v>1</v>
      </c>
      <c r="D124" s="16">
        <v>29</v>
      </c>
      <c r="E124" s="16">
        <v>-4</v>
      </c>
      <c r="F124" s="16"/>
      <c r="G124" s="6">
        <v>0.3</v>
      </c>
      <c r="H124" s="16">
        <v>40</v>
      </c>
      <c r="I124" s="8" t="s">
        <v>56</v>
      </c>
      <c r="J124" s="16"/>
      <c r="K124" s="16">
        <v>27</v>
      </c>
      <c r="L124" s="16">
        <f t="shared" si="22"/>
        <v>-31</v>
      </c>
      <c r="M124" s="16"/>
      <c r="N124" s="16"/>
      <c r="O124" s="16">
        <v>56</v>
      </c>
      <c r="P124" s="16">
        <v>-60</v>
      </c>
      <c r="Q124" s="16"/>
      <c r="R124" s="16">
        <v>0</v>
      </c>
      <c r="S124" s="16">
        <f t="shared" si="23"/>
        <v>-0.8</v>
      </c>
      <c r="T124" s="4">
        <v>20</v>
      </c>
      <c r="U124" s="16">
        <f t="shared" si="24"/>
        <v>-95</v>
      </c>
      <c r="V124" s="16">
        <f t="shared" si="25"/>
        <v>-70</v>
      </c>
      <c r="W124" s="16">
        <v>-2.6</v>
      </c>
      <c r="X124" s="16">
        <v>18</v>
      </c>
      <c r="Y124" s="16">
        <v>19</v>
      </c>
      <c r="Z124" s="16">
        <v>-2</v>
      </c>
      <c r="AA124" s="16">
        <v>6.2</v>
      </c>
      <c r="AB124" s="16">
        <v>26</v>
      </c>
      <c r="AC124" s="16">
        <v>17</v>
      </c>
      <c r="AD124" s="16">
        <v>-2.4</v>
      </c>
      <c r="AE124" s="16">
        <v>-1.4</v>
      </c>
      <c r="AF124" s="16">
        <v>-1.6</v>
      </c>
      <c r="AG124" s="16"/>
      <c r="AH124" s="16">
        <f t="shared" si="26"/>
        <v>6</v>
      </c>
      <c r="AI124" t="s">
        <v>288</v>
      </c>
      <c r="AJ124" s="20" t="str">
        <f t="shared" si="21"/>
        <v>НЕДОГРУЗ / матрица</v>
      </c>
    </row>
    <row r="125" spans="1:36" x14ac:dyDescent="0.25">
      <c r="A125" s="16" t="s">
        <v>289</v>
      </c>
      <c r="B125" s="16" t="s">
        <v>46</v>
      </c>
      <c r="C125" s="16"/>
      <c r="D125" s="16">
        <v>24</v>
      </c>
      <c r="E125" s="16">
        <v>23</v>
      </c>
      <c r="F125" s="16"/>
      <c r="G125" s="6">
        <v>0.3</v>
      </c>
      <c r="H125" s="16">
        <v>40</v>
      </c>
      <c r="I125" s="8" t="s">
        <v>56</v>
      </c>
      <c r="J125" s="16"/>
      <c r="K125" s="16">
        <v>40</v>
      </c>
      <c r="L125" s="16">
        <f t="shared" si="22"/>
        <v>-17</v>
      </c>
      <c r="M125" s="16"/>
      <c r="N125" s="16"/>
      <c r="O125" s="16">
        <v>0</v>
      </c>
      <c r="P125" s="16"/>
      <c r="Q125" s="16"/>
      <c r="R125" s="16">
        <v>10</v>
      </c>
      <c r="S125" s="16">
        <f t="shared" si="23"/>
        <v>4.5999999999999996</v>
      </c>
      <c r="T125" s="4">
        <f>12*S125-R125-Q125-O125-F125</f>
        <v>45.199999999999996</v>
      </c>
      <c r="U125" s="16">
        <f t="shared" si="24"/>
        <v>12</v>
      </c>
      <c r="V125" s="16">
        <f t="shared" si="25"/>
        <v>2.1739130434782612</v>
      </c>
      <c r="W125" s="16">
        <v>1.2</v>
      </c>
      <c r="X125" s="16">
        <v>-1.8</v>
      </c>
      <c r="Y125" s="16">
        <v>-0.6</v>
      </c>
      <c r="Z125" s="16">
        <v>-1.4</v>
      </c>
      <c r="AA125" s="16">
        <v>-2.8</v>
      </c>
      <c r="AB125" s="16">
        <v>-3.4</v>
      </c>
      <c r="AC125" s="16">
        <v>-4.2</v>
      </c>
      <c r="AD125" s="16">
        <v>-3.2</v>
      </c>
      <c r="AE125" s="16">
        <v>-1.8</v>
      </c>
      <c r="AF125" s="16">
        <v>-2.8</v>
      </c>
      <c r="AG125" s="16"/>
      <c r="AH125" s="16">
        <f t="shared" si="26"/>
        <v>14</v>
      </c>
      <c r="AI125" t="s">
        <v>290</v>
      </c>
      <c r="AJ125" s="20" t="str">
        <f t="shared" si="21"/>
        <v>НЕДОГРУЗ / матрица</v>
      </c>
    </row>
    <row r="126" spans="1:36" x14ac:dyDescent="0.25">
      <c r="A126" s="16" t="s">
        <v>291</v>
      </c>
      <c r="B126" s="16" t="s">
        <v>38</v>
      </c>
      <c r="C126" s="16">
        <v>226.91300000000001</v>
      </c>
      <c r="D126" s="16">
        <v>410.71499999999997</v>
      </c>
      <c r="E126" s="16">
        <v>242.774</v>
      </c>
      <c r="F126" s="16">
        <v>296.67399999999998</v>
      </c>
      <c r="G126" s="6">
        <v>1</v>
      </c>
      <c r="H126" s="16">
        <v>50</v>
      </c>
      <c r="I126" s="16" t="s">
        <v>39</v>
      </c>
      <c r="J126" s="16"/>
      <c r="K126" s="16">
        <v>236.05</v>
      </c>
      <c r="L126" s="16">
        <f t="shared" si="22"/>
        <v>6.7239999999999895</v>
      </c>
      <c r="M126" s="16"/>
      <c r="N126" s="16"/>
      <c r="O126" s="16">
        <v>345.23880000000003</v>
      </c>
      <c r="P126" s="16"/>
      <c r="Q126" s="16"/>
      <c r="R126" s="16">
        <v>71.43599500000002</v>
      </c>
      <c r="S126" s="16">
        <f t="shared" si="23"/>
        <v>48.5548</v>
      </c>
      <c r="T126" s="4"/>
      <c r="U126" s="16">
        <f t="shared" si="24"/>
        <v>14.691622558428829</v>
      </c>
      <c r="V126" s="16">
        <f t="shared" si="25"/>
        <v>14.691622558428829</v>
      </c>
      <c r="W126" s="16">
        <v>73.612200000000001</v>
      </c>
      <c r="X126" s="16">
        <v>75.552800000000005</v>
      </c>
      <c r="Y126" s="16">
        <v>57.231399999999987</v>
      </c>
      <c r="Z126" s="16">
        <v>55.252400000000002</v>
      </c>
      <c r="AA126" s="16">
        <v>52.905799999999999</v>
      </c>
      <c r="AB126" s="16">
        <v>54.902999999999999</v>
      </c>
      <c r="AC126" s="16">
        <v>50.931199999999997</v>
      </c>
      <c r="AD126" s="16">
        <v>40.594000000000001</v>
      </c>
      <c r="AE126" s="16">
        <v>43.313800000000001</v>
      </c>
      <c r="AF126" s="16">
        <v>51.1004</v>
      </c>
      <c r="AG126" s="16"/>
      <c r="AH126" s="16">
        <f t="shared" si="26"/>
        <v>0</v>
      </c>
      <c r="AI126" t="s">
        <v>292</v>
      </c>
      <c r="AJ126" s="20" t="str">
        <f t="shared" si="21"/>
        <v>матрица</v>
      </c>
    </row>
    <row r="127" spans="1:36" x14ac:dyDescent="0.25">
      <c r="A127" s="16" t="s">
        <v>293</v>
      </c>
      <c r="B127" s="16" t="s">
        <v>46</v>
      </c>
      <c r="C127" s="16">
        <v>-6</v>
      </c>
      <c r="D127" s="16">
        <v>6</v>
      </c>
      <c r="E127" s="16"/>
      <c r="F127" s="16"/>
      <c r="G127" s="6">
        <v>0.3</v>
      </c>
      <c r="H127" s="16">
        <v>40</v>
      </c>
      <c r="I127" s="8" t="s">
        <v>56</v>
      </c>
      <c r="J127" s="16"/>
      <c r="K127" s="16"/>
      <c r="L127" s="16">
        <f t="shared" si="22"/>
        <v>0</v>
      </c>
      <c r="M127" s="16"/>
      <c r="N127" s="16"/>
      <c r="O127" s="16">
        <v>30</v>
      </c>
      <c r="P127" s="16">
        <v>-30</v>
      </c>
      <c r="Q127" s="16"/>
      <c r="R127" s="16">
        <v>0</v>
      </c>
      <c r="S127" s="16">
        <f t="shared" si="23"/>
        <v>0</v>
      </c>
      <c r="T127" s="4">
        <v>10</v>
      </c>
      <c r="U127" s="16" t="e">
        <f t="shared" si="24"/>
        <v>#DIV/0!</v>
      </c>
      <c r="V127" s="16" t="e">
        <f t="shared" si="25"/>
        <v>#DIV/0!</v>
      </c>
      <c r="W127" s="16">
        <v>1</v>
      </c>
      <c r="X127" s="16">
        <v>1</v>
      </c>
      <c r="Y127" s="16">
        <v>-0.2</v>
      </c>
      <c r="Z127" s="16">
        <v>-0.2</v>
      </c>
      <c r="AA127" s="16">
        <v>-1</v>
      </c>
      <c r="AB127" s="16">
        <v>-0.6</v>
      </c>
      <c r="AC127" s="16">
        <v>1.6</v>
      </c>
      <c r="AD127" s="16">
        <v>17.2</v>
      </c>
      <c r="AE127" s="16">
        <v>42.4</v>
      </c>
      <c r="AF127" s="16">
        <v>33.799999999999997</v>
      </c>
      <c r="AG127" s="16"/>
      <c r="AH127" s="16">
        <f t="shared" si="26"/>
        <v>3</v>
      </c>
      <c r="AI127" t="s">
        <v>294</v>
      </c>
      <c r="AJ127" s="20" t="str">
        <f t="shared" si="21"/>
        <v>НЕДОГРУЗ / матрица</v>
      </c>
    </row>
    <row r="128" spans="1:36" x14ac:dyDescent="0.25">
      <c r="A128" s="16" t="s">
        <v>295</v>
      </c>
      <c r="B128" s="16" t="s">
        <v>46</v>
      </c>
      <c r="C128" s="16">
        <v>78</v>
      </c>
      <c r="D128" s="16">
        <v>85</v>
      </c>
      <c r="E128" s="16">
        <v>84</v>
      </c>
      <c r="F128" s="16">
        <v>49</v>
      </c>
      <c r="G128" s="6">
        <v>0.12</v>
      </c>
      <c r="H128" s="16">
        <v>45</v>
      </c>
      <c r="I128" s="8" t="s">
        <v>56</v>
      </c>
      <c r="J128" s="16"/>
      <c r="K128" s="16">
        <v>90</v>
      </c>
      <c r="L128" s="16">
        <f t="shared" si="22"/>
        <v>-6</v>
      </c>
      <c r="M128" s="16"/>
      <c r="N128" s="16"/>
      <c r="O128" s="16">
        <v>47.499999999999972</v>
      </c>
      <c r="P128" s="16"/>
      <c r="Q128" s="16"/>
      <c r="R128" s="16">
        <v>47.53</v>
      </c>
      <c r="S128" s="16">
        <f t="shared" si="23"/>
        <v>16.8</v>
      </c>
      <c r="T128" s="4">
        <f>12*S128-R128-Q128-O128-F128</f>
        <v>57.57000000000005</v>
      </c>
      <c r="U128" s="16">
        <f t="shared" si="24"/>
        <v>12</v>
      </c>
      <c r="V128" s="16">
        <f t="shared" si="25"/>
        <v>8.5732142857142843</v>
      </c>
      <c r="W128" s="16">
        <v>16.2</v>
      </c>
      <c r="X128" s="16">
        <v>14.2</v>
      </c>
      <c r="Y128" s="16">
        <v>13.8</v>
      </c>
      <c r="Z128" s="16">
        <v>10</v>
      </c>
      <c r="AA128" s="16">
        <v>9.6</v>
      </c>
      <c r="AB128" s="16">
        <v>11.6</v>
      </c>
      <c r="AC128" s="16">
        <v>10.4</v>
      </c>
      <c r="AD128" s="16">
        <v>9.1999999999999993</v>
      </c>
      <c r="AE128" s="16">
        <v>12.4</v>
      </c>
      <c r="AF128" s="16">
        <v>20.6</v>
      </c>
      <c r="AG128" s="16"/>
      <c r="AH128" s="16">
        <f t="shared" si="26"/>
        <v>7</v>
      </c>
      <c r="AI128" t="s">
        <v>296</v>
      </c>
      <c r="AJ128" s="20" t="str">
        <f t="shared" si="21"/>
        <v>НЕДОГРУЗ / матрица</v>
      </c>
    </row>
    <row r="129" spans="1:36" x14ac:dyDescent="0.25">
      <c r="A129" s="9" t="s">
        <v>297</v>
      </c>
      <c r="B129" s="9" t="s">
        <v>46</v>
      </c>
      <c r="C129" s="9">
        <v>61</v>
      </c>
      <c r="D129" s="9">
        <v>101</v>
      </c>
      <c r="E129" s="13">
        <v>97</v>
      </c>
      <c r="F129" s="13">
        <v>49</v>
      </c>
      <c r="G129" s="10">
        <v>0</v>
      </c>
      <c r="H129" s="9"/>
      <c r="I129" s="9" t="s">
        <v>298</v>
      </c>
      <c r="J129" s="9" t="s">
        <v>142</v>
      </c>
      <c r="K129" s="9">
        <v>98</v>
      </c>
      <c r="L129" s="9">
        <f t="shared" si="22"/>
        <v>-1</v>
      </c>
      <c r="M129" s="9"/>
      <c r="N129" s="9"/>
      <c r="O129" s="9">
        <v>0</v>
      </c>
      <c r="P129" s="9"/>
      <c r="Q129" s="9"/>
      <c r="R129" s="9">
        <v>0</v>
      </c>
      <c r="S129" s="9">
        <f t="shared" si="23"/>
        <v>19.399999999999999</v>
      </c>
      <c r="T129" s="11"/>
      <c r="U129" s="9">
        <f t="shared" si="24"/>
        <v>2.525773195876289</v>
      </c>
      <c r="V129" s="9">
        <f t="shared" si="25"/>
        <v>2.525773195876289</v>
      </c>
      <c r="W129" s="9">
        <v>19.2</v>
      </c>
      <c r="X129" s="9">
        <v>21.6</v>
      </c>
      <c r="Y129" s="9">
        <v>26</v>
      </c>
      <c r="Z129" s="9">
        <v>31</v>
      </c>
      <c r="AA129" s="9">
        <v>28.6</v>
      </c>
      <c r="AB129" s="9">
        <v>14.4</v>
      </c>
      <c r="AC129" s="9">
        <v>9.4</v>
      </c>
      <c r="AD129" s="9">
        <v>0.8</v>
      </c>
      <c r="AE129" s="9">
        <v>0</v>
      </c>
      <c r="AF129" s="9">
        <v>0</v>
      </c>
      <c r="AG129" s="9"/>
      <c r="AH129" s="16">
        <f t="shared" si="26"/>
        <v>0</v>
      </c>
      <c r="AJ129" s="20"/>
    </row>
    <row r="130" spans="1:36" x14ac:dyDescent="0.25">
      <c r="A130" s="16"/>
      <c r="B130" s="16"/>
      <c r="C130" s="16"/>
      <c r="D130" s="16"/>
      <c r="E130" s="16"/>
      <c r="F130" s="16"/>
      <c r="G130" s="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</row>
    <row r="131" spans="1:36" x14ac:dyDescent="0.25">
      <c r="A131" s="16"/>
      <c r="B131" s="16"/>
      <c r="C131" s="16"/>
      <c r="D131" s="16"/>
      <c r="E131" s="16"/>
      <c r="F131" s="16"/>
      <c r="G131" s="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</row>
    <row r="132" spans="1:36" x14ac:dyDescent="0.25">
      <c r="A132" s="16"/>
      <c r="B132" s="16"/>
      <c r="C132" s="16"/>
      <c r="D132" s="16"/>
      <c r="E132" s="16"/>
      <c r="F132" s="16"/>
      <c r="G132" s="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</row>
    <row r="133" spans="1:36" x14ac:dyDescent="0.25">
      <c r="A133" s="16"/>
      <c r="B133" s="16"/>
      <c r="C133" s="16"/>
      <c r="D133" s="16"/>
      <c r="E133" s="16"/>
      <c r="F133" s="16"/>
      <c r="G133" s="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</row>
    <row r="134" spans="1:36" x14ac:dyDescent="0.25">
      <c r="A134" s="16"/>
      <c r="B134" s="16"/>
      <c r="C134" s="16"/>
      <c r="D134" s="16"/>
      <c r="E134" s="16"/>
      <c r="F134" s="16"/>
      <c r="G134" s="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</row>
    <row r="135" spans="1:36" x14ac:dyDescent="0.25">
      <c r="A135" s="16"/>
      <c r="B135" s="16"/>
      <c r="C135" s="16"/>
      <c r="D135" s="16"/>
      <c r="E135" s="16"/>
      <c r="F135" s="16"/>
      <c r="G135" s="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</row>
    <row r="136" spans="1:36" x14ac:dyDescent="0.25">
      <c r="A136" s="16"/>
      <c r="B136" s="16"/>
      <c r="C136" s="16"/>
      <c r="D136" s="16"/>
      <c r="E136" s="16"/>
      <c r="F136" s="16"/>
      <c r="G136" s="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</row>
    <row r="137" spans="1:36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</row>
    <row r="138" spans="1:36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</row>
    <row r="139" spans="1:36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</row>
    <row r="140" spans="1:36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</row>
    <row r="141" spans="1:36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</row>
    <row r="142" spans="1:36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</row>
    <row r="143" spans="1:36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</row>
    <row r="144" spans="1:36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</row>
    <row r="145" spans="1:34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</row>
    <row r="146" spans="1:34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</row>
    <row r="147" spans="1:34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</row>
    <row r="148" spans="1:34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</row>
    <row r="149" spans="1:34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</row>
    <row r="150" spans="1:34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</row>
    <row r="151" spans="1:34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</row>
    <row r="152" spans="1:34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</row>
    <row r="153" spans="1:34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</row>
    <row r="154" spans="1:34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</row>
    <row r="155" spans="1:34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</row>
    <row r="156" spans="1:34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</row>
    <row r="157" spans="1:34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</row>
    <row r="158" spans="1:34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</row>
    <row r="159" spans="1:34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</row>
    <row r="160" spans="1:34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</row>
    <row r="161" spans="1:34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</row>
    <row r="162" spans="1:34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</row>
    <row r="163" spans="1:34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</row>
    <row r="164" spans="1:34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</row>
    <row r="165" spans="1:34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</row>
    <row r="166" spans="1:34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</row>
    <row r="167" spans="1:34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</row>
    <row r="168" spans="1:34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</row>
    <row r="169" spans="1:34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</row>
    <row r="170" spans="1:34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</row>
    <row r="171" spans="1:34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</row>
    <row r="172" spans="1:34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</row>
    <row r="173" spans="1:34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</row>
    <row r="174" spans="1:34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</row>
    <row r="175" spans="1:34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</row>
    <row r="176" spans="1:34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</row>
    <row r="177" spans="1:34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</row>
    <row r="178" spans="1:34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</row>
    <row r="179" spans="1:34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</row>
    <row r="180" spans="1:34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</row>
    <row r="181" spans="1:34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</row>
    <row r="182" spans="1:34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</row>
    <row r="183" spans="1:34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</row>
    <row r="184" spans="1:34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</row>
    <row r="185" spans="1:34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</row>
    <row r="186" spans="1:34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</row>
    <row r="187" spans="1:34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</row>
    <row r="188" spans="1:34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</row>
    <row r="189" spans="1:34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</row>
    <row r="190" spans="1:34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</row>
    <row r="191" spans="1:34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</row>
    <row r="192" spans="1:34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</row>
    <row r="193" spans="1:34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</row>
    <row r="194" spans="1:34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</row>
    <row r="195" spans="1:34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</row>
    <row r="196" spans="1:34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</row>
    <row r="197" spans="1:34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</row>
    <row r="198" spans="1:34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</row>
    <row r="199" spans="1:34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</row>
    <row r="200" spans="1:34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</row>
    <row r="201" spans="1:34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</row>
    <row r="202" spans="1:34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</row>
    <row r="203" spans="1:34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</row>
    <row r="204" spans="1:34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</row>
    <row r="205" spans="1:34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</row>
    <row r="206" spans="1:34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</row>
    <row r="207" spans="1:34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</row>
    <row r="208" spans="1:34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</row>
    <row r="209" spans="1:34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</row>
    <row r="210" spans="1:34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</row>
    <row r="211" spans="1:34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</row>
    <row r="212" spans="1:34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</row>
    <row r="213" spans="1:34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</row>
    <row r="214" spans="1:34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</row>
    <row r="215" spans="1:34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</row>
    <row r="216" spans="1:34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</row>
    <row r="217" spans="1:34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</row>
    <row r="218" spans="1:34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</row>
    <row r="219" spans="1:34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</row>
    <row r="220" spans="1:34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</row>
    <row r="221" spans="1:34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</row>
    <row r="222" spans="1:34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</row>
    <row r="223" spans="1:34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</row>
    <row r="224" spans="1:34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</row>
    <row r="225" spans="1:34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</row>
    <row r="226" spans="1:34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</row>
    <row r="227" spans="1:34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</row>
    <row r="228" spans="1:34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</row>
    <row r="229" spans="1:34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</row>
    <row r="230" spans="1:34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</row>
    <row r="231" spans="1:34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</row>
    <row r="232" spans="1:34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</row>
    <row r="233" spans="1:34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</row>
    <row r="234" spans="1:34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</row>
    <row r="235" spans="1:34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</row>
    <row r="236" spans="1:34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</row>
    <row r="237" spans="1:34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</row>
    <row r="238" spans="1:34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</row>
    <row r="239" spans="1:34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</row>
    <row r="240" spans="1:34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</row>
    <row r="241" spans="1:34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</row>
    <row r="242" spans="1:34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</row>
    <row r="243" spans="1:34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</row>
    <row r="244" spans="1:34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</row>
    <row r="245" spans="1:34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</row>
    <row r="246" spans="1:34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</row>
    <row r="247" spans="1:34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</row>
    <row r="248" spans="1:34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</row>
    <row r="249" spans="1:34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</row>
    <row r="250" spans="1:34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</row>
    <row r="251" spans="1:34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</row>
    <row r="252" spans="1:34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</row>
    <row r="253" spans="1:34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</row>
    <row r="254" spans="1:34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</row>
    <row r="255" spans="1:34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</row>
    <row r="256" spans="1:34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</row>
    <row r="257" spans="1:34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</row>
    <row r="258" spans="1:34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</row>
    <row r="259" spans="1:34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</row>
    <row r="260" spans="1:34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</row>
    <row r="261" spans="1:34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</row>
    <row r="262" spans="1:34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</row>
    <row r="263" spans="1:34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</row>
    <row r="264" spans="1:34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</row>
    <row r="265" spans="1:34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</row>
    <row r="266" spans="1:34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</row>
    <row r="267" spans="1:34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</row>
    <row r="268" spans="1:34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</row>
    <row r="269" spans="1:34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</row>
    <row r="270" spans="1:34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</row>
    <row r="271" spans="1:34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</row>
    <row r="272" spans="1:34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</row>
    <row r="273" spans="1:34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</row>
    <row r="274" spans="1:34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</row>
    <row r="275" spans="1:34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</row>
    <row r="276" spans="1:34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</row>
    <row r="277" spans="1:34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</row>
    <row r="278" spans="1:34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</row>
    <row r="279" spans="1:34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</row>
    <row r="280" spans="1:34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</row>
    <row r="281" spans="1:34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</row>
    <row r="282" spans="1:34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</row>
    <row r="283" spans="1:34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</row>
    <row r="284" spans="1:34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</row>
    <row r="285" spans="1:34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</row>
    <row r="286" spans="1:34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</row>
    <row r="287" spans="1:34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</row>
    <row r="288" spans="1:34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</row>
    <row r="289" spans="1:34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</row>
    <row r="290" spans="1:34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</row>
    <row r="291" spans="1:34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</row>
    <row r="292" spans="1:34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</row>
    <row r="293" spans="1:34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</row>
    <row r="294" spans="1:34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</row>
    <row r="295" spans="1:34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</row>
    <row r="296" spans="1:34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</row>
    <row r="297" spans="1:34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</row>
    <row r="298" spans="1:34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</row>
    <row r="299" spans="1:34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</row>
    <row r="300" spans="1:34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</row>
    <row r="301" spans="1:34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</row>
    <row r="302" spans="1:34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</row>
    <row r="303" spans="1:34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</row>
    <row r="304" spans="1:34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</row>
    <row r="305" spans="1:34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</row>
    <row r="306" spans="1:34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</row>
    <row r="307" spans="1:34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</row>
    <row r="308" spans="1:34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</row>
    <row r="309" spans="1:34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</row>
    <row r="310" spans="1:34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</row>
    <row r="311" spans="1:34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</row>
    <row r="312" spans="1:34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</row>
    <row r="313" spans="1:34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</row>
    <row r="314" spans="1:34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</row>
    <row r="315" spans="1:34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</row>
    <row r="316" spans="1:34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</row>
    <row r="317" spans="1:34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</row>
    <row r="318" spans="1:34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</row>
    <row r="319" spans="1:34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</row>
    <row r="320" spans="1:34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</row>
    <row r="321" spans="1:34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</row>
    <row r="322" spans="1:34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</row>
    <row r="323" spans="1:34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</row>
    <row r="324" spans="1:34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</row>
    <row r="325" spans="1:34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</row>
    <row r="326" spans="1:34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</row>
    <row r="327" spans="1:34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</row>
    <row r="328" spans="1:34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</row>
    <row r="329" spans="1:34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</row>
    <row r="330" spans="1:34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</row>
    <row r="331" spans="1:34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</row>
    <row r="332" spans="1:34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</row>
    <row r="333" spans="1:34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</row>
    <row r="334" spans="1:34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</row>
    <row r="335" spans="1:34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</row>
    <row r="336" spans="1:34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</row>
    <row r="337" spans="1:34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</row>
    <row r="338" spans="1:34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</row>
    <row r="339" spans="1:34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</row>
    <row r="340" spans="1:34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</row>
    <row r="341" spans="1:34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</row>
    <row r="342" spans="1:34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</row>
    <row r="343" spans="1:34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</row>
    <row r="344" spans="1:34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</row>
    <row r="345" spans="1:34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</row>
    <row r="346" spans="1:34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</row>
    <row r="347" spans="1:34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</row>
    <row r="348" spans="1:34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</row>
    <row r="349" spans="1:34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</row>
    <row r="350" spans="1:34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</row>
    <row r="351" spans="1:34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</row>
    <row r="352" spans="1:34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</row>
    <row r="353" spans="1:34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</row>
    <row r="354" spans="1:34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</row>
    <row r="355" spans="1:34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</row>
    <row r="356" spans="1:34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</row>
    <row r="357" spans="1:34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</row>
    <row r="358" spans="1:34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</row>
    <row r="359" spans="1:34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</row>
    <row r="360" spans="1:34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</row>
    <row r="361" spans="1:34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</row>
    <row r="362" spans="1:34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</row>
    <row r="363" spans="1:34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</row>
    <row r="364" spans="1:34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</row>
    <row r="365" spans="1:34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</row>
    <row r="366" spans="1:34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</row>
    <row r="367" spans="1:34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</row>
    <row r="368" spans="1:34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</row>
    <row r="369" spans="1:34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</row>
    <row r="370" spans="1:34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</row>
    <row r="371" spans="1:34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</row>
    <row r="372" spans="1:34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</row>
    <row r="373" spans="1:34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</row>
    <row r="374" spans="1:34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</row>
    <row r="375" spans="1:34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</row>
    <row r="376" spans="1:34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</row>
    <row r="377" spans="1:34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</row>
    <row r="378" spans="1:34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</row>
    <row r="379" spans="1:34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</row>
    <row r="380" spans="1:34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</row>
    <row r="381" spans="1:34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</row>
    <row r="382" spans="1:34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</row>
    <row r="383" spans="1:34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</row>
    <row r="384" spans="1:34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</row>
    <row r="385" spans="1:34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</row>
    <row r="386" spans="1:34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</row>
    <row r="387" spans="1:34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</row>
    <row r="388" spans="1:34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</row>
    <row r="389" spans="1:34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</row>
    <row r="390" spans="1:34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</row>
    <row r="391" spans="1:34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</row>
    <row r="392" spans="1:34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</row>
    <row r="393" spans="1:34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</row>
    <row r="394" spans="1:34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</row>
    <row r="395" spans="1:34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</row>
    <row r="396" spans="1:34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</row>
    <row r="397" spans="1:34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</row>
    <row r="398" spans="1:34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</row>
    <row r="399" spans="1:34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</row>
    <row r="400" spans="1:34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</row>
    <row r="401" spans="1:34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</row>
    <row r="402" spans="1:34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</row>
    <row r="403" spans="1:34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</row>
    <row r="404" spans="1:34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</row>
    <row r="405" spans="1:34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</row>
    <row r="406" spans="1:34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</row>
    <row r="407" spans="1:34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</row>
    <row r="408" spans="1:34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</row>
    <row r="409" spans="1:34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</row>
    <row r="410" spans="1:34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</row>
    <row r="411" spans="1:34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</row>
    <row r="412" spans="1:34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</row>
    <row r="413" spans="1:34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</row>
    <row r="414" spans="1:34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</row>
    <row r="415" spans="1:34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</row>
    <row r="416" spans="1:34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</row>
    <row r="417" spans="1:34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</row>
    <row r="418" spans="1:34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</row>
    <row r="419" spans="1:34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</row>
    <row r="420" spans="1:34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</row>
    <row r="421" spans="1:34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</row>
    <row r="422" spans="1:34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</row>
    <row r="423" spans="1:34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</row>
    <row r="424" spans="1:34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</row>
    <row r="425" spans="1:34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</row>
    <row r="426" spans="1:34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</row>
    <row r="427" spans="1:34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</row>
    <row r="428" spans="1:34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</row>
    <row r="429" spans="1:34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</row>
    <row r="430" spans="1:34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</row>
    <row r="431" spans="1:34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</row>
    <row r="432" spans="1:34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</row>
    <row r="433" spans="1:34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</row>
    <row r="434" spans="1:34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</row>
    <row r="435" spans="1:34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</row>
    <row r="436" spans="1:34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</row>
    <row r="437" spans="1:34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</row>
    <row r="438" spans="1:34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</row>
    <row r="439" spans="1:34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</row>
    <row r="440" spans="1:34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</row>
    <row r="441" spans="1:34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</row>
    <row r="442" spans="1:34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</row>
    <row r="443" spans="1:34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</row>
    <row r="444" spans="1:34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</row>
    <row r="445" spans="1:34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</row>
    <row r="446" spans="1:34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</row>
    <row r="447" spans="1:34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</row>
    <row r="448" spans="1:34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</row>
    <row r="449" spans="1:34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</row>
    <row r="450" spans="1:34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</row>
    <row r="451" spans="1:34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</row>
    <row r="452" spans="1:34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</row>
    <row r="453" spans="1:34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</row>
    <row r="454" spans="1:34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</row>
    <row r="455" spans="1:34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</row>
    <row r="456" spans="1:34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</row>
    <row r="457" spans="1:34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</row>
    <row r="458" spans="1:34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</row>
    <row r="459" spans="1:34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</row>
    <row r="460" spans="1:34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</row>
    <row r="461" spans="1:34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</row>
    <row r="462" spans="1:34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</row>
    <row r="463" spans="1:34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</row>
    <row r="464" spans="1:34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</row>
    <row r="465" spans="1:34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</row>
    <row r="466" spans="1:34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</row>
    <row r="467" spans="1:34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</row>
    <row r="468" spans="1:34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</row>
    <row r="469" spans="1:34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</row>
    <row r="470" spans="1:34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</row>
    <row r="471" spans="1:34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</row>
    <row r="472" spans="1:34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</row>
    <row r="473" spans="1:34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</row>
    <row r="474" spans="1:34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</row>
    <row r="475" spans="1:34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</row>
    <row r="476" spans="1:34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</row>
    <row r="477" spans="1:34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</row>
    <row r="478" spans="1:34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</row>
    <row r="479" spans="1:34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</row>
    <row r="480" spans="1:34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</row>
    <row r="481" spans="1:34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</row>
    <row r="482" spans="1:34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</row>
    <row r="483" spans="1:34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</row>
    <row r="484" spans="1:34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</row>
    <row r="485" spans="1:34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</row>
    <row r="486" spans="1:34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</row>
    <row r="487" spans="1:34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</row>
    <row r="488" spans="1:34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</row>
    <row r="489" spans="1:34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</row>
    <row r="490" spans="1:34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</row>
    <row r="491" spans="1:34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</row>
    <row r="492" spans="1:34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</row>
    <row r="493" spans="1:34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</row>
    <row r="494" spans="1:34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</row>
    <row r="495" spans="1:34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</row>
    <row r="496" spans="1:34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</row>
    <row r="497" spans="1:34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</row>
    <row r="498" spans="1:34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</row>
    <row r="499" spans="1:34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</row>
    <row r="500" spans="1:34" x14ac:dyDescent="0.25">
      <c r="A500" s="16"/>
      <c r="B500" s="16"/>
      <c r="C500" s="16"/>
      <c r="D500" s="16"/>
      <c r="E500" s="16"/>
      <c r="F500" s="16"/>
      <c r="G500" s="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</row>
  </sheetData>
  <autoFilter ref="A3:AH129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308E-CF3F-4232-9066-1FED5F7E192A}">
  <dimension ref="A1:H8"/>
  <sheetViews>
    <sheetView workbookViewId="0">
      <selection activeCell="I13" sqref="I13"/>
    </sheetView>
  </sheetViews>
  <sheetFormatPr defaultRowHeight="15" x14ac:dyDescent="0.25"/>
  <cols>
    <col min="2" max="2" width="9.140625" style="19"/>
    <col min="3" max="3" width="100.5703125" bestFit="1" customWidth="1"/>
  </cols>
  <sheetData>
    <row r="1" spans="1:8" x14ac:dyDescent="0.25">
      <c r="A1" t="s">
        <v>299</v>
      </c>
      <c r="B1" s="19" t="str">
        <f>SUBSTITUTE(A1," ","")</f>
        <v>SU002725</v>
      </c>
      <c r="C1" t="s">
        <v>300</v>
      </c>
      <c r="D1" t="s">
        <v>301</v>
      </c>
      <c r="E1" t="s">
        <v>302</v>
      </c>
      <c r="F1" t="s">
        <v>302</v>
      </c>
      <c r="G1" t="s">
        <v>303</v>
      </c>
      <c r="H1">
        <f>--SUBSTITUTE(G1," ","")</f>
        <v>-70</v>
      </c>
    </row>
    <row r="2" spans="1:8" x14ac:dyDescent="0.25">
      <c r="A2" t="s">
        <v>304</v>
      </c>
      <c r="B2" s="19" t="str">
        <f t="shared" ref="B2:B8" si="0">SUBSTITUTE(A2," ","")</f>
        <v>SU002801</v>
      </c>
      <c r="C2" t="s">
        <v>305</v>
      </c>
      <c r="D2" t="s">
        <v>306</v>
      </c>
      <c r="E2" t="s">
        <v>302</v>
      </c>
      <c r="F2" t="s">
        <v>302</v>
      </c>
      <c r="G2" t="s">
        <v>307</v>
      </c>
      <c r="H2">
        <f t="shared" ref="H2:H8" si="1">--SUBSTITUTE(G2," ","")</f>
        <v>-276</v>
      </c>
    </row>
    <row r="3" spans="1:8" x14ac:dyDescent="0.25">
      <c r="A3" t="s">
        <v>308</v>
      </c>
      <c r="B3" s="19" t="str">
        <f t="shared" si="0"/>
        <v>SU002944</v>
      </c>
      <c r="C3" t="s">
        <v>309</v>
      </c>
      <c r="D3" t="s">
        <v>310</v>
      </c>
      <c r="E3" t="s">
        <v>302</v>
      </c>
      <c r="F3" t="s">
        <v>302</v>
      </c>
      <c r="G3" t="s">
        <v>311</v>
      </c>
      <c r="H3">
        <f t="shared" si="1"/>
        <v>-18</v>
      </c>
    </row>
    <row r="4" spans="1:8" x14ac:dyDescent="0.25">
      <c r="A4" t="s">
        <v>312</v>
      </c>
      <c r="B4" s="19" t="str">
        <f t="shared" si="0"/>
        <v>SU003167</v>
      </c>
      <c r="C4" t="s">
        <v>313</v>
      </c>
      <c r="D4" t="s">
        <v>314</v>
      </c>
      <c r="E4" t="s">
        <v>314</v>
      </c>
      <c r="F4" t="s">
        <v>302</v>
      </c>
      <c r="G4" t="s">
        <v>315</v>
      </c>
      <c r="H4">
        <f t="shared" si="1"/>
        <v>-74</v>
      </c>
    </row>
    <row r="5" spans="1:8" x14ac:dyDescent="0.25">
      <c r="A5" t="s">
        <v>316</v>
      </c>
      <c r="B5" s="19" t="str">
        <f t="shared" si="0"/>
        <v>SU003168</v>
      </c>
      <c r="C5" t="s">
        <v>317</v>
      </c>
      <c r="D5" t="s">
        <v>318</v>
      </c>
      <c r="E5" t="s">
        <v>302</v>
      </c>
      <c r="F5" t="s">
        <v>302</v>
      </c>
      <c r="G5" t="s">
        <v>319</v>
      </c>
      <c r="H5">
        <f t="shared" si="1"/>
        <v>-13</v>
      </c>
    </row>
    <row r="6" spans="1:8" x14ac:dyDescent="0.25">
      <c r="A6" t="s">
        <v>320</v>
      </c>
      <c r="B6" s="19" t="str">
        <f t="shared" si="0"/>
        <v>SU003829</v>
      </c>
      <c r="C6" t="s">
        <v>321</v>
      </c>
      <c r="D6" t="s">
        <v>322</v>
      </c>
      <c r="E6" t="s">
        <v>302</v>
      </c>
      <c r="F6" t="s">
        <v>302</v>
      </c>
      <c r="G6" t="s">
        <v>323</v>
      </c>
      <c r="H6">
        <f t="shared" si="1"/>
        <v>-9</v>
      </c>
    </row>
    <row r="7" spans="1:8" x14ac:dyDescent="0.25">
      <c r="A7" t="s">
        <v>324</v>
      </c>
      <c r="B7" s="19" t="str">
        <f t="shared" si="0"/>
        <v>SU003894</v>
      </c>
      <c r="C7" t="s">
        <v>325</v>
      </c>
      <c r="D7" t="s">
        <v>326</v>
      </c>
      <c r="E7" t="s">
        <v>302</v>
      </c>
      <c r="F7" t="s">
        <v>302</v>
      </c>
      <c r="G7" t="s">
        <v>327</v>
      </c>
      <c r="H7">
        <f t="shared" si="1"/>
        <v>-5</v>
      </c>
    </row>
    <row r="8" spans="1:8" x14ac:dyDescent="0.25">
      <c r="A8" t="s">
        <v>328</v>
      </c>
      <c r="B8" s="19" t="str">
        <f t="shared" si="0"/>
        <v>SU004042</v>
      </c>
      <c r="C8" t="s">
        <v>329</v>
      </c>
      <c r="D8" t="s">
        <v>330</v>
      </c>
      <c r="E8" t="s">
        <v>302</v>
      </c>
      <c r="F8" t="s">
        <v>302</v>
      </c>
      <c r="G8" t="s">
        <v>331</v>
      </c>
      <c r="H8">
        <f t="shared" si="1"/>
        <v>-24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дефицит 28,09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2026-10-01T17:08:30Z</dcterms:created>
  <dcterms:modified xsi:type="dcterms:W3CDTF">2026-10-06T07:51:56Z</dcterms:modified>
</cp:coreProperties>
</file>