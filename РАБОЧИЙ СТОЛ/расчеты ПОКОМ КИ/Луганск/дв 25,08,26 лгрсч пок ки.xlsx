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" sheetId="1" state="visible" r:id="rId1"/>
    <sheet name="недогруз 25,08" sheetId="2" state="visible" r:id="rId2"/>
  </sheets>
  <definedNames>
    <definedName name="_xlnm._FilterDatabase" localSheetId="0" hidden="1">'Sheet'!$A$3:$AK$134</definedName>
  </definedNames>
  <calcPr calcId="181029" fullCalcOnLoad="1" refMode="R1C1"/>
</workbook>
</file>

<file path=xl/styles.xml><?xml version="1.0" encoding="utf-8"?>
<styleSheet xmlns="http://schemas.openxmlformats.org/spreadsheetml/2006/main">
  <numFmts count="2">
    <numFmt numFmtId="164" formatCode="0_ ;[Red]\-0\ "/>
    <numFmt numFmtId="165" formatCode="0.00_ ;[Red]\-0.00\ "/>
  </numFmts>
  <fonts count="1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sz val="10"/>
    </font>
    <font>
      <name val="Calibri"/>
      <b val="1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Arial"/>
      <charset val="204"/>
      <family val="2"/>
      <b val="1"/>
      <color rgb="FFFF0000"/>
      <sz val="10"/>
    </font>
    <font>
      <name val="Arial"/>
      <charset val="204"/>
      <family val="2"/>
      <sz val="10"/>
    </font>
    <font>
      <name val="Calibri"/>
      <charset val="204"/>
      <family val="2"/>
      <b val="1"/>
      <color rgb="FF2C2D2E"/>
      <sz val="11"/>
    </font>
    <font>
      <name val="Calibri"/>
      <charset val="204"/>
      <family val="2"/>
      <color rgb="FF2C2D2E"/>
      <sz val="11"/>
    </font>
    <font>
      <name val="Calibri"/>
      <charset val="204"/>
      <family val="2"/>
      <b val="1"/>
      <color rgb="FFFF0000"/>
      <sz val="11"/>
    </font>
    <font>
      <name val="Calibri"/>
      <charset val="204"/>
      <family val="2"/>
      <b val="1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2" fillId="0" borderId="1"/>
  </cellStyleXfs>
  <cellXfs count="35">
    <xf numFmtId="0" fontId="0" fillId="0" borderId="0" pivotButton="0" quotePrefix="0" xfId="0"/>
    <xf numFmtId="164" fontId="3" fillId="2" borderId="1" pivotButton="0" quotePrefix="0" xfId="1"/>
    <xf numFmtId="164" fontId="4" fillId="2" borderId="1" pivotButton="0" quotePrefix="0" xfId="1"/>
    <xf numFmtId="164" fontId="2" fillId="3" borderId="1" pivotButton="0" quotePrefix="0" xfId="1"/>
    <xf numFmtId="164" fontId="2" fillId="0" borderId="2" pivotButton="0" quotePrefix="0" xfId="1"/>
    <xf numFmtId="2" fontId="0" fillId="0" borderId="0" pivotButton="0" quotePrefix="0" xfId="0"/>
    <xf numFmtId="2" fontId="2" fillId="0" borderId="1" pivotButton="0" quotePrefix="0" xfId="1"/>
    <xf numFmtId="2" fontId="3" fillId="2" borderId="1" pivotButton="0" quotePrefix="0" xfId="1"/>
    <xf numFmtId="164" fontId="2" fillId="4" borderId="1" pivotButton="0" quotePrefix="0" xfId="1"/>
    <xf numFmtId="2" fontId="2" fillId="4" borderId="1" pivotButton="0" quotePrefix="0" xfId="1"/>
    <xf numFmtId="164" fontId="2" fillId="4" borderId="2" pivotButton="0" quotePrefix="0" xfId="1"/>
    <xf numFmtId="164" fontId="2" fillId="0" borderId="1" pivotButton="0" quotePrefix="0" xfId="1"/>
    <xf numFmtId="164" fontId="2" fillId="5" borderId="1" pivotButton="0" quotePrefix="0" xfId="1"/>
    <xf numFmtId="164" fontId="5" fillId="6" borderId="1" pivotButton="0" quotePrefix="0" xfId="1"/>
    <xf numFmtId="164" fontId="2" fillId="7" borderId="1" pivotButton="0" quotePrefix="0" xfId="1"/>
    <xf numFmtId="164" fontId="6" fillId="7" borderId="1" pivotButton="0" quotePrefix="0" xfId="1"/>
    <xf numFmtId="164" fontId="7" fillId="0" borderId="1" pivotButton="0" quotePrefix="0" xfId="1"/>
    <xf numFmtId="164" fontId="7" fillId="7" borderId="1" pivotButton="0" quotePrefix="0" xfId="1"/>
    <xf numFmtId="164" fontId="7" fillId="5" borderId="1" pivotButton="0" quotePrefix="0" xfId="1"/>
    <xf numFmtId="0" fontId="0" fillId="0" borderId="1" pivotButton="0" quotePrefix="0" xfId="0"/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vertical="center" wrapText="1"/>
    </xf>
    <xf numFmtId="0" fontId="9" fillId="8" borderId="2" applyAlignment="1" pivotButton="0" quotePrefix="0" xfId="0">
      <alignment horizontal="right" vertical="center" wrapText="1"/>
    </xf>
    <xf numFmtId="0" fontId="1" fillId="0" borderId="0" pivotButton="0" quotePrefix="0" xfId="0"/>
    <xf numFmtId="0" fontId="0" fillId="0" borderId="1" pivotButton="0" quotePrefix="0" xfId="0"/>
    <xf numFmtId="0" fontId="10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right" vertical="center" wrapText="1"/>
    </xf>
    <xf numFmtId="0" fontId="11" fillId="0" borderId="1" pivotButton="0" quotePrefix="0" xfId="0"/>
    <xf numFmtId="164" fontId="10" fillId="2" borderId="1" pivotButton="0" quotePrefix="0" xfId="1"/>
    <xf numFmtId="165" fontId="2" fillId="0" borderId="1" pivotButton="0" quotePrefix="0" xfId="1"/>
    <xf numFmtId="0" fontId="9" fillId="8" borderId="3" applyAlignment="1" pivotButton="0" quotePrefix="0" xfId="0">
      <alignment horizontal="right" vertical="center" wrapText="1"/>
    </xf>
    <xf numFmtId="0" fontId="9" fillId="8" borderId="5" applyAlignment="1" pivotButton="0" quotePrefix="0" xfId="0">
      <alignment horizontal="right" vertical="center" wrapText="1"/>
    </xf>
    <xf numFmtId="0" fontId="9" fillId="8" borderId="4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Обычный" xfId="0" builtinId="0"/>
    <cellStyle name="Arial10px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0"/>
  <sheetViews>
    <sheetView tabSelected="1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L4" sqref="AL4"/>
    </sheetView>
  </sheetViews>
  <sheetFormatPr baseColWidth="8" defaultRowHeight="15"/>
  <cols>
    <col width="60" customWidth="1" min="1" max="1"/>
    <col width="3" customWidth="1" min="2" max="2"/>
    <col width="6" customWidth="1" min="3" max="4"/>
    <col width="7" customWidth="1" min="5" max="6"/>
    <col width="5" customWidth="1" style="5" min="7" max="7"/>
    <col width="5" customWidth="1" min="8" max="8"/>
    <col width="9.140625" customWidth="1" min="9" max="9"/>
    <col width="1" customWidth="1" min="10" max="10"/>
    <col width="7" customWidth="1" min="11" max="12"/>
    <col width="0.28515625" customWidth="1" min="13" max="14"/>
    <col width="7" customWidth="1" min="15" max="18"/>
    <col width="7" customWidth="1" style="24" min="19" max="19"/>
    <col width="7" customWidth="1" min="20" max="23"/>
    <col width="5" customWidth="1" min="24" max="25"/>
    <col width="6.5703125" customWidth="1" min="26" max="35"/>
    <col width="27.85546875" customWidth="1" min="36" max="36"/>
    <col width="7" customWidth="1" min="37" max="37"/>
  </cols>
  <sheetData>
    <row r="1">
      <c r="A1" s="11" t="n"/>
      <c r="B1" s="11" t="n"/>
      <c r="C1" s="11" t="n"/>
      <c r="D1" s="11" t="n"/>
      <c r="E1" s="11" t="n"/>
      <c r="F1" s="11" t="n"/>
      <c r="G1" s="6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29" t="n">
        <v>1</v>
      </c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</row>
    <row r="2">
      <c r="A2" s="11" t="n"/>
      <c r="B2" s="11" t="n"/>
      <c r="C2" s="11" t="n"/>
      <c r="D2" s="11" t="n"/>
      <c r="E2" s="11" t="n"/>
      <c r="F2" s="11" t="n"/>
      <c r="G2" s="6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inlineStr">
        <is>
          <t>дн</t>
        </is>
      </c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</row>
    <row r="3">
      <c r="A3" s="1" t="inlineStr">
        <is>
          <t>Номенклатура</t>
        </is>
      </c>
      <c r="B3" s="1" t="inlineStr">
        <is>
          <t>Ед. изм.</t>
        </is>
      </c>
      <c r="C3" s="1" t="inlineStr">
        <is>
          <t>Начальный остаток</t>
        </is>
      </c>
      <c r="D3" s="1" t="inlineStr">
        <is>
          <t>Приход</t>
        </is>
      </c>
      <c r="E3" s="1" t="inlineStr">
        <is>
          <t>Расход</t>
        </is>
      </c>
      <c r="F3" s="1" t="inlineStr">
        <is>
          <t>Конечный остаток</t>
        </is>
      </c>
      <c r="G3" s="7" t="inlineStr">
        <is>
          <t>крат</t>
        </is>
      </c>
      <c r="H3" s="1" t="inlineStr">
        <is>
          <t>сроки</t>
        </is>
      </c>
      <c r="I3" s="1" t="inlineStr">
        <is>
          <t>метка</t>
        </is>
      </c>
      <c r="J3" s="1" t="inlineStr">
        <is>
          <t>метка2</t>
        </is>
      </c>
      <c r="K3" s="1" t="inlineStr">
        <is>
          <t>заяв</t>
        </is>
      </c>
      <c r="L3" s="1" t="inlineStr">
        <is>
          <t>разн</t>
        </is>
      </c>
      <c r="M3" s="1" t="inlineStr">
        <is>
          <t>без опта</t>
        </is>
      </c>
      <c r="N3" s="1" t="inlineStr">
        <is>
          <t>опт</t>
        </is>
      </c>
      <c r="O3" s="1" t="inlineStr">
        <is>
          <t>заказ в пути</t>
        </is>
      </c>
      <c r="P3" s="1" t="inlineStr">
        <is>
          <t>заказ в пути</t>
        </is>
      </c>
      <c r="Q3" s="1" t="inlineStr">
        <is>
          <t>заказ в пути</t>
        </is>
      </c>
      <c r="R3" s="1" t="inlineStr">
        <is>
          <t>заказ в пути</t>
        </is>
      </c>
      <c r="S3" s="1" t="inlineStr">
        <is>
          <t>заказ в пути</t>
        </is>
      </c>
      <c r="T3" s="1" t="inlineStr">
        <is>
          <t>заказ в пути</t>
        </is>
      </c>
      <c r="U3" s="1" t="inlineStr">
        <is>
          <t>ср нов</t>
        </is>
      </c>
      <c r="V3" s="2" t="inlineStr">
        <is>
          <t>расчет</t>
        </is>
      </c>
      <c r="W3" s="28" t="inlineStr">
        <is>
          <t>заказ</t>
        </is>
      </c>
      <c r="X3" s="1" t="inlineStr">
        <is>
          <t>кон ост</t>
        </is>
      </c>
      <c r="Y3" s="1" t="inlineStr">
        <is>
          <t>факт</t>
        </is>
      </c>
      <c r="Z3" s="1" t="inlineStr">
        <is>
          <t>ср</t>
        </is>
      </c>
      <c r="AA3" s="1" t="inlineStr">
        <is>
          <t>ср</t>
        </is>
      </c>
      <c r="AB3" s="1" t="inlineStr">
        <is>
          <t>ср</t>
        </is>
      </c>
      <c r="AC3" s="1" t="inlineStr">
        <is>
          <t>ср</t>
        </is>
      </c>
      <c r="AD3" s="1" t="inlineStr">
        <is>
          <t>ср</t>
        </is>
      </c>
      <c r="AE3" s="1" t="inlineStr">
        <is>
          <t>ср</t>
        </is>
      </c>
      <c r="AF3" s="1" t="inlineStr">
        <is>
          <t>ср</t>
        </is>
      </c>
      <c r="AG3" s="1" t="inlineStr">
        <is>
          <t>ср</t>
        </is>
      </c>
      <c r="AH3" s="1" t="inlineStr">
        <is>
          <t>ср</t>
        </is>
      </c>
      <c r="AI3" s="1" t="inlineStr">
        <is>
          <t>ср</t>
        </is>
      </c>
      <c r="AJ3" s="1" t="inlineStr">
        <is>
          <t>комментарии</t>
        </is>
      </c>
      <c r="AK3" s="1" t="inlineStr">
        <is>
          <t>вес</t>
        </is>
      </c>
    </row>
    <row r="4">
      <c r="A4" s="11" t="n"/>
      <c r="B4" s="11" t="n"/>
      <c r="C4" s="11" t="n"/>
      <c r="D4" s="11" t="n"/>
      <c r="E4" s="11" t="n"/>
      <c r="F4" s="11" t="n"/>
      <c r="G4" s="6" t="n"/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24,08,</t>
        </is>
      </c>
      <c r="P4" s="11" t="inlineStr">
        <is>
          <t>24,08,недогр</t>
        </is>
      </c>
      <c r="Q4" s="11" t="inlineStr">
        <is>
          <t>24,08,доз</t>
        </is>
      </c>
      <c r="R4" s="11" t="inlineStr">
        <is>
          <t>25,08,</t>
        </is>
      </c>
      <c r="S4" s="11" t="inlineStr">
        <is>
          <t>25,08,недогр</t>
        </is>
      </c>
      <c r="T4" s="11" t="inlineStr">
        <is>
          <t>25,08,доз</t>
        </is>
      </c>
      <c r="U4" s="11" t="inlineStr">
        <is>
          <t>25,08,</t>
        </is>
      </c>
      <c r="V4" s="11" t="n"/>
      <c r="W4" s="11" t="inlineStr">
        <is>
          <t>30,08,</t>
        </is>
      </c>
      <c r="X4" s="11" t="n"/>
      <c r="Y4" s="11" t="n"/>
      <c r="Z4" s="11" t="inlineStr">
        <is>
          <t>20,08,</t>
        </is>
      </c>
      <c r="AA4" s="11" t="inlineStr">
        <is>
          <t>18,08,</t>
        </is>
      </c>
      <c r="AB4" s="11" t="inlineStr">
        <is>
          <t>13,08,</t>
        </is>
      </c>
      <c r="AC4" s="11" t="inlineStr">
        <is>
          <t>11,08,</t>
        </is>
      </c>
      <c r="AD4" s="11" t="inlineStr">
        <is>
          <t>06,08,</t>
        </is>
      </c>
      <c r="AE4" s="11" t="inlineStr">
        <is>
          <t>04,08,</t>
        </is>
      </c>
      <c r="AF4" s="11" t="inlineStr">
        <is>
          <t>30,07,</t>
        </is>
      </c>
      <c r="AG4" s="11" t="inlineStr">
        <is>
          <t>28,07,</t>
        </is>
      </c>
      <c r="AH4" s="11" t="inlineStr">
        <is>
          <t>23,07,</t>
        </is>
      </c>
      <c r="AI4" s="11" t="inlineStr">
        <is>
          <t>21,07,</t>
        </is>
      </c>
      <c r="AJ4" s="11" t="n"/>
      <c r="AK4" s="11" t="n"/>
    </row>
    <row r="5">
      <c r="A5" s="11" t="n"/>
      <c r="B5" s="11" t="n"/>
      <c r="C5" s="11" t="n"/>
      <c r="D5" s="11" t="n"/>
      <c r="E5" s="3">
        <f>SUM(E6:E500)</f>
        <v/>
      </c>
      <c r="F5" s="3">
        <f>SUM(F6:F500)</f>
        <v/>
      </c>
      <c r="G5" s="6" t="n"/>
      <c r="H5" s="11" t="n"/>
      <c r="I5" s="11" t="n"/>
      <c r="J5" s="11" t="n"/>
      <c r="K5" s="3">
        <f>SUM(K6:K500)</f>
        <v/>
      </c>
      <c r="L5" s="3">
        <f>SUM(L6:L500)</f>
        <v/>
      </c>
      <c r="M5" s="3">
        <f>SUM(M6:M500)</f>
        <v/>
      </c>
      <c r="N5" s="3">
        <f>SUM(N6:N500)</f>
        <v/>
      </c>
      <c r="O5" s="3">
        <f>SUM(O6:O500)</f>
        <v/>
      </c>
      <c r="P5" s="3">
        <f>SUM(P6:P500)</f>
        <v/>
      </c>
      <c r="Q5" s="3">
        <f>SUM(Q6:Q500)</f>
        <v/>
      </c>
      <c r="R5" s="3">
        <f>SUM(R6:R500)</f>
        <v/>
      </c>
      <c r="S5" s="3">
        <f>SUM(S6:S500)</f>
        <v/>
      </c>
      <c r="T5" s="3">
        <f>SUM(T6:T500)</f>
        <v/>
      </c>
      <c r="U5" s="3">
        <f>SUM(U6:U500)</f>
        <v/>
      </c>
      <c r="V5" s="3">
        <f>SUM(V6:V500)</f>
        <v/>
      </c>
      <c r="W5" s="3">
        <f>SUM(W6:W500)</f>
        <v/>
      </c>
      <c r="X5" s="11" t="n"/>
      <c r="Y5" s="11" t="n"/>
      <c r="Z5" s="3">
        <f>SUM(Z6:Z500)</f>
        <v/>
      </c>
      <c r="AA5" s="3">
        <f>SUM(AA6:AA500)</f>
        <v/>
      </c>
      <c r="AB5" s="3">
        <f>SUM(AB6:AB500)</f>
        <v/>
      </c>
      <c r="AC5" s="3">
        <f>SUM(AC6:AC500)</f>
        <v/>
      </c>
      <c r="AD5" s="3">
        <f>SUM(AD6:AD500)</f>
        <v/>
      </c>
      <c r="AE5" s="3">
        <f>SUM(AE6:AE500)</f>
        <v/>
      </c>
      <c r="AF5" s="3">
        <f>SUM(AF6:AF500)</f>
        <v/>
      </c>
      <c r="AG5" s="3">
        <f>SUM(AG6:AG500)</f>
        <v/>
      </c>
      <c r="AH5" s="3">
        <f>SUM(AH6:AH500)</f>
        <v/>
      </c>
      <c r="AI5" s="3">
        <f>SUM(AI6:AI500)</f>
        <v/>
      </c>
      <c r="AJ5" s="11" t="n"/>
      <c r="AK5" s="3">
        <f>SUM(AK6:AK500)</f>
        <v/>
      </c>
      <c r="AL5" s="3">
        <f>SUM(AL6:AL500)</f>
        <v/>
      </c>
    </row>
    <row r="6">
      <c r="A6" s="11" t="inlineStr">
        <is>
          <t xml:space="preserve"> 005  Колбаса Докторская ГОСТ, Вязанка вектор,ВЕС. ПОКОМ</t>
        </is>
      </c>
      <c r="B6" s="11" t="inlineStr">
        <is>
          <t>кг</t>
        </is>
      </c>
      <c r="C6" s="11" t="n">
        <v>4580.089</v>
      </c>
      <c r="D6" s="11" t="n">
        <v>1720.039</v>
      </c>
      <c r="E6" s="11" t="n">
        <v>2418.406</v>
      </c>
      <c r="F6" s="11" t="n">
        <v>3662.519</v>
      </c>
      <c r="G6" s="6" t="n">
        <v>1</v>
      </c>
      <c r="H6" s="11" t="n">
        <v>50</v>
      </c>
      <c r="I6" s="11" t="inlineStr">
        <is>
          <t>матрица</t>
        </is>
      </c>
      <c r="J6" s="11" t="n"/>
      <c r="K6" s="11" t="n">
        <v>2368.4</v>
      </c>
      <c r="L6" s="11">
        <f>E6-K6</f>
        <v/>
      </c>
      <c r="M6" s="11" t="n"/>
      <c r="N6" s="11" t="n"/>
      <c r="O6" s="11" t="n">
        <v>814.7993351960001</v>
      </c>
      <c r="P6" s="11" t="n"/>
      <c r="Q6" s="11" t="n"/>
      <c r="R6" s="11" t="n">
        <v>1301.562574404</v>
      </c>
      <c r="S6" s="11" t="n"/>
      <c r="T6" s="11" t="n"/>
      <c r="U6" s="11">
        <f>E6/5</f>
        <v/>
      </c>
      <c r="V6" s="4" t="n"/>
      <c r="W6" s="4">
        <f>V6</f>
        <v/>
      </c>
      <c r="X6" s="11">
        <f>(F6+O6+P6+Q6+R6+W6+T6+S6)/U6</f>
        <v/>
      </c>
      <c r="Y6" s="11">
        <f>(F6+O6+P6+Q6+R6+S6+T6)/U6</f>
        <v/>
      </c>
      <c r="Z6" s="11" t="n">
        <v>546.8576</v>
      </c>
      <c r="AA6" s="11" t="n">
        <v>558.1641999999999</v>
      </c>
      <c r="AB6" s="11" t="n">
        <v>472.441</v>
      </c>
      <c r="AC6" s="11" t="n">
        <v>450.1</v>
      </c>
      <c r="AD6" s="11" t="n">
        <v>477.9028</v>
      </c>
      <c r="AE6" s="11" t="n">
        <v>497.2194000000001</v>
      </c>
      <c r="AF6" s="11" t="n">
        <v>462.6874</v>
      </c>
      <c r="AG6" s="11" t="n">
        <v>504.1636</v>
      </c>
      <c r="AH6" s="11" t="n">
        <v>475.5916</v>
      </c>
      <c r="AI6" s="11" t="n">
        <v>485.4896</v>
      </c>
      <c r="AJ6" s="11" t="n"/>
      <c r="AK6" s="11">
        <f>ROUND(G6*W6,0)</f>
        <v/>
      </c>
      <c r="AL6">
        <f>U6*G6</f>
        <v/>
      </c>
      <c r="AM6" t="inlineStr">
        <is>
          <t>SU000722</t>
        </is>
      </c>
    </row>
    <row r="7">
      <c r="A7" s="11" t="inlineStr">
        <is>
          <t xml:space="preserve"> 016  Сосиски Вязанка Молочные, Вязанка вискофан  ВЕС.ПОКОМ</t>
        </is>
      </c>
      <c r="B7" s="11" t="inlineStr">
        <is>
          <t>кг</t>
        </is>
      </c>
      <c r="C7" s="11" t="n">
        <v>1369.104</v>
      </c>
      <c r="D7" s="11" t="n">
        <v>2284.016</v>
      </c>
      <c r="E7" s="11" t="n">
        <v>1535.645</v>
      </c>
      <c r="F7" s="11" t="n">
        <v>1948.293</v>
      </c>
      <c r="G7" s="6" t="n">
        <v>1</v>
      </c>
      <c r="H7" s="11" t="n">
        <v>45</v>
      </c>
      <c r="I7" s="11" t="inlineStr">
        <is>
          <t>матрица</t>
        </is>
      </c>
      <c r="J7" s="11" t="n"/>
      <c r="K7" s="11" t="n">
        <v>1459.35</v>
      </c>
      <c r="L7" s="11">
        <f>E7-K7</f>
        <v/>
      </c>
      <c r="M7" s="11" t="n"/>
      <c r="N7" s="11" t="n"/>
      <c r="O7" s="11" t="n">
        <v>460.0515745209999</v>
      </c>
      <c r="P7" s="11" t="n"/>
      <c r="Q7" s="11" t="n"/>
      <c r="R7" s="11" t="n">
        <v>734.8875800789998</v>
      </c>
      <c r="S7" s="11" t="n"/>
      <c r="T7" s="11" t="n"/>
      <c r="U7" s="11">
        <f>E7/5</f>
        <v/>
      </c>
      <c r="V7" s="4">
        <f>11*U7-T7-R7-Q7-P7-O7-F7</f>
        <v/>
      </c>
      <c r="W7" s="4">
        <f>V7+$W$1*U7</f>
        <v/>
      </c>
      <c r="X7" s="11">
        <f>(F7+O7+P7+Q7+R7+W7+T7+S7)/U7</f>
        <v/>
      </c>
      <c r="Y7" s="11">
        <f>(F7+O7+P7+Q7+R7+S7+T7)/U7</f>
        <v/>
      </c>
      <c r="Z7" s="11" t="n">
        <v>307.7194</v>
      </c>
      <c r="AA7" s="11" t="n">
        <v>321.2652</v>
      </c>
      <c r="AB7" s="11" t="n">
        <v>300.1066</v>
      </c>
      <c r="AC7" s="11" t="n">
        <v>262.3652</v>
      </c>
      <c r="AD7" s="11" t="n">
        <v>266.332</v>
      </c>
      <c r="AE7" s="11" t="n">
        <v>285.4392</v>
      </c>
      <c r="AF7" s="11" t="n">
        <v>272.4182</v>
      </c>
      <c r="AG7" s="11" t="n">
        <v>253.4586</v>
      </c>
      <c r="AH7" s="11" t="n">
        <v>242.8768</v>
      </c>
      <c r="AI7" s="11" t="n">
        <v>235.5034</v>
      </c>
      <c r="AJ7" s="11" t="n"/>
      <c r="AK7" s="11">
        <f>ROUND(G7*W7,0)</f>
        <v/>
      </c>
      <c r="AL7">
        <f>U7*G7</f>
        <v/>
      </c>
      <c r="AM7" t="inlineStr">
        <is>
          <t>SU001523</t>
        </is>
      </c>
    </row>
    <row r="8">
      <c r="A8" s="11" t="inlineStr">
        <is>
          <t xml:space="preserve"> 017  Сосиски Вязанка Сливочные, Вязанка амицел ВЕС.ПОКОМ</t>
        </is>
      </c>
      <c r="B8" s="11" t="inlineStr">
        <is>
          <t>кг</t>
        </is>
      </c>
      <c r="C8" s="11" t="n">
        <v>1446.507</v>
      </c>
      <c r="D8" s="11" t="n">
        <v>1691.045</v>
      </c>
      <c r="E8" s="11" t="n">
        <v>1274.262</v>
      </c>
      <c r="F8" s="11" t="n">
        <v>1732.638</v>
      </c>
      <c r="G8" s="6" t="n">
        <v>1</v>
      </c>
      <c r="H8" s="11" t="n">
        <v>45</v>
      </c>
      <c r="I8" s="11" t="inlineStr">
        <is>
          <t>матрица</t>
        </is>
      </c>
      <c r="J8" s="11" t="n"/>
      <c r="K8" s="11" t="n">
        <v>1242.908</v>
      </c>
      <c r="L8" s="11">
        <f>E8-K8</f>
        <v/>
      </c>
      <c r="M8" s="11" t="n"/>
      <c r="N8" s="11" t="n"/>
      <c r="O8" s="11" t="n">
        <v>333.1550188890002</v>
      </c>
      <c r="P8" s="11" t="n"/>
      <c r="Q8" s="11" t="n"/>
      <c r="R8" s="11" t="n">
        <v>532.1826925110001</v>
      </c>
      <c r="S8" s="11" t="n"/>
      <c r="T8" s="11" t="n"/>
      <c r="U8" s="11">
        <f>E8/5</f>
        <v/>
      </c>
      <c r="V8" s="4">
        <f>11*U8-T8-R8-Q8-P8-O8-F8</f>
        <v/>
      </c>
      <c r="W8" s="4">
        <f>V8+$W$1*U8</f>
        <v/>
      </c>
      <c r="X8" s="11">
        <f>(F8+O8+P8+Q8+R8+W8+T8+S8)/U8</f>
        <v/>
      </c>
      <c r="Y8" s="11">
        <f>(F8+O8+P8+Q8+R8+S8+T8)/U8</f>
        <v/>
      </c>
      <c r="Z8" s="11" t="n">
        <v>257.2868</v>
      </c>
      <c r="AA8" s="11" t="n">
        <v>276.0038</v>
      </c>
      <c r="AB8" s="11" t="n">
        <v>247.2452</v>
      </c>
      <c r="AC8" s="11" t="n">
        <v>223.7616</v>
      </c>
      <c r="AD8" s="11" t="n">
        <v>249.8908</v>
      </c>
      <c r="AE8" s="11" t="n">
        <v>251.5842</v>
      </c>
      <c r="AF8" s="11" t="n">
        <v>216.3372</v>
      </c>
      <c r="AG8" s="11" t="n">
        <v>214.1034</v>
      </c>
      <c r="AH8" s="11" t="n">
        <v>227.751</v>
      </c>
      <c r="AI8" s="11" t="n">
        <v>235.301</v>
      </c>
      <c r="AJ8" s="11" t="n"/>
      <c r="AK8" s="11">
        <f>ROUND(G8*W8,0)</f>
        <v/>
      </c>
      <c r="AL8">
        <f>U8*G8</f>
        <v/>
      </c>
      <c r="AM8" t="inlineStr">
        <is>
          <t>SU001721</t>
        </is>
      </c>
    </row>
    <row r="9">
      <c r="A9" s="8" t="inlineStr">
        <is>
          <t xml:space="preserve"> 023  Колбаса Докторская ГОСТ, Вязанка вектор, 0,4 кг, ПОКОМ</t>
        </is>
      </c>
      <c r="B9" s="8" t="inlineStr">
        <is>
          <t>шт</t>
        </is>
      </c>
      <c r="C9" s="8" t="n"/>
      <c r="D9" s="8" t="n"/>
      <c r="E9" s="8" t="n"/>
      <c r="F9" s="8" t="n"/>
      <c r="G9" s="9" t="n">
        <v>0</v>
      </c>
      <c r="H9" s="8" t="n"/>
      <c r="I9" s="8" t="inlineStr">
        <is>
          <t>матрица</t>
        </is>
      </c>
      <c r="J9" s="8" t="n"/>
      <c r="K9" s="8" t="n"/>
      <c r="L9" s="8">
        <f>E9-K9</f>
        <v/>
      </c>
      <c r="M9" s="8" t="n"/>
      <c r="N9" s="8" t="n"/>
      <c r="O9" s="8" t="n">
        <v>0</v>
      </c>
      <c r="P9" s="8" t="n"/>
      <c r="Q9" s="8" t="n"/>
      <c r="R9" s="8" t="n"/>
      <c r="S9" s="8" t="n"/>
      <c r="T9" s="8" t="n"/>
      <c r="U9" s="8">
        <f>E9/5</f>
        <v/>
      </c>
      <c r="V9" s="10" t="n"/>
      <c r="W9" s="4">
        <f>V9</f>
        <v/>
      </c>
      <c r="X9" s="11">
        <f>(F9+O9+P9+Q9+R9+W9+T9+S9)/U9</f>
        <v/>
      </c>
      <c r="Y9" s="11">
        <f>(F9+O9+P9+Q9+R9+S9+T9)/U9</f>
        <v/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inlineStr">
        <is>
          <t>нет потребности</t>
        </is>
      </c>
      <c r="AK9" s="11">
        <f>ROUND(G9*W9,0)</f>
        <v/>
      </c>
      <c r="AL9">
        <f>U9*G9</f>
        <v/>
      </c>
      <c r="AM9" t="inlineStr">
        <is>
          <t>SU001485</t>
        </is>
      </c>
    </row>
    <row r="10">
      <c r="A10" s="11" t="inlineStr">
        <is>
          <t xml:space="preserve"> 030  Сосиски Вязанка Молочные, Вязанка вискофан МГС, 0.45кг, ПОКОМ</t>
        </is>
      </c>
      <c r="B10" s="11" t="inlineStr">
        <is>
          <t>шт</t>
        </is>
      </c>
      <c r="C10" s="11" t="n">
        <v>789</v>
      </c>
      <c r="D10" s="11" t="n">
        <v>604</v>
      </c>
      <c r="E10" s="11" t="n">
        <v>613</v>
      </c>
      <c r="F10" s="11" t="n">
        <v>643</v>
      </c>
      <c r="G10" s="6" t="n">
        <v>0.45</v>
      </c>
      <c r="H10" s="11" t="n">
        <v>45</v>
      </c>
      <c r="I10" s="11" t="inlineStr">
        <is>
          <t>матрица</t>
        </is>
      </c>
      <c r="J10" s="11" t="n"/>
      <c r="K10" s="11" t="n">
        <v>661</v>
      </c>
      <c r="L10" s="11">
        <f>E10-K10</f>
        <v/>
      </c>
      <c r="M10" s="11" t="n"/>
      <c r="N10" s="11" t="n"/>
      <c r="O10" s="11" t="n">
        <v>182.6101200000001</v>
      </c>
      <c r="P10" s="11" t="n"/>
      <c r="Q10" s="11" t="n">
        <v>100</v>
      </c>
      <c r="R10" s="11" t="n">
        <v>291.7018800000001</v>
      </c>
      <c r="S10" s="11" t="n"/>
      <c r="T10" s="11" t="n"/>
      <c r="U10" s="11">
        <f>E10/5</f>
        <v/>
      </c>
      <c r="V10" s="4">
        <f>11*U10-T10-R10-Q10-P10-O10-F10</f>
        <v/>
      </c>
      <c r="W10" s="4">
        <f>V10+$W$1*U10</f>
        <v/>
      </c>
      <c r="X10" s="11">
        <f>(F10+O10+P10+Q10+R10+W10+T10+S10)/U10</f>
        <v/>
      </c>
      <c r="Y10" s="11">
        <f>(F10+O10+P10+Q10+R10+S10+T10)/U10</f>
        <v/>
      </c>
      <c r="Z10" s="11" t="n">
        <v>110.2</v>
      </c>
      <c r="AA10" s="11" t="n">
        <v>117.4</v>
      </c>
      <c r="AB10" s="11" t="n">
        <v>142.6</v>
      </c>
      <c r="AC10" s="11" t="n">
        <v>135.4</v>
      </c>
      <c r="AD10" s="11" t="n">
        <v>120.4</v>
      </c>
      <c r="AE10" s="11" t="n">
        <v>117.2</v>
      </c>
      <c r="AF10" s="11" t="n">
        <v>118.2</v>
      </c>
      <c r="AG10" s="11" t="n">
        <v>139</v>
      </c>
      <c r="AH10" s="11" t="n">
        <v>136.8</v>
      </c>
      <c r="AI10" s="11" t="n">
        <v>124.8</v>
      </c>
      <c r="AJ10" s="11" t="n"/>
      <c r="AK10" s="11">
        <f>ROUND(G10*W10,0)</f>
        <v/>
      </c>
      <c r="AL10">
        <f>U10*G10</f>
        <v/>
      </c>
      <c r="AM10" t="inlineStr">
        <is>
          <t>SU001718</t>
        </is>
      </c>
    </row>
    <row r="11">
      <c r="A11" s="11" t="inlineStr">
        <is>
          <t xml:space="preserve"> 032  Сосиски Вязанка Сливочные, Вязанка амицел МГС, 0.45кг, ПОКОМ</t>
        </is>
      </c>
      <c r="B11" s="11" t="inlineStr">
        <is>
          <t>шт</t>
        </is>
      </c>
      <c r="C11" s="11" t="n">
        <v>1220.76</v>
      </c>
      <c r="D11" s="11" t="n">
        <v>1558</v>
      </c>
      <c r="E11" s="11" t="n">
        <v>1241</v>
      </c>
      <c r="F11" s="11" t="n">
        <v>1365.76</v>
      </c>
      <c r="G11" s="6" t="n">
        <v>0.45</v>
      </c>
      <c r="H11" s="11" t="n">
        <v>45</v>
      </c>
      <c r="I11" s="11" t="inlineStr">
        <is>
          <t>матрица</t>
        </is>
      </c>
      <c r="J11" s="11" t="n"/>
      <c r="K11" s="11" t="n">
        <v>1295</v>
      </c>
      <c r="L11" s="11">
        <f>E11-K11</f>
        <v/>
      </c>
      <c r="M11" s="11" t="n"/>
      <c r="N11" s="11" t="n"/>
      <c r="O11" s="11" t="n">
        <v>455.9834509999995</v>
      </c>
      <c r="P11" s="11" t="n"/>
      <c r="Q11" s="11" t="n"/>
      <c r="R11" s="11" t="n">
        <v>728.3891489999993</v>
      </c>
      <c r="S11" s="11" t="n"/>
      <c r="T11" s="11" t="n"/>
      <c r="U11" s="11">
        <f>E11/5</f>
        <v/>
      </c>
      <c r="V11" s="4">
        <f>11*U11-T11-R11-Q11-P11-O11-F11</f>
        <v/>
      </c>
      <c r="W11" s="4">
        <f>V11+$W$1*U11</f>
        <v/>
      </c>
      <c r="X11" s="11">
        <f>(F11+O11+P11+Q11+R11+W11+T11+S11)/U11</f>
        <v/>
      </c>
      <c r="Y11" s="11">
        <f>(F11+O11+P11+Q11+R11+S11+T11)/U11</f>
        <v/>
      </c>
      <c r="Z11" s="11" t="n">
        <v>245.2</v>
      </c>
      <c r="AA11" s="11" t="n">
        <v>245.4</v>
      </c>
      <c r="AB11" s="11" t="n">
        <v>235.2</v>
      </c>
      <c r="AC11" s="11" t="n">
        <v>216.8</v>
      </c>
      <c r="AD11" s="11" t="n">
        <v>224.448</v>
      </c>
      <c r="AE11" s="11" t="n">
        <v>225.648</v>
      </c>
      <c r="AF11" s="11" t="n">
        <v>230.6</v>
      </c>
      <c r="AG11" s="11" t="n">
        <v>273.4</v>
      </c>
      <c r="AH11" s="11" t="n">
        <v>246.4</v>
      </c>
      <c r="AI11" s="11" t="n">
        <v>230.2</v>
      </c>
      <c r="AJ11" s="11" t="n"/>
      <c r="AK11" s="11">
        <f>ROUND(G11*W11,0)</f>
        <v/>
      </c>
      <c r="AL11">
        <f>U11*G11</f>
        <v/>
      </c>
      <c r="AM11" t="inlineStr">
        <is>
          <t>SU001720</t>
        </is>
      </c>
    </row>
    <row r="12">
      <c r="A12" s="11" t="inlineStr">
        <is>
          <t xml:space="preserve"> 047  Кол Баварская, белков.обол. в термоусад. пакете 0.17 кг, ТМ Стародворье  ПОКОМ</t>
        </is>
      </c>
      <c r="B12" s="11" t="inlineStr">
        <is>
          <t>шт</t>
        </is>
      </c>
      <c r="C12" s="11" t="n">
        <v>78</v>
      </c>
      <c r="D12" s="11" t="n">
        <v>150</v>
      </c>
      <c r="E12" s="11" t="n">
        <v>64</v>
      </c>
      <c r="F12" s="11" t="n">
        <v>157</v>
      </c>
      <c r="G12" s="6" t="n">
        <v>0.17</v>
      </c>
      <c r="H12" s="11" t="n">
        <v>180</v>
      </c>
      <c r="I12" s="11" t="inlineStr">
        <is>
          <t>матрица</t>
        </is>
      </c>
      <c r="J12" s="11" t="n"/>
      <c r="K12" s="11" t="n">
        <v>65</v>
      </c>
      <c r="L12" s="11">
        <f>E12-K12</f>
        <v/>
      </c>
      <c r="M12" s="11" t="n"/>
      <c r="N12" s="11" t="n"/>
      <c r="O12" s="11" t="n">
        <v>23.19999999999999</v>
      </c>
      <c r="P12" s="11" t="n"/>
      <c r="Q12" s="11" t="n"/>
      <c r="R12" s="11" t="n"/>
      <c r="S12" s="11" t="n"/>
      <c r="T12" s="11" t="n"/>
      <c r="U12" s="11">
        <f>E12/5</f>
        <v/>
      </c>
      <c r="V12" s="4" t="n"/>
      <c r="W12" s="4">
        <f>V12</f>
        <v/>
      </c>
      <c r="X12" s="11">
        <f>(F12+O12+P12+Q12+R12+W12+T12+S12)/U12</f>
        <v/>
      </c>
      <c r="Y12" s="11">
        <f>(F12+O12+P12+Q12+R12+S12+T12)/U12</f>
        <v/>
      </c>
      <c r="Z12" s="11" t="n">
        <v>16.6</v>
      </c>
      <c r="AA12" s="11" t="n">
        <v>17.8</v>
      </c>
      <c r="AB12" s="11" t="n">
        <v>15.6</v>
      </c>
      <c r="AC12" s="11" t="n">
        <v>15</v>
      </c>
      <c r="AD12" s="11" t="n">
        <v>18.2</v>
      </c>
      <c r="AE12" s="11" t="n">
        <v>17.2</v>
      </c>
      <c r="AF12" s="11" t="n">
        <v>10.2</v>
      </c>
      <c r="AG12" s="11" t="n">
        <v>14.6</v>
      </c>
      <c r="AH12" s="11" t="n">
        <v>20.2</v>
      </c>
      <c r="AI12" s="11" t="n">
        <v>15.2</v>
      </c>
      <c r="AJ12" s="11" t="n"/>
      <c r="AK12" s="11">
        <f>ROUND(G12*W12,0)</f>
        <v/>
      </c>
      <c r="AL12">
        <f>U12*G12</f>
        <v/>
      </c>
      <c r="AM12" t="inlineStr">
        <is>
          <t>SU002092</t>
        </is>
      </c>
    </row>
    <row r="13">
      <c r="A13" s="11" t="inlineStr">
        <is>
          <t xml:space="preserve"> 062  Колбаса Кракушка пряная с сальцем, 0.3кг в/у п/к, БАВАРУШКА ПОКОМ</t>
        </is>
      </c>
      <c r="B13" s="11" t="inlineStr">
        <is>
          <t>шт</t>
        </is>
      </c>
      <c r="C13" s="11" t="n">
        <v>102</v>
      </c>
      <c r="D13" s="11" t="n"/>
      <c r="E13" s="11" t="n">
        <v>96</v>
      </c>
      <c r="F13" s="11" t="n"/>
      <c r="G13" s="6" t="n">
        <v>0.3</v>
      </c>
      <c r="H13" s="11" t="n">
        <v>40</v>
      </c>
      <c r="I13" s="12" t="inlineStr">
        <is>
          <t>НЕДОГРУЗ / матрица</t>
        </is>
      </c>
      <c r="J13" s="11" t="n"/>
      <c r="K13" s="11" t="n">
        <v>102</v>
      </c>
      <c r="L13" s="11">
        <f>E13-K13</f>
        <v/>
      </c>
      <c r="M13" s="11" t="n"/>
      <c r="N13" s="11" t="n"/>
      <c r="O13" s="11" t="n">
        <v>96.19999999999999</v>
      </c>
      <c r="P13" s="11" t="n">
        <v>-102</v>
      </c>
      <c r="Q13" s="11" t="n"/>
      <c r="R13" s="11" t="n"/>
      <c r="S13" s="11" t="n"/>
      <c r="T13" s="11" t="n"/>
      <c r="U13" s="11">
        <f>E13/5</f>
        <v/>
      </c>
      <c r="V13" s="4" t="n">
        <v>50</v>
      </c>
      <c r="W13" s="4">
        <f>V13</f>
        <v/>
      </c>
      <c r="X13" s="11">
        <f>(F13+O13+P13+Q13+R13+W13+T13+S13)/U13</f>
        <v/>
      </c>
      <c r="Y13" s="11">
        <f>(F13+O13+P13+Q13+R13+S13+T13)/U13</f>
        <v/>
      </c>
      <c r="Z13" s="11" t="n">
        <v>21</v>
      </c>
      <c r="AA13" s="11" t="n">
        <v>17.8</v>
      </c>
      <c r="AB13" s="11" t="n">
        <v>10.6</v>
      </c>
      <c r="AC13" s="11" t="n">
        <v>10</v>
      </c>
      <c r="AD13" s="11" t="n">
        <v>19</v>
      </c>
      <c r="AE13" s="11" t="n">
        <v>21</v>
      </c>
      <c r="AF13" s="11" t="n">
        <v>22.2</v>
      </c>
      <c r="AG13" s="11" t="n">
        <v>22.8</v>
      </c>
      <c r="AH13" s="11" t="n">
        <v>17.6</v>
      </c>
      <c r="AI13" s="11" t="n">
        <v>17.8</v>
      </c>
      <c r="AJ13" s="11" t="n"/>
      <c r="AK13" s="11">
        <f>ROUND(G13*W13,0)</f>
        <v/>
      </c>
      <c r="AL13">
        <f>U13*G13</f>
        <v/>
      </c>
      <c r="AM13" t="inlineStr">
        <is>
          <t>SU002252</t>
        </is>
      </c>
    </row>
    <row r="14">
      <c r="A14" s="11" t="inlineStr">
        <is>
          <t xml:space="preserve"> 083  Колбаса Швейцарская 0,17 кг., ШТ., сырокопченая   ПОКОМ</t>
        </is>
      </c>
      <c r="B14" s="11" t="inlineStr">
        <is>
          <t>шт</t>
        </is>
      </c>
      <c r="C14" s="11" t="n">
        <v>244</v>
      </c>
      <c r="D14" s="11" t="n">
        <v>450</v>
      </c>
      <c r="E14" s="11" t="n">
        <v>238</v>
      </c>
      <c r="F14" s="11" t="n">
        <v>443</v>
      </c>
      <c r="G14" s="6" t="n">
        <v>0.17</v>
      </c>
      <c r="H14" s="11" t="n">
        <v>180</v>
      </c>
      <c r="I14" s="11" t="inlineStr">
        <is>
          <t>матрица</t>
        </is>
      </c>
      <c r="J14" s="11" t="n"/>
      <c r="K14" s="11" t="n">
        <v>240</v>
      </c>
      <c r="L14" s="11">
        <f>E14-K14</f>
        <v/>
      </c>
      <c r="M14" s="11" t="n"/>
      <c r="N14" s="11" t="n"/>
      <c r="O14" s="11" t="n">
        <v>137.8598000000001</v>
      </c>
      <c r="P14" s="11" t="n"/>
      <c r="Q14" s="11" t="n"/>
      <c r="R14" s="11" t="n"/>
      <c r="S14" s="11" t="n"/>
      <c r="T14" s="11" t="n"/>
      <c r="U14" s="11">
        <f>E14/5</f>
        <v/>
      </c>
      <c r="V14" s="4" t="n"/>
      <c r="W14" s="4">
        <f>V14</f>
        <v/>
      </c>
      <c r="X14" s="11">
        <f>(F14+O14+P14+Q14+R14+W14+T14+S14)/U14</f>
        <v/>
      </c>
      <c r="Y14" s="11">
        <f>(F14+O14+P14+Q14+R14+S14+T14)/U14</f>
        <v/>
      </c>
      <c r="Z14" s="11" t="n">
        <v>57.6</v>
      </c>
      <c r="AA14" s="11" t="n">
        <v>60.6</v>
      </c>
      <c r="AB14" s="11" t="n">
        <v>47.6</v>
      </c>
      <c r="AC14" s="11" t="n">
        <v>44.8</v>
      </c>
      <c r="AD14" s="11" t="n">
        <v>57.2</v>
      </c>
      <c r="AE14" s="11" t="n">
        <v>52.8</v>
      </c>
      <c r="AF14" s="11" t="n">
        <v>33.6</v>
      </c>
      <c r="AG14" s="11" t="n">
        <v>38.4</v>
      </c>
      <c r="AH14" s="11" t="n">
        <v>56</v>
      </c>
      <c r="AI14" s="11" t="n">
        <v>56.2</v>
      </c>
      <c r="AJ14" s="11" t="n"/>
      <c r="AK14" s="11">
        <f>ROUND(G14*W14,0)</f>
        <v/>
      </c>
      <c r="AL14">
        <f>U14*G14</f>
        <v/>
      </c>
      <c r="AM14" t="inlineStr">
        <is>
          <t>SU001869</t>
        </is>
      </c>
    </row>
    <row r="15">
      <c r="A15" s="8" t="inlineStr">
        <is>
          <t xml:space="preserve"> 104  Сосиски Молочные по-стародворски, амицел МГС 0.45кг, ТМ Стародворье    ПОКОМ</t>
        </is>
      </c>
      <c r="B15" s="8" t="inlineStr">
        <is>
          <t>шт</t>
        </is>
      </c>
      <c r="C15" s="8" t="n">
        <v>-1</v>
      </c>
      <c r="D15" s="8" t="n"/>
      <c r="E15" s="8" t="n"/>
      <c r="F15" s="8" t="n">
        <v>-1</v>
      </c>
      <c r="G15" s="9" t="n">
        <v>0</v>
      </c>
      <c r="H15" s="8" t="n"/>
      <c r="I15" s="8" t="inlineStr">
        <is>
          <t>не в матрице</t>
        </is>
      </c>
      <c r="J15" s="8" t="n"/>
      <c r="K15" s="8" t="n"/>
      <c r="L15" s="8">
        <f>E15-K15</f>
        <v/>
      </c>
      <c r="M15" s="8" t="n"/>
      <c r="N15" s="8" t="n"/>
      <c r="O15" s="8" t="n">
        <v>0</v>
      </c>
      <c r="P15" s="8" t="n"/>
      <c r="Q15" s="8" t="n"/>
      <c r="R15" s="8" t="n"/>
      <c r="S15" s="8" t="n"/>
      <c r="T15" s="8" t="n"/>
      <c r="U15" s="8">
        <f>E15/5</f>
        <v/>
      </c>
      <c r="V15" s="10" t="n"/>
      <c r="W15" s="4">
        <f>V15</f>
        <v/>
      </c>
      <c r="X15" s="11">
        <f>(F15+O15+P15+Q15+R15+W15+T15+S15)/U15</f>
        <v/>
      </c>
      <c r="Y15" s="11">
        <f>(F15+O15+P15+Q15+R15+S15+T15)/U15</f>
        <v/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0.2</v>
      </c>
      <c r="AF15" s="8" t="n">
        <v>0.2</v>
      </c>
      <c r="AG15" s="8" t="n">
        <v>0</v>
      </c>
      <c r="AH15" s="8" t="n">
        <v>0</v>
      </c>
      <c r="AI15" s="8" t="n">
        <v>0</v>
      </c>
      <c r="AJ15" s="8" t="n"/>
      <c r="AK15" s="11">
        <f>ROUND(G15*W15,0)</f>
        <v/>
      </c>
      <c r="AL15">
        <f>U15*G15</f>
        <v/>
      </c>
      <c r="AM15" t="inlineStr">
        <is>
          <t>SU001763</t>
        </is>
      </c>
    </row>
    <row r="16">
      <c r="A16" s="11" t="inlineStr">
        <is>
          <t xml:space="preserve"> 200  Ветчина Дугушка ТМ Стародворье, вектор в/у    ПОКОМ</t>
        </is>
      </c>
      <c r="B16" s="11" t="inlineStr">
        <is>
          <t>кг</t>
        </is>
      </c>
      <c r="C16" s="11" t="n">
        <v>2079.966</v>
      </c>
      <c r="D16" s="11" t="n">
        <v>1649.509</v>
      </c>
      <c r="E16" s="11" t="n">
        <v>1087.087</v>
      </c>
      <c r="F16" s="11" t="n">
        <v>2563.269</v>
      </c>
      <c r="G16" s="6" t="n">
        <v>1</v>
      </c>
      <c r="H16" s="11" t="n">
        <v>70</v>
      </c>
      <c r="I16" s="11" t="inlineStr">
        <is>
          <t>матрица</t>
        </is>
      </c>
      <c r="J16" s="11" t="n"/>
      <c r="K16" s="11" t="n">
        <v>1043.93</v>
      </c>
      <c r="L16" s="11">
        <f>E16-K16</f>
        <v/>
      </c>
      <c r="M16" s="11" t="n"/>
      <c r="N16" s="11" t="n"/>
      <c r="O16" s="11" t="n">
        <v>183.105692</v>
      </c>
      <c r="P16" s="11" t="n"/>
      <c r="Q16" s="11" t="n"/>
      <c r="R16" s="11" t="n">
        <v>292.4935080000001</v>
      </c>
      <c r="S16" s="11" t="n"/>
      <c r="T16" s="11" t="n"/>
      <c r="U16" s="11">
        <f>E16/5</f>
        <v/>
      </c>
      <c r="V16" s="4" t="n"/>
      <c r="W16" s="4">
        <f>V16</f>
        <v/>
      </c>
      <c r="X16" s="11">
        <f>(F16+O16+P16+Q16+R16+W16+T16+S16)/U16</f>
        <v/>
      </c>
      <c r="Y16" s="11">
        <f>(F16+O16+P16+Q16+R16+S16+T16)/U16</f>
        <v/>
      </c>
      <c r="Z16" s="11" t="n">
        <v>228.7406</v>
      </c>
      <c r="AA16" s="11" t="n">
        <v>230.5266</v>
      </c>
      <c r="AB16" s="11" t="n">
        <v>233.1836</v>
      </c>
      <c r="AC16" s="11" t="n">
        <v>242.9832</v>
      </c>
      <c r="AD16" s="11" t="n">
        <v>239.7028</v>
      </c>
      <c r="AE16" s="11" t="n">
        <v>236.7696</v>
      </c>
      <c r="AF16" s="11" t="n">
        <v>224.553</v>
      </c>
      <c r="AG16" s="11" t="n">
        <v>226.569</v>
      </c>
      <c r="AH16" s="11" t="n">
        <v>227.6094</v>
      </c>
      <c r="AI16" s="11" t="n">
        <v>217.932</v>
      </c>
      <c r="AJ16" s="11" t="n"/>
      <c r="AK16" s="11">
        <f>ROUND(G16*W16,0)</f>
        <v/>
      </c>
      <c r="AL16">
        <f>U16*G16</f>
        <v/>
      </c>
      <c r="AM16" t="inlineStr">
        <is>
          <t>SU002035</t>
        </is>
      </c>
    </row>
    <row r="17">
      <c r="A17" s="11" t="inlineStr">
        <is>
          <t xml:space="preserve"> 201  Ветчина Нежная ТМ Особый рецепт, (2,5кг), ПОКОМ</t>
        </is>
      </c>
      <c r="B17" s="11" t="inlineStr">
        <is>
          <t>кг</t>
        </is>
      </c>
      <c r="C17" s="11" t="n">
        <v>4629.271</v>
      </c>
      <c r="D17" s="11" t="n">
        <v>4206.065</v>
      </c>
      <c r="E17" s="11" t="n">
        <v>3371.954</v>
      </c>
      <c r="F17" s="11" t="n">
        <v>5211.365</v>
      </c>
      <c r="G17" s="6" t="n">
        <v>1</v>
      </c>
      <c r="H17" s="11" t="n">
        <v>50</v>
      </c>
      <c r="I17" s="11" t="inlineStr">
        <is>
          <t>матрица</t>
        </is>
      </c>
      <c r="J17" s="11" t="n"/>
      <c r="K17" s="11" t="n">
        <v>3404.65</v>
      </c>
      <c r="L17" s="11">
        <f>E17-K17</f>
        <v/>
      </c>
      <c r="M17" s="11" t="n"/>
      <c r="N17" s="11" t="n"/>
      <c r="O17" s="11" t="n">
        <v>1195.840950304</v>
      </c>
      <c r="P17" s="11" t="n"/>
      <c r="Q17" s="11" t="n">
        <v>700</v>
      </c>
      <c r="R17" s="11" t="n">
        <v>1910.239440095999</v>
      </c>
      <c r="S17" s="11" t="n"/>
      <c r="T17" s="11" t="n"/>
      <c r="U17" s="11">
        <f>E17/5</f>
        <v/>
      </c>
      <c r="V17" s="4" t="n"/>
      <c r="W17" s="4">
        <f>V17</f>
        <v/>
      </c>
      <c r="X17" s="11">
        <f>(F17+O17+P17+Q17+R17+W17+T17+S17)/U17</f>
        <v/>
      </c>
      <c r="Y17" s="11">
        <f>(F17+O17+P17+Q17+R17+S17+T17)/U17</f>
        <v/>
      </c>
      <c r="Z17" s="11" t="n">
        <v>736.5932</v>
      </c>
      <c r="AA17" s="11" t="n">
        <v>741.7268</v>
      </c>
      <c r="AB17" s="11" t="n">
        <v>660.6116</v>
      </c>
      <c r="AC17" s="11" t="n">
        <v>636.8632</v>
      </c>
      <c r="AD17" s="11" t="n">
        <v>674.4326</v>
      </c>
      <c r="AE17" s="11" t="n">
        <v>703.1706</v>
      </c>
      <c r="AF17" s="11" t="n">
        <v>753.4372000000001</v>
      </c>
      <c r="AG17" s="11" t="n">
        <v>789.1916</v>
      </c>
      <c r="AH17" s="11" t="n">
        <v>779.7954</v>
      </c>
      <c r="AI17" s="11" t="n">
        <v>746.6194</v>
      </c>
      <c r="AJ17" s="11" t="n"/>
      <c r="AK17" s="11">
        <f>ROUND(G17*W17,0)</f>
        <v/>
      </c>
      <c r="AL17">
        <f>U17*G17</f>
        <v/>
      </c>
      <c r="AM17" t="inlineStr">
        <is>
          <t>SU000126</t>
        </is>
      </c>
    </row>
    <row r="18">
      <c r="A18" s="11" t="inlineStr">
        <is>
          <t xml:space="preserve"> 215  Колбаса Докторская ГОСТ Дугушка, ВЕС, ТМ Стародворье ПОКОМ</t>
        </is>
      </c>
      <c r="B18" s="11" t="inlineStr">
        <is>
          <t>кг</t>
        </is>
      </c>
      <c r="C18" s="11" t="n">
        <v>151.462</v>
      </c>
      <c r="D18" s="11" t="n">
        <v>126.766</v>
      </c>
      <c r="E18" s="11" t="n">
        <v>99.351</v>
      </c>
      <c r="F18" s="11" t="n">
        <v>167.381</v>
      </c>
      <c r="G18" s="6" t="n">
        <v>1</v>
      </c>
      <c r="H18" s="11" t="n">
        <v>60</v>
      </c>
      <c r="I18" s="11" t="inlineStr">
        <is>
          <t>матрица</t>
        </is>
      </c>
      <c r="J18" s="11" t="n"/>
      <c r="K18" s="11" t="n">
        <v>96.55</v>
      </c>
      <c r="L18" s="11">
        <f>E18-K18</f>
        <v/>
      </c>
      <c r="M18" s="11" t="n"/>
      <c r="N18" s="11" t="n"/>
      <c r="O18" s="11" t="n">
        <v>56.14119999999991</v>
      </c>
      <c r="P18" s="11" t="n"/>
      <c r="Q18" s="11" t="n"/>
      <c r="R18" s="11" t="n"/>
      <c r="S18" s="11" t="n"/>
      <c r="T18" s="11" t="n"/>
      <c r="U18" s="11">
        <f>E18/5</f>
        <v/>
      </c>
      <c r="V18" s="4" t="n"/>
      <c r="W18" s="4">
        <f>V18</f>
        <v/>
      </c>
      <c r="X18" s="11">
        <f>(F18+O18+P18+Q18+R18+W18+T18+S18)/U18</f>
        <v/>
      </c>
      <c r="Y18" s="11">
        <f>(F18+O18+P18+Q18+R18+S18+T18)/U18</f>
        <v/>
      </c>
      <c r="Z18" s="11" t="n">
        <v>23.2326</v>
      </c>
      <c r="AA18" s="11" t="n">
        <v>23.7644</v>
      </c>
      <c r="AB18" s="11" t="n">
        <v>25.4882</v>
      </c>
      <c r="AC18" s="11" t="n">
        <v>23.5362</v>
      </c>
      <c r="AD18" s="11" t="n">
        <v>24.8954</v>
      </c>
      <c r="AE18" s="11" t="n">
        <v>24.5984</v>
      </c>
      <c r="AF18" s="11" t="n">
        <v>18.6858</v>
      </c>
      <c r="AG18" s="11" t="n">
        <v>21.4066</v>
      </c>
      <c r="AH18" s="11" t="n">
        <v>20.924</v>
      </c>
      <c r="AI18" s="11" t="n">
        <v>19.5894</v>
      </c>
      <c r="AJ18" s="11" t="n"/>
      <c r="AK18" s="11">
        <f>ROUND(G18*W18,0)</f>
        <v/>
      </c>
      <c r="AL18">
        <f>U18*G18</f>
        <v/>
      </c>
      <c r="AM18" t="inlineStr">
        <is>
          <t>SU002011</t>
        </is>
      </c>
    </row>
    <row r="19">
      <c r="A19" s="11" t="inlineStr">
        <is>
          <t xml:space="preserve"> 225  Колбаса Дугушка со шпиком, ВЕС, ТМ Стародворье   ПОКОМ</t>
        </is>
      </c>
      <c r="B19" s="11" t="inlineStr">
        <is>
          <t>кг</t>
        </is>
      </c>
      <c r="C19" s="11" t="n">
        <v>111.029</v>
      </c>
      <c r="D19" s="11" t="n">
        <v>106.857</v>
      </c>
      <c r="E19" s="11" t="n">
        <v>81.727</v>
      </c>
      <c r="F19" s="11" t="n">
        <v>127.283</v>
      </c>
      <c r="G19" s="6" t="n">
        <v>1</v>
      </c>
      <c r="H19" s="11" t="n">
        <v>60</v>
      </c>
      <c r="I19" s="11" t="inlineStr">
        <is>
          <t>матрица</t>
        </is>
      </c>
      <c r="J19" s="11" t="n"/>
      <c r="K19" s="11" t="n">
        <v>77.81999999999999</v>
      </c>
      <c r="L19" s="11">
        <f>E19-K19</f>
        <v/>
      </c>
      <c r="M19" s="11" t="n"/>
      <c r="N19" s="11" t="n"/>
      <c r="O19" s="11" t="n">
        <v>65.07400000000001</v>
      </c>
      <c r="P19" s="11" t="n"/>
      <c r="Q19" s="11" t="n"/>
      <c r="R19" s="11" t="n"/>
      <c r="S19" s="11" t="n"/>
      <c r="T19" s="11" t="n"/>
      <c r="U19" s="11">
        <f>E19/5</f>
        <v/>
      </c>
      <c r="V19" s="4" t="n"/>
      <c r="W19" s="4">
        <f>V19</f>
        <v/>
      </c>
      <c r="X19" s="11">
        <f>(F19+O19+P19+Q19+R19+W19+T19+S19)/U19</f>
        <v/>
      </c>
      <c r="Y19" s="11">
        <f>(F19+O19+P19+Q19+R19+S19+T19)/U19</f>
        <v/>
      </c>
      <c r="Z19" s="11" t="n">
        <v>19.9318</v>
      </c>
      <c r="AA19" s="11" t="n">
        <v>18.4558</v>
      </c>
      <c r="AB19" s="11" t="n">
        <v>16.8662</v>
      </c>
      <c r="AC19" s="11" t="n">
        <v>17.2274</v>
      </c>
      <c r="AD19" s="11" t="n">
        <v>14.8442</v>
      </c>
      <c r="AE19" s="11" t="n">
        <v>17.3218</v>
      </c>
      <c r="AF19" s="11" t="n">
        <v>17.4784</v>
      </c>
      <c r="AG19" s="11" t="n">
        <v>13.7256</v>
      </c>
      <c r="AH19" s="11" t="n">
        <v>14.4166</v>
      </c>
      <c r="AI19" s="11" t="n">
        <v>16.773</v>
      </c>
      <c r="AJ19" s="11" t="n"/>
      <c r="AK19" s="11">
        <f>ROUND(G19*W19,0)</f>
        <v/>
      </c>
      <c r="AL19">
        <f>U19*G19</f>
        <v/>
      </c>
      <c r="AM19" t="inlineStr">
        <is>
          <t>SU002182</t>
        </is>
      </c>
    </row>
    <row r="20">
      <c r="A20" s="11" t="inlineStr">
        <is>
          <t xml:space="preserve"> 226  Колбаса Княжеская, с/к белков.обол в термоусад. пакете, ВЕС, ТМ Стародворье ПОКОМ</t>
        </is>
      </c>
      <c r="B20" s="11" t="inlineStr">
        <is>
          <t>кг</t>
        </is>
      </c>
      <c r="C20" s="11" t="n">
        <v>22.62</v>
      </c>
      <c r="D20" s="11" t="n"/>
      <c r="E20" s="11" t="n">
        <v>6.829</v>
      </c>
      <c r="F20" s="11" t="n">
        <v>14.704</v>
      </c>
      <c r="G20" s="6" t="n">
        <v>1</v>
      </c>
      <c r="H20" s="11" t="n">
        <v>180</v>
      </c>
      <c r="I20" s="11" t="inlineStr">
        <is>
          <t>матрица</t>
        </is>
      </c>
      <c r="J20" s="11" t="n"/>
      <c r="K20" s="11" t="n">
        <v>6.43</v>
      </c>
      <c r="L20" s="11">
        <f>E20-K20</f>
        <v/>
      </c>
      <c r="M20" s="11" t="n"/>
      <c r="N20" s="11" t="n"/>
      <c r="O20" s="11" t="n">
        <v>4.664800000000003</v>
      </c>
      <c r="P20" s="11" t="n"/>
      <c r="Q20" s="11" t="n"/>
      <c r="R20" s="11" t="n"/>
      <c r="S20" s="11" t="n"/>
      <c r="T20" s="11" t="n"/>
      <c r="U20" s="11">
        <f>E20/5</f>
        <v/>
      </c>
      <c r="V20" s="4" t="n"/>
      <c r="W20" s="4">
        <f>V20</f>
        <v/>
      </c>
      <c r="X20" s="11">
        <f>(F20+O20+P20+Q20+R20+W20+T20+S20)/U20</f>
        <v/>
      </c>
      <c r="Y20" s="11">
        <f>(F20+O20+P20+Q20+R20+S20+T20)/U20</f>
        <v/>
      </c>
      <c r="Z20" s="11" t="n">
        <v>1.7044</v>
      </c>
      <c r="AA20" s="11" t="n">
        <v>1.3306</v>
      </c>
      <c r="AB20" s="11" t="n">
        <v>0.6298</v>
      </c>
      <c r="AC20" s="11" t="n">
        <v>1.0428</v>
      </c>
      <c r="AD20" s="11" t="n">
        <v>2.0902</v>
      </c>
      <c r="AE20" s="11" t="n">
        <v>2.1626</v>
      </c>
      <c r="AF20" s="11" t="n">
        <v>1.731</v>
      </c>
      <c r="AG20" s="11" t="n">
        <v>1.687</v>
      </c>
      <c r="AH20" s="11" t="n">
        <v>1.4314</v>
      </c>
      <c r="AI20" s="11" t="n">
        <v>1.4482</v>
      </c>
      <c r="AJ20" s="11" t="n"/>
      <c r="AK20" s="11">
        <f>ROUND(G20*W20,0)</f>
        <v/>
      </c>
      <c r="AL20">
        <f>U20*G20</f>
        <v/>
      </c>
      <c r="AM20" t="inlineStr">
        <is>
          <t>SU001920</t>
        </is>
      </c>
    </row>
    <row r="21">
      <c r="A21" s="11" t="inlineStr">
        <is>
          <t xml:space="preserve"> 229  Колбаса Молочная Дугушка, в/у, ВЕС, ТМ Стародворье   ПОКОМ</t>
        </is>
      </c>
      <c r="B21" s="11" t="inlineStr">
        <is>
          <t>кг</t>
        </is>
      </c>
      <c r="C21" s="11" t="n">
        <v>2299.885</v>
      </c>
      <c r="D21" s="11" t="n">
        <v>876.3579999999999</v>
      </c>
      <c r="E21" s="11" t="n">
        <v>1267.378</v>
      </c>
      <c r="F21" s="11" t="n">
        <v>1798.991</v>
      </c>
      <c r="G21" s="6" t="n">
        <v>1</v>
      </c>
      <c r="H21" s="11" t="n">
        <v>60</v>
      </c>
      <c r="I21" s="11" t="inlineStr">
        <is>
          <t>матрица</t>
        </is>
      </c>
      <c r="J21" s="11" t="n"/>
      <c r="K21" s="11" t="n">
        <v>1220.565</v>
      </c>
      <c r="L21" s="11">
        <f>E21-K21</f>
        <v/>
      </c>
      <c r="M21" s="11" t="n"/>
      <c r="N21" s="11" t="n"/>
      <c r="O21" s="11" t="n">
        <v>445.2441446530001</v>
      </c>
      <c r="P21" s="11" t="n"/>
      <c r="Q21" s="11" t="n"/>
      <c r="R21" s="11" t="n">
        <v>711.2341531470001</v>
      </c>
      <c r="S21" s="11" t="n"/>
      <c r="T21" s="11" t="n"/>
      <c r="U21" s="11">
        <f>E21/5</f>
        <v/>
      </c>
      <c r="V21" s="4" t="n"/>
      <c r="W21" s="4">
        <f>V21</f>
        <v/>
      </c>
      <c r="X21" s="11">
        <f>(F21+O21+P21+Q21+R21+W21+T21+S21)/U21</f>
        <v/>
      </c>
      <c r="Y21" s="11">
        <f>(F21+O21+P21+Q21+R21+S21+T21)/U21</f>
        <v/>
      </c>
      <c r="Z21" s="11" t="n">
        <v>272.9306</v>
      </c>
      <c r="AA21" s="11" t="n">
        <v>280.4986</v>
      </c>
      <c r="AB21" s="11" t="n">
        <v>283.1552</v>
      </c>
      <c r="AC21" s="11" t="n">
        <v>289.9638</v>
      </c>
      <c r="AD21" s="11" t="n">
        <v>276.8662</v>
      </c>
      <c r="AE21" s="11" t="n">
        <v>268.4514</v>
      </c>
      <c r="AF21" s="11" t="n">
        <v>275.9112</v>
      </c>
      <c r="AG21" s="11" t="n">
        <v>284.7268</v>
      </c>
      <c r="AH21" s="11" t="n">
        <v>282.6728</v>
      </c>
      <c r="AI21" s="11" t="n">
        <v>268.6392</v>
      </c>
      <c r="AJ21" s="11" t="n"/>
      <c r="AK21" s="11">
        <f>ROUND(G21*W21,0)</f>
        <v/>
      </c>
      <c r="AL21">
        <f>U21*G21</f>
        <v/>
      </c>
      <c r="AM21" t="inlineStr">
        <is>
          <t>SU002010</t>
        </is>
      </c>
    </row>
    <row r="22">
      <c r="A22" s="11" t="inlineStr">
        <is>
          <t xml:space="preserve"> 236  Колбаса Рубленая ЗАПЕЧ. Дугушка ТМ Стародворье, вектор, в/к    ПОКОМ</t>
        </is>
      </c>
      <c r="B22" s="11" t="inlineStr">
        <is>
          <t>кг</t>
        </is>
      </c>
      <c r="C22" s="11" t="n">
        <v>152.535</v>
      </c>
      <c r="D22" s="11" t="n">
        <v>395.72</v>
      </c>
      <c r="E22" s="11" t="n">
        <v>181.85</v>
      </c>
      <c r="F22" s="11" t="n">
        <v>355.957</v>
      </c>
      <c r="G22" s="6" t="n">
        <v>1</v>
      </c>
      <c r="H22" s="11" t="n">
        <v>70</v>
      </c>
      <c r="I22" s="11" t="inlineStr">
        <is>
          <t>матрица</t>
        </is>
      </c>
      <c r="J22" s="11" t="n"/>
      <c r="K22" s="11" t="n">
        <v>179.24</v>
      </c>
      <c r="L22" s="11">
        <f>E22-K22</f>
        <v/>
      </c>
      <c r="M22" s="11" t="n"/>
      <c r="N22" s="11" t="n"/>
      <c r="O22" s="11" t="n">
        <v>133.1266326000001</v>
      </c>
      <c r="P22" s="11" t="n"/>
      <c r="Q22" s="11" t="n"/>
      <c r="R22" s="11" t="n"/>
      <c r="S22" s="11" t="n"/>
      <c r="T22" s="11" t="n"/>
      <c r="U22" s="11">
        <f>E22/5</f>
        <v/>
      </c>
      <c r="V22" s="4" t="n"/>
      <c r="W22" s="4">
        <f>V22</f>
        <v/>
      </c>
      <c r="X22" s="11">
        <f>(F22+O22+P22+Q22+R22+W22+T22+S22)/U22</f>
        <v/>
      </c>
      <c r="Y22" s="11">
        <f>(F22+O22+P22+Q22+R22+S22+T22)/U22</f>
        <v/>
      </c>
      <c r="Z22" s="11" t="n">
        <v>49.8954</v>
      </c>
      <c r="AA22" s="11" t="n">
        <v>49.0822</v>
      </c>
      <c r="AB22" s="11" t="n">
        <v>37.724</v>
      </c>
      <c r="AC22" s="11" t="n">
        <v>35.753</v>
      </c>
      <c r="AD22" s="11" t="n">
        <v>35.9834</v>
      </c>
      <c r="AE22" s="11" t="n">
        <v>37.6586</v>
      </c>
      <c r="AF22" s="11" t="n">
        <v>29.2252</v>
      </c>
      <c r="AG22" s="11" t="n">
        <v>30.3312</v>
      </c>
      <c r="AH22" s="11" t="n">
        <v>41.2404</v>
      </c>
      <c r="AI22" s="11" t="n">
        <v>40.35760000000001</v>
      </c>
      <c r="AJ22" s="11" t="n"/>
      <c r="AK22" s="11">
        <f>ROUND(G22*W22,0)</f>
        <v/>
      </c>
      <c r="AL22">
        <f>U22*G22</f>
        <v/>
      </c>
      <c r="AM22" t="inlineStr">
        <is>
          <t>SU002150</t>
        </is>
      </c>
    </row>
    <row r="23">
      <c r="A23" s="11" t="inlineStr">
        <is>
          <t xml:space="preserve"> 239  Колбаса Салями запеч Дугушка, оболочка вектор, ВЕС, ТМ Стародворье  ПОКОМ</t>
        </is>
      </c>
      <c r="B23" s="11" t="inlineStr">
        <is>
          <t>кг</t>
        </is>
      </c>
      <c r="C23" s="11" t="n">
        <v>476.41</v>
      </c>
      <c r="D23" s="11" t="n">
        <v>511.623</v>
      </c>
      <c r="E23" s="11" t="n">
        <v>382.063</v>
      </c>
      <c r="F23" s="11" t="n">
        <v>576.572</v>
      </c>
      <c r="G23" s="6" t="n">
        <v>1</v>
      </c>
      <c r="H23" s="11" t="n">
        <v>70</v>
      </c>
      <c r="I23" s="12" t="inlineStr">
        <is>
          <t>НЕДОГРУЗ / матрица</t>
        </is>
      </c>
      <c r="J23" s="11" t="n"/>
      <c r="K23" s="11" t="n">
        <v>371.31</v>
      </c>
      <c r="L23" s="11">
        <f>E23-K23</f>
        <v/>
      </c>
      <c r="M23" s="11" t="n"/>
      <c r="N23" s="11" t="n"/>
      <c r="O23" s="11" t="n">
        <v>151.2811702710001</v>
      </c>
      <c r="P23" s="11" t="n">
        <v>-153.12</v>
      </c>
      <c r="Q23" s="11" t="n"/>
      <c r="R23" s="11" t="n">
        <v>241.6569343290001</v>
      </c>
      <c r="S23" s="11" t="n"/>
      <c r="T23" s="11" t="n"/>
      <c r="U23" s="11">
        <f>E23/5</f>
        <v/>
      </c>
      <c r="V23" s="4">
        <f>11*U23-T23-R23-Q23-P23-O23-F23</f>
        <v/>
      </c>
      <c r="W23" s="4">
        <f>V23</f>
        <v/>
      </c>
      <c r="X23" s="11">
        <f>(F23+O23+P23+Q23+R23+W23+T23+S23)/U23</f>
        <v/>
      </c>
      <c r="Y23" s="11">
        <f>(F23+O23+P23+Q23+R23+S23+T23)/U23</f>
        <v/>
      </c>
      <c r="Z23" s="11" t="n">
        <v>86.38419999999999</v>
      </c>
      <c r="AA23" s="11" t="n">
        <v>84.8442</v>
      </c>
      <c r="AB23" s="11" t="n">
        <v>79.9756</v>
      </c>
      <c r="AC23" s="11" t="n">
        <v>79.8802</v>
      </c>
      <c r="AD23" s="11" t="n">
        <v>85.5796</v>
      </c>
      <c r="AE23" s="11" t="n">
        <v>89.1798</v>
      </c>
      <c r="AF23" s="11" t="n">
        <v>90.8622</v>
      </c>
      <c r="AG23" s="11" t="n">
        <v>89.53540000000001</v>
      </c>
      <c r="AH23" s="11" t="n">
        <v>90.1674</v>
      </c>
      <c r="AI23" s="11" t="n">
        <v>90.78319999999999</v>
      </c>
      <c r="AJ23" s="11" t="n"/>
      <c r="AK23" s="11">
        <f>ROUND(G23*W23,0)</f>
        <v/>
      </c>
      <c r="AL23">
        <f>U23*G23</f>
        <v/>
      </c>
      <c r="AM23" t="inlineStr">
        <is>
          <t>SU002158</t>
        </is>
      </c>
    </row>
    <row r="24">
      <c r="A24" s="8" t="inlineStr">
        <is>
          <t xml:space="preserve"> 240  Колбаса Салями охотничья, ВЕС. ПОКОМ</t>
        </is>
      </c>
      <c r="B24" s="8" t="inlineStr">
        <is>
          <t>кг</t>
        </is>
      </c>
      <c r="C24" s="8" t="n"/>
      <c r="D24" s="8" t="n"/>
      <c r="E24" s="8" t="n"/>
      <c r="F24" s="8" t="n"/>
      <c r="G24" s="9" t="n">
        <v>0</v>
      </c>
      <c r="H24" s="8" t="n"/>
      <c r="I24" s="8" t="inlineStr">
        <is>
          <t>матрица</t>
        </is>
      </c>
      <c r="J24" s="8" t="n"/>
      <c r="K24" s="8" t="n"/>
      <c r="L24" s="8">
        <f>E24-K24</f>
        <v/>
      </c>
      <c r="M24" s="8" t="n"/>
      <c r="N24" s="8" t="n"/>
      <c r="O24" s="8" t="n">
        <v>0</v>
      </c>
      <c r="P24" s="8" t="n"/>
      <c r="Q24" s="8" t="n"/>
      <c r="R24" s="8" t="n"/>
      <c r="S24" s="8" t="n"/>
      <c r="T24" s="8" t="n"/>
      <c r="U24" s="8">
        <f>E24/5</f>
        <v/>
      </c>
      <c r="V24" s="10" t="n"/>
      <c r="W24" s="4">
        <f>V24</f>
        <v/>
      </c>
      <c r="X24" s="11">
        <f>(F24+O24+P24+Q24+R24+W24+T24+S24)/U24</f>
        <v/>
      </c>
      <c r="Y24" s="11">
        <f>(F24+O24+P24+Q24+R24+S24+T24)/U24</f>
        <v/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inlineStr">
        <is>
          <t>нет потребности</t>
        </is>
      </c>
      <c r="AK24" s="11">
        <f>ROUND(G24*W24,0)</f>
        <v/>
      </c>
      <c r="AL24">
        <f>U24*G24</f>
        <v/>
      </c>
      <c r="AM24" t="inlineStr">
        <is>
          <t>SU001921</t>
        </is>
      </c>
    </row>
    <row r="25">
      <c r="A25" s="11" t="inlineStr">
        <is>
          <t xml:space="preserve"> 242  Колбаса Сервелат ЗАПЕЧ.Дугушка ТМ Стародворье, вектор, в/к     ПОКОМ</t>
        </is>
      </c>
      <c r="B25" s="11" t="inlineStr">
        <is>
          <t>кг</t>
        </is>
      </c>
      <c r="C25" s="11" t="n">
        <v>537.89</v>
      </c>
      <c r="D25" s="11" t="n">
        <v>1013.914</v>
      </c>
      <c r="E25" s="11" t="n">
        <v>587.948</v>
      </c>
      <c r="F25" s="11" t="n">
        <v>912.0069999999999</v>
      </c>
      <c r="G25" s="6" t="n">
        <v>1</v>
      </c>
      <c r="H25" s="11" t="n">
        <v>70</v>
      </c>
      <c r="I25" s="12" t="inlineStr">
        <is>
          <t>НЕДОГРУЗ / матрица</t>
        </is>
      </c>
      <c r="J25" s="11" t="n"/>
      <c r="K25" s="11" t="n">
        <v>574.55</v>
      </c>
      <c r="L25" s="11">
        <f>E25-K25</f>
        <v/>
      </c>
      <c r="M25" s="11" t="n"/>
      <c r="N25" s="11" t="n"/>
      <c r="O25" s="11" t="n">
        <v>230.8568788680001</v>
      </c>
      <c r="P25" s="11" t="n">
        <v>-232.32</v>
      </c>
      <c r="Q25" s="11" t="n"/>
      <c r="R25" s="11" t="n">
        <v>368.7713779320002</v>
      </c>
      <c r="S25" s="11" t="n"/>
      <c r="T25" s="11" t="n"/>
      <c r="U25" s="11">
        <f>E25/5</f>
        <v/>
      </c>
      <c r="V25" s="4">
        <f>11*U25-T25-R25-Q25-P25-O25-F25-S25</f>
        <v/>
      </c>
      <c r="W25" s="4">
        <f>V25</f>
        <v/>
      </c>
      <c r="X25" s="11">
        <f>(F25+O25+P25+Q25+R25+W25+T25+S25)/U25</f>
        <v/>
      </c>
      <c r="Y25" s="11">
        <f>(F25+O25+P25+Q25+R25+S25+T25)/U25</f>
        <v/>
      </c>
      <c r="Z25" s="11" t="n">
        <v>135.8482</v>
      </c>
      <c r="AA25" s="11" t="n">
        <v>138.0656</v>
      </c>
      <c r="AB25" s="11" t="n">
        <v>123.4304</v>
      </c>
      <c r="AC25" s="11" t="n">
        <v>120.0524</v>
      </c>
      <c r="AD25" s="11" t="n">
        <v>127.3804</v>
      </c>
      <c r="AE25" s="11" t="n">
        <v>123.4118</v>
      </c>
      <c r="AF25" s="11" t="n">
        <v>117.6122</v>
      </c>
      <c r="AG25" s="11" t="n">
        <v>125.7372</v>
      </c>
      <c r="AH25" s="11" t="n">
        <v>138.39</v>
      </c>
      <c r="AI25" s="11" t="n">
        <v>139.7042</v>
      </c>
      <c r="AJ25" s="11" t="n"/>
      <c r="AK25" s="11">
        <f>ROUND(G25*W25,0)</f>
        <v/>
      </c>
      <c r="AL25">
        <f>U25*G25</f>
        <v/>
      </c>
      <c r="AM25" t="inlineStr">
        <is>
          <t>SU002151</t>
        </is>
      </c>
    </row>
    <row r="26">
      <c r="A26" s="11" t="inlineStr">
        <is>
          <t xml:space="preserve"> 244  Колбаса Сервелат Кремлевский, ВЕС. ПОКОМ</t>
        </is>
      </c>
      <c r="B26" s="11" t="inlineStr">
        <is>
          <t>кг</t>
        </is>
      </c>
      <c r="C26" s="11" t="n">
        <v>50.189</v>
      </c>
      <c r="D26" s="11" t="n">
        <v>52.578</v>
      </c>
      <c r="E26" s="11" t="n">
        <v>94.476</v>
      </c>
      <c r="F26" s="11" t="n">
        <v>8.291</v>
      </c>
      <c r="G26" s="6" t="n">
        <v>1</v>
      </c>
      <c r="H26" s="11" t="n">
        <v>40</v>
      </c>
      <c r="I26" s="12" t="inlineStr">
        <is>
          <t>НЕДОГРУЗ / матрица</t>
        </is>
      </c>
      <c r="J26" s="11" t="n"/>
      <c r="K26" s="11" t="n">
        <v>133.8</v>
      </c>
      <c r="L26" s="11">
        <f>E26-K26</f>
        <v/>
      </c>
      <c r="M26" s="11" t="n"/>
      <c r="N26" s="11" t="n"/>
      <c r="O26" s="11" t="n">
        <v>90</v>
      </c>
      <c r="P26" s="11" t="n">
        <v>-92.40000000000001</v>
      </c>
      <c r="Q26" s="11" t="n"/>
      <c r="R26" s="11" t="n">
        <v>45</v>
      </c>
      <c r="S26" s="11" t="n"/>
      <c r="T26" s="11" t="n"/>
      <c r="U26" s="11">
        <f>E26/5</f>
        <v/>
      </c>
      <c r="V26" s="4" t="n">
        <v>80</v>
      </c>
      <c r="W26" s="4">
        <f>V26</f>
        <v/>
      </c>
      <c r="X26" s="11">
        <f>(F26+O26+P26+Q26+R26+W26+T26+S26)/U26</f>
        <v/>
      </c>
      <c r="Y26" s="11">
        <f>(F26+O26+P26+Q26+R26+S26+T26)/U26</f>
        <v/>
      </c>
      <c r="Z26" s="11" t="n">
        <v>31.5448</v>
      </c>
      <c r="AA26" s="11" t="n">
        <v>30.8242</v>
      </c>
      <c r="AB26" s="11" t="n">
        <v>25.3456</v>
      </c>
      <c r="AC26" s="11" t="n">
        <v>25.3456</v>
      </c>
      <c r="AD26" s="11" t="n">
        <v>29.3342</v>
      </c>
      <c r="AE26" s="11" t="n">
        <v>30.3592</v>
      </c>
      <c r="AF26" s="11" t="n">
        <v>1.618</v>
      </c>
      <c r="AG26" s="11" t="n">
        <v>0.8882</v>
      </c>
      <c r="AH26" s="11" t="n">
        <v>28.8462</v>
      </c>
      <c r="AI26" s="11" t="n">
        <v>28.551</v>
      </c>
      <c r="AJ26" s="11" t="n"/>
      <c r="AK26" s="11">
        <f>ROUND(G26*W26,0)</f>
        <v/>
      </c>
      <c r="AL26">
        <f>U26*G26</f>
        <v/>
      </c>
      <c r="AM26" t="inlineStr">
        <is>
          <t>SU001822</t>
        </is>
      </c>
    </row>
    <row r="27">
      <c r="A27" s="11" t="inlineStr">
        <is>
          <t xml:space="preserve"> 247  Сардельки Нежные, ВЕС.  ПОКОМ</t>
        </is>
      </c>
      <c r="B27" s="11" t="inlineStr">
        <is>
          <t>кг</t>
        </is>
      </c>
      <c r="C27" s="11" t="n">
        <v>233.703</v>
      </c>
      <c r="D27" s="11" t="n">
        <v>435.223</v>
      </c>
      <c r="E27" s="11" t="n">
        <v>315.731</v>
      </c>
      <c r="F27" s="11" t="n">
        <v>313.366</v>
      </c>
      <c r="G27" s="6" t="n">
        <v>1</v>
      </c>
      <c r="H27" s="11" t="n">
        <v>30</v>
      </c>
      <c r="I27" s="11" t="inlineStr">
        <is>
          <t>матрица</t>
        </is>
      </c>
      <c r="J27" s="11" t="n"/>
      <c r="K27" s="11" t="n">
        <v>320.8</v>
      </c>
      <c r="L27" s="11">
        <f>E27-K27</f>
        <v/>
      </c>
      <c r="M27" s="11" t="n"/>
      <c r="N27" s="11" t="n"/>
      <c r="O27" s="11" t="n">
        <v>129.891086</v>
      </c>
      <c r="P27" s="11" t="n"/>
      <c r="Q27" s="11" t="n"/>
      <c r="R27" s="11" t="n"/>
      <c r="S27" s="11" t="n"/>
      <c r="T27" s="11" t="n"/>
      <c r="U27" s="11">
        <f>E27/5</f>
        <v/>
      </c>
      <c r="V27" s="4">
        <f>11*U27-T27-R27-Q27-P27-O27-F27</f>
        <v/>
      </c>
      <c r="W27" s="4">
        <f>V27</f>
        <v/>
      </c>
      <c r="X27" s="11">
        <f>(F27+O27+P27+Q27+R27+W27+T27+S27)/U27</f>
        <v/>
      </c>
      <c r="Y27" s="11">
        <f>(F27+O27+P27+Q27+R27+S27+T27)/U27</f>
        <v/>
      </c>
      <c r="Z27" s="11" t="n">
        <v>55.5736</v>
      </c>
      <c r="AA27" s="11" t="n">
        <v>57.69600000000001</v>
      </c>
      <c r="AB27" s="11" t="n">
        <v>53.5364</v>
      </c>
      <c r="AC27" s="11" t="n">
        <v>46.9894</v>
      </c>
      <c r="AD27" s="11" t="n">
        <v>50.7542</v>
      </c>
      <c r="AE27" s="11" t="n">
        <v>52.6812</v>
      </c>
      <c r="AF27" s="11" t="n">
        <v>61.3154</v>
      </c>
      <c r="AG27" s="11" t="n">
        <v>65.9996</v>
      </c>
      <c r="AH27" s="11" t="n">
        <v>56.64059999999999</v>
      </c>
      <c r="AI27" s="11" t="n">
        <v>57.6956</v>
      </c>
      <c r="AJ27" s="11" t="n"/>
      <c r="AK27" s="11">
        <f>ROUND(G27*W27,0)</f>
        <v/>
      </c>
      <c r="AL27">
        <f>U27*G27</f>
        <v/>
      </c>
      <c r="AM27" t="inlineStr">
        <is>
          <t>SU001051</t>
        </is>
      </c>
    </row>
    <row r="28">
      <c r="A28" s="11" t="inlineStr">
        <is>
          <t xml:space="preserve"> 248  Сардельки Сочные ТМ Особый рецепт,   ПОКОМ</t>
        </is>
      </c>
      <c r="B28" s="11" t="inlineStr">
        <is>
          <t>кг</t>
        </is>
      </c>
      <c r="C28" s="11" t="n">
        <v>0.235</v>
      </c>
      <c r="D28" s="11" t="n"/>
      <c r="E28" s="11" t="n">
        <v>-8.196</v>
      </c>
      <c r="F28" s="11" t="n">
        <v>0.235</v>
      </c>
      <c r="G28" s="6" t="n">
        <v>1</v>
      </c>
      <c r="H28" s="11" t="n">
        <v>40</v>
      </c>
      <c r="I28" s="12" t="inlineStr">
        <is>
          <t>НЕДОГРУЗ / матрица</t>
        </is>
      </c>
      <c r="J28" s="11" t="n"/>
      <c r="K28" s="11" t="n">
        <v>52.1</v>
      </c>
      <c r="L28" s="11">
        <f>E28-K28</f>
        <v/>
      </c>
      <c r="M28" s="11" t="n"/>
      <c r="N28" s="11" t="n"/>
      <c r="O28" s="11" t="n">
        <v>100</v>
      </c>
      <c r="P28" s="11" t="n">
        <v>-108</v>
      </c>
      <c r="Q28" s="11" t="n"/>
      <c r="R28" s="11" t="n">
        <v>50</v>
      </c>
      <c r="S28" s="11" t="n">
        <v>-54</v>
      </c>
      <c r="T28" s="11" t="n"/>
      <c r="U28" s="11">
        <f>E28/5</f>
        <v/>
      </c>
      <c r="V28" s="4" t="n">
        <v>100</v>
      </c>
      <c r="W28" s="4">
        <f>V28</f>
        <v/>
      </c>
      <c r="X28" s="11">
        <f>(F28+O28+P28+Q28+R28+W28+T28+S28)/U28</f>
        <v/>
      </c>
      <c r="Y28" s="11">
        <f>(F28+O28+P28+Q28+R28+S28+T28)/U28</f>
        <v/>
      </c>
      <c r="Z28" s="11" t="n">
        <v>-1.969</v>
      </c>
      <c r="AA28" s="11" t="n">
        <v>-1.5426</v>
      </c>
      <c r="AB28" s="11" t="n">
        <v>0.627</v>
      </c>
      <c r="AC28" s="11" t="n">
        <v>13.4148</v>
      </c>
      <c r="AD28" s="11" t="n">
        <v>42.743</v>
      </c>
      <c r="AE28" s="11" t="n">
        <v>41.4948</v>
      </c>
      <c r="AF28" s="11" t="n">
        <v>42.4478</v>
      </c>
      <c r="AG28" s="11" t="n">
        <v>46.8592</v>
      </c>
      <c r="AH28" s="11" t="n">
        <v>44.1312</v>
      </c>
      <c r="AI28" s="11" t="n">
        <v>43.20659999999999</v>
      </c>
      <c r="AJ28" s="11" t="n"/>
      <c r="AK28" s="11">
        <f>ROUND(G28*W28,0)</f>
        <v/>
      </c>
      <c r="AL28">
        <f>U28*G28</f>
        <v/>
      </c>
      <c r="AM28" t="inlineStr">
        <is>
          <t>SU002287</t>
        </is>
      </c>
    </row>
    <row r="29">
      <c r="A29" s="11" t="inlineStr">
        <is>
          <t xml:space="preserve"> 250  Сардельки стародворские с говядиной в обол. NDX, ВЕС. ПОКОМ</t>
        </is>
      </c>
      <c r="B29" s="11" t="inlineStr">
        <is>
          <t>кг</t>
        </is>
      </c>
      <c r="C29" s="11" t="n">
        <v>854.984</v>
      </c>
      <c r="D29" s="11" t="n">
        <v>2423.247</v>
      </c>
      <c r="E29" s="11" t="n">
        <v>2017.818</v>
      </c>
      <c r="F29" s="11" t="n">
        <v>998.033</v>
      </c>
      <c r="G29" s="6" t="n">
        <v>1</v>
      </c>
      <c r="H29" s="11" t="n">
        <v>30</v>
      </c>
      <c r="I29" s="12" t="inlineStr">
        <is>
          <t>НЕДОГРУЗ / матрица</t>
        </is>
      </c>
      <c r="J29" s="11" t="n"/>
      <c r="K29" s="11" t="n">
        <v>2121.981</v>
      </c>
      <c r="L29" s="11">
        <f>E29-K29</f>
        <v/>
      </c>
      <c r="M29" s="11" t="n"/>
      <c r="N29" s="11" t="n"/>
      <c r="O29" s="11" t="n">
        <v>1920.821</v>
      </c>
      <c r="P29" s="11" t="n">
        <v>-500.6</v>
      </c>
      <c r="Q29" s="11" t="n"/>
      <c r="R29" s="11" t="n">
        <v>960.4105000000002</v>
      </c>
      <c r="S29" s="11" t="n"/>
      <c r="T29" s="11" t="n"/>
      <c r="U29" s="11">
        <f>E29/5</f>
        <v/>
      </c>
      <c r="V29" s="4">
        <f>11*U29-T29-R29-Q29-P29-O29-F29</f>
        <v/>
      </c>
      <c r="W29" s="4">
        <f>V29</f>
        <v/>
      </c>
      <c r="X29" s="11">
        <f>(F29+O29+P29+Q29+R29+W29+T29+S29)/U29</f>
        <v/>
      </c>
      <c r="Y29" s="11">
        <f>(F29+O29+P29+Q29+R29+S29+T29)/U29</f>
        <v/>
      </c>
      <c r="Z29" s="11" t="n">
        <v>375.656</v>
      </c>
      <c r="AA29" s="11" t="n">
        <v>362.0858</v>
      </c>
      <c r="AB29" s="11" t="n">
        <v>409.1834</v>
      </c>
      <c r="AC29" s="11" t="n">
        <v>406.6448</v>
      </c>
      <c r="AD29" s="11" t="n">
        <v>471.3384</v>
      </c>
      <c r="AE29" s="11" t="n">
        <v>480.8798</v>
      </c>
      <c r="AF29" s="11" t="n">
        <v>213.437</v>
      </c>
      <c r="AG29" s="11" t="n">
        <v>215.164</v>
      </c>
      <c r="AH29" s="11" t="n">
        <v>450.7</v>
      </c>
      <c r="AI29" s="11" t="n">
        <v>450.2304</v>
      </c>
      <c r="AJ29" s="11" t="n"/>
      <c r="AK29" s="11">
        <f>ROUND(G29*W29,0)</f>
        <v/>
      </c>
      <c r="AL29">
        <f>U29*G29</f>
        <v/>
      </c>
      <c r="AM29" t="inlineStr">
        <is>
          <t>SU000227</t>
        </is>
      </c>
    </row>
    <row r="30">
      <c r="A30" s="8" t="inlineStr">
        <is>
          <t xml:space="preserve"> 251  Сосиски Баварские, ВЕС.  ПОКОМ</t>
        </is>
      </c>
      <c r="B30" s="8" t="inlineStr">
        <is>
          <t>кг</t>
        </is>
      </c>
      <c r="C30" s="8" t="n">
        <v>0.437</v>
      </c>
      <c r="D30" s="8" t="n"/>
      <c r="E30" s="8" t="n"/>
      <c r="F30" s="8" t="n">
        <v>0.437</v>
      </c>
      <c r="G30" s="9" t="n">
        <v>0</v>
      </c>
      <c r="H30" s="8" t="n">
        <v>45</v>
      </c>
      <c r="I30" s="8" t="inlineStr">
        <is>
          <t>не в матрице</t>
        </is>
      </c>
      <c r="J30" s="8" t="n"/>
      <c r="K30" s="8" t="n">
        <v>5.2</v>
      </c>
      <c r="L30" s="8">
        <f>E30-K30</f>
        <v/>
      </c>
      <c r="M30" s="8" t="n"/>
      <c r="N30" s="8" t="n"/>
      <c r="O30" s="8" t="n">
        <v>0</v>
      </c>
      <c r="P30" s="8" t="n"/>
      <c r="Q30" s="8" t="n"/>
      <c r="R30" s="8" t="n"/>
      <c r="S30" s="8" t="n"/>
      <c r="T30" s="8" t="n"/>
      <c r="U30" s="8">
        <f>E30/5</f>
        <v/>
      </c>
      <c r="V30" s="10" t="n"/>
      <c r="W30" s="4">
        <f>V30</f>
        <v/>
      </c>
      <c r="X30" s="11">
        <f>(F30+O30+P30+Q30+R30+W30+T30+S30)/U30</f>
        <v/>
      </c>
      <c r="Y30" s="11">
        <f>(F30+O30+P30+Q30+R30+S30+T30)/U30</f>
        <v/>
      </c>
      <c r="Z30" s="8" t="n">
        <v>0</v>
      </c>
      <c r="AA30" s="8" t="n">
        <v>0</v>
      </c>
      <c r="AB30" s="8" t="n">
        <v>0</v>
      </c>
      <c r="AC30" s="8" t="n">
        <v>0.26</v>
      </c>
      <c r="AD30" s="8" t="n">
        <v>1.5546</v>
      </c>
      <c r="AE30" s="8" t="n">
        <v>4.6036</v>
      </c>
      <c r="AF30" s="8" t="n">
        <v>4.6284</v>
      </c>
      <c r="AG30" s="8" t="n">
        <v>3.6878</v>
      </c>
      <c r="AH30" s="8" t="n">
        <v>5.8214</v>
      </c>
      <c r="AI30" s="8" t="n">
        <v>3.9934</v>
      </c>
      <c r="AJ30" s="8" t="n"/>
      <c r="AK30" s="11">
        <f>ROUND(G30*W30,0)</f>
        <v/>
      </c>
      <c r="AL30">
        <f>U30*G30</f>
        <v/>
      </c>
      <c r="AM30" t="inlineStr">
        <is>
          <t>SU001835</t>
        </is>
      </c>
    </row>
    <row r="31">
      <c r="A31" s="8" t="inlineStr">
        <is>
          <t xml:space="preserve"> 253  Сосиски Ганноверские   ПОКОМ</t>
        </is>
      </c>
      <c r="B31" s="8" t="inlineStr">
        <is>
          <t>кг</t>
        </is>
      </c>
      <c r="C31" s="8" t="n">
        <v>-0.257</v>
      </c>
      <c r="D31" s="8" t="n"/>
      <c r="E31" s="8" t="n"/>
      <c r="F31" s="8" t="n">
        <v>-0.257</v>
      </c>
      <c r="G31" s="9" t="n">
        <v>0</v>
      </c>
      <c r="H31" s="8" t="n">
        <v>40</v>
      </c>
      <c r="I31" s="8" t="inlineStr">
        <is>
          <t>не в матрице</t>
        </is>
      </c>
      <c r="J31" s="8" t="n"/>
      <c r="K31" s="8" t="n">
        <v>82.8</v>
      </c>
      <c r="L31" s="8">
        <f>E31-K31</f>
        <v/>
      </c>
      <c r="M31" s="8" t="n"/>
      <c r="N31" s="8" t="n"/>
      <c r="O31" s="8" t="n">
        <v>0</v>
      </c>
      <c r="P31" s="8" t="n"/>
      <c r="Q31" s="8" t="n"/>
      <c r="R31" s="8" t="n"/>
      <c r="S31" s="8" t="n"/>
      <c r="T31" s="8" t="n"/>
      <c r="U31" s="8">
        <f>E31/5</f>
        <v/>
      </c>
      <c r="V31" s="10" t="n"/>
      <c r="W31" s="4">
        <f>V31</f>
        <v/>
      </c>
      <c r="X31" s="11">
        <f>(F31+O31+P31+Q31+R31+W31+T31+S31)/U31</f>
        <v/>
      </c>
      <c r="Y31" s="11">
        <f>(F31+O31+P31+Q31+R31+S31+T31)/U31</f>
        <v/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0.7398</v>
      </c>
      <c r="AE31" s="8" t="n">
        <v>1.2958</v>
      </c>
      <c r="AF31" s="8" t="n">
        <v>12.6168</v>
      </c>
      <c r="AG31" s="8" t="n">
        <v>11.9848</v>
      </c>
      <c r="AH31" s="8" t="n">
        <v>17.5422</v>
      </c>
      <c r="AI31" s="8" t="n">
        <v>20.3004</v>
      </c>
      <c r="AJ31" s="8" t="n"/>
      <c r="AK31" s="11">
        <f>ROUND(G31*W31,0)</f>
        <v/>
      </c>
      <c r="AL31">
        <f>U31*G31</f>
        <v/>
      </c>
      <c r="AM31" t="inlineStr">
        <is>
          <t>SU001340</t>
        </is>
      </c>
    </row>
    <row r="32">
      <c r="A32" s="11" t="inlineStr">
        <is>
          <t xml:space="preserve"> 255  Сосиски Молочные для завтрака ТМ Особый рецепт, п/а МГС, ВЕС, ТМ Стародворье  ПОКОМ</t>
        </is>
      </c>
      <c r="B32" s="11" t="inlineStr">
        <is>
          <t>кг</t>
        </is>
      </c>
      <c r="C32" s="11" t="n">
        <v>3.748</v>
      </c>
      <c r="D32" s="11" t="n">
        <v>578.919</v>
      </c>
      <c r="E32" s="11" t="n">
        <v>582.471</v>
      </c>
      <c r="F32" s="11" t="n">
        <v>-6.895</v>
      </c>
      <c r="G32" s="6" t="n">
        <v>1</v>
      </c>
      <c r="H32" s="11" t="n">
        <v>40</v>
      </c>
      <c r="I32" s="12" t="inlineStr">
        <is>
          <t>НЕДОГРУЗ / матрица</t>
        </is>
      </c>
      <c r="J32" s="11" t="n"/>
      <c r="K32" s="11" t="n">
        <v>1025</v>
      </c>
      <c r="L32" s="11">
        <f>E32-K32</f>
        <v/>
      </c>
      <c r="M32" s="11" t="n"/>
      <c r="N32" s="11" t="n"/>
      <c r="O32" s="11" t="n">
        <v>1000</v>
      </c>
      <c r="P32" s="11" t="n"/>
      <c r="Q32" s="11" t="n"/>
      <c r="R32" s="11" t="n">
        <v>740</v>
      </c>
      <c r="S32" s="11" t="n"/>
      <c r="T32" s="11" t="n"/>
      <c r="U32" s="11">
        <f>E32/5</f>
        <v/>
      </c>
      <c r="V32" s="4" t="n">
        <v>1000</v>
      </c>
      <c r="W32" s="4" t="n">
        <v>1400</v>
      </c>
      <c r="X32" s="11">
        <f>(F32+O32+P32+Q32+R32+W32+T32+S32)/U32</f>
        <v/>
      </c>
      <c r="Y32" s="11">
        <f>(F32+O32+P32+Q32+R32+S32+T32)/U32</f>
        <v/>
      </c>
      <c r="Z32" s="11" t="n">
        <v>-1.4292</v>
      </c>
      <c r="AA32" s="11" t="n">
        <v>-0.5873999999999999</v>
      </c>
      <c r="AB32" s="11" t="n">
        <v>-0.2024</v>
      </c>
      <c r="AC32" s="11" t="n">
        <v>-0.2204</v>
      </c>
      <c r="AD32" s="11" t="n">
        <v>466.9548</v>
      </c>
      <c r="AE32" s="11" t="n">
        <v>466.6568</v>
      </c>
      <c r="AF32" s="11" t="n">
        <v>-1.0442</v>
      </c>
      <c r="AG32" s="11" t="n">
        <v>170.2936</v>
      </c>
      <c r="AH32" s="11" t="n">
        <v>540.2518</v>
      </c>
      <c r="AI32" s="11" t="n">
        <v>543.8248</v>
      </c>
      <c r="AJ32" s="11" t="n"/>
      <c r="AK32" s="11">
        <f>ROUND(G32*W32,0)</f>
        <v/>
      </c>
      <c r="AL32">
        <f>U32*G32</f>
        <v/>
      </c>
      <c r="AM32" t="inlineStr">
        <is>
          <t>SU002074</t>
        </is>
      </c>
    </row>
    <row r="33">
      <c r="A33" s="8" t="inlineStr">
        <is>
          <t xml:space="preserve"> 257  Сосиски Молочные оригинальные ТМ Особый рецепт, ВЕС.   ПОКОМ</t>
        </is>
      </c>
      <c r="B33" s="8" t="inlineStr">
        <is>
          <t>кг</t>
        </is>
      </c>
      <c r="C33" s="8" t="n"/>
      <c r="D33" s="8" t="n"/>
      <c r="E33" s="8" t="n"/>
      <c r="F33" s="8" t="n"/>
      <c r="G33" s="9" t="n">
        <v>0</v>
      </c>
      <c r="H33" s="8" t="n"/>
      <c r="I33" s="8" t="inlineStr">
        <is>
          <t>матрица</t>
        </is>
      </c>
      <c r="J33" s="8" t="n"/>
      <c r="K33" s="8" t="n"/>
      <c r="L33" s="8">
        <f>E33-K33</f>
        <v/>
      </c>
      <c r="M33" s="8" t="n"/>
      <c r="N33" s="8" t="n"/>
      <c r="O33" s="8" t="n">
        <v>0</v>
      </c>
      <c r="P33" s="8" t="n"/>
      <c r="Q33" s="8" t="n"/>
      <c r="R33" s="8" t="n"/>
      <c r="S33" s="8" t="n"/>
      <c r="T33" s="8" t="n"/>
      <c r="U33" s="8">
        <f>E33/5</f>
        <v/>
      </c>
      <c r="V33" s="10" t="n"/>
      <c r="W33" s="4">
        <f>V33</f>
        <v/>
      </c>
      <c r="X33" s="11">
        <f>(F33+O33+P33+Q33+R33+W33+T33+S33)/U33</f>
        <v/>
      </c>
      <c r="Y33" s="11">
        <f>(F33+O33+P33+Q33+R33+S33+T33)/U33</f>
        <v/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inlineStr">
        <is>
          <t>нет потребности</t>
        </is>
      </c>
      <c r="AK33" s="11">
        <f>ROUND(G33*W33,0)</f>
        <v/>
      </c>
      <c r="AL33">
        <f>U33*G33</f>
        <v/>
      </c>
      <c r="AM33" t="inlineStr">
        <is>
          <t>SU000246</t>
        </is>
      </c>
    </row>
    <row r="34">
      <c r="A34" s="11" t="inlineStr">
        <is>
          <t xml:space="preserve"> 263  Шпикачки Стародворские, ВЕС.  ПОКОМ</t>
        </is>
      </c>
      <c r="B34" s="11" t="inlineStr">
        <is>
          <t>кг</t>
        </is>
      </c>
      <c r="C34" s="11" t="n">
        <v>142.817</v>
      </c>
      <c r="D34" s="11" t="n">
        <v>236.256</v>
      </c>
      <c r="E34" s="11" t="n">
        <v>157.182</v>
      </c>
      <c r="F34" s="11" t="n">
        <v>158.243</v>
      </c>
      <c r="G34" s="6" t="n">
        <v>1</v>
      </c>
      <c r="H34" s="11" t="n">
        <v>30</v>
      </c>
      <c r="I34" s="12" t="inlineStr">
        <is>
          <t>НЕДОГРУЗ / матрица</t>
        </is>
      </c>
      <c r="J34" s="11" t="n"/>
      <c r="K34" s="11" t="n">
        <v>209.9</v>
      </c>
      <c r="L34" s="11">
        <f>E34-K34</f>
        <v/>
      </c>
      <c r="M34" s="11" t="n"/>
      <c r="N34" s="11" t="n"/>
      <c r="O34" s="11" t="n">
        <v>150</v>
      </c>
      <c r="P34" s="11" t="n"/>
      <c r="Q34" s="11" t="n"/>
      <c r="R34" s="11" t="n">
        <v>75</v>
      </c>
      <c r="S34" s="11" t="n"/>
      <c r="T34" s="11" t="n"/>
      <c r="U34" s="11">
        <f>E34/5</f>
        <v/>
      </c>
      <c r="V34" s="4" t="n"/>
      <c r="W34" s="4">
        <f>V34</f>
        <v/>
      </c>
      <c r="X34" s="11">
        <f>(F34+O34+P34+Q34+R34+W34+T34+S34)/U34</f>
        <v/>
      </c>
      <c r="Y34" s="11">
        <f>(F34+O34+P34+Q34+R34+S34+T34)/U34</f>
        <v/>
      </c>
      <c r="Z34" s="11" t="n">
        <v>41.9028</v>
      </c>
      <c r="AA34" s="11" t="n">
        <v>49.4908</v>
      </c>
      <c r="AB34" s="11" t="n">
        <v>47.4218</v>
      </c>
      <c r="AC34" s="11" t="n">
        <v>41.256</v>
      </c>
      <c r="AD34" s="11" t="n">
        <v>46.9576</v>
      </c>
      <c r="AE34" s="11" t="n">
        <v>52.2822</v>
      </c>
      <c r="AF34" s="11" t="n">
        <v>40.8566</v>
      </c>
      <c r="AG34" s="11" t="n">
        <v>32.7374</v>
      </c>
      <c r="AH34" s="11" t="n">
        <v>46.5842</v>
      </c>
      <c r="AI34" s="11" t="n">
        <v>55.4348</v>
      </c>
      <c r="AJ34" s="11" t="n"/>
      <c r="AK34" s="11">
        <f>ROUND(G34*W34,0)</f>
        <v/>
      </c>
      <c r="AL34">
        <f>U34*G34</f>
        <v/>
      </c>
      <c r="AM34" t="inlineStr">
        <is>
          <t>SU001430</t>
        </is>
      </c>
    </row>
    <row r="35">
      <c r="A35" s="8" t="inlineStr">
        <is>
          <t xml:space="preserve"> 265  Колбаса Балыкбургская, ВЕС, ТМ Баварушка  ПОКОМ</t>
        </is>
      </c>
      <c r="B35" s="8" t="inlineStr">
        <is>
          <t>кг</t>
        </is>
      </c>
      <c r="C35" s="8" t="n"/>
      <c r="D35" s="8" t="n"/>
      <c r="E35" s="8" t="n"/>
      <c r="F35" s="8" t="n"/>
      <c r="G35" s="9" t="n">
        <v>0</v>
      </c>
      <c r="H35" s="8" t="n"/>
      <c r="I35" s="8" t="inlineStr">
        <is>
          <t>матрица</t>
        </is>
      </c>
      <c r="J35" s="8" t="n"/>
      <c r="K35" s="8" t="n"/>
      <c r="L35" s="8">
        <f>E35-K35</f>
        <v/>
      </c>
      <c r="M35" s="8" t="n"/>
      <c r="N35" s="8" t="n"/>
      <c r="O35" s="8" t="n">
        <v>0</v>
      </c>
      <c r="P35" s="8" t="n"/>
      <c r="Q35" s="8" t="n"/>
      <c r="R35" s="8" t="n"/>
      <c r="S35" s="8" t="n"/>
      <c r="T35" s="8" t="n"/>
      <c r="U35" s="8">
        <f>E35/5</f>
        <v/>
      </c>
      <c r="V35" s="10" t="n"/>
      <c r="W35" s="4">
        <f>V35</f>
        <v/>
      </c>
      <c r="X35" s="11">
        <f>(F35+O35+P35+Q35+R35+W35+T35+S35)/U35</f>
        <v/>
      </c>
      <c r="Y35" s="11">
        <f>(F35+O35+P35+Q35+R35+S35+T35)/U35</f>
        <v/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inlineStr">
        <is>
          <t>нет потребности</t>
        </is>
      </c>
      <c r="AK35" s="11">
        <f>ROUND(G35*W35,0)</f>
        <v/>
      </c>
      <c r="AL35">
        <f>U35*G35</f>
        <v/>
      </c>
      <c r="AM35" t="inlineStr">
        <is>
          <t>SU002612</t>
        </is>
      </c>
    </row>
    <row r="36">
      <c r="A36" s="8" t="inlineStr">
        <is>
          <t xml:space="preserve"> 267  Колбаса Салями Филейбургская зернистая, оболочка фиброуз, ВЕС, ТМ Баварушка  ПОКОМ</t>
        </is>
      </c>
      <c r="B36" s="8" t="inlineStr">
        <is>
          <t>кг</t>
        </is>
      </c>
      <c r="C36" s="8" t="n"/>
      <c r="D36" s="8" t="n"/>
      <c r="E36" s="8" t="n"/>
      <c r="F36" s="8" t="n"/>
      <c r="G36" s="9" t="n">
        <v>0</v>
      </c>
      <c r="H36" s="8" t="n"/>
      <c r="I36" s="8" t="inlineStr">
        <is>
          <t>матрица</t>
        </is>
      </c>
      <c r="J36" s="8" t="n"/>
      <c r="K36" s="8" t="n"/>
      <c r="L36" s="8">
        <f>E36-K36</f>
        <v/>
      </c>
      <c r="M36" s="8" t="n"/>
      <c r="N36" s="8" t="n"/>
      <c r="O36" s="8" t="n">
        <v>0</v>
      </c>
      <c r="P36" s="8" t="n"/>
      <c r="Q36" s="8" t="n"/>
      <c r="R36" s="8" t="n"/>
      <c r="S36" s="8" t="n"/>
      <c r="T36" s="8" t="n"/>
      <c r="U36" s="8">
        <f>E36/5</f>
        <v/>
      </c>
      <c r="V36" s="10" t="n"/>
      <c r="W36" s="4">
        <f>V36</f>
        <v/>
      </c>
      <c r="X36" s="11">
        <f>(F36+O36+P36+Q36+R36+W36+T36+S36)/U36</f>
        <v/>
      </c>
      <c r="Y36" s="11">
        <f>(F36+O36+P36+Q36+R36+S36+T36)/U36</f>
        <v/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inlineStr">
        <is>
          <t>нет потребности</t>
        </is>
      </c>
      <c r="AK36" s="11">
        <f>ROUND(G36*W36,0)</f>
        <v/>
      </c>
      <c r="AL36">
        <f>U36*G36</f>
        <v/>
      </c>
      <c r="AM36" t="inlineStr">
        <is>
          <t>SU002614</t>
        </is>
      </c>
    </row>
    <row r="37">
      <c r="A37" s="11" t="inlineStr">
        <is>
          <t xml:space="preserve"> 273  Сосиски Сочинки с сочной грудинкой, МГС 0.4кг,   ПОКОМ</t>
        </is>
      </c>
      <c r="B37" s="11" t="inlineStr">
        <is>
          <t>шт</t>
        </is>
      </c>
      <c r="C37" s="11" t="n">
        <v>-32.06</v>
      </c>
      <c r="D37" s="11" t="n">
        <v>6006</v>
      </c>
      <c r="E37" s="11" t="n">
        <v>3807</v>
      </c>
      <c r="F37" s="11" t="n">
        <v>1676.94</v>
      </c>
      <c r="G37" s="6" t="n">
        <v>0.4</v>
      </c>
      <c r="H37" s="11" t="n">
        <v>45</v>
      </c>
      <c r="I37" s="12" t="inlineStr">
        <is>
          <t>НЕДОГРУЗ / матрица</t>
        </is>
      </c>
      <c r="J37" s="11" t="n"/>
      <c r="K37" s="11" t="n">
        <v>4145</v>
      </c>
      <c r="L37" s="11">
        <f>E37-K37</f>
        <v/>
      </c>
      <c r="M37" s="11" t="n"/>
      <c r="N37" s="11" t="n"/>
      <c r="O37" s="11" t="n">
        <v>2000</v>
      </c>
      <c r="P37" s="11" t="n"/>
      <c r="Q37" s="11" t="n"/>
      <c r="R37" s="11" t="n">
        <v>1000</v>
      </c>
      <c r="S37" s="11" t="n"/>
      <c r="T37" s="11" t="n"/>
      <c r="U37" s="11">
        <f>E37/5</f>
        <v/>
      </c>
      <c r="V37" s="4" t="n">
        <v>3000</v>
      </c>
      <c r="W37" s="4" t="n">
        <v>3700</v>
      </c>
      <c r="X37" s="11">
        <f>(F37+O37+P37+Q37+R37+W37+T37+S37)/U37</f>
        <v/>
      </c>
      <c r="Y37" s="11">
        <f>(F37+O37+P37+Q37+R37+S37+T37)/U37</f>
        <v/>
      </c>
      <c r="Z37" s="11" t="n">
        <v>350.6</v>
      </c>
      <c r="AA37" s="11" t="n">
        <v>627.6</v>
      </c>
      <c r="AB37" s="11" t="n">
        <v>957.4</v>
      </c>
      <c r="AC37" s="11" t="n">
        <v>972</v>
      </c>
      <c r="AD37" s="11" t="n">
        <v>989.8120000000001</v>
      </c>
      <c r="AE37" s="11" t="n">
        <v>974.6120000000001</v>
      </c>
      <c r="AF37" s="11" t="n">
        <v>922.4</v>
      </c>
      <c r="AG37" s="11" t="n">
        <v>935.8</v>
      </c>
      <c r="AH37" s="11" t="n">
        <v>879.4</v>
      </c>
      <c r="AI37" s="11" t="n">
        <v>846.3585999999999</v>
      </c>
      <c r="AJ37" s="11" t="n"/>
      <c r="AK37" s="11">
        <f>ROUND(G37*W37,0)</f>
        <v/>
      </c>
      <c r="AL37">
        <f>U37*G37</f>
        <v/>
      </c>
      <c r="AM37" t="inlineStr">
        <is>
          <t>SU002618</t>
        </is>
      </c>
    </row>
    <row r="38">
      <c r="A38" s="11" t="inlineStr">
        <is>
          <t xml:space="preserve"> 276  Колбаса Сливушка ТМ Вязанка в оболочке полиамид 0,45 кг  ПОКОМ</t>
        </is>
      </c>
      <c r="B38" s="11" t="inlineStr">
        <is>
          <t>шт</t>
        </is>
      </c>
      <c r="C38" s="11" t="n">
        <v>564</v>
      </c>
      <c r="D38" s="11" t="n">
        <v>580</v>
      </c>
      <c r="E38" s="11" t="n">
        <v>426</v>
      </c>
      <c r="F38" s="11" t="n">
        <v>636</v>
      </c>
      <c r="G38" s="6" t="n">
        <v>0.45</v>
      </c>
      <c r="H38" s="11" t="n">
        <v>50</v>
      </c>
      <c r="I38" s="11" t="inlineStr">
        <is>
          <t>матрица</t>
        </is>
      </c>
      <c r="J38" s="11" t="n"/>
      <c r="K38" s="11" t="n">
        <v>437</v>
      </c>
      <c r="L38" s="11">
        <f>E38-K38</f>
        <v/>
      </c>
      <c r="M38" s="11" t="n"/>
      <c r="N38" s="11" t="n"/>
      <c r="O38" s="11" t="n">
        <v>161.608601</v>
      </c>
      <c r="P38" s="11" t="n"/>
      <c r="Q38" s="11" t="n"/>
      <c r="R38" s="11" t="n">
        <v>258.153999</v>
      </c>
      <c r="S38" s="11" t="n"/>
      <c r="T38" s="11" t="n"/>
      <c r="U38" s="11">
        <f>E38/5</f>
        <v/>
      </c>
      <c r="V38" s="4" t="n"/>
      <c r="W38" s="4">
        <f>V38</f>
        <v/>
      </c>
      <c r="X38" s="11">
        <f>(F38+O38+P38+Q38+R38+W38+T38+S38)/U38</f>
        <v/>
      </c>
      <c r="Y38" s="11">
        <f>(F38+O38+P38+Q38+R38+S38+T38)/U38</f>
        <v/>
      </c>
      <c r="Z38" s="11" t="n">
        <v>96.8</v>
      </c>
      <c r="AA38" s="11" t="n">
        <v>99.2</v>
      </c>
      <c r="AB38" s="11" t="n">
        <v>105.4</v>
      </c>
      <c r="AC38" s="11" t="n">
        <v>102.8</v>
      </c>
      <c r="AD38" s="11" t="n">
        <v>77.8</v>
      </c>
      <c r="AE38" s="11" t="n">
        <v>75</v>
      </c>
      <c r="AF38" s="11" t="n">
        <v>65</v>
      </c>
      <c r="AG38" s="11" t="n">
        <v>95.59999999999999</v>
      </c>
      <c r="AH38" s="11" t="n">
        <v>101.8</v>
      </c>
      <c r="AI38" s="11" t="n">
        <v>92.40000000000001</v>
      </c>
      <c r="AJ38" s="11" t="n"/>
      <c r="AK38" s="11">
        <f>ROUND(G38*W38,0)</f>
        <v/>
      </c>
      <c r="AL38">
        <f>U38*G38</f>
        <v/>
      </c>
      <c r="AM38" t="inlineStr">
        <is>
          <t>SU002734</t>
        </is>
      </c>
    </row>
    <row r="39">
      <c r="A39" s="11" t="inlineStr">
        <is>
          <t xml:space="preserve"> 278  Сосиски Сочинки с сочным окороком, МГС 0.4кг,   ПОКОМ</t>
        </is>
      </c>
      <c r="B39" s="11" t="inlineStr">
        <is>
          <t>шт</t>
        </is>
      </c>
      <c r="C39" s="11" t="n">
        <v>-30</v>
      </c>
      <c r="D39" s="11" t="n"/>
      <c r="E39" s="11" t="n">
        <v>-6</v>
      </c>
      <c r="F39" s="11" t="n">
        <v>-30</v>
      </c>
      <c r="G39" s="6" t="n">
        <v>0.4</v>
      </c>
      <c r="H39" s="11" t="n">
        <v>45</v>
      </c>
      <c r="I39" s="12" t="inlineStr">
        <is>
          <t>НЕДОГРУЗ / матрица</t>
        </is>
      </c>
      <c r="J39" s="11" t="n"/>
      <c r="K39" s="11" t="n">
        <v>646</v>
      </c>
      <c r="L39" s="11">
        <f>E39-K39</f>
        <v/>
      </c>
      <c r="M39" s="11" t="n"/>
      <c r="N39" s="11" t="n"/>
      <c r="O39" s="11" t="n">
        <v>400</v>
      </c>
      <c r="P39" s="11" t="n">
        <v>-402</v>
      </c>
      <c r="Q39" s="11" t="n"/>
      <c r="R39" s="11" t="n">
        <v>200</v>
      </c>
      <c r="S39" s="11" t="n"/>
      <c r="T39" s="11" t="n"/>
      <c r="U39" s="11">
        <f>E39/5</f>
        <v/>
      </c>
      <c r="V39" s="4" t="n">
        <v>300</v>
      </c>
      <c r="W39" s="4">
        <f>V39</f>
        <v/>
      </c>
      <c r="X39" s="11">
        <f>(F39+O39+P39+Q39+R39+W39+T39+S39)/U39</f>
        <v/>
      </c>
      <c r="Y39" s="11">
        <f>(F39+O39+P39+Q39+R39+S39+T39)/U39</f>
        <v/>
      </c>
      <c r="Z39" s="11" t="n">
        <v>59</v>
      </c>
      <c r="AA39" s="11" t="n">
        <v>102.6</v>
      </c>
      <c r="AB39" s="11" t="n">
        <v>216.8</v>
      </c>
      <c r="AC39" s="11" t="n">
        <v>259</v>
      </c>
      <c r="AD39" s="11" t="n">
        <v>245.2</v>
      </c>
      <c r="AE39" s="11" t="n">
        <v>165.6</v>
      </c>
      <c r="AF39" s="11" t="n">
        <v>105.6</v>
      </c>
      <c r="AG39" s="11" t="n">
        <v>196.2</v>
      </c>
      <c r="AH39" s="11" t="n">
        <v>218.8</v>
      </c>
      <c r="AI39" s="11" t="n">
        <v>207.2</v>
      </c>
      <c r="AJ39" s="11" t="n"/>
      <c r="AK39" s="11">
        <f>ROUND(G39*W39,0)</f>
        <v/>
      </c>
      <c r="AL39">
        <f>U39*G39</f>
        <v/>
      </c>
      <c r="AM39" t="inlineStr">
        <is>
          <t>SU002621</t>
        </is>
      </c>
    </row>
    <row r="40">
      <c r="A40" s="11" t="inlineStr">
        <is>
          <t xml:space="preserve"> 281  Сосиски Молочные для завтрака ТМ Особый рецепт, 0,4кг  ПОКОМ</t>
        </is>
      </c>
      <c r="B40" s="11" t="inlineStr">
        <is>
          <t>шт</t>
        </is>
      </c>
      <c r="C40" s="11" t="n"/>
      <c r="D40" s="11" t="n"/>
      <c r="E40" s="11" t="n">
        <v>-1</v>
      </c>
      <c r="F40" s="11" t="n"/>
      <c r="G40" s="6" t="n">
        <v>0.4</v>
      </c>
      <c r="H40" s="11" t="n">
        <v>40</v>
      </c>
      <c r="I40" s="12" t="inlineStr">
        <is>
          <t>НЕДОГРУЗ / матрица</t>
        </is>
      </c>
      <c r="J40" s="11" t="n"/>
      <c r="K40" s="11" t="n">
        <v>2</v>
      </c>
      <c r="L40" s="11">
        <f>E40-K40</f>
        <v/>
      </c>
      <c r="M40" s="11" t="n"/>
      <c r="N40" s="11" t="n"/>
      <c r="O40" s="11" t="n">
        <v>20</v>
      </c>
      <c r="P40" s="11" t="n">
        <v>-24</v>
      </c>
      <c r="Q40" s="11" t="n"/>
      <c r="R40" s="11" t="n">
        <v>10</v>
      </c>
      <c r="S40" s="11" t="n">
        <v>-12.5</v>
      </c>
      <c r="T40" s="11" t="n"/>
      <c r="U40" s="11">
        <f>E40/5</f>
        <v/>
      </c>
      <c r="V40" s="4" t="n">
        <v>10</v>
      </c>
      <c r="W40" s="4">
        <f>V40</f>
        <v/>
      </c>
      <c r="X40" s="11">
        <f>(F40+O40+P40+Q40+R40+W40+T40+S40)/U40</f>
        <v/>
      </c>
      <c r="Y40" s="11">
        <f>(F40+O40+P40+Q40+R40+S40+T40)/U40</f>
        <v/>
      </c>
      <c r="Z40" s="11" t="n">
        <v>4.4</v>
      </c>
      <c r="AA40" s="11" t="n">
        <v>7.2</v>
      </c>
      <c r="AB40" s="11" t="n">
        <v>3.8</v>
      </c>
      <c r="AC40" s="11" t="n">
        <v>2.6</v>
      </c>
      <c r="AD40" s="11" t="n">
        <v>3.6</v>
      </c>
      <c r="AE40" s="11" t="n">
        <v>2.2</v>
      </c>
      <c r="AF40" s="11" t="n">
        <v>2.6</v>
      </c>
      <c r="AG40" s="11" t="n">
        <v>5.4</v>
      </c>
      <c r="AH40" s="11" t="n">
        <v>4</v>
      </c>
      <c r="AI40" s="11" t="n">
        <v>1.4</v>
      </c>
      <c r="AJ40" s="11" t="n"/>
      <c r="AK40" s="11">
        <f>ROUND(G40*W40,0)</f>
        <v/>
      </c>
      <c r="AL40">
        <f>U40*G40</f>
        <v/>
      </c>
      <c r="AM40" t="inlineStr">
        <is>
          <t>SU002205</t>
        </is>
      </c>
    </row>
    <row r="41">
      <c r="A41" s="11" t="inlineStr">
        <is>
          <t xml:space="preserve"> 283  Сосиски Сочинки, ВЕС, ТМ Стародворье ПОКОМ</t>
        </is>
      </c>
      <c r="B41" s="11" t="inlineStr">
        <is>
          <t>кг</t>
        </is>
      </c>
      <c r="C41" s="11" t="n">
        <v>185.743</v>
      </c>
      <c r="D41" s="11" t="n">
        <v>105.555</v>
      </c>
      <c r="E41" s="11" t="n">
        <v>283.369</v>
      </c>
      <c r="F41" s="11" t="n">
        <v>1.164</v>
      </c>
      <c r="G41" s="6" t="n">
        <v>1</v>
      </c>
      <c r="H41" s="11" t="n">
        <v>45</v>
      </c>
      <c r="I41" s="12" t="inlineStr">
        <is>
          <t>НЕДОГРУЗ / матрица</t>
        </is>
      </c>
      <c r="J41" s="11" t="n"/>
      <c r="K41" s="11" t="n">
        <v>282.8</v>
      </c>
      <c r="L41" s="11">
        <f>E41-K41</f>
        <v/>
      </c>
      <c r="M41" s="11" t="n"/>
      <c r="N41" s="11" t="n"/>
      <c r="O41" s="11" t="n">
        <v>157.235437282</v>
      </c>
      <c r="P41" s="11" t="n"/>
      <c r="Q41" s="11" t="n"/>
      <c r="R41" s="11" t="n">
        <v>251.168295918</v>
      </c>
      <c r="S41" s="11" t="n"/>
      <c r="T41" s="11" t="n"/>
      <c r="U41" s="11">
        <f>E41/5</f>
        <v/>
      </c>
      <c r="V41" s="4">
        <f>11*U41-T41-R41-Q41-P41-O41-F41</f>
        <v/>
      </c>
      <c r="W41" s="4">
        <f>V41</f>
        <v/>
      </c>
      <c r="X41" s="11">
        <f>(F41+O41+P41+Q41+R41+W41+T41+S41)/U41</f>
        <v/>
      </c>
      <c r="Y41" s="11">
        <f>(F41+O41+P41+Q41+R41+S41+T41)/U41</f>
        <v/>
      </c>
      <c r="Z41" s="11" t="n">
        <v>67.0672</v>
      </c>
      <c r="AA41" s="11" t="n">
        <v>44.9604</v>
      </c>
      <c r="AB41" s="11" t="n">
        <v>-1.501</v>
      </c>
      <c r="AC41" s="11" t="n">
        <v>-2.0734</v>
      </c>
      <c r="AD41" s="11" t="n">
        <v>9.165800000000001</v>
      </c>
      <c r="AE41" s="11" t="n">
        <v>37.9426</v>
      </c>
      <c r="AF41" s="11" t="n">
        <v>58.0432</v>
      </c>
      <c r="AG41" s="11" t="n">
        <v>60.0158</v>
      </c>
      <c r="AH41" s="11" t="n">
        <v>55.1294</v>
      </c>
      <c r="AI41" s="11" t="n">
        <v>48.1906</v>
      </c>
      <c r="AJ41" s="11" t="n"/>
      <c r="AK41" s="11">
        <f>ROUND(G41*W41,0)</f>
        <v/>
      </c>
      <c r="AL41">
        <f>U41*G41</f>
        <v/>
      </c>
      <c r="AM41" t="inlineStr">
        <is>
          <t>SU002725</t>
        </is>
      </c>
    </row>
    <row r="42">
      <c r="A42" s="11" t="inlineStr">
        <is>
          <t xml:space="preserve"> 285  Паштет печеночный со слив.маслом ТМ Стародворье ламистер 0,1 кг  ПОКОМ</t>
        </is>
      </c>
      <c r="B42" s="11" t="inlineStr">
        <is>
          <t>шт</t>
        </is>
      </c>
      <c r="C42" s="11" t="n">
        <v>661</v>
      </c>
      <c r="D42" s="11" t="n">
        <v>80</v>
      </c>
      <c r="E42" s="11" t="n">
        <v>399</v>
      </c>
      <c r="F42" s="11" t="n">
        <v>313</v>
      </c>
      <c r="G42" s="6" t="n">
        <v>0.1</v>
      </c>
      <c r="H42" s="11" t="n">
        <v>731</v>
      </c>
      <c r="I42" s="11" t="inlineStr">
        <is>
          <t>матрица</t>
        </is>
      </c>
      <c r="J42" s="11" t="n"/>
      <c r="K42" s="11" t="n">
        <v>399</v>
      </c>
      <c r="L42" s="11">
        <f>E42-K42</f>
        <v/>
      </c>
      <c r="M42" s="11" t="n"/>
      <c r="N42" s="11" t="n"/>
      <c r="O42" s="11" t="n">
        <v>198.2</v>
      </c>
      <c r="P42" s="11" t="n"/>
      <c r="Q42" s="11" t="n"/>
      <c r="R42" s="11" t="n"/>
      <c r="S42" s="11" t="n"/>
      <c r="T42" s="11" t="n"/>
      <c r="U42" s="11">
        <f>E42/5</f>
        <v/>
      </c>
      <c r="V42" s="4">
        <f>11*U42-T42-R42-Q42-P42-O42-F42</f>
        <v/>
      </c>
      <c r="W42" s="4">
        <f>V42</f>
        <v/>
      </c>
      <c r="X42" s="11">
        <f>(F42+O42+P42+Q42+R42+W42+T42+S42)/U42</f>
        <v/>
      </c>
      <c r="Y42" s="11">
        <f>(F42+O42+P42+Q42+R42+S42+T42)/U42</f>
        <v/>
      </c>
      <c r="Z42" s="11" t="n">
        <v>65</v>
      </c>
      <c r="AA42" s="11" t="n">
        <v>62.8</v>
      </c>
      <c r="AB42" s="11" t="n">
        <v>64</v>
      </c>
      <c r="AC42" s="11" t="n">
        <v>69.2</v>
      </c>
      <c r="AD42" s="11" t="n">
        <v>86.40000000000001</v>
      </c>
      <c r="AE42" s="11" t="n">
        <v>78.59999999999999</v>
      </c>
      <c r="AF42" s="11" t="n">
        <v>70.59999999999999</v>
      </c>
      <c r="AG42" s="11" t="n">
        <v>80.59999999999999</v>
      </c>
      <c r="AH42" s="11" t="n">
        <v>60.2</v>
      </c>
      <c r="AI42" s="11" t="n">
        <v>46.4</v>
      </c>
      <c r="AJ42" s="11" t="n"/>
      <c r="AK42" s="11">
        <f>ROUND(G42*W42,0)</f>
        <v/>
      </c>
      <c r="AL42">
        <f>U42*G42</f>
        <v/>
      </c>
      <c r="AM42" t="inlineStr">
        <is>
          <t>SU002368</t>
        </is>
      </c>
    </row>
    <row r="43">
      <c r="A43" s="11" t="inlineStr">
        <is>
          <t xml:space="preserve"> 296  Колбаса Мясорубская с рубленой грудинкой 0,35кг срез ТМ Стародворье  ПОКОМ</t>
        </is>
      </c>
      <c r="B43" s="11" t="inlineStr">
        <is>
          <t>шт</t>
        </is>
      </c>
      <c r="C43" s="11" t="n">
        <v>-1</v>
      </c>
      <c r="D43" s="11" t="n"/>
      <c r="E43" s="11" t="n">
        <v>-9</v>
      </c>
      <c r="F43" s="11" t="n">
        <v>-1</v>
      </c>
      <c r="G43" s="6" t="n">
        <v>0.35</v>
      </c>
      <c r="H43" s="11" t="n">
        <v>40</v>
      </c>
      <c r="I43" s="12" t="inlineStr">
        <is>
          <t>НЕДОГРУЗ / матрица</t>
        </is>
      </c>
      <c r="J43" s="11" t="n"/>
      <c r="K43" s="11" t="n">
        <v>64</v>
      </c>
      <c r="L43" s="11">
        <f>E43-K43</f>
        <v/>
      </c>
      <c r="M43" s="11" t="n"/>
      <c r="N43" s="11" t="n"/>
      <c r="O43" s="11" t="n">
        <v>100</v>
      </c>
      <c r="P43" s="11" t="n">
        <v>-102</v>
      </c>
      <c r="Q43" s="11" t="n"/>
      <c r="R43" s="11" t="n">
        <v>50</v>
      </c>
      <c r="S43" s="11" t="n">
        <v>-54.28571428571429</v>
      </c>
      <c r="T43" s="11" t="n"/>
      <c r="U43" s="11">
        <f>E43/5</f>
        <v/>
      </c>
      <c r="V43" s="4" t="n">
        <v>100</v>
      </c>
      <c r="W43" s="4">
        <f>V43</f>
        <v/>
      </c>
      <c r="X43" s="11">
        <f>(F43+O43+P43+Q43+R43+W43+T43+S43)/U43</f>
        <v/>
      </c>
      <c r="Y43" s="11">
        <f>(F43+O43+P43+Q43+R43+S43+T43)/U43</f>
        <v/>
      </c>
      <c r="Z43" s="11" t="n">
        <v>-2.6</v>
      </c>
      <c r="AA43" s="11" t="n">
        <v>-2.8</v>
      </c>
      <c r="AB43" s="11" t="n">
        <v>-2.8</v>
      </c>
      <c r="AC43" s="11" t="n">
        <v>-3</v>
      </c>
      <c r="AD43" s="11" t="n">
        <v>6.8</v>
      </c>
      <c r="AE43" s="11" t="n">
        <v>28.4</v>
      </c>
      <c r="AF43" s="11" t="n">
        <v>45</v>
      </c>
      <c r="AG43" s="11" t="n">
        <v>43.6</v>
      </c>
      <c r="AH43" s="11" t="n">
        <v>47.6</v>
      </c>
      <c r="AI43" s="11" t="n">
        <v>44.6</v>
      </c>
      <c r="AJ43" s="11" t="n"/>
      <c r="AK43" s="11">
        <f>ROUND(G43*W43,0)</f>
        <v/>
      </c>
      <c r="AL43">
        <f>U43*G43</f>
        <v/>
      </c>
      <c r="AM43" t="inlineStr">
        <is>
          <t>SU002660</t>
        </is>
      </c>
    </row>
    <row r="44">
      <c r="A44" s="11" t="inlineStr">
        <is>
          <t xml:space="preserve"> 297  Колбаса Мясорубская с рубленой грудинкой ВЕС ТМ Стародворье  ПОКОМ</t>
        </is>
      </c>
      <c r="B44" s="11" t="inlineStr">
        <is>
          <t>кг</t>
        </is>
      </c>
      <c r="C44" s="11" t="n">
        <v>9.029</v>
      </c>
      <c r="D44" s="11" t="n">
        <v>35.006</v>
      </c>
      <c r="E44" s="11" t="n">
        <v>5.814</v>
      </c>
      <c r="F44" s="11" t="n">
        <v>34.59</v>
      </c>
      <c r="G44" s="6" t="n">
        <v>1</v>
      </c>
      <c r="H44" s="11" t="n">
        <v>40</v>
      </c>
      <c r="I44" s="12" t="inlineStr">
        <is>
          <t>НЕДОГРУЗ / матрица</t>
        </is>
      </c>
      <c r="J44" s="11" t="n"/>
      <c r="K44" s="11" t="n">
        <v>47.25</v>
      </c>
      <c r="L44" s="11">
        <f>E44-K44</f>
        <v/>
      </c>
      <c r="M44" s="11" t="n"/>
      <c r="N44" s="11" t="n"/>
      <c r="O44" s="11" t="n">
        <v>30</v>
      </c>
      <c r="P44" s="11" t="n">
        <v>-33.6</v>
      </c>
      <c r="Q44" s="11" t="n"/>
      <c r="R44" s="11" t="n">
        <v>15</v>
      </c>
      <c r="S44" s="11" t="n">
        <v>-17</v>
      </c>
      <c r="T44" s="11" t="n"/>
      <c r="U44" s="11">
        <f>E44/5</f>
        <v/>
      </c>
      <c r="V44" s="4" t="n">
        <v>20</v>
      </c>
      <c r="W44" s="4">
        <f>V44</f>
        <v/>
      </c>
      <c r="X44" s="11">
        <f>(F44+O44+P44+Q44+R44+W44+T44+S44)/U44</f>
        <v/>
      </c>
      <c r="Y44" s="11">
        <f>(F44+O44+P44+Q44+R44+S44+T44)/U44</f>
        <v/>
      </c>
      <c r="Z44" s="11" t="n">
        <v>8.417400000000001</v>
      </c>
      <c r="AA44" s="11" t="n">
        <v>11.9122</v>
      </c>
      <c r="AB44" s="11" t="n">
        <v>8.893800000000001</v>
      </c>
      <c r="AC44" s="11" t="n">
        <v>8.7584</v>
      </c>
      <c r="AD44" s="11" t="n">
        <v>7.7378</v>
      </c>
      <c r="AE44" s="11" t="n">
        <v>8.152200000000001</v>
      </c>
      <c r="AF44" s="11" t="n">
        <v>10.5666</v>
      </c>
      <c r="AG44" s="11" t="n">
        <v>9.1028</v>
      </c>
      <c r="AH44" s="11" t="n">
        <v>7.556</v>
      </c>
      <c r="AI44" s="11" t="n">
        <v>7.9702</v>
      </c>
      <c r="AJ44" s="11" t="n"/>
      <c r="AK44" s="11">
        <f>ROUND(G44*W44,0)</f>
        <v/>
      </c>
      <c r="AL44">
        <f>U44*G44</f>
        <v/>
      </c>
      <c r="AM44" t="inlineStr">
        <is>
          <t>SU002756</t>
        </is>
      </c>
    </row>
    <row r="45">
      <c r="A45" s="11" t="inlineStr">
        <is>
          <t xml:space="preserve"> 301  Сосиски Сочинки по-баварски с сыром,  0.4кг, ТМ Стародворье  ПОКОМ</t>
        </is>
      </c>
      <c r="B45" s="11" t="inlineStr">
        <is>
          <t>шт</t>
        </is>
      </c>
      <c r="C45" s="11" t="n">
        <v>54</v>
      </c>
      <c r="D45" s="11" t="n">
        <v>207</v>
      </c>
      <c r="E45" s="11" t="n">
        <v>182</v>
      </c>
      <c r="F45" s="11" t="n">
        <v>32</v>
      </c>
      <c r="G45" s="6" t="n">
        <v>0.4</v>
      </c>
      <c r="H45" s="11" t="n">
        <v>40</v>
      </c>
      <c r="I45" s="12" t="inlineStr">
        <is>
          <t>НЕДОГРУЗ / матрица</t>
        </is>
      </c>
      <c r="J45" s="11" t="n"/>
      <c r="K45" s="11" t="n">
        <v>264</v>
      </c>
      <c r="L45" s="11">
        <f>E45-K45</f>
        <v/>
      </c>
      <c r="M45" s="11" t="n"/>
      <c r="N45" s="11" t="n"/>
      <c r="O45" s="11" t="n">
        <v>100</v>
      </c>
      <c r="P45" s="11" t="n"/>
      <c r="Q45" s="11" t="n"/>
      <c r="R45" s="11" t="n">
        <v>50</v>
      </c>
      <c r="S45" s="11" t="n"/>
      <c r="T45" s="11" t="n"/>
      <c r="U45" s="11">
        <f>E45/5</f>
        <v/>
      </c>
      <c r="V45" s="4">
        <f>11*U45-T45-R45-Q45-P45-O45-F45</f>
        <v/>
      </c>
      <c r="W45" s="4">
        <f>V45</f>
        <v/>
      </c>
      <c r="X45" s="11">
        <f>(F45+O45+P45+Q45+R45+W45+T45+S45)/U45</f>
        <v/>
      </c>
      <c r="Y45" s="11">
        <f>(F45+O45+P45+Q45+R45+S45+T45)/U45</f>
        <v/>
      </c>
      <c r="Z45" s="11" t="n">
        <v>46.4</v>
      </c>
      <c r="AA45" s="11" t="n">
        <v>39.4</v>
      </c>
      <c r="AB45" s="11" t="n">
        <v>7</v>
      </c>
      <c r="AC45" s="11" t="n">
        <v>3</v>
      </c>
      <c r="AD45" s="11" t="n">
        <v>44.6</v>
      </c>
      <c r="AE45" s="11" t="n">
        <v>42.4</v>
      </c>
      <c r="AF45" s="11" t="n">
        <v>-0.8</v>
      </c>
      <c r="AG45" s="11" t="n">
        <v>17.2</v>
      </c>
      <c r="AH45" s="11" t="n">
        <v>30.2</v>
      </c>
      <c r="AI45" s="11" t="n">
        <v>32.8</v>
      </c>
      <c r="AJ45" s="11" t="n"/>
      <c r="AK45" s="11">
        <f>ROUND(G45*W45,0)</f>
        <v/>
      </c>
      <c r="AL45">
        <f>U45*G45</f>
        <v/>
      </c>
      <c r="AM45" t="inlineStr">
        <is>
          <t>SU002801</t>
        </is>
      </c>
    </row>
    <row r="46">
      <c r="A46" s="11" t="inlineStr">
        <is>
          <t xml:space="preserve"> 302  Сосиски Сочинки по-баварски,  0.4кг, ТМ Стародворье  ПОКОМ</t>
        </is>
      </c>
      <c r="B46" s="11" t="inlineStr">
        <is>
          <t>шт</t>
        </is>
      </c>
      <c r="C46" s="11" t="n">
        <v>12</v>
      </c>
      <c r="D46" s="11" t="n">
        <v>150</v>
      </c>
      <c r="E46" s="11" t="n">
        <v>151</v>
      </c>
      <c r="F46" s="11" t="n">
        <v>9</v>
      </c>
      <c r="G46" s="6" t="n">
        <v>0.4</v>
      </c>
      <c r="H46" s="11" t="n">
        <v>45</v>
      </c>
      <c r="I46" s="12" t="inlineStr">
        <is>
          <t>НЕДОГРУЗ / матрица</t>
        </is>
      </c>
      <c r="J46" s="11" t="n"/>
      <c r="K46" s="11" t="n">
        <v>284</v>
      </c>
      <c r="L46" s="11">
        <f>E46-K46</f>
        <v/>
      </c>
      <c r="M46" s="11" t="n"/>
      <c r="N46" s="11" t="n"/>
      <c r="O46" s="11" t="n">
        <v>100</v>
      </c>
      <c r="P46" s="11" t="n"/>
      <c r="Q46" s="11" t="n"/>
      <c r="R46" s="11" t="n">
        <v>50</v>
      </c>
      <c r="S46" s="11" t="n"/>
      <c r="T46" s="11" t="n"/>
      <c r="U46" s="11">
        <f>E46/5</f>
        <v/>
      </c>
      <c r="V46" s="4">
        <f>11*U46-T46-R46-Q46-P46-O46-F46</f>
        <v/>
      </c>
      <c r="W46" s="4">
        <f>V46</f>
        <v/>
      </c>
      <c r="X46" s="11">
        <f>(F46+O46+P46+Q46+R46+W46+T46+S46)/U46</f>
        <v/>
      </c>
      <c r="Y46" s="11">
        <f>(F46+O46+P46+Q46+R46+S46+T46)/U46</f>
        <v/>
      </c>
      <c r="Z46" s="11" t="n">
        <v>25.8</v>
      </c>
      <c r="AA46" s="11" t="n">
        <v>20.4</v>
      </c>
      <c r="AB46" s="11" t="n">
        <v>-0.8</v>
      </c>
      <c r="AC46" s="11" t="n">
        <v>23.6</v>
      </c>
      <c r="AD46" s="11" t="n">
        <v>52.4</v>
      </c>
      <c r="AE46" s="11" t="n">
        <v>27.8</v>
      </c>
      <c r="AF46" s="11" t="n">
        <v>-0.8</v>
      </c>
      <c r="AG46" s="11" t="n">
        <v>6.6</v>
      </c>
      <c r="AH46" s="11" t="n">
        <v>42.6</v>
      </c>
      <c r="AI46" s="11" t="n">
        <v>57.4</v>
      </c>
      <c r="AJ46" s="11" t="n"/>
      <c r="AK46" s="11">
        <f>ROUND(G46*W46,0)</f>
        <v/>
      </c>
      <c r="AL46">
        <f>U46*G46</f>
        <v/>
      </c>
      <c r="AM46" t="inlineStr">
        <is>
          <t>SU002799</t>
        </is>
      </c>
    </row>
    <row r="47">
      <c r="A47" s="11" t="inlineStr">
        <is>
          <t xml:space="preserve"> 305  Колбаса Сервелат Мясорубский с мелкорубленным окороком в/у  ТМ Стародворье ВЕС   ПОКОМ</t>
        </is>
      </c>
      <c r="B47" s="11" t="inlineStr">
        <is>
          <t>кг</t>
        </is>
      </c>
      <c r="C47" s="11" t="n">
        <v>158.507</v>
      </c>
      <c r="D47" s="11" t="n">
        <v>57.232</v>
      </c>
      <c r="E47" s="11" t="n">
        <v>122.341</v>
      </c>
      <c r="F47" s="11" t="n">
        <v>76.164</v>
      </c>
      <c r="G47" s="6" t="n">
        <v>1</v>
      </c>
      <c r="H47" s="11" t="n">
        <v>40</v>
      </c>
      <c r="I47" s="12" t="inlineStr">
        <is>
          <t>НЕДОГРУЗ / матрица</t>
        </is>
      </c>
      <c r="J47" s="11" t="n"/>
      <c r="K47" s="11" t="n">
        <v>135.65</v>
      </c>
      <c r="L47" s="11">
        <f>E47-K47</f>
        <v/>
      </c>
      <c r="M47" s="11" t="n"/>
      <c r="N47" s="11" t="n"/>
      <c r="O47" s="11" t="n">
        <v>103.303</v>
      </c>
      <c r="P47" s="11" t="n">
        <v>-105</v>
      </c>
      <c r="Q47" s="11" t="n"/>
      <c r="R47" s="11" t="n"/>
      <c r="S47" s="11" t="n"/>
      <c r="T47" s="11" t="n"/>
      <c r="U47" s="11">
        <f>E47/5</f>
        <v/>
      </c>
      <c r="V47" s="4" t="n">
        <v>80</v>
      </c>
      <c r="W47" s="4">
        <f>V47</f>
        <v/>
      </c>
      <c r="X47" s="11">
        <f>(F47+O47+P47+Q47+R47+W47+T47+S47)/U47</f>
        <v/>
      </c>
      <c r="Y47" s="11">
        <f>(F47+O47+P47+Q47+R47+S47+T47)/U47</f>
        <v/>
      </c>
      <c r="Z47" s="11" t="n">
        <v>21.0944</v>
      </c>
      <c r="AA47" s="11" t="n">
        <v>18.7718</v>
      </c>
      <c r="AB47" s="11" t="n">
        <v>18.389</v>
      </c>
      <c r="AC47" s="11" t="n">
        <v>21.2908</v>
      </c>
      <c r="AD47" s="11" t="n">
        <v>17.8104</v>
      </c>
      <c r="AE47" s="11" t="n">
        <v>16.632</v>
      </c>
      <c r="AF47" s="11" t="n">
        <v>22.5308</v>
      </c>
      <c r="AG47" s="11" t="n">
        <v>20.5176</v>
      </c>
      <c r="AH47" s="11" t="n">
        <v>24.51</v>
      </c>
      <c r="AI47" s="11" t="n">
        <v>25.9508</v>
      </c>
      <c r="AJ47" s="11" t="n"/>
      <c r="AK47" s="11">
        <f>ROUND(G47*W47,0)</f>
        <v/>
      </c>
      <c r="AL47">
        <f>U47*G47</f>
        <v/>
      </c>
      <c r="AM47" t="inlineStr">
        <is>
          <t>SU002847</t>
        </is>
      </c>
    </row>
    <row r="48">
      <c r="A48" s="11" t="inlineStr">
        <is>
          <t xml:space="preserve"> 307  Колбаса Сервелат Мясорубский с мелкорубленным окороком 0,35 кг срез ТМ Стародворье   Поком</t>
        </is>
      </c>
      <c r="B48" s="11" t="inlineStr">
        <is>
          <t>шт</t>
        </is>
      </c>
      <c r="C48" s="11" t="n">
        <v>1227</v>
      </c>
      <c r="D48" s="11" t="n">
        <v>8</v>
      </c>
      <c r="E48" s="11" t="n">
        <v>1190</v>
      </c>
      <c r="F48" s="11" t="n">
        <v>-4</v>
      </c>
      <c r="G48" s="6" t="n">
        <v>0.35</v>
      </c>
      <c r="H48" s="11" t="n">
        <v>40</v>
      </c>
      <c r="I48" s="12" t="inlineStr">
        <is>
          <t>НЕДОГРУЗ / матрица</t>
        </is>
      </c>
      <c r="J48" s="11" t="n"/>
      <c r="K48" s="11" t="n">
        <v>1531</v>
      </c>
      <c r="L48" s="11">
        <f>E48-K48</f>
        <v/>
      </c>
      <c r="M48" s="11" t="n"/>
      <c r="N48" s="11" t="n"/>
      <c r="O48" s="11" t="n">
        <v>1500</v>
      </c>
      <c r="P48" s="11" t="n">
        <v>-1500</v>
      </c>
      <c r="Q48" s="11" t="n"/>
      <c r="R48" s="11" t="n">
        <v>750</v>
      </c>
      <c r="S48" s="11" t="n">
        <v>-757.1428571428572</v>
      </c>
      <c r="T48" s="11" t="n"/>
      <c r="U48" s="11">
        <f>E48/5</f>
        <v/>
      </c>
      <c r="V48" s="4" t="n">
        <v>800</v>
      </c>
      <c r="W48" s="4">
        <f>V48</f>
        <v/>
      </c>
      <c r="X48" s="11">
        <f>(F48+O48+P48+Q48+R48+W48+T48+S48)/U48</f>
        <v/>
      </c>
      <c r="Y48" s="11">
        <f>(F48+O48+P48+Q48+R48+S48+T48)/U48</f>
        <v/>
      </c>
      <c r="Z48" s="11" t="n">
        <v>305.4</v>
      </c>
      <c r="AA48" s="11" t="n">
        <v>276</v>
      </c>
      <c r="AB48" s="11" t="n">
        <v>231</v>
      </c>
      <c r="AC48" s="11" t="n">
        <v>229.8</v>
      </c>
      <c r="AD48" s="11" t="n">
        <v>254</v>
      </c>
      <c r="AE48" s="11" t="n">
        <v>261.4</v>
      </c>
      <c r="AF48" s="11" t="n">
        <v>234</v>
      </c>
      <c r="AG48" s="11" t="n">
        <v>230.6</v>
      </c>
      <c r="AH48" s="11" t="n">
        <v>272.2</v>
      </c>
      <c r="AI48" s="11" t="n">
        <v>290.4</v>
      </c>
      <c r="AJ48" s="11" t="n"/>
      <c r="AK48" s="11">
        <f>ROUND(G48*W48,0)</f>
        <v/>
      </c>
      <c r="AL48">
        <f>U48*G48</f>
        <v/>
      </c>
      <c r="AM48" t="inlineStr">
        <is>
          <t>SU002848</t>
        </is>
      </c>
    </row>
    <row r="49">
      <c r="A49" s="11" t="inlineStr">
        <is>
          <t xml:space="preserve"> 309  Сосиски Сочинки с сыром 0,4 кг ТМ Стародворье  ПОКОМ</t>
        </is>
      </c>
      <c r="B49" s="11" t="inlineStr">
        <is>
          <t>шт</t>
        </is>
      </c>
      <c r="C49" s="11" t="n">
        <v>764</v>
      </c>
      <c r="D49" s="11" t="n">
        <v>986</v>
      </c>
      <c r="E49" s="11" t="n">
        <v>714</v>
      </c>
      <c r="F49" s="11" t="n">
        <v>984</v>
      </c>
      <c r="G49" s="6" t="n">
        <v>0.4</v>
      </c>
      <c r="H49" s="11" t="n">
        <v>40</v>
      </c>
      <c r="I49" s="12" t="inlineStr">
        <is>
          <t>НЕДОГРУЗ / матрица</t>
        </is>
      </c>
      <c r="J49" s="11" t="n"/>
      <c r="K49" s="11" t="n">
        <v>721</v>
      </c>
      <c r="L49" s="11">
        <f>E49-K49</f>
        <v/>
      </c>
      <c r="M49" s="11" t="n"/>
      <c r="N49" s="11" t="n"/>
      <c r="O49" s="11" t="n">
        <v>300</v>
      </c>
      <c r="P49" s="11" t="n"/>
      <c r="Q49" s="11" t="n"/>
      <c r="R49" s="11" t="n">
        <v>150</v>
      </c>
      <c r="S49" s="11" t="n"/>
      <c r="T49" s="11" t="n"/>
      <c r="U49" s="11">
        <f>E49/5</f>
        <v/>
      </c>
      <c r="V49" s="4">
        <f>11*U49-T49-R49-Q49-P49-O49-F49</f>
        <v/>
      </c>
      <c r="W49" s="4">
        <f>V49</f>
        <v/>
      </c>
      <c r="X49" s="11">
        <f>(F49+O49+P49+Q49+R49+W49+T49+S49)/U49</f>
        <v/>
      </c>
      <c r="Y49" s="11">
        <f>(F49+O49+P49+Q49+R49+S49+T49)/U49</f>
        <v/>
      </c>
      <c r="Z49" s="11" t="n">
        <v>156.8</v>
      </c>
      <c r="AA49" s="11" t="n">
        <v>151.2</v>
      </c>
      <c r="AB49" s="11" t="n">
        <v>139.6</v>
      </c>
      <c r="AC49" s="11" t="n">
        <v>149</v>
      </c>
      <c r="AD49" s="11" t="n">
        <v>103</v>
      </c>
      <c r="AE49" s="11" t="n">
        <v>49.8</v>
      </c>
      <c r="AF49" s="11" t="n">
        <v>86</v>
      </c>
      <c r="AG49" s="11" t="n">
        <v>134.4</v>
      </c>
      <c r="AH49" s="11" t="n">
        <v>143.4</v>
      </c>
      <c r="AI49" s="11" t="n">
        <v>127.4</v>
      </c>
      <c r="AJ49" s="11" t="n"/>
      <c r="AK49" s="11">
        <f>ROUND(G49*W49,0)</f>
        <v/>
      </c>
      <c r="AL49">
        <f>U49*G49</f>
        <v/>
      </c>
      <c r="AM49" t="inlineStr">
        <is>
          <t>SU002686</t>
        </is>
      </c>
    </row>
    <row r="50">
      <c r="A50" s="11" t="inlineStr">
        <is>
          <t xml:space="preserve"> 312  Ветчина Филейская ВЕС ТМ  Вязанка ТС Столичная  ПОКОМ</t>
        </is>
      </c>
      <c r="B50" s="11" t="inlineStr">
        <is>
          <t>кг</t>
        </is>
      </c>
      <c r="C50" s="11" t="n">
        <v>564.624</v>
      </c>
      <c r="D50" s="11" t="n">
        <v>468.112</v>
      </c>
      <c r="E50" s="11" t="n">
        <v>445.817</v>
      </c>
      <c r="F50" s="11" t="n">
        <v>548.022</v>
      </c>
      <c r="G50" s="6" t="n">
        <v>1</v>
      </c>
      <c r="H50" s="11" t="n">
        <v>50</v>
      </c>
      <c r="I50" s="11" t="inlineStr">
        <is>
          <t>матрица</t>
        </is>
      </c>
      <c r="J50" s="11" t="n"/>
      <c r="K50" s="11" t="n">
        <v>440.75</v>
      </c>
      <c r="L50" s="11">
        <f>E50-K50</f>
        <v/>
      </c>
      <c r="M50" s="11" t="n"/>
      <c r="N50" s="11" t="n"/>
      <c r="O50" s="11" t="n">
        <v>145.579271222</v>
      </c>
      <c r="P50" s="11" t="n"/>
      <c r="Q50" s="11" t="n"/>
      <c r="R50" s="11" t="n">
        <v>232.548705978</v>
      </c>
      <c r="S50" s="11" t="n"/>
      <c r="T50" s="11" t="n"/>
      <c r="U50" s="11">
        <f>E50/5</f>
        <v/>
      </c>
      <c r="V50" s="4">
        <f>11*U50-T50-R50-Q50-P50-O50-F50</f>
        <v/>
      </c>
      <c r="W50" s="4">
        <f>V50+$W$1*U50</f>
        <v/>
      </c>
      <c r="X50" s="11">
        <f>(F50+O50+P50+Q50+R50+W50+T50+S50)/U50</f>
        <v/>
      </c>
      <c r="Y50" s="11">
        <f>(F50+O50+P50+Q50+R50+S50+T50)/U50</f>
        <v/>
      </c>
      <c r="Z50" s="11" t="n">
        <v>89.2718</v>
      </c>
      <c r="AA50" s="11" t="n">
        <v>90.6524</v>
      </c>
      <c r="AB50" s="11" t="n">
        <v>74.56</v>
      </c>
      <c r="AC50" s="11" t="n">
        <v>74.03740000000001</v>
      </c>
      <c r="AD50" s="11" t="n">
        <v>94.64320000000001</v>
      </c>
      <c r="AE50" s="11" t="n">
        <v>101.782</v>
      </c>
      <c r="AF50" s="11" t="n">
        <v>92.1952</v>
      </c>
      <c r="AG50" s="11" t="n">
        <v>85.62440000000001</v>
      </c>
      <c r="AH50" s="11" t="n">
        <v>98.40599999999999</v>
      </c>
      <c r="AI50" s="11" t="n">
        <v>105.6034</v>
      </c>
      <c r="AJ50" s="11" t="n"/>
      <c r="AK50" s="11">
        <f>ROUND(G50*W50,0)</f>
        <v/>
      </c>
      <c r="AL50">
        <f>U50*G50</f>
        <v/>
      </c>
      <c r="AM50" t="inlineStr">
        <is>
          <t>SU002828</t>
        </is>
      </c>
    </row>
    <row r="51">
      <c r="A51" s="11" t="inlineStr">
        <is>
          <t xml:space="preserve"> 315  Колбаса вареная Молокуша ТМ Вязанка ВЕС, ПОКОМ</t>
        </is>
      </c>
      <c r="B51" s="11" t="inlineStr">
        <is>
          <t>кг</t>
        </is>
      </c>
      <c r="C51" s="11" t="n">
        <v>511.312</v>
      </c>
      <c r="D51" s="11" t="n">
        <v>869.047</v>
      </c>
      <c r="E51" s="11" t="n">
        <v>539.342</v>
      </c>
      <c r="F51" s="11" t="n">
        <v>787.409</v>
      </c>
      <c r="G51" s="6" t="n">
        <v>1</v>
      </c>
      <c r="H51" s="11" t="n">
        <v>50</v>
      </c>
      <c r="I51" s="11" t="inlineStr">
        <is>
          <t>матрица</t>
        </is>
      </c>
      <c r="J51" s="11" t="n"/>
      <c r="K51" s="11" t="n">
        <v>532.45</v>
      </c>
      <c r="L51" s="11">
        <f>E51-K51</f>
        <v/>
      </c>
      <c r="M51" s="11" t="n"/>
      <c r="N51" s="11" t="n"/>
      <c r="O51" s="11" t="n">
        <v>176.3368725580002</v>
      </c>
      <c r="P51" s="11" t="n"/>
      <c r="Q51" s="11" t="n"/>
      <c r="R51" s="11" t="n">
        <v>281.6809782420002</v>
      </c>
      <c r="S51" s="11" t="n"/>
      <c r="T51" s="11" t="n"/>
      <c r="U51" s="11">
        <f>E51/5</f>
        <v/>
      </c>
      <c r="V51" s="4" t="n"/>
      <c r="W51" s="4">
        <f>V51</f>
        <v/>
      </c>
      <c r="X51" s="11">
        <f>(F51+O51+P51+Q51+R51+W51+T51+S51)/U51</f>
        <v/>
      </c>
      <c r="Y51" s="11">
        <f>(F51+O51+P51+Q51+R51+S51+T51)/U51</f>
        <v/>
      </c>
      <c r="Z51" s="11" t="n">
        <v>115.7372</v>
      </c>
      <c r="AA51" s="11" t="n">
        <v>120.2286</v>
      </c>
      <c r="AB51" s="11" t="n">
        <v>105.809</v>
      </c>
      <c r="AC51" s="11" t="n">
        <v>99.3164</v>
      </c>
      <c r="AD51" s="11" t="n">
        <v>104.8566</v>
      </c>
      <c r="AE51" s="11" t="n">
        <v>106.9326</v>
      </c>
      <c r="AF51" s="11" t="n">
        <v>107.8848</v>
      </c>
      <c r="AG51" s="11" t="n">
        <v>115.0708</v>
      </c>
      <c r="AH51" s="11" t="n">
        <v>121.9318</v>
      </c>
      <c r="AI51" s="11" t="n">
        <v>115.127</v>
      </c>
      <c r="AJ51" s="11" t="n"/>
      <c r="AK51" s="11">
        <f>ROUND(G51*W51,0)</f>
        <v/>
      </c>
      <c r="AL51">
        <f>U51*G51</f>
        <v/>
      </c>
      <c r="AM51" t="inlineStr">
        <is>
          <t>SU002830</t>
        </is>
      </c>
    </row>
    <row r="52">
      <c r="A52" s="11" t="inlineStr">
        <is>
          <t xml:space="preserve"> 318  Сосиски Датские ТМ Зареченские, ВЕС  ПОКОМ</t>
        </is>
      </c>
      <c r="B52" s="11" t="inlineStr">
        <is>
          <t>кг</t>
        </is>
      </c>
      <c r="C52" s="11" t="n">
        <v>32.576</v>
      </c>
      <c r="D52" s="11" t="n"/>
      <c r="E52" s="11" t="n"/>
      <c r="F52" s="11" t="n">
        <v>32.576</v>
      </c>
      <c r="G52" s="6" t="n">
        <v>1</v>
      </c>
      <c r="H52" s="11" t="n">
        <v>45</v>
      </c>
      <c r="I52" s="12" t="inlineStr">
        <is>
          <t>НЕДОГРУЗ / матрица</t>
        </is>
      </c>
      <c r="J52" s="11" t="n"/>
      <c r="K52" s="11" t="n">
        <v>98.7</v>
      </c>
      <c r="L52" s="11">
        <f>E52-K52</f>
        <v/>
      </c>
      <c r="M52" s="11" t="n"/>
      <c r="N52" s="11" t="n"/>
      <c r="O52" s="11" t="n">
        <v>40</v>
      </c>
      <c r="P52" s="11" t="n">
        <v>-45</v>
      </c>
      <c r="Q52" s="11" t="n"/>
      <c r="R52" s="11" t="n">
        <v>20</v>
      </c>
      <c r="S52" s="11" t="n">
        <v>-27</v>
      </c>
      <c r="T52" s="11" t="n"/>
      <c r="U52" s="11">
        <f>E52/5</f>
        <v/>
      </c>
      <c r="V52" s="4" t="n">
        <v>20</v>
      </c>
      <c r="W52" s="4">
        <f>V52</f>
        <v/>
      </c>
      <c r="X52" s="11">
        <f>(F52+O52+P52+Q52+R52+W52+T52+S52)/U52</f>
        <v/>
      </c>
      <c r="Y52" s="11">
        <f>(F52+O52+P52+Q52+R52+S52+T52)/U52</f>
        <v/>
      </c>
      <c r="Z52" s="11" t="n">
        <v>-0.235</v>
      </c>
      <c r="AA52" s="11" t="n">
        <v>-0.235</v>
      </c>
      <c r="AB52" s="11" t="n">
        <v>0.584</v>
      </c>
      <c r="AC52" s="11" t="n">
        <v>9.094199999999999</v>
      </c>
      <c r="AD52" s="11" t="n">
        <v>17.8614</v>
      </c>
      <c r="AE52" s="11" t="n">
        <v>19.9462</v>
      </c>
      <c r="AF52" s="11" t="n">
        <v>17.8542</v>
      </c>
      <c r="AG52" s="11" t="n">
        <v>15.411</v>
      </c>
      <c r="AH52" s="11" t="n">
        <v>11.0654</v>
      </c>
      <c r="AI52" s="11" t="n">
        <v>9.3584</v>
      </c>
      <c r="AJ52" s="14" t="inlineStr">
        <is>
          <t>нужно увеличить продажи</t>
        </is>
      </c>
      <c r="AK52" s="11">
        <f>ROUND(G52*W52,0)</f>
        <v/>
      </c>
      <c r="AL52">
        <f>U52*G52</f>
        <v/>
      </c>
      <c r="AM52" t="inlineStr">
        <is>
          <t>SU002655</t>
        </is>
      </c>
    </row>
    <row r="53">
      <c r="A53" s="11" t="inlineStr">
        <is>
          <t xml:space="preserve"> 319  Колбаса вареная Филейская ТМ Вязанка ТС Классическая, 0,45 кг. ПОКОМ</t>
        </is>
      </c>
      <c r="B53" s="11" t="inlineStr">
        <is>
          <t>шт</t>
        </is>
      </c>
      <c r="C53" s="11" t="n">
        <v>283</v>
      </c>
      <c r="D53" s="11" t="n">
        <v>170</v>
      </c>
      <c r="E53" s="11" t="n">
        <v>182</v>
      </c>
      <c r="F53" s="11" t="n">
        <v>241</v>
      </c>
      <c r="G53" s="6" t="n">
        <v>0.45</v>
      </c>
      <c r="H53" s="11" t="n">
        <v>50</v>
      </c>
      <c r="I53" s="11" t="inlineStr">
        <is>
          <t>матрица</t>
        </is>
      </c>
      <c r="J53" s="11" t="n"/>
      <c r="K53" s="11" t="n">
        <v>186</v>
      </c>
      <c r="L53" s="11">
        <f>E53-K53</f>
        <v/>
      </c>
      <c r="M53" s="11" t="n"/>
      <c r="N53" s="11" t="n"/>
      <c r="O53" s="11" t="n">
        <v>0</v>
      </c>
      <c r="P53" s="11" t="n"/>
      <c r="Q53" s="11" t="n"/>
      <c r="R53" s="11" t="n"/>
      <c r="S53" s="11" t="n"/>
      <c r="T53" s="11" t="n"/>
      <c r="U53" s="11">
        <f>E53/5</f>
        <v/>
      </c>
      <c r="V53" s="4">
        <f>11*U53-T53-R53-Q53-P53-O53-F53</f>
        <v/>
      </c>
      <c r="W53" s="4">
        <f>V53</f>
        <v/>
      </c>
      <c r="X53" s="11">
        <f>(F53+O53+P53+Q53+R53+W53+T53+S53)/U53</f>
        <v/>
      </c>
      <c r="Y53" s="11">
        <f>(F53+O53+P53+Q53+R53+S53+T53)/U53</f>
        <v/>
      </c>
      <c r="Z53" s="11" t="n">
        <v>27.2</v>
      </c>
      <c r="AA53" s="11" t="n">
        <v>29.2</v>
      </c>
      <c r="AB53" s="11" t="n">
        <v>42.4</v>
      </c>
      <c r="AC53" s="11" t="n">
        <v>40.4</v>
      </c>
      <c r="AD53" s="11" t="n">
        <v>35</v>
      </c>
      <c r="AE53" s="11" t="n">
        <v>41.4</v>
      </c>
      <c r="AF53" s="11" t="n">
        <v>38.8</v>
      </c>
      <c r="AG53" s="11" t="n">
        <v>36.6</v>
      </c>
      <c r="AH53" s="11" t="n">
        <v>46.2</v>
      </c>
      <c r="AI53" s="11" t="n">
        <v>56</v>
      </c>
      <c r="AJ53" s="11" t="n"/>
      <c r="AK53" s="11">
        <f>ROUND(G53*W53,0)</f>
        <v/>
      </c>
      <c r="AL53">
        <f>U53*G53</f>
        <v/>
      </c>
      <c r="AM53" t="inlineStr">
        <is>
          <t>SU002815</t>
        </is>
      </c>
    </row>
    <row r="54">
      <c r="A54" s="11" t="inlineStr">
        <is>
          <t xml:space="preserve"> 322  Колбаса вареная Молокуша 0,45кг ТМ Вязанка  ПОКОМ</t>
        </is>
      </c>
      <c r="B54" s="11" t="inlineStr">
        <is>
          <t>шт</t>
        </is>
      </c>
      <c r="C54" s="11" t="n">
        <v>587</v>
      </c>
      <c r="D54" s="11" t="n">
        <v>581</v>
      </c>
      <c r="E54" s="11" t="n">
        <v>464</v>
      </c>
      <c r="F54" s="11" t="n">
        <v>626</v>
      </c>
      <c r="G54" s="6" t="n">
        <v>0.45</v>
      </c>
      <c r="H54" s="11" t="n">
        <v>50</v>
      </c>
      <c r="I54" s="11" t="inlineStr">
        <is>
          <t>матрица</t>
        </is>
      </c>
      <c r="J54" s="11" t="n"/>
      <c r="K54" s="11" t="n">
        <v>484</v>
      </c>
      <c r="L54" s="11">
        <f>E54-K54</f>
        <v/>
      </c>
      <c r="M54" s="11" t="n"/>
      <c r="N54" s="11" t="n"/>
      <c r="O54" s="11" t="n">
        <v>144.396329</v>
      </c>
      <c r="P54" s="11" t="n"/>
      <c r="Q54" s="11" t="n"/>
      <c r="R54" s="11" t="n">
        <v>230.659071</v>
      </c>
      <c r="S54" s="11" t="n"/>
      <c r="T54" s="11" t="n"/>
      <c r="U54" s="11">
        <f>E54/5</f>
        <v/>
      </c>
      <c r="V54" s="4">
        <f>11*U54-T54-R54-Q54-P54-O54-F54</f>
        <v/>
      </c>
      <c r="W54" s="4">
        <f>V54+$W$1*U54</f>
        <v/>
      </c>
      <c r="X54" s="11">
        <f>(F54+O54+P54+Q54+R54+W54+T54+S54)/U54</f>
        <v/>
      </c>
      <c r="Y54" s="11">
        <f>(F54+O54+P54+Q54+R54+S54+T54)/U54</f>
        <v/>
      </c>
      <c r="Z54" s="11" t="n">
        <v>92.40000000000001</v>
      </c>
      <c r="AA54" s="11" t="n">
        <v>101.8</v>
      </c>
      <c r="AB54" s="11" t="n">
        <v>96.8</v>
      </c>
      <c r="AC54" s="11" t="n">
        <v>93.2</v>
      </c>
      <c r="AD54" s="11" t="n">
        <v>95.8</v>
      </c>
      <c r="AE54" s="11" t="n">
        <v>91.59999999999999</v>
      </c>
      <c r="AF54" s="11" t="n">
        <v>94.40000000000001</v>
      </c>
      <c r="AG54" s="11" t="n">
        <v>114.6</v>
      </c>
      <c r="AH54" s="11" t="n">
        <v>103.4</v>
      </c>
      <c r="AI54" s="11" t="n">
        <v>94</v>
      </c>
      <c r="AJ54" s="11" t="n"/>
      <c r="AK54" s="11">
        <f>ROUND(G54*W54,0)</f>
        <v/>
      </c>
      <c r="AL54">
        <f>U54*G54</f>
        <v/>
      </c>
      <c r="AM54" t="inlineStr">
        <is>
          <t>SU002816</t>
        </is>
      </c>
    </row>
    <row r="55">
      <c r="A55" s="11" t="inlineStr">
        <is>
          <t xml:space="preserve"> 328  Сардельки Сочинки Стародворье ТМ  0,4 кг ПОКОМ</t>
        </is>
      </c>
      <c r="B55" s="11" t="inlineStr">
        <is>
          <t>шт</t>
        </is>
      </c>
      <c r="C55" s="11" t="n">
        <v>90</v>
      </c>
      <c r="D55" s="11" t="n"/>
      <c r="E55" s="11" t="n">
        <v>87</v>
      </c>
      <c r="F55" s="11" t="n"/>
      <c r="G55" s="6" t="n">
        <v>0.4</v>
      </c>
      <c r="H55" s="11" t="n">
        <v>40</v>
      </c>
      <c r="I55" s="12" t="inlineStr">
        <is>
          <t>НЕДОГРУЗ / матрица</t>
        </is>
      </c>
      <c r="J55" s="11" t="n"/>
      <c r="K55" s="11" t="n">
        <v>125</v>
      </c>
      <c r="L55" s="11">
        <f>E55-K55</f>
        <v/>
      </c>
      <c r="M55" s="11" t="n"/>
      <c r="N55" s="11" t="n"/>
      <c r="O55" s="11" t="n">
        <v>80</v>
      </c>
      <c r="P55" s="11" t="n">
        <v>-84</v>
      </c>
      <c r="Q55" s="11" t="n"/>
      <c r="R55" s="11" t="n">
        <v>40</v>
      </c>
      <c r="S55" s="11" t="n">
        <v>-42.5</v>
      </c>
      <c r="T55" s="11" t="n"/>
      <c r="U55" s="11">
        <f>E55/5</f>
        <v/>
      </c>
      <c r="V55" s="4" t="n">
        <v>80</v>
      </c>
      <c r="W55" s="4">
        <f>V55</f>
        <v/>
      </c>
      <c r="X55" s="11">
        <f>(F55+O55+P55+Q55+R55+W55+T55+S55)/U55</f>
        <v/>
      </c>
      <c r="Y55" s="11">
        <f>(F55+O55+P55+Q55+R55+S55+T55)/U55</f>
        <v/>
      </c>
      <c r="Z55" s="11" t="n">
        <v>31.8</v>
      </c>
      <c r="AA55" s="11" t="n">
        <v>29.2</v>
      </c>
      <c r="AB55" s="11" t="n">
        <v>19</v>
      </c>
      <c r="AC55" s="11" t="n">
        <v>19.8</v>
      </c>
      <c r="AD55" s="11" t="n">
        <v>25.6</v>
      </c>
      <c r="AE55" s="11" t="n">
        <v>30.8</v>
      </c>
      <c r="AF55" s="11" t="n">
        <v>30.8</v>
      </c>
      <c r="AG55" s="11" t="n">
        <v>25.8</v>
      </c>
      <c r="AH55" s="11" t="n">
        <v>27.4</v>
      </c>
      <c r="AI55" s="11" t="n">
        <v>37.2</v>
      </c>
      <c r="AJ55" s="11" t="n"/>
      <c r="AK55" s="11">
        <f>ROUND(G55*W55,0)</f>
        <v/>
      </c>
      <c r="AL55">
        <f>U55*G55</f>
        <v/>
      </c>
      <c r="AM55" t="inlineStr">
        <is>
          <t>SU002758</t>
        </is>
      </c>
    </row>
    <row r="56">
      <c r="A56" s="11" t="inlineStr">
        <is>
          <t xml:space="preserve"> 329  Сардельки Сочинки с сыром Стародворье ТМ, 0,4 кг. ПОКОМ</t>
        </is>
      </c>
      <c r="B56" s="11" t="inlineStr">
        <is>
          <t>шт</t>
        </is>
      </c>
      <c r="C56" s="11" t="n">
        <v>123</v>
      </c>
      <c r="D56" s="11" t="n">
        <v>51</v>
      </c>
      <c r="E56" s="11" t="n">
        <v>59</v>
      </c>
      <c r="F56" s="11" t="n">
        <v>101</v>
      </c>
      <c r="G56" s="6" t="n">
        <v>0.4</v>
      </c>
      <c r="H56" s="11" t="n">
        <v>40</v>
      </c>
      <c r="I56" s="12" t="inlineStr">
        <is>
          <t>НЕДОГРУЗ / матрица</t>
        </is>
      </c>
      <c r="J56" s="11" t="n"/>
      <c r="K56" s="11" t="n">
        <v>82</v>
      </c>
      <c r="L56" s="11">
        <f>E56-K56</f>
        <v/>
      </c>
      <c r="M56" s="11" t="n"/>
      <c r="N56" s="11" t="n"/>
      <c r="O56" s="11" t="n">
        <v>45.60000000000002</v>
      </c>
      <c r="P56" s="11" t="n"/>
      <c r="Q56" s="11" t="n"/>
      <c r="R56" s="11" t="n">
        <v>22.80000000000001</v>
      </c>
      <c r="S56" s="11" t="n"/>
      <c r="T56" s="11" t="n"/>
      <c r="U56" s="11">
        <f>E56/5</f>
        <v/>
      </c>
      <c r="V56" s="4" t="n"/>
      <c r="W56" s="4">
        <f>V56</f>
        <v/>
      </c>
      <c r="X56" s="11">
        <f>(F56+O56+P56+Q56+R56+W56+T56+S56)/U56</f>
        <v/>
      </c>
      <c r="Y56" s="11">
        <f>(F56+O56+P56+Q56+R56+S56+T56)/U56</f>
        <v/>
      </c>
      <c r="Z56" s="11" t="n">
        <v>13.8</v>
      </c>
      <c r="AA56" s="11" t="n">
        <v>10.2</v>
      </c>
      <c r="AB56" s="11" t="n">
        <v>8.800000000000001</v>
      </c>
      <c r="AC56" s="11" t="n">
        <v>14.6</v>
      </c>
      <c r="AD56" s="11" t="n">
        <v>20</v>
      </c>
      <c r="AE56" s="11" t="n">
        <v>17.2</v>
      </c>
      <c r="AF56" s="11" t="n">
        <v>12.4</v>
      </c>
      <c r="AG56" s="11" t="n">
        <v>13</v>
      </c>
      <c r="AH56" s="11" t="n">
        <v>17.2</v>
      </c>
      <c r="AI56" s="11" t="n">
        <v>11.2</v>
      </c>
      <c r="AJ56" s="11" t="n"/>
      <c r="AK56" s="11">
        <f>ROUND(G56*W56,0)</f>
        <v/>
      </c>
      <c r="AL56">
        <f>U56*G56</f>
        <v/>
      </c>
      <c r="AM56" t="inlineStr">
        <is>
          <t>SU002759</t>
        </is>
      </c>
    </row>
    <row r="57">
      <c r="A57" s="11" t="inlineStr">
        <is>
          <t xml:space="preserve"> 330  Колбаса вареная Филейская ТМ Вязанка ТС Классическая ВЕС  ПОКОМ</t>
        </is>
      </c>
      <c r="B57" s="11" t="inlineStr">
        <is>
          <t>кг</t>
        </is>
      </c>
      <c r="C57" s="11" t="n">
        <v>829.77</v>
      </c>
      <c r="D57" s="11" t="n">
        <v>756.276</v>
      </c>
      <c r="E57" s="11" t="n">
        <v>676.611</v>
      </c>
      <c r="F57" s="11" t="n">
        <v>833.153</v>
      </c>
      <c r="G57" s="6" t="n">
        <v>1</v>
      </c>
      <c r="H57" s="11" t="n">
        <v>50</v>
      </c>
      <c r="I57" s="11" t="inlineStr">
        <is>
          <t>матрица</t>
        </is>
      </c>
      <c r="J57" s="11" t="n"/>
      <c r="K57" s="11" t="n">
        <v>655.15</v>
      </c>
      <c r="L57" s="11">
        <f>E57-K57</f>
        <v/>
      </c>
      <c r="M57" s="11" t="n"/>
      <c r="N57" s="11" t="n"/>
      <c r="O57" s="11" t="n">
        <v>227.277857653</v>
      </c>
      <c r="P57" s="11" t="n"/>
      <c r="Q57" s="11" t="n">
        <v>150</v>
      </c>
      <c r="R57" s="11" t="n">
        <v>363.054240147</v>
      </c>
      <c r="S57" s="11" t="n"/>
      <c r="T57" s="11" t="n"/>
      <c r="U57" s="11">
        <f>E57/5</f>
        <v/>
      </c>
      <c r="V57" s="4" t="n"/>
      <c r="W57" s="4">
        <f>V57</f>
        <v/>
      </c>
      <c r="X57" s="11">
        <f>(F57+O57+P57+Q57+R57+W57+T57+S57)/U57</f>
        <v/>
      </c>
      <c r="Y57" s="11">
        <f>(F57+O57+P57+Q57+R57+S57+T57)/U57</f>
        <v/>
      </c>
      <c r="Z57" s="11" t="n">
        <v>134.5496</v>
      </c>
      <c r="AA57" s="11" t="n">
        <v>136.1016</v>
      </c>
      <c r="AB57" s="11" t="n">
        <v>125.3366</v>
      </c>
      <c r="AC57" s="11" t="n">
        <v>121.603</v>
      </c>
      <c r="AD57" s="11" t="n">
        <v>139.4472</v>
      </c>
      <c r="AE57" s="11" t="n">
        <v>142.0212</v>
      </c>
      <c r="AF57" s="11" t="n">
        <v>148.8102</v>
      </c>
      <c r="AG57" s="11" t="n">
        <v>151.5138</v>
      </c>
      <c r="AH57" s="11" t="n">
        <v>152.5776</v>
      </c>
      <c r="AI57" s="11" t="n">
        <v>151.3276</v>
      </c>
      <c r="AJ57" s="11" t="n"/>
      <c r="AK57" s="11">
        <f>ROUND(G57*W57,0)</f>
        <v/>
      </c>
      <c r="AL57">
        <f>U57*G57</f>
        <v/>
      </c>
      <c r="AM57" t="inlineStr">
        <is>
          <t>SU002829</t>
        </is>
      </c>
    </row>
    <row r="58">
      <c r="A58" s="8" t="inlineStr">
        <is>
          <t xml:space="preserve"> 333  Колбаса Балыковая, Вязанка фиброуз в/у, ВЕС ПОКОМ</t>
        </is>
      </c>
      <c r="B58" s="8" t="inlineStr">
        <is>
          <t>кг</t>
        </is>
      </c>
      <c r="C58" s="8" t="n">
        <v>98.43300000000001</v>
      </c>
      <c r="D58" s="8" t="n">
        <v>637.242</v>
      </c>
      <c r="E58" s="8" t="n"/>
      <c r="F58" s="8" t="n"/>
      <c r="G58" s="9" t="n">
        <v>0</v>
      </c>
      <c r="H58" s="8" t="n"/>
      <c r="I58" s="8" t="inlineStr">
        <is>
          <t>дубль</t>
        </is>
      </c>
      <c r="J58" s="8" t="inlineStr">
        <is>
          <t xml:space="preserve"> 558  Колбаса Балыковая НОВАЯ ВЕС Вязанка фиброуз в/у ПОКОМ</t>
        </is>
      </c>
      <c r="K58" s="8" t="n"/>
      <c r="L58" s="8">
        <f>E58-K58</f>
        <v/>
      </c>
      <c r="M58" s="8" t="n"/>
      <c r="N58" s="8" t="n"/>
      <c r="O58" s="8" t="n">
        <v>0</v>
      </c>
      <c r="P58" s="8" t="n"/>
      <c r="Q58" s="8" t="n"/>
      <c r="R58" s="8" t="n"/>
      <c r="S58" s="8" t="n"/>
      <c r="T58" s="8" t="n"/>
      <c r="U58" s="8">
        <f>E58/5</f>
        <v/>
      </c>
      <c r="V58" s="10" t="n"/>
      <c r="W58" s="4">
        <f>V58</f>
        <v/>
      </c>
      <c r="X58" s="11">
        <f>(F58+O58+P58+Q58+R58+W58+T58+S58)/U58</f>
        <v/>
      </c>
      <c r="Y58" s="11">
        <f>(F58+O58+P58+Q58+R58+S58+T58)/U58</f>
        <v/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/>
      <c r="AK58" s="11">
        <f>ROUND(G58*W58,0)</f>
        <v/>
      </c>
      <c r="AL58">
        <f>U58*G58</f>
        <v/>
      </c>
      <c r="AM58" t="inlineStr">
        <is>
          <t>SU000064</t>
        </is>
      </c>
    </row>
    <row r="59">
      <c r="A59" s="11" t="inlineStr">
        <is>
          <t xml:space="preserve"> 334  Паштет Любительский ТМ Стародворье ламистер 0,1 кг  ПОКОМ</t>
        </is>
      </c>
      <c r="B59" s="11" t="inlineStr">
        <is>
          <t>шт</t>
        </is>
      </c>
      <c r="C59" s="11" t="n">
        <v>401</v>
      </c>
      <c r="D59" s="11" t="n">
        <v>105</v>
      </c>
      <c r="E59" s="11" t="n">
        <v>237</v>
      </c>
      <c r="F59" s="11" t="n">
        <v>242</v>
      </c>
      <c r="G59" s="6" t="n">
        <v>0.1</v>
      </c>
      <c r="H59" s="11" t="n">
        <v>731</v>
      </c>
      <c r="I59" s="11" t="inlineStr">
        <is>
          <t>матрица</t>
        </is>
      </c>
      <c r="J59" s="11" t="n"/>
      <c r="K59" s="11" t="n">
        <v>242</v>
      </c>
      <c r="L59" s="11">
        <f>E59-K59</f>
        <v/>
      </c>
      <c r="M59" s="11" t="n"/>
      <c r="N59" s="11" t="n"/>
      <c r="O59" s="11" t="n">
        <v>33.40000000000003</v>
      </c>
      <c r="P59" s="11" t="n"/>
      <c r="Q59" s="11" t="n"/>
      <c r="R59" s="11" t="n"/>
      <c r="S59" s="11" t="n"/>
      <c r="T59" s="11" t="n"/>
      <c r="U59" s="11">
        <f>E59/5</f>
        <v/>
      </c>
      <c r="V59" s="4">
        <f>11*U59-T59-R59-Q59-P59-O59-F59</f>
        <v/>
      </c>
      <c r="W59" s="4">
        <f>V59</f>
        <v/>
      </c>
      <c r="X59" s="11">
        <f>(F59+O59+P59+Q59+R59+W59+T59+S59)/U59</f>
        <v/>
      </c>
      <c r="Y59" s="11">
        <f>(F59+O59+P59+Q59+R59+S59+T59)/U59</f>
        <v/>
      </c>
      <c r="Z59" s="11" t="n">
        <v>37.2</v>
      </c>
      <c r="AA59" s="11" t="n">
        <v>40.6</v>
      </c>
      <c r="AB59" s="11" t="n">
        <v>49.6</v>
      </c>
      <c r="AC59" s="11" t="n">
        <v>52.8</v>
      </c>
      <c r="AD59" s="11" t="n">
        <v>58</v>
      </c>
      <c r="AE59" s="11" t="n">
        <v>56.4</v>
      </c>
      <c r="AF59" s="11" t="n">
        <v>43.8</v>
      </c>
      <c r="AG59" s="11" t="n">
        <v>46</v>
      </c>
      <c r="AH59" s="11" t="n">
        <v>43</v>
      </c>
      <c r="AI59" s="11" t="n">
        <v>32</v>
      </c>
      <c r="AJ59" s="11" t="n"/>
      <c r="AK59" s="11">
        <f>ROUND(G59*W59,0)</f>
        <v/>
      </c>
      <c r="AL59">
        <f>U59*G59</f>
        <v/>
      </c>
      <c r="AM59" t="inlineStr">
        <is>
          <t>SU002841</t>
        </is>
      </c>
    </row>
    <row r="60">
      <c r="A60" s="11" t="inlineStr">
        <is>
          <t xml:space="preserve"> 335  Колбаса Сливушка ТМ Вязанка. ВЕС.  ПОКОМ </t>
        </is>
      </c>
      <c r="B60" s="11" t="inlineStr">
        <is>
          <t>кг</t>
        </is>
      </c>
      <c r="C60" s="11" t="n">
        <v>899.224</v>
      </c>
      <c r="D60" s="11" t="n">
        <v>1217.64</v>
      </c>
      <c r="E60" s="11" t="n">
        <v>768.597</v>
      </c>
      <c r="F60" s="11" t="n">
        <v>1283.099</v>
      </c>
      <c r="G60" s="6" t="n">
        <v>1</v>
      </c>
      <c r="H60" s="11" t="n">
        <v>50</v>
      </c>
      <c r="I60" s="11" t="inlineStr">
        <is>
          <t>матрица</t>
        </is>
      </c>
      <c r="J60" s="11" t="n"/>
      <c r="K60" s="11" t="n">
        <v>745.1</v>
      </c>
      <c r="L60" s="11">
        <f>E60-K60</f>
        <v/>
      </c>
      <c r="M60" s="11" t="n"/>
      <c r="N60" s="11" t="n"/>
      <c r="O60" s="11" t="n">
        <v>240.8067501839999</v>
      </c>
      <c r="P60" s="11" t="n"/>
      <c r="Q60" s="11" t="n"/>
      <c r="R60" s="11" t="n">
        <v>384.6653282159998</v>
      </c>
      <c r="S60" s="11" t="n"/>
      <c r="T60" s="11" t="n"/>
      <c r="U60" s="11">
        <f>E60/5</f>
        <v/>
      </c>
      <c r="V60" s="4" t="n"/>
      <c r="W60" s="4" t="n">
        <v>150</v>
      </c>
      <c r="X60" s="11">
        <f>(F60+O60+P60+Q60+R60+W60+T60+S60)/U60</f>
        <v/>
      </c>
      <c r="Y60" s="11">
        <f>(F60+O60+P60+Q60+R60+S60+T60)/U60</f>
        <v/>
      </c>
      <c r="Z60" s="11" t="n">
        <v>178.23</v>
      </c>
      <c r="AA60" s="11" t="n">
        <v>187.5928</v>
      </c>
      <c r="AB60" s="11" t="n">
        <v>186.7844</v>
      </c>
      <c r="AC60" s="11" t="n">
        <v>179.1966</v>
      </c>
      <c r="AD60" s="11" t="n">
        <v>169.712</v>
      </c>
      <c r="AE60" s="11" t="n">
        <v>165.365</v>
      </c>
      <c r="AF60" s="11" t="n">
        <v>160.8406</v>
      </c>
      <c r="AG60" s="11" t="n">
        <v>178.3894</v>
      </c>
      <c r="AH60" s="11" t="n">
        <v>198.2442</v>
      </c>
      <c r="AI60" s="11" t="n">
        <v>186.8068</v>
      </c>
      <c r="AJ60" s="11" t="n"/>
      <c r="AK60" s="11">
        <f>ROUND(G60*W60,0)</f>
        <v/>
      </c>
      <c r="AL60">
        <f>U60*G60</f>
        <v/>
      </c>
      <c r="AM60" t="inlineStr">
        <is>
          <t>SU002928</t>
        </is>
      </c>
    </row>
    <row r="61">
      <c r="A61" s="11" t="inlineStr">
        <is>
          <t xml:space="preserve"> 336  Ветчина Сливушка с индейкой ТМ Вязанка. ВЕС  ПОКОМ</t>
        </is>
      </c>
      <c r="B61" s="11" t="inlineStr">
        <is>
          <t>кг</t>
        </is>
      </c>
      <c r="C61" s="11" t="n">
        <v>68.854</v>
      </c>
      <c r="D61" s="11" t="n">
        <v>162.592</v>
      </c>
      <c r="E61" s="11" t="n">
        <v>108.334</v>
      </c>
      <c r="F61" s="11" t="n">
        <v>114.979</v>
      </c>
      <c r="G61" s="6" t="n">
        <v>1</v>
      </c>
      <c r="H61" s="11" t="n">
        <v>55</v>
      </c>
      <c r="I61" s="11" t="inlineStr">
        <is>
          <t>матрица</t>
        </is>
      </c>
      <c r="J61" s="11" t="n"/>
      <c r="K61" s="11" t="n">
        <v>104.45</v>
      </c>
      <c r="L61" s="11">
        <f>E61-K61</f>
        <v/>
      </c>
      <c r="M61" s="11" t="n"/>
      <c r="N61" s="11" t="n"/>
      <c r="O61" s="11" t="n">
        <v>0</v>
      </c>
      <c r="P61" s="11" t="n"/>
      <c r="Q61" s="11" t="n"/>
      <c r="R61" s="11" t="n"/>
      <c r="S61" s="11" t="n"/>
      <c r="T61" s="11" t="n"/>
      <c r="U61" s="11">
        <f>E61/5</f>
        <v/>
      </c>
      <c r="V61" s="4">
        <f>11*U61-T61-R61-Q61-P61-O61-F61</f>
        <v/>
      </c>
      <c r="W61" s="4">
        <f>V61</f>
        <v/>
      </c>
      <c r="X61" s="11">
        <f>(F61+O61+P61+Q61+R61+W61+T61+S61)/U61</f>
        <v/>
      </c>
      <c r="Y61" s="11">
        <f>(F61+O61+P61+Q61+R61+S61+T61)/U61</f>
        <v/>
      </c>
      <c r="Z61" s="11" t="n">
        <v>16.1006</v>
      </c>
      <c r="AA61" s="11" t="n">
        <v>20.7174</v>
      </c>
      <c r="AB61" s="11" t="n">
        <v>18.2508</v>
      </c>
      <c r="AC61" s="11" t="n">
        <v>15.447</v>
      </c>
      <c r="AD61" s="11" t="n">
        <v>17.9756</v>
      </c>
      <c r="AE61" s="11" t="n">
        <v>16.6264</v>
      </c>
      <c r="AF61" s="11" t="n">
        <v>20.0504</v>
      </c>
      <c r="AG61" s="11" t="n">
        <v>20.8482</v>
      </c>
      <c r="AH61" s="11" t="n">
        <v>17.22</v>
      </c>
      <c r="AI61" s="11" t="n">
        <v>18.1306</v>
      </c>
      <c r="AJ61" s="11" t="n"/>
      <c r="AK61" s="11">
        <f>ROUND(G61*W61,0)</f>
        <v/>
      </c>
      <c r="AL61">
        <f>U61*G61</f>
        <v/>
      </c>
      <c r="AM61" t="inlineStr">
        <is>
          <t>SU002833</t>
        </is>
      </c>
    </row>
    <row r="62">
      <c r="A62" s="11" t="inlineStr">
        <is>
          <t xml:space="preserve"> 338  Паштет печеночный с морковью ТМ Стародворье ламистер 0,1 кг.  ПОКОМ</t>
        </is>
      </c>
      <c r="B62" s="11" t="inlineStr">
        <is>
          <t>шт</t>
        </is>
      </c>
      <c r="C62" s="11" t="n">
        <v>313</v>
      </c>
      <c r="D62" s="11" t="n">
        <v>160</v>
      </c>
      <c r="E62" s="11" t="n">
        <v>190</v>
      </c>
      <c r="F62" s="11" t="n">
        <v>266</v>
      </c>
      <c r="G62" s="6" t="n">
        <v>0.1</v>
      </c>
      <c r="H62" s="11" t="n">
        <v>731</v>
      </c>
      <c r="I62" s="11" t="inlineStr">
        <is>
          <t>матрица</t>
        </is>
      </c>
      <c r="J62" s="11" t="n"/>
      <c r="K62" s="11" t="n">
        <v>190</v>
      </c>
      <c r="L62" s="11">
        <f>E62-K62</f>
        <v/>
      </c>
      <c r="M62" s="11" t="n"/>
      <c r="N62" s="11" t="n"/>
      <c r="O62" s="11" t="n">
        <v>0</v>
      </c>
      <c r="P62" s="11" t="n"/>
      <c r="Q62" s="11" t="n"/>
      <c r="R62" s="11" t="n"/>
      <c r="S62" s="11" t="n"/>
      <c r="T62" s="11" t="n"/>
      <c r="U62" s="11">
        <f>E62/5</f>
        <v/>
      </c>
      <c r="V62" s="4">
        <f>11*U62-T62-R62-Q62-P62-O62-F62</f>
        <v/>
      </c>
      <c r="W62" s="4">
        <f>V62</f>
        <v/>
      </c>
      <c r="X62" s="11">
        <f>(F62+O62+P62+Q62+R62+W62+T62+S62)/U62</f>
        <v/>
      </c>
      <c r="Y62" s="11">
        <f>(F62+O62+P62+Q62+R62+S62+T62)/U62</f>
        <v/>
      </c>
      <c r="Z62" s="11" t="n">
        <v>30.6</v>
      </c>
      <c r="AA62" s="11" t="n">
        <v>35.2</v>
      </c>
      <c r="AB62" s="11" t="n">
        <v>43.8</v>
      </c>
      <c r="AC62" s="11" t="n">
        <v>41.8</v>
      </c>
      <c r="AD62" s="11" t="n">
        <v>40.6</v>
      </c>
      <c r="AE62" s="11" t="n">
        <v>37.6</v>
      </c>
      <c r="AF62" s="11" t="n">
        <v>34</v>
      </c>
      <c r="AG62" s="11" t="n">
        <v>46</v>
      </c>
      <c r="AH62" s="11" t="n">
        <v>42.2</v>
      </c>
      <c r="AI62" s="11" t="n">
        <v>26</v>
      </c>
      <c r="AJ62" s="11" t="n"/>
      <c r="AK62" s="11">
        <f>ROUND(G62*W62,0)</f>
        <v/>
      </c>
      <c r="AL62">
        <f>U62*G62</f>
        <v/>
      </c>
      <c r="AM62" t="inlineStr">
        <is>
          <t>SU002840</t>
        </is>
      </c>
    </row>
    <row r="63">
      <c r="A63" s="11" t="inlineStr">
        <is>
          <t xml:space="preserve"> 339  Колбаса вареная Филейская ТМ Вязанка ТС Классическая, 0,40 кг.  ПОКОМ</t>
        </is>
      </c>
      <c r="B63" s="11" t="inlineStr">
        <is>
          <t>шт</t>
        </is>
      </c>
      <c r="C63" s="11" t="n">
        <v>369</v>
      </c>
      <c r="D63" s="11" t="n">
        <v>410</v>
      </c>
      <c r="E63" s="11" t="n">
        <v>317</v>
      </c>
      <c r="F63" s="11" t="n">
        <v>396</v>
      </c>
      <c r="G63" s="6" t="n">
        <v>0.4</v>
      </c>
      <c r="H63" s="11" t="n">
        <v>50</v>
      </c>
      <c r="I63" s="11" t="inlineStr">
        <is>
          <t>матрица</t>
        </is>
      </c>
      <c r="J63" s="11" t="n"/>
      <c r="K63" s="11" t="n">
        <v>323</v>
      </c>
      <c r="L63" s="11">
        <f>E63-K63</f>
        <v/>
      </c>
      <c r="M63" s="11" t="n"/>
      <c r="N63" s="11" t="n"/>
      <c r="O63" s="11" t="n">
        <v>83.51997500000002</v>
      </c>
      <c r="P63" s="11" t="n"/>
      <c r="Q63" s="11" t="n"/>
      <c r="R63" s="11" t="n">
        <v>133.415025</v>
      </c>
      <c r="S63" s="11" t="n"/>
      <c r="T63" s="11" t="n"/>
      <c r="U63" s="11">
        <f>E63/5</f>
        <v/>
      </c>
      <c r="V63" s="4">
        <f>11*U63-T63-R63-Q63-P63-O63-F63</f>
        <v/>
      </c>
      <c r="W63" s="4">
        <f>V63</f>
        <v/>
      </c>
      <c r="X63" s="11">
        <f>(F63+O63+P63+Q63+R63+W63+T63+S63)/U63</f>
        <v/>
      </c>
      <c r="Y63" s="11">
        <f>(F63+O63+P63+Q63+R63+S63+T63)/U63</f>
        <v/>
      </c>
      <c r="Z63" s="11" t="n">
        <v>66</v>
      </c>
      <c r="AA63" s="11" t="n">
        <v>65</v>
      </c>
      <c r="AB63" s="11" t="n">
        <v>69</v>
      </c>
      <c r="AC63" s="11" t="n">
        <v>59.8</v>
      </c>
      <c r="AD63" s="11" t="n">
        <v>59.4</v>
      </c>
      <c r="AE63" s="11" t="n">
        <v>52.2</v>
      </c>
      <c r="AF63" s="11" t="n">
        <v>41</v>
      </c>
      <c r="AG63" s="11" t="n">
        <v>60.6</v>
      </c>
      <c r="AH63" s="11" t="n">
        <v>49.4</v>
      </c>
      <c r="AI63" s="11" t="n">
        <v>42.6</v>
      </c>
      <c r="AJ63" s="11" t="n"/>
      <c r="AK63" s="11">
        <f>ROUND(G63*W63,0)</f>
        <v/>
      </c>
      <c r="AL63">
        <f>U63*G63</f>
        <v/>
      </c>
      <c r="AM63" t="inlineStr">
        <is>
          <t>SU002831</t>
        </is>
      </c>
    </row>
    <row r="64">
      <c r="A64" s="11" t="inlineStr">
        <is>
          <t xml:space="preserve"> 340  Сосиски Сочинки Молочные ТМ Стародворье, ВЕС ПОКОМ</t>
        </is>
      </c>
      <c r="B64" s="11" t="inlineStr">
        <is>
          <t>кг</t>
        </is>
      </c>
      <c r="C64" s="11" t="n">
        <v>21.271</v>
      </c>
      <c r="D64" s="11" t="n">
        <v>428.594</v>
      </c>
      <c r="E64" s="11" t="n">
        <v>28.063</v>
      </c>
      <c r="F64" s="11" t="n">
        <v>229.032</v>
      </c>
      <c r="G64" s="6" t="n">
        <v>1</v>
      </c>
      <c r="H64" s="11" t="n">
        <v>40</v>
      </c>
      <c r="I64" s="11" t="inlineStr">
        <is>
          <t>матрица</t>
        </is>
      </c>
      <c r="J64" s="11" t="n"/>
      <c r="K64" s="11" t="n">
        <v>112.8</v>
      </c>
      <c r="L64" s="11">
        <f>E64-K64</f>
        <v/>
      </c>
      <c r="M64" s="11" t="n"/>
      <c r="N64" s="11" t="n"/>
      <c r="O64" s="11" t="n">
        <v>310.302409725</v>
      </c>
      <c r="P64" s="11" t="n"/>
      <c r="Q64" s="11" t="n"/>
      <c r="R64" s="11" t="n">
        <v>495.6778752749999</v>
      </c>
      <c r="S64" s="11" t="n"/>
      <c r="T64" s="11" t="n"/>
      <c r="U64" s="11">
        <f>E64/5</f>
        <v/>
      </c>
      <c r="V64" s="4" t="n"/>
      <c r="W64" s="4">
        <f>V64</f>
        <v/>
      </c>
      <c r="X64" s="11">
        <f>(F64+O64+P64+Q64+R64+W64+T64+S64)/U64</f>
        <v/>
      </c>
      <c r="Y64" s="11">
        <f>(F64+O64+P64+Q64+R64+S64+T64)/U64</f>
        <v/>
      </c>
      <c r="Z64" s="11" t="n">
        <v>90.89160000000001</v>
      </c>
      <c r="AA64" s="11" t="n">
        <v>87.63300000000001</v>
      </c>
      <c r="AB64" s="11" t="n">
        <v>25.4356</v>
      </c>
      <c r="AC64" s="11" t="n">
        <v>28.9492</v>
      </c>
      <c r="AD64" s="11" t="n">
        <v>19.0374</v>
      </c>
      <c r="AE64" s="11" t="n">
        <v>20.4744</v>
      </c>
      <c r="AF64" s="11" t="n">
        <v>10.922</v>
      </c>
      <c r="AG64" s="11" t="n">
        <v>10.8414</v>
      </c>
      <c r="AH64" s="11" t="n">
        <v>9.9244</v>
      </c>
      <c r="AI64" s="11" t="n">
        <v>8.3956</v>
      </c>
      <c r="AJ64" s="14" t="inlineStr">
        <is>
          <t>нужно увеличить продажи / 120кг под задачи ТК (31,07,26)</t>
        </is>
      </c>
      <c r="AK64" s="11">
        <f>ROUND(G64*W64,0)</f>
        <v/>
      </c>
      <c r="AL64">
        <f>U64*G64</f>
        <v/>
      </c>
      <c r="AM64" t="inlineStr">
        <is>
          <t>SU002843</t>
        </is>
      </c>
    </row>
    <row r="65">
      <c r="A65" s="11" t="inlineStr">
        <is>
          <t xml:space="preserve"> 341 Сосиски Сочинки Сливочные ТМ Стародворье ВЕС ПОКОМ</t>
        </is>
      </c>
      <c r="B65" s="11" t="inlineStr">
        <is>
          <t>кг</t>
        </is>
      </c>
      <c r="C65" s="11" t="n">
        <v>310.354</v>
      </c>
      <c r="D65" s="11" t="n"/>
      <c r="E65" s="11" t="n">
        <v>307.679</v>
      </c>
      <c r="F65" s="11" t="n">
        <v>2.106</v>
      </c>
      <c r="G65" s="6" t="n">
        <v>1</v>
      </c>
      <c r="H65" s="11" t="n">
        <v>40</v>
      </c>
      <c r="I65" s="11" t="inlineStr">
        <is>
          <t>матрица</t>
        </is>
      </c>
      <c r="J65" s="11" t="n"/>
      <c r="K65" s="11" t="n">
        <v>416.395</v>
      </c>
      <c r="L65" s="11">
        <f>E65-K65</f>
        <v/>
      </c>
      <c r="M65" s="11" t="n"/>
      <c r="N65" s="11" t="n"/>
      <c r="O65" s="11" t="n">
        <v>242.492324074</v>
      </c>
      <c r="P65" s="11" t="n"/>
      <c r="Q65" s="11" t="n"/>
      <c r="R65" s="11" t="n">
        <v>387.3578683260001</v>
      </c>
      <c r="S65" s="11" t="n"/>
      <c r="T65" s="11" t="n"/>
      <c r="U65" s="11">
        <f>E65/5</f>
        <v/>
      </c>
      <c r="V65" s="4">
        <f>11*U65-T65-R65-Q65-P65-O65-F65</f>
        <v/>
      </c>
      <c r="W65" s="4">
        <f>V65</f>
        <v/>
      </c>
      <c r="X65" s="11">
        <f>(F65+O65+P65+Q65+R65+W65+T65+S65)/U65</f>
        <v/>
      </c>
      <c r="Y65" s="11">
        <f>(F65+O65+P65+Q65+R65+S65+T65)/U65</f>
        <v/>
      </c>
      <c r="Z65" s="11" t="n">
        <v>85.0552</v>
      </c>
      <c r="AA65" s="11" t="n">
        <v>46.8788</v>
      </c>
      <c r="AB65" s="11" t="n">
        <v>23.079</v>
      </c>
      <c r="AC65" s="11" t="n">
        <v>22.8166</v>
      </c>
      <c r="AD65" s="11" t="n">
        <v>0</v>
      </c>
      <c r="AE65" s="11" t="n">
        <v>0</v>
      </c>
      <c r="AF65" s="11" t="n">
        <v>0.2724</v>
      </c>
      <c r="AG65" s="11" t="n">
        <v>0.2724</v>
      </c>
      <c r="AH65" s="11" t="n">
        <v>0</v>
      </c>
      <c r="AI65" s="11" t="n">
        <v>0</v>
      </c>
      <c r="AJ65" s="11" t="inlineStr">
        <is>
          <t>120кг под задачи ТК (31,07,26)</t>
        </is>
      </c>
      <c r="AK65" s="11">
        <f>ROUND(G65*W65,0)</f>
        <v/>
      </c>
      <c r="AL65">
        <f>U65*G65</f>
        <v/>
      </c>
      <c r="AM65" t="inlineStr">
        <is>
          <t>SU002845</t>
        </is>
      </c>
    </row>
    <row r="66">
      <c r="A66" s="11" t="inlineStr">
        <is>
          <t xml:space="preserve"> 342 Сосиски Сочинки Молочные ТМ Стародворье 0,4 кг ПОКОМ</t>
        </is>
      </c>
      <c r="B66" s="11" t="inlineStr">
        <is>
          <t>шт</t>
        </is>
      </c>
      <c r="C66" s="11" t="n">
        <v>811</v>
      </c>
      <c r="D66" s="11" t="n">
        <v>2053</v>
      </c>
      <c r="E66" s="11" t="n">
        <v>1232</v>
      </c>
      <c r="F66" s="11" t="n">
        <v>1530</v>
      </c>
      <c r="G66" s="6" t="n">
        <v>0.4</v>
      </c>
      <c r="H66" s="11" t="n">
        <v>40</v>
      </c>
      <c r="I66" s="11" t="inlineStr">
        <is>
          <t>матрица</t>
        </is>
      </c>
      <c r="J66" s="11" t="n"/>
      <c r="K66" s="11" t="n">
        <v>1304</v>
      </c>
      <c r="L66" s="11">
        <f>E66-K66</f>
        <v/>
      </c>
      <c r="M66" s="11" t="n"/>
      <c r="N66" s="11" t="n"/>
      <c r="O66" s="11" t="n">
        <v>836.1680249999999</v>
      </c>
      <c r="P66" s="11" t="n"/>
      <c r="Q66" s="11" t="n"/>
      <c r="R66" s="11" t="n">
        <v>1335.696975</v>
      </c>
      <c r="S66" s="11" t="n"/>
      <c r="T66" s="11" t="n"/>
      <c r="U66" s="11">
        <f>E66/5</f>
        <v/>
      </c>
      <c r="V66" s="4" t="n"/>
      <c r="W66" s="4">
        <f>V66</f>
        <v/>
      </c>
      <c r="X66" s="11">
        <f>(F66+O66+P66+Q66+R66+W66+T66+S66)/U66</f>
        <v/>
      </c>
      <c r="Y66" s="11">
        <f>(F66+O66+P66+Q66+R66+S66+T66)/U66</f>
        <v/>
      </c>
      <c r="Z66" s="11" t="n">
        <v>312.2</v>
      </c>
      <c r="AA66" s="11" t="n">
        <v>247</v>
      </c>
      <c r="AB66" s="11" t="n">
        <v>179.6</v>
      </c>
      <c r="AC66" s="11" t="n">
        <v>181.2</v>
      </c>
      <c r="AD66" s="11" t="n">
        <v>180.6</v>
      </c>
      <c r="AE66" s="11" t="n">
        <v>186.2</v>
      </c>
      <c r="AF66" s="11" t="n">
        <v>159.2</v>
      </c>
      <c r="AG66" s="11" t="n">
        <v>162.8</v>
      </c>
      <c r="AH66" s="11" t="n">
        <v>187.4</v>
      </c>
      <c r="AI66" s="11" t="n">
        <v>170.2</v>
      </c>
      <c r="AJ66" s="11" t="n"/>
      <c r="AK66" s="11">
        <f>ROUND(G66*W66,0)</f>
        <v/>
      </c>
      <c r="AL66">
        <f>U66*G66</f>
        <v/>
      </c>
      <c r="AM66" t="inlineStr">
        <is>
          <t>SU002842</t>
        </is>
      </c>
    </row>
    <row r="67">
      <c r="A67" s="11" t="inlineStr">
        <is>
          <t xml:space="preserve"> 343 Сосиски Сочинки Сливочные ТМ Стародворье  0,4 кг ПОКОМ</t>
        </is>
      </c>
      <c r="B67" s="11" t="inlineStr">
        <is>
          <t>шт</t>
        </is>
      </c>
      <c r="C67" s="11" t="n">
        <v>15</v>
      </c>
      <c r="D67" s="11" t="n">
        <v>256</v>
      </c>
      <c r="E67" s="11" t="n">
        <v>247</v>
      </c>
      <c r="F67" s="11" t="n">
        <v>15</v>
      </c>
      <c r="G67" s="6" t="n">
        <v>0.4</v>
      </c>
      <c r="H67" s="11" t="n">
        <v>40</v>
      </c>
      <c r="I67" s="12" t="inlineStr">
        <is>
          <t>НЕДОГРУЗ / матрица</t>
        </is>
      </c>
      <c r="J67" s="11" t="n"/>
      <c r="K67" s="11" t="n">
        <v>745</v>
      </c>
      <c r="L67" s="11">
        <f>E67-K67</f>
        <v/>
      </c>
      <c r="M67" s="11" t="n"/>
      <c r="N67" s="11" t="n"/>
      <c r="O67" s="11" t="n">
        <v>300</v>
      </c>
      <c r="P67" s="11" t="n"/>
      <c r="Q67" s="11" t="n"/>
      <c r="R67" s="11" t="n">
        <v>150</v>
      </c>
      <c r="S67" s="11" t="n"/>
      <c r="T67" s="11" t="n"/>
      <c r="U67" s="11">
        <f>E67/5</f>
        <v/>
      </c>
      <c r="V67" s="4" t="n">
        <v>150</v>
      </c>
      <c r="W67" s="4">
        <f>V67</f>
        <v/>
      </c>
      <c r="X67" s="11">
        <f>(F67+O67+P67+Q67+R67+W67+T67+S67)/U67</f>
        <v/>
      </c>
      <c r="Y67" s="11">
        <f>(F67+O67+P67+Q67+R67+S67+T67)/U67</f>
        <v/>
      </c>
      <c r="Z67" s="11" t="n">
        <v>124.2</v>
      </c>
      <c r="AA67" s="11" t="n">
        <v>129.6</v>
      </c>
      <c r="AB67" s="11" t="n">
        <v>96.40000000000001</v>
      </c>
      <c r="AC67" s="11" t="n">
        <v>59.8</v>
      </c>
      <c r="AD67" s="11" t="n">
        <v>2.2</v>
      </c>
      <c r="AE67" s="11" t="n">
        <v>1</v>
      </c>
      <c r="AF67" s="11" t="n">
        <v>50.2</v>
      </c>
      <c r="AG67" s="11" t="n">
        <v>102</v>
      </c>
      <c r="AH67" s="11" t="n">
        <v>140.8</v>
      </c>
      <c r="AI67" s="11" t="n">
        <v>123.2</v>
      </c>
      <c r="AJ67" s="11" t="n"/>
      <c r="AK67" s="11">
        <f>ROUND(G67*W67,0)</f>
        <v/>
      </c>
      <c r="AL67">
        <f>U67*G67</f>
        <v/>
      </c>
      <c r="AM67" t="inlineStr">
        <is>
          <t>SU002844</t>
        </is>
      </c>
    </row>
    <row r="68">
      <c r="A68" s="11" t="inlineStr">
        <is>
          <t xml:space="preserve"> 344  Колбаса Сочинка по-европейски с сочной грудинкой ТМ Стародворье, ВЕС ПОКОМ</t>
        </is>
      </c>
      <c r="B68" s="11" t="inlineStr">
        <is>
          <t>кг</t>
        </is>
      </c>
      <c r="C68" s="11" t="n">
        <v>148.893</v>
      </c>
      <c r="D68" s="11" t="n">
        <v>278.002</v>
      </c>
      <c r="E68" s="11" t="n">
        <v>307.73</v>
      </c>
      <c r="F68" s="11" t="n">
        <v>91.82899999999999</v>
      </c>
      <c r="G68" s="6" t="n">
        <v>1</v>
      </c>
      <c r="H68" s="11" t="n">
        <v>40</v>
      </c>
      <c r="I68" s="12" t="inlineStr">
        <is>
          <t>НЕДОГРУЗ / матрица</t>
        </is>
      </c>
      <c r="J68" s="11" t="n"/>
      <c r="K68" s="11" t="n">
        <v>288.95</v>
      </c>
      <c r="L68" s="11">
        <f>E68-K68</f>
        <v/>
      </c>
      <c r="M68" s="11" t="n"/>
      <c r="N68" s="11" t="n"/>
      <c r="O68" s="11" t="n">
        <v>168.4363239999998</v>
      </c>
      <c r="P68" s="11" t="n">
        <v>-172.8</v>
      </c>
      <c r="Q68" s="11" t="n"/>
      <c r="R68" s="11" t="n">
        <v>84.21816199999992</v>
      </c>
      <c r="S68" s="11" t="n">
        <v>-86</v>
      </c>
      <c r="T68" s="11" t="n"/>
      <c r="U68" s="11">
        <f>E68/5</f>
        <v/>
      </c>
      <c r="V68" s="4" t="n">
        <v>150</v>
      </c>
      <c r="W68" s="4">
        <f>V68</f>
        <v/>
      </c>
      <c r="X68" s="11">
        <f>(F68+O68+P68+Q68+R68+W68+T68+S68)/U68</f>
        <v/>
      </c>
      <c r="Y68" s="11">
        <f>(F68+O68+P68+Q68+R68+S68+T68)/U68</f>
        <v/>
      </c>
      <c r="Z68" s="11" t="n">
        <v>65.935</v>
      </c>
      <c r="AA68" s="11" t="n">
        <v>67.2384</v>
      </c>
      <c r="AB68" s="11" t="n">
        <v>56.5594</v>
      </c>
      <c r="AC68" s="11" t="n">
        <v>55.1158</v>
      </c>
      <c r="AD68" s="11" t="n">
        <v>57.8338</v>
      </c>
      <c r="AE68" s="11" t="n">
        <v>55.1432</v>
      </c>
      <c r="AF68" s="11" t="n">
        <v>54.4834</v>
      </c>
      <c r="AG68" s="11" t="n">
        <v>59.4562</v>
      </c>
      <c r="AH68" s="11" t="n">
        <v>60.828</v>
      </c>
      <c r="AI68" s="11" t="n">
        <v>57.9256</v>
      </c>
      <c r="AJ68" s="11" t="n"/>
      <c r="AK68" s="11">
        <f>ROUND(G68*W68,0)</f>
        <v/>
      </c>
      <c r="AL68">
        <f>U68*G68</f>
        <v/>
      </c>
      <c r="AM68" t="inlineStr">
        <is>
          <t>SU002941</t>
        </is>
      </c>
    </row>
    <row r="69">
      <c r="A69" s="11" t="inlineStr">
        <is>
          <t xml:space="preserve"> 345  Колбаса Сочинка по-фински с сочным окроком ТМ Стародворье ВЕС ПОКОМ</t>
        </is>
      </c>
      <c r="B69" s="11" t="inlineStr">
        <is>
          <t>кг</t>
        </is>
      </c>
      <c r="C69" s="11" t="n">
        <v>208.648</v>
      </c>
      <c r="D69" s="11" t="n">
        <v>256.137</v>
      </c>
      <c r="E69" s="11" t="n">
        <v>449.304</v>
      </c>
      <c r="F69" s="11" t="n">
        <v>-6.357</v>
      </c>
      <c r="G69" s="6" t="n">
        <v>1</v>
      </c>
      <c r="H69" s="11" t="n">
        <v>40</v>
      </c>
      <c r="I69" s="12" t="inlineStr">
        <is>
          <t>НЕДОГРУЗ / матрица</t>
        </is>
      </c>
      <c r="J69" s="11" t="n"/>
      <c r="K69" s="11" t="n">
        <v>428.05</v>
      </c>
      <c r="L69" s="11">
        <f>E69-K69</f>
        <v/>
      </c>
      <c r="M69" s="11" t="n"/>
      <c r="N69" s="11" t="n"/>
      <c r="O69" s="11" t="n">
        <v>50</v>
      </c>
      <c r="P69" s="11" t="n">
        <v>-54</v>
      </c>
      <c r="Q69" s="11" t="n"/>
      <c r="R69" s="11" t="n">
        <v>25</v>
      </c>
      <c r="S69" s="11" t="n">
        <v>-27</v>
      </c>
      <c r="T69" s="11" t="n"/>
      <c r="U69" s="11">
        <f>E69/5</f>
        <v/>
      </c>
      <c r="V69" s="4" t="n">
        <v>200</v>
      </c>
      <c r="W69" s="4">
        <f>V69</f>
        <v/>
      </c>
      <c r="X69" s="11">
        <f>(F69+O69+P69+Q69+R69+W69+T69+S69)/U69</f>
        <v/>
      </c>
      <c r="Y69" s="11">
        <f>(F69+O69+P69+Q69+R69+S69+T69)/U69</f>
        <v/>
      </c>
      <c r="Z69" s="11" t="n">
        <v>74.5882</v>
      </c>
      <c r="AA69" s="11" t="n">
        <v>88.29519999999999</v>
      </c>
      <c r="AB69" s="11" t="n">
        <v>74.92060000000001</v>
      </c>
      <c r="AC69" s="11" t="n">
        <v>70.78659999999999</v>
      </c>
      <c r="AD69" s="11" t="n">
        <v>88.8798</v>
      </c>
      <c r="AE69" s="11" t="n">
        <v>87.7436</v>
      </c>
      <c r="AF69" s="11" t="n">
        <v>69.69120000000001</v>
      </c>
      <c r="AG69" s="11" t="n">
        <v>74.16240000000001</v>
      </c>
      <c r="AH69" s="11" t="n">
        <v>74.625</v>
      </c>
      <c r="AI69" s="11" t="n">
        <v>66.962</v>
      </c>
      <c r="AJ69" s="11" t="n"/>
      <c r="AK69" s="11">
        <f>ROUND(G69*W69,0)</f>
        <v/>
      </c>
      <c r="AL69">
        <f>U69*G69</f>
        <v/>
      </c>
      <c r="AM69" t="inlineStr">
        <is>
          <t>SU002943</t>
        </is>
      </c>
    </row>
    <row r="70">
      <c r="A70" s="11" t="inlineStr">
        <is>
          <t xml:space="preserve"> 346  Колбаса Сочинка зернистая с сочной грудинкой ТМ Стародворье.ВЕС ПОКОМ</t>
        </is>
      </c>
      <c r="B70" s="11" t="inlineStr">
        <is>
          <t>кг</t>
        </is>
      </c>
      <c r="C70" s="11" t="n">
        <v>506.947</v>
      </c>
      <c r="D70" s="11" t="n">
        <v>421.576</v>
      </c>
      <c r="E70" s="11" t="n">
        <v>771.127</v>
      </c>
      <c r="F70" s="11" t="n">
        <v>46.276</v>
      </c>
      <c r="G70" s="6" t="n">
        <v>1</v>
      </c>
      <c r="H70" s="11" t="n">
        <v>40</v>
      </c>
      <c r="I70" s="12" t="inlineStr">
        <is>
          <t>НЕДОГРУЗ / матрица</t>
        </is>
      </c>
      <c r="J70" s="11" t="n"/>
      <c r="K70" s="11" t="n">
        <v>736.75</v>
      </c>
      <c r="L70" s="11">
        <f>E70-K70</f>
        <v/>
      </c>
      <c r="M70" s="11" t="n"/>
      <c r="N70" s="11" t="n"/>
      <c r="O70" s="11" t="n">
        <v>274.811921384</v>
      </c>
      <c r="P70" s="11" t="n">
        <v>-275.4</v>
      </c>
      <c r="Q70" s="11" t="n"/>
      <c r="R70" s="11" t="n">
        <v>438.9852770159999</v>
      </c>
      <c r="S70" s="11" t="n">
        <v>-443</v>
      </c>
      <c r="T70" s="11" t="n"/>
      <c r="U70" s="11">
        <f>E70/5</f>
        <v/>
      </c>
      <c r="V70" s="4" t="n">
        <v>350</v>
      </c>
      <c r="W70" s="4">
        <f>V70</f>
        <v/>
      </c>
      <c r="X70" s="11">
        <f>(F70+O70+P70+Q70+R70+W70+T70+S70)/U70</f>
        <v/>
      </c>
      <c r="Y70" s="11">
        <f>(F70+O70+P70+Q70+R70+S70+T70)/U70</f>
        <v/>
      </c>
      <c r="Z70" s="11" t="n">
        <v>177.6354</v>
      </c>
      <c r="AA70" s="11" t="n">
        <v>179.7578</v>
      </c>
      <c r="AB70" s="11" t="n">
        <v>145.7538</v>
      </c>
      <c r="AC70" s="11" t="n">
        <v>144.0752</v>
      </c>
      <c r="AD70" s="11" t="n">
        <v>137.2958</v>
      </c>
      <c r="AE70" s="11" t="n">
        <v>137.2748</v>
      </c>
      <c r="AF70" s="11" t="n">
        <v>175.5292</v>
      </c>
      <c r="AG70" s="11" t="n">
        <v>172.8726</v>
      </c>
      <c r="AH70" s="11" t="n">
        <v>159.3614</v>
      </c>
      <c r="AI70" s="11" t="n">
        <v>169.2194</v>
      </c>
      <c r="AJ70" s="11" t="n"/>
      <c r="AK70" s="11">
        <f>ROUND(G70*W70,0)</f>
        <v/>
      </c>
      <c r="AL70">
        <f>U70*G70</f>
        <v/>
      </c>
      <c r="AM70" t="inlineStr">
        <is>
          <t>SU002945</t>
        </is>
      </c>
    </row>
    <row r="71">
      <c r="A71" s="11" t="inlineStr">
        <is>
          <t xml:space="preserve"> 347  Колбаса Сочинка рубленая с сочным окороком ТМ Стародворье ВЕС ПОКОМ</t>
        </is>
      </c>
      <c r="B71" s="11" t="inlineStr">
        <is>
          <t>кг</t>
        </is>
      </c>
      <c r="C71" s="11" t="n">
        <v>144.852</v>
      </c>
      <c r="D71" s="11" t="n">
        <v>217.34</v>
      </c>
      <c r="E71" s="11" t="n">
        <v>305.827</v>
      </c>
      <c r="F71" s="11" t="n">
        <v>22.751</v>
      </c>
      <c r="G71" s="6" t="n">
        <v>1</v>
      </c>
      <c r="H71" s="11" t="n">
        <v>40</v>
      </c>
      <c r="I71" s="18" t="inlineStr">
        <is>
          <t>НЕДОГРУЗ / матрица</t>
        </is>
      </c>
      <c r="J71" s="11" t="n"/>
      <c r="K71" s="11" t="n">
        <v>312.1</v>
      </c>
      <c r="L71" s="11">
        <f>E71-K71</f>
        <v/>
      </c>
      <c r="M71" s="11" t="n"/>
      <c r="N71" s="11" t="n"/>
      <c r="O71" s="11" t="n">
        <v>151.2811389999997</v>
      </c>
      <c r="P71" s="11" t="n">
        <v>-151.2</v>
      </c>
      <c r="Q71" s="11" t="n"/>
      <c r="R71" s="11" t="n"/>
      <c r="S71" s="11" t="n"/>
      <c r="T71" s="11" t="n"/>
      <c r="U71" s="11">
        <f>E71/5</f>
        <v/>
      </c>
      <c r="V71" s="4" t="n">
        <v>150</v>
      </c>
      <c r="W71" s="4">
        <f>V71</f>
        <v/>
      </c>
      <c r="X71" s="11">
        <f>(F71+O71+P71+Q71+R71+W71+T71+S71)/U71</f>
        <v/>
      </c>
      <c r="Y71" s="11">
        <f>(F71+O71+P71+Q71+R71+S71+T71)/U71</f>
        <v/>
      </c>
      <c r="Z71" s="11" t="n">
        <v>53.97279999999999</v>
      </c>
      <c r="AA71" s="11" t="n">
        <v>54.69600000000001</v>
      </c>
      <c r="AB71" s="11" t="n">
        <v>44.7354</v>
      </c>
      <c r="AC71" s="11" t="n">
        <v>40.3756</v>
      </c>
      <c r="AD71" s="11" t="n">
        <v>45.6816</v>
      </c>
      <c r="AE71" s="11" t="n">
        <v>44.3854</v>
      </c>
      <c r="AF71" s="11" t="n">
        <v>47.9164</v>
      </c>
      <c r="AG71" s="11" t="n">
        <v>52.79539999999999</v>
      </c>
      <c r="AH71" s="11" t="n">
        <v>48.7228</v>
      </c>
      <c r="AI71" s="11" t="n">
        <v>50.6178</v>
      </c>
      <c r="AJ71" s="11" t="n"/>
      <c r="AK71" s="11">
        <f>ROUND(G71*W71,0)</f>
        <v/>
      </c>
      <c r="AL71">
        <f>U71*G71</f>
        <v/>
      </c>
      <c r="AM71" t="inlineStr">
        <is>
          <t>SU002947</t>
        </is>
      </c>
    </row>
    <row r="72">
      <c r="A72" s="11" t="inlineStr">
        <is>
          <t xml:space="preserve"> 355  Колбаса Сервелат запеченный ТМ Стародворье ТС Дугушка. 0,6 кг. ПОКОМ</t>
        </is>
      </c>
      <c r="B72" s="11" t="inlineStr">
        <is>
          <t>шт</t>
        </is>
      </c>
      <c r="C72" s="11" t="n">
        <v>24</v>
      </c>
      <c r="D72" s="11" t="n">
        <v>16</v>
      </c>
      <c r="E72" s="11" t="n">
        <v>11</v>
      </c>
      <c r="F72" s="11" t="n">
        <v>29</v>
      </c>
      <c r="G72" s="6" t="n">
        <v>0.6</v>
      </c>
      <c r="H72" s="11" t="n">
        <v>70</v>
      </c>
      <c r="I72" s="11" t="inlineStr">
        <is>
          <t>матрица</t>
        </is>
      </c>
      <c r="J72" s="11" t="n"/>
      <c r="K72" s="11" t="n">
        <v>11</v>
      </c>
      <c r="L72" s="11">
        <f>E72-K72</f>
        <v/>
      </c>
      <c r="M72" s="11" t="n"/>
      <c r="N72" s="11" t="n"/>
      <c r="O72" s="11" t="n">
        <v>0</v>
      </c>
      <c r="P72" s="11" t="n"/>
      <c r="Q72" s="11" t="n"/>
      <c r="R72" s="11" t="n"/>
      <c r="S72" s="11" t="n"/>
      <c r="T72" s="11" t="n"/>
      <c r="U72" s="11">
        <f>E72/5</f>
        <v/>
      </c>
      <c r="V72" s="4" t="n"/>
      <c r="W72" s="4">
        <f>V72</f>
        <v/>
      </c>
      <c r="X72" s="11">
        <f>(F72+O72+P72+Q72+R72+W72+T72+S72)/U72</f>
        <v/>
      </c>
      <c r="Y72" s="11">
        <f>(F72+O72+P72+Q72+R72+S72+T72)/U72</f>
        <v/>
      </c>
      <c r="Z72" s="11" t="n">
        <v>1.2</v>
      </c>
      <c r="AA72" s="11" t="n">
        <v>1.2</v>
      </c>
      <c r="AB72" s="11" t="n">
        <v>2</v>
      </c>
      <c r="AC72" s="11" t="n">
        <v>2</v>
      </c>
      <c r="AD72" s="11" t="n">
        <v>1.2</v>
      </c>
      <c r="AE72" s="11" t="n">
        <v>0.4</v>
      </c>
      <c r="AF72" s="11" t="n">
        <v>1.2</v>
      </c>
      <c r="AG72" s="11" t="n">
        <v>2</v>
      </c>
      <c r="AH72" s="11" t="n">
        <v>2</v>
      </c>
      <c r="AI72" s="11" t="n">
        <v>0.8</v>
      </c>
      <c r="AJ72" s="14" t="inlineStr">
        <is>
          <t>нужно увеличить продажи</t>
        </is>
      </c>
      <c r="AK72" s="11">
        <f>ROUND(G72*W72,0)</f>
        <v/>
      </c>
      <c r="AL72">
        <f>U72*G72</f>
        <v/>
      </c>
      <c r="AM72" t="inlineStr">
        <is>
          <t>SU002918</t>
        </is>
      </c>
    </row>
    <row r="73">
      <c r="A73" s="11" t="inlineStr">
        <is>
          <t xml:space="preserve"> 364  Сардельки Филейские Вязанка ВЕС NDX ТМ Вязанка  ПОКОМ</t>
        </is>
      </c>
      <c r="B73" s="11" t="inlineStr">
        <is>
          <t>кг</t>
        </is>
      </c>
      <c r="C73" s="11" t="n">
        <v>327.948</v>
      </c>
      <c r="D73" s="11" t="n">
        <v>405.436</v>
      </c>
      <c r="E73" s="11" t="n">
        <v>298.774</v>
      </c>
      <c r="F73" s="11" t="n">
        <v>374.296</v>
      </c>
      <c r="G73" s="6" t="n">
        <v>1</v>
      </c>
      <c r="H73" s="11" t="n">
        <v>30</v>
      </c>
      <c r="I73" s="11" t="inlineStr">
        <is>
          <t>матрица</t>
        </is>
      </c>
      <c r="J73" s="11" t="n"/>
      <c r="K73" s="11" t="n">
        <v>325.7</v>
      </c>
      <c r="L73" s="11">
        <f>E73-K73</f>
        <v/>
      </c>
      <c r="M73" s="11" t="n"/>
      <c r="N73" s="11" t="n"/>
      <c r="O73" s="11" t="n">
        <v>179.3726337999999</v>
      </c>
      <c r="P73" s="11" t="n"/>
      <c r="Q73" s="11" t="n"/>
      <c r="R73" s="11" t="n"/>
      <c r="S73" s="11" t="n"/>
      <c r="T73" s="11" t="n"/>
      <c r="U73" s="11">
        <f>E73/5</f>
        <v/>
      </c>
      <c r="V73" s="4">
        <f>11*U73-T73-R73-Q73-P73-O73-F73</f>
        <v/>
      </c>
      <c r="W73" s="4">
        <f>V73</f>
        <v/>
      </c>
      <c r="X73" s="11">
        <f>(F73+O73+P73+Q73+R73+W73+T73+S73)/U73</f>
        <v/>
      </c>
      <c r="Y73" s="11">
        <f>(F73+O73+P73+Q73+R73+S73+T73)/U73</f>
        <v/>
      </c>
      <c r="Z73" s="11" t="n">
        <v>63.0894</v>
      </c>
      <c r="AA73" s="11" t="n">
        <v>62.3386</v>
      </c>
      <c r="AB73" s="11" t="n">
        <v>48.7342</v>
      </c>
      <c r="AC73" s="11" t="n">
        <v>49.5744</v>
      </c>
      <c r="AD73" s="11" t="n">
        <v>57.8048</v>
      </c>
      <c r="AE73" s="11" t="n">
        <v>60.2044</v>
      </c>
      <c r="AF73" s="11" t="n">
        <v>77.72200000000001</v>
      </c>
      <c r="AG73" s="11" t="n">
        <v>80.55359999999999</v>
      </c>
      <c r="AH73" s="11" t="n">
        <v>64.3546</v>
      </c>
      <c r="AI73" s="11" t="n">
        <v>60.7998</v>
      </c>
      <c r="AJ73" s="11" t="n"/>
      <c r="AK73" s="11">
        <f>ROUND(G73*W73,0)</f>
        <v/>
      </c>
      <c r="AL73">
        <f>U73*G73</f>
        <v/>
      </c>
      <c r="AM73" t="inlineStr">
        <is>
          <t>SU002835</t>
        </is>
      </c>
    </row>
    <row r="74">
      <c r="A74" s="11" t="inlineStr">
        <is>
          <t xml:space="preserve"> 376  Колбаса Докторская Дугушка 0,6кг ГОСТ ТМ Стародворье  ПОКОМ </t>
        </is>
      </c>
      <c r="B74" s="11" t="inlineStr">
        <is>
          <t>шт</t>
        </is>
      </c>
      <c r="C74" s="11" t="n">
        <v>99</v>
      </c>
      <c r="D74" s="11" t="n">
        <v>216</v>
      </c>
      <c r="E74" s="11" t="n">
        <v>134</v>
      </c>
      <c r="F74" s="11" t="n">
        <v>170</v>
      </c>
      <c r="G74" s="6" t="n">
        <v>0.6</v>
      </c>
      <c r="H74" s="11" t="n">
        <v>60</v>
      </c>
      <c r="I74" s="11" t="inlineStr">
        <is>
          <t>матрица</t>
        </is>
      </c>
      <c r="J74" s="11" t="n"/>
      <c r="K74" s="11" t="n">
        <v>141</v>
      </c>
      <c r="L74" s="11">
        <f>E74-K74</f>
        <v/>
      </c>
      <c r="M74" s="11" t="n"/>
      <c r="N74" s="11" t="n"/>
      <c r="O74" s="11" t="n">
        <v>50.50000000000003</v>
      </c>
      <c r="P74" s="11" t="n"/>
      <c r="Q74" s="11" t="n"/>
      <c r="R74" s="11" t="n"/>
      <c r="S74" s="11" t="n"/>
      <c r="T74" s="11" t="n"/>
      <c r="U74" s="11">
        <f>E74/5</f>
        <v/>
      </c>
      <c r="V74" s="4">
        <f>11*U74-T74-R74-Q74-P74-O74-F74</f>
        <v/>
      </c>
      <c r="W74" s="4">
        <f>V74</f>
        <v/>
      </c>
      <c r="X74" s="11">
        <f>(F74+O74+P74+Q74+R74+W74+T74+S74)/U74</f>
        <v/>
      </c>
      <c r="Y74" s="11">
        <f>(F74+O74+P74+Q74+R74+S74+T74)/U74</f>
        <v/>
      </c>
      <c r="Z74" s="11" t="n">
        <v>24.8</v>
      </c>
      <c r="AA74" s="11" t="n">
        <v>28.2</v>
      </c>
      <c r="AB74" s="11" t="n">
        <v>22.8</v>
      </c>
      <c r="AC74" s="11" t="n">
        <v>19.2</v>
      </c>
      <c r="AD74" s="11" t="n">
        <v>23.4</v>
      </c>
      <c r="AE74" s="11" t="n">
        <v>25.4</v>
      </c>
      <c r="AF74" s="11" t="n">
        <v>18.6</v>
      </c>
      <c r="AG74" s="11" t="n">
        <v>32.6</v>
      </c>
      <c r="AH74" s="11" t="n">
        <v>24.6</v>
      </c>
      <c r="AI74" s="11" t="n">
        <v>15</v>
      </c>
      <c r="AJ74" s="11" t="n"/>
      <c r="AK74" s="11">
        <f>ROUND(G74*W74,0)</f>
        <v/>
      </c>
      <c r="AL74">
        <f>U74*G74</f>
        <v/>
      </c>
      <c r="AM74" t="inlineStr">
        <is>
          <t>SU002632</t>
        </is>
      </c>
    </row>
    <row r="75">
      <c r="A75" s="11" t="inlineStr">
        <is>
          <t xml:space="preserve"> 377  Колбаса Молочная Дугушка 0,6кг ТМ Стародворье  ПОКОМ</t>
        </is>
      </c>
      <c r="B75" s="11" t="inlineStr">
        <is>
          <t>шт</t>
        </is>
      </c>
      <c r="C75" s="11" t="n">
        <v>20</v>
      </c>
      <c r="D75" s="11" t="n">
        <v>72</v>
      </c>
      <c r="E75" s="11" t="n">
        <v>32</v>
      </c>
      <c r="F75" s="11" t="n">
        <v>58</v>
      </c>
      <c r="G75" s="6" t="n">
        <v>0.6</v>
      </c>
      <c r="H75" s="11" t="n">
        <v>60</v>
      </c>
      <c r="I75" s="11" t="inlineStr">
        <is>
          <t>матрица</t>
        </is>
      </c>
      <c r="J75" s="11" t="n"/>
      <c r="K75" s="11" t="n">
        <v>33</v>
      </c>
      <c r="L75" s="11">
        <f>E75-K75</f>
        <v/>
      </c>
      <c r="M75" s="11" t="n"/>
      <c r="N75" s="11" t="n"/>
      <c r="O75" s="11" t="n">
        <v>14.59999999999998</v>
      </c>
      <c r="P75" s="11" t="n"/>
      <c r="Q75" s="11" t="n"/>
      <c r="R75" s="11" t="n"/>
      <c r="S75" s="11" t="n"/>
      <c r="T75" s="11" t="n"/>
      <c r="U75" s="11">
        <f>E75/5</f>
        <v/>
      </c>
      <c r="V75" s="4" t="n"/>
      <c r="W75" s="4">
        <f>V75</f>
        <v/>
      </c>
      <c r="X75" s="11">
        <f>(F75+O75+P75+Q75+R75+W75+T75+S75)/U75</f>
        <v/>
      </c>
      <c r="Y75" s="11">
        <f>(F75+O75+P75+Q75+R75+S75+T75)/U75</f>
        <v/>
      </c>
      <c r="Z75" s="11" t="n">
        <v>6.8</v>
      </c>
      <c r="AA75" s="11" t="n">
        <v>7.6</v>
      </c>
      <c r="AB75" s="11" t="n">
        <v>5.8</v>
      </c>
      <c r="AC75" s="11" t="n">
        <v>4</v>
      </c>
      <c r="AD75" s="11" t="n">
        <v>5.4</v>
      </c>
      <c r="AE75" s="11" t="n">
        <v>4.4</v>
      </c>
      <c r="AF75" s="11" t="n">
        <v>4</v>
      </c>
      <c r="AG75" s="11" t="n">
        <v>5.4</v>
      </c>
      <c r="AH75" s="11" t="n">
        <v>5.8</v>
      </c>
      <c r="AI75" s="11" t="n">
        <v>4.2</v>
      </c>
      <c r="AJ75" s="11" t="n"/>
      <c r="AK75" s="11">
        <f>ROUND(G75*W75,0)</f>
        <v/>
      </c>
      <c r="AL75">
        <f>U75*G75</f>
        <v/>
      </c>
      <c r="AM75" t="inlineStr">
        <is>
          <t>SU002631</t>
        </is>
      </c>
    </row>
    <row r="76">
      <c r="A76" s="11" t="inlineStr">
        <is>
          <t xml:space="preserve"> 387  Колбаса вареная Мусульманская Халяль ТМ Вязанка, 0,4 кг ПОКОМ</t>
        </is>
      </c>
      <c r="B76" s="11" t="inlineStr">
        <is>
          <t>шт</t>
        </is>
      </c>
      <c r="C76" s="11" t="n">
        <v>196</v>
      </c>
      <c r="D76" s="11" t="n">
        <v>40</v>
      </c>
      <c r="E76" s="11" t="n">
        <v>124</v>
      </c>
      <c r="F76" s="11" t="n">
        <v>100</v>
      </c>
      <c r="G76" s="6" t="n">
        <v>0.4</v>
      </c>
      <c r="H76" s="11" t="n">
        <v>90</v>
      </c>
      <c r="I76" s="11" t="inlineStr">
        <is>
          <t>матрица</t>
        </is>
      </c>
      <c r="J76" s="11" t="n"/>
      <c r="K76" s="11" t="n">
        <v>130</v>
      </c>
      <c r="L76" s="11">
        <f>E76-K76</f>
        <v/>
      </c>
      <c r="M76" s="11" t="n"/>
      <c r="N76" s="11" t="n"/>
      <c r="O76" s="11" t="n">
        <v>75.20000000000002</v>
      </c>
      <c r="P76" s="11" t="n"/>
      <c r="Q76" s="11" t="n"/>
      <c r="R76" s="11" t="n"/>
      <c r="S76" s="11" t="n"/>
      <c r="T76" s="11" t="n"/>
      <c r="U76" s="11">
        <f>E76/5</f>
        <v/>
      </c>
      <c r="V76" s="4">
        <f>11*U76-T76-R76-Q76-P76-O76-F76</f>
        <v/>
      </c>
      <c r="W76" s="4">
        <f>V76</f>
        <v/>
      </c>
      <c r="X76" s="11">
        <f>(F76+O76+P76+Q76+R76+W76+T76+S76)/U76</f>
        <v/>
      </c>
      <c r="Y76" s="11">
        <f>(F76+O76+P76+Q76+R76+S76+T76)/U76</f>
        <v/>
      </c>
      <c r="Z76" s="11" t="n">
        <v>20.6</v>
      </c>
      <c r="AA76" s="11" t="n">
        <v>17</v>
      </c>
      <c r="AB76" s="11" t="n">
        <v>22.8</v>
      </c>
      <c r="AC76" s="11" t="n">
        <v>25.2</v>
      </c>
      <c r="AD76" s="11" t="n">
        <v>20.6</v>
      </c>
      <c r="AE76" s="11" t="n">
        <v>22.2</v>
      </c>
      <c r="AF76" s="11" t="n">
        <v>19.8</v>
      </c>
      <c r="AG76" s="11" t="n">
        <v>15.6</v>
      </c>
      <c r="AH76" s="11" t="n">
        <v>17.8</v>
      </c>
      <c r="AI76" s="11" t="n">
        <v>17.2</v>
      </c>
      <c r="AJ76" s="11" t="n"/>
      <c r="AK76" s="11">
        <f>ROUND(G76*W76,0)</f>
        <v/>
      </c>
      <c r="AL76">
        <f>U76*G76</f>
        <v/>
      </c>
      <c r="AM76" t="inlineStr">
        <is>
          <t>SU002983</t>
        </is>
      </c>
    </row>
    <row r="77">
      <c r="A77" s="11" t="inlineStr">
        <is>
          <t xml:space="preserve"> 388  Сосиски Восточные Халяль ТМ Вязанка 0,33 кг АК. ПОКОМ</t>
        </is>
      </c>
      <c r="B77" s="11" t="inlineStr">
        <is>
          <t>шт</t>
        </is>
      </c>
      <c r="C77" s="11" t="n">
        <v>234</v>
      </c>
      <c r="D77" s="11" t="n">
        <v>64</v>
      </c>
      <c r="E77" s="11" t="n">
        <v>135</v>
      </c>
      <c r="F77" s="11" t="n">
        <v>146</v>
      </c>
      <c r="G77" s="6" t="n">
        <v>0.33</v>
      </c>
      <c r="H77" s="11" t="n">
        <v>60</v>
      </c>
      <c r="I77" s="12" t="inlineStr">
        <is>
          <t>НЕДОГРУЗ / матрица</t>
        </is>
      </c>
      <c r="J77" s="11" t="n"/>
      <c r="K77" s="11" t="n">
        <v>138</v>
      </c>
      <c r="L77" s="11">
        <f>E77-K77</f>
        <v/>
      </c>
      <c r="M77" s="11" t="n"/>
      <c r="N77" s="11" t="n"/>
      <c r="O77" s="11" t="n">
        <v>113.4</v>
      </c>
      <c r="P77" s="11" t="n"/>
      <c r="Q77" s="11" t="n"/>
      <c r="R77" s="11" t="n"/>
      <c r="S77" s="11" t="n"/>
      <c r="T77" s="11" t="n"/>
      <c r="U77" s="11">
        <f>E77/5</f>
        <v/>
      </c>
      <c r="V77" s="4">
        <f>11*U77-T77-R77-Q77-P77-O77-F77</f>
        <v/>
      </c>
      <c r="W77" s="4">
        <f>V77</f>
        <v/>
      </c>
      <c r="X77" s="11">
        <f>(F77+O77+P77+Q77+R77+W77+T77+S77)/U77</f>
        <v/>
      </c>
      <c r="Y77" s="11">
        <f>(F77+O77+P77+Q77+R77+S77+T77)/U77</f>
        <v/>
      </c>
      <c r="Z77" s="11" t="n">
        <v>28.2</v>
      </c>
      <c r="AA77" s="11" t="n">
        <v>25.8</v>
      </c>
      <c r="AB77" s="11" t="n">
        <v>29.8</v>
      </c>
      <c r="AC77" s="11" t="n">
        <v>31.6</v>
      </c>
      <c r="AD77" s="11" t="n">
        <v>29</v>
      </c>
      <c r="AE77" s="11" t="n">
        <v>28.6</v>
      </c>
      <c r="AF77" s="11" t="n">
        <v>23</v>
      </c>
      <c r="AG77" s="11" t="n">
        <v>19.2</v>
      </c>
      <c r="AH77" s="11" t="n">
        <v>26</v>
      </c>
      <c r="AI77" s="11" t="n">
        <v>23.8</v>
      </c>
      <c r="AJ77" s="11" t="n"/>
      <c r="AK77" s="11">
        <f>ROUND(G77*W77,0)</f>
        <v/>
      </c>
      <c r="AL77">
        <f>U77*G77</f>
        <v/>
      </c>
      <c r="AM77" t="inlineStr">
        <is>
          <t>SU002984</t>
        </is>
      </c>
    </row>
    <row r="78">
      <c r="A78" s="11" t="inlineStr">
        <is>
          <t xml:space="preserve"> 394 Колбаса полукопченая Аль-Ислами халяль ТМ Вязанка оболочка фиброуз в в/у 0,35 кг  ПОКОМ</t>
        </is>
      </c>
      <c r="B78" s="11" t="inlineStr">
        <is>
          <t>шт</t>
        </is>
      </c>
      <c r="C78" s="11" t="n">
        <v>137</v>
      </c>
      <c r="D78" s="11" t="n">
        <v>120</v>
      </c>
      <c r="E78" s="11" t="n">
        <v>149</v>
      </c>
      <c r="F78" s="11" t="n">
        <v>96</v>
      </c>
      <c r="G78" s="6" t="n">
        <v>0.35</v>
      </c>
      <c r="H78" s="11" t="n">
        <v>90</v>
      </c>
      <c r="I78" s="11" t="inlineStr">
        <is>
          <t>матрица</t>
        </is>
      </c>
      <c r="J78" s="11" t="n"/>
      <c r="K78" s="11" t="n">
        <v>155</v>
      </c>
      <c r="L78" s="11">
        <f>E78-K78</f>
        <v/>
      </c>
      <c r="M78" s="11" t="n"/>
      <c r="N78" s="11" t="n"/>
      <c r="O78" s="11" t="n">
        <v>193.3</v>
      </c>
      <c r="P78" s="11" t="n"/>
      <c r="Q78" s="11" t="n"/>
      <c r="R78" s="11" t="n"/>
      <c r="S78" s="11" t="n"/>
      <c r="T78" s="11" t="n"/>
      <c r="U78" s="11">
        <f>E78/5</f>
        <v/>
      </c>
      <c r="V78" s="4">
        <f>11*U78-T78-R78-Q78-P78-O78-F78</f>
        <v/>
      </c>
      <c r="W78" s="4">
        <f>V78</f>
        <v/>
      </c>
      <c r="X78" s="11">
        <f>(F78+O78+P78+Q78+R78+W78+T78+S78)/U78</f>
        <v/>
      </c>
      <c r="Y78" s="11">
        <f>(F78+O78+P78+Q78+R78+S78+T78)/U78</f>
        <v/>
      </c>
      <c r="Z78" s="11" t="n">
        <v>29</v>
      </c>
      <c r="AA78" s="11" t="n">
        <v>21.4</v>
      </c>
      <c r="AB78" s="11" t="n">
        <v>22</v>
      </c>
      <c r="AC78" s="11" t="n">
        <v>21.8</v>
      </c>
      <c r="AD78" s="11" t="n">
        <v>20</v>
      </c>
      <c r="AE78" s="11" t="n">
        <v>23</v>
      </c>
      <c r="AF78" s="11" t="n">
        <v>19</v>
      </c>
      <c r="AG78" s="11" t="n">
        <v>19.2</v>
      </c>
      <c r="AH78" s="11" t="n">
        <v>20.6</v>
      </c>
      <c r="AI78" s="11" t="n">
        <v>15.6</v>
      </c>
      <c r="AJ78" s="11" t="n"/>
      <c r="AK78" s="11">
        <f>ROUND(G78*W78,0)</f>
        <v/>
      </c>
      <c r="AL78">
        <f>U78*G78</f>
        <v/>
      </c>
      <c r="AM78" t="inlineStr">
        <is>
          <t>SU002985</t>
        </is>
      </c>
    </row>
    <row r="79">
      <c r="A79" s="11" t="inlineStr">
        <is>
          <t xml:space="preserve"> 395  Колбаса Докторская ГОСТ ТМ Вязанка в оболочке полиамид 0,37 кг. ПОКОМ</t>
        </is>
      </c>
      <c r="B79" s="11" t="inlineStr">
        <is>
          <t>шт</t>
        </is>
      </c>
      <c r="C79" s="11" t="n">
        <v>477</v>
      </c>
      <c r="D79" s="11" t="n">
        <v>790</v>
      </c>
      <c r="E79" s="11" t="n">
        <v>468</v>
      </c>
      <c r="F79" s="11" t="n">
        <v>725</v>
      </c>
      <c r="G79" s="6" t="n">
        <v>0.37</v>
      </c>
      <c r="H79" s="11" t="n">
        <v>50</v>
      </c>
      <c r="I79" s="11" t="inlineStr">
        <is>
          <t>матрица</t>
        </is>
      </c>
      <c r="J79" s="11" t="n"/>
      <c r="K79" s="11" t="n">
        <v>489</v>
      </c>
      <c r="L79" s="11">
        <f>E79-K79</f>
        <v/>
      </c>
      <c r="M79" s="11" t="n"/>
      <c r="N79" s="11" t="n"/>
      <c r="O79" s="11" t="n">
        <v>164.8310509999999</v>
      </c>
      <c r="P79" s="11" t="n"/>
      <c r="Q79" s="11" t="n"/>
      <c r="R79" s="11" t="n">
        <v>263.3015489999999</v>
      </c>
      <c r="S79" s="11" t="n"/>
      <c r="T79" s="11" t="n"/>
      <c r="U79" s="11">
        <f>E79/5</f>
        <v/>
      </c>
      <c r="V79" s="4" t="n"/>
      <c r="W79" s="4">
        <f>V79</f>
        <v/>
      </c>
      <c r="X79" s="11">
        <f>(F79+O79+P79+Q79+R79+W79+T79+S79)/U79</f>
        <v/>
      </c>
      <c r="Y79" s="11">
        <f>(F79+O79+P79+Q79+R79+S79+T79)/U79</f>
        <v/>
      </c>
      <c r="Z79" s="11" t="n">
        <v>104.8</v>
      </c>
      <c r="AA79" s="11" t="n">
        <v>111.2</v>
      </c>
      <c r="AB79" s="11" t="n">
        <v>113</v>
      </c>
      <c r="AC79" s="11" t="n">
        <v>100</v>
      </c>
      <c r="AD79" s="11" t="n">
        <v>88.2</v>
      </c>
      <c r="AE79" s="11" t="n">
        <v>79.2</v>
      </c>
      <c r="AF79" s="11" t="n">
        <v>78.2</v>
      </c>
      <c r="AG79" s="11" t="n">
        <v>97.8</v>
      </c>
      <c r="AH79" s="11" t="n">
        <v>89.2</v>
      </c>
      <c r="AI79" s="11" t="n">
        <v>84.59999999999999</v>
      </c>
      <c r="AJ79" s="11" t="n"/>
      <c r="AK79" s="11">
        <f>ROUND(G79*W79,0)</f>
        <v/>
      </c>
      <c r="AL79">
        <f>U79*G79</f>
        <v/>
      </c>
      <c r="AM79" t="inlineStr">
        <is>
          <t>SU002986</t>
        </is>
      </c>
    </row>
    <row r="80">
      <c r="A80" s="11" t="inlineStr">
        <is>
          <t xml:space="preserve"> 397  Ветчина Дугушка ТМ Стародворье ТС Дугушка в полиамидной оболочке 0,6 кг. ПОКОМ</t>
        </is>
      </c>
      <c r="B80" s="11" t="inlineStr">
        <is>
          <t>шт</t>
        </is>
      </c>
      <c r="C80" s="11" t="n">
        <v>146</v>
      </c>
      <c r="D80" s="11" t="n">
        <v>144</v>
      </c>
      <c r="E80" s="11" t="n">
        <v>131</v>
      </c>
      <c r="F80" s="11" t="n">
        <v>137</v>
      </c>
      <c r="G80" s="6" t="n">
        <v>0.6</v>
      </c>
      <c r="H80" s="11" t="n">
        <v>70</v>
      </c>
      <c r="I80" s="11" t="inlineStr">
        <is>
          <t>матрица</t>
        </is>
      </c>
      <c r="J80" s="11" t="n"/>
      <c r="K80" s="11" t="n">
        <v>137</v>
      </c>
      <c r="L80" s="11">
        <f>E80-K80</f>
        <v/>
      </c>
      <c r="M80" s="11" t="n"/>
      <c r="N80" s="11" t="n"/>
      <c r="O80" s="11" t="n">
        <v>95.19999999999996</v>
      </c>
      <c r="P80" s="11" t="n"/>
      <c r="Q80" s="11" t="n"/>
      <c r="R80" s="11" t="n"/>
      <c r="S80" s="11" t="n"/>
      <c r="T80" s="11" t="n"/>
      <c r="U80" s="11">
        <f>E80/5</f>
        <v/>
      </c>
      <c r="V80" s="4">
        <f>11*U80-T80-R80-Q80-P80-O80-F80</f>
        <v/>
      </c>
      <c r="W80" s="4">
        <f>V80</f>
        <v/>
      </c>
      <c r="X80" s="11">
        <f>(F80+O80+P80+Q80+R80+W80+T80+S80)/U80</f>
        <v/>
      </c>
      <c r="Y80" s="11">
        <f>(F80+O80+P80+Q80+R80+S80+T80)/U80</f>
        <v/>
      </c>
      <c r="Z80" s="11" t="n">
        <v>25.4</v>
      </c>
      <c r="AA80" s="11" t="n">
        <v>23.8</v>
      </c>
      <c r="AB80" s="11" t="n">
        <v>19.6</v>
      </c>
      <c r="AC80" s="11" t="n">
        <v>22.8</v>
      </c>
      <c r="AD80" s="11" t="n">
        <v>16.8</v>
      </c>
      <c r="AE80" s="11" t="n">
        <v>15.2</v>
      </c>
      <c r="AF80" s="11" t="n">
        <v>20.8</v>
      </c>
      <c r="AG80" s="11" t="n">
        <v>25.2</v>
      </c>
      <c r="AH80" s="11" t="n">
        <v>23</v>
      </c>
      <c r="AI80" s="11" t="n">
        <v>22.2</v>
      </c>
      <c r="AJ80" s="11" t="n"/>
      <c r="AK80" s="11">
        <f>ROUND(G80*W80,0)</f>
        <v/>
      </c>
      <c r="AL80">
        <f>U80*G80</f>
        <v/>
      </c>
      <c r="AM80" t="inlineStr">
        <is>
          <t>SU002643</t>
        </is>
      </c>
    </row>
    <row r="81">
      <c r="A81" s="11" t="inlineStr">
        <is>
          <t xml:space="preserve"> 405  Сардельки Сливушки ТМ Вязанка в оболочке айпил 0,33 кг. ПОКОМ</t>
        </is>
      </c>
      <c r="B81" s="11" t="inlineStr">
        <is>
          <t>шт</t>
        </is>
      </c>
      <c r="C81" s="11" t="n">
        <v>71</v>
      </c>
      <c r="D81" s="11" t="n">
        <v>12</v>
      </c>
      <c r="E81" s="11" t="n">
        <v>50</v>
      </c>
      <c r="F81" s="11" t="n">
        <v>33</v>
      </c>
      <c r="G81" s="6" t="n">
        <v>0.33</v>
      </c>
      <c r="H81" s="11" t="n">
        <v>40</v>
      </c>
      <c r="I81" s="11" t="inlineStr">
        <is>
          <t>матрица</t>
        </is>
      </c>
      <c r="J81" s="11" t="n"/>
      <c r="K81" s="11" t="n">
        <v>70</v>
      </c>
      <c r="L81" s="11">
        <f>E81-K81</f>
        <v/>
      </c>
      <c r="M81" s="11" t="n"/>
      <c r="N81" s="11" t="n"/>
      <c r="O81" s="11" t="n">
        <v>94.2</v>
      </c>
      <c r="P81" s="11" t="n"/>
      <c r="Q81" s="11" t="n"/>
      <c r="R81" s="11" t="n"/>
      <c r="S81" s="11" t="n"/>
      <c r="T81" s="11" t="n"/>
      <c r="U81" s="11">
        <f>E81/5</f>
        <v/>
      </c>
      <c r="V81" s="4" t="n"/>
      <c r="W81" s="4">
        <f>V81</f>
        <v/>
      </c>
      <c r="X81" s="11">
        <f>(F81+O81+P81+Q81+R81+W81+T81+S81)/U81</f>
        <v/>
      </c>
      <c r="Y81" s="11">
        <f>(F81+O81+P81+Q81+R81+S81+T81)/U81</f>
        <v/>
      </c>
      <c r="Z81" s="11" t="n">
        <v>13.8</v>
      </c>
      <c r="AA81" s="11" t="n">
        <v>6.2</v>
      </c>
      <c r="AB81" s="11" t="n">
        <v>5.6</v>
      </c>
      <c r="AC81" s="11" t="n">
        <v>8.800000000000001</v>
      </c>
      <c r="AD81" s="11" t="n">
        <v>10.6</v>
      </c>
      <c r="AE81" s="11" t="n">
        <v>10.6</v>
      </c>
      <c r="AF81" s="11" t="n">
        <v>10.4</v>
      </c>
      <c r="AG81" s="11" t="n">
        <v>9</v>
      </c>
      <c r="AH81" s="11" t="n">
        <v>8.6</v>
      </c>
      <c r="AI81" s="11" t="n">
        <v>6</v>
      </c>
      <c r="AJ81" s="11" t="n"/>
      <c r="AK81" s="11">
        <f>ROUND(G81*W81,0)</f>
        <v/>
      </c>
      <c r="AL81">
        <f>U81*G81</f>
        <v/>
      </c>
      <c r="AM81" t="inlineStr">
        <is>
          <t>SU002367</t>
        </is>
      </c>
    </row>
    <row r="82">
      <c r="A82" s="11" t="inlineStr">
        <is>
          <t xml:space="preserve"> 408  Ветчина Сливушка с индейкой ТМ Вязанка, 0,4кг  ПОКОМ</t>
        </is>
      </c>
      <c r="B82" s="11" t="inlineStr">
        <is>
          <t>шт</t>
        </is>
      </c>
      <c r="C82" s="11" t="n">
        <v>286</v>
      </c>
      <c r="D82" s="11" t="n">
        <v>298</v>
      </c>
      <c r="E82" s="11" t="n">
        <v>287</v>
      </c>
      <c r="F82" s="11" t="n">
        <v>266</v>
      </c>
      <c r="G82" s="6" t="n">
        <v>0.4</v>
      </c>
      <c r="H82" s="11" t="n">
        <v>55</v>
      </c>
      <c r="I82" s="11" t="inlineStr">
        <is>
          <t>матрица</t>
        </is>
      </c>
      <c r="J82" s="11" t="n"/>
      <c r="K82" s="11" t="n">
        <v>301</v>
      </c>
      <c r="L82" s="11">
        <f>E82-K82</f>
        <v/>
      </c>
      <c r="M82" s="11" t="n"/>
      <c r="N82" s="11" t="n"/>
      <c r="O82" s="11" t="n">
        <v>84.77969499999995</v>
      </c>
      <c r="P82" s="11" t="n"/>
      <c r="Q82" s="11" t="n"/>
      <c r="R82" s="11" t="n">
        <v>135.4273049999999</v>
      </c>
      <c r="S82" s="11" t="n"/>
      <c r="T82" s="11" t="n"/>
      <c r="U82" s="11">
        <f>E82/5</f>
        <v/>
      </c>
      <c r="V82" s="4">
        <f>11*U82-T82-R82-Q82-P82-O82-F82</f>
        <v/>
      </c>
      <c r="W82" s="4">
        <f>V82</f>
        <v/>
      </c>
      <c r="X82" s="11">
        <f>(F82+O82+P82+Q82+R82+W82+T82+S82)/U82</f>
        <v/>
      </c>
      <c r="Y82" s="11">
        <f>(F82+O82+P82+Q82+R82+S82+T82)/U82</f>
        <v/>
      </c>
      <c r="Z82" s="11" t="n">
        <v>51.8</v>
      </c>
      <c r="AA82" s="11" t="n">
        <v>49.2</v>
      </c>
      <c r="AB82" s="11" t="n">
        <v>55.8</v>
      </c>
      <c r="AC82" s="11" t="n">
        <v>49.8</v>
      </c>
      <c r="AD82" s="11" t="n">
        <v>36.2</v>
      </c>
      <c r="AE82" s="11" t="n">
        <v>42</v>
      </c>
      <c r="AF82" s="11" t="n">
        <v>46</v>
      </c>
      <c r="AG82" s="11" t="n">
        <v>56.4</v>
      </c>
      <c r="AH82" s="11" t="n">
        <v>55.4</v>
      </c>
      <c r="AI82" s="11" t="n">
        <v>44.8</v>
      </c>
      <c r="AJ82" s="11" t="n"/>
      <c r="AK82" s="11">
        <f>ROUND(G82*W82,0)</f>
        <v/>
      </c>
      <c r="AL82">
        <f>U82*G82</f>
        <v/>
      </c>
      <c r="AM82" t="inlineStr">
        <is>
          <t>SU002735</t>
        </is>
      </c>
    </row>
    <row r="83">
      <c r="A83" s="11" t="inlineStr">
        <is>
          <t xml:space="preserve"> 410  Сосиски Баварские с сыром ТМ Стародворье 0,35 кг. ПОКОМ</t>
        </is>
      </c>
      <c r="B83" s="11" t="inlineStr">
        <is>
          <t>шт</t>
        </is>
      </c>
      <c r="C83" s="11" t="n">
        <v>146</v>
      </c>
      <c r="D83" s="11" t="n">
        <v>54</v>
      </c>
      <c r="E83" s="11" t="n">
        <v>156</v>
      </c>
      <c r="F83" s="11" t="n">
        <v>33</v>
      </c>
      <c r="G83" s="6" t="n">
        <v>0.35</v>
      </c>
      <c r="H83" s="11" t="n">
        <v>40</v>
      </c>
      <c r="I83" s="12" t="inlineStr">
        <is>
          <t>НЕДОГРУЗ / матрица</t>
        </is>
      </c>
      <c r="J83" s="11" t="n"/>
      <c r="K83" s="11" t="n">
        <v>164</v>
      </c>
      <c r="L83" s="11">
        <f>E83-K83</f>
        <v/>
      </c>
      <c r="M83" s="11" t="n"/>
      <c r="N83" s="11" t="n"/>
      <c r="O83" s="11" t="n">
        <v>50</v>
      </c>
      <c r="P83" s="11" t="n">
        <v>-54</v>
      </c>
      <c r="Q83" s="11" t="n"/>
      <c r="R83" s="11" t="n">
        <v>25</v>
      </c>
      <c r="S83" s="11" t="n">
        <v>-31.42857142857143</v>
      </c>
      <c r="T83" s="11" t="n"/>
      <c r="U83" s="11">
        <f>E83/5</f>
        <v/>
      </c>
      <c r="V83" s="4" t="n">
        <v>100</v>
      </c>
      <c r="W83" s="4">
        <f>V83</f>
        <v/>
      </c>
      <c r="X83" s="11">
        <f>(F83+O83+P83+Q83+R83+W83+T83+S83)/U83</f>
        <v/>
      </c>
      <c r="Y83" s="11">
        <f>(F83+O83+P83+Q83+R83+S83+T83)/U83</f>
        <v/>
      </c>
      <c r="Z83" s="11" t="n">
        <v>23</v>
      </c>
      <c r="AA83" s="11" t="n">
        <v>3.2</v>
      </c>
      <c r="AB83" s="11" t="n">
        <v>15</v>
      </c>
      <c r="AC83" s="11" t="n">
        <v>25.4</v>
      </c>
      <c r="AD83" s="11" t="n">
        <v>10.2</v>
      </c>
      <c r="AE83" s="11" t="n">
        <v>7.2</v>
      </c>
      <c r="AF83" s="11" t="n">
        <v>14.6</v>
      </c>
      <c r="AG83" s="11" t="n">
        <v>29</v>
      </c>
      <c r="AH83" s="11" t="n">
        <v>24.2</v>
      </c>
      <c r="AI83" s="11" t="n">
        <v>2.6</v>
      </c>
      <c r="AJ83" s="11" t="n"/>
      <c r="AK83" s="11">
        <f>ROUND(G83*W83,0)</f>
        <v/>
      </c>
      <c r="AL83">
        <f>U83*G83</f>
        <v/>
      </c>
      <c r="AM83" t="inlineStr">
        <is>
          <t>SU003168</t>
        </is>
      </c>
    </row>
    <row r="84">
      <c r="A84" s="11" t="inlineStr">
        <is>
          <t xml:space="preserve"> 412  Сосиски Баварские ТМ Стародворье 0,35 кг ПОКОМ</t>
        </is>
      </c>
      <c r="B84" s="11" t="inlineStr">
        <is>
          <t>шт</t>
        </is>
      </c>
      <c r="C84" s="11" t="n">
        <v>332</v>
      </c>
      <c r="D84" s="11" t="n"/>
      <c r="E84" s="11" t="n">
        <v>176</v>
      </c>
      <c r="F84" s="11" t="n">
        <v>147</v>
      </c>
      <c r="G84" s="6" t="n">
        <v>0.35</v>
      </c>
      <c r="H84" s="11" t="n">
        <v>45</v>
      </c>
      <c r="I84" s="11" t="inlineStr">
        <is>
          <t>матрица</t>
        </is>
      </c>
      <c r="J84" s="11" t="n"/>
      <c r="K84" s="11" t="n">
        <v>177</v>
      </c>
      <c r="L84" s="11">
        <f>E84-K84</f>
        <v/>
      </c>
      <c r="M84" s="11" t="n"/>
      <c r="N84" s="11" t="n"/>
      <c r="O84" s="11" t="n">
        <v>111.4</v>
      </c>
      <c r="P84" s="11" t="n"/>
      <c r="Q84" s="11" t="n"/>
      <c r="R84" s="11" t="n"/>
      <c r="S84" s="11" t="n"/>
      <c r="T84" s="11" t="n"/>
      <c r="U84" s="11">
        <f>E84/5</f>
        <v/>
      </c>
      <c r="V84" s="4">
        <f>11*U84-T84-R84-Q84-P84-O84-F84</f>
        <v/>
      </c>
      <c r="W84" s="4">
        <f>V84</f>
        <v/>
      </c>
      <c r="X84" s="11">
        <f>(F84+O84+P84+Q84+R84+W84+T84+S84)/U84</f>
        <v/>
      </c>
      <c r="Y84" s="11">
        <f>(F84+O84+P84+Q84+R84+S84+T84)/U84</f>
        <v/>
      </c>
      <c r="Z84" s="11" t="n">
        <v>32.2</v>
      </c>
      <c r="AA84" s="11" t="n">
        <v>24.2</v>
      </c>
      <c r="AB84" s="11" t="n">
        <v>3.6</v>
      </c>
      <c r="AC84" s="11" t="n">
        <v>9.6</v>
      </c>
      <c r="AD84" s="11" t="n">
        <v>50.6</v>
      </c>
      <c r="AE84" s="11" t="n">
        <v>53.4</v>
      </c>
      <c r="AF84" s="11" t="n">
        <v>61.6</v>
      </c>
      <c r="AG84" s="11" t="n">
        <v>61.2</v>
      </c>
      <c r="AH84" s="11" t="n">
        <v>44</v>
      </c>
      <c r="AI84" s="11" t="n">
        <v>49</v>
      </c>
      <c r="AJ84" s="11" t="n"/>
      <c r="AK84" s="11">
        <f>ROUND(G84*W84,0)</f>
        <v/>
      </c>
      <c r="AL84">
        <f>U84*G84</f>
        <v/>
      </c>
      <c r="AM84" t="inlineStr">
        <is>
          <t>SU003167</t>
        </is>
      </c>
    </row>
    <row r="85">
      <c r="A85" s="11" t="inlineStr">
        <is>
          <t xml:space="preserve"> 430  Колбаса Стародворская с окороком 0,4 кг. ТМ Стародворье в оболочке полиамид  ПОКОМ</t>
        </is>
      </c>
      <c r="B85" s="11" t="inlineStr">
        <is>
          <t>шт</t>
        </is>
      </c>
      <c r="C85" s="11" t="n">
        <v>267</v>
      </c>
      <c r="D85" s="11" t="n">
        <v>90</v>
      </c>
      <c r="E85" s="11" t="n">
        <v>120</v>
      </c>
      <c r="F85" s="11" t="n">
        <v>237</v>
      </c>
      <c r="G85" s="6" t="n">
        <v>0.4</v>
      </c>
      <c r="H85" s="11" t="n">
        <v>55</v>
      </c>
      <c r="I85" s="11" t="inlineStr">
        <is>
          <t>матрица</t>
        </is>
      </c>
      <c r="J85" s="11" t="n"/>
      <c r="K85" s="11" t="n">
        <v>120</v>
      </c>
      <c r="L85" s="11">
        <f>E85-K85</f>
        <v/>
      </c>
      <c r="M85" s="11" t="n"/>
      <c r="N85" s="11" t="n"/>
      <c r="O85" s="11" t="n">
        <v>0</v>
      </c>
      <c r="P85" s="11" t="n"/>
      <c r="Q85" s="11" t="n"/>
      <c r="R85" s="11" t="n"/>
      <c r="S85" s="11" t="n"/>
      <c r="T85" s="11" t="n"/>
      <c r="U85" s="11">
        <f>E85/5</f>
        <v/>
      </c>
      <c r="V85" s="4">
        <f>11*U85-T85-R85-Q85-P85-O85-F85</f>
        <v/>
      </c>
      <c r="W85" s="4">
        <f>V85</f>
        <v/>
      </c>
      <c r="X85" s="11">
        <f>(F85+O85+P85+Q85+R85+W85+T85+S85)/U85</f>
        <v/>
      </c>
      <c r="Y85" s="11">
        <f>(F85+O85+P85+Q85+R85+S85+T85)/U85</f>
        <v/>
      </c>
      <c r="Z85" s="11" t="n">
        <v>16.4</v>
      </c>
      <c r="AA85" s="11" t="n">
        <v>27.2</v>
      </c>
      <c r="AB85" s="11" t="n">
        <v>12.6</v>
      </c>
      <c r="AC85" s="11" t="n">
        <v>11.8</v>
      </c>
      <c r="AD85" s="11" t="n">
        <v>36.2</v>
      </c>
      <c r="AE85" s="11" t="n">
        <v>39.8</v>
      </c>
      <c r="AF85" s="11" t="n">
        <v>15</v>
      </c>
      <c r="AG85" s="11" t="n">
        <v>16</v>
      </c>
      <c r="AH85" s="11" t="n">
        <v>28</v>
      </c>
      <c r="AI85" s="11" t="n">
        <v>29.8</v>
      </c>
      <c r="AJ85" s="11" t="n"/>
      <c r="AK85" s="11">
        <f>ROUND(G85*W85,0)</f>
        <v/>
      </c>
      <c r="AL85">
        <f>U85*G85</f>
        <v/>
      </c>
      <c r="AM85" t="inlineStr">
        <is>
          <t>SU003272</t>
        </is>
      </c>
    </row>
    <row r="86">
      <c r="A86" s="11" t="inlineStr">
        <is>
          <t xml:space="preserve"> 433 Колбаса Стародворская со шпиком  в оболочке полиамид. ТМ Стародворье ВЕС ПОКОМ</t>
        </is>
      </c>
      <c r="B86" s="11" t="inlineStr">
        <is>
          <t>кг</t>
        </is>
      </c>
      <c r="C86" s="11" t="n">
        <v>71.26600000000001</v>
      </c>
      <c r="D86" s="11" t="n"/>
      <c r="E86" s="11" t="n">
        <v>12.904</v>
      </c>
      <c r="F86" s="11" t="n">
        <v>46.64</v>
      </c>
      <c r="G86" s="6" t="n">
        <v>1</v>
      </c>
      <c r="H86" s="11" t="n">
        <v>55</v>
      </c>
      <c r="I86" s="11" t="inlineStr">
        <is>
          <t>матрица</t>
        </is>
      </c>
      <c r="J86" s="11" t="n"/>
      <c r="K86" s="11" t="n">
        <v>11</v>
      </c>
      <c r="L86" s="11">
        <f>E86-K86</f>
        <v/>
      </c>
      <c r="M86" s="11" t="n"/>
      <c r="N86" s="11" t="n"/>
      <c r="O86" s="11" t="n">
        <v>0</v>
      </c>
      <c r="P86" s="11" t="n"/>
      <c r="Q86" s="11" t="n"/>
      <c r="R86" s="11" t="n"/>
      <c r="S86" s="11" t="n"/>
      <c r="T86" s="11" t="n"/>
      <c r="U86" s="11">
        <f>E86/5</f>
        <v/>
      </c>
      <c r="V86" s="4" t="n"/>
      <c r="W86" s="4">
        <f>V86</f>
        <v/>
      </c>
      <c r="X86" s="11">
        <f>(F86+O86+P86+Q86+R86+W86+T86+S86)/U86</f>
        <v/>
      </c>
      <c r="Y86" s="11">
        <f>(F86+O86+P86+Q86+R86+S86+T86)/U86</f>
        <v/>
      </c>
      <c r="Z86" s="11" t="n">
        <v>3.1728</v>
      </c>
      <c r="AA86" s="11" t="n">
        <v>2.5782</v>
      </c>
      <c r="AB86" s="11" t="n">
        <v>1.977</v>
      </c>
      <c r="AC86" s="11" t="n">
        <v>1.7008</v>
      </c>
      <c r="AD86" s="11" t="n">
        <v>1.6816</v>
      </c>
      <c r="AE86" s="11" t="n">
        <v>6.2156</v>
      </c>
      <c r="AF86" s="11" t="n">
        <v>7.998600000000001</v>
      </c>
      <c r="AG86" s="11" t="n">
        <v>3.4682</v>
      </c>
      <c r="AH86" s="11" t="n">
        <v>1.6208</v>
      </c>
      <c r="AI86" s="11" t="n">
        <v>-1.0532</v>
      </c>
      <c r="AJ86" s="15" t="inlineStr">
        <is>
          <t>нужно увеличить продажи!!!</t>
        </is>
      </c>
      <c r="AK86" s="11">
        <f>ROUND(G86*W86,0)</f>
        <v/>
      </c>
      <c r="AL86">
        <f>U86*G86</f>
        <v/>
      </c>
      <c r="AM86" t="inlineStr">
        <is>
          <t>SU003275</t>
        </is>
      </c>
    </row>
    <row r="87">
      <c r="A87" s="8" t="inlineStr">
        <is>
          <t xml:space="preserve"> 435  Колбаса Молочная Стародворская  с молоком в оболочке полиамид 0,4 кг.ТМ Стародворье ПОКОМ</t>
        </is>
      </c>
      <c r="B87" s="8" t="inlineStr">
        <is>
          <t>шт</t>
        </is>
      </c>
      <c r="C87" s="8" t="n">
        <v>4</v>
      </c>
      <c r="D87" s="8" t="n"/>
      <c r="E87" s="8" t="n"/>
      <c r="F87" s="8" t="n">
        <v>3</v>
      </c>
      <c r="G87" s="9" t="n">
        <v>0</v>
      </c>
      <c r="H87" s="8" t="n">
        <v>55</v>
      </c>
      <c r="I87" s="8" t="inlineStr">
        <is>
          <t>не в матрице</t>
        </is>
      </c>
      <c r="J87" s="8" t="n"/>
      <c r="K87" s="8" t="n">
        <v>12</v>
      </c>
      <c r="L87" s="8">
        <f>E87-K87</f>
        <v/>
      </c>
      <c r="M87" s="8" t="n"/>
      <c r="N87" s="8" t="n"/>
      <c r="O87" s="8" t="n">
        <v>0</v>
      </c>
      <c r="P87" s="8" t="n"/>
      <c r="Q87" s="8" t="n"/>
      <c r="R87" s="8" t="n"/>
      <c r="S87" s="8" t="n"/>
      <c r="T87" s="8" t="n"/>
      <c r="U87" s="8">
        <f>E87/5</f>
        <v/>
      </c>
      <c r="V87" s="10" t="n"/>
      <c r="W87" s="4">
        <f>V87</f>
        <v/>
      </c>
      <c r="X87" s="11">
        <f>(F87+O87+P87+Q87+R87+W87+T87+S87)/U87</f>
        <v/>
      </c>
      <c r="Y87" s="11">
        <f>(F87+O87+P87+Q87+R87+S87+T87)/U87</f>
        <v/>
      </c>
      <c r="Z87" s="8" t="n">
        <v>0</v>
      </c>
      <c r="AA87" s="8" t="n">
        <v>0</v>
      </c>
      <c r="AB87" s="8" t="n">
        <v>0.6</v>
      </c>
      <c r="AC87" s="8" t="n">
        <v>0.6</v>
      </c>
      <c r="AD87" s="8" t="n">
        <v>2</v>
      </c>
      <c r="AE87" s="8" t="n">
        <v>4</v>
      </c>
      <c r="AF87" s="8" t="n">
        <v>4</v>
      </c>
      <c r="AG87" s="8" t="n">
        <v>6</v>
      </c>
      <c r="AH87" s="8" t="n">
        <v>4</v>
      </c>
      <c r="AI87" s="8" t="n">
        <v>1.2</v>
      </c>
      <c r="AJ87" s="8" t="n"/>
      <c r="AK87" s="11">
        <f>ROUND(G87*W87,0)</f>
        <v/>
      </c>
      <c r="AL87">
        <f>U87*G87</f>
        <v/>
      </c>
      <c r="AM87" t="inlineStr">
        <is>
          <t>SU003274</t>
        </is>
      </c>
    </row>
    <row r="88">
      <c r="A88" s="11" t="inlineStr">
        <is>
          <t xml:space="preserve"> 436  Колбаса Молочная стародворская с молоком, ВЕС, ТМ Стародворье  ПОКОМ</t>
        </is>
      </c>
      <c r="B88" s="11" t="inlineStr">
        <is>
          <t>кг</t>
        </is>
      </c>
      <c r="C88" s="11" t="n">
        <v>196.059</v>
      </c>
      <c r="D88" s="11" t="n">
        <v>357.234</v>
      </c>
      <c r="E88" s="11" t="n">
        <v>231.308</v>
      </c>
      <c r="F88" s="11" t="n">
        <v>261.427</v>
      </c>
      <c r="G88" s="6" t="n">
        <v>1</v>
      </c>
      <c r="H88" s="11" t="n">
        <v>55</v>
      </c>
      <c r="I88" s="11" t="inlineStr">
        <is>
          <t>матрица</t>
        </is>
      </c>
      <c r="J88" s="11" t="n"/>
      <c r="K88" s="11" t="n">
        <v>221</v>
      </c>
      <c r="L88" s="11">
        <f>E88-K88</f>
        <v/>
      </c>
      <c r="M88" s="11" t="n"/>
      <c r="N88" s="11" t="n"/>
      <c r="O88" s="11" t="n">
        <v>96.14161865000008</v>
      </c>
      <c r="P88" s="11" t="n"/>
      <c r="Q88" s="11" t="n"/>
      <c r="R88" s="11" t="n">
        <v>153.5768713500001</v>
      </c>
      <c r="S88" s="11" t="n"/>
      <c r="T88" s="11" t="n"/>
      <c r="U88" s="11">
        <f>E88/5</f>
        <v/>
      </c>
      <c r="V88" s="4" t="n"/>
      <c r="W88" s="4">
        <f>V88</f>
        <v/>
      </c>
      <c r="X88" s="11">
        <f>(F88+O88+P88+Q88+R88+W88+T88+S88)/U88</f>
        <v/>
      </c>
      <c r="Y88" s="11">
        <f>(F88+O88+P88+Q88+R88+S88+T88)/U88</f>
        <v/>
      </c>
      <c r="Z88" s="11" t="n">
        <v>53.5424</v>
      </c>
      <c r="AA88" s="11" t="n">
        <v>48.606</v>
      </c>
      <c r="AB88" s="11" t="n">
        <v>44.5766</v>
      </c>
      <c r="AC88" s="11" t="n">
        <v>42.3018</v>
      </c>
      <c r="AD88" s="11" t="n">
        <v>32.958</v>
      </c>
      <c r="AE88" s="11" t="n">
        <v>40.682</v>
      </c>
      <c r="AF88" s="11" t="n">
        <v>27.4182</v>
      </c>
      <c r="AG88" s="11" t="n">
        <v>33.9306</v>
      </c>
      <c r="AH88" s="11" t="n">
        <v>31.182</v>
      </c>
      <c r="AI88" s="11" t="n">
        <v>37.1246</v>
      </c>
      <c r="AJ88" s="11" t="n"/>
      <c r="AK88" s="11">
        <f>ROUND(G88*W88,0)</f>
        <v/>
      </c>
      <c r="AL88">
        <f>U88*G88</f>
        <v/>
      </c>
      <c r="AM88" t="inlineStr">
        <is>
          <t>SU003273</t>
        </is>
      </c>
    </row>
    <row r="89">
      <c r="A89" s="11" t="inlineStr">
        <is>
          <t xml:space="preserve"> 449  Колбаса Дугушка Стародворская ВЕС ТС Дугушка ПОКОМ</t>
        </is>
      </c>
      <c r="B89" s="11" t="inlineStr">
        <is>
          <t>кг</t>
        </is>
      </c>
      <c r="C89" s="11" t="n">
        <v>1277.781</v>
      </c>
      <c r="D89" s="11" t="n">
        <v>546.934</v>
      </c>
      <c r="E89" s="11" t="n">
        <v>748.3150000000001</v>
      </c>
      <c r="F89" s="11" t="n">
        <v>1020.962</v>
      </c>
      <c r="G89" s="6" t="n">
        <v>1</v>
      </c>
      <c r="H89" s="11" t="n">
        <v>60</v>
      </c>
      <c r="I89" s="11" t="inlineStr">
        <is>
          <t>матрица</t>
        </is>
      </c>
      <c r="J89" s="11" t="n"/>
      <c r="K89" s="11" t="n">
        <v>749.67</v>
      </c>
      <c r="L89" s="11">
        <f>E89-K89</f>
        <v/>
      </c>
      <c r="M89" s="11" t="n"/>
      <c r="N89" s="11" t="n"/>
      <c r="O89" s="11" t="n">
        <v>300.9072685079998</v>
      </c>
      <c r="P89" s="11" t="n"/>
      <c r="Q89" s="11" t="n">
        <v>200</v>
      </c>
      <c r="R89" s="11" t="n">
        <v>480.6700522919997</v>
      </c>
      <c r="S89" s="11" t="n"/>
      <c r="T89" s="11" t="n"/>
      <c r="U89" s="11">
        <f>E89/5</f>
        <v/>
      </c>
      <c r="V89" s="4" t="n"/>
      <c r="W89" s="4">
        <f>V89</f>
        <v/>
      </c>
      <c r="X89" s="11">
        <f>(F89+O89+P89+Q89+R89+W89+T89+S89)/U89</f>
        <v/>
      </c>
      <c r="Y89" s="11">
        <f>(F89+O89+P89+Q89+R89+S89+T89)/U89</f>
        <v/>
      </c>
      <c r="Z89" s="11" t="n">
        <v>165.056</v>
      </c>
      <c r="AA89" s="11" t="n">
        <v>161.7576</v>
      </c>
      <c r="AB89" s="11" t="n">
        <v>146.6194</v>
      </c>
      <c r="AC89" s="11" t="n">
        <v>153.8512</v>
      </c>
      <c r="AD89" s="11" t="n">
        <v>151.1354</v>
      </c>
      <c r="AE89" s="11" t="n">
        <v>164.3488</v>
      </c>
      <c r="AF89" s="11" t="n">
        <v>171.851</v>
      </c>
      <c r="AG89" s="11" t="n">
        <v>176.9582</v>
      </c>
      <c r="AH89" s="11" t="n">
        <v>182.367</v>
      </c>
      <c r="AI89" s="11" t="n">
        <v>171.1482</v>
      </c>
      <c r="AJ89" s="11" t="n"/>
      <c r="AK89" s="11">
        <f>ROUND(G89*W89,0)</f>
        <v/>
      </c>
      <c r="AL89">
        <f>U89*G89</f>
        <v/>
      </c>
      <c r="AM89" t="inlineStr">
        <is>
          <t>SU002634</t>
        </is>
      </c>
    </row>
    <row r="90">
      <c r="A90" s="8" t="inlineStr">
        <is>
          <t xml:space="preserve"> 451 Сосиски Филейские ТМ Вязанка в оболочке целлофан 0,3 кг. ПОКОМ</t>
        </is>
      </c>
      <c r="B90" s="8" t="inlineStr">
        <is>
          <t>шт</t>
        </is>
      </c>
      <c r="C90" s="8" t="n"/>
      <c r="D90" s="8" t="n"/>
      <c r="E90" s="8" t="n"/>
      <c r="F90" s="8" t="n"/>
      <c r="G90" s="9" t="n">
        <v>0</v>
      </c>
      <c r="H90" s="8" t="n"/>
      <c r="I90" s="8" t="inlineStr">
        <is>
          <t>матрица</t>
        </is>
      </c>
      <c r="J90" s="8" t="n"/>
      <c r="K90" s="8" t="n"/>
      <c r="L90" s="8">
        <f>E90-K90</f>
        <v/>
      </c>
      <c r="M90" s="8" t="n"/>
      <c r="N90" s="8" t="n"/>
      <c r="O90" s="8" t="n">
        <v>0</v>
      </c>
      <c r="P90" s="8" t="n"/>
      <c r="Q90" s="8" t="n"/>
      <c r="R90" s="8" t="n"/>
      <c r="S90" s="8" t="n"/>
      <c r="T90" s="8" t="n"/>
      <c r="U90" s="8">
        <f>E90/5</f>
        <v/>
      </c>
      <c r="V90" s="10" t="n"/>
      <c r="W90" s="4">
        <f>V90</f>
        <v/>
      </c>
      <c r="X90" s="11">
        <f>(F90+O90+P90+Q90+R90+W90+T90+S90)/U90</f>
        <v/>
      </c>
      <c r="Y90" s="11">
        <f>(F90+O90+P90+Q90+R90+S90+T90)/U90</f>
        <v/>
      </c>
      <c r="Z90" s="8" t="n">
        <v>0</v>
      </c>
      <c r="AA90" s="8" t="n">
        <v>0</v>
      </c>
      <c r="AB90" s="8" t="n">
        <v>0</v>
      </c>
      <c r="AC90" s="8" t="n">
        <v>0</v>
      </c>
      <c r="AD90" s="8" t="n">
        <v>0</v>
      </c>
      <c r="AE90" s="8" t="n">
        <v>0</v>
      </c>
      <c r="AF90" s="8" t="n">
        <v>0</v>
      </c>
      <c r="AG90" s="8" t="n">
        <v>0</v>
      </c>
      <c r="AH90" s="8" t="n">
        <v>0</v>
      </c>
      <c r="AI90" s="8" t="n">
        <v>0</v>
      </c>
      <c r="AJ90" s="8" t="inlineStr">
        <is>
          <t>нет потребности</t>
        </is>
      </c>
      <c r="AK90" s="11">
        <f>ROUND(G90*W90,0)</f>
        <v/>
      </c>
      <c r="AL90">
        <f>U90*G90</f>
        <v/>
      </c>
      <c r="AM90" t="inlineStr">
        <is>
          <t>SU002825</t>
        </is>
      </c>
    </row>
    <row r="91">
      <c r="A91" s="11" t="inlineStr">
        <is>
          <t xml:space="preserve"> 452  Колбаса Со шпиком ВЕС большой батон ТМ Особый рецепт  ПОКОМ</t>
        </is>
      </c>
      <c r="B91" s="11" t="inlineStr">
        <is>
          <t>кг</t>
        </is>
      </c>
      <c r="C91" s="11" t="n">
        <v>3953.537</v>
      </c>
      <c r="D91" s="11" t="n">
        <v>2638.111</v>
      </c>
      <c r="E91" s="11" t="n">
        <v>1991.219</v>
      </c>
      <c r="F91" s="11" t="n">
        <v>4463.971</v>
      </c>
      <c r="G91" s="6" t="n">
        <v>1</v>
      </c>
      <c r="H91" s="11" t="n">
        <v>60</v>
      </c>
      <c r="I91" s="11" t="inlineStr">
        <is>
          <t>матрица</t>
        </is>
      </c>
      <c r="J91" s="11" t="n"/>
      <c r="K91" s="11" t="n">
        <v>1992.866</v>
      </c>
      <c r="L91" s="11">
        <f>E91-K91</f>
        <v/>
      </c>
      <c r="M91" s="11" t="n"/>
      <c r="N91" s="11" t="n"/>
      <c r="O91" s="11" t="n">
        <v>518.8044964410003</v>
      </c>
      <c r="P91" s="11" t="n"/>
      <c r="Q91" s="11" t="n">
        <v>400</v>
      </c>
      <c r="R91" s="11" t="n">
        <v>828.7396501590003</v>
      </c>
      <c r="S91" s="11" t="n"/>
      <c r="T91" s="11" t="n"/>
      <c r="U91" s="11">
        <f>E91/5</f>
        <v/>
      </c>
      <c r="V91" s="4" t="n"/>
      <c r="W91" s="4">
        <f>V91</f>
        <v/>
      </c>
      <c r="X91" s="11">
        <f>(F91+O91+P91+Q91+R91+W91+T91+S91)/U91</f>
        <v/>
      </c>
      <c r="Y91" s="11">
        <f>(F91+O91+P91+Q91+R91+S91+T91)/U91</f>
        <v/>
      </c>
      <c r="Z91" s="11" t="n">
        <v>447.414</v>
      </c>
      <c r="AA91" s="11" t="n">
        <v>441.0402</v>
      </c>
      <c r="AB91" s="11" t="n">
        <v>428.073</v>
      </c>
      <c r="AC91" s="11" t="n">
        <v>430.8746</v>
      </c>
      <c r="AD91" s="11" t="n">
        <v>398.4454</v>
      </c>
      <c r="AE91" s="11" t="n">
        <v>391.1792</v>
      </c>
      <c r="AF91" s="11" t="n">
        <v>446.9408</v>
      </c>
      <c r="AG91" s="11" t="n">
        <v>458.4994</v>
      </c>
      <c r="AH91" s="11" t="n">
        <v>436.0132</v>
      </c>
      <c r="AI91" s="11" t="n">
        <v>426.0926000000001</v>
      </c>
      <c r="AJ91" s="11" t="n"/>
      <c r="AK91" s="11">
        <f>ROUND(G91*W91,0)</f>
        <v/>
      </c>
      <c r="AL91">
        <f>U91*G91</f>
        <v/>
      </c>
      <c r="AM91" t="inlineStr">
        <is>
          <t>SU003423</t>
        </is>
      </c>
    </row>
    <row r="92">
      <c r="A92" s="11" t="inlineStr">
        <is>
          <t xml:space="preserve"> 456  Колбаса Филейная ТМ Особый рецепт ВЕС большой батон  ПОКОМ</t>
        </is>
      </c>
      <c r="B92" s="11" t="inlineStr">
        <is>
          <t>кг</t>
        </is>
      </c>
      <c r="C92" s="11" t="n">
        <v>3377.045</v>
      </c>
      <c r="D92" s="11" t="n">
        <v>3256.205</v>
      </c>
      <c r="E92" s="11" t="n">
        <v>1886.808</v>
      </c>
      <c r="F92" s="11" t="n">
        <v>4553.568</v>
      </c>
      <c r="G92" s="6" t="n">
        <v>1</v>
      </c>
      <c r="H92" s="11" t="n">
        <v>60</v>
      </c>
      <c r="I92" s="11" t="inlineStr">
        <is>
          <t>матрица</t>
        </is>
      </c>
      <c r="J92" s="11" t="n"/>
      <c r="K92" s="11" t="n">
        <v>1921.75</v>
      </c>
      <c r="L92" s="11">
        <f>E92-K92</f>
        <v/>
      </c>
      <c r="M92" s="11" t="n"/>
      <c r="N92" s="11" t="n"/>
      <c r="O92" s="11" t="n">
        <v>427.994701827</v>
      </c>
      <c r="P92" s="11" t="n"/>
      <c r="Q92" s="11" t="n">
        <v>500</v>
      </c>
      <c r="R92" s="11" t="n">
        <v>683.6798483729999</v>
      </c>
      <c r="S92" s="11" t="n"/>
      <c r="T92" s="11" t="n"/>
      <c r="U92" s="11">
        <f>E92/5</f>
        <v/>
      </c>
      <c r="V92" s="4" t="n"/>
      <c r="W92" s="4">
        <f>V92</f>
        <v/>
      </c>
      <c r="X92" s="11">
        <f>(F92+O92+P92+Q92+R92+W92+T92+S92)/U92</f>
        <v/>
      </c>
      <c r="Y92" s="11">
        <f>(F92+O92+P92+Q92+R92+S92+T92)/U92</f>
        <v/>
      </c>
      <c r="Z92" s="11" t="n">
        <v>462.4796</v>
      </c>
      <c r="AA92" s="11" t="n">
        <v>465.3364</v>
      </c>
      <c r="AB92" s="11" t="n">
        <v>430.0966</v>
      </c>
      <c r="AC92" s="11" t="n">
        <v>430.392</v>
      </c>
      <c r="AD92" s="11" t="n">
        <v>397.8078</v>
      </c>
      <c r="AE92" s="11" t="n">
        <v>401.3212</v>
      </c>
      <c r="AF92" s="11" t="n">
        <v>409.5432</v>
      </c>
      <c r="AG92" s="11" t="n">
        <v>447.6552</v>
      </c>
      <c r="AH92" s="11" t="n">
        <v>530.0226</v>
      </c>
      <c r="AI92" s="11" t="n">
        <v>493.2642</v>
      </c>
      <c r="AJ92" s="11" t="n"/>
      <c r="AK92" s="11">
        <f>ROUND(G92*W92,0)</f>
        <v/>
      </c>
      <c r="AL92">
        <f>U92*G92</f>
        <v/>
      </c>
      <c r="AM92" t="inlineStr">
        <is>
          <t>SU003420</t>
        </is>
      </c>
    </row>
    <row r="93">
      <c r="A93" s="11" t="inlineStr">
        <is>
          <t xml:space="preserve"> 457  Колбаса Молочная ТМ Особый рецепт ВЕС большой батон  ПОКОМ</t>
        </is>
      </c>
      <c r="B93" s="11" t="inlineStr">
        <is>
          <t>кг</t>
        </is>
      </c>
      <c r="C93" s="11" t="n">
        <v>5586.778</v>
      </c>
      <c r="D93" s="11" t="n">
        <v>2629.479</v>
      </c>
      <c r="E93" s="11" t="n">
        <v>2437.902</v>
      </c>
      <c r="F93" s="11" t="n">
        <v>5587.004</v>
      </c>
      <c r="G93" s="6" t="n">
        <v>1</v>
      </c>
      <c r="H93" s="11" t="n">
        <v>60</v>
      </c>
      <c r="I93" s="11" t="inlineStr">
        <is>
          <t>матрица</t>
        </is>
      </c>
      <c r="J93" s="11" t="n"/>
      <c r="K93" s="11" t="n">
        <v>2478.55</v>
      </c>
      <c r="L93" s="11">
        <f>E93-K93</f>
        <v/>
      </c>
      <c r="M93" s="11" t="n"/>
      <c r="N93" s="11" t="n"/>
      <c r="O93" s="11" t="n">
        <v>466.9683467680002</v>
      </c>
      <c r="P93" s="11" t="n"/>
      <c r="Q93" s="11" t="n">
        <v>1200</v>
      </c>
      <c r="R93" s="11" t="n">
        <v>745.9364500320003</v>
      </c>
      <c r="S93" s="11" t="n"/>
      <c r="T93" s="11" t="n">
        <v>400</v>
      </c>
      <c r="U93" s="11">
        <f>E93/5</f>
        <v/>
      </c>
      <c r="V93" s="4" t="n"/>
      <c r="W93" s="4">
        <f>V93</f>
        <v/>
      </c>
      <c r="X93" s="11">
        <f>(F93+O93+P93+Q93+R93+W93+T93+S93)/U93</f>
        <v/>
      </c>
      <c r="Y93" s="11">
        <f>(F93+O93+P93+Q93+R93+S93+T93)/U93</f>
        <v/>
      </c>
      <c r="Z93" s="11" t="n">
        <v>602.749</v>
      </c>
      <c r="AA93" s="11" t="n">
        <v>636.6496</v>
      </c>
      <c r="AB93" s="11" t="n">
        <v>570.6522</v>
      </c>
      <c r="AC93" s="11" t="n">
        <v>530.8288</v>
      </c>
      <c r="AD93" s="11" t="n">
        <v>571.2764</v>
      </c>
      <c r="AE93" s="11" t="n">
        <v>585.2189999999999</v>
      </c>
      <c r="AF93" s="11" t="n">
        <v>581.1828</v>
      </c>
      <c r="AG93" s="11" t="n">
        <v>622.203</v>
      </c>
      <c r="AH93" s="11" t="n">
        <v>586.1596</v>
      </c>
      <c r="AI93" s="11" t="n">
        <v>578.3432</v>
      </c>
      <c r="AJ93" s="11" t="n"/>
      <c r="AK93" s="11">
        <f>ROUND(G93*W93,0)</f>
        <v/>
      </c>
      <c r="AL93">
        <f>U93*G93</f>
        <v/>
      </c>
      <c r="AM93" t="inlineStr">
        <is>
          <t>SU003422</t>
        </is>
      </c>
    </row>
    <row r="94">
      <c r="A94" s="11" t="inlineStr">
        <is>
          <t xml:space="preserve"> 460  Колбаса Стародворская Традиционная ВЕС ТМ Стародворье в оболочке полиамид. ПОКОМ</t>
        </is>
      </c>
      <c r="B94" s="11" t="inlineStr">
        <is>
          <t>кг</t>
        </is>
      </c>
      <c r="C94" s="11" t="n">
        <v>63.778</v>
      </c>
      <c r="D94" s="11" t="n">
        <v>21.496</v>
      </c>
      <c r="E94" s="11" t="n">
        <v>42.4</v>
      </c>
      <c r="F94" s="11" t="n">
        <v>40.903</v>
      </c>
      <c r="G94" s="6" t="n">
        <v>1</v>
      </c>
      <c r="H94" s="11" t="n">
        <v>55</v>
      </c>
      <c r="I94" s="11" t="inlineStr">
        <is>
          <t>матрица</t>
        </is>
      </c>
      <c r="J94" s="11" t="n"/>
      <c r="K94" s="11" t="n">
        <v>44.6</v>
      </c>
      <c r="L94" s="11">
        <f>E94-K94</f>
        <v/>
      </c>
      <c r="M94" s="11" t="n"/>
      <c r="N94" s="11" t="n"/>
      <c r="O94" s="11" t="n">
        <v>0</v>
      </c>
      <c r="P94" s="11" t="n"/>
      <c r="Q94" s="11" t="n"/>
      <c r="R94" s="11" t="n"/>
      <c r="S94" s="11" t="n"/>
      <c r="T94" s="11" t="n"/>
      <c r="U94" s="11">
        <f>E94/5</f>
        <v/>
      </c>
      <c r="V94" s="4">
        <f>10*U94-T94-R94-Q94-P94-O94-F94</f>
        <v/>
      </c>
      <c r="W94" s="4">
        <f>V94</f>
        <v/>
      </c>
      <c r="X94" s="11">
        <f>(F94+O94+P94+Q94+R94+W94+T94+S94)/U94</f>
        <v/>
      </c>
      <c r="Y94" s="11">
        <f>(F94+O94+P94+Q94+R94+S94+T94)/U94</f>
        <v/>
      </c>
      <c r="Z94" s="11" t="n">
        <v>2.9582</v>
      </c>
      <c r="AA94" s="11" t="n">
        <v>3.7658</v>
      </c>
      <c r="AB94" s="11" t="n">
        <v>7.8484</v>
      </c>
      <c r="AC94" s="11" t="n">
        <v>7.046200000000001</v>
      </c>
      <c r="AD94" s="11" t="n">
        <v>8.6546</v>
      </c>
      <c r="AE94" s="11" t="n">
        <v>8.919599999999999</v>
      </c>
      <c r="AF94" s="11" t="n">
        <v>9.228400000000001</v>
      </c>
      <c r="AG94" s="11" t="n">
        <v>8.958600000000001</v>
      </c>
      <c r="AH94" s="11" t="n">
        <v>7.304600000000001</v>
      </c>
      <c r="AI94" s="11" t="n">
        <v>6.698600000000001</v>
      </c>
      <c r="AJ94" s="11" t="n"/>
      <c r="AK94" s="11">
        <f>ROUND(G94*W94,0)</f>
        <v/>
      </c>
      <c r="AL94">
        <f>U94*G94</f>
        <v/>
      </c>
      <c r="AM94" t="inlineStr">
        <is>
          <t>SU003392</t>
        </is>
      </c>
    </row>
    <row r="95">
      <c r="A95" s="8" t="inlineStr">
        <is>
          <t xml:space="preserve"> 469  Колбаса Филедворская по-стародворски ТМ Стародворье в оболочке полиамид.ВЕС  ПОКОМ </t>
        </is>
      </c>
      <c r="B95" s="8" t="inlineStr">
        <is>
          <t>кг</t>
        </is>
      </c>
      <c r="C95" s="8" t="n">
        <v>4.125</v>
      </c>
      <c r="D95" s="8" t="n"/>
      <c r="E95" s="8" t="n"/>
      <c r="F95" s="8" t="n">
        <v>4.125</v>
      </c>
      <c r="G95" s="9" t="n">
        <v>0</v>
      </c>
      <c r="H95" s="8" t="n">
        <v>55</v>
      </c>
      <c r="I95" s="8" t="inlineStr">
        <is>
          <t>не в матрице</t>
        </is>
      </c>
      <c r="J95" s="8" t="n"/>
      <c r="K95" s="8" t="n">
        <v>5.2</v>
      </c>
      <c r="L95" s="8">
        <f>E95-K95</f>
        <v/>
      </c>
      <c r="M95" s="8" t="n"/>
      <c r="N95" s="8" t="n"/>
      <c r="O95" s="8" t="n">
        <v>0</v>
      </c>
      <c r="P95" s="8" t="n"/>
      <c r="Q95" s="8" t="n"/>
      <c r="R95" s="8" t="n"/>
      <c r="S95" s="8" t="n"/>
      <c r="T95" s="8" t="n"/>
      <c r="U95" s="8">
        <f>E95/5</f>
        <v/>
      </c>
      <c r="V95" s="10" t="n"/>
      <c r="W95" s="4">
        <f>V95</f>
        <v/>
      </c>
      <c r="X95" s="11">
        <f>(F95+O95+P95+Q95+R95+W95+T95+S95)/U95</f>
        <v/>
      </c>
      <c r="Y95" s="11">
        <f>(F95+O95+P95+Q95+R95+S95+T95)/U95</f>
        <v/>
      </c>
      <c r="Z95" s="8" t="n">
        <v>0</v>
      </c>
      <c r="AA95" s="8" t="n">
        <v>0.8039999999999999</v>
      </c>
      <c r="AB95" s="8" t="n">
        <v>3.4894</v>
      </c>
      <c r="AC95" s="8" t="n">
        <v>4.046200000000001</v>
      </c>
      <c r="AD95" s="8" t="n">
        <v>4.3286</v>
      </c>
      <c r="AE95" s="8" t="n">
        <v>3.7852</v>
      </c>
      <c r="AF95" s="8" t="n">
        <v>3.2426</v>
      </c>
      <c r="AG95" s="8" t="n">
        <v>3.4236</v>
      </c>
      <c r="AH95" s="8" t="n">
        <v>2.371</v>
      </c>
      <c r="AI95" s="8" t="n">
        <v>2.0374</v>
      </c>
      <c r="AJ95" s="8" t="n"/>
      <c r="AK95" s="11">
        <f>ROUND(G95*W95,0)</f>
        <v/>
      </c>
      <c r="AL95">
        <f>U95*G95</f>
        <v/>
      </c>
      <c r="AM95" t="inlineStr">
        <is>
          <t>SU003387</t>
        </is>
      </c>
    </row>
    <row r="96">
      <c r="A96" s="11" t="inlineStr">
        <is>
          <t xml:space="preserve"> 498  Колбаса Сочинка рубленая с сочным окороком 0,3кг ТМ Стародворье  ПОКОМ</t>
        </is>
      </c>
      <c r="B96" s="11" t="inlineStr">
        <is>
          <t>шт</t>
        </is>
      </c>
      <c r="C96" s="11" t="n">
        <v>-7</v>
      </c>
      <c r="D96" s="11" t="n"/>
      <c r="E96" s="11" t="n">
        <v>-9</v>
      </c>
      <c r="F96" s="11" t="n">
        <v>-9</v>
      </c>
      <c r="G96" s="6" t="n">
        <v>0.3</v>
      </c>
      <c r="H96" s="11" t="n">
        <v>40</v>
      </c>
      <c r="I96" s="12" t="inlineStr">
        <is>
          <t>НЕДОГРУЗ / матрица</t>
        </is>
      </c>
      <c r="J96" s="11" t="n"/>
      <c r="K96" s="11" t="n">
        <v>7</v>
      </c>
      <c r="L96" s="11">
        <f>E96-K96</f>
        <v/>
      </c>
      <c r="M96" s="11" t="n"/>
      <c r="N96" s="11" t="n"/>
      <c r="O96" s="11" t="n">
        <v>100</v>
      </c>
      <c r="P96" s="11" t="n">
        <v>-102</v>
      </c>
      <c r="Q96" s="11" t="n"/>
      <c r="R96" s="11" t="n">
        <v>50</v>
      </c>
      <c r="S96" s="11" t="n">
        <v>-53.33333333333334</v>
      </c>
      <c r="T96" s="11" t="n"/>
      <c r="U96" s="11">
        <f>E96/5</f>
        <v/>
      </c>
      <c r="V96" s="4" t="n">
        <v>100</v>
      </c>
      <c r="W96" s="4">
        <f>V96</f>
        <v/>
      </c>
      <c r="X96" s="11">
        <f>(F96+O96+P96+Q96+R96+W96+T96+S96)/U96</f>
        <v/>
      </c>
      <c r="Y96" s="11">
        <f>(F96+O96+P96+Q96+R96+S96+T96)/U96</f>
        <v/>
      </c>
      <c r="Z96" s="11" t="n">
        <v>-2.4</v>
      </c>
      <c r="AA96" s="11" t="n">
        <v>-2.8</v>
      </c>
      <c r="AB96" s="11" t="n">
        <v>41</v>
      </c>
      <c r="AC96" s="11" t="n">
        <v>73</v>
      </c>
      <c r="AD96" s="11" t="n">
        <v>35.2</v>
      </c>
      <c r="AE96" s="11" t="n">
        <v>4.8</v>
      </c>
      <c r="AF96" s="11" t="n">
        <v>28.8</v>
      </c>
      <c r="AG96" s="11" t="n">
        <v>65.40000000000001</v>
      </c>
      <c r="AH96" s="11" t="n">
        <v>70.8</v>
      </c>
      <c r="AI96" s="11" t="n">
        <v>52.8</v>
      </c>
      <c r="AJ96" s="11" t="n"/>
      <c r="AK96" s="11">
        <f>ROUND(G96*W96,0)</f>
        <v/>
      </c>
      <c r="AL96">
        <f>U96*G96</f>
        <v/>
      </c>
      <c r="AM96" t="inlineStr">
        <is>
          <t>SU002948</t>
        </is>
      </c>
    </row>
    <row r="97">
      <c r="A97" s="11" t="inlineStr">
        <is>
          <t xml:space="preserve"> 517  Сосиски С сыром ТМ Ядрена копоть 0,3кг  ПОКОМ</t>
        </is>
      </c>
      <c r="B97" s="11" t="inlineStr">
        <is>
          <t>шт</t>
        </is>
      </c>
      <c r="C97" s="11" t="n">
        <v>192</v>
      </c>
      <c r="D97" s="11" t="n">
        <v>312</v>
      </c>
      <c r="E97" s="11" t="n">
        <v>245</v>
      </c>
      <c r="F97" s="11" t="n">
        <v>248</v>
      </c>
      <c r="G97" s="6" t="n">
        <v>0.3</v>
      </c>
      <c r="H97" s="11" t="n">
        <v>40</v>
      </c>
      <c r="I97" s="11" t="inlineStr">
        <is>
          <t>матрица</t>
        </is>
      </c>
      <c r="J97" s="11" t="n"/>
      <c r="K97" s="11" t="n">
        <v>249</v>
      </c>
      <c r="L97" s="11">
        <f>E97-K97</f>
        <v/>
      </c>
      <c r="M97" s="11" t="n"/>
      <c r="N97" s="11" t="n"/>
      <c r="O97" s="11" t="n">
        <v>183.2499999999999</v>
      </c>
      <c r="P97" s="11" t="n"/>
      <c r="Q97" s="11" t="n"/>
      <c r="R97" s="11" t="n"/>
      <c r="S97" s="11" t="n"/>
      <c r="T97" s="11" t="n"/>
      <c r="U97" s="11">
        <f>E97/5</f>
        <v/>
      </c>
      <c r="V97" s="4">
        <f>11*U97-T97-R97-Q97-P97-O97-F97</f>
        <v/>
      </c>
      <c r="W97" s="4">
        <f>V97</f>
        <v/>
      </c>
      <c r="X97" s="11">
        <f>(F97+O97+P97+Q97+R97+W97+T97+S97)/U97</f>
        <v/>
      </c>
      <c r="Y97" s="11">
        <f>(F97+O97+P97+Q97+R97+S97+T97)/U97</f>
        <v/>
      </c>
      <c r="Z97" s="11" t="n">
        <v>51.8</v>
      </c>
      <c r="AA97" s="11" t="n">
        <v>50</v>
      </c>
      <c r="AB97" s="11" t="n">
        <v>29.2</v>
      </c>
      <c r="AC97" s="11" t="n">
        <v>25</v>
      </c>
      <c r="AD97" s="11" t="n">
        <v>42.4</v>
      </c>
      <c r="AE97" s="11" t="n">
        <v>77.2</v>
      </c>
      <c r="AF97" s="11" t="n">
        <v>35.6</v>
      </c>
      <c r="AG97" s="11" t="n">
        <v>32.2</v>
      </c>
      <c r="AH97" s="11" t="n">
        <v>46.4</v>
      </c>
      <c r="AI97" s="11" t="n">
        <v>46.4</v>
      </c>
      <c r="AJ97" s="11" t="n"/>
      <c r="AK97" s="11">
        <f>ROUND(G97*W97,0)</f>
        <v/>
      </c>
      <c r="AL97">
        <f>U97*G97</f>
        <v/>
      </c>
      <c r="AM97" t="inlineStr">
        <is>
          <t>SU003665</t>
        </is>
      </c>
    </row>
    <row r="98">
      <c r="A98" s="8" t="inlineStr">
        <is>
          <t xml:space="preserve"> 523  Колбаса Сальчичон нарезка 0,07кг ТМ Стародворье  ПОКОМ </t>
        </is>
      </c>
      <c r="B98" s="8" t="inlineStr">
        <is>
          <t>шт</t>
        </is>
      </c>
      <c r="C98" s="8" t="n"/>
      <c r="D98" s="8" t="n"/>
      <c r="E98" s="8" t="n"/>
      <c r="F98" s="8" t="n"/>
      <c r="G98" s="9" t="n">
        <v>0</v>
      </c>
      <c r="H98" s="8" t="n"/>
      <c r="I98" s="8" t="inlineStr">
        <is>
          <t>матрица</t>
        </is>
      </c>
      <c r="J98" s="8" t="n"/>
      <c r="K98" s="8" t="n"/>
      <c r="L98" s="8">
        <f>E98-K98</f>
        <v/>
      </c>
      <c r="M98" s="8" t="n"/>
      <c r="N98" s="8" t="n"/>
      <c r="O98" s="8" t="n">
        <v>0</v>
      </c>
      <c r="P98" s="8" t="n"/>
      <c r="Q98" s="8" t="n"/>
      <c r="R98" s="8" t="n"/>
      <c r="S98" s="8" t="n"/>
      <c r="T98" s="8" t="n"/>
      <c r="U98" s="8">
        <f>E98/5</f>
        <v/>
      </c>
      <c r="V98" s="10" t="n"/>
      <c r="W98" s="4">
        <f>V98</f>
        <v/>
      </c>
      <c r="X98" s="11">
        <f>(F98+O98+P98+Q98+R98+W98+T98+S98)/U98</f>
        <v/>
      </c>
      <c r="Y98" s="11">
        <f>(F98+O98+P98+Q98+R98+S98+T98)/U98</f>
        <v/>
      </c>
      <c r="Z98" s="8" t="n">
        <v>0</v>
      </c>
      <c r="AA98" s="8" t="n">
        <v>0</v>
      </c>
      <c r="AB98" s="8" t="n">
        <v>0</v>
      </c>
      <c r="AC98" s="8" t="n">
        <v>0</v>
      </c>
      <c r="AD98" s="8" t="n">
        <v>0</v>
      </c>
      <c r="AE98" s="8" t="n">
        <v>0</v>
      </c>
      <c r="AF98" s="8" t="n">
        <v>0</v>
      </c>
      <c r="AG98" s="8" t="n">
        <v>0</v>
      </c>
      <c r="AH98" s="8" t="n">
        <v>0</v>
      </c>
      <c r="AI98" s="8" t="n">
        <v>0</v>
      </c>
      <c r="AJ98" s="8" t="inlineStr">
        <is>
          <t>нет потребности</t>
        </is>
      </c>
      <c r="AK98" s="11">
        <f>ROUND(G98*W98,0)</f>
        <v/>
      </c>
      <c r="AL98">
        <f>U98*G98</f>
        <v/>
      </c>
      <c r="AM98" t="inlineStr">
        <is>
          <t>SU003893</t>
        </is>
      </c>
    </row>
    <row r="99">
      <c r="A99" s="11" t="inlineStr">
        <is>
          <t xml:space="preserve"> 524  Колбаса Сервелат Ореховый нарезка 0,07кг ТМ Стародворье  ПОКОМ</t>
        </is>
      </c>
      <c r="B99" s="11" t="inlineStr">
        <is>
          <t>шт</t>
        </is>
      </c>
      <c r="C99" s="11" t="n">
        <v>19</v>
      </c>
      <c r="D99" s="11" t="n">
        <v>109</v>
      </c>
      <c r="E99" s="11" t="n">
        <v>20</v>
      </c>
      <c r="F99" s="11" t="n">
        <v>98</v>
      </c>
      <c r="G99" s="6" t="n">
        <v>0.07000000000000001</v>
      </c>
      <c r="H99" s="11" t="n">
        <v>90</v>
      </c>
      <c r="I99" s="12" t="inlineStr">
        <is>
          <t>НЕДОГРУЗ / матрица</t>
        </is>
      </c>
      <c r="J99" s="11" t="n"/>
      <c r="K99" s="11" t="n">
        <v>58</v>
      </c>
      <c r="L99" s="11">
        <f>E99-K99</f>
        <v/>
      </c>
      <c r="M99" s="11" t="n"/>
      <c r="N99" s="11" t="n"/>
      <c r="O99" s="11" t="n">
        <v>100</v>
      </c>
      <c r="P99" s="11" t="n"/>
      <c r="Q99" s="11" t="n"/>
      <c r="R99" s="11" t="n">
        <v>50</v>
      </c>
      <c r="S99" s="11" t="n">
        <v>-71.42857142857142</v>
      </c>
      <c r="T99" s="11" t="n"/>
      <c r="U99" s="11">
        <f>E99/5</f>
        <v/>
      </c>
      <c r="V99" s="4" t="n">
        <v>50</v>
      </c>
      <c r="W99" s="4">
        <f>V99</f>
        <v/>
      </c>
      <c r="X99" s="11">
        <f>(F99+O99+P99+Q99+R99+W99+T99+S99)/U99</f>
        <v/>
      </c>
      <c r="Y99" s="11">
        <f>(F99+O99+P99+Q99+R99+S99+T99)/U99</f>
        <v/>
      </c>
      <c r="Z99" s="11" t="n">
        <v>33.4</v>
      </c>
      <c r="AA99" s="11" t="n">
        <v>39.6</v>
      </c>
      <c r="AB99" s="11" t="n">
        <v>10.4</v>
      </c>
      <c r="AC99" s="11" t="n">
        <v>7.4</v>
      </c>
      <c r="AD99" s="11" t="n">
        <v>34.2</v>
      </c>
      <c r="AE99" s="11" t="n">
        <v>44</v>
      </c>
      <c r="AF99" s="11" t="n">
        <v>36.6</v>
      </c>
      <c r="AG99" s="11" t="n">
        <v>20</v>
      </c>
      <c r="AH99" s="11" t="n">
        <v>18.4</v>
      </c>
      <c r="AI99" s="11" t="n">
        <v>31.6</v>
      </c>
      <c r="AJ99" s="11" t="n"/>
      <c r="AK99" s="11">
        <f>ROUND(G99*W99,0)</f>
        <v/>
      </c>
      <c r="AL99">
        <f>U99*G99</f>
        <v/>
      </c>
      <c r="AM99" t="inlineStr">
        <is>
          <t>SU003894</t>
        </is>
      </c>
    </row>
    <row r="100">
      <c r="A100" s="11" t="inlineStr">
        <is>
          <t xml:space="preserve"> 525  Колбаса Фуэт нарезка 0,07кг ТМ Стародворье  ПОКОМ</t>
        </is>
      </c>
      <c r="B100" s="11" t="inlineStr">
        <is>
          <t>шт</t>
        </is>
      </c>
      <c r="C100" s="11" t="n">
        <v>219</v>
      </c>
      <c r="D100" s="11" t="n">
        <v>145</v>
      </c>
      <c r="E100" s="11" t="n">
        <v>183</v>
      </c>
      <c r="F100" s="11" t="n">
        <v>169</v>
      </c>
      <c r="G100" s="6" t="n">
        <v>0.07000000000000001</v>
      </c>
      <c r="H100" s="11" t="n">
        <v>90</v>
      </c>
      <c r="I100" s="11" t="inlineStr">
        <is>
          <t>матрица</t>
        </is>
      </c>
      <c r="J100" s="11" t="n"/>
      <c r="K100" s="11" t="n">
        <v>186</v>
      </c>
      <c r="L100" s="11">
        <f>E100-K100</f>
        <v/>
      </c>
      <c r="M100" s="11" t="n"/>
      <c r="N100" s="11" t="n"/>
      <c r="O100" s="11" t="n">
        <v>79.89211999999993</v>
      </c>
      <c r="P100" s="11" t="n"/>
      <c r="Q100" s="11" t="n"/>
      <c r="R100" s="11" t="n">
        <v>127.6198799999999</v>
      </c>
      <c r="S100" s="11" t="n"/>
      <c r="T100" s="11" t="n"/>
      <c r="U100" s="11">
        <f>E100/5</f>
        <v/>
      </c>
      <c r="V100" s="4">
        <f>11*U100-T100-R100-Q100-P100-O100-F100</f>
        <v/>
      </c>
      <c r="W100" s="4">
        <f>V100</f>
        <v/>
      </c>
      <c r="X100" s="11">
        <f>(F100+O100+P100+Q100+R100+W100+T100+S100)/U100</f>
        <v/>
      </c>
      <c r="Y100" s="11">
        <f>(F100+O100+P100+Q100+R100+S100+T100)/U100</f>
        <v/>
      </c>
      <c r="Z100" s="11" t="n">
        <v>39.4</v>
      </c>
      <c r="AA100" s="11" t="n">
        <v>31.2</v>
      </c>
      <c r="AB100" s="11" t="n">
        <v>27.2</v>
      </c>
      <c r="AC100" s="11" t="n">
        <v>32.2</v>
      </c>
      <c r="AD100" s="11" t="n">
        <v>35.6</v>
      </c>
      <c r="AE100" s="11" t="n">
        <v>33.4</v>
      </c>
      <c r="AF100" s="11" t="n">
        <v>25.8</v>
      </c>
      <c r="AG100" s="11" t="n">
        <v>27.4</v>
      </c>
      <c r="AH100" s="11" t="n">
        <v>26.6</v>
      </c>
      <c r="AI100" s="11" t="n">
        <v>23.6</v>
      </c>
      <c r="AJ100" s="11" t="n"/>
      <c r="AK100" s="11">
        <f>ROUND(G100*W100,0)</f>
        <v/>
      </c>
      <c r="AL100">
        <f>U100*G100</f>
        <v/>
      </c>
      <c r="AM100" t="inlineStr">
        <is>
          <t>SU003896</t>
        </is>
      </c>
    </row>
    <row r="101">
      <c r="A101" s="8" t="inlineStr">
        <is>
          <t xml:space="preserve"> 526  Корейка вяленая выдержанная нарезка 0,05кг ТМ Стародворье  ПОКОМ</t>
        </is>
      </c>
      <c r="B101" s="8" t="inlineStr">
        <is>
          <t>шт</t>
        </is>
      </c>
      <c r="C101" s="8" t="n">
        <v>2</v>
      </c>
      <c r="D101" s="8" t="n"/>
      <c r="E101" s="8" t="n">
        <v>-1</v>
      </c>
      <c r="F101" s="8" t="n">
        <v>2</v>
      </c>
      <c r="G101" s="9" t="n">
        <v>0</v>
      </c>
      <c r="H101" s="8" t="n">
        <v>90</v>
      </c>
      <c r="I101" s="8" t="inlineStr">
        <is>
          <t>не в матрице</t>
        </is>
      </c>
      <c r="J101" s="8" t="n"/>
      <c r="K101" s="8" t="n">
        <v>39</v>
      </c>
      <c r="L101" s="8">
        <f>E101-K101</f>
        <v/>
      </c>
      <c r="M101" s="8" t="n"/>
      <c r="N101" s="8" t="n"/>
      <c r="O101" s="8" t="n">
        <v>0</v>
      </c>
      <c r="P101" s="8" t="n"/>
      <c r="Q101" s="8" t="n"/>
      <c r="R101" s="8" t="n"/>
      <c r="S101" s="8" t="n"/>
      <c r="T101" s="8" t="n"/>
      <c r="U101" s="8">
        <f>E101/5</f>
        <v/>
      </c>
      <c r="V101" s="10" t="n"/>
      <c r="W101" s="4">
        <f>V101</f>
        <v/>
      </c>
      <c r="X101" s="11">
        <f>(F101+O101+P101+Q101+R101+W101+T101+S101)/U101</f>
        <v/>
      </c>
      <c r="Y101" s="11">
        <f>(F101+O101+P101+Q101+R101+S101+T101)/U101</f>
        <v/>
      </c>
      <c r="Z101" s="8" t="n">
        <v>0</v>
      </c>
      <c r="AA101" s="8" t="n">
        <v>-0.4</v>
      </c>
      <c r="AB101" s="8" t="n">
        <v>0.4</v>
      </c>
      <c r="AC101" s="8" t="n">
        <v>1.6</v>
      </c>
      <c r="AD101" s="8" t="n">
        <v>15.4</v>
      </c>
      <c r="AE101" s="8" t="n">
        <v>25</v>
      </c>
      <c r="AF101" s="8" t="n">
        <v>18.2</v>
      </c>
      <c r="AG101" s="8" t="n">
        <v>13.4</v>
      </c>
      <c r="AH101" s="8" t="n">
        <v>16.8</v>
      </c>
      <c r="AI101" s="8" t="n">
        <v>20</v>
      </c>
      <c r="AJ101" s="8" t="n"/>
      <c r="AK101" s="11">
        <f>ROUND(G101*W101,0)</f>
        <v/>
      </c>
      <c r="AL101">
        <f>U101*G101</f>
        <v/>
      </c>
      <c r="AM101" t="inlineStr">
        <is>
          <t>SU003925</t>
        </is>
      </c>
    </row>
    <row r="102">
      <c r="A102" s="11" t="inlineStr">
        <is>
          <t xml:space="preserve"> 544  Сосиски Мясные для гриля ТС Ядрена копоть 0,3 кг  ПОКОМ</t>
        </is>
      </c>
      <c r="B102" s="11" t="inlineStr">
        <is>
          <t>шт</t>
        </is>
      </c>
      <c r="C102" s="11" t="n">
        <v>57</v>
      </c>
      <c r="D102" s="11" t="n">
        <v>156</v>
      </c>
      <c r="E102" s="11" t="n">
        <v>191</v>
      </c>
      <c r="F102" s="11" t="n">
        <v>16</v>
      </c>
      <c r="G102" s="6" t="n">
        <v>0.3</v>
      </c>
      <c r="H102" s="11" t="n">
        <v>40</v>
      </c>
      <c r="I102" s="18" t="inlineStr">
        <is>
          <t>НЕДОГРУЗ / матрица</t>
        </is>
      </c>
      <c r="J102" s="11" t="n"/>
      <c r="K102" s="11" t="n">
        <v>203</v>
      </c>
      <c r="L102" s="11">
        <f>E102-K102</f>
        <v/>
      </c>
      <c r="M102" s="11" t="n"/>
      <c r="N102" s="11" t="n"/>
      <c r="O102" s="11" t="n">
        <v>63.39999999999998</v>
      </c>
      <c r="P102" s="11" t="n">
        <v>-66</v>
      </c>
      <c r="Q102" s="11" t="n"/>
      <c r="R102" s="11" t="n"/>
      <c r="S102" s="11" t="n"/>
      <c r="T102" s="11" t="n"/>
      <c r="U102" s="11">
        <f>E102/5</f>
        <v/>
      </c>
      <c r="V102" s="4" t="n">
        <v>100</v>
      </c>
      <c r="W102" s="4">
        <f>V102</f>
        <v/>
      </c>
      <c r="X102" s="11">
        <f>(F102+O102+P102+Q102+R102+W102+T102+S102)/U102</f>
        <v/>
      </c>
      <c r="Y102" s="11">
        <f>(F102+O102+P102+Q102+R102+S102+T102)/U102</f>
        <v/>
      </c>
      <c r="Z102" s="11" t="n">
        <v>19</v>
      </c>
      <c r="AA102" s="11" t="n">
        <v>18.8</v>
      </c>
      <c r="AB102" s="11" t="n">
        <v>21</v>
      </c>
      <c r="AC102" s="11" t="n">
        <v>17.2</v>
      </c>
      <c r="AD102" s="11" t="n">
        <v>1.8</v>
      </c>
      <c r="AE102" s="11" t="n">
        <v>0</v>
      </c>
      <c r="AF102" s="11" t="n">
        <v>35.2</v>
      </c>
      <c r="AG102" s="11" t="n">
        <v>41.4</v>
      </c>
      <c r="AH102" s="11" t="n">
        <v>45.4</v>
      </c>
      <c r="AI102" s="11" t="n">
        <v>42</v>
      </c>
      <c r="AJ102" s="11" t="n"/>
      <c r="AK102" s="11">
        <f>ROUND(G102*W102,0)</f>
        <v/>
      </c>
      <c r="AL102">
        <f>U102*G102</f>
        <v/>
      </c>
      <c r="AM102" t="inlineStr">
        <is>
          <t>SU004016</t>
        </is>
      </c>
    </row>
    <row r="103">
      <c r="A103" s="11" t="inlineStr">
        <is>
          <t xml:space="preserve"> 547  Колбаса Мясная Классическая ТМ Вязанка в оболочке полиамид. ВЕС  ПОКОМ</t>
        </is>
      </c>
      <c r="B103" s="11" t="inlineStr">
        <is>
          <t>кг</t>
        </is>
      </c>
      <c r="C103" s="11" t="n">
        <v>100.894</v>
      </c>
      <c r="D103" s="11" t="n">
        <v>101.672</v>
      </c>
      <c r="E103" s="11" t="n">
        <v>108.695</v>
      </c>
      <c r="F103" s="11" t="n">
        <v>77.86</v>
      </c>
      <c r="G103" s="6" t="n">
        <v>1</v>
      </c>
      <c r="H103" s="11" t="n">
        <v>55</v>
      </c>
      <c r="I103" s="12" t="inlineStr">
        <is>
          <t>НЕДОГРУЗ / матрица</t>
        </is>
      </c>
      <c r="J103" s="11" t="n"/>
      <c r="K103" s="11" t="n">
        <v>113.2</v>
      </c>
      <c r="L103" s="11">
        <f>E103-K103</f>
        <v/>
      </c>
      <c r="M103" s="11" t="n"/>
      <c r="N103" s="11" t="n"/>
      <c r="O103" s="11" t="n">
        <v>80</v>
      </c>
      <c r="P103" s="11" t="n"/>
      <c r="Q103" s="11" t="n"/>
      <c r="R103" s="11" t="n">
        <v>40</v>
      </c>
      <c r="S103" s="11" t="n">
        <v>-42</v>
      </c>
      <c r="T103" s="11" t="n"/>
      <c r="U103" s="11">
        <f>E103/5</f>
        <v/>
      </c>
      <c r="V103" s="4">
        <f>11*U103-T103-R103-Q103-P103-O103-F103-S103</f>
        <v/>
      </c>
      <c r="W103" s="4">
        <f>V103</f>
        <v/>
      </c>
      <c r="X103" s="11">
        <f>(F103+O103+P103+Q103+R103+W103+T103+S103)/U103</f>
        <v/>
      </c>
      <c r="Y103" s="11">
        <f>(F103+O103+P103+Q103+R103+S103+T103)/U103</f>
        <v/>
      </c>
      <c r="Z103" s="11" t="n">
        <v>21.2574</v>
      </c>
      <c r="AA103" s="11" t="n">
        <v>25.685</v>
      </c>
      <c r="AB103" s="11" t="n">
        <v>22.0704</v>
      </c>
      <c r="AC103" s="11" t="n">
        <v>19.931</v>
      </c>
      <c r="AD103" s="11" t="n">
        <v>16.5284</v>
      </c>
      <c r="AE103" s="11" t="n">
        <v>14.6228</v>
      </c>
      <c r="AF103" s="11" t="n">
        <v>16.845</v>
      </c>
      <c r="AG103" s="11" t="n">
        <v>18.4918</v>
      </c>
      <c r="AH103" s="11" t="n">
        <v>20.605</v>
      </c>
      <c r="AI103" s="11" t="n">
        <v>20.8938</v>
      </c>
      <c r="AJ103" s="11" t="n"/>
      <c r="AK103" s="11">
        <f>ROUND(G103*W103,0)</f>
        <v/>
      </c>
      <c r="AL103">
        <f>U103*G103</f>
        <v/>
      </c>
      <c r="AM103" t="inlineStr">
        <is>
          <t>SU004157</t>
        </is>
      </c>
    </row>
    <row r="104">
      <c r="A104" s="8" t="inlineStr">
        <is>
          <t xml:space="preserve"> 551  Колбаса Сливушка ТМ Вязанка в модифицированной газовой среде 0,11 кг нарезка  ПОКОМ</t>
        </is>
      </c>
      <c r="B104" s="8" t="inlineStr">
        <is>
          <t>шт</t>
        </is>
      </c>
      <c r="C104" s="8" t="n"/>
      <c r="D104" s="8" t="n"/>
      <c r="E104" s="8" t="n"/>
      <c r="F104" s="8" t="n"/>
      <c r="G104" s="9" t="n">
        <v>0</v>
      </c>
      <c r="H104" s="8" t="n"/>
      <c r="I104" s="8" t="inlineStr">
        <is>
          <t>матрица</t>
        </is>
      </c>
      <c r="J104" s="8" t="n"/>
      <c r="K104" s="8" t="n"/>
      <c r="L104" s="8">
        <f>E104-K104</f>
        <v/>
      </c>
      <c r="M104" s="8" t="n"/>
      <c r="N104" s="8" t="n"/>
      <c r="O104" s="8" t="n">
        <v>0</v>
      </c>
      <c r="P104" s="8" t="n"/>
      <c r="Q104" s="8" t="n"/>
      <c r="R104" s="8" t="n"/>
      <c r="S104" s="8" t="n"/>
      <c r="T104" s="8" t="n"/>
      <c r="U104" s="8">
        <f>E104/5</f>
        <v/>
      </c>
      <c r="V104" s="10" t="n"/>
      <c r="W104" s="4">
        <f>V104</f>
        <v/>
      </c>
      <c r="X104" s="11">
        <f>(F104+O104+P104+Q104+R104+W104+T104+S104)/U104</f>
        <v/>
      </c>
      <c r="Y104" s="11">
        <f>(F104+O104+P104+Q104+R104+S104+T104)/U104</f>
        <v/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0</v>
      </c>
      <c r="AE104" s="8" t="n">
        <v>0</v>
      </c>
      <c r="AF104" s="8" t="n">
        <v>0</v>
      </c>
      <c r="AG104" s="8" t="n">
        <v>0</v>
      </c>
      <c r="AH104" s="8" t="n">
        <v>0</v>
      </c>
      <c r="AI104" s="8" t="n">
        <v>0</v>
      </c>
      <c r="AJ104" s="8" t="inlineStr">
        <is>
          <t>нет потребности</t>
        </is>
      </c>
      <c r="AK104" s="11">
        <f>ROUND(G104*W104,0)</f>
        <v/>
      </c>
      <c r="AL104">
        <f>U104*G104</f>
        <v/>
      </c>
      <c r="AM104" t="inlineStr">
        <is>
          <t>SU003745</t>
        </is>
      </c>
    </row>
    <row r="105">
      <c r="A105" s="1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5" s="11" t="inlineStr">
        <is>
          <t>шт</t>
        </is>
      </c>
      <c r="C105" s="11" t="n">
        <v>30</v>
      </c>
      <c r="D105" s="11" t="n">
        <v>5</v>
      </c>
      <c r="E105" s="11" t="n">
        <v>12</v>
      </c>
      <c r="F105" s="11" t="n"/>
      <c r="G105" s="6" t="n">
        <v>0.1</v>
      </c>
      <c r="H105" s="11" t="n">
        <v>30</v>
      </c>
      <c r="I105" s="11" t="inlineStr">
        <is>
          <t>матрица</t>
        </is>
      </c>
      <c r="J105" s="11" t="n"/>
      <c r="K105" s="11" t="n">
        <v>20</v>
      </c>
      <c r="L105" s="11">
        <f>E105-K105</f>
        <v/>
      </c>
      <c r="M105" s="11" t="n"/>
      <c r="N105" s="11" t="n"/>
      <c r="O105" s="11" t="n">
        <v>26.6</v>
      </c>
      <c r="P105" s="11" t="n">
        <v>-30</v>
      </c>
      <c r="Q105" s="11" t="n"/>
      <c r="R105" s="11" t="n"/>
      <c r="S105" s="11" t="n"/>
      <c r="T105" s="11" t="n"/>
      <c r="U105" s="11">
        <f>E105/5</f>
        <v/>
      </c>
      <c r="V105" s="4" t="n">
        <v>20</v>
      </c>
      <c r="W105" s="4">
        <f>V105</f>
        <v/>
      </c>
      <c r="X105" s="11">
        <f>(F105+O105+P105+Q105+R105+W105+T105+S105)/U105</f>
        <v/>
      </c>
      <c r="Y105" s="11">
        <f>(F105+O105+P105+Q105+R105+S105+T105)/U105</f>
        <v/>
      </c>
      <c r="Z105" s="11" t="n">
        <v>3.6</v>
      </c>
      <c r="AA105" s="11" t="n">
        <v>1.8</v>
      </c>
      <c r="AB105" s="11" t="n">
        <v>1.4</v>
      </c>
      <c r="AC105" s="11" t="n">
        <v>-0.4</v>
      </c>
      <c r="AD105" s="11" t="n">
        <v>3</v>
      </c>
      <c r="AE105" s="11" t="n">
        <v>2.8</v>
      </c>
      <c r="AF105" s="11" t="n">
        <v>0.2</v>
      </c>
      <c r="AG105" s="11" t="n">
        <v>1.6</v>
      </c>
      <c r="AH105" s="11" t="n">
        <v>1.8</v>
      </c>
      <c r="AI105" s="11" t="n">
        <v>2</v>
      </c>
      <c r="AJ105" s="16" t="inlineStr">
        <is>
          <t>15шт списано (24,08,26)</t>
        </is>
      </c>
      <c r="AK105" s="11">
        <f>ROUND(G105*W105,0)</f>
        <v/>
      </c>
      <c r="AL105">
        <f>U105*G105</f>
        <v/>
      </c>
      <c r="AM105" t="inlineStr">
        <is>
          <t>SU002356</t>
        </is>
      </c>
    </row>
    <row r="106">
      <c r="A106" s="11" t="inlineStr">
        <is>
          <t xml:space="preserve"> 553  Ассорти колбас Мясорубская коллекция: Сервелат Делюкс, С балыком 0,08 кг нарезка  ПОКОМ</t>
        </is>
      </c>
      <c r="B106" s="11" t="inlineStr">
        <is>
          <t>шт</t>
        </is>
      </c>
      <c r="C106" s="11" t="n">
        <v>262</v>
      </c>
      <c r="D106" s="11" t="n">
        <v>402</v>
      </c>
      <c r="E106" s="11" t="n">
        <v>287</v>
      </c>
      <c r="F106" s="11" t="n">
        <v>327</v>
      </c>
      <c r="G106" s="6" t="n">
        <v>0.08</v>
      </c>
      <c r="H106" s="11" t="n">
        <v>45</v>
      </c>
      <c r="I106" s="11" t="inlineStr">
        <is>
          <t>матрица</t>
        </is>
      </c>
      <c r="J106" s="11" t="n"/>
      <c r="K106" s="11" t="n">
        <v>293</v>
      </c>
      <c r="L106" s="11">
        <f>E106-K106</f>
        <v/>
      </c>
      <c r="M106" s="11" t="n"/>
      <c r="N106" s="11" t="n"/>
      <c r="O106" s="11" t="n">
        <v>153.2755999999997</v>
      </c>
      <c r="P106" s="11" t="n"/>
      <c r="Q106" s="11" t="n"/>
      <c r="R106" s="11" t="n"/>
      <c r="S106" s="11" t="n"/>
      <c r="T106" s="11" t="n"/>
      <c r="U106" s="11">
        <f>E106/5</f>
        <v/>
      </c>
      <c r="V106" s="4">
        <f>11*U106-T106-R106-Q106-P106-O106-F106</f>
        <v/>
      </c>
      <c r="W106" s="4">
        <f>V106</f>
        <v/>
      </c>
      <c r="X106" s="11">
        <f>(F106+O106+P106+Q106+R106+W106+T106+S106)/U106</f>
        <v/>
      </c>
      <c r="Y106" s="11">
        <f>(F106+O106+P106+Q106+R106+S106+T106)/U106</f>
        <v/>
      </c>
      <c r="Z106" s="11" t="n">
        <v>55.6</v>
      </c>
      <c r="AA106" s="11" t="n">
        <v>57.2</v>
      </c>
      <c r="AB106" s="11" t="n">
        <v>45.8</v>
      </c>
      <c r="AC106" s="11" t="n">
        <v>48.4</v>
      </c>
      <c r="AD106" s="11" t="n">
        <v>52.4</v>
      </c>
      <c r="AE106" s="11" t="n">
        <v>43.2</v>
      </c>
      <c r="AF106" s="11" t="n">
        <v>38.8</v>
      </c>
      <c r="AG106" s="11" t="n">
        <v>42.2</v>
      </c>
      <c r="AH106" s="11" t="n">
        <v>43.2</v>
      </c>
      <c r="AI106" s="11" t="n">
        <v>37.6</v>
      </c>
      <c r="AJ106" s="11" t="n"/>
      <c r="AK106" s="11">
        <f>ROUND(G106*W106,0)</f>
        <v/>
      </c>
      <c r="AL106">
        <f>U106*G106</f>
        <v/>
      </c>
      <c r="AM106" t="inlineStr">
        <is>
          <t>SU004026</t>
        </is>
      </c>
    </row>
    <row r="107">
      <c r="A107" s="11" t="inlineStr">
        <is>
          <t xml:space="preserve"> 554  Колбаса Сервелат Мясорубский ТМ Стародворье в упаковке скин 0,08 кг нарезка  ПОКОМ</t>
        </is>
      </c>
      <c r="B107" s="11" t="inlineStr">
        <is>
          <t>шт</t>
        </is>
      </c>
      <c r="C107" s="11" t="n">
        <v>210</v>
      </c>
      <c r="D107" s="11" t="n">
        <v>290</v>
      </c>
      <c r="E107" s="11" t="n">
        <v>271</v>
      </c>
      <c r="F107" s="11" t="n">
        <v>206</v>
      </c>
      <c r="G107" s="6" t="n">
        <v>0.08</v>
      </c>
      <c r="H107" s="11" t="n">
        <v>45</v>
      </c>
      <c r="I107" s="11" t="inlineStr">
        <is>
          <t>матрица</t>
        </is>
      </c>
      <c r="J107" s="11" t="n"/>
      <c r="K107" s="11" t="n">
        <v>278</v>
      </c>
      <c r="L107" s="11">
        <f>E107-K107</f>
        <v/>
      </c>
      <c r="M107" s="11" t="n"/>
      <c r="N107" s="11" t="n"/>
      <c r="O107" s="11" t="n">
        <v>190.985</v>
      </c>
      <c r="P107" s="11" t="n"/>
      <c r="Q107" s="11" t="n"/>
      <c r="R107" s="11" t="n"/>
      <c r="S107" s="11" t="n"/>
      <c r="T107" s="11" t="n"/>
      <c r="U107" s="11">
        <f>E107/5</f>
        <v/>
      </c>
      <c r="V107" s="4">
        <f>11*U107-T107-R107-Q107-P107-O107-F107</f>
        <v/>
      </c>
      <c r="W107" s="4">
        <f>V107</f>
        <v/>
      </c>
      <c r="X107" s="11">
        <f>(F107+O107+P107+Q107+R107+W107+T107+S107)/U107</f>
        <v/>
      </c>
      <c r="Y107" s="11">
        <f>(F107+O107+P107+Q107+R107+S107+T107)/U107</f>
        <v/>
      </c>
      <c r="Z107" s="11" t="n">
        <v>46</v>
      </c>
      <c r="AA107" s="11" t="n">
        <v>45</v>
      </c>
      <c r="AB107" s="11" t="n">
        <v>32</v>
      </c>
      <c r="AC107" s="11" t="n">
        <v>31.4</v>
      </c>
      <c r="AD107" s="11" t="n">
        <v>45</v>
      </c>
      <c r="AE107" s="11" t="n">
        <v>48.6</v>
      </c>
      <c r="AF107" s="11" t="n">
        <v>29</v>
      </c>
      <c r="AG107" s="11" t="n">
        <v>23</v>
      </c>
      <c r="AH107" s="11" t="n">
        <v>33.2</v>
      </c>
      <c r="AI107" s="11" t="n">
        <v>35</v>
      </c>
      <c r="AJ107" s="11" t="n"/>
      <c r="AK107" s="11">
        <f>ROUND(G107*W107,0)</f>
        <v/>
      </c>
      <c r="AL107">
        <f>U107*G107</f>
        <v/>
      </c>
      <c r="AM107" t="inlineStr">
        <is>
          <t>SU003178</t>
        </is>
      </c>
    </row>
    <row r="108">
      <c r="A108" s="11" t="inlineStr">
        <is>
          <t xml:space="preserve"> 555  Колбаса Молокуша ТМ Вязанка в модифицированной газовой среде 0,17 кг нарезка  ПОКОМ</t>
        </is>
      </c>
      <c r="B108" s="11" t="inlineStr">
        <is>
          <t>шт</t>
        </is>
      </c>
      <c r="C108" s="11" t="n">
        <v>22</v>
      </c>
      <c r="D108" s="11" t="n"/>
      <c r="E108" s="11" t="n">
        <v>7</v>
      </c>
      <c r="F108" s="11" t="n">
        <v>7</v>
      </c>
      <c r="G108" s="6" t="n">
        <v>0.17</v>
      </c>
      <c r="H108" s="11" t="n">
        <v>30</v>
      </c>
      <c r="I108" s="11" t="inlineStr">
        <is>
          <t>матрица</t>
        </is>
      </c>
      <c r="J108" s="11" t="n"/>
      <c r="K108" s="11" t="n">
        <v>7</v>
      </c>
      <c r="L108" s="11">
        <f>E108-K108</f>
        <v/>
      </c>
      <c r="M108" s="11" t="n"/>
      <c r="N108" s="11" t="n"/>
      <c r="O108" s="11" t="n">
        <v>4.200000000000003</v>
      </c>
      <c r="P108" s="11" t="n"/>
      <c r="Q108" s="11" t="n"/>
      <c r="R108" s="11" t="n"/>
      <c r="S108" s="11" t="n"/>
      <c r="T108" s="11" t="n"/>
      <c r="U108" s="11">
        <f>E108/5</f>
        <v/>
      </c>
      <c r="V108" s="4">
        <f>11*U108-T108-R108-Q108-P108-O108-F108</f>
        <v/>
      </c>
      <c r="W108" s="4">
        <f>V108</f>
        <v/>
      </c>
      <c r="X108" s="11">
        <f>(F108+O108+P108+Q108+R108+W108+T108+S108)/U108</f>
        <v/>
      </c>
      <c r="Y108" s="11">
        <f>(F108+O108+P108+Q108+R108+S108+T108)/U108</f>
        <v/>
      </c>
      <c r="Z108" s="11" t="n">
        <v>1.6</v>
      </c>
      <c r="AA108" s="11" t="n">
        <v>0.2</v>
      </c>
      <c r="AB108" s="11" t="n">
        <v>0</v>
      </c>
      <c r="AC108" s="11" t="n">
        <v>-0.2</v>
      </c>
      <c r="AD108" s="11" t="n">
        <v>2</v>
      </c>
      <c r="AE108" s="11" t="n">
        <v>4.2</v>
      </c>
      <c r="AF108" s="11" t="n">
        <v>1.6</v>
      </c>
      <c r="AG108" s="11" t="n">
        <v>0.4</v>
      </c>
      <c r="AH108" s="11" t="n">
        <v>0.4</v>
      </c>
      <c r="AI108" s="11" t="n">
        <v>1.8</v>
      </c>
      <c r="AJ108" s="11" t="inlineStr">
        <is>
          <t>21 шт в уценку 30,06,26</t>
        </is>
      </c>
      <c r="AK108" s="11">
        <f>ROUND(G108*W108,0)</f>
        <v/>
      </c>
      <c r="AL108">
        <f>U108*G108</f>
        <v/>
      </c>
      <c r="AM108" t="inlineStr">
        <is>
          <t>SU002354</t>
        </is>
      </c>
    </row>
    <row r="109">
      <c r="A109" s="11" t="inlineStr">
        <is>
          <t xml:space="preserve"> 556  Колбаса Сервелат Ореховый ТМ Вязанка в оболочке фиброуз в вакуумной упаковке, ВЕС  ПОКОМ</t>
        </is>
      </c>
      <c r="B109" s="11" t="inlineStr">
        <is>
          <t>кг</t>
        </is>
      </c>
      <c r="C109" s="11" t="n">
        <v>417.541</v>
      </c>
      <c r="D109" s="11" t="n">
        <v>0.716</v>
      </c>
      <c r="E109" s="11" t="n">
        <v>404.762</v>
      </c>
      <c r="F109" s="11" t="n">
        <v>3.749</v>
      </c>
      <c r="G109" s="6" t="n">
        <v>1</v>
      </c>
      <c r="H109" s="11" t="n">
        <v>40</v>
      </c>
      <c r="I109" s="12" t="inlineStr">
        <is>
          <t>НЕДОГРУЗ / матрица</t>
        </is>
      </c>
      <c r="J109" s="11" t="n"/>
      <c r="K109" s="11" t="n">
        <v>540.025</v>
      </c>
      <c r="L109" s="11">
        <f>E109-K109</f>
        <v/>
      </c>
      <c r="M109" s="11" t="n"/>
      <c r="N109" s="11" t="n"/>
      <c r="O109" s="11" t="n">
        <v>200</v>
      </c>
      <c r="P109" s="11" t="n">
        <v>-203</v>
      </c>
      <c r="Q109" s="11" t="n"/>
      <c r="R109" s="11" t="n">
        <v>100</v>
      </c>
      <c r="S109" s="11" t="n"/>
      <c r="T109" s="11" t="n"/>
      <c r="U109" s="11">
        <f>E109/5</f>
        <v/>
      </c>
      <c r="V109" s="4" t="n">
        <v>250</v>
      </c>
      <c r="W109" s="4">
        <f>V109</f>
        <v/>
      </c>
      <c r="X109" s="11">
        <f>(F109+O109+P109+Q109+R109+W109+T109+S109)/U109</f>
        <v/>
      </c>
      <c r="Y109" s="11">
        <f>(F109+O109+P109+Q109+R109+S109+T109)/U109</f>
        <v/>
      </c>
      <c r="Z109" s="11" t="n">
        <v>96.79179999999999</v>
      </c>
      <c r="AA109" s="11" t="n">
        <v>97.416</v>
      </c>
      <c r="AB109" s="11" t="n">
        <v>88.7522</v>
      </c>
      <c r="AC109" s="11" t="n">
        <v>85.40119999999999</v>
      </c>
      <c r="AD109" s="11" t="n">
        <v>87.4002</v>
      </c>
      <c r="AE109" s="11" t="n">
        <v>80.57340000000001</v>
      </c>
      <c r="AF109" s="11" t="n">
        <v>83.3596</v>
      </c>
      <c r="AG109" s="11" t="n">
        <v>84.7402</v>
      </c>
      <c r="AH109" s="11" t="n">
        <v>85.5518</v>
      </c>
      <c r="AI109" s="11" t="n">
        <v>88.7984</v>
      </c>
      <c r="AJ109" s="11" t="n"/>
      <c r="AK109" s="11">
        <f>ROUND(G109*W109,0)</f>
        <v/>
      </c>
      <c r="AL109">
        <f>U109*G109</f>
        <v/>
      </c>
      <c r="AM109" t="inlineStr">
        <is>
          <t>SU004044</t>
        </is>
      </c>
    </row>
    <row r="110">
      <c r="A110" s="11" t="inlineStr">
        <is>
          <t xml:space="preserve"> 557  Колбаса Сервелат Финский ТМ Вязанка в оболочке фиброуз в вакуумной упаковке, ВЕС  ПОКОМ</t>
        </is>
      </c>
      <c r="B110" s="11" t="inlineStr">
        <is>
          <t>кг</t>
        </is>
      </c>
      <c r="C110" s="11" t="n">
        <v>126.003</v>
      </c>
      <c r="D110" s="11" t="n">
        <v>202.056</v>
      </c>
      <c r="E110" s="11" t="n">
        <v>135.328</v>
      </c>
      <c r="F110" s="11" t="n">
        <v>147.972</v>
      </c>
      <c r="G110" s="6" t="n">
        <v>1</v>
      </c>
      <c r="H110" s="11" t="n">
        <v>40</v>
      </c>
      <c r="I110" s="12" t="inlineStr">
        <is>
          <t>НЕДОГРУЗ / матрица</t>
        </is>
      </c>
      <c r="J110" s="11" t="n"/>
      <c r="K110" s="11" t="n">
        <v>190.8</v>
      </c>
      <c r="L110" s="11">
        <f>E110-K110</f>
        <v/>
      </c>
      <c r="M110" s="11" t="n"/>
      <c r="N110" s="11" t="n"/>
      <c r="O110" s="11" t="n">
        <v>200</v>
      </c>
      <c r="P110" s="11" t="n"/>
      <c r="Q110" s="11" t="n"/>
      <c r="R110" s="11" t="n">
        <v>100</v>
      </c>
      <c r="S110" s="11" t="n">
        <v>-102</v>
      </c>
      <c r="T110" s="11" t="n"/>
      <c r="U110" s="11">
        <f>E110/5</f>
        <v/>
      </c>
      <c r="V110" s="4" t="n">
        <v>150</v>
      </c>
      <c r="W110" s="4">
        <f>V110</f>
        <v/>
      </c>
      <c r="X110" s="11">
        <f>(F110+O110+P110+Q110+R110+W110+T110+S110)/U110</f>
        <v/>
      </c>
      <c r="Y110" s="11">
        <f>(F110+O110+P110+Q110+R110+S110+T110)/U110</f>
        <v/>
      </c>
      <c r="Z110" s="11" t="n">
        <v>78.4254</v>
      </c>
      <c r="AA110" s="11" t="n">
        <v>77.1386</v>
      </c>
      <c r="AB110" s="11" t="n">
        <v>61.0424</v>
      </c>
      <c r="AC110" s="11" t="n">
        <v>57.4884</v>
      </c>
      <c r="AD110" s="11" t="n">
        <v>60.1914</v>
      </c>
      <c r="AE110" s="11" t="n">
        <v>58.8312</v>
      </c>
      <c r="AF110" s="11" t="n">
        <v>66.6636</v>
      </c>
      <c r="AG110" s="11" t="n">
        <v>64.05119999999999</v>
      </c>
      <c r="AH110" s="11" t="n">
        <v>58.3504</v>
      </c>
      <c r="AI110" s="11" t="n">
        <v>61.6798</v>
      </c>
      <c r="AJ110" s="11" t="n"/>
      <c r="AK110" s="11">
        <f>ROUND(G110*W110,0)</f>
        <v/>
      </c>
      <c r="AL110">
        <f>U110*G110</f>
        <v/>
      </c>
      <c r="AM110" t="inlineStr">
        <is>
          <t>SU004047</t>
        </is>
      </c>
    </row>
    <row r="111">
      <c r="A111" s="11" t="inlineStr">
        <is>
          <t xml:space="preserve"> 558  Колбаса Балыковая НОВАЯ ВЕС Вязанка фиброуз в/у ПОКОМ</t>
        </is>
      </c>
      <c r="B111" s="11" t="inlineStr">
        <is>
          <t>кг</t>
        </is>
      </c>
      <c r="C111" s="11" t="n">
        <v>78.089</v>
      </c>
      <c r="D111" s="11" t="n">
        <v>139.501</v>
      </c>
      <c r="E111" s="11" t="n">
        <v>192.287</v>
      </c>
      <c r="F111" s="11" t="n">
        <v>-25</v>
      </c>
      <c r="G111" s="6" t="n">
        <v>1</v>
      </c>
      <c r="H111" s="11" t="n">
        <v>40</v>
      </c>
      <c r="I111" s="12" t="inlineStr">
        <is>
          <t>НЕДОГРУЗ / матрица</t>
        </is>
      </c>
      <c r="J111" s="11" t="n"/>
      <c r="K111" s="11" t="n">
        <v>252.8</v>
      </c>
      <c r="L111" s="11">
        <f>E111-K111</f>
        <v/>
      </c>
      <c r="M111" s="11" t="n"/>
      <c r="N111" s="11" t="n"/>
      <c r="O111" s="11" t="n">
        <v>300</v>
      </c>
      <c r="P111" s="11" t="n">
        <v>-301</v>
      </c>
      <c r="Q111" s="11" t="n"/>
      <c r="R111" s="11" t="n">
        <v>150</v>
      </c>
      <c r="S111" s="11" t="n">
        <v>-151</v>
      </c>
      <c r="T111" s="11" t="n"/>
      <c r="U111" s="11">
        <f>E111/5</f>
        <v/>
      </c>
      <c r="V111" s="4" t="n">
        <v>200</v>
      </c>
      <c r="W111" s="4">
        <f>V111</f>
        <v/>
      </c>
      <c r="X111" s="11">
        <f>(F111+O111+P111+Q111+R111+W111+T111+S111)/U111</f>
        <v/>
      </c>
      <c r="Y111" s="11">
        <f>(F111+O111+P111+Q111+R111+S111+T111)/U111</f>
        <v/>
      </c>
      <c r="Z111" s="11" t="n">
        <v>90.9636</v>
      </c>
      <c r="AA111" s="11" t="n">
        <v>99.6412</v>
      </c>
      <c r="AB111" s="11" t="n">
        <v>90.8126</v>
      </c>
      <c r="AC111" s="11" t="n">
        <v>87.5604</v>
      </c>
      <c r="AD111" s="11" t="n">
        <v>101.8978</v>
      </c>
      <c r="AE111" s="11" t="n">
        <v>89.50460000000001</v>
      </c>
      <c r="AF111" s="11" t="n">
        <v>76.04400000000001</v>
      </c>
      <c r="AG111" s="11" t="n">
        <v>82.5872</v>
      </c>
      <c r="AH111" s="11" t="n">
        <v>93.1962</v>
      </c>
      <c r="AI111" s="11" t="n">
        <v>104.8322</v>
      </c>
      <c r="AJ111" s="11" t="n"/>
      <c r="AK111" s="11">
        <f>ROUND(G111*W111,0)</f>
        <v/>
      </c>
      <c r="AL111">
        <f>U111*G111</f>
        <v/>
      </c>
      <c r="AM111" t="inlineStr">
        <is>
          <t>SU004041</t>
        </is>
      </c>
    </row>
    <row r="112">
      <c r="A112" s="8" t="inlineStr">
        <is>
          <t xml:space="preserve"> 564  Сосиски Сочные 0,3 кг ТМ Вязанка  ПОКОМ</t>
        </is>
      </c>
      <c r="B112" s="8" t="inlineStr">
        <is>
          <t>шт</t>
        </is>
      </c>
      <c r="C112" s="8" t="n"/>
      <c r="D112" s="8" t="n"/>
      <c r="E112" s="8" t="n"/>
      <c r="F112" s="8" t="n"/>
      <c r="G112" s="9" t="n">
        <v>0</v>
      </c>
      <c r="H112" s="8" t="n"/>
      <c r="I112" s="8" t="inlineStr">
        <is>
          <t>матрица</t>
        </is>
      </c>
      <c r="J112" s="8" t="n"/>
      <c r="K112" s="8" t="n"/>
      <c r="L112" s="8">
        <f>E112-K112</f>
        <v/>
      </c>
      <c r="M112" s="8" t="n"/>
      <c r="N112" s="8" t="n"/>
      <c r="O112" s="8" t="n">
        <v>0</v>
      </c>
      <c r="P112" s="8" t="n"/>
      <c r="Q112" s="8" t="n"/>
      <c r="R112" s="8" t="n"/>
      <c r="S112" s="8" t="n"/>
      <c r="T112" s="8" t="n"/>
      <c r="U112" s="8">
        <f>E112/5</f>
        <v/>
      </c>
      <c r="V112" s="10" t="n"/>
      <c r="W112" s="4">
        <f>V112</f>
        <v/>
      </c>
      <c r="X112" s="11">
        <f>(F112+O112+P112+Q112+R112+W112+T112+S112)/U112</f>
        <v/>
      </c>
      <c r="Y112" s="11">
        <f>(F112+O112+P112+Q112+R112+S112+T112)/U112</f>
        <v/>
      </c>
      <c r="Z112" s="8" t="n">
        <v>0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n">
        <v>0</v>
      </c>
      <c r="AF112" s="8" t="n">
        <v>0</v>
      </c>
      <c r="AG112" s="8" t="n">
        <v>0</v>
      </c>
      <c r="AH112" s="8" t="n">
        <v>0</v>
      </c>
      <c r="AI112" s="8" t="n">
        <v>0</v>
      </c>
      <c r="AJ112" s="8" t="inlineStr">
        <is>
          <t>нет потребности</t>
        </is>
      </c>
      <c r="AK112" s="11">
        <f>ROUND(G112*W112,0)</f>
        <v/>
      </c>
      <c r="AL112">
        <f>U112*G112</f>
        <v/>
      </c>
      <c r="AM112" t="inlineStr">
        <is>
          <t>SU004053</t>
        </is>
      </c>
    </row>
    <row r="113">
      <c r="A113" s="11" t="inlineStr">
        <is>
          <t xml:space="preserve"> 567 Колбаса Со шпиком Стародворская ТМ Стародворье в оболочке полиамид ВЕС  ПОКОМ</t>
        </is>
      </c>
      <c r="B113" s="11" t="inlineStr">
        <is>
          <t>кг</t>
        </is>
      </c>
      <c r="C113" s="11" t="n">
        <v>14.536</v>
      </c>
      <c r="D113" s="11" t="n"/>
      <c r="E113" s="11" t="n">
        <v>2.83</v>
      </c>
      <c r="F113" s="11" t="n">
        <v>9.081</v>
      </c>
      <c r="G113" s="6" t="n">
        <v>1</v>
      </c>
      <c r="H113" s="11" t="n">
        <v>55</v>
      </c>
      <c r="I113" s="11" t="inlineStr">
        <is>
          <t>матрица</t>
        </is>
      </c>
      <c r="J113" s="11" t="n"/>
      <c r="K113" s="11" t="n">
        <v>3.9</v>
      </c>
      <c r="L113" s="11">
        <f>E113-K113</f>
        <v/>
      </c>
      <c r="M113" s="11" t="n"/>
      <c r="N113" s="11" t="n"/>
      <c r="O113" s="11" t="n">
        <v>0</v>
      </c>
      <c r="P113" s="11" t="n"/>
      <c r="Q113" s="11" t="n"/>
      <c r="R113" s="11" t="n"/>
      <c r="S113" s="11" t="n"/>
      <c r="T113" s="11" t="n"/>
      <c r="U113" s="11">
        <f>E113/5</f>
        <v/>
      </c>
      <c r="V113" s="4" t="n"/>
      <c r="W113" s="4">
        <f>V113</f>
        <v/>
      </c>
      <c r="X113" s="11">
        <f>(F113+O113+P113+Q113+R113+W113+T113+S113)/U113</f>
        <v/>
      </c>
      <c r="Y113" s="11">
        <f>(F113+O113+P113+Q113+R113+S113+T113)/U113</f>
        <v/>
      </c>
      <c r="Z113" s="11" t="n">
        <v>0</v>
      </c>
      <c r="AA113" s="11" t="n">
        <v>0.2688</v>
      </c>
      <c r="AB113" s="11" t="n">
        <v>0.5418000000000001</v>
      </c>
      <c r="AC113" s="11" t="n">
        <v>0.5472</v>
      </c>
      <c r="AD113" s="11" t="n">
        <v>1.615</v>
      </c>
      <c r="AE113" s="11" t="n">
        <v>1.3408</v>
      </c>
      <c r="AF113" s="11" t="n">
        <v>1</v>
      </c>
      <c r="AG113" s="11" t="n">
        <v>1.2816</v>
      </c>
      <c r="AH113" s="11" t="n">
        <v>0.2816</v>
      </c>
      <c r="AI113" s="11" t="n">
        <v>0</v>
      </c>
      <c r="AJ113" s="17" t="inlineStr">
        <is>
          <t>нужно увеличить продажи / 57кг в уценку (30,06,26)</t>
        </is>
      </c>
      <c r="AK113" s="11">
        <f>ROUND(G113*W113,0)</f>
        <v/>
      </c>
      <c r="AL113">
        <f>U113*G113</f>
        <v/>
      </c>
      <c r="AM113" t="inlineStr">
        <is>
          <t>SU004007</t>
        </is>
      </c>
    </row>
    <row r="114">
      <c r="A114" s="11" t="inlineStr">
        <is>
          <t xml:space="preserve"> 569  Колбаса Балыковая ТМ Вязанка в оболочке фиброуз в вакуумной упаковке 0,28 кг срез.  ПОКОМ</t>
        </is>
      </c>
      <c r="B114" s="11" t="inlineStr">
        <is>
          <t>шт</t>
        </is>
      </c>
      <c r="C114" s="11" t="n">
        <v>306</v>
      </c>
      <c r="D114" s="11" t="n">
        <v>7</v>
      </c>
      <c r="E114" s="11" t="n">
        <v>217</v>
      </c>
      <c r="F114" s="11" t="n">
        <v>71</v>
      </c>
      <c r="G114" s="6" t="n">
        <v>0.28</v>
      </c>
      <c r="H114" s="11" t="n">
        <v>40</v>
      </c>
      <c r="I114" s="11" t="inlineStr">
        <is>
          <t>матрица</t>
        </is>
      </c>
      <c r="J114" s="11" t="n"/>
      <c r="K114" s="11" t="n">
        <v>420</v>
      </c>
      <c r="L114" s="11">
        <f>E114-K114</f>
        <v/>
      </c>
      <c r="M114" s="11" t="n"/>
      <c r="N114" s="11" t="n"/>
      <c r="O114" s="11" t="n">
        <v>137.154325</v>
      </c>
      <c r="P114" s="11" t="n">
        <v>-138</v>
      </c>
      <c r="Q114" s="11" t="n"/>
      <c r="R114" s="11" t="n">
        <v>219.0906749999999</v>
      </c>
      <c r="S114" s="11" t="n"/>
      <c r="T114" s="11" t="n"/>
      <c r="U114" s="11">
        <f>E114/5</f>
        <v/>
      </c>
      <c r="V114" s="4">
        <f>11*U114-T114-R114-Q114-P114-O114-F114</f>
        <v/>
      </c>
      <c r="W114" s="4">
        <f>V114</f>
        <v/>
      </c>
      <c r="X114" s="11">
        <f>(F114+O114+P114+Q114+R114+W114+T114+S114)/U114</f>
        <v/>
      </c>
      <c r="Y114" s="11">
        <f>(F114+O114+P114+Q114+R114+S114+T114)/U114</f>
        <v/>
      </c>
      <c r="Z114" s="11" t="n">
        <v>70.8</v>
      </c>
      <c r="AA114" s="11" t="n">
        <v>65</v>
      </c>
      <c r="AB114" s="11" t="n">
        <v>39</v>
      </c>
      <c r="AC114" s="11" t="n">
        <v>37.4</v>
      </c>
      <c r="AD114" s="11" t="n">
        <v>79.40000000000001</v>
      </c>
      <c r="AE114" s="11" t="n">
        <v>86.40000000000001</v>
      </c>
      <c r="AF114" s="11" t="n">
        <v>61.8</v>
      </c>
      <c r="AG114" s="11" t="n">
        <v>64.59999999999999</v>
      </c>
      <c r="AH114" s="11" t="n">
        <v>68.40000000000001</v>
      </c>
      <c r="AI114" s="11" t="n">
        <v>56</v>
      </c>
      <c r="AJ114" s="11" t="n"/>
      <c r="AK114" s="11">
        <f>ROUND(G114*W114,0)</f>
        <v/>
      </c>
      <c r="AL114">
        <f>U114*G114</f>
        <v/>
      </c>
      <c r="AM114" t="inlineStr">
        <is>
          <t>SU004039</t>
        </is>
      </c>
    </row>
    <row r="115">
      <c r="A115" s="8" t="inlineStr">
        <is>
          <t xml:space="preserve"> 570  Колбаса Сервелат Финский ТМ Вязанка в оболочке фиброуз в вак. упаковке 0,28 кг срез  ПОКОМ</t>
        </is>
      </c>
      <c r="B115" s="8" t="inlineStr">
        <is>
          <t>шт</t>
        </is>
      </c>
      <c r="C115" s="8" t="n"/>
      <c r="D115" s="8" t="n"/>
      <c r="E115" s="8" t="n"/>
      <c r="F115" s="8" t="n"/>
      <c r="G115" s="9" t="n">
        <v>0</v>
      </c>
      <c r="H115" s="8" t="n"/>
      <c r="I115" s="8" t="inlineStr">
        <is>
          <t>матрица</t>
        </is>
      </c>
      <c r="J115" s="8" t="n"/>
      <c r="K115" s="8" t="n"/>
      <c r="L115" s="8">
        <f>E115-K115</f>
        <v/>
      </c>
      <c r="M115" s="8" t="n"/>
      <c r="N115" s="8" t="n"/>
      <c r="O115" s="8" t="n">
        <v>0</v>
      </c>
      <c r="P115" s="8" t="n"/>
      <c r="Q115" s="8" t="n"/>
      <c r="R115" s="8" t="n"/>
      <c r="S115" s="8" t="n"/>
      <c r="T115" s="8" t="n"/>
      <c r="U115" s="8">
        <f>E115/5</f>
        <v/>
      </c>
      <c r="V115" s="10" t="n"/>
      <c r="W115" s="4">
        <f>V115</f>
        <v/>
      </c>
      <c r="X115" s="11">
        <f>(F115+O115+P115+Q115+R115+W115+T115+S115)/U115</f>
        <v/>
      </c>
      <c r="Y115" s="11">
        <f>(F115+O115+P115+Q115+R115+S115+T115)/U115</f>
        <v/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0</v>
      </c>
      <c r="AI115" s="8" t="n">
        <v>0</v>
      </c>
      <c r="AJ115" s="8" t="inlineStr">
        <is>
          <t>нет потребности</t>
        </is>
      </c>
      <c r="AK115" s="11">
        <f>ROUND(G115*W115,0)</f>
        <v/>
      </c>
      <c r="AL115">
        <f>U115*G115</f>
        <v/>
      </c>
      <c r="AM115" t="inlineStr">
        <is>
          <t>SU004045</t>
        </is>
      </c>
    </row>
    <row r="116">
      <c r="A116" s="11" t="inlineStr">
        <is>
          <t xml:space="preserve"> 571  Колбаса Сервелат Ореховый ТМ Вязанка в оболочке фиброуз в вак. упаковке 0,28 кг срез  ПОКОМ</t>
        </is>
      </c>
      <c r="B116" s="11" t="inlineStr">
        <is>
          <t>шт</t>
        </is>
      </c>
      <c r="C116" s="11" t="n">
        <v>324</v>
      </c>
      <c r="D116" s="11" t="n">
        <v>1</v>
      </c>
      <c r="E116" s="11" t="n">
        <v>231</v>
      </c>
      <c r="F116" s="11" t="n">
        <v>81</v>
      </c>
      <c r="G116" s="6" t="n">
        <v>0.28</v>
      </c>
      <c r="H116" s="11" t="n">
        <v>40</v>
      </c>
      <c r="I116" s="12" t="inlineStr">
        <is>
          <t>НЕДОГРУЗ / матрица</t>
        </is>
      </c>
      <c r="J116" s="11" t="n"/>
      <c r="K116" s="11" t="n">
        <v>395</v>
      </c>
      <c r="L116" s="11">
        <f>E116-K116</f>
        <v/>
      </c>
      <c r="M116" s="11" t="n"/>
      <c r="N116" s="11" t="n"/>
      <c r="O116" s="11" t="n">
        <v>300</v>
      </c>
      <c r="P116" s="11" t="n">
        <v>-299.9999999999999</v>
      </c>
      <c r="Q116" s="11" t="n"/>
      <c r="R116" s="11" t="n">
        <v>150</v>
      </c>
      <c r="S116" s="11" t="n">
        <v>-150</v>
      </c>
      <c r="T116" s="11" t="n"/>
      <c r="U116" s="11">
        <f>E116/5</f>
        <v/>
      </c>
      <c r="V116" s="4" t="n">
        <v>200</v>
      </c>
      <c r="W116" s="4">
        <f>V116</f>
        <v/>
      </c>
      <c r="X116" s="11">
        <f>(F116+O116+P116+Q116+R116+W116+T116+S116)/U116</f>
        <v/>
      </c>
      <c r="Y116" s="11">
        <f>(F116+O116+P116+Q116+R116+S116+T116)/U116</f>
        <v/>
      </c>
      <c r="Z116" s="11" t="n">
        <v>76.40000000000001</v>
      </c>
      <c r="AA116" s="11" t="n">
        <v>75.2</v>
      </c>
      <c r="AB116" s="11" t="n">
        <v>67</v>
      </c>
      <c r="AC116" s="11" t="n">
        <v>62.4</v>
      </c>
      <c r="AD116" s="11" t="n">
        <v>67</v>
      </c>
      <c r="AE116" s="11" t="n">
        <v>69</v>
      </c>
      <c r="AF116" s="11" t="n">
        <v>63</v>
      </c>
      <c r="AG116" s="11" t="n">
        <v>66.8</v>
      </c>
      <c r="AH116" s="11" t="n">
        <v>66.40000000000001</v>
      </c>
      <c r="AI116" s="11" t="n">
        <v>53</v>
      </c>
      <c r="AJ116" s="11" t="n"/>
      <c r="AK116" s="11">
        <f>ROUND(G116*W116,0)</f>
        <v/>
      </c>
      <c r="AL116">
        <f>U116*G116</f>
        <v/>
      </c>
      <c r="AM116" t="inlineStr">
        <is>
          <t>SU004042</t>
        </is>
      </c>
    </row>
    <row r="117">
      <c r="A117" s="11" t="inlineStr">
        <is>
          <t xml:space="preserve"> 574  Колбаса Сервелат Финский ТМ Вязанка в упаковке скин 0,09 кг нарезка  ПОКОМ</t>
        </is>
      </c>
      <c r="B117" s="11" t="inlineStr">
        <is>
          <t>шт</t>
        </is>
      </c>
      <c r="C117" s="11" t="n">
        <v>3</v>
      </c>
      <c r="D117" s="11" t="n">
        <v>90</v>
      </c>
      <c r="E117" s="11" t="n">
        <v>63</v>
      </c>
      <c r="F117" s="11" t="n">
        <v>23</v>
      </c>
      <c r="G117" s="6" t="n">
        <v>0.09</v>
      </c>
      <c r="H117" s="11" t="n"/>
      <c r="I117" s="11" t="inlineStr">
        <is>
          <t>матрица</t>
        </is>
      </c>
      <c r="J117" s="11" t="n"/>
      <c r="K117" s="11" t="n">
        <v>101</v>
      </c>
      <c r="L117" s="11">
        <f>E117-K117</f>
        <v/>
      </c>
      <c r="M117" s="11" t="n"/>
      <c r="N117" s="11" t="n"/>
      <c r="O117" s="11" t="n">
        <v>0</v>
      </c>
      <c r="P117" s="11" t="n"/>
      <c r="Q117" s="11" t="n"/>
      <c r="R117" s="11" t="n"/>
      <c r="S117" s="11" t="n"/>
      <c r="T117" s="11" t="n"/>
      <c r="U117" s="11">
        <f>E117/5</f>
        <v/>
      </c>
      <c r="V117" s="4">
        <f>8*U117-T117-R117-Q117-P117-O117-F117</f>
        <v/>
      </c>
      <c r="W117" s="4">
        <f>V117</f>
        <v/>
      </c>
      <c r="X117" s="11">
        <f>(F117+O117+P117+Q117+R117+W117+T117+S117)/U117</f>
        <v/>
      </c>
      <c r="Y117" s="11">
        <f>(F117+O117+P117+Q117+R117+S117+T117)/U117</f>
        <v/>
      </c>
      <c r="Z117" s="11" t="n">
        <v>3.8</v>
      </c>
      <c r="AA117" s="11" t="n">
        <v>7.4</v>
      </c>
      <c r="AB117" s="11" t="n">
        <v>8</v>
      </c>
      <c r="AC117" s="11" t="n">
        <v>0</v>
      </c>
      <c r="AD117" s="11" t="n">
        <v>0</v>
      </c>
      <c r="AE117" s="11" t="n">
        <v>0</v>
      </c>
      <c r="AF117" s="11" t="n">
        <v>0</v>
      </c>
      <c r="AG117" s="11" t="n">
        <v>0</v>
      </c>
      <c r="AH117" s="11" t="n">
        <v>0</v>
      </c>
      <c r="AI117" s="11" t="n">
        <v>0</v>
      </c>
      <c r="AJ117" s="11" t="inlineStr">
        <is>
          <t>30шт под сеть Молоко (05,08,26) / заказываем с 05,08,26</t>
        </is>
      </c>
      <c r="AK117" s="11">
        <f>ROUND(G117*W117,0)</f>
        <v/>
      </c>
      <c r="AL117">
        <f>U117*G117</f>
        <v/>
      </c>
      <c r="AM117" t="inlineStr">
        <is>
          <t>SU003751</t>
        </is>
      </c>
    </row>
    <row r="118">
      <c r="A118" s="11" t="inlineStr">
        <is>
          <t xml:space="preserve"> 579  Колбаса Ветчинно-рубленая ТМ Особый рецепт в оболочке полиамид.ВЕС  ПОКОМ</t>
        </is>
      </c>
      <c r="B118" s="11" t="inlineStr">
        <is>
          <t>кг</t>
        </is>
      </c>
      <c r="C118" s="11" t="n">
        <v>307.696</v>
      </c>
      <c r="D118" s="11" t="n"/>
      <c r="E118" s="11" t="n">
        <v>216.696</v>
      </c>
      <c r="F118" s="11" t="n">
        <v>90.264</v>
      </c>
      <c r="G118" s="6" t="n">
        <v>1</v>
      </c>
      <c r="H118" s="11" t="n">
        <v>60</v>
      </c>
      <c r="I118" s="11" t="inlineStr">
        <is>
          <t>матрица</t>
        </is>
      </c>
      <c r="J118" s="11" t="n"/>
      <c r="K118" s="11" t="n">
        <v>232.85</v>
      </c>
      <c r="L118" s="11">
        <f>E118-K118</f>
        <v/>
      </c>
      <c r="M118" s="11" t="n"/>
      <c r="N118" s="11" t="n"/>
      <c r="O118" s="11" t="n">
        <v>9.653200000000027</v>
      </c>
      <c r="P118" s="11" t="n"/>
      <c r="Q118" s="11" t="n"/>
      <c r="R118" s="11" t="n"/>
      <c r="S118" s="11" t="n"/>
      <c r="T118" s="11" t="n"/>
      <c r="U118" s="11">
        <f>E118/5</f>
        <v/>
      </c>
      <c r="V118" s="4">
        <f>8*U118-T118-R118-Q118-P118-O118-F118</f>
        <v/>
      </c>
      <c r="W118" s="4">
        <f>V118</f>
        <v/>
      </c>
      <c r="X118" s="11">
        <f>(F118+O118+P118+Q118+R118+W118+T118+S118)/U118</f>
        <v/>
      </c>
      <c r="Y118" s="11">
        <f>(F118+O118+P118+Q118+R118+S118+T118)/U118</f>
        <v/>
      </c>
      <c r="Z118" s="11" t="n">
        <v>23.1196</v>
      </c>
      <c r="AA118" s="11" t="n">
        <v>16.1924</v>
      </c>
      <c r="AB118" s="11" t="n">
        <v>24.3206</v>
      </c>
      <c r="AC118" s="11" t="n">
        <v>34.0402</v>
      </c>
      <c r="AD118" s="11" t="n">
        <v>26.3834</v>
      </c>
      <c r="AE118" s="11" t="n">
        <v>17.1696</v>
      </c>
      <c r="AF118" s="11" t="n">
        <v>17.8954</v>
      </c>
      <c r="AG118" s="11" t="n">
        <v>29.6976</v>
      </c>
      <c r="AH118" s="11" t="n">
        <v>35.66</v>
      </c>
      <c r="AI118" s="11" t="n">
        <v>26.8344</v>
      </c>
      <c r="AJ118" s="11" t="n"/>
      <c r="AK118" s="11">
        <f>ROUND(G118*W118,0)</f>
        <v/>
      </c>
      <c r="AL118">
        <f>U118*G118</f>
        <v/>
      </c>
      <c r="AM118" t="inlineStr">
        <is>
          <t>SU004131</t>
        </is>
      </c>
    </row>
    <row r="119">
      <c r="A119" s="11" t="inlineStr">
        <is>
          <t xml:space="preserve"> 580  Ветчина Нежная с индейкой ТМ Особый рецепт в оболочке полиамид.ВЕС  ПОКОМ</t>
        </is>
      </c>
      <c r="B119" s="11" t="inlineStr">
        <is>
          <t>кг</t>
        </is>
      </c>
      <c r="C119" s="11" t="n">
        <v>82.09</v>
      </c>
      <c r="D119" s="11" t="n"/>
      <c r="E119" s="11" t="n">
        <v>-1.178</v>
      </c>
      <c r="F119" s="11" t="n">
        <v>82.09</v>
      </c>
      <c r="G119" s="6" t="n">
        <v>1</v>
      </c>
      <c r="H119" s="11" t="n">
        <v>50</v>
      </c>
      <c r="I119" s="11" t="inlineStr">
        <is>
          <t>матрица</t>
        </is>
      </c>
      <c r="J119" s="11" t="n"/>
      <c r="K119" s="11" t="n">
        <v>42.5</v>
      </c>
      <c r="L119" s="11">
        <f>E119-K119</f>
        <v/>
      </c>
      <c r="M119" s="11" t="n"/>
      <c r="N119" s="11" t="n"/>
      <c r="O119" s="11" t="n">
        <v>0</v>
      </c>
      <c r="P119" s="11" t="n"/>
      <c r="Q119" s="11" t="n"/>
      <c r="R119" s="11" t="n"/>
      <c r="S119" s="11" t="n"/>
      <c r="T119" s="11" t="n"/>
      <c r="U119" s="11">
        <f>E119/5</f>
        <v/>
      </c>
      <c r="V119" s="4" t="n"/>
      <c r="W119" s="4">
        <f>V119</f>
        <v/>
      </c>
      <c r="X119" s="11">
        <f>(F119+O119+P119+Q119+R119+W119+T119+S119)/U119</f>
        <v/>
      </c>
      <c r="Y119" s="11">
        <f>(F119+O119+P119+Q119+R119+S119+T119)/U119</f>
        <v/>
      </c>
      <c r="Z119" s="11" t="n">
        <v>-0.3604</v>
      </c>
      <c r="AA119" s="11" t="n">
        <v>-0.1248</v>
      </c>
      <c r="AB119" s="11" t="n">
        <v>-0.1746</v>
      </c>
      <c r="AC119" s="11" t="n">
        <v>-0.3578</v>
      </c>
      <c r="AD119" s="11" t="n">
        <v>-0.1832</v>
      </c>
      <c r="AE119" s="11" t="n">
        <v>0.3616</v>
      </c>
      <c r="AF119" s="11" t="n">
        <v>4.1176</v>
      </c>
      <c r="AG119" s="11" t="n">
        <v>5.7634</v>
      </c>
      <c r="AH119" s="11" t="n">
        <v>15.0108</v>
      </c>
      <c r="AI119" s="11" t="n">
        <v>18.3824</v>
      </c>
      <c r="AJ119" s="15" t="inlineStr">
        <is>
          <t>нужно увеличить продажи!!!</t>
        </is>
      </c>
      <c r="AK119" s="11">
        <f>ROUND(G119*W119,0)</f>
        <v/>
      </c>
      <c r="AL119">
        <f>U119*G119</f>
        <v/>
      </c>
      <c r="AM119" t="inlineStr">
        <is>
          <t>SU003686</t>
        </is>
      </c>
    </row>
    <row r="120">
      <c r="A120" s="11" t="inlineStr">
        <is>
          <t xml:space="preserve"> 583  Колбаса Балыковая ТМ Вязанка в упаковке скин 0,09 кг нарезка  ПОКОМ</t>
        </is>
      </c>
      <c r="B120" s="11" t="inlineStr">
        <is>
          <t>шт</t>
        </is>
      </c>
      <c r="C120" s="11" t="n">
        <v>-1</v>
      </c>
      <c r="D120" s="11" t="n">
        <v>100</v>
      </c>
      <c r="E120" s="11" t="n">
        <v>63</v>
      </c>
      <c r="F120" s="11" t="n">
        <v>27</v>
      </c>
      <c r="G120" s="6" t="n">
        <v>0.09</v>
      </c>
      <c r="H120" s="11" t="n"/>
      <c r="I120" s="11" t="inlineStr">
        <is>
          <t>матрица</t>
        </is>
      </c>
      <c r="J120" s="11" t="n"/>
      <c r="K120" s="11" t="n">
        <v>74</v>
      </c>
      <c r="L120" s="11">
        <f>E120-K120</f>
        <v/>
      </c>
      <c r="M120" s="11" t="n"/>
      <c r="N120" s="11" t="n"/>
      <c r="O120" s="11" t="n">
        <v>0</v>
      </c>
      <c r="P120" s="11" t="n"/>
      <c r="Q120" s="11" t="n"/>
      <c r="R120" s="11" t="n"/>
      <c r="S120" s="11" t="n"/>
      <c r="T120" s="11" t="n"/>
      <c r="U120" s="11">
        <f>E120/5</f>
        <v/>
      </c>
      <c r="V120" s="4">
        <f>8*U120-T120-R120-Q120-P120-O120-F120</f>
        <v/>
      </c>
      <c r="W120" s="4">
        <f>V120</f>
        <v/>
      </c>
      <c r="X120" s="11">
        <f>(F120+O120+P120+Q120+R120+W120+T120+S120)/U120</f>
        <v/>
      </c>
      <c r="Y120" s="11">
        <f>(F120+O120+P120+Q120+R120+S120+T120)/U120</f>
        <v/>
      </c>
      <c r="Z120" s="11" t="n">
        <v>2.6</v>
      </c>
      <c r="AA120" s="11" t="n">
        <v>8.199999999999999</v>
      </c>
      <c r="AB120" s="11" t="n">
        <v>8.199999999999999</v>
      </c>
      <c r="AC120" s="11" t="n">
        <v>0</v>
      </c>
      <c r="AD120" s="11" t="n">
        <v>0</v>
      </c>
      <c r="AE120" s="11" t="n">
        <v>0</v>
      </c>
      <c r="AF120" s="11" t="n">
        <v>0</v>
      </c>
      <c r="AG120" s="11" t="n">
        <v>0</v>
      </c>
      <c r="AH120" s="11" t="n">
        <v>0</v>
      </c>
      <c r="AI120" s="11" t="n">
        <v>0</v>
      </c>
      <c r="AJ120" s="11" t="inlineStr">
        <is>
          <t>30шт под сеть Молоко (05,08,26) / заказываем с 05,08,26</t>
        </is>
      </c>
      <c r="AK120" s="11">
        <f>ROUND(G120*W120,0)</f>
        <v/>
      </c>
      <c r="AL120">
        <f>U120*G120</f>
        <v/>
      </c>
      <c r="AM120" t="inlineStr">
        <is>
          <t>SU003753</t>
        </is>
      </c>
    </row>
    <row r="121">
      <c r="A121" s="8" t="inlineStr">
        <is>
          <t xml:space="preserve"> 584  Колбаса Сервелат Ореховый ТМ Вязанка в упаковке скин 0,09 кг нарезка  ПОКОМ</t>
        </is>
      </c>
      <c r="B121" s="8" t="inlineStr">
        <is>
          <t>шт</t>
        </is>
      </c>
      <c r="C121" s="8" t="n"/>
      <c r="D121" s="8" t="n"/>
      <c r="E121" s="8" t="n"/>
      <c r="F121" s="8" t="n"/>
      <c r="G121" s="9" t="n">
        <v>0</v>
      </c>
      <c r="H121" s="8" t="n"/>
      <c r="I121" s="8" t="inlineStr">
        <is>
          <t>матрица</t>
        </is>
      </c>
      <c r="J121" s="8" t="n"/>
      <c r="K121" s="8" t="n"/>
      <c r="L121" s="8">
        <f>E121-K121</f>
        <v/>
      </c>
      <c r="M121" s="8" t="n"/>
      <c r="N121" s="8" t="n"/>
      <c r="O121" s="8" t="n">
        <v>0</v>
      </c>
      <c r="P121" s="8" t="n"/>
      <c r="Q121" s="8" t="n"/>
      <c r="R121" s="8" t="n"/>
      <c r="S121" s="8" t="n"/>
      <c r="T121" s="8" t="n"/>
      <c r="U121" s="8">
        <f>E121/5</f>
        <v/>
      </c>
      <c r="V121" s="10" t="n"/>
      <c r="W121" s="4">
        <f>V121</f>
        <v/>
      </c>
      <c r="X121" s="11">
        <f>(F121+O121+P121+Q121+R121+W121+T121+S121)/U121</f>
        <v/>
      </c>
      <c r="Y121" s="11">
        <f>(F121+O121+P121+Q121+R121+S121+T121)/U121</f>
        <v/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0</v>
      </c>
      <c r="AG121" s="8" t="n">
        <v>0</v>
      </c>
      <c r="AH121" s="8" t="n">
        <v>0</v>
      </c>
      <c r="AI121" s="8" t="n">
        <v>0</v>
      </c>
      <c r="AJ121" s="8" t="inlineStr">
        <is>
          <t>нет потребности</t>
        </is>
      </c>
      <c r="AK121" s="11">
        <f>ROUND(G121*W121,0)</f>
        <v/>
      </c>
      <c r="AL121">
        <f>U121*G121</f>
        <v/>
      </c>
      <c r="AM121" t="inlineStr">
        <is>
          <t>SU003988</t>
        </is>
      </c>
    </row>
    <row r="122">
      <c r="A122" s="11" t="inlineStr">
        <is>
          <t xml:space="preserve"> 585  Колбаса Молочная ТМ Стародворье в оболочке вектор НД ВЕС.  ПОКОМ</t>
        </is>
      </c>
      <c r="B122" s="11" t="inlineStr">
        <is>
          <t>кг</t>
        </is>
      </c>
      <c r="C122" s="11" t="n">
        <v>248.176</v>
      </c>
      <c r="D122" s="11" t="n">
        <v>719.958</v>
      </c>
      <c r="E122" s="11" t="n">
        <v>351.443</v>
      </c>
      <c r="F122" s="11" t="n">
        <v>580.728</v>
      </c>
      <c r="G122" s="6" t="n">
        <v>1</v>
      </c>
      <c r="H122" s="11" t="n">
        <v>60</v>
      </c>
      <c r="I122" s="11" t="inlineStr">
        <is>
          <t>матрица</t>
        </is>
      </c>
      <c r="J122" s="11" t="n"/>
      <c r="K122" s="11" t="n">
        <v>338.3</v>
      </c>
      <c r="L122" s="11">
        <f>E122-K122</f>
        <v/>
      </c>
      <c r="M122" s="11" t="n"/>
      <c r="N122" s="11" t="n"/>
      <c r="O122" s="11" t="n">
        <v>152.6804491999998</v>
      </c>
      <c r="P122" s="11" t="n"/>
      <c r="Q122" s="11" t="n"/>
      <c r="R122" s="11" t="n"/>
      <c r="S122" s="11" t="n"/>
      <c r="T122" s="11" t="n"/>
      <c r="U122" s="11">
        <f>E122/5</f>
        <v/>
      </c>
      <c r="V122" s="4">
        <f>11*U122-T122-R122-Q122-P122-O122-F122</f>
        <v/>
      </c>
      <c r="W122" s="4">
        <f>V122</f>
        <v/>
      </c>
      <c r="X122" s="11">
        <f>(F122+O122+P122+Q122+R122+W122+T122+S122)/U122</f>
        <v/>
      </c>
      <c r="Y122" s="11">
        <f>(F122+O122+P122+Q122+R122+S122+T122)/U122</f>
        <v/>
      </c>
      <c r="Z122" s="11" t="n">
        <v>78.2366</v>
      </c>
      <c r="AA122" s="11" t="n">
        <v>83.53740000000001</v>
      </c>
      <c r="AB122" s="11" t="n">
        <v>65.345</v>
      </c>
      <c r="AC122" s="11" t="n">
        <v>56.36499999999999</v>
      </c>
      <c r="AD122" s="11" t="n">
        <v>56.5816</v>
      </c>
      <c r="AE122" s="11" t="n">
        <v>54.9228</v>
      </c>
      <c r="AF122" s="11" t="n">
        <v>66.63039999999999</v>
      </c>
      <c r="AG122" s="11" t="n">
        <v>70.85599999999999</v>
      </c>
      <c r="AH122" s="11" t="n">
        <v>76.2458</v>
      </c>
      <c r="AI122" s="11" t="n">
        <v>71.3352</v>
      </c>
      <c r="AJ122" s="11" t="n"/>
      <c r="AK122" s="11">
        <f>ROUND(G122*W122,0)</f>
        <v/>
      </c>
      <c r="AL122">
        <f>U122*G122</f>
        <v/>
      </c>
      <c r="AM122" t="inlineStr">
        <is>
          <t>SU004103</t>
        </is>
      </c>
    </row>
    <row r="123">
      <c r="A123" s="11" t="inlineStr">
        <is>
          <t xml:space="preserve"> 586  Колбаса Мясная ТМ Стародворье в оболочке вектор НД ВЕС.  ПОКОМ</t>
        </is>
      </c>
      <c r="B123" s="11" t="inlineStr">
        <is>
          <t>кг</t>
        </is>
      </c>
      <c r="C123" s="11" t="n">
        <v>406.091</v>
      </c>
      <c r="D123" s="11" t="n">
        <v>675.592</v>
      </c>
      <c r="E123" s="11" t="n">
        <v>467.985</v>
      </c>
      <c r="F123" s="11" t="n">
        <v>555.606</v>
      </c>
      <c r="G123" s="6" t="n">
        <v>1</v>
      </c>
      <c r="H123" s="11" t="n">
        <v>60</v>
      </c>
      <c r="I123" s="11" t="inlineStr">
        <is>
          <t>матрица</t>
        </is>
      </c>
      <c r="J123" s="11" t="n"/>
      <c r="K123" s="11" t="n">
        <v>451.55</v>
      </c>
      <c r="L123" s="11">
        <f>E123-K123</f>
        <v/>
      </c>
      <c r="M123" s="11" t="n"/>
      <c r="N123" s="11" t="n"/>
      <c r="O123" s="11" t="n">
        <v>162.2317732420001</v>
      </c>
      <c r="P123" s="11" t="n"/>
      <c r="Q123" s="11" t="n"/>
      <c r="R123" s="11" t="n">
        <v>259.1494559580001</v>
      </c>
      <c r="S123" s="11" t="n"/>
      <c r="T123" s="11" t="n"/>
      <c r="U123" s="11">
        <f>E123/5</f>
        <v/>
      </c>
      <c r="V123" s="4">
        <f>11*U123-T123-R123-Q123-P123-O123-F123</f>
        <v/>
      </c>
      <c r="W123" s="4">
        <f>V123+$W$1*U123</f>
        <v/>
      </c>
      <c r="X123" s="11">
        <f>(F123+O123+P123+Q123+R123+W123+T123+S123)/U123</f>
        <v/>
      </c>
      <c r="Y123" s="11">
        <f>(F123+O123+P123+Q123+R123+S123+T123)/U123</f>
        <v/>
      </c>
      <c r="Z123" s="11" t="n">
        <v>92.2008</v>
      </c>
      <c r="AA123" s="11" t="n">
        <v>92.7684</v>
      </c>
      <c r="AB123" s="11" t="n">
        <v>92.42359999999999</v>
      </c>
      <c r="AC123" s="11" t="n">
        <v>83.88939999999999</v>
      </c>
      <c r="AD123" s="11" t="n">
        <v>75.759</v>
      </c>
      <c r="AE123" s="11" t="n">
        <v>77.75620000000001</v>
      </c>
      <c r="AF123" s="11" t="n">
        <v>88.79260000000001</v>
      </c>
      <c r="AG123" s="11" t="n">
        <v>87.9072</v>
      </c>
      <c r="AH123" s="11" t="n">
        <v>90.1336</v>
      </c>
      <c r="AI123" s="11" t="n">
        <v>88.30760000000001</v>
      </c>
      <c r="AJ123" s="11" t="n"/>
      <c r="AK123" s="11">
        <f>ROUND(G123*W123,0)</f>
        <v/>
      </c>
      <c r="AL123">
        <f>U123*G123</f>
        <v/>
      </c>
      <c r="AM123" t="inlineStr">
        <is>
          <t>SU004104</t>
        </is>
      </c>
    </row>
    <row r="124">
      <c r="A124" s="11" t="inlineStr">
        <is>
          <t xml:space="preserve"> 588 Колбаса Со шпиком ТМ Стародворье в оболочке вектор ВЕС  ПОКОМ</t>
        </is>
      </c>
      <c r="B124" s="11" t="inlineStr">
        <is>
          <t>кг</t>
        </is>
      </c>
      <c r="C124" s="11" t="n">
        <v>112.037</v>
      </c>
      <c r="D124" s="11" t="n">
        <v>449.253</v>
      </c>
      <c r="E124" s="11" t="n">
        <v>157.76</v>
      </c>
      <c r="F124" s="11" t="n">
        <v>371.692</v>
      </c>
      <c r="G124" s="6" t="n">
        <v>1</v>
      </c>
      <c r="H124" s="11" t="n">
        <v>60</v>
      </c>
      <c r="I124" s="11" t="inlineStr">
        <is>
          <t>матрица</t>
        </is>
      </c>
      <c r="J124" s="11" t="n"/>
      <c r="K124" s="11" t="n">
        <v>153.4</v>
      </c>
      <c r="L124" s="11">
        <f>E124-K124</f>
        <v/>
      </c>
      <c r="M124" s="11" t="n"/>
      <c r="N124" s="11" t="n"/>
      <c r="O124" s="11" t="n">
        <v>77.0637734</v>
      </c>
      <c r="P124" s="11" t="n"/>
      <c r="Q124" s="11" t="n"/>
      <c r="R124" s="11" t="n"/>
      <c r="S124" s="11" t="n"/>
      <c r="T124" s="11" t="n"/>
      <c r="U124" s="11">
        <f>E124/5</f>
        <v/>
      </c>
      <c r="V124" s="4" t="n"/>
      <c r="W124" s="4">
        <f>V124</f>
        <v/>
      </c>
      <c r="X124" s="11">
        <f>(F124+O124+P124+Q124+R124+W124+T124+S124)/U124</f>
        <v/>
      </c>
      <c r="Y124" s="11">
        <f>(F124+O124+P124+Q124+R124+S124+T124)/U124</f>
        <v/>
      </c>
      <c r="Z124" s="11" t="n">
        <v>45.125</v>
      </c>
      <c r="AA124" s="11" t="n">
        <v>47.7998</v>
      </c>
      <c r="AB124" s="11" t="n">
        <v>34.2012</v>
      </c>
      <c r="AC124" s="11" t="n">
        <v>29.3096</v>
      </c>
      <c r="AD124" s="11" t="n">
        <v>30.5294</v>
      </c>
      <c r="AE124" s="11" t="n">
        <v>31.7812</v>
      </c>
      <c r="AF124" s="11" t="n">
        <v>32.8658</v>
      </c>
      <c r="AG124" s="11" t="n">
        <v>29.3836</v>
      </c>
      <c r="AH124" s="11" t="n">
        <v>24.5724</v>
      </c>
      <c r="AI124" s="11" t="n">
        <v>27.5094</v>
      </c>
      <c r="AJ124" s="11" t="n"/>
      <c r="AK124" s="11">
        <f>ROUND(G124*W124,0)</f>
        <v/>
      </c>
      <c r="AL124">
        <f>U124*G124</f>
        <v/>
      </c>
      <c r="AM124" t="inlineStr">
        <is>
          <t>SU004106</t>
        </is>
      </c>
    </row>
    <row r="125">
      <c r="A125" s="11" t="inlineStr">
        <is>
          <t xml:space="preserve"> 597  Колбаса Классическая ТМ Особый рецепт в оболочке полиамид ВЕС. ПОКОМ</t>
        </is>
      </c>
      <c r="B125" s="11" t="inlineStr">
        <is>
          <t>кг</t>
        </is>
      </c>
      <c r="C125" s="11" t="n">
        <v>2800.511</v>
      </c>
      <c r="D125" s="11" t="n">
        <v>1315.983</v>
      </c>
      <c r="E125" s="11" t="n">
        <v>1581.307</v>
      </c>
      <c r="F125" s="11" t="n">
        <v>2412.243</v>
      </c>
      <c r="G125" s="6" t="n">
        <v>1</v>
      </c>
      <c r="H125" s="11" t="n">
        <v>60</v>
      </c>
      <c r="I125" s="11" t="inlineStr">
        <is>
          <t>матрица</t>
        </is>
      </c>
      <c r="J125" s="11" t="n"/>
      <c r="K125" s="11" t="n">
        <v>1576.05</v>
      </c>
      <c r="L125" s="11">
        <f>E125-K125</f>
        <v/>
      </c>
      <c r="M125" s="11" t="n"/>
      <c r="N125" s="11" t="n"/>
      <c r="O125" s="11" t="n">
        <v>371.274777027</v>
      </c>
      <c r="P125" s="11" t="n"/>
      <c r="Q125" s="11" t="n">
        <v>300</v>
      </c>
      <c r="R125" s="11" t="n">
        <v>593.0752931730001</v>
      </c>
      <c r="S125" s="11" t="n"/>
      <c r="T125" s="11" t="n"/>
      <c r="U125" s="11">
        <f>E125/5</f>
        <v/>
      </c>
      <c r="V125" s="4" t="n"/>
      <c r="W125" s="4">
        <f>V125</f>
        <v/>
      </c>
      <c r="X125" s="11">
        <f>(F125+O125+P125+Q125+R125+W125+T125+S125)/U125</f>
        <v/>
      </c>
      <c r="Y125" s="11">
        <f>(F125+O125+P125+Q125+R125+S125+T125)/U125</f>
        <v/>
      </c>
      <c r="Z125" s="11" t="n">
        <v>312.1382</v>
      </c>
      <c r="AA125" s="11" t="n">
        <v>312.5494</v>
      </c>
      <c r="AB125" s="11" t="n">
        <v>297.0502</v>
      </c>
      <c r="AC125" s="11" t="n">
        <v>289.678</v>
      </c>
      <c r="AD125" s="11" t="n">
        <v>290.186</v>
      </c>
      <c r="AE125" s="11" t="n">
        <v>287.871</v>
      </c>
      <c r="AF125" s="11" t="n">
        <v>292.5608</v>
      </c>
      <c r="AG125" s="11" t="n">
        <v>311.3012</v>
      </c>
      <c r="AH125" s="11" t="n">
        <v>194.2492</v>
      </c>
      <c r="AI125" s="11" t="n">
        <v>172.9366</v>
      </c>
      <c r="AJ125" s="11" t="n"/>
      <c r="AK125" s="11">
        <f>ROUND(G125*W125,0)</f>
        <v/>
      </c>
      <c r="AL125">
        <f>U125*G125</f>
        <v/>
      </c>
      <c r="AM125" t="inlineStr">
        <is>
          <t>SU004238</t>
        </is>
      </c>
    </row>
    <row r="126">
      <c r="A126" s="11" t="inlineStr">
        <is>
          <t xml:space="preserve"> 614  Буженина в пряном маринаде 0,25 кг консервы из мяса индейки ТМ Стародворье  ПОКОМ</t>
        </is>
      </c>
      <c r="B126" s="11" t="inlineStr">
        <is>
          <t>шт</t>
        </is>
      </c>
      <c r="C126" s="11" t="n">
        <v>206</v>
      </c>
      <c r="D126" s="11" t="n">
        <v>108</v>
      </c>
      <c r="E126" s="11" t="n">
        <v>40</v>
      </c>
      <c r="F126" s="11" t="n">
        <v>272</v>
      </c>
      <c r="G126" s="6" t="n">
        <v>0.25</v>
      </c>
      <c r="H126" s="11" t="n"/>
      <c r="I126" s="12" t="inlineStr">
        <is>
          <t>НЕДОГРУЗ / матрица</t>
        </is>
      </c>
      <c r="J126" s="11" t="n"/>
      <c r="K126" s="11" t="n">
        <v>40</v>
      </c>
      <c r="L126" s="11">
        <f>E126-K126</f>
        <v/>
      </c>
      <c r="M126" s="11" t="n"/>
      <c r="N126" s="11" t="n"/>
      <c r="O126" s="11" t="n">
        <v>100</v>
      </c>
      <c r="P126" s="11" t="n"/>
      <c r="Q126" s="11" t="n"/>
      <c r="R126" s="11" t="n">
        <v>50</v>
      </c>
      <c r="S126" s="11" t="n"/>
      <c r="T126" s="11" t="n"/>
      <c r="U126" s="11">
        <f>E126/5</f>
        <v/>
      </c>
      <c r="V126" s="4" t="n"/>
      <c r="W126" s="4">
        <f>V126</f>
        <v/>
      </c>
      <c r="X126" s="11">
        <f>(F126+O126+P126+Q126+R126+W126+T126+S126)/U126</f>
        <v/>
      </c>
      <c r="Y126" s="11">
        <f>(F126+O126+P126+Q126+R126+S126+T126)/U126</f>
        <v/>
      </c>
      <c r="Z126" s="11" t="n">
        <v>4.2</v>
      </c>
      <c r="AA126" s="11" t="n">
        <v>0</v>
      </c>
      <c r="AB126" s="11" t="n">
        <v>0</v>
      </c>
      <c r="AC126" s="11" t="n">
        <v>0</v>
      </c>
      <c r="AD126" s="11" t="n">
        <v>23.2</v>
      </c>
      <c r="AE126" s="11" t="n">
        <v>40.4</v>
      </c>
      <c r="AF126" s="11" t="n">
        <v>17.2</v>
      </c>
      <c r="AG126" s="11" t="n">
        <v>0</v>
      </c>
      <c r="AH126" s="11" t="n">
        <v>0</v>
      </c>
      <c r="AI126" s="11" t="n">
        <v>0</v>
      </c>
      <c r="AJ126" s="14" t="inlineStr">
        <is>
          <t>нужно увеличить продажи / новинка</t>
        </is>
      </c>
      <c r="AK126" s="11">
        <f>ROUND(G126*W126,0)</f>
        <v/>
      </c>
      <c r="AL126">
        <f>U126*G126</f>
        <v/>
      </c>
      <c r="AM126" t="inlineStr">
        <is>
          <t>SU004146</t>
        </is>
      </c>
    </row>
    <row r="127">
      <c r="A127" s="11" t="inlineStr">
        <is>
          <t xml:space="preserve"> 615  Гречка по-купечески с говядиной и овощами 0,325кг ТМ Стародворье  ПОКОМ</t>
        </is>
      </c>
      <c r="B127" s="11" t="inlineStr">
        <is>
          <t>шт</t>
        </is>
      </c>
      <c r="C127" s="11" t="n">
        <v>206</v>
      </c>
      <c r="D127" s="11" t="n">
        <v>315</v>
      </c>
      <c r="E127" s="13">
        <f>25+E134</f>
        <v/>
      </c>
      <c r="F127" s="13">
        <f>444+F134</f>
        <v/>
      </c>
      <c r="G127" s="6" t="n">
        <v>0.325</v>
      </c>
      <c r="H127" s="11" t="n"/>
      <c r="I127" s="12" t="inlineStr">
        <is>
          <t>НЕДОГРУЗ / матрица</t>
        </is>
      </c>
      <c r="J127" s="11" t="n"/>
      <c r="K127" s="11" t="n">
        <v>25</v>
      </c>
      <c r="L127" s="11">
        <f>E127-K127</f>
        <v/>
      </c>
      <c r="M127" s="11" t="n"/>
      <c r="N127" s="11" t="n"/>
      <c r="O127" s="11" t="n">
        <v>0</v>
      </c>
      <c r="P127" s="11" t="n"/>
      <c r="Q127" s="11" t="n"/>
      <c r="R127" s="11" t="n">
        <v>0</v>
      </c>
      <c r="S127" s="11" t="n"/>
      <c r="T127" s="11" t="n"/>
      <c r="U127" s="11">
        <f>E127/5</f>
        <v/>
      </c>
      <c r="V127" s="4" t="n"/>
      <c r="W127" s="4">
        <f>V127</f>
        <v/>
      </c>
      <c r="X127" s="11">
        <f>(F127+O127+P127+Q127+R127+W127+T127+S127)/U127</f>
        <v/>
      </c>
      <c r="Y127" s="11">
        <f>(F127+O127+P127+Q127+R127+S127+T127)/U127</f>
        <v/>
      </c>
      <c r="Z127" s="11" t="n">
        <v>3.4</v>
      </c>
      <c r="AA127" s="11" t="n">
        <v>0</v>
      </c>
      <c r="AB127" s="11" t="n">
        <v>0.4</v>
      </c>
      <c r="AC127" s="11" t="n">
        <v>3.6</v>
      </c>
      <c r="AD127" s="11" t="n">
        <v>24</v>
      </c>
      <c r="AE127" s="11" t="n">
        <v>36.8</v>
      </c>
      <c r="AF127" s="11" t="n">
        <v>16</v>
      </c>
      <c r="AG127" s="11" t="n">
        <v>0</v>
      </c>
      <c r="AH127" s="11" t="n">
        <v>0</v>
      </c>
      <c r="AI127" s="11" t="n">
        <v>0</v>
      </c>
      <c r="AJ127" s="14" t="inlineStr">
        <is>
          <t>нужно увеличить продажи / новинка</t>
        </is>
      </c>
      <c r="AK127" s="11">
        <f>ROUND(G127*W127,0)</f>
        <v/>
      </c>
      <c r="AL127">
        <f>U127*G127</f>
        <v/>
      </c>
      <c r="AM127" t="inlineStr">
        <is>
          <t>SU004144</t>
        </is>
      </c>
    </row>
    <row r="128">
      <c r="A128" s="11" t="inlineStr">
        <is>
          <t xml:space="preserve"> 616  Индейка томлёная в собственном соку 0,25кг ТМ Стародлворье Консервый из мяс.птицы  ПОКОМ</t>
        </is>
      </c>
      <c r="B128" s="11" t="inlineStr">
        <is>
          <t>шт</t>
        </is>
      </c>
      <c r="C128" s="11" t="n">
        <v>149</v>
      </c>
      <c r="D128" s="11" t="n"/>
      <c r="E128" s="11" t="n">
        <v>39</v>
      </c>
      <c r="F128" s="11" t="n">
        <v>108</v>
      </c>
      <c r="G128" s="6" t="n">
        <v>0.25</v>
      </c>
      <c r="H128" s="11" t="n"/>
      <c r="I128" s="11" t="inlineStr">
        <is>
          <t>матрица</t>
        </is>
      </c>
      <c r="J128" s="11" t="n"/>
      <c r="K128" s="11" t="n">
        <v>39</v>
      </c>
      <c r="L128" s="11">
        <f>E128-K128</f>
        <v/>
      </c>
      <c r="M128" s="11" t="n"/>
      <c r="N128" s="11" t="n"/>
      <c r="O128" s="11" t="n">
        <v>0</v>
      </c>
      <c r="P128" s="11" t="n"/>
      <c r="Q128" s="11" t="n"/>
      <c r="R128" s="11" t="n"/>
      <c r="S128" s="11" t="n"/>
      <c r="T128" s="11" t="n"/>
      <c r="U128" s="11">
        <f>E128/5</f>
        <v/>
      </c>
      <c r="V128" s="4" t="n"/>
      <c r="W128" s="4">
        <f>V128</f>
        <v/>
      </c>
      <c r="X128" s="11">
        <f>(F128+O128+P128+Q128+R128+W128+T128+S128)/U128</f>
        <v/>
      </c>
      <c r="Y128" s="11">
        <f>(F128+O128+P128+Q128+R128+S128+T128)/U128</f>
        <v/>
      </c>
      <c r="Z128" s="11" t="n">
        <v>6.4</v>
      </c>
      <c r="AA128" s="11" t="n">
        <v>2.6</v>
      </c>
      <c r="AB128" s="11" t="n">
        <v>0.4</v>
      </c>
      <c r="AC128" s="11" t="n">
        <v>9.4</v>
      </c>
      <c r="AD128" s="11" t="n">
        <v>29.8</v>
      </c>
      <c r="AE128" s="11" t="n">
        <v>30.2</v>
      </c>
      <c r="AF128" s="11" t="n">
        <v>9.4</v>
      </c>
      <c r="AG128" s="11" t="n">
        <v>0</v>
      </c>
      <c r="AH128" s="11" t="n">
        <v>0</v>
      </c>
      <c r="AI128" s="11" t="n">
        <v>0</v>
      </c>
      <c r="AJ128" s="11" t="inlineStr">
        <is>
          <t>новинка</t>
        </is>
      </c>
      <c r="AK128" s="11">
        <f>ROUND(G128*W128,0)</f>
        <v/>
      </c>
      <c r="AL128">
        <f>U128*G128</f>
        <v/>
      </c>
      <c r="AM128" t="inlineStr">
        <is>
          <t>SU004145</t>
        </is>
      </c>
    </row>
    <row r="129">
      <c r="A129" s="11" t="inlineStr">
        <is>
          <t>495  Колбаса Сочинка по-европейски с сочной грудинкой 0,3кг ТМ Стародворье  ПОКОМ</t>
        </is>
      </c>
      <c r="B129" s="11" t="inlineStr">
        <is>
          <t>шт</t>
        </is>
      </c>
      <c r="C129" s="11" t="n">
        <v>3</v>
      </c>
      <c r="D129" s="11" t="n"/>
      <c r="E129" s="11" t="n">
        <v>-5</v>
      </c>
      <c r="F129" s="11" t="n">
        <v>1</v>
      </c>
      <c r="G129" s="6" t="n">
        <v>0.3</v>
      </c>
      <c r="H129" s="11" t="n">
        <v>40</v>
      </c>
      <c r="I129" s="12" t="inlineStr">
        <is>
          <t>НЕДОГРУЗ / матрица</t>
        </is>
      </c>
      <c r="J129" s="11" t="n"/>
      <c r="K129" s="11" t="n">
        <v>136</v>
      </c>
      <c r="L129" s="11">
        <f>E129-K129</f>
        <v/>
      </c>
      <c r="M129" s="11" t="n"/>
      <c r="N129" s="11" t="n"/>
      <c r="O129" s="11" t="n">
        <v>300</v>
      </c>
      <c r="P129" s="11" t="n">
        <v>-300</v>
      </c>
      <c r="Q129" s="11" t="n"/>
      <c r="R129" s="11" t="n">
        <v>150</v>
      </c>
      <c r="S129" s="11" t="n">
        <v>-150</v>
      </c>
      <c r="T129" s="11" t="n"/>
      <c r="U129" s="11">
        <f>E129/5</f>
        <v/>
      </c>
      <c r="V129" s="4" t="n">
        <v>200</v>
      </c>
      <c r="W129" s="4">
        <f>V129</f>
        <v/>
      </c>
      <c r="X129" s="11">
        <f>(F129+O129+P129+Q129+R129+W129+T129+S129)/U129</f>
        <v/>
      </c>
      <c r="Y129" s="11">
        <f>(F129+O129+P129+Q129+R129+S129+T129)/U129</f>
        <v/>
      </c>
      <c r="Z129" s="11" t="n">
        <v>74.59999999999999</v>
      </c>
      <c r="AA129" s="11" t="n">
        <v>112.4</v>
      </c>
      <c r="AB129" s="11" t="n">
        <v>109.2</v>
      </c>
      <c r="AC129" s="11" t="n">
        <v>112</v>
      </c>
      <c r="AD129" s="11" t="n">
        <v>42.2</v>
      </c>
      <c r="AE129" s="11" t="n">
        <v>25.4</v>
      </c>
      <c r="AF129" s="11" t="n">
        <v>82.8</v>
      </c>
      <c r="AG129" s="11" t="n">
        <v>98.59999999999999</v>
      </c>
      <c r="AH129" s="11" t="n">
        <v>83.8</v>
      </c>
      <c r="AI129" s="11" t="n">
        <v>69</v>
      </c>
      <c r="AJ129" s="11" t="n"/>
      <c r="AK129" s="11">
        <f>ROUND(G129*W129,0)</f>
        <v/>
      </c>
      <c r="AL129">
        <f>U129*G129</f>
        <v/>
      </c>
      <c r="AM129" t="inlineStr">
        <is>
          <t>SU002944</t>
        </is>
      </c>
    </row>
    <row r="130">
      <c r="A130" s="11" t="inlineStr">
        <is>
          <t>496  Колбаса Сочинка по-фински с сочным окроком 0,3кг ТМ Стародворье  ПОКОМ</t>
        </is>
      </c>
      <c r="B130" s="11" t="inlineStr">
        <is>
          <t>шт</t>
        </is>
      </c>
      <c r="C130" s="11" t="n">
        <v>-7</v>
      </c>
      <c r="D130" s="11" t="n"/>
      <c r="E130" s="11" t="n">
        <v>-15</v>
      </c>
      <c r="F130" s="11" t="n">
        <v>-7</v>
      </c>
      <c r="G130" s="6" t="n">
        <v>0.3</v>
      </c>
      <c r="H130" s="11" t="n">
        <v>40</v>
      </c>
      <c r="I130" s="12" t="inlineStr">
        <is>
          <t>НЕДОГРУЗ / матрица</t>
        </is>
      </c>
      <c r="J130" s="11" t="n"/>
      <c r="K130" s="11" t="n">
        <v>15</v>
      </c>
      <c r="L130" s="11">
        <f>E130-K130</f>
        <v/>
      </c>
      <c r="M130" s="11" t="n"/>
      <c r="N130" s="11" t="n"/>
      <c r="O130" s="11" t="n">
        <v>150</v>
      </c>
      <c r="P130" s="11" t="n">
        <v>-150</v>
      </c>
      <c r="Q130" s="11" t="n"/>
      <c r="R130" s="11" t="n">
        <v>75</v>
      </c>
      <c r="S130" s="11" t="n">
        <v>-76.66666666666667</v>
      </c>
      <c r="T130" s="11" t="n"/>
      <c r="U130" s="11">
        <f>E130/5</f>
        <v/>
      </c>
      <c r="V130" s="4" t="n">
        <v>150</v>
      </c>
      <c r="W130" s="4">
        <f>V130</f>
        <v/>
      </c>
      <c r="X130" s="11">
        <f>(F130+O130+P130+Q130+R130+W130+T130+S130)/U130</f>
        <v/>
      </c>
      <c r="Y130" s="11">
        <f>(F130+O130+P130+Q130+R130+S130+T130)/U130</f>
        <v/>
      </c>
      <c r="Z130" s="11" t="n">
        <v>-2</v>
      </c>
      <c r="AA130" s="11" t="n">
        <v>-2.4</v>
      </c>
      <c r="AB130" s="11" t="n">
        <v>24.4</v>
      </c>
      <c r="AC130" s="11" t="n">
        <v>53.6</v>
      </c>
      <c r="AD130" s="11" t="n">
        <v>89.40000000000001</v>
      </c>
      <c r="AE130" s="11" t="n">
        <v>93</v>
      </c>
      <c r="AF130" s="11" t="n">
        <v>65.8</v>
      </c>
      <c r="AG130" s="11" t="n">
        <v>68.40000000000001</v>
      </c>
      <c r="AH130" s="11" t="n">
        <v>71</v>
      </c>
      <c r="AI130" s="11" t="n">
        <v>56</v>
      </c>
      <c r="AJ130" s="11" t="n"/>
      <c r="AK130" s="11">
        <f>ROUND(G130*W130,0)</f>
        <v/>
      </c>
      <c r="AL130">
        <f>U130*G130</f>
        <v/>
      </c>
      <c r="AM130" t="inlineStr">
        <is>
          <t>SU002942</t>
        </is>
      </c>
    </row>
    <row r="131">
      <c r="A131" s="11" t="inlineStr">
        <is>
          <t>503 Колбаса Филейская со шпиком ТМ Вязанка в оболочке полиамид.ПОКОМ</t>
        </is>
      </c>
      <c r="B131" s="11" t="inlineStr">
        <is>
          <t>кг</t>
        </is>
      </c>
      <c r="C131" s="11" t="n">
        <v>218.138</v>
      </c>
      <c r="D131" s="11" t="n">
        <v>466.646</v>
      </c>
      <c r="E131" s="11" t="n">
        <v>288.925</v>
      </c>
      <c r="F131" s="11" t="n">
        <v>364.531</v>
      </c>
      <c r="G131" s="6" t="n">
        <v>1</v>
      </c>
      <c r="H131" s="11" t="n">
        <v>50</v>
      </c>
      <c r="I131" s="11" t="inlineStr">
        <is>
          <t>матрица</t>
        </is>
      </c>
      <c r="J131" s="11" t="n"/>
      <c r="K131" s="11" t="n">
        <v>292.1</v>
      </c>
      <c r="L131" s="11">
        <f>E131-K131</f>
        <v/>
      </c>
      <c r="M131" s="11" t="n"/>
      <c r="N131" s="11" t="n"/>
      <c r="O131" s="11" t="n">
        <v>93.27761866499992</v>
      </c>
      <c r="P131" s="11" t="n"/>
      <c r="Q131" s="11" t="n"/>
      <c r="R131" s="11" t="n">
        <v>149.0019103349999</v>
      </c>
      <c r="S131" s="11" t="n"/>
      <c r="T131" s="11" t="n"/>
      <c r="U131" s="11">
        <f>E131/5</f>
        <v/>
      </c>
      <c r="V131" s="4">
        <f>11*U131-T131-R131-Q131-P131-O131-F131</f>
        <v/>
      </c>
      <c r="W131" s="4">
        <f>V131</f>
        <v/>
      </c>
      <c r="X131" s="11">
        <f>(F131+O131+P131+Q131+R131+W131+T131+S131)/U131</f>
        <v/>
      </c>
      <c r="Y131" s="11">
        <f>(F131+O131+P131+Q131+R131+S131+T131)/U131</f>
        <v/>
      </c>
      <c r="Z131" s="11" t="n">
        <v>63.4044</v>
      </c>
      <c r="AA131" s="11" t="n">
        <v>59.213</v>
      </c>
      <c r="AB131" s="11" t="n">
        <v>48.8252</v>
      </c>
      <c r="AC131" s="11" t="n">
        <v>45.4114</v>
      </c>
      <c r="AD131" s="11" t="n">
        <v>53.2564</v>
      </c>
      <c r="AE131" s="11" t="n">
        <v>58.1448</v>
      </c>
      <c r="AF131" s="11" t="n">
        <v>62.9554</v>
      </c>
      <c r="AG131" s="11" t="n">
        <v>66.0964</v>
      </c>
      <c r="AH131" s="11" t="n">
        <v>58.157</v>
      </c>
      <c r="AI131" s="11" t="n">
        <v>49.6846</v>
      </c>
      <c r="AJ131" s="11" t="n"/>
      <c r="AK131" s="11">
        <f>ROUND(G131*W131,0)</f>
        <v/>
      </c>
      <c r="AL131">
        <f>U131*G131</f>
        <v/>
      </c>
      <c r="AM131" t="inlineStr">
        <is>
          <t>SU003642</t>
        </is>
      </c>
    </row>
    <row r="132">
      <c r="A132" s="11" t="inlineStr">
        <is>
          <t>515  Колбаса Сервелат Мясорубский Делюкс 0,3кг ТМ Стародворье  ПОКОМ</t>
        </is>
      </c>
      <c r="B132" s="11" t="inlineStr">
        <is>
          <t>шт</t>
        </is>
      </c>
      <c r="C132" s="11" t="n">
        <v>213</v>
      </c>
      <c r="D132" s="11" t="n">
        <v>150</v>
      </c>
      <c r="E132" s="11" t="n">
        <v>223</v>
      </c>
      <c r="F132" s="11" t="n">
        <v>63</v>
      </c>
      <c r="G132" s="6" t="n">
        <v>0.3</v>
      </c>
      <c r="H132" s="11" t="n">
        <v>40</v>
      </c>
      <c r="I132" s="12" t="inlineStr">
        <is>
          <t>НЕДОГРУЗ / матрица</t>
        </is>
      </c>
      <c r="J132" s="11" t="n"/>
      <c r="K132" s="11" t="n">
        <v>340</v>
      </c>
      <c r="L132" s="11">
        <f>E132-K132</f>
        <v/>
      </c>
      <c r="M132" s="11" t="n"/>
      <c r="N132" s="11" t="n"/>
      <c r="O132" s="11" t="n">
        <v>200</v>
      </c>
      <c r="P132" s="11" t="n">
        <v>-204</v>
      </c>
      <c r="Q132" s="11" t="n"/>
      <c r="R132" s="11" t="n">
        <v>100</v>
      </c>
      <c r="S132" s="11" t="n"/>
      <c r="T132" s="11" t="n"/>
      <c r="U132" s="11">
        <f>E132/5</f>
        <v/>
      </c>
      <c r="V132" s="4" t="n">
        <v>150</v>
      </c>
      <c r="W132" s="4">
        <f>V132</f>
        <v/>
      </c>
      <c r="X132" s="11">
        <f>(F132+O132+P132+Q132+R132+W132+T132+S132)/U132</f>
        <v/>
      </c>
      <c r="Y132" s="11">
        <f>(F132+O132+P132+Q132+R132+S132+T132)/U132</f>
        <v/>
      </c>
      <c r="Z132" s="11" t="n">
        <v>75.2</v>
      </c>
      <c r="AA132" s="11" t="n">
        <v>37.6</v>
      </c>
      <c r="AB132" s="11" t="n">
        <v>25.8</v>
      </c>
      <c r="AC132" s="11" t="n">
        <v>48.8</v>
      </c>
      <c r="AD132" s="11" t="n">
        <v>63.2</v>
      </c>
      <c r="AE132" s="11" t="n">
        <v>63.4</v>
      </c>
      <c r="AF132" s="11" t="n">
        <v>55</v>
      </c>
      <c r="AG132" s="11" t="n">
        <v>46.8</v>
      </c>
      <c r="AH132" s="11" t="n">
        <v>58.4</v>
      </c>
      <c r="AI132" s="11" t="n">
        <v>57.6</v>
      </c>
      <c r="AJ132" s="11" t="n"/>
      <c r="AK132" s="11">
        <f>ROUND(G132*W132,0)</f>
        <v/>
      </c>
      <c r="AL132">
        <f>U132*G132</f>
        <v/>
      </c>
      <c r="AM132" t="inlineStr">
        <is>
          <t>SU003829</t>
        </is>
      </c>
    </row>
    <row r="133">
      <c r="A133" s="11" t="inlineStr">
        <is>
          <t>519  Грудинка 0,12 кг нарезка ТМ Стародворье  ПОКОМ</t>
        </is>
      </c>
      <c r="B133" s="11" t="inlineStr">
        <is>
          <t>шт</t>
        </is>
      </c>
      <c r="C133" s="11" t="n">
        <v>101</v>
      </c>
      <c r="D133" s="11" t="n">
        <v>76</v>
      </c>
      <c r="E133" s="11" t="n">
        <v>99</v>
      </c>
      <c r="F133" s="11" t="n">
        <v>58</v>
      </c>
      <c r="G133" s="6" t="n">
        <v>0.12</v>
      </c>
      <c r="H133" s="11" t="n">
        <v>45</v>
      </c>
      <c r="I133" s="12" t="inlineStr">
        <is>
          <t>НЕДОГРУЗ / матрица</t>
        </is>
      </c>
      <c r="J133" s="11" t="n"/>
      <c r="K133" s="11" t="n">
        <v>108</v>
      </c>
      <c r="L133" s="11">
        <f>E133-K133</f>
        <v/>
      </c>
      <c r="M133" s="11" t="n"/>
      <c r="N133" s="11" t="n"/>
      <c r="O133" s="11" t="n">
        <v>34.19999999999999</v>
      </c>
      <c r="P133" s="11" t="n">
        <v>-45.00000000000001</v>
      </c>
      <c r="Q133" s="11" t="n"/>
      <c r="R133" s="11" t="n">
        <v>17.09999999999999</v>
      </c>
      <c r="S133" s="11" t="n">
        <v>-33.33333333333334</v>
      </c>
      <c r="T133" s="11" t="n"/>
      <c r="U133" s="11">
        <f>E133/5</f>
        <v/>
      </c>
      <c r="V133" s="4" t="n">
        <v>40</v>
      </c>
      <c r="W133" s="4">
        <f>V133</f>
        <v/>
      </c>
      <c r="X133" s="11">
        <f>(F133+O133+P133+Q133+R133+W133+T133+S133)/U133</f>
        <v/>
      </c>
      <c r="Y133" s="11">
        <f>(F133+O133+P133+Q133+R133+S133+T133)/U133</f>
        <v/>
      </c>
      <c r="Z133" s="11" t="n">
        <v>13.6</v>
      </c>
      <c r="AA133" s="11" t="n">
        <v>12.4</v>
      </c>
      <c r="AB133" s="11" t="n">
        <v>11.6</v>
      </c>
      <c r="AC133" s="11" t="n">
        <v>13.4</v>
      </c>
      <c r="AD133" s="11" t="n">
        <v>14.2</v>
      </c>
      <c r="AE133" s="11" t="n">
        <v>11.8</v>
      </c>
      <c r="AF133" s="11" t="n">
        <v>8</v>
      </c>
      <c r="AG133" s="11" t="n">
        <v>6.8</v>
      </c>
      <c r="AH133" s="11" t="n">
        <v>10.2</v>
      </c>
      <c r="AI133" s="11" t="n">
        <v>11.4</v>
      </c>
      <c r="AJ133" s="11" t="n"/>
      <c r="AK133" s="11">
        <f>ROUND(G133*W133,0)</f>
        <v/>
      </c>
      <c r="AL133">
        <f>U133*G133</f>
        <v/>
      </c>
      <c r="AM133" t="inlineStr">
        <is>
          <t>SU003921</t>
        </is>
      </c>
    </row>
    <row r="134">
      <c r="A134" s="8" t="inlineStr">
        <is>
          <t>БОНУС_615  Гречка по-купечески с говядиной и овощами 0,325кг ТМ Стародворье  ПОКОМ</t>
        </is>
      </c>
      <c r="B134" s="8" t="inlineStr">
        <is>
          <t>шт</t>
        </is>
      </c>
      <c r="C134" s="8" t="n"/>
      <c r="D134" s="8" t="n">
        <v>50</v>
      </c>
      <c r="E134" s="13" t="n">
        <v>2</v>
      </c>
      <c r="F134" s="13" t="n">
        <v>48</v>
      </c>
      <c r="G134" s="9" t="n">
        <v>0</v>
      </c>
      <c r="H134" s="8" t="n"/>
      <c r="I134" s="8" t="inlineStr">
        <is>
          <t>бонус</t>
        </is>
      </c>
      <c r="J134" s="8" t="inlineStr">
        <is>
          <t xml:space="preserve"> 615  Гречка по-купечески с говядиной и овощами 0,325кг ТМ Стародворье  ПОКОМ</t>
        </is>
      </c>
      <c r="K134" s="8" t="n">
        <v>2</v>
      </c>
      <c r="L134" s="8">
        <f>E134-K134</f>
        <v/>
      </c>
      <c r="M134" s="8" t="n"/>
      <c r="N134" s="8" t="n"/>
      <c r="O134" s="8" t="n">
        <v>0</v>
      </c>
      <c r="P134" s="8" t="n"/>
      <c r="Q134" s="8" t="n"/>
      <c r="R134" s="8" t="n"/>
      <c r="S134" s="8" t="n"/>
      <c r="T134" s="8" t="n"/>
      <c r="U134" s="8">
        <f>E134/5</f>
        <v/>
      </c>
      <c r="V134" s="10" t="n"/>
      <c r="W134" s="4">
        <f>V134</f>
        <v/>
      </c>
      <c r="X134" s="11">
        <f>(F134+O134+P134+Q134+R134+W134+T134+S134)/U134</f>
        <v/>
      </c>
      <c r="Y134" s="11">
        <f>(F134+O134+P134+Q134+R134+S134+T134)/U134</f>
        <v/>
      </c>
      <c r="Z134" s="8" t="n">
        <v>0.2</v>
      </c>
      <c r="AA134" s="8" t="n">
        <v>0</v>
      </c>
      <c r="AB134" s="8" t="n">
        <v>0</v>
      </c>
      <c r="AC134" s="8" t="n">
        <v>0</v>
      </c>
      <c r="AD134" s="8" t="n">
        <v>1</v>
      </c>
      <c r="AE134" s="8" t="n">
        <v>1</v>
      </c>
      <c r="AF134" s="8" t="n">
        <v>0</v>
      </c>
      <c r="AG134" s="8" t="n">
        <v>0</v>
      </c>
      <c r="AH134" s="8" t="n">
        <v>0</v>
      </c>
      <c r="AI134" s="8" t="n">
        <v>0</v>
      </c>
      <c r="AJ134" s="8" t="n"/>
      <c r="AK134" s="11">
        <f>ROUND(G134*W134,0)</f>
        <v/>
      </c>
      <c r="AL134">
        <f>U134*G134</f>
        <v/>
      </c>
    </row>
    <row r="135">
      <c r="A135" s="11" t="n"/>
      <c r="B135" s="11" t="n"/>
      <c r="C135" s="11" t="n"/>
      <c r="D135" s="11" t="n"/>
      <c r="E135" s="11" t="n"/>
      <c r="F135" s="11" t="n"/>
      <c r="G135" s="6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</row>
    <row r="136">
      <c r="A136" s="11" t="n"/>
      <c r="B136" s="11" t="n"/>
      <c r="C136" s="11" t="n"/>
      <c r="D136" s="11" t="n"/>
      <c r="E136" s="11" t="n"/>
      <c r="F136" s="11" t="n"/>
      <c r="G136" s="6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</row>
    <row r="137">
      <c r="A137" s="11" t="n"/>
      <c r="B137" s="11" t="n"/>
      <c r="C137" s="11" t="n"/>
      <c r="D137" s="11" t="n"/>
      <c r="E137" s="11" t="n"/>
      <c r="F137" s="11" t="n"/>
      <c r="G137" s="6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</row>
    <row r="138">
      <c r="A138" s="11" t="n"/>
      <c r="B138" s="11" t="n"/>
      <c r="C138" s="11" t="n"/>
      <c r="D138" s="11" t="n"/>
      <c r="E138" s="11" t="n"/>
      <c r="F138" s="11" t="n"/>
      <c r="G138" s="6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</row>
    <row r="139">
      <c r="A139" s="11" t="n"/>
      <c r="B139" s="11" t="n"/>
      <c r="C139" s="11" t="n"/>
      <c r="D139" s="11" t="n"/>
      <c r="E139" s="11" t="n"/>
      <c r="F139" s="11" t="n"/>
      <c r="G139" s="6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</row>
    <row r="140">
      <c r="A140" s="11" t="n"/>
      <c r="B140" s="11" t="n"/>
      <c r="C140" s="11" t="n"/>
      <c r="D140" s="11" t="n"/>
      <c r="E140" s="11" t="n"/>
      <c r="F140" s="11" t="n"/>
      <c r="G140" s="6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</row>
    <row r="141">
      <c r="A141" s="11" t="n"/>
      <c r="B141" s="11" t="n"/>
      <c r="C141" s="11" t="n"/>
      <c r="D141" s="11" t="n"/>
      <c r="E141" s="11" t="n"/>
      <c r="F141" s="11" t="n"/>
      <c r="G141" s="6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</row>
    <row r="142">
      <c r="A142" s="11" t="n"/>
      <c r="B142" s="11" t="n"/>
      <c r="C142" s="11" t="n"/>
      <c r="D142" s="11" t="n"/>
      <c r="E142" s="11" t="n"/>
      <c r="F142" s="11" t="n"/>
      <c r="G142" s="6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</row>
    <row r="143">
      <c r="A143" s="11" t="n"/>
      <c r="B143" s="11" t="n"/>
      <c r="C143" s="11" t="n"/>
      <c r="D143" s="11" t="n"/>
      <c r="E143" s="11" t="n"/>
      <c r="F143" s="11" t="n"/>
      <c r="G143" s="6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</row>
    <row r="144">
      <c r="A144" s="11" t="n"/>
      <c r="B144" s="11" t="n"/>
      <c r="C144" s="11" t="n"/>
      <c r="D144" s="11" t="n"/>
      <c r="E144" s="11" t="n"/>
      <c r="F144" s="11" t="n"/>
      <c r="G144" s="6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</row>
    <row r="145">
      <c r="A145" s="11" t="n"/>
      <c r="B145" s="11" t="n"/>
      <c r="C145" s="11" t="n"/>
      <c r="D145" s="11" t="n"/>
      <c r="E145" s="11" t="n"/>
      <c r="F145" s="11" t="n"/>
      <c r="G145" s="6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</row>
    <row r="146">
      <c r="A146" s="11" t="n"/>
      <c r="B146" s="11" t="n"/>
      <c r="C146" s="11" t="n"/>
      <c r="D146" s="11" t="n"/>
      <c r="E146" s="11" t="n"/>
      <c r="F146" s="11" t="n"/>
      <c r="G146" s="6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</row>
    <row r="147">
      <c r="A147" s="11" t="n"/>
      <c r="B147" s="11" t="n"/>
      <c r="C147" s="11" t="n"/>
      <c r="D147" s="11" t="n"/>
      <c r="E147" s="11" t="n"/>
      <c r="F147" s="11" t="n"/>
      <c r="G147" s="6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</row>
    <row r="148">
      <c r="A148" s="11" t="n"/>
      <c r="B148" s="11" t="n"/>
      <c r="C148" s="11" t="n"/>
      <c r="D148" s="11" t="n"/>
      <c r="E148" s="11" t="n"/>
      <c r="F148" s="11" t="n"/>
      <c r="G148" s="6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</row>
    <row r="149">
      <c r="A149" s="11" t="n"/>
      <c r="B149" s="11" t="n"/>
      <c r="C149" s="11" t="n"/>
      <c r="D149" s="11" t="n"/>
      <c r="E149" s="11" t="n"/>
      <c r="F149" s="11" t="n"/>
      <c r="G149" s="6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</row>
    <row r="150">
      <c r="A150" s="11" t="n"/>
      <c r="B150" s="11" t="n"/>
      <c r="C150" s="11" t="n"/>
      <c r="D150" s="11" t="n"/>
      <c r="E150" s="11" t="n"/>
      <c r="F150" s="11" t="n"/>
      <c r="G150" s="6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</row>
    <row r="151">
      <c r="A151" s="11" t="n"/>
      <c r="B151" s="11" t="n"/>
      <c r="C151" s="11" t="n"/>
      <c r="D151" s="11" t="n"/>
      <c r="E151" s="11" t="n"/>
      <c r="F151" s="11" t="n"/>
      <c r="G151" s="6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</row>
    <row r="152">
      <c r="A152" s="11" t="n"/>
      <c r="B152" s="11" t="n"/>
      <c r="C152" s="11" t="n"/>
      <c r="D152" s="11" t="n"/>
      <c r="E152" s="11" t="n"/>
      <c r="F152" s="11" t="n"/>
      <c r="G152" s="6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</row>
    <row r="153">
      <c r="A153" s="11" t="n"/>
      <c r="B153" s="11" t="n"/>
      <c r="C153" s="11" t="n"/>
      <c r="D153" s="11" t="n"/>
      <c r="E153" s="11" t="n"/>
      <c r="F153" s="11" t="n"/>
      <c r="G153" s="6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</row>
    <row r="154">
      <c r="A154" s="11" t="n"/>
      <c r="B154" s="11" t="n"/>
      <c r="C154" s="11" t="n"/>
      <c r="D154" s="11" t="n"/>
      <c r="E154" s="11" t="n"/>
      <c r="F154" s="11" t="n"/>
      <c r="G154" s="6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</row>
    <row r="155">
      <c r="A155" s="11" t="n"/>
      <c r="B155" s="11" t="n"/>
      <c r="C155" s="11" t="n"/>
      <c r="D155" s="11" t="n"/>
      <c r="E155" s="11" t="n"/>
      <c r="F155" s="11" t="n"/>
      <c r="G155" s="6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</row>
    <row r="156">
      <c r="A156" s="11" t="n"/>
      <c r="B156" s="11" t="n"/>
      <c r="C156" s="11" t="n"/>
      <c r="D156" s="11" t="n"/>
      <c r="E156" s="11" t="n"/>
      <c r="F156" s="11" t="n"/>
      <c r="G156" s="6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</row>
    <row r="157">
      <c r="A157" s="11" t="n"/>
      <c r="B157" s="11" t="n"/>
      <c r="C157" s="11" t="n"/>
      <c r="D157" s="11" t="n"/>
      <c r="E157" s="11" t="n"/>
      <c r="F157" s="11" t="n"/>
      <c r="G157" s="6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</row>
    <row r="158">
      <c r="A158" s="11" t="n"/>
      <c r="B158" s="11" t="n"/>
      <c r="C158" s="11" t="n"/>
      <c r="D158" s="11" t="n"/>
      <c r="E158" s="11" t="n"/>
      <c r="F158" s="11" t="n"/>
      <c r="G158" s="6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</row>
    <row r="159">
      <c r="A159" s="11" t="n"/>
      <c r="B159" s="11" t="n"/>
      <c r="C159" s="11" t="n"/>
      <c r="D159" s="11" t="n"/>
      <c r="E159" s="11" t="n"/>
      <c r="F159" s="11" t="n"/>
      <c r="G159" s="6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</row>
    <row r="160">
      <c r="A160" s="11" t="n"/>
      <c r="B160" s="11" t="n"/>
      <c r="C160" s="11" t="n"/>
      <c r="D160" s="11" t="n"/>
      <c r="E160" s="11" t="n"/>
      <c r="F160" s="11" t="n"/>
      <c r="G160" s="6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</row>
    <row r="161">
      <c r="A161" s="11" t="n"/>
      <c r="B161" s="11" t="n"/>
      <c r="C161" s="11" t="n"/>
      <c r="D161" s="11" t="n"/>
      <c r="E161" s="11" t="n"/>
      <c r="F161" s="11" t="n"/>
      <c r="G161" s="6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</row>
    <row r="162">
      <c r="A162" s="11" t="n"/>
      <c r="B162" s="11" t="n"/>
      <c r="C162" s="11" t="n"/>
      <c r="D162" s="11" t="n"/>
      <c r="E162" s="11" t="n"/>
      <c r="F162" s="11" t="n"/>
      <c r="G162" s="6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</row>
    <row r="163">
      <c r="A163" s="11" t="n"/>
      <c r="B163" s="11" t="n"/>
      <c r="C163" s="11" t="n"/>
      <c r="D163" s="11" t="n"/>
      <c r="E163" s="11" t="n"/>
      <c r="F163" s="11" t="n"/>
      <c r="G163" s="6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</row>
    <row r="164">
      <c r="A164" s="11" t="n"/>
      <c r="B164" s="11" t="n"/>
      <c r="C164" s="11" t="n"/>
      <c r="D164" s="11" t="n"/>
      <c r="E164" s="11" t="n"/>
      <c r="F164" s="11" t="n"/>
      <c r="G164" s="6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</row>
    <row r="165">
      <c r="A165" s="11" t="n"/>
      <c r="B165" s="11" t="n"/>
      <c r="C165" s="11" t="n"/>
      <c r="D165" s="11" t="n"/>
      <c r="E165" s="11" t="n"/>
      <c r="F165" s="11" t="n"/>
      <c r="G165" s="6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</row>
    <row r="166">
      <c r="A166" s="11" t="n"/>
      <c r="B166" s="11" t="n"/>
      <c r="C166" s="11" t="n"/>
      <c r="D166" s="11" t="n"/>
      <c r="E166" s="11" t="n"/>
      <c r="F166" s="11" t="n"/>
      <c r="G166" s="6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</row>
    <row r="167">
      <c r="A167" s="11" t="n"/>
      <c r="B167" s="11" t="n"/>
      <c r="C167" s="11" t="n"/>
      <c r="D167" s="11" t="n"/>
      <c r="E167" s="11" t="n"/>
      <c r="F167" s="11" t="n"/>
      <c r="G167" s="6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</row>
    <row r="168">
      <c r="A168" s="11" t="n"/>
      <c r="B168" s="11" t="n"/>
      <c r="C168" s="11" t="n"/>
      <c r="D168" s="11" t="n"/>
      <c r="E168" s="11" t="n"/>
      <c r="F168" s="11" t="n"/>
      <c r="G168" s="6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</row>
    <row r="169">
      <c r="A169" s="11" t="n"/>
      <c r="B169" s="11" t="n"/>
      <c r="C169" s="11" t="n"/>
      <c r="D169" s="11" t="n"/>
      <c r="E169" s="11" t="n"/>
      <c r="F169" s="11" t="n"/>
      <c r="G169" s="6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</row>
    <row r="170">
      <c r="A170" s="11" t="n"/>
      <c r="B170" s="11" t="n"/>
      <c r="C170" s="11" t="n"/>
      <c r="D170" s="11" t="n"/>
      <c r="E170" s="11" t="n"/>
      <c r="F170" s="11" t="n"/>
      <c r="G170" s="6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</row>
    <row r="171">
      <c r="A171" s="11" t="n"/>
      <c r="B171" s="11" t="n"/>
      <c r="C171" s="11" t="n"/>
      <c r="D171" s="11" t="n"/>
      <c r="E171" s="11" t="n"/>
      <c r="F171" s="11" t="n"/>
      <c r="G171" s="6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</row>
    <row r="172">
      <c r="A172" s="11" t="n"/>
      <c r="B172" s="11" t="n"/>
      <c r="C172" s="11" t="n"/>
      <c r="D172" s="11" t="n"/>
      <c r="E172" s="11" t="n"/>
      <c r="F172" s="11" t="n"/>
      <c r="G172" s="6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</row>
    <row r="173">
      <c r="A173" s="11" t="n"/>
      <c r="B173" s="11" t="n"/>
      <c r="C173" s="11" t="n"/>
      <c r="D173" s="11" t="n"/>
      <c r="E173" s="11" t="n"/>
      <c r="F173" s="11" t="n"/>
      <c r="G173" s="6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</row>
    <row r="174">
      <c r="A174" s="11" t="n"/>
      <c r="B174" s="11" t="n"/>
      <c r="C174" s="11" t="n"/>
      <c r="D174" s="11" t="n"/>
      <c r="E174" s="11" t="n"/>
      <c r="F174" s="11" t="n"/>
      <c r="G174" s="6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</row>
    <row r="175">
      <c r="A175" s="11" t="n"/>
      <c r="B175" s="11" t="n"/>
      <c r="C175" s="11" t="n"/>
      <c r="D175" s="11" t="n"/>
      <c r="E175" s="11" t="n"/>
      <c r="F175" s="11" t="n"/>
      <c r="G175" s="6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</row>
    <row r="176">
      <c r="A176" s="11" t="n"/>
      <c r="B176" s="11" t="n"/>
      <c r="C176" s="11" t="n"/>
      <c r="D176" s="11" t="n"/>
      <c r="E176" s="11" t="n"/>
      <c r="F176" s="11" t="n"/>
      <c r="G176" s="6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</row>
    <row r="177">
      <c r="A177" s="11" t="n"/>
      <c r="B177" s="11" t="n"/>
      <c r="C177" s="11" t="n"/>
      <c r="D177" s="11" t="n"/>
      <c r="E177" s="11" t="n"/>
      <c r="F177" s="11" t="n"/>
      <c r="G177" s="6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</row>
    <row r="178">
      <c r="A178" s="11" t="n"/>
      <c r="B178" s="11" t="n"/>
      <c r="C178" s="11" t="n"/>
      <c r="D178" s="11" t="n"/>
      <c r="E178" s="11" t="n"/>
      <c r="F178" s="11" t="n"/>
      <c r="G178" s="6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</row>
    <row r="179">
      <c r="A179" s="11" t="n"/>
      <c r="B179" s="11" t="n"/>
      <c r="C179" s="11" t="n"/>
      <c r="D179" s="11" t="n"/>
      <c r="E179" s="11" t="n"/>
      <c r="F179" s="11" t="n"/>
      <c r="G179" s="6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</row>
    <row r="180">
      <c r="A180" s="11" t="n"/>
      <c r="B180" s="11" t="n"/>
      <c r="C180" s="11" t="n"/>
      <c r="D180" s="11" t="n"/>
      <c r="E180" s="11" t="n"/>
      <c r="F180" s="11" t="n"/>
      <c r="G180" s="6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</row>
    <row r="181">
      <c r="A181" s="11" t="n"/>
      <c r="B181" s="11" t="n"/>
      <c r="C181" s="11" t="n"/>
      <c r="D181" s="11" t="n"/>
      <c r="E181" s="11" t="n"/>
      <c r="F181" s="11" t="n"/>
      <c r="G181" s="6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</row>
    <row r="182">
      <c r="A182" s="11" t="n"/>
      <c r="B182" s="11" t="n"/>
      <c r="C182" s="11" t="n"/>
      <c r="D182" s="11" t="n"/>
      <c r="E182" s="11" t="n"/>
      <c r="F182" s="11" t="n"/>
      <c r="G182" s="6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</row>
    <row r="183">
      <c r="A183" s="11" t="n"/>
      <c r="B183" s="11" t="n"/>
      <c r="C183" s="11" t="n"/>
      <c r="D183" s="11" t="n"/>
      <c r="E183" s="11" t="n"/>
      <c r="F183" s="11" t="n"/>
      <c r="G183" s="6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</row>
    <row r="184">
      <c r="A184" s="11" t="n"/>
      <c r="B184" s="11" t="n"/>
      <c r="C184" s="11" t="n"/>
      <c r="D184" s="11" t="n"/>
      <c r="E184" s="11" t="n"/>
      <c r="F184" s="11" t="n"/>
      <c r="G184" s="6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</row>
    <row r="185">
      <c r="A185" s="11" t="n"/>
      <c r="B185" s="11" t="n"/>
      <c r="C185" s="11" t="n"/>
      <c r="D185" s="11" t="n"/>
      <c r="E185" s="11" t="n"/>
      <c r="F185" s="11" t="n"/>
      <c r="G185" s="6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</row>
    <row r="186">
      <c r="A186" s="11" t="n"/>
      <c r="B186" s="11" t="n"/>
      <c r="C186" s="11" t="n"/>
      <c r="D186" s="11" t="n"/>
      <c r="E186" s="11" t="n"/>
      <c r="F186" s="11" t="n"/>
      <c r="G186" s="6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</row>
    <row r="187">
      <c r="A187" s="11" t="n"/>
      <c r="B187" s="11" t="n"/>
      <c r="C187" s="11" t="n"/>
      <c r="D187" s="11" t="n"/>
      <c r="E187" s="11" t="n"/>
      <c r="F187" s="11" t="n"/>
      <c r="G187" s="6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</row>
    <row r="188">
      <c r="A188" s="11" t="n"/>
      <c r="B188" s="11" t="n"/>
      <c r="C188" s="11" t="n"/>
      <c r="D188" s="11" t="n"/>
      <c r="E188" s="11" t="n"/>
      <c r="F188" s="11" t="n"/>
      <c r="G188" s="6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</row>
    <row r="189">
      <c r="A189" s="11" t="n"/>
      <c r="B189" s="11" t="n"/>
      <c r="C189" s="11" t="n"/>
      <c r="D189" s="11" t="n"/>
      <c r="E189" s="11" t="n"/>
      <c r="F189" s="11" t="n"/>
      <c r="G189" s="6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</row>
    <row r="190">
      <c r="A190" s="11" t="n"/>
      <c r="B190" s="11" t="n"/>
      <c r="C190" s="11" t="n"/>
      <c r="D190" s="11" t="n"/>
      <c r="E190" s="11" t="n"/>
      <c r="F190" s="11" t="n"/>
      <c r="G190" s="6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</row>
    <row r="191">
      <c r="A191" s="11" t="n"/>
      <c r="B191" s="11" t="n"/>
      <c r="C191" s="11" t="n"/>
      <c r="D191" s="11" t="n"/>
      <c r="E191" s="11" t="n"/>
      <c r="F191" s="11" t="n"/>
      <c r="G191" s="6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</row>
    <row r="192">
      <c r="A192" s="11" t="n"/>
      <c r="B192" s="11" t="n"/>
      <c r="C192" s="11" t="n"/>
      <c r="D192" s="11" t="n"/>
      <c r="E192" s="11" t="n"/>
      <c r="F192" s="11" t="n"/>
      <c r="G192" s="6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</row>
    <row r="193">
      <c r="A193" s="11" t="n"/>
      <c r="B193" s="11" t="n"/>
      <c r="C193" s="11" t="n"/>
      <c r="D193" s="11" t="n"/>
      <c r="E193" s="11" t="n"/>
      <c r="F193" s="11" t="n"/>
      <c r="G193" s="6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</row>
    <row r="194">
      <c r="A194" s="11" t="n"/>
      <c r="B194" s="11" t="n"/>
      <c r="C194" s="11" t="n"/>
      <c r="D194" s="11" t="n"/>
      <c r="E194" s="11" t="n"/>
      <c r="F194" s="11" t="n"/>
      <c r="G194" s="6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</row>
    <row r="195">
      <c r="A195" s="11" t="n"/>
      <c r="B195" s="11" t="n"/>
      <c r="C195" s="11" t="n"/>
      <c r="D195" s="11" t="n"/>
      <c r="E195" s="11" t="n"/>
      <c r="F195" s="11" t="n"/>
      <c r="G195" s="6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</row>
    <row r="196">
      <c r="A196" s="11" t="n"/>
      <c r="B196" s="11" t="n"/>
      <c r="C196" s="11" t="n"/>
      <c r="D196" s="11" t="n"/>
      <c r="E196" s="11" t="n"/>
      <c r="F196" s="11" t="n"/>
      <c r="G196" s="6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</row>
    <row r="197">
      <c r="A197" s="11" t="n"/>
      <c r="B197" s="11" t="n"/>
      <c r="C197" s="11" t="n"/>
      <c r="D197" s="11" t="n"/>
      <c r="E197" s="11" t="n"/>
      <c r="F197" s="11" t="n"/>
      <c r="G197" s="6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</row>
    <row r="198">
      <c r="A198" s="11" t="n"/>
      <c r="B198" s="11" t="n"/>
      <c r="C198" s="11" t="n"/>
      <c r="D198" s="11" t="n"/>
      <c r="E198" s="11" t="n"/>
      <c r="F198" s="11" t="n"/>
      <c r="G198" s="6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</row>
    <row r="199">
      <c r="A199" s="11" t="n"/>
      <c r="B199" s="11" t="n"/>
      <c r="C199" s="11" t="n"/>
      <c r="D199" s="11" t="n"/>
      <c r="E199" s="11" t="n"/>
      <c r="F199" s="11" t="n"/>
      <c r="G199" s="6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</row>
    <row r="200">
      <c r="A200" s="11" t="n"/>
      <c r="B200" s="11" t="n"/>
      <c r="C200" s="11" t="n"/>
      <c r="D200" s="11" t="n"/>
      <c r="E200" s="11" t="n"/>
      <c r="F200" s="11" t="n"/>
      <c r="G200" s="6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</row>
    <row r="201">
      <c r="A201" s="11" t="n"/>
      <c r="B201" s="11" t="n"/>
      <c r="C201" s="11" t="n"/>
      <c r="D201" s="11" t="n"/>
      <c r="E201" s="11" t="n"/>
      <c r="F201" s="11" t="n"/>
      <c r="G201" s="6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</row>
    <row r="202">
      <c r="A202" s="11" t="n"/>
      <c r="B202" s="11" t="n"/>
      <c r="C202" s="11" t="n"/>
      <c r="D202" s="11" t="n"/>
      <c r="E202" s="11" t="n"/>
      <c r="F202" s="11" t="n"/>
      <c r="G202" s="6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</row>
    <row r="203">
      <c r="A203" s="11" t="n"/>
      <c r="B203" s="11" t="n"/>
      <c r="C203" s="11" t="n"/>
      <c r="D203" s="11" t="n"/>
      <c r="E203" s="11" t="n"/>
      <c r="F203" s="11" t="n"/>
      <c r="G203" s="6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</row>
    <row r="204">
      <c r="A204" s="11" t="n"/>
      <c r="B204" s="11" t="n"/>
      <c r="C204" s="11" t="n"/>
      <c r="D204" s="11" t="n"/>
      <c r="E204" s="11" t="n"/>
      <c r="F204" s="11" t="n"/>
      <c r="G204" s="6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</row>
    <row r="205">
      <c r="A205" s="11" t="n"/>
      <c r="B205" s="11" t="n"/>
      <c r="C205" s="11" t="n"/>
      <c r="D205" s="11" t="n"/>
      <c r="E205" s="11" t="n"/>
      <c r="F205" s="11" t="n"/>
      <c r="G205" s="6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</row>
    <row r="206">
      <c r="A206" s="11" t="n"/>
      <c r="B206" s="11" t="n"/>
      <c r="C206" s="11" t="n"/>
      <c r="D206" s="11" t="n"/>
      <c r="E206" s="11" t="n"/>
      <c r="F206" s="11" t="n"/>
      <c r="G206" s="6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</row>
    <row r="207">
      <c r="A207" s="11" t="n"/>
      <c r="B207" s="11" t="n"/>
      <c r="C207" s="11" t="n"/>
      <c r="D207" s="11" t="n"/>
      <c r="E207" s="11" t="n"/>
      <c r="F207" s="11" t="n"/>
      <c r="G207" s="6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</row>
    <row r="208">
      <c r="A208" s="11" t="n"/>
      <c r="B208" s="11" t="n"/>
      <c r="C208" s="11" t="n"/>
      <c r="D208" s="11" t="n"/>
      <c r="E208" s="11" t="n"/>
      <c r="F208" s="11" t="n"/>
      <c r="G208" s="6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</row>
    <row r="209">
      <c r="A209" s="11" t="n"/>
      <c r="B209" s="11" t="n"/>
      <c r="C209" s="11" t="n"/>
      <c r="D209" s="11" t="n"/>
      <c r="E209" s="11" t="n"/>
      <c r="F209" s="11" t="n"/>
      <c r="G209" s="6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</row>
    <row r="210">
      <c r="A210" s="11" t="n"/>
      <c r="B210" s="11" t="n"/>
      <c r="C210" s="11" t="n"/>
      <c r="D210" s="11" t="n"/>
      <c r="E210" s="11" t="n"/>
      <c r="F210" s="11" t="n"/>
      <c r="G210" s="6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</row>
    <row r="211">
      <c r="A211" s="11" t="n"/>
      <c r="B211" s="11" t="n"/>
      <c r="C211" s="11" t="n"/>
      <c r="D211" s="11" t="n"/>
      <c r="E211" s="11" t="n"/>
      <c r="F211" s="11" t="n"/>
      <c r="G211" s="6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</row>
    <row r="212">
      <c r="A212" s="11" t="n"/>
      <c r="B212" s="11" t="n"/>
      <c r="C212" s="11" t="n"/>
      <c r="D212" s="11" t="n"/>
      <c r="E212" s="11" t="n"/>
      <c r="F212" s="11" t="n"/>
      <c r="G212" s="6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</row>
    <row r="213">
      <c r="A213" s="11" t="n"/>
      <c r="B213" s="11" t="n"/>
      <c r="C213" s="11" t="n"/>
      <c r="D213" s="11" t="n"/>
      <c r="E213" s="11" t="n"/>
      <c r="F213" s="11" t="n"/>
      <c r="G213" s="6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</row>
    <row r="214">
      <c r="A214" s="11" t="n"/>
      <c r="B214" s="11" t="n"/>
      <c r="C214" s="11" t="n"/>
      <c r="D214" s="11" t="n"/>
      <c r="E214" s="11" t="n"/>
      <c r="F214" s="11" t="n"/>
      <c r="G214" s="6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</row>
    <row r="215">
      <c r="A215" s="11" t="n"/>
      <c r="B215" s="11" t="n"/>
      <c r="C215" s="11" t="n"/>
      <c r="D215" s="11" t="n"/>
      <c r="E215" s="11" t="n"/>
      <c r="F215" s="11" t="n"/>
      <c r="G215" s="6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</row>
    <row r="216">
      <c r="A216" s="11" t="n"/>
      <c r="B216" s="11" t="n"/>
      <c r="C216" s="11" t="n"/>
      <c r="D216" s="11" t="n"/>
      <c r="E216" s="11" t="n"/>
      <c r="F216" s="11" t="n"/>
      <c r="G216" s="6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</row>
    <row r="217">
      <c r="A217" s="11" t="n"/>
      <c r="B217" s="11" t="n"/>
      <c r="C217" s="11" t="n"/>
      <c r="D217" s="11" t="n"/>
      <c r="E217" s="11" t="n"/>
      <c r="F217" s="11" t="n"/>
      <c r="G217" s="6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</row>
    <row r="218">
      <c r="A218" s="11" t="n"/>
      <c r="B218" s="11" t="n"/>
      <c r="C218" s="11" t="n"/>
      <c r="D218" s="11" t="n"/>
      <c r="E218" s="11" t="n"/>
      <c r="F218" s="11" t="n"/>
      <c r="G218" s="6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</row>
    <row r="219">
      <c r="A219" s="11" t="n"/>
      <c r="B219" s="11" t="n"/>
      <c r="C219" s="11" t="n"/>
      <c r="D219" s="11" t="n"/>
      <c r="E219" s="11" t="n"/>
      <c r="F219" s="11" t="n"/>
      <c r="G219" s="6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</row>
    <row r="220">
      <c r="A220" s="11" t="n"/>
      <c r="B220" s="11" t="n"/>
      <c r="C220" s="11" t="n"/>
      <c r="D220" s="11" t="n"/>
      <c r="E220" s="11" t="n"/>
      <c r="F220" s="11" t="n"/>
      <c r="G220" s="6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</row>
    <row r="221">
      <c r="A221" s="11" t="n"/>
      <c r="B221" s="11" t="n"/>
      <c r="C221" s="11" t="n"/>
      <c r="D221" s="11" t="n"/>
      <c r="E221" s="11" t="n"/>
      <c r="F221" s="11" t="n"/>
      <c r="G221" s="6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</row>
    <row r="222">
      <c r="A222" s="11" t="n"/>
      <c r="B222" s="11" t="n"/>
      <c r="C222" s="11" t="n"/>
      <c r="D222" s="11" t="n"/>
      <c r="E222" s="11" t="n"/>
      <c r="F222" s="11" t="n"/>
      <c r="G222" s="6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</row>
    <row r="223">
      <c r="A223" s="11" t="n"/>
      <c r="B223" s="11" t="n"/>
      <c r="C223" s="11" t="n"/>
      <c r="D223" s="11" t="n"/>
      <c r="E223" s="11" t="n"/>
      <c r="F223" s="11" t="n"/>
      <c r="G223" s="6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</row>
    <row r="224">
      <c r="A224" s="11" t="n"/>
      <c r="B224" s="11" t="n"/>
      <c r="C224" s="11" t="n"/>
      <c r="D224" s="11" t="n"/>
      <c r="E224" s="11" t="n"/>
      <c r="F224" s="11" t="n"/>
      <c r="G224" s="6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</row>
    <row r="225">
      <c r="A225" s="11" t="n"/>
      <c r="B225" s="11" t="n"/>
      <c r="C225" s="11" t="n"/>
      <c r="D225" s="11" t="n"/>
      <c r="E225" s="11" t="n"/>
      <c r="F225" s="11" t="n"/>
      <c r="G225" s="6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</row>
    <row r="226">
      <c r="A226" s="11" t="n"/>
      <c r="B226" s="11" t="n"/>
      <c r="C226" s="11" t="n"/>
      <c r="D226" s="11" t="n"/>
      <c r="E226" s="11" t="n"/>
      <c r="F226" s="11" t="n"/>
      <c r="G226" s="6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</row>
    <row r="227">
      <c r="A227" s="11" t="n"/>
      <c r="B227" s="11" t="n"/>
      <c r="C227" s="11" t="n"/>
      <c r="D227" s="11" t="n"/>
      <c r="E227" s="11" t="n"/>
      <c r="F227" s="11" t="n"/>
      <c r="G227" s="6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</row>
    <row r="228">
      <c r="A228" s="11" t="n"/>
      <c r="B228" s="11" t="n"/>
      <c r="C228" s="11" t="n"/>
      <c r="D228" s="11" t="n"/>
      <c r="E228" s="11" t="n"/>
      <c r="F228" s="11" t="n"/>
      <c r="G228" s="6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</row>
    <row r="229">
      <c r="A229" s="11" t="n"/>
      <c r="B229" s="11" t="n"/>
      <c r="C229" s="11" t="n"/>
      <c r="D229" s="11" t="n"/>
      <c r="E229" s="11" t="n"/>
      <c r="F229" s="11" t="n"/>
      <c r="G229" s="6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</row>
    <row r="230">
      <c r="A230" s="11" t="n"/>
      <c r="B230" s="11" t="n"/>
      <c r="C230" s="11" t="n"/>
      <c r="D230" s="11" t="n"/>
      <c r="E230" s="11" t="n"/>
      <c r="F230" s="11" t="n"/>
      <c r="G230" s="6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</row>
    <row r="231">
      <c r="A231" s="11" t="n"/>
      <c r="B231" s="11" t="n"/>
      <c r="C231" s="11" t="n"/>
      <c r="D231" s="11" t="n"/>
      <c r="E231" s="11" t="n"/>
      <c r="F231" s="11" t="n"/>
      <c r="G231" s="6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</row>
    <row r="232">
      <c r="A232" s="11" t="n"/>
      <c r="B232" s="11" t="n"/>
      <c r="C232" s="11" t="n"/>
      <c r="D232" s="11" t="n"/>
      <c r="E232" s="11" t="n"/>
      <c r="F232" s="11" t="n"/>
      <c r="G232" s="6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</row>
    <row r="233">
      <c r="A233" s="11" t="n"/>
      <c r="B233" s="11" t="n"/>
      <c r="C233" s="11" t="n"/>
      <c r="D233" s="11" t="n"/>
      <c r="E233" s="11" t="n"/>
      <c r="F233" s="11" t="n"/>
      <c r="G233" s="6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</row>
    <row r="234">
      <c r="A234" s="11" t="n"/>
      <c r="B234" s="11" t="n"/>
      <c r="C234" s="11" t="n"/>
      <c r="D234" s="11" t="n"/>
      <c r="E234" s="11" t="n"/>
      <c r="F234" s="11" t="n"/>
      <c r="G234" s="6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</row>
    <row r="235">
      <c r="A235" s="11" t="n"/>
      <c r="B235" s="11" t="n"/>
      <c r="C235" s="11" t="n"/>
      <c r="D235" s="11" t="n"/>
      <c r="E235" s="11" t="n"/>
      <c r="F235" s="11" t="n"/>
      <c r="G235" s="6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</row>
    <row r="236">
      <c r="A236" s="11" t="n"/>
      <c r="B236" s="11" t="n"/>
      <c r="C236" s="11" t="n"/>
      <c r="D236" s="11" t="n"/>
      <c r="E236" s="11" t="n"/>
      <c r="F236" s="11" t="n"/>
      <c r="G236" s="6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</row>
    <row r="237">
      <c r="A237" s="11" t="n"/>
      <c r="B237" s="11" t="n"/>
      <c r="C237" s="11" t="n"/>
      <c r="D237" s="11" t="n"/>
      <c r="E237" s="11" t="n"/>
      <c r="F237" s="11" t="n"/>
      <c r="G237" s="6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</row>
    <row r="238">
      <c r="A238" s="11" t="n"/>
      <c r="B238" s="11" t="n"/>
      <c r="C238" s="11" t="n"/>
      <c r="D238" s="11" t="n"/>
      <c r="E238" s="11" t="n"/>
      <c r="F238" s="11" t="n"/>
      <c r="G238" s="6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</row>
    <row r="239">
      <c r="A239" s="11" t="n"/>
      <c r="B239" s="11" t="n"/>
      <c r="C239" s="11" t="n"/>
      <c r="D239" s="11" t="n"/>
      <c r="E239" s="11" t="n"/>
      <c r="F239" s="11" t="n"/>
      <c r="G239" s="6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</row>
    <row r="240">
      <c r="A240" s="11" t="n"/>
      <c r="B240" s="11" t="n"/>
      <c r="C240" s="11" t="n"/>
      <c r="D240" s="11" t="n"/>
      <c r="E240" s="11" t="n"/>
      <c r="F240" s="11" t="n"/>
      <c r="G240" s="6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</row>
    <row r="241">
      <c r="A241" s="11" t="n"/>
      <c r="B241" s="11" t="n"/>
      <c r="C241" s="11" t="n"/>
      <c r="D241" s="11" t="n"/>
      <c r="E241" s="11" t="n"/>
      <c r="F241" s="11" t="n"/>
      <c r="G241" s="6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</row>
    <row r="242">
      <c r="A242" s="11" t="n"/>
      <c r="B242" s="11" t="n"/>
      <c r="C242" s="11" t="n"/>
      <c r="D242" s="11" t="n"/>
      <c r="E242" s="11" t="n"/>
      <c r="F242" s="11" t="n"/>
      <c r="G242" s="6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</row>
    <row r="243">
      <c r="A243" s="11" t="n"/>
      <c r="B243" s="11" t="n"/>
      <c r="C243" s="11" t="n"/>
      <c r="D243" s="11" t="n"/>
      <c r="E243" s="11" t="n"/>
      <c r="F243" s="11" t="n"/>
      <c r="G243" s="6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</row>
    <row r="244">
      <c r="A244" s="11" t="n"/>
      <c r="B244" s="11" t="n"/>
      <c r="C244" s="11" t="n"/>
      <c r="D244" s="11" t="n"/>
      <c r="E244" s="11" t="n"/>
      <c r="F244" s="11" t="n"/>
      <c r="G244" s="6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</row>
    <row r="245">
      <c r="A245" s="11" t="n"/>
      <c r="B245" s="11" t="n"/>
      <c r="C245" s="11" t="n"/>
      <c r="D245" s="11" t="n"/>
      <c r="E245" s="11" t="n"/>
      <c r="F245" s="11" t="n"/>
      <c r="G245" s="6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</row>
    <row r="246">
      <c r="A246" s="11" t="n"/>
      <c r="B246" s="11" t="n"/>
      <c r="C246" s="11" t="n"/>
      <c r="D246" s="11" t="n"/>
      <c r="E246" s="11" t="n"/>
      <c r="F246" s="11" t="n"/>
      <c r="G246" s="6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</row>
    <row r="247">
      <c r="A247" s="11" t="n"/>
      <c r="B247" s="11" t="n"/>
      <c r="C247" s="11" t="n"/>
      <c r="D247" s="11" t="n"/>
      <c r="E247" s="11" t="n"/>
      <c r="F247" s="11" t="n"/>
      <c r="G247" s="6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</row>
    <row r="248">
      <c r="A248" s="11" t="n"/>
      <c r="B248" s="11" t="n"/>
      <c r="C248" s="11" t="n"/>
      <c r="D248" s="11" t="n"/>
      <c r="E248" s="11" t="n"/>
      <c r="F248" s="11" t="n"/>
      <c r="G248" s="6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</row>
    <row r="249">
      <c r="A249" s="11" t="n"/>
      <c r="B249" s="11" t="n"/>
      <c r="C249" s="11" t="n"/>
      <c r="D249" s="11" t="n"/>
      <c r="E249" s="11" t="n"/>
      <c r="F249" s="11" t="n"/>
      <c r="G249" s="6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</row>
    <row r="250">
      <c r="A250" s="11" t="n"/>
      <c r="B250" s="11" t="n"/>
      <c r="C250" s="11" t="n"/>
      <c r="D250" s="11" t="n"/>
      <c r="E250" s="11" t="n"/>
      <c r="F250" s="11" t="n"/>
      <c r="G250" s="6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</row>
    <row r="251">
      <c r="A251" s="11" t="n"/>
      <c r="B251" s="11" t="n"/>
      <c r="C251" s="11" t="n"/>
      <c r="D251" s="11" t="n"/>
      <c r="E251" s="11" t="n"/>
      <c r="F251" s="11" t="n"/>
      <c r="G251" s="6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</row>
    <row r="252">
      <c r="A252" s="11" t="n"/>
      <c r="B252" s="11" t="n"/>
      <c r="C252" s="11" t="n"/>
      <c r="D252" s="11" t="n"/>
      <c r="E252" s="11" t="n"/>
      <c r="F252" s="11" t="n"/>
      <c r="G252" s="6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</row>
    <row r="253">
      <c r="A253" s="11" t="n"/>
      <c r="B253" s="11" t="n"/>
      <c r="C253" s="11" t="n"/>
      <c r="D253" s="11" t="n"/>
      <c r="E253" s="11" t="n"/>
      <c r="F253" s="11" t="n"/>
      <c r="G253" s="6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</row>
    <row r="254">
      <c r="A254" s="11" t="n"/>
      <c r="B254" s="11" t="n"/>
      <c r="C254" s="11" t="n"/>
      <c r="D254" s="11" t="n"/>
      <c r="E254" s="11" t="n"/>
      <c r="F254" s="11" t="n"/>
      <c r="G254" s="6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</row>
    <row r="255">
      <c r="A255" s="11" t="n"/>
      <c r="B255" s="11" t="n"/>
      <c r="C255" s="11" t="n"/>
      <c r="D255" s="11" t="n"/>
      <c r="E255" s="11" t="n"/>
      <c r="F255" s="11" t="n"/>
      <c r="G255" s="6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</row>
    <row r="256">
      <c r="A256" s="11" t="n"/>
      <c r="B256" s="11" t="n"/>
      <c r="C256" s="11" t="n"/>
      <c r="D256" s="11" t="n"/>
      <c r="E256" s="11" t="n"/>
      <c r="F256" s="11" t="n"/>
      <c r="G256" s="6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</row>
    <row r="257">
      <c r="A257" s="11" t="n"/>
      <c r="B257" s="11" t="n"/>
      <c r="C257" s="11" t="n"/>
      <c r="D257" s="11" t="n"/>
      <c r="E257" s="11" t="n"/>
      <c r="F257" s="11" t="n"/>
      <c r="G257" s="6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1" t="n"/>
      <c r="AI257" s="11" t="n"/>
      <c r="AJ257" s="11" t="n"/>
      <c r="AK257" s="11" t="n"/>
    </row>
    <row r="258">
      <c r="A258" s="11" t="n"/>
      <c r="B258" s="11" t="n"/>
      <c r="C258" s="11" t="n"/>
      <c r="D258" s="11" t="n"/>
      <c r="E258" s="11" t="n"/>
      <c r="F258" s="11" t="n"/>
      <c r="G258" s="6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</row>
    <row r="259">
      <c r="A259" s="11" t="n"/>
      <c r="B259" s="11" t="n"/>
      <c r="C259" s="11" t="n"/>
      <c r="D259" s="11" t="n"/>
      <c r="E259" s="11" t="n"/>
      <c r="F259" s="11" t="n"/>
      <c r="G259" s="6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/>
      <c r="AI259" s="11" t="n"/>
      <c r="AJ259" s="11" t="n"/>
      <c r="AK259" s="11" t="n"/>
    </row>
    <row r="260">
      <c r="A260" s="11" t="n"/>
      <c r="B260" s="11" t="n"/>
      <c r="C260" s="11" t="n"/>
      <c r="D260" s="11" t="n"/>
      <c r="E260" s="11" t="n"/>
      <c r="F260" s="11" t="n"/>
      <c r="G260" s="6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  <c r="AG260" s="11" t="n"/>
      <c r="AH260" s="11" t="n"/>
      <c r="AI260" s="11" t="n"/>
      <c r="AJ260" s="11" t="n"/>
      <c r="AK260" s="11" t="n"/>
    </row>
    <row r="261">
      <c r="A261" s="11" t="n"/>
      <c r="B261" s="11" t="n"/>
      <c r="C261" s="11" t="n"/>
      <c r="D261" s="11" t="n"/>
      <c r="E261" s="11" t="n"/>
      <c r="F261" s="11" t="n"/>
      <c r="G261" s="6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1" t="n"/>
    </row>
    <row r="262">
      <c r="A262" s="11" t="n"/>
      <c r="B262" s="11" t="n"/>
      <c r="C262" s="11" t="n"/>
      <c r="D262" s="11" t="n"/>
      <c r="E262" s="11" t="n"/>
      <c r="F262" s="11" t="n"/>
      <c r="G262" s="6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/>
      <c r="AI262" s="11" t="n"/>
      <c r="AJ262" s="11" t="n"/>
      <c r="AK262" s="11" t="n"/>
    </row>
    <row r="263">
      <c r="A263" s="11" t="n"/>
      <c r="B263" s="11" t="n"/>
      <c r="C263" s="11" t="n"/>
      <c r="D263" s="11" t="n"/>
      <c r="E263" s="11" t="n"/>
      <c r="F263" s="11" t="n"/>
      <c r="G263" s="6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</row>
    <row r="264">
      <c r="A264" s="11" t="n"/>
      <c r="B264" s="11" t="n"/>
      <c r="C264" s="11" t="n"/>
      <c r="D264" s="11" t="n"/>
      <c r="E264" s="11" t="n"/>
      <c r="F264" s="11" t="n"/>
      <c r="G264" s="6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  <c r="AG264" s="11" t="n"/>
      <c r="AH264" s="11" t="n"/>
      <c r="AI264" s="11" t="n"/>
      <c r="AJ264" s="11" t="n"/>
      <c r="AK264" s="11" t="n"/>
    </row>
    <row r="265">
      <c r="A265" s="11" t="n"/>
      <c r="B265" s="11" t="n"/>
      <c r="C265" s="11" t="n"/>
      <c r="D265" s="11" t="n"/>
      <c r="E265" s="11" t="n"/>
      <c r="F265" s="11" t="n"/>
      <c r="G265" s="6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1" t="n"/>
      <c r="AI265" s="11" t="n"/>
      <c r="AJ265" s="11" t="n"/>
      <c r="AK265" s="11" t="n"/>
    </row>
    <row r="266">
      <c r="A266" s="11" t="n"/>
      <c r="B266" s="11" t="n"/>
      <c r="C266" s="11" t="n"/>
      <c r="D266" s="11" t="n"/>
      <c r="E266" s="11" t="n"/>
      <c r="F266" s="11" t="n"/>
      <c r="G266" s="6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1" t="n"/>
      <c r="AI266" s="11" t="n"/>
      <c r="AJ266" s="11" t="n"/>
      <c r="AK266" s="11" t="n"/>
    </row>
    <row r="267">
      <c r="A267" s="11" t="n"/>
      <c r="B267" s="11" t="n"/>
      <c r="C267" s="11" t="n"/>
      <c r="D267" s="11" t="n"/>
      <c r="E267" s="11" t="n"/>
      <c r="F267" s="11" t="n"/>
      <c r="G267" s="6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1" t="n"/>
      <c r="AI267" s="11" t="n"/>
      <c r="AJ267" s="11" t="n"/>
      <c r="AK267" s="11" t="n"/>
    </row>
    <row r="268">
      <c r="A268" s="11" t="n"/>
      <c r="B268" s="11" t="n"/>
      <c r="C268" s="11" t="n"/>
      <c r="D268" s="11" t="n"/>
      <c r="E268" s="11" t="n"/>
      <c r="F268" s="11" t="n"/>
      <c r="G268" s="6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1" t="n"/>
    </row>
    <row r="269">
      <c r="A269" s="11" t="n"/>
      <c r="B269" s="11" t="n"/>
      <c r="C269" s="11" t="n"/>
      <c r="D269" s="11" t="n"/>
      <c r="E269" s="11" t="n"/>
      <c r="F269" s="11" t="n"/>
      <c r="G269" s="6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/>
      <c r="AI269" s="11" t="n"/>
      <c r="AJ269" s="11" t="n"/>
      <c r="AK269" s="11" t="n"/>
    </row>
    <row r="270">
      <c r="A270" s="11" t="n"/>
      <c r="B270" s="11" t="n"/>
      <c r="C270" s="11" t="n"/>
      <c r="D270" s="11" t="n"/>
      <c r="E270" s="11" t="n"/>
      <c r="F270" s="11" t="n"/>
      <c r="G270" s="6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/>
      <c r="AI270" s="11" t="n"/>
      <c r="AJ270" s="11" t="n"/>
      <c r="AK270" s="11" t="n"/>
    </row>
    <row r="271">
      <c r="A271" s="11" t="n"/>
      <c r="B271" s="11" t="n"/>
      <c r="C271" s="11" t="n"/>
      <c r="D271" s="11" t="n"/>
      <c r="E271" s="11" t="n"/>
      <c r="F271" s="11" t="n"/>
      <c r="G271" s="6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</row>
    <row r="272">
      <c r="A272" s="11" t="n"/>
      <c r="B272" s="11" t="n"/>
      <c r="C272" s="11" t="n"/>
      <c r="D272" s="11" t="n"/>
      <c r="E272" s="11" t="n"/>
      <c r="F272" s="11" t="n"/>
      <c r="G272" s="6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</row>
    <row r="273">
      <c r="A273" s="11" t="n"/>
      <c r="B273" s="11" t="n"/>
      <c r="C273" s="11" t="n"/>
      <c r="D273" s="11" t="n"/>
      <c r="E273" s="11" t="n"/>
      <c r="F273" s="11" t="n"/>
      <c r="G273" s="6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</row>
    <row r="274">
      <c r="A274" s="11" t="n"/>
      <c r="B274" s="11" t="n"/>
      <c r="C274" s="11" t="n"/>
      <c r="D274" s="11" t="n"/>
      <c r="E274" s="11" t="n"/>
      <c r="F274" s="11" t="n"/>
      <c r="G274" s="6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</row>
    <row r="275">
      <c r="A275" s="11" t="n"/>
      <c r="B275" s="11" t="n"/>
      <c r="C275" s="11" t="n"/>
      <c r="D275" s="11" t="n"/>
      <c r="E275" s="11" t="n"/>
      <c r="F275" s="11" t="n"/>
      <c r="G275" s="6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1" t="n"/>
    </row>
    <row r="276">
      <c r="A276" s="11" t="n"/>
      <c r="B276" s="11" t="n"/>
      <c r="C276" s="11" t="n"/>
      <c r="D276" s="11" t="n"/>
      <c r="E276" s="11" t="n"/>
      <c r="F276" s="11" t="n"/>
      <c r="G276" s="6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  <c r="AG276" s="11" t="n"/>
      <c r="AH276" s="11" t="n"/>
      <c r="AI276" s="11" t="n"/>
      <c r="AJ276" s="11" t="n"/>
      <c r="AK276" s="11" t="n"/>
    </row>
    <row r="277">
      <c r="A277" s="11" t="n"/>
      <c r="B277" s="11" t="n"/>
      <c r="C277" s="11" t="n"/>
      <c r="D277" s="11" t="n"/>
      <c r="E277" s="11" t="n"/>
      <c r="F277" s="11" t="n"/>
      <c r="G277" s="6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  <c r="AG277" s="11" t="n"/>
      <c r="AH277" s="11" t="n"/>
      <c r="AI277" s="11" t="n"/>
      <c r="AJ277" s="11" t="n"/>
      <c r="AK277" s="11" t="n"/>
    </row>
    <row r="278">
      <c r="A278" s="11" t="n"/>
      <c r="B278" s="11" t="n"/>
      <c r="C278" s="11" t="n"/>
      <c r="D278" s="11" t="n"/>
      <c r="E278" s="11" t="n"/>
      <c r="F278" s="11" t="n"/>
      <c r="G278" s="6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/>
      <c r="AH278" s="11" t="n"/>
      <c r="AI278" s="11" t="n"/>
      <c r="AJ278" s="11" t="n"/>
      <c r="AK278" s="11" t="n"/>
    </row>
    <row r="279">
      <c r="A279" s="11" t="n"/>
      <c r="B279" s="11" t="n"/>
      <c r="C279" s="11" t="n"/>
      <c r="D279" s="11" t="n"/>
      <c r="E279" s="11" t="n"/>
      <c r="F279" s="11" t="n"/>
      <c r="G279" s="6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/>
      <c r="AH279" s="11" t="n"/>
      <c r="AI279" s="11" t="n"/>
      <c r="AJ279" s="11" t="n"/>
      <c r="AK279" s="11" t="n"/>
    </row>
    <row r="280">
      <c r="A280" s="11" t="n"/>
      <c r="B280" s="11" t="n"/>
      <c r="C280" s="11" t="n"/>
      <c r="D280" s="11" t="n"/>
      <c r="E280" s="11" t="n"/>
      <c r="F280" s="11" t="n"/>
      <c r="G280" s="6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</row>
    <row r="281">
      <c r="A281" s="11" t="n"/>
      <c r="B281" s="11" t="n"/>
      <c r="C281" s="11" t="n"/>
      <c r="D281" s="11" t="n"/>
      <c r="E281" s="11" t="n"/>
      <c r="F281" s="11" t="n"/>
      <c r="G281" s="6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</row>
    <row r="282">
      <c r="A282" s="11" t="n"/>
      <c r="B282" s="11" t="n"/>
      <c r="C282" s="11" t="n"/>
      <c r="D282" s="11" t="n"/>
      <c r="E282" s="11" t="n"/>
      <c r="F282" s="11" t="n"/>
      <c r="G282" s="6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1" t="n"/>
    </row>
    <row r="283">
      <c r="A283" s="11" t="n"/>
      <c r="B283" s="11" t="n"/>
      <c r="C283" s="11" t="n"/>
      <c r="D283" s="11" t="n"/>
      <c r="E283" s="11" t="n"/>
      <c r="F283" s="11" t="n"/>
      <c r="G283" s="6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  <c r="AG283" s="11" t="n"/>
      <c r="AH283" s="11" t="n"/>
      <c r="AI283" s="11" t="n"/>
      <c r="AJ283" s="11" t="n"/>
      <c r="AK283" s="11" t="n"/>
    </row>
    <row r="284">
      <c r="A284" s="11" t="n"/>
      <c r="B284" s="11" t="n"/>
      <c r="C284" s="11" t="n"/>
      <c r="D284" s="11" t="n"/>
      <c r="E284" s="11" t="n"/>
      <c r="F284" s="11" t="n"/>
      <c r="G284" s="6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  <c r="AG284" s="11" t="n"/>
      <c r="AH284" s="11" t="n"/>
      <c r="AI284" s="11" t="n"/>
      <c r="AJ284" s="11" t="n"/>
      <c r="AK284" s="11" t="n"/>
    </row>
    <row r="285">
      <c r="A285" s="11" t="n"/>
      <c r="B285" s="11" t="n"/>
      <c r="C285" s="11" t="n"/>
      <c r="D285" s="11" t="n"/>
      <c r="E285" s="11" t="n"/>
      <c r="F285" s="11" t="n"/>
      <c r="G285" s="6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/>
      <c r="AH285" s="11" t="n"/>
      <c r="AI285" s="11" t="n"/>
      <c r="AJ285" s="11" t="n"/>
      <c r="AK285" s="11" t="n"/>
    </row>
    <row r="286">
      <c r="A286" s="11" t="n"/>
      <c r="B286" s="11" t="n"/>
      <c r="C286" s="11" t="n"/>
      <c r="D286" s="11" t="n"/>
      <c r="E286" s="11" t="n"/>
      <c r="F286" s="11" t="n"/>
      <c r="G286" s="6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1" t="n"/>
      <c r="AH286" s="11" t="n"/>
      <c r="AI286" s="11" t="n"/>
      <c r="AJ286" s="11" t="n"/>
      <c r="AK286" s="11" t="n"/>
    </row>
    <row r="287">
      <c r="A287" s="11" t="n"/>
      <c r="B287" s="11" t="n"/>
      <c r="C287" s="11" t="n"/>
      <c r="D287" s="11" t="n"/>
      <c r="E287" s="11" t="n"/>
      <c r="F287" s="11" t="n"/>
      <c r="G287" s="6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1" t="n"/>
      <c r="AH287" s="11" t="n"/>
      <c r="AI287" s="11" t="n"/>
      <c r="AJ287" s="11" t="n"/>
      <c r="AK287" s="11" t="n"/>
    </row>
    <row r="288">
      <c r="A288" s="11" t="n"/>
      <c r="B288" s="11" t="n"/>
      <c r="C288" s="11" t="n"/>
      <c r="D288" s="11" t="n"/>
      <c r="E288" s="11" t="n"/>
      <c r="F288" s="11" t="n"/>
      <c r="G288" s="6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</row>
    <row r="289">
      <c r="A289" s="11" t="n"/>
      <c r="B289" s="11" t="n"/>
      <c r="C289" s="11" t="n"/>
      <c r="D289" s="11" t="n"/>
      <c r="E289" s="11" t="n"/>
      <c r="F289" s="11" t="n"/>
      <c r="G289" s="6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1" t="n"/>
    </row>
    <row r="290">
      <c r="A290" s="11" t="n"/>
      <c r="B290" s="11" t="n"/>
      <c r="C290" s="11" t="n"/>
      <c r="D290" s="11" t="n"/>
      <c r="E290" s="11" t="n"/>
      <c r="F290" s="11" t="n"/>
      <c r="G290" s="6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</row>
    <row r="291">
      <c r="A291" s="11" t="n"/>
      <c r="B291" s="11" t="n"/>
      <c r="C291" s="11" t="n"/>
      <c r="D291" s="11" t="n"/>
      <c r="E291" s="11" t="n"/>
      <c r="F291" s="11" t="n"/>
      <c r="G291" s="6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</row>
    <row r="292">
      <c r="A292" s="11" t="n"/>
      <c r="B292" s="11" t="n"/>
      <c r="C292" s="11" t="n"/>
      <c r="D292" s="11" t="n"/>
      <c r="E292" s="11" t="n"/>
      <c r="F292" s="11" t="n"/>
      <c r="G292" s="6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</row>
    <row r="293">
      <c r="A293" s="11" t="n"/>
      <c r="B293" s="11" t="n"/>
      <c r="C293" s="11" t="n"/>
      <c r="D293" s="11" t="n"/>
      <c r="E293" s="11" t="n"/>
      <c r="F293" s="11" t="n"/>
      <c r="G293" s="6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</row>
    <row r="294">
      <c r="A294" s="11" t="n"/>
      <c r="B294" s="11" t="n"/>
      <c r="C294" s="11" t="n"/>
      <c r="D294" s="11" t="n"/>
      <c r="E294" s="11" t="n"/>
      <c r="F294" s="11" t="n"/>
      <c r="G294" s="6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/>
      <c r="AH294" s="11" t="n"/>
      <c r="AI294" s="11" t="n"/>
      <c r="AJ294" s="11" t="n"/>
      <c r="AK294" s="11" t="n"/>
    </row>
    <row r="295">
      <c r="A295" s="11" t="n"/>
      <c r="B295" s="11" t="n"/>
      <c r="C295" s="11" t="n"/>
      <c r="D295" s="11" t="n"/>
      <c r="E295" s="11" t="n"/>
      <c r="F295" s="11" t="n"/>
      <c r="G295" s="6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</row>
    <row r="296">
      <c r="A296" s="11" t="n"/>
      <c r="B296" s="11" t="n"/>
      <c r="C296" s="11" t="n"/>
      <c r="D296" s="11" t="n"/>
      <c r="E296" s="11" t="n"/>
      <c r="F296" s="11" t="n"/>
      <c r="G296" s="6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1" t="n"/>
    </row>
    <row r="297">
      <c r="A297" s="11" t="n"/>
      <c r="B297" s="11" t="n"/>
      <c r="C297" s="11" t="n"/>
      <c r="D297" s="11" t="n"/>
      <c r="E297" s="11" t="n"/>
      <c r="F297" s="11" t="n"/>
      <c r="G297" s="6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/>
      <c r="AH297" s="11" t="n"/>
      <c r="AI297" s="11" t="n"/>
      <c r="AJ297" s="11" t="n"/>
      <c r="AK297" s="11" t="n"/>
    </row>
    <row r="298">
      <c r="A298" s="11" t="n"/>
      <c r="B298" s="11" t="n"/>
      <c r="C298" s="11" t="n"/>
      <c r="D298" s="11" t="n"/>
      <c r="E298" s="11" t="n"/>
      <c r="F298" s="11" t="n"/>
      <c r="G298" s="6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  <c r="AG298" s="11" t="n"/>
      <c r="AH298" s="11" t="n"/>
      <c r="AI298" s="11" t="n"/>
      <c r="AJ298" s="11" t="n"/>
      <c r="AK298" s="11" t="n"/>
    </row>
    <row r="299">
      <c r="A299" s="11" t="n"/>
      <c r="B299" s="11" t="n"/>
      <c r="C299" s="11" t="n"/>
      <c r="D299" s="11" t="n"/>
      <c r="E299" s="11" t="n"/>
      <c r="F299" s="11" t="n"/>
      <c r="G299" s="6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</row>
    <row r="300">
      <c r="A300" s="11" t="n"/>
      <c r="B300" s="11" t="n"/>
      <c r="C300" s="11" t="n"/>
      <c r="D300" s="11" t="n"/>
      <c r="E300" s="11" t="n"/>
      <c r="F300" s="11" t="n"/>
      <c r="G300" s="6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  <c r="AG300" s="11" t="n"/>
      <c r="AH300" s="11" t="n"/>
      <c r="AI300" s="11" t="n"/>
      <c r="AJ300" s="11" t="n"/>
      <c r="AK300" s="11" t="n"/>
    </row>
    <row r="301">
      <c r="A301" s="11" t="n"/>
      <c r="B301" s="11" t="n"/>
      <c r="C301" s="11" t="n"/>
      <c r="D301" s="11" t="n"/>
      <c r="E301" s="11" t="n"/>
      <c r="F301" s="11" t="n"/>
      <c r="G301" s="6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/>
      <c r="AK301" s="11" t="n"/>
    </row>
    <row r="302">
      <c r="A302" s="11" t="n"/>
      <c r="B302" s="11" t="n"/>
      <c r="C302" s="11" t="n"/>
      <c r="D302" s="11" t="n"/>
      <c r="E302" s="11" t="n"/>
      <c r="F302" s="11" t="n"/>
      <c r="G302" s="6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/>
    </row>
    <row r="303">
      <c r="A303" s="11" t="n"/>
      <c r="B303" s="11" t="n"/>
      <c r="C303" s="11" t="n"/>
      <c r="D303" s="11" t="n"/>
      <c r="E303" s="11" t="n"/>
      <c r="F303" s="11" t="n"/>
      <c r="G303" s="6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/>
    </row>
    <row r="304">
      <c r="A304" s="11" t="n"/>
      <c r="B304" s="11" t="n"/>
      <c r="C304" s="11" t="n"/>
      <c r="D304" s="11" t="n"/>
      <c r="E304" s="11" t="n"/>
      <c r="F304" s="11" t="n"/>
      <c r="G304" s="6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</row>
    <row r="305">
      <c r="A305" s="11" t="n"/>
      <c r="B305" s="11" t="n"/>
      <c r="C305" s="11" t="n"/>
      <c r="D305" s="11" t="n"/>
      <c r="E305" s="11" t="n"/>
      <c r="F305" s="11" t="n"/>
      <c r="G305" s="6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</row>
    <row r="306">
      <c r="A306" s="11" t="n"/>
      <c r="B306" s="11" t="n"/>
      <c r="C306" s="11" t="n"/>
      <c r="D306" s="11" t="n"/>
      <c r="E306" s="11" t="n"/>
      <c r="F306" s="11" t="n"/>
      <c r="G306" s="6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/>
      <c r="AJ306" s="11" t="n"/>
      <c r="AK306" s="11" t="n"/>
    </row>
    <row r="307">
      <c r="A307" s="11" t="n"/>
      <c r="B307" s="11" t="n"/>
      <c r="C307" s="11" t="n"/>
      <c r="D307" s="11" t="n"/>
      <c r="E307" s="11" t="n"/>
      <c r="F307" s="11" t="n"/>
      <c r="G307" s="6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/>
      <c r="AJ307" s="11" t="n"/>
      <c r="AK307" s="11" t="n"/>
    </row>
    <row r="308">
      <c r="A308" s="11" t="n"/>
      <c r="B308" s="11" t="n"/>
      <c r="C308" s="11" t="n"/>
      <c r="D308" s="11" t="n"/>
      <c r="E308" s="11" t="n"/>
      <c r="F308" s="11" t="n"/>
      <c r="G308" s="6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/>
      <c r="AJ308" s="11" t="n"/>
      <c r="AK308" s="11" t="n"/>
    </row>
    <row r="309">
      <c r="A309" s="11" t="n"/>
      <c r="B309" s="11" t="n"/>
      <c r="C309" s="11" t="n"/>
      <c r="D309" s="11" t="n"/>
      <c r="E309" s="11" t="n"/>
      <c r="F309" s="11" t="n"/>
      <c r="G309" s="6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  <c r="AG309" s="11" t="n"/>
      <c r="AH309" s="11" t="n"/>
      <c r="AI309" s="11" t="n"/>
      <c r="AJ309" s="11" t="n"/>
      <c r="AK309" s="11" t="n"/>
    </row>
    <row r="310">
      <c r="A310" s="11" t="n"/>
      <c r="B310" s="11" t="n"/>
      <c r="C310" s="11" t="n"/>
      <c r="D310" s="11" t="n"/>
      <c r="E310" s="11" t="n"/>
      <c r="F310" s="11" t="n"/>
      <c r="G310" s="6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</row>
    <row r="311">
      <c r="A311" s="11" t="n"/>
      <c r="B311" s="11" t="n"/>
      <c r="C311" s="11" t="n"/>
      <c r="D311" s="11" t="n"/>
      <c r="E311" s="11" t="n"/>
      <c r="F311" s="11" t="n"/>
      <c r="G311" s="6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/>
      <c r="AK311" s="11" t="n"/>
    </row>
    <row r="312">
      <c r="A312" s="11" t="n"/>
      <c r="B312" s="11" t="n"/>
      <c r="C312" s="11" t="n"/>
      <c r="D312" s="11" t="n"/>
      <c r="E312" s="11" t="n"/>
      <c r="F312" s="11" t="n"/>
      <c r="G312" s="6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</row>
    <row r="313">
      <c r="A313" s="11" t="n"/>
      <c r="B313" s="11" t="n"/>
      <c r="C313" s="11" t="n"/>
      <c r="D313" s="11" t="n"/>
      <c r="E313" s="11" t="n"/>
      <c r="F313" s="11" t="n"/>
      <c r="G313" s="6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</row>
    <row r="314">
      <c r="A314" s="11" t="n"/>
      <c r="B314" s="11" t="n"/>
      <c r="C314" s="11" t="n"/>
      <c r="D314" s="11" t="n"/>
      <c r="E314" s="11" t="n"/>
      <c r="F314" s="11" t="n"/>
      <c r="G314" s="6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  <c r="AG314" s="11" t="n"/>
      <c r="AH314" s="11" t="n"/>
      <c r="AI314" s="11" t="n"/>
      <c r="AJ314" s="11" t="n"/>
      <c r="AK314" s="11" t="n"/>
    </row>
    <row r="315">
      <c r="A315" s="11" t="n"/>
      <c r="B315" s="11" t="n"/>
      <c r="C315" s="11" t="n"/>
      <c r="D315" s="11" t="n"/>
      <c r="E315" s="11" t="n"/>
      <c r="F315" s="11" t="n"/>
      <c r="G315" s="6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</row>
    <row r="316">
      <c r="A316" s="11" t="n"/>
      <c r="B316" s="11" t="n"/>
      <c r="C316" s="11" t="n"/>
      <c r="D316" s="11" t="n"/>
      <c r="E316" s="11" t="n"/>
      <c r="F316" s="11" t="n"/>
      <c r="G316" s="6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/>
    </row>
    <row r="317">
      <c r="A317" s="11" t="n"/>
      <c r="B317" s="11" t="n"/>
      <c r="C317" s="11" t="n"/>
      <c r="D317" s="11" t="n"/>
      <c r="E317" s="11" t="n"/>
      <c r="F317" s="11" t="n"/>
      <c r="G317" s="6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1" t="n"/>
    </row>
    <row r="318">
      <c r="A318" s="11" t="n"/>
      <c r="B318" s="11" t="n"/>
      <c r="C318" s="11" t="n"/>
      <c r="D318" s="11" t="n"/>
      <c r="E318" s="11" t="n"/>
      <c r="F318" s="11" t="n"/>
      <c r="G318" s="6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  <c r="AG318" s="11" t="n"/>
      <c r="AH318" s="11" t="n"/>
      <c r="AI318" s="11" t="n"/>
      <c r="AJ318" s="11" t="n"/>
      <c r="AK318" s="11" t="n"/>
    </row>
    <row r="319">
      <c r="A319" s="11" t="n"/>
      <c r="B319" s="11" t="n"/>
      <c r="C319" s="11" t="n"/>
      <c r="D319" s="11" t="n"/>
      <c r="E319" s="11" t="n"/>
      <c r="F319" s="11" t="n"/>
      <c r="G319" s="6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  <c r="AG319" s="11" t="n"/>
      <c r="AH319" s="11" t="n"/>
      <c r="AI319" s="11" t="n"/>
      <c r="AJ319" s="11" t="n"/>
      <c r="AK319" s="11" t="n"/>
    </row>
    <row r="320">
      <c r="A320" s="11" t="n"/>
      <c r="B320" s="11" t="n"/>
      <c r="C320" s="11" t="n"/>
      <c r="D320" s="11" t="n"/>
      <c r="E320" s="11" t="n"/>
      <c r="F320" s="11" t="n"/>
      <c r="G320" s="6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</row>
    <row r="321">
      <c r="A321" s="11" t="n"/>
      <c r="B321" s="11" t="n"/>
      <c r="C321" s="11" t="n"/>
      <c r="D321" s="11" t="n"/>
      <c r="E321" s="11" t="n"/>
      <c r="F321" s="11" t="n"/>
      <c r="G321" s="6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  <c r="AG321" s="11" t="n"/>
      <c r="AH321" s="11" t="n"/>
      <c r="AI321" s="11" t="n"/>
      <c r="AJ321" s="11" t="n"/>
      <c r="AK321" s="11" t="n"/>
    </row>
    <row r="322">
      <c r="A322" s="11" t="n"/>
      <c r="B322" s="11" t="n"/>
      <c r="C322" s="11" t="n"/>
      <c r="D322" s="11" t="n"/>
      <c r="E322" s="11" t="n"/>
      <c r="F322" s="11" t="n"/>
      <c r="G322" s="6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  <c r="AG322" s="11" t="n"/>
      <c r="AH322" s="11" t="n"/>
      <c r="AI322" s="11" t="n"/>
      <c r="AJ322" s="11" t="n"/>
      <c r="AK322" s="11" t="n"/>
    </row>
    <row r="323">
      <c r="A323" s="11" t="n"/>
      <c r="B323" s="11" t="n"/>
      <c r="C323" s="11" t="n"/>
      <c r="D323" s="11" t="n"/>
      <c r="E323" s="11" t="n"/>
      <c r="F323" s="11" t="n"/>
      <c r="G323" s="6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  <c r="AG323" s="11" t="n"/>
      <c r="AH323" s="11" t="n"/>
      <c r="AI323" s="11" t="n"/>
      <c r="AJ323" s="11" t="n"/>
      <c r="AK323" s="11" t="n"/>
    </row>
    <row r="324">
      <c r="A324" s="11" t="n"/>
      <c r="B324" s="11" t="n"/>
      <c r="C324" s="11" t="n"/>
      <c r="D324" s="11" t="n"/>
      <c r="E324" s="11" t="n"/>
      <c r="F324" s="11" t="n"/>
      <c r="G324" s="6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</row>
    <row r="325">
      <c r="A325" s="11" t="n"/>
      <c r="B325" s="11" t="n"/>
      <c r="C325" s="11" t="n"/>
      <c r="D325" s="11" t="n"/>
      <c r="E325" s="11" t="n"/>
      <c r="F325" s="11" t="n"/>
      <c r="G325" s="6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/>
      <c r="AJ325" s="11" t="n"/>
      <c r="AK325" s="11" t="n"/>
    </row>
    <row r="326">
      <c r="A326" s="11" t="n"/>
      <c r="B326" s="11" t="n"/>
      <c r="C326" s="11" t="n"/>
      <c r="D326" s="11" t="n"/>
      <c r="E326" s="11" t="n"/>
      <c r="F326" s="11" t="n"/>
      <c r="G326" s="6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</row>
    <row r="327">
      <c r="A327" s="11" t="n"/>
      <c r="B327" s="11" t="n"/>
      <c r="C327" s="11" t="n"/>
      <c r="D327" s="11" t="n"/>
      <c r="E327" s="11" t="n"/>
      <c r="F327" s="11" t="n"/>
      <c r="G327" s="6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  <c r="AG327" s="11" t="n"/>
      <c r="AH327" s="11" t="n"/>
      <c r="AI327" s="11" t="n"/>
      <c r="AJ327" s="11" t="n"/>
      <c r="AK327" s="11" t="n"/>
    </row>
    <row r="328">
      <c r="A328" s="11" t="n"/>
      <c r="B328" s="11" t="n"/>
      <c r="C328" s="11" t="n"/>
      <c r="D328" s="11" t="n"/>
      <c r="E328" s="11" t="n"/>
      <c r="F328" s="11" t="n"/>
      <c r="G328" s="6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  <c r="AG328" s="11" t="n"/>
      <c r="AH328" s="11" t="n"/>
      <c r="AI328" s="11" t="n"/>
      <c r="AJ328" s="11" t="n"/>
      <c r="AK328" s="11" t="n"/>
    </row>
    <row r="329">
      <c r="A329" s="11" t="n"/>
      <c r="B329" s="11" t="n"/>
      <c r="C329" s="11" t="n"/>
      <c r="D329" s="11" t="n"/>
      <c r="E329" s="11" t="n"/>
      <c r="F329" s="11" t="n"/>
      <c r="G329" s="6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1" t="n"/>
      <c r="AH329" s="11" t="n"/>
      <c r="AI329" s="11" t="n"/>
      <c r="AJ329" s="11" t="n"/>
      <c r="AK329" s="11" t="n"/>
    </row>
    <row r="330">
      <c r="A330" s="11" t="n"/>
      <c r="B330" s="11" t="n"/>
      <c r="C330" s="11" t="n"/>
      <c r="D330" s="11" t="n"/>
      <c r="E330" s="11" t="n"/>
      <c r="F330" s="11" t="n"/>
      <c r="G330" s="6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/>
      <c r="AH330" s="11" t="n"/>
      <c r="AI330" s="11" t="n"/>
      <c r="AJ330" s="11" t="n"/>
      <c r="AK330" s="11" t="n"/>
    </row>
    <row r="331">
      <c r="A331" s="11" t="n"/>
      <c r="B331" s="11" t="n"/>
      <c r="C331" s="11" t="n"/>
      <c r="D331" s="11" t="n"/>
      <c r="E331" s="11" t="n"/>
      <c r="F331" s="11" t="n"/>
      <c r="G331" s="6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1" t="n"/>
    </row>
    <row r="332">
      <c r="A332" s="11" t="n"/>
      <c r="B332" s="11" t="n"/>
      <c r="C332" s="11" t="n"/>
      <c r="D332" s="11" t="n"/>
      <c r="E332" s="11" t="n"/>
      <c r="F332" s="11" t="n"/>
      <c r="G332" s="6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</row>
    <row r="333">
      <c r="A333" s="11" t="n"/>
      <c r="B333" s="11" t="n"/>
      <c r="C333" s="11" t="n"/>
      <c r="D333" s="11" t="n"/>
      <c r="E333" s="11" t="n"/>
      <c r="F333" s="11" t="n"/>
      <c r="G333" s="6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</row>
    <row r="334">
      <c r="A334" s="11" t="n"/>
      <c r="B334" s="11" t="n"/>
      <c r="C334" s="11" t="n"/>
      <c r="D334" s="11" t="n"/>
      <c r="E334" s="11" t="n"/>
      <c r="F334" s="11" t="n"/>
      <c r="G334" s="6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</row>
    <row r="335">
      <c r="A335" s="11" t="n"/>
      <c r="B335" s="11" t="n"/>
      <c r="C335" s="11" t="n"/>
      <c r="D335" s="11" t="n"/>
      <c r="E335" s="11" t="n"/>
      <c r="F335" s="11" t="n"/>
      <c r="G335" s="6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  <c r="AG335" s="11" t="n"/>
      <c r="AH335" s="11" t="n"/>
      <c r="AI335" s="11" t="n"/>
      <c r="AJ335" s="11" t="n"/>
      <c r="AK335" s="11" t="n"/>
    </row>
    <row r="336">
      <c r="A336" s="11" t="n"/>
      <c r="B336" s="11" t="n"/>
      <c r="C336" s="11" t="n"/>
      <c r="D336" s="11" t="n"/>
      <c r="E336" s="11" t="n"/>
      <c r="F336" s="11" t="n"/>
      <c r="G336" s="6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/>
      <c r="AH336" s="11" t="n"/>
      <c r="AI336" s="11" t="n"/>
      <c r="AJ336" s="11" t="n"/>
      <c r="AK336" s="11" t="n"/>
    </row>
    <row r="337">
      <c r="A337" s="11" t="n"/>
      <c r="B337" s="11" t="n"/>
      <c r="C337" s="11" t="n"/>
      <c r="D337" s="11" t="n"/>
      <c r="E337" s="11" t="n"/>
      <c r="F337" s="11" t="n"/>
      <c r="G337" s="6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</row>
    <row r="338">
      <c r="A338" s="11" t="n"/>
      <c r="B338" s="11" t="n"/>
      <c r="C338" s="11" t="n"/>
      <c r="D338" s="11" t="n"/>
      <c r="E338" s="11" t="n"/>
      <c r="F338" s="11" t="n"/>
      <c r="G338" s="6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1" t="n"/>
    </row>
    <row r="339">
      <c r="A339" s="11" t="n"/>
      <c r="B339" s="11" t="n"/>
      <c r="C339" s="11" t="n"/>
      <c r="D339" s="11" t="n"/>
      <c r="E339" s="11" t="n"/>
      <c r="F339" s="11" t="n"/>
      <c r="G339" s="6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  <c r="AG339" s="11" t="n"/>
      <c r="AH339" s="11" t="n"/>
      <c r="AI339" s="11" t="n"/>
      <c r="AJ339" s="11" t="n"/>
      <c r="AK339" s="11" t="n"/>
    </row>
    <row r="340">
      <c r="A340" s="11" t="n"/>
      <c r="B340" s="11" t="n"/>
      <c r="C340" s="11" t="n"/>
      <c r="D340" s="11" t="n"/>
      <c r="E340" s="11" t="n"/>
      <c r="F340" s="11" t="n"/>
      <c r="G340" s="6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/>
      <c r="AI340" s="11" t="n"/>
      <c r="AJ340" s="11" t="n"/>
      <c r="AK340" s="11" t="n"/>
    </row>
    <row r="341">
      <c r="A341" s="11" t="n"/>
      <c r="B341" s="11" t="n"/>
      <c r="C341" s="11" t="n"/>
      <c r="D341" s="11" t="n"/>
      <c r="E341" s="11" t="n"/>
      <c r="F341" s="11" t="n"/>
      <c r="G341" s="6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</row>
    <row r="342">
      <c r="A342" s="11" t="n"/>
      <c r="B342" s="11" t="n"/>
      <c r="C342" s="11" t="n"/>
      <c r="D342" s="11" t="n"/>
      <c r="E342" s="11" t="n"/>
      <c r="F342" s="11" t="n"/>
      <c r="G342" s="6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/>
      <c r="AI342" s="11" t="n"/>
      <c r="AJ342" s="11" t="n"/>
      <c r="AK342" s="11" t="n"/>
    </row>
    <row r="343">
      <c r="A343" s="11" t="n"/>
      <c r="B343" s="11" t="n"/>
      <c r="C343" s="11" t="n"/>
      <c r="D343" s="11" t="n"/>
      <c r="E343" s="11" t="n"/>
      <c r="F343" s="11" t="n"/>
      <c r="G343" s="6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</row>
    <row r="344">
      <c r="A344" s="11" t="n"/>
      <c r="B344" s="11" t="n"/>
      <c r="C344" s="11" t="n"/>
      <c r="D344" s="11" t="n"/>
      <c r="E344" s="11" t="n"/>
      <c r="F344" s="11" t="n"/>
      <c r="G344" s="6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/>
      <c r="AI344" s="11" t="n"/>
      <c r="AJ344" s="11" t="n"/>
      <c r="AK344" s="11" t="n"/>
    </row>
    <row r="345">
      <c r="A345" s="11" t="n"/>
      <c r="B345" s="11" t="n"/>
      <c r="C345" s="11" t="n"/>
      <c r="D345" s="11" t="n"/>
      <c r="E345" s="11" t="n"/>
      <c r="F345" s="11" t="n"/>
      <c r="G345" s="6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1" t="n"/>
    </row>
    <row r="346">
      <c r="A346" s="11" t="n"/>
      <c r="B346" s="11" t="n"/>
      <c r="C346" s="11" t="n"/>
      <c r="D346" s="11" t="n"/>
      <c r="E346" s="11" t="n"/>
      <c r="F346" s="11" t="n"/>
      <c r="G346" s="6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</row>
    <row r="347">
      <c r="A347" s="11" t="n"/>
      <c r="B347" s="11" t="n"/>
      <c r="C347" s="11" t="n"/>
      <c r="D347" s="11" t="n"/>
      <c r="E347" s="11" t="n"/>
      <c r="F347" s="11" t="n"/>
      <c r="G347" s="6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</row>
    <row r="348">
      <c r="A348" s="11" t="n"/>
      <c r="B348" s="11" t="n"/>
      <c r="C348" s="11" t="n"/>
      <c r="D348" s="11" t="n"/>
      <c r="E348" s="11" t="n"/>
      <c r="F348" s="11" t="n"/>
      <c r="G348" s="6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  <c r="AG348" s="11" t="n"/>
      <c r="AH348" s="11" t="n"/>
      <c r="AI348" s="11" t="n"/>
      <c r="AJ348" s="11" t="n"/>
      <c r="AK348" s="11" t="n"/>
    </row>
    <row r="349">
      <c r="A349" s="11" t="n"/>
      <c r="B349" s="11" t="n"/>
      <c r="C349" s="11" t="n"/>
      <c r="D349" s="11" t="n"/>
      <c r="E349" s="11" t="n"/>
      <c r="F349" s="11" t="n"/>
      <c r="G349" s="6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  <c r="AG349" s="11" t="n"/>
      <c r="AH349" s="11" t="n"/>
      <c r="AI349" s="11" t="n"/>
      <c r="AJ349" s="11" t="n"/>
      <c r="AK349" s="11" t="n"/>
    </row>
    <row r="350">
      <c r="A350" s="11" t="n"/>
      <c r="B350" s="11" t="n"/>
      <c r="C350" s="11" t="n"/>
      <c r="D350" s="11" t="n"/>
      <c r="E350" s="11" t="n"/>
      <c r="F350" s="11" t="n"/>
      <c r="G350" s="6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1" t="n"/>
      <c r="AH350" s="11" t="n"/>
      <c r="AI350" s="11" t="n"/>
      <c r="AJ350" s="11" t="n"/>
      <c r="AK350" s="11" t="n"/>
    </row>
    <row r="351">
      <c r="A351" s="11" t="n"/>
      <c r="B351" s="11" t="n"/>
      <c r="C351" s="11" t="n"/>
      <c r="D351" s="11" t="n"/>
      <c r="E351" s="11" t="n"/>
      <c r="F351" s="11" t="n"/>
      <c r="G351" s="6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</row>
    <row r="352">
      <c r="A352" s="11" t="n"/>
      <c r="B352" s="11" t="n"/>
      <c r="C352" s="11" t="n"/>
      <c r="D352" s="11" t="n"/>
      <c r="E352" s="11" t="n"/>
      <c r="F352" s="11" t="n"/>
      <c r="G352" s="6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</row>
    <row r="353">
      <c r="A353" s="11" t="n"/>
      <c r="B353" s="11" t="n"/>
      <c r="C353" s="11" t="n"/>
      <c r="D353" s="11" t="n"/>
      <c r="E353" s="11" t="n"/>
      <c r="F353" s="11" t="n"/>
      <c r="G353" s="6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</row>
    <row r="354">
      <c r="A354" s="11" t="n"/>
      <c r="B354" s="11" t="n"/>
      <c r="C354" s="11" t="n"/>
      <c r="D354" s="11" t="n"/>
      <c r="E354" s="11" t="n"/>
      <c r="F354" s="11" t="n"/>
      <c r="G354" s="6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</row>
    <row r="355">
      <c r="A355" s="11" t="n"/>
      <c r="B355" s="11" t="n"/>
      <c r="C355" s="11" t="n"/>
      <c r="D355" s="11" t="n"/>
      <c r="E355" s="11" t="n"/>
      <c r="F355" s="11" t="n"/>
      <c r="G355" s="6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/>
      <c r="AI355" s="11" t="n"/>
      <c r="AJ355" s="11" t="n"/>
      <c r="AK355" s="11" t="n"/>
    </row>
    <row r="356">
      <c r="A356" s="11" t="n"/>
      <c r="B356" s="11" t="n"/>
      <c r="C356" s="11" t="n"/>
      <c r="D356" s="11" t="n"/>
      <c r="E356" s="11" t="n"/>
      <c r="F356" s="11" t="n"/>
      <c r="G356" s="6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/>
      <c r="AI356" s="11" t="n"/>
      <c r="AJ356" s="11" t="n"/>
      <c r="AK356" s="11" t="n"/>
    </row>
    <row r="357">
      <c r="A357" s="11" t="n"/>
      <c r="B357" s="11" t="n"/>
      <c r="C357" s="11" t="n"/>
      <c r="D357" s="11" t="n"/>
      <c r="E357" s="11" t="n"/>
      <c r="F357" s="11" t="n"/>
      <c r="G357" s="6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1" t="n"/>
      <c r="AI357" s="11" t="n"/>
      <c r="AJ357" s="11" t="n"/>
      <c r="AK357" s="11" t="n"/>
    </row>
    <row r="358">
      <c r="A358" s="11" t="n"/>
      <c r="B358" s="11" t="n"/>
      <c r="C358" s="11" t="n"/>
      <c r="D358" s="11" t="n"/>
      <c r="E358" s="11" t="n"/>
      <c r="F358" s="11" t="n"/>
      <c r="G358" s="6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  <c r="AG358" s="11" t="n"/>
      <c r="AH358" s="11" t="n"/>
      <c r="AI358" s="11" t="n"/>
      <c r="AJ358" s="11" t="n"/>
      <c r="AK358" s="11" t="n"/>
    </row>
    <row r="359">
      <c r="A359" s="11" t="n"/>
      <c r="B359" s="11" t="n"/>
      <c r="C359" s="11" t="n"/>
      <c r="D359" s="11" t="n"/>
      <c r="E359" s="11" t="n"/>
      <c r="F359" s="11" t="n"/>
      <c r="G359" s="6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</row>
    <row r="360">
      <c r="A360" s="11" t="n"/>
      <c r="B360" s="11" t="n"/>
      <c r="C360" s="11" t="n"/>
      <c r="D360" s="11" t="n"/>
      <c r="E360" s="11" t="n"/>
      <c r="F360" s="11" t="n"/>
      <c r="G360" s="6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/>
      <c r="AK360" s="11" t="n"/>
    </row>
    <row r="361">
      <c r="A361" s="11" t="n"/>
      <c r="B361" s="11" t="n"/>
      <c r="C361" s="11" t="n"/>
      <c r="D361" s="11" t="n"/>
      <c r="E361" s="11" t="n"/>
      <c r="F361" s="11" t="n"/>
      <c r="G361" s="6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/>
    </row>
    <row r="362">
      <c r="A362" s="11" t="n"/>
      <c r="B362" s="11" t="n"/>
      <c r="C362" s="11" t="n"/>
      <c r="D362" s="11" t="n"/>
      <c r="E362" s="11" t="n"/>
      <c r="F362" s="11" t="n"/>
      <c r="G362" s="6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  <c r="AG362" s="11" t="n"/>
      <c r="AH362" s="11" t="n"/>
      <c r="AI362" s="11" t="n"/>
      <c r="AJ362" s="11" t="n"/>
      <c r="AK362" s="11" t="n"/>
    </row>
    <row r="363">
      <c r="A363" s="11" t="n"/>
      <c r="B363" s="11" t="n"/>
      <c r="C363" s="11" t="n"/>
      <c r="D363" s="11" t="n"/>
      <c r="E363" s="11" t="n"/>
      <c r="F363" s="11" t="n"/>
      <c r="G363" s="6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</row>
    <row r="364">
      <c r="A364" s="11" t="n"/>
      <c r="B364" s="11" t="n"/>
      <c r="C364" s="11" t="n"/>
      <c r="D364" s="11" t="n"/>
      <c r="E364" s="11" t="n"/>
      <c r="F364" s="11" t="n"/>
      <c r="G364" s="6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</row>
    <row r="365">
      <c r="A365" s="11" t="n"/>
      <c r="B365" s="11" t="n"/>
      <c r="C365" s="11" t="n"/>
      <c r="D365" s="11" t="n"/>
      <c r="E365" s="11" t="n"/>
      <c r="F365" s="11" t="n"/>
      <c r="G365" s="6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/>
      <c r="AK365" s="11" t="n"/>
    </row>
    <row r="366">
      <c r="A366" s="11" t="n"/>
      <c r="B366" s="11" t="n"/>
      <c r="C366" s="11" t="n"/>
      <c r="D366" s="11" t="n"/>
      <c r="E366" s="11" t="n"/>
      <c r="F366" s="11" t="n"/>
      <c r="G366" s="6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1" t="n"/>
    </row>
    <row r="367">
      <c r="A367" s="11" t="n"/>
      <c r="B367" s="11" t="n"/>
      <c r="C367" s="11" t="n"/>
      <c r="D367" s="11" t="n"/>
      <c r="E367" s="11" t="n"/>
      <c r="F367" s="11" t="n"/>
      <c r="G367" s="6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  <c r="AG367" s="11" t="n"/>
      <c r="AH367" s="11" t="n"/>
      <c r="AI367" s="11" t="n"/>
      <c r="AJ367" s="11" t="n"/>
      <c r="AK367" s="11" t="n"/>
    </row>
    <row r="368">
      <c r="A368" s="11" t="n"/>
      <c r="B368" s="11" t="n"/>
      <c r="C368" s="11" t="n"/>
      <c r="D368" s="11" t="n"/>
      <c r="E368" s="11" t="n"/>
      <c r="F368" s="11" t="n"/>
      <c r="G368" s="6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1" t="n"/>
      <c r="AK368" s="11" t="n"/>
    </row>
    <row r="369">
      <c r="A369" s="11" t="n"/>
      <c r="B369" s="11" t="n"/>
      <c r="C369" s="11" t="n"/>
      <c r="D369" s="11" t="n"/>
      <c r="E369" s="11" t="n"/>
      <c r="F369" s="11" t="n"/>
      <c r="G369" s="6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1" t="n"/>
      <c r="AI369" s="11" t="n"/>
      <c r="AJ369" s="11" t="n"/>
      <c r="AK369" s="11" t="n"/>
    </row>
    <row r="370">
      <c r="A370" s="11" t="n"/>
      <c r="B370" s="11" t="n"/>
      <c r="C370" s="11" t="n"/>
      <c r="D370" s="11" t="n"/>
      <c r="E370" s="11" t="n"/>
      <c r="F370" s="11" t="n"/>
      <c r="G370" s="6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  <c r="AG370" s="11" t="n"/>
      <c r="AH370" s="11" t="n"/>
      <c r="AI370" s="11" t="n"/>
      <c r="AJ370" s="11" t="n"/>
      <c r="AK370" s="11" t="n"/>
    </row>
    <row r="371">
      <c r="A371" s="11" t="n"/>
      <c r="B371" s="11" t="n"/>
      <c r="C371" s="11" t="n"/>
      <c r="D371" s="11" t="n"/>
      <c r="E371" s="11" t="n"/>
      <c r="F371" s="11" t="n"/>
      <c r="G371" s="6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  <c r="AG371" s="11" t="n"/>
      <c r="AH371" s="11" t="n"/>
      <c r="AI371" s="11" t="n"/>
      <c r="AJ371" s="11" t="n"/>
      <c r="AK371" s="11" t="n"/>
    </row>
    <row r="372">
      <c r="A372" s="11" t="n"/>
      <c r="B372" s="11" t="n"/>
      <c r="C372" s="11" t="n"/>
      <c r="D372" s="11" t="n"/>
      <c r="E372" s="11" t="n"/>
      <c r="F372" s="11" t="n"/>
      <c r="G372" s="6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</row>
    <row r="373">
      <c r="A373" s="11" t="n"/>
      <c r="B373" s="11" t="n"/>
      <c r="C373" s="11" t="n"/>
      <c r="D373" s="11" t="n"/>
      <c r="E373" s="11" t="n"/>
      <c r="F373" s="11" t="n"/>
      <c r="G373" s="6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</row>
    <row r="374">
      <c r="A374" s="11" t="n"/>
      <c r="B374" s="11" t="n"/>
      <c r="C374" s="11" t="n"/>
      <c r="D374" s="11" t="n"/>
      <c r="E374" s="11" t="n"/>
      <c r="F374" s="11" t="n"/>
      <c r="G374" s="6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1" t="n"/>
      <c r="AI374" s="11" t="n"/>
      <c r="AJ374" s="11" t="n"/>
      <c r="AK374" s="11" t="n"/>
    </row>
    <row r="375">
      <c r="A375" s="11" t="n"/>
      <c r="B375" s="11" t="n"/>
      <c r="C375" s="11" t="n"/>
      <c r="D375" s="11" t="n"/>
      <c r="E375" s="11" t="n"/>
      <c r="F375" s="11" t="n"/>
      <c r="G375" s="6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1" t="n"/>
      <c r="AI375" s="11" t="n"/>
      <c r="AJ375" s="11" t="n"/>
      <c r="AK375" s="11" t="n"/>
    </row>
    <row r="376">
      <c r="A376" s="11" t="n"/>
      <c r="B376" s="11" t="n"/>
      <c r="C376" s="11" t="n"/>
      <c r="D376" s="11" t="n"/>
      <c r="E376" s="11" t="n"/>
      <c r="F376" s="11" t="n"/>
      <c r="G376" s="6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1" t="n"/>
      <c r="AI376" s="11" t="n"/>
      <c r="AJ376" s="11" t="n"/>
      <c r="AK376" s="11" t="n"/>
    </row>
    <row r="377">
      <c r="A377" s="11" t="n"/>
      <c r="B377" s="11" t="n"/>
      <c r="C377" s="11" t="n"/>
      <c r="D377" s="11" t="n"/>
      <c r="E377" s="11" t="n"/>
      <c r="F377" s="11" t="n"/>
      <c r="G377" s="6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1" t="n"/>
      <c r="AI377" s="11" t="n"/>
      <c r="AJ377" s="11" t="n"/>
      <c r="AK377" s="11" t="n"/>
    </row>
    <row r="378">
      <c r="A378" s="11" t="n"/>
      <c r="B378" s="11" t="n"/>
      <c r="C378" s="11" t="n"/>
      <c r="D378" s="11" t="n"/>
      <c r="E378" s="11" t="n"/>
      <c r="F378" s="11" t="n"/>
      <c r="G378" s="6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/>
      <c r="AI378" s="11" t="n"/>
      <c r="AJ378" s="11" t="n"/>
      <c r="AK378" s="11" t="n"/>
    </row>
    <row r="379">
      <c r="A379" s="11" t="n"/>
      <c r="B379" s="11" t="n"/>
      <c r="C379" s="11" t="n"/>
      <c r="D379" s="11" t="n"/>
      <c r="E379" s="11" t="n"/>
      <c r="F379" s="11" t="n"/>
      <c r="G379" s="6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  <c r="AG379" s="11" t="n"/>
      <c r="AH379" s="11" t="n"/>
      <c r="AI379" s="11" t="n"/>
      <c r="AJ379" s="11" t="n"/>
      <c r="AK379" s="11" t="n"/>
    </row>
    <row r="380">
      <c r="A380" s="11" t="n"/>
      <c r="B380" s="11" t="n"/>
      <c r="C380" s="11" t="n"/>
      <c r="D380" s="11" t="n"/>
      <c r="E380" s="11" t="n"/>
      <c r="F380" s="11" t="n"/>
      <c r="G380" s="6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1" t="n"/>
    </row>
    <row r="381">
      <c r="A381" s="11" t="n"/>
      <c r="B381" s="11" t="n"/>
      <c r="C381" s="11" t="n"/>
      <c r="D381" s="11" t="n"/>
      <c r="E381" s="11" t="n"/>
      <c r="F381" s="11" t="n"/>
      <c r="G381" s="6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  <c r="AG381" s="11" t="n"/>
      <c r="AH381" s="11" t="n"/>
      <c r="AI381" s="11" t="n"/>
      <c r="AJ381" s="11" t="n"/>
      <c r="AK381" s="11" t="n"/>
    </row>
    <row r="382">
      <c r="A382" s="11" t="n"/>
      <c r="B382" s="11" t="n"/>
      <c r="C382" s="11" t="n"/>
      <c r="D382" s="11" t="n"/>
      <c r="E382" s="11" t="n"/>
      <c r="F382" s="11" t="n"/>
      <c r="G382" s="6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/>
      <c r="AI382" s="11" t="n"/>
      <c r="AJ382" s="11" t="n"/>
      <c r="AK382" s="11" t="n"/>
    </row>
    <row r="383">
      <c r="A383" s="11" t="n"/>
      <c r="B383" s="11" t="n"/>
      <c r="C383" s="11" t="n"/>
      <c r="D383" s="11" t="n"/>
      <c r="E383" s="11" t="n"/>
      <c r="F383" s="11" t="n"/>
      <c r="G383" s="6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</row>
    <row r="384">
      <c r="A384" s="11" t="n"/>
      <c r="B384" s="11" t="n"/>
      <c r="C384" s="11" t="n"/>
      <c r="D384" s="11" t="n"/>
      <c r="E384" s="11" t="n"/>
      <c r="F384" s="11" t="n"/>
      <c r="G384" s="6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/>
      <c r="AK384" s="11" t="n"/>
    </row>
    <row r="385">
      <c r="A385" s="11" t="n"/>
      <c r="B385" s="11" t="n"/>
      <c r="C385" s="11" t="n"/>
      <c r="D385" s="11" t="n"/>
      <c r="E385" s="11" t="n"/>
      <c r="F385" s="11" t="n"/>
      <c r="G385" s="6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</row>
    <row r="386">
      <c r="A386" s="11" t="n"/>
      <c r="B386" s="11" t="n"/>
      <c r="C386" s="11" t="n"/>
      <c r="D386" s="11" t="n"/>
      <c r="E386" s="11" t="n"/>
      <c r="F386" s="11" t="n"/>
      <c r="G386" s="6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/>
      <c r="AH386" s="11" t="n"/>
      <c r="AI386" s="11" t="n"/>
      <c r="AJ386" s="11" t="n"/>
      <c r="AK386" s="11" t="n"/>
    </row>
    <row r="387">
      <c r="A387" s="11" t="n"/>
      <c r="B387" s="11" t="n"/>
      <c r="C387" s="11" t="n"/>
      <c r="D387" s="11" t="n"/>
      <c r="E387" s="11" t="n"/>
      <c r="F387" s="11" t="n"/>
      <c r="G387" s="6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</row>
    <row r="388">
      <c r="A388" s="11" t="n"/>
      <c r="B388" s="11" t="n"/>
      <c r="C388" s="11" t="n"/>
      <c r="D388" s="11" t="n"/>
      <c r="E388" s="11" t="n"/>
      <c r="F388" s="11" t="n"/>
      <c r="G388" s="6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/>
      <c r="AJ388" s="11" t="n"/>
      <c r="AK388" s="11" t="n"/>
    </row>
    <row r="389">
      <c r="A389" s="11" t="n"/>
      <c r="B389" s="11" t="n"/>
      <c r="C389" s="11" t="n"/>
      <c r="D389" s="11" t="n"/>
      <c r="E389" s="11" t="n"/>
      <c r="F389" s="11" t="n"/>
      <c r="G389" s="6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</row>
    <row r="390">
      <c r="A390" s="11" t="n"/>
      <c r="B390" s="11" t="n"/>
      <c r="C390" s="11" t="n"/>
      <c r="D390" s="11" t="n"/>
      <c r="E390" s="11" t="n"/>
      <c r="F390" s="11" t="n"/>
      <c r="G390" s="6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  <c r="AG390" s="11" t="n"/>
      <c r="AH390" s="11" t="n"/>
      <c r="AI390" s="11" t="n"/>
      <c r="AJ390" s="11" t="n"/>
      <c r="AK390" s="11" t="n"/>
    </row>
    <row r="391">
      <c r="A391" s="11" t="n"/>
      <c r="B391" s="11" t="n"/>
      <c r="C391" s="11" t="n"/>
      <c r="D391" s="11" t="n"/>
      <c r="E391" s="11" t="n"/>
      <c r="F391" s="11" t="n"/>
      <c r="G391" s="6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  <c r="AG391" s="11" t="n"/>
      <c r="AH391" s="11" t="n"/>
      <c r="AI391" s="11" t="n"/>
      <c r="AJ391" s="11" t="n"/>
      <c r="AK391" s="11" t="n"/>
    </row>
    <row r="392">
      <c r="A392" s="11" t="n"/>
      <c r="B392" s="11" t="n"/>
      <c r="C392" s="11" t="n"/>
      <c r="D392" s="11" t="n"/>
      <c r="E392" s="11" t="n"/>
      <c r="F392" s="11" t="n"/>
      <c r="G392" s="6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</row>
    <row r="393">
      <c r="A393" s="11" t="n"/>
      <c r="B393" s="11" t="n"/>
      <c r="C393" s="11" t="n"/>
      <c r="D393" s="11" t="n"/>
      <c r="E393" s="11" t="n"/>
      <c r="F393" s="11" t="n"/>
      <c r="G393" s="6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</row>
    <row r="394">
      <c r="A394" s="11" t="n"/>
      <c r="B394" s="11" t="n"/>
      <c r="C394" s="11" t="n"/>
      <c r="D394" s="11" t="n"/>
      <c r="E394" s="11" t="n"/>
      <c r="F394" s="11" t="n"/>
      <c r="G394" s="6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</row>
    <row r="395">
      <c r="A395" s="11" t="n"/>
      <c r="B395" s="11" t="n"/>
      <c r="C395" s="11" t="n"/>
      <c r="D395" s="11" t="n"/>
      <c r="E395" s="11" t="n"/>
      <c r="F395" s="11" t="n"/>
      <c r="G395" s="6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  <c r="AG395" s="11" t="n"/>
      <c r="AH395" s="11" t="n"/>
      <c r="AI395" s="11" t="n"/>
      <c r="AJ395" s="11" t="n"/>
      <c r="AK395" s="11" t="n"/>
    </row>
    <row r="396">
      <c r="A396" s="11" t="n"/>
      <c r="B396" s="11" t="n"/>
      <c r="C396" s="11" t="n"/>
      <c r="D396" s="11" t="n"/>
      <c r="E396" s="11" t="n"/>
      <c r="F396" s="11" t="n"/>
      <c r="G396" s="6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  <c r="AG396" s="11" t="n"/>
      <c r="AH396" s="11" t="n"/>
      <c r="AI396" s="11" t="n"/>
      <c r="AJ396" s="11" t="n"/>
      <c r="AK396" s="11" t="n"/>
    </row>
    <row r="397">
      <c r="A397" s="11" t="n"/>
      <c r="B397" s="11" t="n"/>
      <c r="C397" s="11" t="n"/>
      <c r="D397" s="11" t="n"/>
      <c r="E397" s="11" t="n"/>
      <c r="F397" s="11" t="n"/>
      <c r="G397" s="6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</row>
    <row r="398">
      <c r="A398" s="11" t="n"/>
      <c r="B398" s="11" t="n"/>
      <c r="C398" s="11" t="n"/>
      <c r="D398" s="11" t="n"/>
      <c r="E398" s="11" t="n"/>
      <c r="F398" s="11" t="n"/>
      <c r="G398" s="6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/>
      <c r="AJ398" s="11" t="n"/>
      <c r="AK398" s="11" t="n"/>
    </row>
    <row r="399">
      <c r="A399" s="11" t="n"/>
      <c r="B399" s="11" t="n"/>
      <c r="C399" s="11" t="n"/>
      <c r="D399" s="11" t="n"/>
      <c r="E399" s="11" t="n"/>
      <c r="F399" s="11" t="n"/>
      <c r="G399" s="6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  <c r="AG399" s="11" t="n"/>
      <c r="AH399" s="11" t="n"/>
      <c r="AI399" s="11" t="n"/>
      <c r="AJ399" s="11" t="n"/>
      <c r="AK399" s="11" t="n"/>
    </row>
    <row r="400">
      <c r="A400" s="11" t="n"/>
      <c r="B400" s="11" t="n"/>
      <c r="C400" s="11" t="n"/>
      <c r="D400" s="11" t="n"/>
      <c r="E400" s="11" t="n"/>
      <c r="F400" s="11" t="n"/>
      <c r="G400" s="6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  <c r="AG400" s="11" t="n"/>
      <c r="AH400" s="11" t="n"/>
      <c r="AI400" s="11" t="n"/>
      <c r="AJ400" s="11" t="n"/>
      <c r="AK400" s="11" t="n"/>
    </row>
    <row r="401">
      <c r="A401" s="11" t="n"/>
      <c r="B401" s="11" t="n"/>
      <c r="C401" s="11" t="n"/>
      <c r="D401" s="11" t="n"/>
      <c r="E401" s="11" t="n"/>
      <c r="F401" s="11" t="n"/>
      <c r="G401" s="6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</row>
    <row r="402">
      <c r="A402" s="11" t="n"/>
      <c r="B402" s="11" t="n"/>
      <c r="C402" s="11" t="n"/>
      <c r="D402" s="11" t="n"/>
      <c r="E402" s="11" t="n"/>
      <c r="F402" s="11" t="n"/>
      <c r="G402" s="6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/>
      <c r="AK402" s="11" t="n"/>
    </row>
    <row r="403">
      <c r="A403" s="11" t="n"/>
      <c r="B403" s="11" t="n"/>
      <c r="C403" s="11" t="n"/>
      <c r="D403" s="11" t="n"/>
      <c r="E403" s="11" t="n"/>
      <c r="F403" s="11" t="n"/>
      <c r="G403" s="6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</row>
    <row r="404">
      <c r="A404" s="11" t="n"/>
      <c r="B404" s="11" t="n"/>
      <c r="C404" s="11" t="n"/>
      <c r="D404" s="11" t="n"/>
      <c r="E404" s="11" t="n"/>
      <c r="F404" s="11" t="n"/>
      <c r="G404" s="6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/>
      <c r="AK404" s="11" t="n"/>
    </row>
    <row r="405">
      <c r="A405" s="11" t="n"/>
      <c r="B405" s="11" t="n"/>
      <c r="C405" s="11" t="n"/>
      <c r="D405" s="11" t="n"/>
      <c r="E405" s="11" t="n"/>
      <c r="F405" s="11" t="n"/>
      <c r="G405" s="6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  <c r="AG405" s="11" t="n"/>
      <c r="AH405" s="11" t="n"/>
      <c r="AI405" s="11" t="n"/>
      <c r="AJ405" s="11" t="n"/>
      <c r="AK405" s="11" t="n"/>
    </row>
    <row r="406">
      <c r="A406" s="11" t="n"/>
      <c r="B406" s="11" t="n"/>
      <c r="C406" s="11" t="n"/>
      <c r="D406" s="11" t="n"/>
      <c r="E406" s="11" t="n"/>
      <c r="F406" s="11" t="n"/>
      <c r="G406" s="6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  <c r="AG406" s="11" t="n"/>
      <c r="AH406" s="11" t="n"/>
      <c r="AI406" s="11" t="n"/>
      <c r="AJ406" s="11" t="n"/>
      <c r="AK406" s="11" t="n"/>
    </row>
    <row r="407">
      <c r="A407" s="11" t="n"/>
      <c r="B407" s="11" t="n"/>
      <c r="C407" s="11" t="n"/>
      <c r="D407" s="11" t="n"/>
      <c r="E407" s="11" t="n"/>
      <c r="F407" s="11" t="n"/>
      <c r="G407" s="6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  <c r="AG407" s="11" t="n"/>
      <c r="AH407" s="11" t="n"/>
      <c r="AI407" s="11" t="n"/>
      <c r="AJ407" s="11" t="n"/>
      <c r="AK407" s="11" t="n"/>
    </row>
    <row r="408">
      <c r="A408" s="11" t="n"/>
      <c r="B408" s="11" t="n"/>
      <c r="C408" s="11" t="n"/>
      <c r="D408" s="11" t="n"/>
      <c r="E408" s="11" t="n"/>
      <c r="F408" s="11" t="n"/>
      <c r="G408" s="6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</row>
    <row r="409">
      <c r="A409" s="11" t="n"/>
      <c r="B409" s="11" t="n"/>
      <c r="C409" s="11" t="n"/>
      <c r="D409" s="11" t="n"/>
      <c r="E409" s="11" t="n"/>
      <c r="F409" s="11" t="n"/>
      <c r="G409" s="6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  <c r="AG409" s="11" t="n"/>
      <c r="AH409" s="11" t="n"/>
      <c r="AI409" s="11" t="n"/>
      <c r="AJ409" s="11" t="n"/>
      <c r="AK409" s="11" t="n"/>
    </row>
    <row r="410">
      <c r="A410" s="11" t="n"/>
      <c r="B410" s="11" t="n"/>
      <c r="C410" s="11" t="n"/>
      <c r="D410" s="11" t="n"/>
      <c r="E410" s="11" t="n"/>
      <c r="F410" s="11" t="n"/>
      <c r="G410" s="6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</row>
    <row r="411">
      <c r="A411" s="11" t="n"/>
      <c r="B411" s="11" t="n"/>
      <c r="C411" s="11" t="n"/>
      <c r="D411" s="11" t="n"/>
      <c r="E411" s="11" t="n"/>
      <c r="F411" s="11" t="n"/>
      <c r="G411" s="6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  <c r="AG411" s="11" t="n"/>
      <c r="AH411" s="11" t="n"/>
      <c r="AI411" s="11" t="n"/>
      <c r="AJ411" s="11" t="n"/>
      <c r="AK411" s="11" t="n"/>
    </row>
    <row r="412">
      <c r="A412" s="11" t="n"/>
      <c r="B412" s="11" t="n"/>
      <c r="C412" s="11" t="n"/>
      <c r="D412" s="11" t="n"/>
      <c r="E412" s="11" t="n"/>
      <c r="F412" s="11" t="n"/>
      <c r="G412" s="6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/>
      <c r="AI412" s="11" t="n"/>
      <c r="AJ412" s="11" t="n"/>
      <c r="AK412" s="11" t="n"/>
    </row>
    <row r="413">
      <c r="A413" s="11" t="n"/>
      <c r="B413" s="11" t="n"/>
      <c r="C413" s="11" t="n"/>
      <c r="D413" s="11" t="n"/>
      <c r="E413" s="11" t="n"/>
      <c r="F413" s="11" t="n"/>
      <c r="G413" s="6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/>
      <c r="AI413" s="11" t="n"/>
      <c r="AJ413" s="11" t="n"/>
      <c r="AK413" s="11" t="n"/>
    </row>
    <row r="414">
      <c r="A414" s="11" t="n"/>
      <c r="B414" s="11" t="n"/>
      <c r="C414" s="11" t="n"/>
      <c r="D414" s="11" t="n"/>
      <c r="E414" s="11" t="n"/>
      <c r="F414" s="11" t="n"/>
      <c r="G414" s="6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</row>
    <row r="415">
      <c r="A415" s="11" t="n"/>
      <c r="B415" s="11" t="n"/>
      <c r="C415" s="11" t="n"/>
      <c r="D415" s="11" t="n"/>
      <c r="E415" s="11" t="n"/>
      <c r="F415" s="11" t="n"/>
      <c r="G415" s="6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</row>
    <row r="416">
      <c r="A416" s="11" t="n"/>
      <c r="B416" s="11" t="n"/>
      <c r="C416" s="11" t="n"/>
      <c r="D416" s="11" t="n"/>
      <c r="E416" s="11" t="n"/>
      <c r="F416" s="11" t="n"/>
      <c r="G416" s="6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/>
      <c r="AH416" s="11" t="n"/>
      <c r="AI416" s="11" t="n"/>
      <c r="AJ416" s="11" t="n"/>
      <c r="AK416" s="11" t="n"/>
    </row>
    <row r="417">
      <c r="A417" s="11" t="n"/>
      <c r="B417" s="11" t="n"/>
      <c r="C417" s="11" t="n"/>
      <c r="D417" s="11" t="n"/>
      <c r="E417" s="11" t="n"/>
      <c r="F417" s="11" t="n"/>
      <c r="G417" s="6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/>
      <c r="AH417" s="11" t="n"/>
      <c r="AI417" s="11" t="n"/>
      <c r="AJ417" s="11" t="n"/>
      <c r="AK417" s="11" t="n"/>
    </row>
    <row r="418">
      <c r="A418" s="11" t="n"/>
      <c r="B418" s="11" t="n"/>
      <c r="C418" s="11" t="n"/>
      <c r="D418" s="11" t="n"/>
      <c r="E418" s="11" t="n"/>
      <c r="F418" s="11" t="n"/>
      <c r="G418" s="6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  <c r="AG418" s="11" t="n"/>
      <c r="AH418" s="11" t="n"/>
      <c r="AI418" s="11" t="n"/>
      <c r="AJ418" s="11" t="n"/>
      <c r="AK418" s="11" t="n"/>
    </row>
    <row r="419">
      <c r="A419" s="11" t="n"/>
      <c r="B419" s="11" t="n"/>
      <c r="C419" s="11" t="n"/>
      <c r="D419" s="11" t="n"/>
      <c r="E419" s="11" t="n"/>
      <c r="F419" s="11" t="n"/>
      <c r="G419" s="6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1" t="n"/>
      <c r="AI419" s="11" t="n"/>
      <c r="AJ419" s="11" t="n"/>
      <c r="AK419" s="11" t="n"/>
    </row>
    <row r="420">
      <c r="A420" s="11" t="n"/>
      <c r="B420" s="11" t="n"/>
      <c r="C420" s="11" t="n"/>
      <c r="D420" s="11" t="n"/>
      <c r="E420" s="11" t="n"/>
      <c r="F420" s="11" t="n"/>
      <c r="G420" s="6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  <c r="AG420" s="11" t="n"/>
      <c r="AH420" s="11" t="n"/>
      <c r="AI420" s="11" t="n"/>
      <c r="AJ420" s="11" t="n"/>
      <c r="AK420" s="11" t="n"/>
    </row>
    <row r="421">
      <c r="A421" s="11" t="n"/>
      <c r="B421" s="11" t="n"/>
      <c r="C421" s="11" t="n"/>
      <c r="D421" s="11" t="n"/>
      <c r="E421" s="11" t="n"/>
      <c r="F421" s="11" t="n"/>
      <c r="G421" s="6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  <c r="AG421" s="11" t="n"/>
      <c r="AH421" s="11" t="n"/>
      <c r="AI421" s="11" t="n"/>
      <c r="AJ421" s="11" t="n"/>
      <c r="AK421" s="11" t="n"/>
    </row>
    <row r="422">
      <c r="A422" s="11" t="n"/>
      <c r="B422" s="11" t="n"/>
      <c r="C422" s="11" t="n"/>
      <c r="D422" s="11" t="n"/>
      <c r="E422" s="11" t="n"/>
      <c r="F422" s="11" t="n"/>
      <c r="G422" s="6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1" t="n"/>
    </row>
    <row r="423">
      <c r="A423" s="11" t="n"/>
      <c r="B423" s="11" t="n"/>
      <c r="C423" s="11" t="n"/>
      <c r="D423" s="11" t="n"/>
      <c r="E423" s="11" t="n"/>
      <c r="F423" s="11" t="n"/>
      <c r="G423" s="6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</row>
    <row r="424">
      <c r="A424" s="11" t="n"/>
      <c r="B424" s="11" t="n"/>
      <c r="C424" s="11" t="n"/>
      <c r="D424" s="11" t="n"/>
      <c r="E424" s="11" t="n"/>
      <c r="F424" s="11" t="n"/>
      <c r="G424" s="6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  <c r="AG424" s="11" t="n"/>
      <c r="AH424" s="11" t="n"/>
      <c r="AI424" s="11" t="n"/>
      <c r="AJ424" s="11" t="n"/>
      <c r="AK424" s="11" t="n"/>
    </row>
    <row r="425">
      <c r="A425" s="11" t="n"/>
      <c r="B425" s="11" t="n"/>
      <c r="C425" s="11" t="n"/>
      <c r="D425" s="11" t="n"/>
      <c r="E425" s="11" t="n"/>
      <c r="F425" s="11" t="n"/>
      <c r="G425" s="6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  <c r="AG425" s="11" t="n"/>
      <c r="AH425" s="11" t="n"/>
      <c r="AI425" s="11" t="n"/>
      <c r="AJ425" s="11" t="n"/>
      <c r="AK425" s="11" t="n"/>
    </row>
    <row r="426">
      <c r="A426" s="11" t="n"/>
      <c r="B426" s="11" t="n"/>
      <c r="C426" s="11" t="n"/>
      <c r="D426" s="11" t="n"/>
      <c r="E426" s="11" t="n"/>
      <c r="F426" s="11" t="n"/>
      <c r="G426" s="6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  <c r="AG426" s="11" t="n"/>
      <c r="AH426" s="11" t="n"/>
      <c r="AI426" s="11" t="n"/>
      <c r="AJ426" s="11" t="n"/>
      <c r="AK426" s="11" t="n"/>
    </row>
    <row r="427">
      <c r="A427" s="11" t="n"/>
      <c r="B427" s="11" t="n"/>
      <c r="C427" s="11" t="n"/>
      <c r="D427" s="11" t="n"/>
      <c r="E427" s="11" t="n"/>
      <c r="F427" s="11" t="n"/>
      <c r="G427" s="6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  <c r="AG427" s="11" t="n"/>
      <c r="AH427" s="11" t="n"/>
      <c r="AI427" s="11" t="n"/>
      <c r="AJ427" s="11" t="n"/>
      <c r="AK427" s="11" t="n"/>
    </row>
    <row r="428">
      <c r="A428" s="11" t="n"/>
      <c r="B428" s="11" t="n"/>
      <c r="C428" s="11" t="n"/>
      <c r="D428" s="11" t="n"/>
      <c r="E428" s="11" t="n"/>
      <c r="F428" s="11" t="n"/>
      <c r="G428" s="6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/>
      <c r="AH428" s="11" t="n"/>
      <c r="AI428" s="11" t="n"/>
      <c r="AJ428" s="11" t="n"/>
      <c r="AK428" s="11" t="n"/>
    </row>
    <row r="429">
      <c r="A429" s="11" t="n"/>
      <c r="B429" s="11" t="n"/>
      <c r="C429" s="11" t="n"/>
      <c r="D429" s="11" t="n"/>
      <c r="E429" s="11" t="n"/>
      <c r="F429" s="11" t="n"/>
      <c r="G429" s="6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1" t="n"/>
    </row>
    <row r="430">
      <c r="A430" s="11" t="n"/>
      <c r="B430" s="11" t="n"/>
      <c r="C430" s="11" t="n"/>
      <c r="D430" s="11" t="n"/>
      <c r="E430" s="11" t="n"/>
      <c r="F430" s="11" t="n"/>
      <c r="G430" s="6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</row>
    <row r="431">
      <c r="A431" s="11" t="n"/>
      <c r="B431" s="11" t="n"/>
      <c r="C431" s="11" t="n"/>
      <c r="D431" s="11" t="n"/>
      <c r="E431" s="11" t="n"/>
      <c r="F431" s="11" t="n"/>
      <c r="G431" s="6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</row>
    <row r="432">
      <c r="A432" s="11" t="n"/>
      <c r="B432" s="11" t="n"/>
      <c r="C432" s="11" t="n"/>
      <c r="D432" s="11" t="n"/>
      <c r="E432" s="11" t="n"/>
      <c r="F432" s="11" t="n"/>
      <c r="G432" s="6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/>
      <c r="AH432" s="11" t="n"/>
      <c r="AI432" s="11" t="n"/>
      <c r="AJ432" s="11" t="n"/>
      <c r="AK432" s="11" t="n"/>
    </row>
    <row r="433">
      <c r="A433" s="11" t="n"/>
      <c r="B433" s="11" t="n"/>
      <c r="C433" s="11" t="n"/>
      <c r="D433" s="11" t="n"/>
      <c r="E433" s="11" t="n"/>
      <c r="F433" s="11" t="n"/>
      <c r="G433" s="6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  <c r="AG433" s="11" t="n"/>
      <c r="AH433" s="11" t="n"/>
      <c r="AI433" s="11" t="n"/>
      <c r="AJ433" s="11" t="n"/>
      <c r="AK433" s="11" t="n"/>
    </row>
    <row r="434">
      <c r="A434" s="11" t="n"/>
      <c r="B434" s="11" t="n"/>
      <c r="C434" s="11" t="n"/>
      <c r="D434" s="11" t="n"/>
      <c r="E434" s="11" t="n"/>
      <c r="F434" s="11" t="n"/>
      <c r="G434" s="6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</row>
    <row r="435">
      <c r="A435" s="11" t="n"/>
      <c r="B435" s="11" t="n"/>
      <c r="C435" s="11" t="n"/>
      <c r="D435" s="11" t="n"/>
      <c r="E435" s="11" t="n"/>
      <c r="F435" s="11" t="n"/>
      <c r="G435" s="6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</row>
    <row r="436">
      <c r="A436" s="11" t="n"/>
      <c r="B436" s="11" t="n"/>
      <c r="C436" s="11" t="n"/>
      <c r="D436" s="11" t="n"/>
      <c r="E436" s="11" t="n"/>
      <c r="F436" s="11" t="n"/>
      <c r="G436" s="6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1" t="n"/>
    </row>
    <row r="437">
      <c r="A437" s="11" t="n"/>
      <c r="B437" s="11" t="n"/>
      <c r="C437" s="11" t="n"/>
      <c r="D437" s="11" t="n"/>
      <c r="E437" s="11" t="n"/>
      <c r="F437" s="11" t="n"/>
      <c r="G437" s="6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  <c r="AG437" s="11" t="n"/>
      <c r="AH437" s="11" t="n"/>
      <c r="AI437" s="11" t="n"/>
      <c r="AJ437" s="11" t="n"/>
      <c r="AK437" s="11" t="n"/>
    </row>
    <row r="438">
      <c r="A438" s="11" t="n"/>
      <c r="B438" s="11" t="n"/>
      <c r="C438" s="11" t="n"/>
      <c r="D438" s="11" t="n"/>
      <c r="E438" s="11" t="n"/>
      <c r="F438" s="11" t="n"/>
      <c r="G438" s="6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  <c r="AG438" s="11" t="n"/>
      <c r="AH438" s="11" t="n"/>
      <c r="AI438" s="11" t="n"/>
      <c r="AJ438" s="11" t="n"/>
      <c r="AK438" s="11" t="n"/>
    </row>
    <row r="439">
      <c r="A439" s="11" t="n"/>
      <c r="B439" s="11" t="n"/>
      <c r="C439" s="11" t="n"/>
      <c r="D439" s="11" t="n"/>
      <c r="E439" s="11" t="n"/>
      <c r="F439" s="11" t="n"/>
      <c r="G439" s="6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/>
      <c r="AH439" s="11" t="n"/>
      <c r="AI439" s="11" t="n"/>
      <c r="AJ439" s="11" t="n"/>
      <c r="AK439" s="11" t="n"/>
    </row>
    <row r="440">
      <c r="A440" s="11" t="n"/>
      <c r="B440" s="11" t="n"/>
      <c r="C440" s="11" t="n"/>
      <c r="D440" s="11" t="n"/>
      <c r="E440" s="11" t="n"/>
      <c r="F440" s="11" t="n"/>
      <c r="G440" s="6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/>
      <c r="AH440" s="11" t="n"/>
      <c r="AI440" s="11" t="n"/>
      <c r="AJ440" s="11" t="n"/>
      <c r="AK440" s="11" t="n"/>
    </row>
    <row r="441">
      <c r="A441" s="11" t="n"/>
      <c r="B441" s="11" t="n"/>
      <c r="C441" s="11" t="n"/>
      <c r="D441" s="11" t="n"/>
      <c r="E441" s="11" t="n"/>
      <c r="F441" s="11" t="n"/>
      <c r="G441" s="6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  <c r="AG441" s="11" t="n"/>
      <c r="AH441" s="11" t="n"/>
      <c r="AI441" s="11" t="n"/>
      <c r="AJ441" s="11" t="n"/>
      <c r="AK441" s="11" t="n"/>
    </row>
    <row r="442">
      <c r="A442" s="11" t="n"/>
      <c r="B442" s="11" t="n"/>
      <c r="C442" s="11" t="n"/>
      <c r="D442" s="11" t="n"/>
      <c r="E442" s="11" t="n"/>
      <c r="F442" s="11" t="n"/>
      <c r="G442" s="6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</row>
    <row r="443">
      <c r="A443" s="11" t="n"/>
      <c r="B443" s="11" t="n"/>
      <c r="C443" s="11" t="n"/>
      <c r="D443" s="11" t="n"/>
      <c r="E443" s="11" t="n"/>
      <c r="F443" s="11" t="n"/>
      <c r="G443" s="6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1" t="n"/>
    </row>
    <row r="444">
      <c r="A444" s="11" t="n"/>
      <c r="B444" s="11" t="n"/>
      <c r="C444" s="11" t="n"/>
      <c r="D444" s="11" t="n"/>
      <c r="E444" s="11" t="n"/>
      <c r="F444" s="11" t="n"/>
      <c r="G444" s="6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  <c r="AG444" s="11" t="n"/>
      <c r="AH444" s="11" t="n"/>
      <c r="AI444" s="11" t="n"/>
      <c r="AJ444" s="11" t="n"/>
      <c r="AK444" s="11" t="n"/>
    </row>
    <row r="445">
      <c r="A445" s="11" t="n"/>
      <c r="B445" s="11" t="n"/>
      <c r="C445" s="11" t="n"/>
      <c r="D445" s="11" t="n"/>
      <c r="E445" s="11" t="n"/>
      <c r="F445" s="11" t="n"/>
      <c r="G445" s="6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/>
      <c r="AI445" s="11" t="n"/>
      <c r="AJ445" s="11" t="n"/>
      <c r="AK445" s="11" t="n"/>
    </row>
    <row r="446">
      <c r="A446" s="11" t="n"/>
      <c r="B446" s="11" t="n"/>
      <c r="C446" s="11" t="n"/>
      <c r="D446" s="11" t="n"/>
      <c r="E446" s="11" t="n"/>
      <c r="F446" s="11" t="n"/>
      <c r="G446" s="6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/>
      <c r="AI446" s="11" t="n"/>
      <c r="AJ446" s="11" t="n"/>
      <c r="AK446" s="11" t="n"/>
    </row>
    <row r="447">
      <c r="A447" s="11" t="n"/>
      <c r="B447" s="11" t="n"/>
      <c r="C447" s="11" t="n"/>
      <c r="D447" s="11" t="n"/>
      <c r="E447" s="11" t="n"/>
      <c r="F447" s="11" t="n"/>
      <c r="G447" s="6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  <c r="AG447" s="11" t="n"/>
      <c r="AH447" s="11" t="n"/>
      <c r="AI447" s="11" t="n"/>
      <c r="AJ447" s="11" t="n"/>
      <c r="AK447" s="11" t="n"/>
    </row>
    <row r="448">
      <c r="A448" s="11" t="n"/>
      <c r="B448" s="11" t="n"/>
      <c r="C448" s="11" t="n"/>
      <c r="D448" s="11" t="n"/>
      <c r="E448" s="11" t="n"/>
      <c r="F448" s="11" t="n"/>
      <c r="G448" s="6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  <c r="AG448" s="11" t="n"/>
      <c r="AH448" s="11" t="n"/>
      <c r="AI448" s="11" t="n"/>
      <c r="AJ448" s="11" t="n"/>
      <c r="AK448" s="11" t="n"/>
    </row>
    <row r="449">
      <c r="A449" s="11" t="n"/>
      <c r="B449" s="11" t="n"/>
      <c r="C449" s="11" t="n"/>
      <c r="D449" s="11" t="n"/>
      <c r="E449" s="11" t="n"/>
      <c r="F449" s="11" t="n"/>
      <c r="G449" s="6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  <c r="AG449" s="11" t="n"/>
      <c r="AH449" s="11" t="n"/>
      <c r="AI449" s="11" t="n"/>
      <c r="AJ449" s="11" t="n"/>
      <c r="AK449" s="11" t="n"/>
    </row>
    <row r="450">
      <c r="A450" s="11" t="n"/>
      <c r="B450" s="11" t="n"/>
      <c r="C450" s="11" t="n"/>
      <c r="D450" s="11" t="n"/>
      <c r="E450" s="11" t="n"/>
      <c r="F450" s="11" t="n"/>
      <c r="G450" s="6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1" t="n"/>
    </row>
    <row r="451">
      <c r="A451" s="11" t="n"/>
      <c r="B451" s="11" t="n"/>
      <c r="C451" s="11" t="n"/>
      <c r="D451" s="11" t="n"/>
      <c r="E451" s="11" t="n"/>
      <c r="F451" s="11" t="n"/>
      <c r="G451" s="6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/>
      <c r="AI451" s="11" t="n"/>
      <c r="AJ451" s="11" t="n"/>
      <c r="AK451" s="11" t="n"/>
    </row>
    <row r="452">
      <c r="A452" s="11" t="n"/>
      <c r="B452" s="11" t="n"/>
      <c r="C452" s="11" t="n"/>
      <c r="D452" s="11" t="n"/>
      <c r="E452" s="11" t="n"/>
      <c r="F452" s="11" t="n"/>
      <c r="G452" s="6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1" t="n"/>
      <c r="AI452" s="11" t="n"/>
      <c r="AJ452" s="11" t="n"/>
      <c r="AK452" s="11" t="n"/>
    </row>
    <row r="453">
      <c r="A453" s="11" t="n"/>
      <c r="B453" s="11" t="n"/>
      <c r="C453" s="11" t="n"/>
      <c r="D453" s="11" t="n"/>
      <c r="E453" s="11" t="n"/>
      <c r="F453" s="11" t="n"/>
      <c r="G453" s="6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1" t="n"/>
      <c r="AI453" s="11" t="n"/>
      <c r="AJ453" s="11" t="n"/>
      <c r="AK453" s="11" t="n"/>
    </row>
    <row r="454">
      <c r="A454" s="11" t="n"/>
      <c r="B454" s="11" t="n"/>
      <c r="C454" s="11" t="n"/>
      <c r="D454" s="11" t="n"/>
      <c r="E454" s="11" t="n"/>
      <c r="F454" s="11" t="n"/>
      <c r="G454" s="6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</row>
    <row r="455">
      <c r="A455" s="11" t="n"/>
      <c r="B455" s="11" t="n"/>
      <c r="C455" s="11" t="n"/>
      <c r="D455" s="11" t="n"/>
      <c r="E455" s="11" t="n"/>
      <c r="F455" s="11" t="n"/>
      <c r="G455" s="6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</row>
    <row r="456">
      <c r="A456" s="11" t="n"/>
      <c r="B456" s="11" t="n"/>
      <c r="C456" s="11" t="n"/>
      <c r="D456" s="11" t="n"/>
      <c r="E456" s="11" t="n"/>
      <c r="F456" s="11" t="n"/>
      <c r="G456" s="6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/>
      <c r="AI456" s="11" t="n"/>
      <c r="AJ456" s="11" t="n"/>
      <c r="AK456" s="11" t="n"/>
    </row>
    <row r="457">
      <c r="A457" s="11" t="n"/>
      <c r="B457" s="11" t="n"/>
      <c r="C457" s="11" t="n"/>
      <c r="D457" s="11" t="n"/>
      <c r="E457" s="11" t="n"/>
      <c r="F457" s="11" t="n"/>
      <c r="G457" s="6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1" t="n"/>
    </row>
    <row r="458">
      <c r="A458" s="11" t="n"/>
      <c r="B458" s="11" t="n"/>
      <c r="C458" s="11" t="n"/>
      <c r="D458" s="11" t="n"/>
      <c r="E458" s="11" t="n"/>
      <c r="F458" s="11" t="n"/>
      <c r="G458" s="6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  <c r="AG458" s="11" t="n"/>
      <c r="AH458" s="11" t="n"/>
      <c r="AI458" s="11" t="n"/>
      <c r="AJ458" s="11" t="n"/>
      <c r="AK458" s="11" t="n"/>
    </row>
    <row r="459">
      <c r="A459" s="11" t="n"/>
      <c r="B459" s="11" t="n"/>
      <c r="C459" s="11" t="n"/>
      <c r="D459" s="11" t="n"/>
      <c r="E459" s="11" t="n"/>
      <c r="F459" s="11" t="n"/>
      <c r="G459" s="6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/>
      <c r="AI459" s="11" t="n"/>
      <c r="AJ459" s="11" t="n"/>
      <c r="AK459" s="11" t="n"/>
    </row>
    <row r="460">
      <c r="A460" s="11" t="n"/>
      <c r="B460" s="11" t="n"/>
      <c r="C460" s="11" t="n"/>
      <c r="D460" s="11" t="n"/>
      <c r="E460" s="11" t="n"/>
      <c r="F460" s="11" t="n"/>
      <c r="G460" s="6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  <c r="AG460" s="11" t="n"/>
      <c r="AH460" s="11" t="n"/>
      <c r="AI460" s="11" t="n"/>
      <c r="AJ460" s="11" t="n"/>
      <c r="AK460" s="11" t="n"/>
    </row>
    <row r="461">
      <c r="A461" s="11" t="n"/>
      <c r="B461" s="11" t="n"/>
      <c r="C461" s="11" t="n"/>
      <c r="D461" s="11" t="n"/>
      <c r="E461" s="11" t="n"/>
      <c r="F461" s="11" t="n"/>
      <c r="G461" s="6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  <c r="AG461" s="11" t="n"/>
      <c r="AH461" s="11" t="n"/>
      <c r="AI461" s="11" t="n"/>
      <c r="AJ461" s="11" t="n"/>
      <c r="AK461" s="11" t="n"/>
    </row>
    <row r="462">
      <c r="A462" s="11" t="n"/>
      <c r="B462" s="11" t="n"/>
      <c r="C462" s="11" t="n"/>
      <c r="D462" s="11" t="n"/>
      <c r="E462" s="11" t="n"/>
      <c r="F462" s="11" t="n"/>
      <c r="G462" s="6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/>
      <c r="AK462" s="11" t="n"/>
    </row>
    <row r="463">
      <c r="A463" s="11" t="n"/>
      <c r="B463" s="11" t="n"/>
      <c r="C463" s="11" t="n"/>
      <c r="D463" s="11" t="n"/>
      <c r="E463" s="11" t="n"/>
      <c r="F463" s="11" t="n"/>
      <c r="G463" s="6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/>
      <c r="AK463" s="11" t="n"/>
    </row>
    <row r="464">
      <c r="A464" s="11" t="n"/>
      <c r="B464" s="11" t="n"/>
      <c r="C464" s="11" t="n"/>
      <c r="D464" s="11" t="n"/>
      <c r="E464" s="11" t="n"/>
      <c r="F464" s="11" t="n"/>
      <c r="G464" s="6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1" t="n"/>
    </row>
    <row r="465">
      <c r="A465" s="11" t="n"/>
      <c r="B465" s="11" t="n"/>
      <c r="C465" s="11" t="n"/>
      <c r="D465" s="11" t="n"/>
      <c r="E465" s="11" t="n"/>
      <c r="F465" s="11" t="n"/>
      <c r="G465" s="6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/>
      <c r="AK465" s="11" t="n"/>
    </row>
    <row r="466">
      <c r="A466" s="11" t="n"/>
      <c r="B466" s="11" t="n"/>
      <c r="C466" s="11" t="n"/>
      <c r="D466" s="11" t="n"/>
      <c r="E466" s="11" t="n"/>
      <c r="F466" s="11" t="n"/>
      <c r="G466" s="6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  <c r="AG466" s="11" t="n"/>
      <c r="AH466" s="11" t="n"/>
      <c r="AI466" s="11" t="n"/>
      <c r="AJ466" s="11" t="n"/>
      <c r="AK466" s="11" t="n"/>
    </row>
    <row r="467">
      <c r="A467" s="11" t="n"/>
      <c r="B467" s="11" t="n"/>
      <c r="C467" s="11" t="n"/>
      <c r="D467" s="11" t="n"/>
      <c r="E467" s="11" t="n"/>
      <c r="F467" s="11" t="n"/>
      <c r="G467" s="6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/>
      <c r="AK467" s="11" t="n"/>
    </row>
    <row r="468">
      <c r="A468" s="11" t="n"/>
      <c r="B468" s="11" t="n"/>
      <c r="C468" s="11" t="n"/>
      <c r="D468" s="11" t="n"/>
      <c r="E468" s="11" t="n"/>
      <c r="F468" s="11" t="n"/>
      <c r="G468" s="6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  <c r="AG468" s="11" t="n"/>
      <c r="AH468" s="11" t="n"/>
      <c r="AI468" s="11" t="n"/>
      <c r="AJ468" s="11" t="n"/>
      <c r="AK468" s="11" t="n"/>
    </row>
    <row r="469">
      <c r="A469" s="11" t="n"/>
      <c r="B469" s="11" t="n"/>
      <c r="C469" s="11" t="n"/>
      <c r="D469" s="11" t="n"/>
      <c r="E469" s="11" t="n"/>
      <c r="F469" s="11" t="n"/>
      <c r="G469" s="6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  <c r="AG469" s="11" t="n"/>
      <c r="AH469" s="11" t="n"/>
      <c r="AI469" s="11" t="n"/>
      <c r="AJ469" s="11" t="n"/>
      <c r="AK469" s="11" t="n"/>
    </row>
    <row r="470">
      <c r="A470" s="11" t="n"/>
      <c r="B470" s="11" t="n"/>
      <c r="C470" s="11" t="n"/>
      <c r="D470" s="11" t="n"/>
      <c r="E470" s="11" t="n"/>
      <c r="F470" s="11" t="n"/>
      <c r="G470" s="6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  <c r="AG470" s="11" t="n"/>
      <c r="AH470" s="11" t="n"/>
      <c r="AI470" s="11" t="n"/>
      <c r="AJ470" s="11" t="n"/>
      <c r="AK470" s="11" t="n"/>
    </row>
    <row r="471">
      <c r="A471" s="11" t="n"/>
      <c r="B471" s="11" t="n"/>
      <c r="C471" s="11" t="n"/>
      <c r="D471" s="11" t="n"/>
      <c r="E471" s="11" t="n"/>
      <c r="F471" s="11" t="n"/>
      <c r="G471" s="6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1" t="n"/>
    </row>
    <row r="472">
      <c r="A472" s="11" t="n"/>
      <c r="B472" s="11" t="n"/>
      <c r="C472" s="11" t="n"/>
      <c r="D472" s="11" t="n"/>
      <c r="E472" s="11" t="n"/>
      <c r="F472" s="11" t="n"/>
      <c r="G472" s="6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  <c r="AG472" s="11" t="n"/>
      <c r="AH472" s="11" t="n"/>
      <c r="AI472" s="11" t="n"/>
      <c r="AJ472" s="11" t="n"/>
      <c r="AK472" s="11" t="n"/>
    </row>
    <row r="473">
      <c r="A473" s="11" t="n"/>
      <c r="B473" s="11" t="n"/>
      <c r="C473" s="11" t="n"/>
      <c r="D473" s="11" t="n"/>
      <c r="E473" s="11" t="n"/>
      <c r="F473" s="11" t="n"/>
      <c r="G473" s="6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/>
    </row>
    <row r="474">
      <c r="A474" s="11" t="n"/>
      <c r="B474" s="11" t="n"/>
      <c r="C474" s="11" t="n"/>
      <c r="D474" s="11" t="n"/>
      <c r="E474" s="11" t="n"/>
      <c r="F474" s="11" t="n"/>
      <c r="G474" s="6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</row>
    <row r="475">
      <c r="A475" s="11" t="n"/>
      <c r="B475" s="11" t="n"/>
      <c r="C475" s="11" t="n"/>
      <c r="D475" s="11" t="n"/>
      <c r="E475" s="11" t="n"/>
      <c r="F475" s="11" t="n"/>
      <c r="G475" s="6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</row>
    <row r="476">
      <c r="A476" s="11" t="n"/>
      <c r="B476" s="11" t="n"/>
      <c r="C476" s="11" t="n"/>
      <c r="D476" s="11" t="n"/>
      <c r="E476" s="11" t="n"/>
      <c r="F476" s="11" t="n"/>
      <c r="G476" s="6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/>
      <c r="AK476" s="11" t="n"/>
    </row>
    <row r="477">
      <c r="A477" s="11" t="n"/>
      <c r="B477" s="11" t="n"/>
      <c r="C477" s="11" t="n"/>
      <c r="D477" s="11" t="n"/>
      <c r="E477" s="11" t="n"/>
      <c r="F477" s="11" t="n"/>
      <c r="G477" s="6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/>
      <c r="AK477" s="11" t="n"/>
    </row>
    <row r="478">
      <c r="A478" s="11" t="n"/>
      <c r="B478" s="11" t="n"/>
      <c r="C478" s="11" t="n"/>
      <c r="D478" s="11" t="n"/>
      <c r="E478" s="11" t="n"/>
      <c r="F478" s="11" t="n"/>
      <c r="G478" s="6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</row>
    <row r="479">
      <c r="A479" s="11" t="n"/>
      <c r="B479" s="11" t="n"/>
      <c r="C479" s="11" t="n"/>
      <c r="D479" s="11" t="n"/>
      <c r="E479" s="11" t="n"/>
      <c r="F479" s="11" t="n"/>
      <c r="G479" s="6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</row>
    <row r="480">
      <c r="A480" s="11" t="n"/>
      <c r="B480" s="11" t="n"/>
      <c r="C480" s="11" t="n"/>
      <c r="D480" s="11" t="n"/>
      <c r="E480" s="11" t="n"/>
      <c r="F480" s="11" t="n"/>
      <c r="G480" s="6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</row>
    <row r="481">
      <c r="A481" s="11" t="n"/>
      <c r="B481" s="11" t="n"/>
      <c r="C481" s="11" t="n"/>
      <c r="D481" s="11" t="n"/>
      <c r="E481" s="11" t="n"/>
      <c r="F481" s="11" t="n"/>
      <c r="G481" s="6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</row>
    <row r="482">
      <c r="A482" s="11" t="n"/>
      <c r="B482" s="11" t="n"/>
      <c r="C482" s="11" t="n"/>
      <c r="D482" s="11" t="n"/>
      <c r="E482" s="11" t="n"/>
      <c r="F482" s="11" t="n"/>
      <c r="G482" s="6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</row>
    <row r="483">
      <c r="A483" s="11" t="n"/>
      <c r="B483" s="11" t="n"/>
      <c r="C483" s="11" t="n"/>
      <c r="D483" s="11" t="n"/>
      <c r="E483" s="11" t="n"/>
      <c r="F483" s="11" t="n"/>
      <c r="G483" s="6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</row>
    <row r="484">
      <c r="A484" s="11" t="n"/>
      <c r="B484" s="11" t="n"/>
      <c r="C484" s="11" t="n"/>
      <c r="D484" s="11" t="n"/>
      <c r="E484" s="11" t="n"/>
      <c r="F484" s="11" t="n"/>
      <c r="G484" s="6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</row>
    <row r="485">
      <c r="A485" s="11" t="n"/>
      <c r="B485" s="11" t="n"/>
      <c r="C485" s="11" t="n"/>
      <c r="D485" s="11" t="n"/>
      <c r="E485" s="11" t="n"/>
      <c r="F485" s="11" t="n"/>
      <c r="G485" s="6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</row>
    <row r="486">
      <c r="A486" s="11" t="n"/>
      <c r="B486" s="11" t="n"/>
      <c r="C486" s="11" t="n"/>
      <c r="D486" s="11" t="n"/>
      <c r="E486" s="11" t="n"/>
      <c r="F486" s="11" t="n"/>
      <c r="G486" s="6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</row>
    <row r="487">
      <c r="A487" s="11" t="n"/>
      <c r="B487" s="11" t="n"/>
      <c r="C487" s="11" t="n"/>
      <c r="D487" s="11" t="n"/>
      <c r="E487" s="11" t="n"/>
      <c r="F487" s="11" t="n"/>
      <c r="G487" s="6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</row>
    <row r="488">
      <c r="A488" s="11" t="n"/>
      <c r="B488" s="11" t="n"/>
      <c r="C488" s="11" t="n"/>
      <c r="D488" s="11" t="n"/>
      <c r="E488" s="11" t="n"/>
      <c r="F488" s="11" t="n"/>
      <c r="G488" s="6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</row>
    <row r="489">
      <c r="A489" s="11" t="n"/>
      <c r="B489" s="11" t="n"/>
      <c r="C489" s="11" t="n"/>
      <c r="D489" s="11" t="n"/>
      <c r="E489" s="11" t="n"/>
      <c r="F489" s="11" t="n"/>
      <c r="G489" s="6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/>
    </row>
    <row r="490">
      <c r="A490" s="11" t="n"/>
      <c r="B490" s="11" t="n"/>
      <c r="C490" s="11" t="n"/>
      <c r="D490" s="11" t="n"/>
      <c r="E490" s="11" t="n"/>
      <c r="F490" s="11" t="n"/>
      <c r="G490" s="6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/>
      <c r="AK490" s="11" t="n"/>
    </row>
    <row r="491">
      <c r="A491" s="11" t="n"/>
      <c r="B491" s="11" t="n"/>
      <c r="C491" s="11" t="n"/>
      <c r="D491" s="11" t="n"/>
      <c r="E491" s="11" t="n"/>
      <c r="F491" s="11" t="n"/>
      <c r="G491" s="6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1" t="n"/>
      <c r="AK491" s="11" t="n"/>
    </row>
    <row r="492">
      <c r="A492" s="11" t="n"/>
      <c r="B492" s="11" t="n"/>
      <c r="C492" s="11" t="n"/>
      <c r="D492" s="11" t="n"/>
      <c r="E492" s="11" t="n"/>
      <c r="F492" s="11" t="n"/>
      <c r="G492" s="6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1" t="n"/>
    </row>
    <row r="493">
      <c r="A493" s="11" t="n"/>
      <c r="B493" s="11" t="n"/>
      <c r="C493" s="11" t="n"/>
      <c r="D493" s="11" t="n"/>
      <c r="E493" s="11" t="n"/>
      <c r="F493" s="11" t="n"/>
      <c r="G493" s="6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/>
      <c r="AK493" s="11" t="n"/>
    </row>
    <row r="494">
      <c r="A494" s="11" t="n"/>
      <c r="B494" s="11" t="n"/>
      <c r="C494" s="11" t="n"/>
      <c r="D494" s="11" t="n"/>
      <c r="E494" s="11" t="n"/>
      <c r="F494" s="11" t="n"/>
      <c r="G494" s="6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</row>
    <row r="495">
      <c r="A495" s="11" t="n"/>
      <c r="B495" s="11" t="n"/>
      <c r="C495" s="11" t="n"/>
      <c r="D495" s="11" t="n"/>
      <c r="E495" s="11" t="n"/>
      <c r="F495" s="11" t="n"/>
      <c r="G495" s="6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</row>
    <row r="496">
      <c r="A496" s="11" t="n"/>
      <c r="B496" s="11" t="n"/>
      <c r="C496" s="11" t="n"/>
      <c r="D496" s="11" t="n"/>
      <c r="E496" s="11" t="n"/>
      <c r="F496" s="11" t="n"/>
      <c r="G496" s="6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</row>
    <row r="497">
      <c r="A497" s="11" t="n"/>
      <c r="B497" s="11" t="n"/>
      <c r="C497" s="11" t="n"/>
      <c r="D497" s="11" t="n"/>
      <c r="E497" s="11" t="n"/>
      <c r="F497" s="11" t="n"/>
      <c r="G497" s="6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/>
    </row>
    <row r="498">
      <c r="A498" s="11" t="n"/>
      <c r="B498" s="11" t="n"/>
      <c r="C498" s="11" t="n"/>
      <c r="D498" s="11" t="n"/>
      <c r="E498" s="11" t="n"/>
      <c r="F498" s="11" t="n"/>
      <c r="G498" s="6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/>
      <c r="AK498" s="11" t="n"/>
    </row>
    <row r="499">
      <c r="A499" s="11" t="n"/>
      <c r="B499" s="11" t="n"/>
      <c r="C499" s="11" t="n"/>
      <c r="D499" s="11" t="n"/>
      <c r="E499" s="11" t="n"/>
      <c r="F499" s="11" t="n"/>
      <c r="G499" s="6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1" t="n"/>
    </row>
    <row r="500">
      <c r="A500" s="11" t="n"/>
      <c r="B500" s="11" t="n"/>
      <c r="C500" s="11" t="n"/>
      <c r="D500" s="11" t="n"/>
      <c r="E500" s="11" t="n"/>
      <c r="F500" s="11" t="n"/>
      <c r="G500" s="6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1" t="n"/>
      <c r="AK500" s="11" t="n"/>
    </row>
  </sheetData>
  <autoFilter ref="A3:AK134"/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O2" sqref="O2"/>
    </sheetView>
  </sheetViews>
  <sheetFormatPr baseColWidth="8" defaultRowHeight="15"/>
  <cols>
    <col width="12" customWidth="1" min="1" max="1"/>
    <col width="12" customWidth="1" style="24" min="2" max="2"/>
    <col width="99.28515625" bestFit="1" customWidth="1" min="3" max="3"/>
    <col width="9.5703125" customWidth="1" min="4" max="4"/>
    <col width="9.140625" customWidth="1" style="23" min="7" max="7"/>
    <col width="9.140625" customWidth="1" style="27" min="8" max="8"/>
  </cols>
  <sheetData>
    <row r="1" ht="90" customHeight="1">
      <c r="A1" s="20" t="inlineStr">
        <is>
          <t>Код единицы продаж</t>
        </is>
      </c>
      <c r="B1" s="20" t="inlineStr">
        <is>
          <t>SU</t>
        </is>
      </c>
      <c r="C1" s="20" t="inlineStr">
        <is>
          <t>Название</t>
        </is>
      </c>
      <c r="D1" s="20" t="inlineStr">
        <is>
          <t>Заказано, кг</t>
        </is>
      </c>
      <c r="E1" s="20" t="inlineStr">
        <is>
          <t>Согласовано, кг</t>
        </is>
      </c>
      <c r="F1" s="20" t="inlineStr">
        <is>
          <t>Отгружено, кг</t>
        </is>
      </c>
      <c r="G1" s="20" t="inlineStr">
        <is>
          <t>Недогруз/урезание, кг</t>
        </is>
      </c>
      <c r="H1" s="25" t="inlineStr">
        <is>
          <t>недогруз</t>
        </is>
      </c>
      <c r="I1" s="20" t="inlineStr">
        <is>
          <t>Единица продажи</t>
        </is>
      </c>
      <c r="J1" s="20" t="inlineStr">
        <is>
          <t>Отгружено в единицах продажи</t>
        </is>
      </c>
      <c r="K1" s="20" t="inlineStr">
        <is>
          <t>Вес единицы товара</t>
        </is>
      </c>
      <c r="L1" s="20" t="inlineStr">
        <is>
          <t>Цена отгрузки за ед.товара</t>
        </is>
      </c>
      <c r="M1" s="20" t="inlineStr">
        <is>
          <t>Сумма отгруженного количества</t>
        </is>
      </c>
    </row>
    <row r="2" ht="30" customHeight="1">
      <c r="A2" s="21" t="inlineStr">
        <is>
          <t xml:space="preserve"> SU000126 </t>
        </is>
      </c>
      <c r="B2" s="21">
        <f>SUBSTITUTE(A2," ","")</f>
        <v/>
      </c>
      <c r="C2" s="21" t="inlineStr">
        <is>
          <t xml:space="preserve"> Ветчины Нежная Особая Особая Весовые П/а Особый рецепт большой батон </t>
        </is>
      </c>
      <c r="D2" s="22" t="inlineStr">
        <is>
          <t xml:space="preserve"> 1 920 </t>
        </is>
      </c>
      <c r="E2" s="22" t="inlineStr">
        <is>
          <t xml:space="preserve"> 1 920 </t>
        </is>
      </c>
      <c r="F2" s="22" t="inlineStr">
        <is>
          <t xml:space="preserve"> 1 925 </t>
        </is>
      </c>
      <c r="G2" s="22" t="inlineStr">
        <is>
          <t xml:space="preserve"> 5 </t>
        </is>
      </c>
      <c r="H2" s="26">
        <f>IF(--SUBSTITUTE(G2," ","")&gt;0,0,--SUBSTITUTE(G2," ",""))</f>
        <v/>
      </c>
      <c r="I2" s="22" t="inlineStr">
        <is>
          <t xml:space="preserve"> кг </t>
        </is>
      </c>
      <c r="J2" s="22" t="inlineStr">
        <is>
          <t xml:space="preserve"> 1 925 </t>
        </is>
      </c>
      <c r="K2" s="22" t="inlineStr">
        <is>
          <t xml:space="preserve"> 1.000 </t>
        </is>
      </c>
      <c r="L2" s="22" t="inlineStr">
        <is>
          <t xml:space="preserve"> 237.93 </t>
        </is>
      </c>
      <c r="M2" s="22" t="inlineStr">
        <is>
          <t xml:space="preserve"> 458 024.05 </t>
        </is>
      </c>
    </row>
    <row r="3" ht="30" customHeight="1">
      <c r="A3" s="21" t="inlineStr">
        <is>
          <t xml:space="preserve"> SU000227 </t>
        </is>
      </c>
      <c r="B3" s="21">
        <f>SUBSTITUTE(A3," ","")</f>
        <v/>
      </c>
      <c r="C3" s="21" t="inlineStr">
        <is>
          <t xml:space="preserve"> Сардельки «Стародворские с говядиной» Весовые NDX ТМ «Стародворье» </t>
        </is>
      </c>
      <c r="D3" s="22" t="inlineStr">
        <is>
          <t xml:space="preserve"> 967 </t>
        </is>
      </c>
      <c r="E3" s="22" t="inlineStr">
        <is>
          <t xml:space="preserve"> 967 </t>
        </is>
      </c>
      <c r="F3" s="22" t="inlineStr">
        <is>
          <t xml:space="preserve"> 972 </t>
        </is>
      </c>
      <c r="G3" s="22" t="inlineStr">
        <is>
          <t xml:space="preserve"> 5 </t>
        </is>
      </c>
      <c r="H3" s="26">
        <f>IF(--SUBSTITUTE(G3," ","")&gt;0,0,--SUBSTITUTE(G3," ",""))</f>
        <v/>
      </c>
      <c r="I3" s="22" t="inlineStr">
        <is>
          <t xml:space="preserve"> кг </t>
        </is>
      </c>
      <c r="J3" s="22" t="inlineStr">
        <is>
          <t xml:space="preserve"> 972 </t>
        </is>
      </c>
      <c r="K3" s="22" t="inlineStr">
        <is>
          <t xml:space="preserve"> 1.000 </t>
        </is>
      </c>
      <c r="L3" s="22" t="inlineStr">
        <is>
          <t xml:space="preserve"> 245.55 </t>
        </is>
      </c>
      <c r="M3" s="22" t="inlineStr">
        <is>
          <t xml:space="preserve"> 238 676.81 </t>
        </is>
      </c>
    </row>
    <row r="4" ht="30" customHeight="1">
      <c r="A4" s="21" t="inlineStr">
        <is>
          <t xml:space="preserve"> SU000722 </t>
        </is>
      </c>
      <c r="B4" s="21">
        <f>SUBSTITUTE(A4," ","")</f>
        <v/>
      </c>
      <c r="C4" s="21" t="inlineStr">
        <is>
          <t xml:space="preserve"> Вареные колбасы Докторская ГОСТ Вязанка Весовые Вектор Вязанка </t>
        </is>
      </c>
      <c r="D4" s="22" t="inlineStr">
        <is>
          <t xml:space="preserve"> 1 307 </t>
        </is>
      </c>
      <c r="E4" s="22" t="inlineStr">
        <is>
          <t xml:space="preserve"> 1 307 </t>
        </is>
      </c>
      <c r="F4" s="22" t="inlineStr">
        <is>
          <t xml:space="preserve"> 1 309 </t>
        </is>
      </c>
      <c r="G4" s="22" t="inlineStr">
        <is>
          <t xml:space="preserve"> 2 </t>
        </is>
      </c>
      <c r="H4" s="26">
        <f>IF(--SUBSTITUTE(G4," ","")&gt;0,0,--SUBSTITUTE(G4," ",""))</f>
        <v/>
      </c>
      <c r="I4" s="22" t="inlineStr">
        <is>
          <t xml:space="preserve"> кг </t>
        </is>
      </c>
      <c r="J4" s="22" t="inlineStr">
        <is>
          <t xml:space="preserve"> 1 309 </t>
        </is>
      </c>
      <c r="K4" s="22" t="inlineStr">
        <is>
          <t xml:space="preserve"> 1.000 </t>
        </is>
      </c>
      <c r="L4" s="22" t="inlineStr">
        <is>
          <t xml:space="preserve"> 315.43 </t>
        </is>
      </c>
      <c r="M4" s="22" t="inlineStr">
        <is>
          <t xml:space="preserve"> 412 763.50 </t>
        </is>
      </c>
    </row>
    <row r="5" ht="30" customHeight="1">
      <c r="A5" s="21" t="inlineStr">
        <is>
          <t xml:space="preserve"> SU001430 </t>
        </is>
      </c>
      <c r="B5" s="21">
        <f>SUBSTITUTE(A5," ","")</f>
        <v/>
      </c>
      <c r="C5" s="21" t="inlineStr">
        <is>
          <t xml:space="preserve"> Сардельки «Шпикачки Стародворские» Весовой NDX ТМ «Стародворье» </t>
        </is>
      </c>
      <c r="D5" s="22" t="inlineStr">
        <is>
          <t xml:space="preserve"> 76 </t>
        </is>
      </c>
      <c r="E5" s="22" t="inlineStr">
        <is>
          <t xml:space="preserve"> 76 </t>
        </is>
      </c>
      <c r="F5" s="22" t="inlineStr">
        <is>
          <t xml:space="preserve"> 78 </t>
        </is>
      </c>
      <c r="G5" s="22" t="inlineStr">
        <is>
          <t xml:space="preserve"> 2 </t>
        </is>
      </c>
      <c r="H5" s="26">
        <f>IF(--SUBSTITUTE(G5," ","")&gt;0,0,--SUBSTITUTE(G5," ",""))</f>
        <v/>
      </c>
      <c r="I5" s="22" t="inlineStr">
        <is>
          <t xml:space="preserve"> кг </t>
        </is>
      </c>
      <c r="J5" s="22" t="inlineStr">
        <is>
          <t xml:space="preserve"> 78 </t>
        </is>
      </c>
      <c r="K5" s="22" t="inlineStr">
        <is>
          <t xml:space="preserve"> 1.000 </t>
        </is>
      </c>
      <c r="L5" s="22" t="inlineStr">
        <is>
          <t xml:space="preserve"> 247.05 </t>
        </is>
      </c>
      <c r="M5" s="22" t="inlineStr">
        <is>
          <t xml:space="preserve"> 19 241.24 </t>
        </is>
      </c>
    </row>
    <row r="6" ht="30" customHeight="1">
      <c r="A6" s="21" t="inlineStr">
        <is>
          <t xml:space="preserve"> SU001523 </t>
        </is>
      </c>
      <c r="B6" s="21">
        <f>SUBSTITUTE(A6," ","")</f>
        <v/>
      </c>
      <c r="C6" s="21" t="inlineStr">
        <is>
          <t xml:space="preserve"> Сосиски «Молокуши (Вязанка Молочные)» Весовой п/а мгс ТМ «Вязанка» </t>
        </is>
      </c>
      <c r="D6" s="22" t="inlineStr">
        <is>
          <t xml:space="preserve"> 737 </t>
        </is>
      </c>
      <c r="E6" s="22" t="inlineStr">
        <is>
          <t xml:space="preserve"> 737 </t>
        </is>
      </c>
      <c r="F6" s="22" t="inlineStr">
        <is>
          <t xml:space="preserve"> 738 </t>
        </is>
      </c>
      <c r="G6" s="22" t="inlineStr">
        <is>
          <t xml:space="preserve"> 1 </t>
        </is>
      </c>
      <c r="H6" s="26">
        <f>IF(--SUBSTITUTE(G6," ","")&gt;0,0,--SUBSTITUTE(G6," ",""))</f>
        <v/>
      </c>
      <c r="I6" s="22" t="inlineStr">
        <is>
          <t xml:space="preserve"> кг </t>
        </is>
      </c>
      <c r="J6" s="22" t="inlineStr">
        <is>
          <t xml:space="preserve"> 738 </t>
        </is>
      </c>
      <c r="K6" s="22" t="inlineStr">
        <is>
          <t xml:space="preserve"> 1.000 </t>
        </is>
      </c>
      <c r="L6" s="22" t="inlineStr">
        <is>
          <t xml:space="preserve"> 270.85 </t>
        </is>
      </c>
      <c r="M6" s="22" t="inlineStr">
        <is>
          <t xml:space="preserve"> 199 903.55 </t>
        </is>
      </c>
    </row>
    <row r="7" ht="30" customHeight="1">
      <c r="A7" s="21" t="inlineStr">
        <is>
          <t xml:space="preserve"> SU001718 </t>
        </is>
      </c>
      <c r="B7" s="21">
        <f>SUBSTITUTE(A7," ","")</f>
        <v/>
      </c>
      <c r="C7" s="21" t="inlineStr">
        <is>
          <t xml:space="preserve"> Сосиски «Молокуши» ф/в 0,45 п/а мгс ТМ «Вязанка» </t>
        </is>
      </c>
      <c r="D7" s="22" t="inlineStr">
        <is>
          <t xml:space="preserve"> 132 </t>
        </is>
      </c>
      <c r="E7" s="22" t="inlineStr">
        <is>
          <t xml:space="preserve"> 132 </t>
        </is>
      </c>
      <c r="F7" s="22" t="inlineStr">
        <is>
          <t xml:space="preserve"> 132 </t>
        </is>
      </c>
      <c r="G7" s="22" t="inlineStr">
        <is>
          <t xml:space="preserve"> 0 </t>
        </is>
      </c>
      <c r="H7" s="26">
        <f>IF(--SUBSTITUTE(G7," ","")&gt;0,0,--SUBSTITUTE(G7," ",""))</f>
        <v/>
      </c>
      <c r="I7" s="22" t="inlineStr">
        <is>
          <t xml:space="preserve"> шт </t>
        </is>
      </c>
      <c r="J7" s="22" t="inlineStr">
        <is>
          <t xml:space="preserve"> 294 </t>
        </is>
      </c>
      <c r="K7" s="22" t="inlineStr">
        <is>
          <t xml:space="preserve"> 0.450 </t>
        </is>
      </c>
      <c r="L7" s="22" t="inlineStr">
        <is>
          <t xml:space="preserve"> 138.30 </t>
        </is>
      </c>
      <c r="M7" s="22" t="inlineStr">
        <is>
          <t xml:space="preserve"> 40 660.20 </t>
        </is>
      </c>
    </row>
    <row r="8" ht="30" customHeight="1">
      <c r="A8" s="21" t="inlineStr">
        <is>
          <t xml:space="preserve"> SU001720 </t>
        </is>
      </c>
      <c r="B8" s="21">
        <f>SUBSTITUTE(A8," ","")</f>
        <v/>
      </c>
      <c r="C8" s="21" t="inlineStr">
        <is>
          <t xml:space="preserve"> Сосиски «Сливочные» ф/в 0,45 п/а мгс ТМ «Вязанка» </t>
        </is>
      </c>
      <c r="D8" s="22" t="inlineStr">
        <is>
          <t xml:space="preserve"> 329 </t>
        </is>
      </c>
      <c r="E8" s="22" t="inlineStr">
        <is>
          <t xml:space="preserve"> 329 </t>
        </is>
      </c>
      <c r="F8" s="22" t="inlineStr">
        <is>
          <t xml:space="preserve"> 329 </t>
        </is>
      </c>
      <c r="G8" s="22" t="inlineStr">
        <is>
          <t xml:space="preserve"> 0 </t>
        </is>
      </c>
      <c r="H8" s="26">
        <f>IF(--SUBSTITUTE(G8," ","")&gt;0,0,--SUBSTITUTE(G8," ",""))</f>
        <v/>
      </c>
      <c r="I8" s="22" t="inlineStr">
        <is>
          <t xml:space="preserve"> шт </t>
        </is>
      </c>
      <c r="J8" s="22" t="inlineStr">
        <is>
          <t xml:space="preserve"> 732 </t>
        </is>
      </c>
      <c r="K8" s="22" t="inlineStr">
        <is>
          <t xml:space="preserve"> 0.450 </t>
        </is>
      </c>
      <c r="L8" s="22" t="inlineStr">
        <is>
          <t xml:space="preserve"> 138.77 </t>
        </is>
      </c>
      <c r="M8" s="22" t="inlineStr">
        <is>
          <t xml:space="preserve"> 101 579.64 </t>
        </is>
      </c>
    </row>
    <row r="9" ht="30" customHeight="1">
      <c r="A9" s="21" t="inlineStr">
        <is>
          <t xml:space="preserve"> SU001721 </t>
        </is>
      </c>
      <c r="B9" s="21">
        <f>SUBSTITUTE(A9," ","")</f>
        <v/>
      </c>
      <c r="C9" s="21" t="inlineStr">
        <is>
          <t xml:space="preserve"> Сосиски «Сливочные Вязанка» Весовой п/а мгс ТМ «Вязанка» </t>
        </is>
      </c>
      <c r="D9" s="22" t="inlineStr">
        <is>
          <t xml:space="preserve"> 535 </t>
        </is>
      </c>
      <c r="E9" s="22" t="inlineStr">
        <is>
          <t xml:space="preserve"> 535 </t>
        </is>
      </c>
      <c r="F9" s="22" t="inlineStr">
        <is>
          <t xml:space="preserve"> 539 </t>
        </is>
      </c>
      <c r="G9" s="22" t="inlineStr">
        <is>
          <t xml:space="preserve"> 4 </t>
        </is>
      </c>
      <c r="H9" s="26">
        <f>IF(--SUBSTITUTE(G9," ","")&gt;0,0,--SUBSTITUTE(G9," ",""))</f>
        <v/>
      </c>
      <c r="I9" s="22" t="inlineStr">
        <is>
          <t xml:space="preserve"> кг </t>
        </is>
      </c>
      <c r="J9" s="22" t="inlineStr">
        <is>
          <t xml:space="preserve"> 539 </t>
        </is>
      </c>
      <c r="K9" s="22" t="inlineStr">
        <is>
          <t xml:space="preserve"> 1.000 </t>
        </is>
      </c>
      <c r="L9" s="22" t="inlineStr">
        <is>
          <t xml:space="preserve"> 284.43 </t>
        </is>
      </c>
      <c r="M9" s="22" t="inlineStr">
        <is>
          <t xml:space="preserve"> 153 269.37 </t>
        </is>
      </c>
    </row>
    <row r="10" ht="30" customHeight="1">
      <c r="A10" s="21" t="inlineStr">
        <is>
          <t xml:space="preserve"> SU001822 </t>
        </is>
      </c>
      <c r="B10" s="21">
        <f>SUBSTITUTE(A10," ","")</f>
        <v/>
      </c>
      <c r="C10" s="21" t="inlineStr">
        <is>
          <t xml:space="preserve"> В/к колбасы Кремлевский Бордо Весовые Фиброуз в/у Стародворье </t>
        </is>
      </c>
      <c r="D10" s="22" t="inlineStr">
        <is>
          <t xml:space="preserve"> 46 </t>
        </is>
      </c>
      <c r="E10" s="22" t="inlineStr">
        <is>
          <t xml:space="preserve"> 46 </t>
        </is>
      </c>
      <c r="F10" s="22" t="inlineStr">
        <is>
          <t xml:space="preserve"> 48 </t>
        </is>
      </c>
      <c r="G10" s="22" t="inlineStr">
        <is>
          <t xml:space="preserve"> 2 </t>
        </is>
      </c>
      <c r="H10" s="26">
        <f>IF(--SUBSTITUTE(G10," ","")&gt;0,0,--SUBSTITUTE(G10," ",""))</f>
        <v/>
      </c>
      <c r="I10" s="22" t="inlineStr">
        <is>
          <t xml:space="preserve"> кг </t>
        </is>
      </c>
      <c r="J10" s="22" t="inlineStr">
        <is>
          <t xml:space="preserve"> 48 </t>
        </is>
      </c>
      <c r="K10" s="22" t="inlineStr">
        <is>
          <t xml:space="preserve"> 1.000 </t>
        </is>
      </c>
      <c r="L10" s="22" t="inlineStr">
        <is>
          <t xml:space="preserve"> 296.44 </t>
        </is>
      </c>
      <c r="M10" s="22" t="inlineStr">
        <is>
          <t xml:space="preserve"> 14 083.27 </t>
        </is>
      </c>
    </row>
    <row r="11" ht="30" customHeight="1">
      <c r="A11" s="21" t="inlineStr">
        <is>
          <t xml:space="preserve"> SU002010 </t>
        </is>
      </c>
      <c r="B11" s="21">
        <f>SUBSTITUTE(A11," ","")</f>
        <v/>
      </c>
      <c r="C11" s="21" t="inlineStr">
        <is>
          <t xml:space="preserve"> Вареные колбасы «Молочная Дугушка» Весовые Вектор ТМ «Дугушка» </t>
        </is>
      </c>
      <c r="D11" s="22" t="inlineStr">
        <is>
          <t xml:space="preserve"> 713 </t>
        </is>
      </c>
      <c r="E11" s="22" t="inlineStr">
        <is>
          <t xml:space="preserve"> 713 </t>
        </is>
      </c>
      <c r="F11" s="22" t="inlineStr">
        <is>
          <t xml:space="preserve"> 714 </t>
        </is>
      </c>
      <c r="G11" s="22" t="inlineStr">
        <is>
          <t xml:space="preserve"> 1 </t>
        </is>
      </c>
      <c r="H11" s="26">
        <f>IF(--SUBSTITUTE(G11," ","")&gt;0,0,--SUBSTITUTE(G11," ",""))</f>
        <v/>
      </c>
      <c r="I11" s="22" t="inlineStr">
        <is>
          <t xml:space="preserve"> кг </t>
        </is>
      </c>
      <c r="J11" s="22" t="inlineStr">
        <is>
          <t xml:space="preserve"> 714 </t>
        </is>
      </c>
      <c r="K11" s="22" t="inlineStr">
        <is>
          <t xml:space="preserve"> 1.000 </t>
        </is>
      </c>
      <c r="L11" s="22" t="inlineStr">
        <is>
          <t xml:space="preserve"> 240.43 </t>
        </is>
      </c>
      <c r="M11" s="22" t="inlineStr">
        <is>
          <t xml:space="preserve"> 171 640.09 </t>
        </is>
      </c>
    </row>
    <row r="12" ht="30" customHeight="1">
      <c r="A12" s="21" t="inlineStr">
        <is>
          <t xml:space="preserve"> SU002035 </t>
        </is>
      </c>
      <c r="B12" s="21">
        <f>SUBSTITUTE(A12," ","")</f>
        <v/>
      </c>
      <c r="C12" s="21" t="inlineStr">
        <is>
          <t xml:space="preserve"> Ветчины Дугушка Дугушка Вес б/о Дугушка </t>
        </is>
      </c>
      <c r="D12" s="22" t="inlineStr">
        <is>
          <t xml:space="preserve"> 296 </t>
        </is>
      </c>
      <c r="E12" s="22" t="inlineStr">
        <is>
          <t xml:space="preserve"> 296 </t>
        </is>
      </c>
      <c r="F12" s="22" t="inlineStr">
        <is>
          <t xml:space="preserve"> 298 </t>
        </is>
      </c>
      <c r="G12" s="22" t="inlineStr">
        <is>
          <t xml:space="preserve"> 2 </t>
        </is>
      </c>
      <c r="H12" s="26">
        <f>IF(--SUBSTITUTE(G12," ","")&gt;0,0,--SUBSTITUTE(G12," ",""))</f>
        <v/>
      </c>
      <c r="I12" s="22" t="inlineStr">
        <is>
          <t xml:space="preserve"> кг </t>
        </is>
      </c>
      <c r="J12" s="22" t="inlineStr">
        <is>
          <t xml:space="preserve"> 298 </t>
        </is>
      </c>
      <c r="K12" s="22" t="inlineStr">
        <is>
          <t xml:space="preserve"> 1.000 </t>
        </is>
      </c>
      <c r="L12" s="22" t="inlineStr">
        <is>
          <t xml:space="preserve"> 273.46 </t>
        </is>
      </c>
      <c r="M12" s="22" t="inlineStr">
        <is>
          <t xml:space="preserve"> 81 572.30 </t>
        </is>
      </c>
    </row>
    <row r="13" ht="30" customHeight="1">
      <c r="A13" s="21" t="inlineStr">
        <is>
          <t xml:space="preserve"> SU002074 </t>
        </is>
      </c>
      <c r="B13" s="21">
        <f>SUBSTITUTE(A13," ","")</f>
        <v/>
      </c>
      <c r="C13" s="21" t="inlineStr">
        <is>
          <t xml:space="preserve"> Сосиски «Молочные для завтрака» Весовой п/а ТМ «Особый рецепт» </t>
        </is>
      </c>
      <c r="D13" s="22" t="inlineStr">
        <is>
          <t xml:space="preserve"> 747 </t>
        </is>
      </c>
      <c r="E13" s="22" t="inlineStr">
        <is>
          <t xml:space="preserve"> 747 </t>
        </is>
      </c>
      <c r="F13" s="22" t="inlineStr">
        <is>
          <t xml:space="preserve"> 754 </t>
        </is>
      </c>
      <c r="G13" s="22" t="inlineStr">
        <is>
          <t xml:space="preserve"> 7 </t>
        </is>
      </c>
      <c r="H13" s="26">
        <f>IF(--SUBSTITUTE(G13," ","")&gt;0,0,--SUBSTITUTE(G13," ",""))</f>
        <v/>
      </c>
      <c r="I13" s="22" t="inlineStr">
        <is>
          <t xml:space="preserve"> кг </t>
        </is>
      </c>
      <c r="J13" s="22" t="inlineStr">
        <is>
          <t xml:space="preserve"> 754 </t>
        </is>
      </c>
      <c r="K13" s="22" t="inlineStr">
        <is>
          <t xml:space="preserve"> 1.000 </t>
        </is>
      </c>
      <c r="L13" s="22" t="inlineStr">
        <is>
          <t xml:space="preserve"> 205.06 </t>
        </is>
      </c>
      <c r="M13" s="22" t="inlineStr">
        <is>
          <t xml:space="preserve"> 154 654.61 </t>
        </is>
      </c>
    </row>
    <row r="14" ht="30" customHeight="1">
      <c r="A14" s="21" t="inlineStr">
        <is>
          <t xml:space="preserve"> SU002151 </t>
        </is>
      </c>
      <c r="B14" s="21">
        <f>SUBSTITUTE(A14," ","")</f>
        <v/>
      </c>
      <c r="C14" s="21" t="inlineStr">
        <is>
          <t xml:space="preserve"> В/к колбасы «Сервелат Запеченный» Весовые Вектор ТМ «Дугушка» </t>
        </is>
      </c>
      <c r="D14" s="22" t="inlineStr">
        <is>
          <t xml:space="preserve"> 370 </t>
        </is>
      </c>
      <c r="E14" s="22" t="inlineStr">
        <is>
          <t xml:space="preserve"> 370 </t>
        </is>
      </c>
      <c r="F14" s="22" t="inlineStr">
        <is>
          <t xml:space="preserve"> 369 </t>
        </is>
      </c>
      <c r="G14" s="22" t="inlineStr">
        <is>
          <t xml:space="preserve"> -1 </t>
        </is>
      </c>
      <c r="H14" s="26">
        <f>IF(--SUBSTITUTE(G14," ","")&gt;0,0,--SUBSTITUTE(G14," ",""))</f>
        <v/>
      </c>
      <c r="I14" s="22" t="inlineStr">
        <is>
          <t xml:space="preserve"> кг </t>
        </is>
      </c>
      <c r="J14" s="22" t="inlineStr">
        <is>
          <t xml:space="preserve"> 369 </t>
        </is>
      </c>
      <c r="K14" s="22" t="inlineStr">
        <is>
          <t xml:space="preserve"> 1.000 </t>
        </is>
      </c>
      <c r="L14" s="22" t="inlineStr">
        <is>
          <t xml:space="preserve"> 285.29 </t>
        </is>
      </c>
      <c r="M14" s="22" t="inlineStr">
        <is>
          <t xml:space="preserve"> 105 239.20 </t>
        </is>
      </c>
    </row>
    <row r="15" ht="30" customHeight="1">
      <c r="A15" s="21" t="inlineStr">
        <is>
          <t xml:space="preserve"> SU002158 </t>
        </is>
      </c>
      <c r="B15" s="21">
        <f>SUBSTITUTE(A15," ","")</f>
        <v/>
      </c>
      <c r="C15" s="21" t="inlineStr">
        <is>
          <t xml:space="preserve"> В/к колбасы «Салями Запеченая» Весовые ТМ «Дугушка» </t>
        </is>
      </c>
      <c r="D15" s="22" t="inlineStr">
        <is>
          <t xml:space="preserve"> 243 </t>
        </is>
      </c>
      <c r="E15" s="22" t="inlineStr">
        <is>
          <t xml:space="preserve"> 243 </t>
        </is>
      </c>
      <c r="F15" s="22" t="inlineStr">
        <is>
          <t xml:space="preserve"> 247 </t>
        </is>
      </c>
      <c r="G15" s="22" t="inlineStr">
        <is>
          <t xml:space="preserve"> 4 </t>
        </is>
      </c>
      <c r="H15" s="26">
        <f>IF(--SUBSTITUTE(G15," ","")&gt;0,0,--SUBSTITUTE(G15," ",""))</f>
        <v/>
      </c>
      <c r="I15" s="22" t="inlineStr">
        <is>
          <t xml:space="preserve"> кг </t>
        </is>
      </c>
      <c r="J15" s="22" t="inlineStr">
        <is>
          <t xml:space="preserve"> 247 </t>
        </is>
      </c>
      <c r="K15" s="22" t="inlineStr">
        <is>
          <t xml:space="preserve"> 1.000 </t>
        </is>
      </c>
      <c r="L15" s="22" t="inlineStr">
        <is>
          <t xml:space="preserve"> 302.11 </t>
        </is>
      </c>
      <c r="M15" s="22" t="inlineStr">
        <is>
          <t xml:space="preserve"> 74 637.18 </t>
        </is>
      </c>
    </row>
    <row r="16">
      <c r="A16" s="21" t="inlineStr">
        <is>
          <t xml:space="preserve"> SU002205 </t>
        </is>
      </c>
      <c r="B16" s="21">
        <f>SUBSTITUTE(A16," ","")</f>
        <v/>
      </c>
      <c r="C16" s="21" t="inlineStr">
        <is>
          <t xml:space="preserve"> Сосиски «Молочные для завтрака» Фикс.вес 0,4 П/а мгс ТМ «Особый рецепт» </t>
        </is>
      </c>
      <c r="D16" s="22" t="inlineStr">
        <is>
          <t xml:space="preserve"> 5 </t>
        </is>
      </c>
      <c r="E16" s="22" t="inlineStr">
        <is>
          <t xml:space="preserve"> 0 </t>
        </is>
      </c>
      <c r="F16" s="22" t="inlineStr">
        <is>
          <t xml:space="preserve"> 0 </t>
        </is>
      </c>
      <c r="G16" s="22" t="inlineStr">
        <is>
          <t xml:space="preserve"> -5 </t>
        </is>
      </c>
      <c r="H16" s="26">
        <f>IF(--SUBSTITUTE(G16," ","")&gt;0,0,--SUBSTITUTE(G16," ",""))</f>
        <v/>
      </c>
      <c r="I16" s="22" t="inlineStr">
        <is>
          <t xml:space="preserve"> шт </t>
        </is>
      </c>
      <c r="J16" s="22" t="inlineStr">
        <is>
          <t xml:space="preserve"> 0 </t>
        </is>
      </c>
      <c r="K16" s="22" t="inlineStr">
        <is>
          <t xml:space="preserve"> 0.400 </t>
        </is>
      </c>
      <c r="L16" s="22" t="inlineStr">
        <is>
          <t xml:space="preserve"> 97.19 </t>
        </is>
      </c>
      <c r="M16" s="22" t="inlineStr">
        <is>
          <t xml:space="preserve"> 0.00 </t>
        </is>
      </c>
    </row>
    <row r="17">
      <c r="A17" s="21" t="inlineStr">
        <is>
          <t xml:space="preserve"> SU002287 </t>
        </is>
      </c>
      <c r="B17" s="21">
        <f>SUBSTITUTE(A17," ","")</f>
        <v/>
      </c>
      <c r="C17" s="21" t="inlineStr">
        <is>
          <t xml:space="preserve"> Сардельки «Сочные» Весовой п/а ТМ «Особый рецепт» </t>
        </is>
      </c>
      <c r="D17" s="22" t="inlineStr">
        <is>
          <t xml:space="preserve"> 54 </t>
        </is>
      </c>
      <c r="E17" s="22" t="inlineStr">
        <is>
          <t xml:space="preserve"> 0 </t>
        </is>
      </c>
      <c r="F17" s="22" t="inlineStr">
        <is>
          <t xml:space="preserve"> 0 </t>
        </is>
      </c>
      <c r="G17" s="22" t="inlineStr">
        <is>
          <t xml:space="preserve"> -54 </t>
        </is>
      </c>
      <c r="H17" s="26">
        <f>IF(--SUBSTITUTE(G17," ","")&gt;0,0,--SUBSTITUTE(G17," ",""))</f>
        <v/>
      </c>
      <c r="I17" s="22" t="inlineStr">
        <is>
          <t xml:space="preserve"> кг </t>
        </is>
      </c>
      <c r="J17" s="22" t="inlineStr">
        <is>
          <t xml:space="preserve"> 0 </t>
        </is>
      </c>
      <c r="K17" s="22" t="inlineStr">
        <is>
          <t xml:space="preserve"> 1.000 </t>
        </is>
      </c>
      <c r="L17" s="22" t="inlineStr">
        <is>
          <t xml:space="preserve"> 199.26 </t>
        </is>
      </c>
      <c r="M17" s="22" t="inlineStr">
        <is>
          <t xml:space="preserve"> 0.00 </t>
        </is>
      </c>
    </row>
    <row r="18" ht="30" customHeight="1">
      <c r="A18" s="21" t="inlineStr">
        <is>
          <t xml:space="preserve"> SU002618 </t>
        </is>
      </c>
      <c r="B18" s="21">
        <f>SUBSTITUTE(A18," ","")</f>
        <v/>
      </c>
      <c r="C18" s="21" t="inlineStr">
        <is>
          <t xml:space="preserve"> Сосиски «Сочинки с сочной грудинкой» Фикс.вес 0,4 П/а мгс ТМ «Стародворье» </t>
        </is>
      </c>
      <c r="D18" s="22" t="inlineStr">
        <is>
          <t xml:space="preserve"> 401 </t>
        </is>
      </c>
      <c r="E18" s="22" t="inlineStr">
        <is>
          <t xml:space="preserve"> 401 </t>
        </is>
      </c>
      <c r="F18" s="22" t="inlineStr">
        <is>
          <t xml:space="preserve"> 401 </t>
        </is>
      </c>
      <c r="G18" s="22" t="inlineStr">
        <is>
          <t xml:space="preserve"> 0 </t>
        </is>
      </c>
      <c r="H18" s="26">
        <f>IF(--SUBSTITUTE(G18," ","")&gt;0,0,--SUBSTITUTE(G18," ",""))</f>
        <v/>
      </c>
      <c r="I18" s="22" t="inlineStr">
        <is>
          <t xml:space="preserve"> шт </t>
        </is>
      </c>
      <c r="J18" s="22" t="inlineStr">
        <is>
          <t xml:space="preserve"> 1 002 </t>
        </is>
      </c>
      <c r="K18" s="22" t="inlineStr">
        <is>
          <t xml:space="preserve"> 0.400 </t>
        </is>
      </c>
      <c r="L18" s="22" t="inlineStr">
        <is>
          <t xml:space="preserve"> 93.12 </t>
        </is>
      </c>
      <c r="M18" s="22" t="inlineStr">
        <is>
          <t xml:space="preserve"> 93 306.24 </t>
        </is>
      </c>
    </row>
    <row r="19" ht="30" customHeight="1">
      <c r="A19" s="21" t="inlineStr">
        <is>
          <t xml:space="preserve"> SU002621 </t>
        </is>
      </c>
      <c r="B19" s="21">
        <f>SUBSTITUTE(A19," ","")</f>
        <v/>
      </c>
      <c r="C19" s="21" t="inlineStr">
        <is>
          <t xml:space="preserve"> Сосиски «Сочинки с сочным окороком» Фикс.вес 0,4 П/а мгс ТМ «Стародворье» </t>
        </is>
      </c>
      <c r="D19" s="22" t="inlineStr">
        <is>
          <t xml:space="preserve"> 82 </t>
        </is>
      </c>
      <c r="E19" s="22" t="inlineStr">
        <is>
          <t xml:space="preserve"> 82 </t>
        </is>
      </c>
      <c r="F19" s="22" t="inlineStr">
        <is>
          <t xml:space="preserve"> 82 </t>
        </is>
      </c>
      <c r="G19" s="22" t="inlineStr">
        <is>
          <t xml:space="preserve"> 0 </t>
        </is>
      </c>
      <c r="H19" s="26">
        <f>IF(--SUBSTITUTE(G19," ","")&gt;0,0,--SUBSTITUTE(G19," ",""))</f>
        <v/>
      </c>
      <c r="I19" s="22" t="inlineStr">
        <is>
          <t xml:space="preserve"> шт </t>
        </is>
      </c>
      <c r="J19" s="22" t="inlineStr">
        <is>
          <t xml:space="preserve"> 204 </t>
        </is>
      </c>
      <c r="K19" s="22" t="inlineStr">
        <is>
          <t xml:space="preserve"> 0.400 </t>
        </is>
      </c>
      <c r="L19" s="22" t="inlineStr">
        <is>
          <t xml:space="preserve"> 93.12 </t>
        </is>
      </c>
      <c r="M19" s="22" t="inlineStr">
        <is>
          <t xml:space="preserve"> 18 996.48 </t>
        </is>
      </c>
    </row>
    <row r="20" ht="30" customHeight="1">
      <c r="A20" s="21" t="inlineStr">
        <is>
          <t xml:space="preserve"> SU002634 </t>
        </is>
      </c>
      <c r="B20" s="21">
        <f>SUBSTITUTE(A20," ","")</f>
        <v/>
      </c>
      <c r="C20" s="21" t="inlineStr">
        <is>
          <t xml:space="preserve"> Вареные колбасы «Дугушка Стародворская» Вес п/а ТМ «Дугушка» </t>
        </is>
      </c>
      <c r="D20" s="22" t="inlineStr">
        <is>
          <t xml:space="preserve"> 486 </t>
        </is>
      </c>
      <c r="E20" s="22" t="inlineStr">
        <is>
          <t xml:space="preserve"> 486 </t>
        </is>
      </c>
      <c r="F20" s="22" t="inlineStr">
        <is>
          <t xml:space="preserve"> 489 </t>
        </is>
      </c>
      <c r="G20" s="22" t="inlineStr">
        <is>
          <t xml:space="preserve"> 3 </t>
        </is>
      </c>
      <c r="H20" s="26">
        <f>IF(--SUBSTITUTE(G20," ","")&gt;0,0,--SUBSTITUTE(G20," ",""))</f>
        <v/>
      </c>
      <c r="I20" s="22" t="inlineStr">
        <is>
          <t xml:space="preserve"> кг </t>
        </is>
      </c>
      <c r="J20" s="22" t="inlineStr">
        <is>
          <t xml:space="preserve"> 489 </t>
        </is>
      </c>
      <c r="K20" s="22" t="inlineStr">
        <is>
          <t xml:space="preserve"> 1.000 </t>
        </is>
      </c>
      <c r="L20" s="22" t="inlineStr">
        <is>
          <t xml:space="preserve"> 220.42 </t>
        </is>
      </c>
      <c r="M20" s="22" t="inlineStr">
        <is>
          <t xml:space="preserve"> 107 836.08 </t>
        </is>
      </c>
    </row>
    <row r="21">
      <c r="A21" s="21" t="inlineStr">
        <is>
          <t xml:space="preserve"> SU002655 </t>
        </is>
      </c>
      <c r="B21" s="21">
        <f>SUBSTITUTE(A21," ","")</f>
        <v/>
      </c>
      <c r="C21" s="21" t="inlineStr">
        <is>
          <t xml:space="preserve"> Сосиски «Датские» Весовой п/а ТМ «Зареченские продукты» </t>
        </is>
      </c>
      <c r="D21" s="22" t="inlineStr">
        <is>
          <t xml:space="preserve"> 27 </t>
        </is>
      </c>
      <c r="E21" s="22" t="inlineStr">
        <is>
          <t xml:space="preserve"> 0 </t>
        </is>
      </c>
      <c r="F21" s="22" t="inlineStr">
        <is>
          <t xml:space="preserve"> 0 </t>
        </is>
      </c>
      <c r="G21" s="22" t="inlineStr">
        <is>
          <t xml:space="preserve"> -27 </t>
        </is>
      </c>
      <c r="H21" s="26">
        <f>IF(--SUBSTITUTE(G21," ","")&gt;0,0,--SUBSTITUTE(G21," ",""))</f>
        <v/>
      </c>
      <c r="I21" s="22" t="inlineStr">
        <is>
          <t xml:space="preserve"> кг </t>
        </is>
      </c>
      <c r="J21" s="22" t="inlineStr">
        <is>
          <t xml:space="preserve"> 0 </t>
        </is>
      </c>
      <c r="K21" s="22" t="inlineStr">
        <is>
          <t xml:space="preserve"> 1.000 </t>
        </is>
      </c>
      <c r="L21" s="22" t="inlineStr">
        <is>
          <t xml:space="preserve"> 169.11 </t>
        </is>
      </c>
      <c r="M21" s="22" t="inlineStr">
        <is>
          <t xml:space="preserve"> 0.00 </t>
        </is>
      </c>
    </row>
    <row r="22" ht="30" customHeight="1">
      <c r="A22" s="21" t="inlineStr">
        <is>
          <t xml:space="preserve"> SU002660 </t>
        </is>
      </c>
      <c r="B22" s="21">
        <f>SUBSTITUTE(A22," ","")</f>
        <v/>
      </c>
      <c r="C22" s="21" t="inlineStr">
        <is>
          <t xml:space="preserve"> Колбаса Мясорубская ТМ Стародворье с рубленой грудинкой в оболочке фиброуз в вакуумной упаковке 0,35 кг срез </t>
        </is>
      </c>
      <c r="D22" s="22" t="inlineStr">
        <is>
          <t xml:space="preserve"> 19 </t>
        </is>
      </c>
      <c r="E22" s="22" t="inlineStr">
        <is>
          <t xml:space="preserve"> 0 </t>
        </is>
      </c>
      <c r="F22" s="22" t="inlineStr">
        <is>
          <t xml:space="preserve"> 0 </t>
        </is>
      </c>
      <c r="G22" s="22" t="inlineStr">
        <is>
          <t xml:space="preserve"> -19 </t>
        </is>
      </c>
      <c r="H22" s="26">
        <f>IF(--SUBSTITUTE(G22," ","")&gt;0,0,--SUBSTITUTE(G22," ",""))</f>
        <v/>
      </c>
      <c r="I22" s="22" t="inlineStr">
        <is>
          <t xml:space="preserve"> шт </t>
        </is>
      </c>
      <c r="J22" s="22" t="inlineStr">
        <is>
          <t xml:space="preserve"> 0 </t>
        </is>
      </c>
      <c r="K22" s="22" t="inlineStr">
        <is>
          <t xml:space="preserve"> 0.350 </t>
        </is>
      </c>
      <c r="L22" s="22" t="inlineStr">
        <is>
          <t xml:space="preserve"> 109.17 </t>
        </is>
      </c>
      <c r="M22" s="22" t="inlineStr">
        <is>
          <t xml:space="preserve"> 0.00 </t>
        </is>
      </c>
    </row>
    <row r="23" ht="30" customHeight="1">
      <c r="A23" s="21" t="inlineStr">
        <is>
          <t xml:space="preserve"> SU002686 </t>
        </is>
      </c>
      <c r="B23" s="21">
        <f>SUBSTITUTE(A23," ","")</f>
        <v/>
      </c>
      <c r="C23" s="21" t="inlineStr">
        <is>
          <t xml:space="preserve"> Сосиски Сочинки с сыром Бордо ф/в 0,4 кг п/а Стародворье </t>
        </is>
      </c>
      <c r="D23" s="22" t="inlineStr">
        <is>
          <t xml:space="preserve"> 60 </t>
        </is>
      </c>
      <c r="E23" s="22" t="inlineStr">
        <is>
          <t xml:space="preserve"> 60 </t>
        </is>
      </c>
      <c r="F23" s="22" t="inlineStr">
        <is>
          <t xml:space="preserve"> 60 </t>
        </is>
      </c>
      <c r="G23" s="22" t="inlineStr">
        <is>
          <t xml:space="preserve"> 0 </t>
        </is>
      </c>
      <c r="H23" s="26">
        <f>IF(--SUBSTITUTE(G23," ","")&gt;0,0,--SUBSTITUTE(G23," ",""))</f>
        <v/>
      </c>
      <c r="I23" s="22" t="inlineStr">
        <is>
          <t xml:space="preserve"> шт </t>
        </is>
      </c>
      <c r="J23" s="22" t="inlineStr">
        <is>
          <t xml:space="preserve"> 150 </t>
        </is>
      </c>
      <c r="K23" s="22" t="inlineStr">
        <is>
          <t xml:space="preserve"> 0.400 </t>
        </is>
      </c>
      <c r="L23" s="22" t="inlineStr">
        <is>
          <t xml:space="preserve"> 98.10 </t>
        </is>
      </c>
      <c r="M23" s="22" t="inlineStr">
        <is>
          <t xml:space="preserve"> 14 715.00 </t>
        </is>
      </c>
    </row>
    <row r="24" ht="30" customHeight="1">
      <c r="A24" s="21" t="inlineStr">
        <is>
          <t xml:space="preserve"> SU002725 </t>
        </is>
      </c>
      <c r="B24" s="21">
        <f>SUBSTITUTE(A24," ","")</f>
        <v/>
      </c>
      <c r="C24" s="21" t="inlineStr">
        <is>
          <t xml:space="preserve"> Сосиски «Сочинки» Весовой п/а ТМ «Стародворье» </t>
        </is>
      </c>
      <c r="D24" s="22" t="inlineStr">
        <is>
          <t xml:space="preserve"> 252 </t>
        </is>
      </c>
      <c r="E24" s="22" t="inlineStr">
        <is>
          <t xml:space="preserve"> 252 </t>
        </is>
      </c>
      <c r="F24" s="22" t="inlineStr">
        <is>
          <t xml:space="preserve"> 256 </t>
        </is>
      </c>
      <c r="G24" s="22" t="inlineStr">
        <is>
          <t xml:space="preserve"> 4 </t>
        </is>
      </c>
      <c r="H24" s="26">
        <f>IF(--SUBSTITUTE(G24," ","")&gt;0,0,--SUBSTITUTE(G24," ",""))</f>
        <v/>
      </c>
      <c r="I24" s="22" t="inlineStr">
        <is>
          <t xml:space="preserve"> кг </t>
        </is>
      </c>
      <c r="J24" s="22" t="inlineStr">
        <is>
          <t xml:space="preserve"> 256 </t>
        </is>
      </c>
      <c r="K24" s="22" t="inlineStr">
        <is>
          <t xml:space="preserve"> 1.000 </t>
        </is>
      </c>
      <c r="L24" s="22" t="inlineStr">
        <is>
          <t xml:space="preserve"> 215.25 </t>
        </is>
      </c>
      <c r="M24" s="22" t="inlineStr">
        <is>
          <t xml:space="preserve"> 55 018.76 </t>
        </is>
      </c>
    </row>
    <row r="25" ht="30" customHeight="1">
      <c r="A25" s="21" t="inlineStr">
        <is>
          <t xml:space="preserve"> SU002734 </t>
        </is>
      </c>
      <c r="B25" s="21">
        <f>SUBSTITUTE(A25," ","")</f>
        <v/>
      </c>
      <c r="C25" s="21" t="inlineStr">
        <is>
          <t xml:space="preserve"> Вареные колбасы Сливушка Вязанка Фикс.вес 0,45 П/а Вязанка </t>
        </is>
      </c>
      <c r="D25" s="22" t="inlineStr">
        <is>
          <t xml:space="preserve"> 117 </t>
        </is>
      </c>
      <c r="E25" s="22" t="inlineStr">
        <is>
          <t xml:space="preserve"> 117 </t>
        </is>
      </c>
      <c r="F25" s="22" t="inlineStr">
        <is>
          <t xml:space="preserve"> 117 </t>
        </is>
      </c>
      <c r="G25" s="22" t="inlineStr">
        <is>
          <t xml:space="preserve"> 0 </t>
        </is>
      </c>
      <c r="H25" s="26">
        <f>IF(--SUBSTITUTE(G25," ","")&gt;0,0,--SUBSTITUTE(G25," ",""))</f>
        <v/>
      </c>
      <c r="I25" s="22" t="inlineStr">
        <is>
          <t xml:space="preserve"> шт </t>
        </is>
      </c>
      <c r="J25" s="22" t="inlineStr">
        <is>
          <t xml:space="preserve"> 260 </t>
        </is>
      </c>
      <c r="K25" s="22" t="inlineStr">
        <is>
          <t xml:space="preserve"> 0.450 </t>
        </is>
      </c>
      <c r="L25" s="22" t="inlineStr">
        <is>
          <t xml:space="preserve"> 138.49 </t>
        </is>
      </c>
      <c r="M25" s="22" t="inlineStr">
        <is>
          <t xml:space="preserve"> 36 007.40 </t>
        </is>
      </c>
    </row>
    <row r="26" ht="30" customHeight="1">
      <c r="A26" s="21" t="inlineStr">
        <is>
          <t xml:space="preserve"> SU002735 </t>
        </is>
      </c>
      <c r="B26" s="21">
        <f>SUBSTITUTE(A26," ","")</f>
        <v/>
      </c>
      <c r="C26" s="21" t="inlineStr">
        <is>
          <t xml:space="preserve"> Ветчины «Сливушка с индейкой» Фикс.вес 0,4 п/а ТМ «Вязанка» </t>
        </is>
      </c>
      <c r="D26" s="22" t="inlineStr">
        <is>
          <t xml:space="preserve"> 55 </t>
        </is>
      </c>
      <c r="E26" s="22" t="inlineStr">
        <is>
          <t xml:space="preserve"> 55 </t>
        </is>
      </c>
      <c r="F26" s="22" t="inlineStr">
        <is>
          <t xml:space="preserve"> 55 </t>
        </is>
      </c>
      <c r="G26" s="22" t="inlineStr">
        <is>
          <t xml:space="preserve"> 0 </t>
        </is>
      </c>
      <c r="H26" s="26">
        <f>IF(--SUBSTITUTE(G26," ","")&gt;0,0,--SUBSTITUTE(G26," ",""))</f>
        <v/>
      </c>
      <c r="I26" s="22" t="inlineStr">
        <is>
          <t xml:space="preserve"> шт </t>
        </is>
      </c>
      <c r="J26" s="22" t="inlineStr">
        <is>
          <t xml:space="preserve"> 138 </t>
        </is>
      </c>
      <c r="K26" s="22" t="inlineStr">
        <is>
          <t xml:space="preserve"> 0.400 </t>
        </is>
      </c>
      <c r="L26" s="22" t="inlineStr">
        <is>
          <t xml:space="preserve"> 160.71 </t>
        </is>
      </c>
      <c r="M26" s="22" t="inlineStr">
        <is>
          <t xml:space="preserve"> 22 177.98 </t>
        </is>
      </c>
    </row>
    <row r="27" ht="30" customHeight="1">
      <c r="A27" s="21" t="inlineStr">
        <is>
          <t xml:space="preserve"> SU002756 </t>
        </is>
      </c>
      <c r="B27" s="21">
        <f>SUBSTITUTE(A27," ","")</f>
        <v/>
      </c>
      <c r="C27" s="21" t="inlineStr">
        <is>
          <t xml:space="preserve"> Колбаса Мясорубская ТМ Стародворье с рубленой грудинкой в оболочке фиброуз в вакуумной упаковке </t>
        </is>
      </c>
      <c r="D27" s="22" t="inlineStr">
        <is>
          <t xml:space="preserve"> 17 </t>
        </is>
      </c>
      <c r="E27" s="22" t="inlineStr">
        <is>
          <t xml:space="preserve"> 17 </t>
        </is>
      </c>
      <c r="F27" s="22" t="inlineStr">
        <is>
          <t xml:space="preserve"> 0 </t>
        </is>
      </c>
      <c r="G27" s="22" t="inlineStr">
        <is>
          <t xml:space="preserve"> -17 </t>
        </is>
      </c>
      <c r="H27" s="26">
        <f>IF(--SUBSTITUTE(G27," ","")&gt;0,0,--SUBSTITUTE(G27," ",""))</f>
        <v/>
      </c>
      <c r="I27" s="22" t="inlineStr">
        <is>
          <t xml:space="preserve"> кг </t>
        </is>
      </c>
      <c r="J27" s="22" t="inlineStr">
        <is>
          <t xml:space="preserve"> 0 </t>
        </is>
      </c>
      <c r="K27" s="22" t="inlineStr">
        <is>
          <t xml:space="preserve"> 1.000 </t>
        </is>
      </c>
      <c r="L27" s="22" t="inlineStr">
        <is>
          <t xml:space="preserve"> 290.33 </t>
        </is>
      </c>
      <c r="M27" s="22" t="inlineStr">
        <is>
          <t xml:space="preserve"> 0.00 </t>
        </is>
      </c>
    </row>
    <row r="28">
      <c r="A28" s="21" t="inlineStr">
        <is>
          <t xml:space="preserve"> SU002758 </t>
        </is>
      </c>
      <c r="B28" s="21">
        <f>SUBSTITUTE(A28," ","")</f>
        <v/>
      </c>
      <c r="C28" s="21" t="inlineStr">
        <is>
          <t xml:space="preserve"> Сардельки «Сочинки» Фикс.вес 0,4 п/а ТМ «Стародворье» </t>
        </is>
      </c>
      <c r="D28" s="22" t="inlineStr">
        <is>
          <t xml:space="preserve"> 17 </t>
        </is>
      </c>
      <c r="E28" s="22" t="inlineStr">
        <is>
          <t xml:space="preserve"> 0 </t>
        </is>
      </c>
      <c r="F28" s="22" t="inlineStr">
        <is>
          <t xml:space="preserve"> 0 </t>
        </is>
      </c>
      <c r="G28" s="22" t="inlineStr">
        <is>
          <t xml:space="preserve"> -17 </t>
        </is>
      </c>
      <c r="H28" s="26">
        <f>IF(--SUBSTITUTE(G28," ","")&gt;0,0,--SUBSTITUTE(G28," ",""))</f>
        <v/>
      </c>
      <c r="I28" s="22" t="inlineStr">
        <is>
          <t xml:space="preserve"> шт </t>
        </is>
      </c>
      <c r="J28" s="22" t="inlineStr">
        <is>
          <t xml:space="preserve"> 0 </t>
        </is>
      </c>
      <c r="K28" s="22" t="inlineStr">
        <is>
          <t xml:space="preserve"> 0.400 </t>
        </is>
      </c>
      <c r="L28" s="22" t="inlineStr">
        <is>
          <t xml:space="preserve"> 108.89 </t>
        </is>
      </c>
      <c r="M28" s="22" t="inlineStr">
        <is>
          <t xml:space="preserve"> 0.00 </t>
        </is>
      </c>
    </row>
    <row r="29">
      <c r="A29" s="21" t="inlineStr">
        <is>
          <t xml:space="preserve"> SU002759 </t>
        </is>
      </c>
      <c r="B29" s="21">
        <f>SUBSTITUTE(A29," ","")</f>
        <v/>
      </c>
      <c r="C29" s="21" t="inlineStr">
        <is>
          <t xml:space="preserve"> Сардельки «Сочинки с сыром» Фикс.вес 0,4 п/а ТМ «Стародворье» </t>
        </is>
      </c>
      <c r="D29" s="22" t="inlineStr">
        <is>
          <t xml:space="preserve"> 10 </t>
        </is>
      </c>
      <c r="E29" s="22" t="inlineStr">
        <is>
          <t xml:space="preserve"> 10 </t>
        </is>
      </c>
      <c r="F29" s="22" t="inlineStr">
        <is>
          <t xml:space="preserve"> 10 </t>
        </is>
      </c>
      <c r="G29" s="22" t="inlineStr">
        <is>
          <t xml:space="preserve"> 0 </t>
        </is>
      </c>
      <c r="H29" s="26">
        <f>IF(--SUBSTITUTE(G29," ","")&gt;0,0,--SUBSTITUTE(G29," ",""))</f>
        <v/>
      </c>
      <c r="I29" s="22" t="inlineStr">
        <is>
          <t xml:space="preserve"> шт </t>
        </is>
      </c>
      <c r="J29" s="22" t="inlineStr">
        <is>
          <t xml:space="preserve"> 24 </t>
        </is>
      </c>
      <c r="K29" s="22" t="inlineStr">
        <is>
          <t xml:space="preserve"> 0.400 </t>
        </is>
      </c>
      <c r="L29" s="22" t="inlineStr">
        <is>
          <t xml:space="preserve"> 108.89 </t>
        </is>
      </c>
      <c r="M29" s="22" t="inlineStr">
        <is>
          <t xml:space="preserve"> 2 613.36 </t>
        </is>
      </c>
    </row>
    <row r="30">
      <c r="A30" s="21" t="inlineStr">
        <is>
          <t xml:space="preserve"> SU002799 </t>
        </is>
      </c>
      <c r="B30" s="21">
        <f>SUBSTITUTE(A30," ","")</f>
        <v/>
      </c>
      <c r="C30" s="21" t="inlineStr">
        <is>
          <t xml:space="preserve"> Сосиски Сочинки по-баварски Бавария Фикс.вес 0,4 П/а мгс Стародворье </t>
        </is>
      </c>
      <c r="D30" s="22" t="inlineStr">
        <is>
          <t xml:space="preserve"> 22 </t>
        </is>
      </c>
      <c r="E30" s="22" t="inlineStr">
        <is>
          <t xml:space="preserve"> 22 </t>
        </is>
      </c>
      <c r="F30" s="22" t="inlineStr">
        <is>
          <t xml:space="preserve"> 22 </t>
        </is>
      </c>
      <c r="G30" s="22" t="inlineStr">
        <is>
          <t xml:space="preserve"> 0 </t>
        </is>
      </c>
      <c r="H30" s="26">
        <f>IF(--SUBSTITUTE(G30," ","")&gt;0,0,--SUBSTITUTE(G30," ",""))</f>
        <v/>
      </c>
      <c r="I30" s="22" t="inlineStr">
        <is>
          <t xml:space="preserve"> шт </t>
        </is>
      </c>
      <c r="J30" s="22" t="inlineStr">
        <is>
          <t xml:space="preserve"> 54 </t>
        </is>
      </c>
      <c r="K30" s="22" t="inlineStr">
        <is>
          <t xml:space="preserve"> 0.400 </t>
        </is>
      </c>
      <c r="L30" s="22" t="inlineStr">
        <is>
          <t xml:space="preserve"> 96.84 </t>
        </is>
      </c>
      <c r="M30" s="22" t="inlineStr">
        <is>
          <t xml:space="preserve"> 5 229.36 </t>
        </is>
      </c>
    </row>
    <row r="31">
      <c r="A31" s="21" t="inlineStr">
        <is>
          <t xml:space="preserve"> SU002801 </t>
        </is>
      </c>
      <c r="B31" s="21">
        <f>SUBSTITUTE(A31," ","")</f>
        <v/>
      </c>
      <c r="C31" s="21" t="inlineStr">
        <is>
          <t xml:space="preserve"> Сосиски «Сочинки по-баварски с сыром» Фикс.вес 0,4 П/а мгс ТМ «Стародворье» </t>
        </is>
      </c>
      <c r="D31" s="22" t="inlineStr">
        <is>
          <t xml:space="preserve"> 22 </t>
        </is>
      </c>
      <c r="E31" s="22" t="inlineStr">
        <is>
          <t xml:space="preserve"> 22 </t>
        </is>
      </c>
      <c r="F31" s="22" t="inlineStr">
        <is>
          <t xml:space="preserve"> 22 </t>
        </is>
      </c>
      <c r="G31" s="22" t="inlineStr">
        <is>
          <t xml:space="preserve"> 0 </t>
        </is>
      </c>
      <c r="H31" s="26">
        <f>IF(--SUBSTITUTE(G31," ","")&gt;0,0,--SUBSTITUTE(G31," ",""))</f>
        <v/>
      </c>
      <c r="I31" s="22" t="inlineStr">
        <is>
          <t xml:space="preserve"> шт </t>
        </is>
      </c>
      <c r="J31" s="22" t="inlineStr">
        <is>
          <t xml:space="preserve"> 54 </t>
        </is>
      </c>
      <c r="K31" s="22" t="inlineStr">
        <is>
          <t xml:space="preserve"> 0.400 </t>
        </is>
      </c>
      <c r="L31" s="22" t="inlineStr">
        <is>
          <t xml:space="preserve"> 96.84 </t>
        </is>
      </c>
      <c r="M31" s="22" t="inlineStr">
        <is>
          <t xml:space="preserve"> 5 229.36 </t>
        </is>
      </c>
    </row>
    <row r="32" ht="30" customHeight="1">
      <c r="A32" s="21" t="inlineStr">
        <is>
          <t xml:space="preserve"> SU002816 </t>
        </is>
      </c>
      <c r="B32" s="21">
        <f>SUBSTITUTE(A32," ","")</f>
        <v/>
      </c>
      <c r="C32" s="21" t="inlineStr">
        <is>
          <t xml:space="preserve"> Вареные колбасы Молокуша Вязанка Фикс.вес 0,45 п/а Вязанка </t>
        </is>
      </c>
      <c r="D32" s="22" t="inlineStr">
        <is>
          <t xml:space="preserve"> 108 </t>
        </is>
      </c>
      <c r="E32" s="22" t="inlineStr">
        <is>
          <t xml:space="preserve"> 108 </t>
        </is>
      </c>
      <c r="F32" s="22" t="inlineStr">
        <is>
          <t xml:space="preserve"> 108 </t>
        </is>
      </c>
      <c r="G32" s="22" t="inlineStr">
        <is>
          <t xml:space="preserve"> 0 </t>
        </is>
      </c>
      <c r="H32" s="26">
        <f>IF(--SUBSTITUTE(G32," ","")&gt;0,0,--SUBSTITUTE(G32," ",""))</f>
        <v/>
      </c>
      <c r="I32" s="22" t="inlineStr">
        <is>
          <t xml:space="preserve"> шт </t>
        </is>
      </c>
      <c r="J32" s="22" t="inlineStr">
        <is>
          <t xml:space="preserve"> 240 </t>
        </is>
      </c>
      <c r="K32" s="22" t="inlineStr">
        <is>
          <t xml:space="preserve"> 0.450 </t>
        </is>
      </c>
      <c r="L32" s="22" t="inlineStr">
        <is>
          <t xml:space="preserve"> 136.56 </t>
        </is>
      </c>
      <c r="M32" s="22" t="inlineStr">
        <is>
          <t xml:space="preserve"> 32 774.40 </t>
        </is>
      </c>
    </row>
    <row r="33" ht="30" customHeight="1">
      <c r="A33" s="21" t="inlineStr">
        <is>
          <t xml:space="preserve"> SU002828 </t>
        </is>
      </c>
      <c r="B33" s="21">
        <f>SUBSTITUTE(A33," ","")</f>
        <v/>
      </c>
      <c r="C33" s="21" t="inlineStr">
        <is>
          <t xml:space="preserve"> Ветчины «Филейская» Весовые Вектор ТМ «Вязанка» </t>
        </is>
      </c>
      <c r="D33" s="22" t="inlineStr">
        <is>
          <t xml:space="preserve"> 238 </t>
        </is>
      </c>
      <c r="E33" s="22" t="inlineStr">
        <is>
          <t xml:space="preserve"> 238 </t>
        </is>
      </c>
      <c r="F33" s="22" t="inlineStr">
        <is>
          <t xml:space="preserve"> 238 </t>
        </is>
      </c>
      <c r="G33" s="22" t="inlineStr">
        <is>
          <t xml:space="preserve"> 0 </t>
        </is>
      </c>
      <c r="H33" s="26">
        <f>IF(--SUBSTITUTE(G33," ","")&gt;0,0,--SUBSTITUTE(G33," ",""))</f>
        <v/>
      </c>
      <c r="I33" s="22" t="inlineStr">
        <is>
          <t xml:space="preserve"> кг </t>
        </is>
      </c>
      <c r="J33" s="22" t="inlineStr">
        <is>
          <t xml:space="preserve"> 238 </t>
        </is>
      </c>
      <c r="K33" s="22" t="inlineStr">
        <is>
          <t xml:space="preserve"> 1.000 </t>
        </is>
      </c>
      <c r="L33" s="22" t="inlineStr">
        <is>
          <t xml:space="preserve"> 276.88 </t>
        </is>
      </c>
      <c r="M33" s="22" t="inlineStr">
        <is>
          <t xml:space="preserve"> 65 866.98 </t>
        </is>
      </c>
    </row>
    <row r="34" ht="30" customHeight="1">
      <c r="A34" s="21" t="inlineStr">
        <is>
          <t xml:space="preserve"> SU002829 </t>
        </is>
      </c>
      <c r="B34" s="21">
        <f>SUBSTITUTE(A34," ","")</f>
        <v/>
      </c>
      <c r="C34" s="21" t="inlineStr">
        <is>
          <t xml:space="preserve"> Вареные колбасы «Филейская» Весовые Вектор ТМ «Вязанка» </t>
        </is>
      </c>
      <c r="D34" s="22" t="inlineStr">
        <is>
          <t xml:space="preserve"> 367 </t>
        </is>
      </c>
      <c r="E34" s="22" t="inlineStr">
        <is>
          <t xml:space="preserve"> 367 </t>
        </is>
      </c>
      <c r="F34" s="22" t="inlineStr">
        <is>
          <t xml:space="preserve"> 365 </t>
        </is>
      </c>
      <c r="G34" s="22" t="inlineStr">
        <is>
          <t xml:space="preserve"> -2 </t>
        </is>
      </c>
      <c r="H34" s="26">
        <f>IF(--SUBSTITUTE(G34," ","")&gt;0,0,--SUBSTITUTE(G34," ",""))</f>
        <v/>
      </c>
      <c r="I34" s="22" t="inlineStr">
        <is>
          <t xml:space="preserve"> кг </t>
        </is>
      </c>
      <c r="J34" s="22" t="inlineStr">
        <is>
          <t xml:space="preserve"> 365 </t>
        </is>
      </c>
      <c r="K34" s="22" t="inlineStr">
        <is>
          <t xml:space="preserve"> 1.000 </t>
        </is>
      </c>
      <c r="L34" s="22" t="inlineStr">
        <is>
          <t xml:space="preserve"> 266.45 </t>
        </is>
      </c>
      <c r="M34" s="22" t="inlineStr">
        <is>
          <t xml:space="preserve"> 97 165.52 </t>
        </is>
      </c>
    </row>
    <row r="35" ht="30" customHeight="1">
      <c r="A35" s="21" t="inlineStr">
        <is>
          <t xml:space="preserve"> SU002830 </t>
        </is>
      </c>
      <c r="B35" s="21">
        <f>SUBSTITUTE(A35," ","")</f>
        <v/>
      </c>
      <c r="C35" s="21" t="inlineStr">
        <is>
          <t xml:space="preserve"> Вареные колбасы Молокуша Вязанка Вес п/а Вязанка </t>
        </is>
      </c>
      <c r="D35" s="22" t="inlineStr">
        <is>
          <t xml:space="preserve"> 292 </t>
        </is>
      </c>
      <c r="E35" s="22" t="inlineStr">
        <is>
          <t xml:space="preserve"> 292 </t>
        </is>
      </c>
      <c r="F35" s="22" t="inlineStr">
        <is>
          <t xml:space="preserve"> 291 </t>
        </is>
      </c>
      <c r="G35" s="22" t="inlineStr">
        <is>
          <t xml:space="preserve"> -1 </t>
        </is>
      </c>
      <c r="H35" s="26">
        <f>IF(--SUBSTITUTE(G35," ","")&gt;0,0,--SUBSTITUTE(G35," ",""))</f>
        <v/>
      </c>
      <c r="I35" s="22" t="inlineStr">
        <is>
          <t xml:space="preserve"> кг </t>
        </is>
      </c>
      <c r="J35" s="22" t="inlineStr">
        <is>
          <t xml:space="preserve"> 291 </t>
        </is>
      </c>
      <c r="K35" s="22" t="inlineStr">
        <is>
          <t xml:space="preserve"> 1.000 </t>
        </is>
      </c>
      <c r="L35" s="22" t="inlineStr">
        <is>
          <t xml:space="preserve"> 266.22 </t>
        </is>
      </c>
      <c r="M35" s="22" t="inlineStr">
        <is>
          <t xml:space="preserve"> 77 526.99 </t>
        </is>
      </c>
    </row>
    <row r="36" ht="30" customHeight="1">
      <c r="A36" s="21" t="inlineStr">
        <is>
          <t xml:space="preserve"> SU002831 </t>
        </is>
      </c>
      <c r="B36" s="21">
        <f>SUBSTITUTE(A36," ","")</f>
        <v/>
      </c>
      <c r="C36" s="21" t="inlineStr">
        <is>
          <t xml:space="preserve"> Колбаса вареная Филейская ТМ Вязанка ТС Классическая полиамид ф/в 0,4 кг </t>
        </is>
      </c>
      <c r="D36" s="22" t="inlineStr">
        <is>
          <t xml:space="preserve"> 56 </t>
        </is>
      </c>
      <c r="E36" s="22" t="inlineStr">
        <is>
          <t xml:space="preserve"> 56 </t>
        </is>
      </c>
      <c r="F36" s="22" t="inlineStr">
        <is>
          <t xml:space="preserve"> 56 </t>
        </is>
      </c>
      <c r="G36" s="22" t="inlineStr">
        <is>
          <t xml:space="preserve"> 0 </t>
        </is>
      </c>
      <c r="H36" s="26">
        <f>IF(--SUBSTITUTE(G36," ","")&gt;0,0,--SUBSTITUTE(G36," ",""))</f>
        <v/>
      </c>
      <c r="I36" s="22" t="inlineStr">
        <is>
          <t xml:space="preserve"> шт </t>
        </is>
      </c>
      <c r="J36" s="22" t="inlineStr">
        <is>
          <t xml:space="preserve"> 140 </t>
        </is>
      </c>
      <c r="K36" s="22" t="inlineStr">
        <is>
          <t xml:space="preserve"> 0.400 </t>
        </is>
      </c>
      <c r="L36" s="22" t="inlineStr">
        <is>
          <t xml:space="preserve"> 127.46 </t>
        </is>
      </c>
      <c r="M36" s="22" t="inlineStr">
        <is>
          <t xml:space="preserve"> 17 844.40 </t>
        </is>
      </c>
    </row>
    <row r="37" ht="30" customHeight="1">
      <c r="A37" s="21" t="inlineStr">
        <is>
          <t xml:space="preserve"> SU002842 </t>
        </is>
      </c>
      <c r="B37" s="21">
        <f>SUBSTITUTE(A37," ","")</f>
        <v/>
      </c>
      <c r="C37" s="21" t="inlineStr">
        <is>
          <t xml:space="preserve"> Сосиски «Сочинки Молочные» Фикс.вес 0,4 п/а мгс ТМ «Стародворье» </t>
        </is>
      </c>
      <c r="D37" s="22" t="inlineStr">
        <is>
          <t xml:space="preserve"> 535 </t>
        </is>
      </c>
      <c r="E37" s="22" t="inlineStr">
        <is>
          <t xml:space="preserve"> 535 </t>
        </is>
      </c>
      <c r="F37" s="22" t="inlineStr">
        <is>
          <t xml:space="preserve"> 535 </t>
        </is>
      </c>
      <c r="G37" s="22" t="inlineStr">
        <is>
          <t xml:space="preserve"> 0 </t>
        </is>
      </c>
      <c r="H37" s="26">
        <f>IF(--SUBSTITUTE(G37," ","")&gt;0,0,--SUBSTITUTE(G37," ",""))</f>
        <v/>
      </c>
      <c r="I37" s="22" t="inlineStr">
        <is>
          <t xml:space="preserve"> шт </t>
        </is>
      </c>
      <c r="J37" s="22" t="inlineStr">
        <is>
          <t xml:space="preserve"> 1 338 </t>
        </is>
      </c>
      <c r="K37" s="22" t="inlineStr">
        <is>
          <t xml:space="preserve"> 0.400 </t>
        </is>
      </c>
      <c r="L37" s="22" t="inlineStr">
        <is>
          <t xml:space="preserve"> 87.80 </t>
        </is>
      </c>
      <c r="M37" s="22" t="inlineStr">
        <is>
          <t xml:space="preserve"> 117 476.40 </t>
        </is>
      </c>
    </row>
    <row r="38" ht="30" customHeight="1">
      <c r="A38" s="21" t="inlineStr">
        <is>
          <t xml:space="preserve"> SU002843 </t>
        </is>
      </c>
      <c r="B38" s="21">
        <f>SUBSTITUTE(A38," ","")</f>
        <v/>
      </c>
      <c r="C38" s="21" t="inlineStr">
        <is>
          <t xml:space="preserve"> Сосиски «Сочинки Молочные» Весовой п/а мгс ТМ «Стародворье» </t>
        </is>
      </c>
      <c r="D38" s="22" t="inlineStr">
        <is>
          <t xml:space="preserve"> 502 </t>
        </is>
      </c>
      <c r="E38" s="22" t="inlineStr">
        <is>
          <t xml:space="preserve"> 502 </t>
        </is>
      </c>
      <c r="F38" s="22" t="inlineStr">
        <is>
          <t xml:space="preserve"> 503 </t>
        </is>
      </c>
      <c r="G38" s="22" t="inlineStr">
        <is>
          <t xml:space="preserve"> 1 </t>
        </is>
      </c>
      <c r="H38" s="26">
        <f>IF(--SUBSTITUTE(G38," ","")&gt;0,0,--SUBSTITUTE(G38," ",""))</f>
        <v/>
      </c>
      <c r="I38" s="22" t="inlineStr">
        <is>
          <t xml:space="preserve"> кг </t>
        </is>
      </c>
      <c r="J38" s="22" t="inlineStr">
        <is>
          <t xml:space="preserve"> 503 </t>
        </is>
      </c>
      <c r="K38" s="22" t="inlineStr">
        <is>
          <t xml:space="preserve"> 1.000 </t>
        </is>
      </c>
      <c r="L38" s="22" t="inlineStr">
        <is>
          <t xml:space="preserve"> 209.10 </t>
        </is>
      </c>
      <c r="M38" s="22" t="inlineStr">
        <is>
          <t xml:space="preserve"> 105 073.38 </t>
        </is>
      </c>
    </row>
    <row r="39" ht="30" customHeight="1">
      <c r="A39" s="21" t="inlineStr">
        <is>
          <t xml:space="preserve"> SU002844 </t>
        </is>
      </c>
      <c r="B39" s="21">
        <f>SUBSTITUTE(A39," ","")</f>
        <v/>
      </c>
      <c r="C39" s="21" t="inlineStr">
        <is>
          <t xml:space="preserve"> Сосиски «Сочинки Сливочные» Фикс.вес 0,4 п/а мгс ТМ «Стародворье» </t>
        </is>
      </c>
      <c r="D39" s="22" t="inlineStr">
        <is>
          <t xml:space="preserve"> 60 </t>
        </is>
      </c>
      <c r="E39" s="22" t="inlineStr">
        <is>
          <t xml:space="preserve"> 60 </t>
        </is>
      </c>
      <c r="F39" s="22" t="inlineStr">
        <is>
          <t xml:space="preserve"> 60 </t>
        </is>
      </c>
      <c r="G39" s="22" t="inlineStr">
        <is>
          <t xml:space="preserve"> 0 </t>
        </is>
      </c>
      <c r="H39" s="26">
        <f>IF(--SUBSTITUTE(G39," ","")&gt;0,0,--SUBSTITUTE(G39," ",""))</f>
        <v/>
      </c>
      <c r="I39" s="22" t="inlineStr">
        <is>
          <t xml:space="preserve"> шт </t>
        </is>
      </c>
      <c r="J39" s="22" t="inlineStr">
        <is>
          <t xml:space="preserve"> 150 </t>
        </is>
      </c>
      <c r="K39" s="22" t="inlineStr">
        <is>
          <t xml:space="preserve"> 0.400 </t>
        </is>
      </c>
      <c r="L39" s="22" t="inlineStr">
        <is>
          <t xml:space="preserve"> 94.69 </t>
        </is>
      </c>
      <c r="M39" s="22" t="inlineStr">
        <is>
          <t xml:space="preserve"> 14 203.50 </t>
        </is>
      </c>
    </row>
    <row r="40" ht="30" customHeight="1">
      <c r="A40" s="21" t="inlineStr">
        <is>
          <t xml:space="preserve"> SU002845 </t>
        </is>
      </c>
      <c r="B40" s="21">
        <f>SUBSTITUTE(A40," ","")</f>
        <v/>
      </c>
      <c r="C40" s="21" t="inlineStr">
        <is>
          <t xml:space="preserve"> Сосиски «Сочинки Сливочные» Весовые ТМ «Стародворье» 1,35 кг </t>
        </is>
      </c>
      <c r="D40" s="22" t="inlineStr">
        <is>
          <t xml:space="preserve"> 389 </t>
        </is>
      </c>
      <c r="E40" s="22" t="inlineStr">
        <is>
          <t xml:space="preserve"> 389 </t>
        </is>
      </c>
      <c r="F40" s="22" t="inlineStr">
        <is>
          <t xml:space="preserve"> 390 </t>
        </is>
      </c>
      <c r="G40" s="22" t="inlineStr">
        <is>
          <t xml:space="preserve"> 1 </t>
        </is>
      </c>
      <c r="H40" s="26">
        <f>IF(--SUBSTITUTE(G40," ","")&gt;0,0,--SUBSTITUTE(G40," ",""))</f>
        <v/>
      </c>
      <c r="I40" s="22" t="inlineStr">
        <is>
          <t xml:space="preserve"> кг </t>
        </is>
      </c>
      <c r="J40" s="22" t="inlineStr">
        <is>
          <t xml:space="preserve"> 390 </t>
        </is>
      </c>
      <c r="K40" s="22" t="inlineStr">
        <is>
          <t xml:space="preserve"> 1.000 </t>
        </is>
      </c>
      <c r="L40" s="22" t="inlineStr">
        <is>
          <t xml:space="preserve"> 217.69 </t>
        </is>
      </c>
      <c r="M40" s="22" t="inlineStr">
        <is>
          <t xml:space="preserve"> 84 939.15 </t>
        </is>
      </c>
    </row>
    <row r="41" ht="30" customHeight="1">
      <c r="A41" s="21" t="inlineStr">
        <is>
          <t xml:space="preserve"> SU002848 </t>
        </is>
      </c>
      <c r="B41" s="21">
        <f>SUBSTITUTE(A41," ","")</f>
        <v/>
      </c>
      <c r="C41" s="21" t="inlineStr">
        <is>
          <t xml:space="preserve"> В/к колбасы Сервелат Мясорубский с мелкорубленным окороком срез Бордо Фикс.вес 0,35 фиброуз Стародворье </t>
        </is>
      </c>
      <c r="D41" s="22" t="inlineStr">
        <is>
          <t xml:space="preserve"> 265 </t>
        </is>
      </c>
      <c r="E41" s="22" t="inlineStr">
        <is>
          <t xml:space="preserve"> 0 </t>
        </is>
      </c>
      <c r="F41" s="22" t="inlineStr">
        <is>
          <t xml:space="preserve"> 0 </t>
        </is>
      </c>
      <c r="G41" s="22" t="inlineStr">
        <is>
          <t xml:space="preserve"> -265 </t>
        </is>
      </c>
      <c r="H41" s="26">
        <f>IF(--SUBSTITUTE(G41," ","")&gt;0,0,--SUBSTITUTE(G41," ",""))</f>
        <v/>
      </c>
      <c r="I41" s="22" t="inlineStr">
        <is>
          <t xml:space="preserve"> шт </t>
        </is>
      </c>
      <c r="J41" s="22" t="inlineStr">
        <is>
          <t xml:space="preserve"> 0 </t>
        </is>
      </c>
      <c r="K41" s="22" t="inlineStr">
        <is>
          <t xml:space="preserve"> 0.350 </t>
        </is>
      </c>
      <c r="L41" s="22" t="inlineStr">
        <is>
          <t xml:space="preserve"> 102.77 </t>
        </is>
      </c>
      <c r="M41" s="22" t="inlineStr">
        <is>
          <t xml:space="preserve"> 0.00 </t>
        </is>
      </c>
    </row>
    <row r="42" ht="30" customHeight="1">
      <c r="A42" s="21" t="inlineStr">
        <is>
          <t xml:space="preserve"> SU002928 </t>
        </is>
      </c>
      <c r="B42" s="21">
        <f>SUBSTITUTE(A42," ","")</f>
        <v/>
      </c>
      <c r="C42" s="21" t="inlineStr">
        <is>
          <t xml:space="preserve"> Вареные колбасы «Сливушка» Вес П/а ТМ «Вязанка» </t>
        </is>
      </c>
      <c r="D42" s="22" t="inlineStr">
        <is>
          <t xml:space="preserve"> 389 </t>
        </is>
      </c>
      <c r="E42" s="22" t="inlineStr">
        <is>
          <t xml:space="preserve"> 389 </t>
        </is>
      </c>
      <c r="F42" s="22" t="inlineStr">
        <is>
          <t xml:space="preserve"> 388 </t>
        </is>
      </c>
      <c r="G42" s="22" t="inlineStr">
        <is>
          <t xml:space="preserve"> -1 </t>
        </is>
      </c>
      <c r="H42" s="26">
        <f>IF(--SUBSTITUTE(G42," ","")&gt;0,0,--SUBSTITUTE(G42," ",""))</f>
        <v/>
      </c>
      <c r="I42" s="22" t="inlineStr">
        <is>
          <t xml:space="preserve"> кг </t>
        </is>
      </c>
      <c r="J42" s="22" t="inlineStr">
        <is>
          <t xml:space="preserve"> 388 </t>
        </is>
      </c>
      <c r="K42" s="22" t="inlineStr">
        <is>
          <t xml:space="preserve"> 1.000 </t>
        </is>
      </c>
      <c r="L42" s="22" t="inlineStr">
        <is>
          <t xml:space="preserve"> 270.15 </t>
        </is>
      </c>
      <c r="M42" s="22" t="inlineStr">
        <is>
          <t xml:space="preserve"> 104 799.29 </t>
        </is>
      </c>
    </row>
    <row r="43">
      <c r="A43" s="21" t="inlineStr">
        <is>
          <t xml:space="preserve"> SU002941 </t>
        </is>
      </c>
      <c r="B43" s="21">
        <f>SUBSTITUTE(A43," ","")</f>
        <v/>
      </c>
      <c r="C43" s="21" t="inlineStr">
        <is>
          <t xml:space="preserve"> В/к колбасы «Сочинка по-европейски с сочной грудинкой» Весовой фиброуз ТМ «Стародворье» </t>
        </is>
      </c>
      <c r="D43" s="22" t="inlineStr">
        <is>
          <t xml:space="preserve"> 86 </t>
        </is>
      </c>
      <c r="E43" s="22" t="inlineStr">
        <is>
          <t xml:space="preserve"> 0 </t>
        </is>
      </c>
      <c r="F43" s="22" t="inlineStr">
        <is>
          <t xml:space="preserve"> 0 </t>
        </is>
      </c>
      <c r="G43" s="22" t="inlineStr">
        <is>
          <t xml:space="preserve"> -86 </t>
        </is>
      </c>
      <c r="H43" s="26">
        <f>IF(--SUBSTITUTE(G43," ","")&gt;0,0,--SUBSTITUTE(G43," ",""))</f>
        <v/>
      </c>
      <c r="I43" s="22" t="inlineStr">
        <is>
          <t xml:space="preserve"> кг </t>
        </is>
      </c>
      <c r="J43" s="22" t="inlineStr">
        <is>
          <t xml:space="preserve"> 0 </t>
        </is>
      </c>
      <c r="K43" s="22" t="inlineStr">
        <is>
          <t xml:space="preserve"> 1.000 </t>
        </is>
      </c>
      <c r="L43" s="22" t="inlineStr">
        <is>
          <t xml:space="preserve"> 258.16 </t>
        </is>
      </c>
      <c r="M43" s="22" t="inlineStr">
        <is>
          <t xml:space="preserve"> 0.00 </t>
        </is>
      </c>
    </row>
    <row r="44">
      <c r="A44" s="21" t="inlineStr">
        <is>
          <t xml:space="preserve"> SU002942 </t>
        </is>
      </c>
      <c r="B44" s="21">
        <f>SUBSTITUTE(A44," ","")</f>
        <v/>
      </c>
      <c r="C44" s="21" t="inlineStr">
        <is>
          <t xml:space="preserve"> В/к колбасы «Сочинка по-фински с сочным окороком» срез Фикс.вес 0,3 фиброуз ТМ «Стародворье» </t>
        </is>
      </c>
      <c r="D44" s="22" t="inlineStr">
        <is>
          <t xml:space="preserve"> 23 </t>
        </is>
      </c>
      <c r="E44" s="22" t="inlineStr">
        <is>
          <t xml:space="preserve"> 0 </t>
        </is>
      </c>
      <c r="F44" s="22" t="inlineStr">
        <is>
          <t xml:space="preserve"> 0 </t>
        </is>
      </c>
      <c r="G44" s="22" t="inlineStr">
        <is>
          <t xml:space="preserve"> -23 </t>
        </is>
      </c>
      <c r="H44" s="26">
        <f>IF(--SUBSTITUTE(G44," ","")&gt;0,0,--SUBSTITUTE(G44," ",""))</f>
        <v/>
      </c>
      <c r="I44" s="22" t="inlineStr">
        <is>
          <t xml:space="preserve"> шт </t>
        </is>
      </c>
      <c r="J44" s="22" t="inlineStr">
        <is>
          <t xml:space="preserve"> 0 </t>
        </is>
      </c>
      <c r="K44" s="22" t="inlineStr">
        <is>
          <t xml:space="preserve"> 0.300 </t>
        </is>
      </c>
      <c r="L44" s="22" t="inlineStr">
        <is>
          <t xml:space="preserve"> 101.38 </t>
        </is>
      </c>
      <c r="M44" s="22" t="inlineStr">
        <is>
          <t xml:space="preserve"> 0.00 </t>
        </is>
      </c>
    </row>
    <row r="45">
      <c r="A45" s="21" t="inlineStr">
        <is>
          <t xml:space="preserve"> SU002943 </t>
        </is>
      </c>
      <c r="B45" s="21">
        <f>SUBSTITUTE(A45," ","")</f>
        <v/>
      </c>
      <c r="C45" s="21" t="inlineStr">
        <is>
          <t xml:space="preserve"> В/к колбасы «Сочинка по-фински с сочным окороком» Весовой фиброуз ТМ «Стародворье» </t>
        </is>
      </c>
      <c r="D45" s="22" t="inlineStr">
        <is>
          <t xml:space="preserve"> 27 </t>
        </is>
      </c>
      <c r="E45" s="22" t="inlineStr">
        <is>
          <t xml:space="preserve"> 0 </t>
        </is>
      </c>
      <c r="F45" s="22" t="inlineStr">
        <is>
          <t xml:space="preserve"> 0 </t>
        </is>
      </c>
      <c r="G45" s="22" t="inlineStr">
        <is>
          <t xml:space="preserve"> -27 </t>
        </is>
      </c>
      <c r="H45" s="26">
        <f>IF(--SUBSTITUTE(G45," ","")&gt;0,0,--SUBSTITUTE(G45," ",""))</f>
        <v/>
      </c>
      <c r="I45" s="22" t="inlineStr">
        <is>
          <t xml:space="preserve"> кг </t>
        </is>
      </c>
      <c r="J45" s="22" t="inlineStr">
        <is>
          <t xml:space="preserve"> 0 </t>
        </is>
      </c>
      <c r="K45" s="22" t="inlineStr">
        <is>
          <t xml:space="preserve"> 1.000 </t>
        </is>
      </c>
      <c r="L45" s="22" t="inlineStr">
        <is>
          <t xml:space="preserve"> 265.24 </t>
        </is>
      </c>
      <c r="M45" s="22" t="inlineStr">
        <is>
          <t xml:space="preserve"> 0.00 </t>
        </is>
      </c>
    </row>
    <row r="46" ht="30" customHeight="1">
      <c r="A46" s="21" t="inlineStr">
        <is>
          <t xml:space="preserve"> SU002944 </t>
        </is>
      </c>
      <c r="B46" s="21">
        <f>SUBSTITUTE(A46," ","")</f>
        <v/>
      </c>
      <c r="C46" s="21" t="inlineStr">
        <is>
          <t xml:space="preserve"> В/к колбасы «Сочинка по-европейски с сочной грудинкой» срез Фикс.вес 0,3 фиброуз ТМ «Стародворье» </t>
        </is>
      </c>
      <c r="D46" s="22" t="inlineStr">
        <is>
          <t xml:space="preserve"> 45 </t>
        </is>
      </c>
      <c r="E46" s="22" t="inlineStr">
        <is>
          <t xml:space="preserve"> 0 </t>
        </is>
      </c>
      <c r="F46" s="22" t="inlineStr">
        <is>
          <t xml:space="preserve"> 0 </t>
        </is>
      </c>
      <c r="G46" s="22" t="inlineStr">
        <is>
          <t xml:space="preserve"> -45 </t>
        </is>
      </c>
      <c r="H46" s="26">
        <f>IF(--SUBSTITUTE(G46," ","")&gt;0,0,--SUBSTITUTE(G46," ",""))</f>
        <v/>
      </c>
      <c r="I46" s="22" t="inlineStr">
        <is>
          <t xml:space="preserve"> шт </t>
        </is>
      </c>
      <c r="J46" s="22" t="inlineStr">
        <is>
          <t xml:space="preserve"> 0 </t>
        </is>
      </c>
      <c r="K46" s="22" t="inlineStr">
        <is>
          <t xml:space="preserve"> 0.300 </t>
        </is>
      </c>
      <c r="L46" s="22" t="inlineStr">
        <is>
          <t xml:space="preserve"> 98.56 </t>
        </is>
      </c>
      <c r="M46" s="22" t="inlineStr">
        <is>
          <t xml:space="preserve"> 0.00 </t>
        </is>
      </c>
    </row>
    <row r="47">
      <c r="A47" s="21" t="inlineStr">
        <is>
          <t xml:space="preserve"> SU002945 </t>
        </is>
      </c>
      <c r="B47" s="21">
        <f>SUBSTITUTE(A47," ","")</f>
        <v/>
      </c>
      <c r="C47" s="21" t="inlineStr">
        <is>
          <t xml:space="preserve"> П/к колбасы «Сочинка зернистая с сочной грудинкой» Весовой фиброуз ТМ «Стародворье» </t>
        </is>
      </c>
      <c r="D47" s="22" t="inlineStr">
        <is>
          <t xml:space="preserve"> 443 </t>
        </is>
      </c>
      <c r="E47" s="22" t="inlineStr">
        <is>
          <t xml:space="preserve"> 0 </t>
        </is>
      </c>
      <c r="F47" s="22" t="inlineStr">
        <is>
          <t xml:space="preserve"> 0 </t>
        </is>
      </c>
      <c r="G47" s="22" t="inlineStr">
        <is>
          <t xml:space="preserve"> -443 </t>
        </is>
      </c>
      <c r="H47" s="26">
        <f>IF(--SUBSTITUTE(G47," ","")&gt;0,0,--SUBSTITUTE(G47," ",""))</f>
        <v/>
      </c>
      <c r="I47" s="22" t="inlineStr">
        <is>
          <t xml:space="preserve"> кг </t>
        </is>
      </c>
      <c r="J47" s="22" t="inlineStr">
        <is>
          <t xml:space="preserve"> 0 </t>
        </is>
      </c>
      <c r="K47" s="22" t="inlineStr">
        <is>
          <t xml:space="preserve"> 1.000 </t>
        </is>
      </c>
      <c r="L47" s="22" t="inlineStr">
        <is>
          <t xml:space="preserve"> 246.13 </t>
        </is>
      </c>
      <c r="M47" s="22" t="inlineStr">
        <is>
          <t xml:space="preserve"> 0.00 </t>
        </is>
      </c>
    </row>
    <row r="48">
      <c r="A48" s="21" t="inlineStr">
        <is>
          <t xml:space="preserve"> SU002948 </t>
        </is>
      </c>
      <c r="B48" s="21">
        <f>SUBSTITUTE(A48," ","")</f>
        <v/>
      </c>
      <c r="C48" s="21" t="inlineStr">
        <is>
          <t xml:space="preserve"> П/к колбасы «Сочинка рубленая с сочным окороком» срез Фикс.вес 0,3 фиброуз ТМ «Стародворье» </t>
        </is>
      </c>
      <c r="D48" s="22" t="inlineStr">
        <is>
          <t xml:space="preserve"> 16 </t>
        </is>
      </c>
      <c r="E48" s="22" t="inlineStr">
        <is>
          <t xml:space="preserve"> 0 </t>
        </is>
      </c>
      <c r="F48" s="22" t="inlineStr">
        <is>
          <t xml:space="preserve"> 0 </t>
        </is>
      </c>
      <c r="G48" s="22" t="inlineStr">
        <is>
          <t xml:space="preserve"> -16 </t>
        </is>
      </c>
      <c r="H48" s="26">
        <f>IF(--SUBSTITUTE(G48," ","")&gt;0,0,--SUBSTITUTE(G48," ",""))</f>
        <v/>
      </c>
      <c r="I48" s="22" t="inlineStr">
        <is>
          <t xml:space="preserve"> шт </t>
        </is>
      </c>
      <c r="J48" s="22" t="inlineStr">
        <is>
          <t xml:space="preserve"> 0 </t>
        </is>
      </c>
      <c r="K48" s="22" t="inlineStr">
        <is>
          <t xml:space="preserve"> 0.300 </t>
        </is>
      </c>
      <c r="L48" s="22" t="inlineStr">
        <is>
          <t xml:space="preserve"> 97.60 </t>
        </is>
      </c>
      <c r="M48" s="22" t="inlineStr">
        <is>
          <t xml:space="preserve"> 0.00 </t>
        </is>
      </c>
    </row>
    <row r="49" ht="30" customHeight="1">
      <c r="A49" s="21" t="inlineStr">
        <is>
          <t xml:space="preserve"> SU002986 </t>
        </is>
      </c>
      <c r="B49" s="21">
        <f>SUBSTITUTE(A49," ","")</f>
        <v/>
      </c>
      <c r="C49" s="21" t="inlineStr">
        <is>
          <t xml:space="preserve"> Вареные колбасы «Докторская ГОСТ» Фикс.вес 0,37 п/а ТМ «Вязанка» </t>
        </is>
      </c>
      <c r="D49" s="22" t="inlineStr">
        <is>
          <t xml:space="preserve"> 100 </t>
        </is>
      </c>
      <c r="E49" s="22" t="inlineStr">
        <is>
          <t xml:space="preserve"> 100 </t>
        </is>
      </c>
      <c r="F49" s="22" t="inlineStr">
        <is>
          <t xml:space="preserve"> 100 </t>
        </is>
      </c>
      <c r="G49" s="22" t="inlineStr">
        <is>
          <t xml:space="preserve"> 0 </t>
        </is>
      </c>
      <c r="H49" s="26">
        <f>IF(--SUBSTITUTE(G49," ","")&gt;0,0,--SUBSTITUTE(G49," ",""))</f>
        <v/>
      </c>
      <c r="I49" s="22" t="inlineStr">
        <is>
          <t xml:space="preserve"> шт </t>
        </is>
      </c>
      <c r="J49" s="22" t="inlineStr">
        <is>
          <t xml:space="preserve"> 270 </t>
        </is>
      </c>
      <c r="K49" s="22" t="inlineStr">
        <is>
          <t xml:space="preserve"> 0.370 </t>
        </is>
      </c>
      <c r="L49" s="22" t="inlineStr">
        <is>
          <t xml:space="preserve"> 145.90 </t>
        </is>
      </c>
      <c r="M49" s="22" t="inlineStr">
        <is>
          <t xml:space="preserve"> 39 393.00 </t>
        </is>
      </c>
    </row>
    <row r="50">
      <c r="A50" s="21" t="inlineStr">
        <is>
          <t xml:space="preserve"> SU003168 </t>
        </is>
      </c>
      <c r="B50" s="21">
        <f>SUBSTITUTE(A50," ","")</f>
        <v/>
      </c>
      <c r="C50" s="21" t="inlineStr">
        <is>
          <t xml:space="preserve"> Сосиски «Баварские с сыром» Фикс.вес 0,35 п/а ТМ «Стародворье» </t>
        </is>
      </c>
      <c r="D50" s="22" t="inlineStr">
        <is>
          <t xml:space="preserve"> 11 </t>
        </is>
      </c>
      <c r="E50" s="22" t="inlineStr">
        <is>
          <t xml:space="preserve"> 11 </t>
        </is>
      </c>
      <c r="F50" s="22" t="inlineStr">
        <is>
          <t xml:space="preserve"> 0 </t>
        </is>
      </c>
      <c r="G50" s="22" t="inlineStr">
        <is>
          <t xml:space="preserve"> -11 </t>
        </is>
      </c>
      <c r="H50" s="26">
        <f>IF(--SUBSTITUTE(G50," ","")&gt;0,0,--SUBSTITUTE(G50," ",""))</f>
        <v/>
      </c>
      <c r="I50" s="22" t="inlineStr">
        <is>
          <t xml:space="preserve"> шт </t>
        </is>
      </c>
      <c r="J50" s="22" t="inlineStr">
        <is>
          <t xml:space="preserve"> 0 </t>
        </is>
      </c>
      <c r="K50" s="22" t="inlineStr">
        <is>
          <t xml:space="preserve"> 0.350 </t>
        </is>
      </c>
      <c r="L50" s="22" t="inlineStr">
        <is>
          <t xml:space="preserve"> 92.93 </t>
        </is>
      </c>
      <c r="M50" s="22" t="inlineStr">
        <is>
          <t xml:space="preserve"> 0.00 </t>
        </is>
      </c>
    </row>
    <row r="51" ht="30" customHeight="1">
      <c r="A51" s="21" t="inlineStr">
        <is>
          <t xml:space="preserve"> SU003273 </t>
        </is>
      </c>
      <c r="B51" s="21">
        <f>SUBSTITUTE(A51," ","")</f>
        <v/>
      </c>
      <c r="C51" s="21" t="inlineStr">
        <is>
          <t xml:space="preserve"> Вареные колбасы «Молочная Стародворская с молоком» Весовой п/а ТМ «Стародворье» </t>
        </is>
      </c>
      <c r="D51" s="22" t="inlineStr">
        <is>
          <t xml:space="preserve"> 162 </t>
        </is>
      </c>
      <c r="E51" s="22" t="inlineStr">
        <is>
          <t xml:space="preserve"> 162 </t>
        </is>
      </c>
      <c r="F51" s="22" t="inlineStr">
        <is>
          <t xml:space="preserve"> 161 </t>
        </is>
      </c>
      <c r="G51" s="22" t="inlineStr">
        <is>
          <t xml:space="preserve"> -1 </t>
        </is>
      </c>
      <c r="H51" s="26">
        <f>IF(--SUBSTITUTE(G51," ","")&gt;0,0,--SUBSTITUTE(G51," ",""))</f>
        <v/>
      </c>
      <c r="I51" s="22" t="inlineStr">
        <is>
          <t xml:space="preserve"> кг </t>
        </is>
      </c>
      <c r="J51" s="22" t="inlineStr">
        <is>
          <t xml:space="preserve"> 161 </t>
        </is>
      </c>
      <c r="K51" s="22" t="inlineStr">
        <is>
          <t xml:space="preserve"> 1.000 </t>
        </is>
      </c>
      <c r="L51" s="22" t="inlineStr">
        <is>
          <t xml:space="preserve"> 221.27 </t>
        </is>
      </c>
      <c r="M51" s="22" t="inlineStr">
        <is>
          <t xml:space="preserve"> 35 732.23 </t>
        </is>
      </c>
    </row>
    <row r="52" ht="30" customHeight="1">
      <c r="A52" s="21" t="inlineStr">
        <is>
          <t xml:space="preserve"> SU003420 </t>
        </is>
      </c>
      <c r="B52" s="21">
        <f>SUBSTITUTE(A52," ","")</f>
        <v/>
      </c>
      <c r="C52" s="21" t="inlineStr">
        <is>
          <t xml:space="preserve"> Вареные колбасы «Филейная» Весовой п/а ТМ «Особый рецепт» большой батон </t>
        </is>
      </c>
      <c r="D52" s="22" t="inlineStr">
        <is>
          <t xml:space="preserve"> 690 </t>
        </is>
      </c>
      <c r="E52" s="22" t="inlineStr">
        <is>
          <t xml:space="preserve"> 690 </t>
        </is>
      </c>
      <c r="F52" s="22" t="inlineStr">
        <is>
          <t xml:space="preserve"> 690 </t>
        </is>
      </c>
      <c r="G52" s="22" t="inlineStr">
        <is>
          <t xml:space="preserve"> 0 </t>
        </is>
      </c>
      <c r="H52" s="26">
        <f>IF(--SUBSTITUTE(G52," ","")&gt;0,0,--SUBSTITUTE(G52," ",""))</f>
        <v/>
      </c>
      <c r="I52" s="22" t="inlineStr">
        <is>
          <t xml:space="preserve"> кг </t>
        </is>
      </c>
      <c r="J52" s="22" t="inlineStr">
        <is>
          <t xml:space="preserve"> 690 </t>
        </is>
      </c>
      <c r="K52" s="22" t="inlineStr">
        <is>
          <t xml:space="preserve"> 1.000 </t>
        </is>
      </c>
      <c r="L52" s="22" t="inlineStr">
        <is>
          <t xml:space="preserve"> 159.80 </t>
        </is>
      </c>
      <c r="M52" s="22" t="inlineStr">
        <is>
          <t xml:space="preserve"> 110 303.87 </t>
        </is>
      </c>
    </row>
    <row r="53" ht="30" customHeight="1">
      <c r="A53" s="21" t="inlineStr">
        <is>
          <t xml:space="preserve"> SU003422 </t>
        </is>
      </c>
      <c r="B53" s="21">
        <f>SUBSTITUTE(A53," ","")</f>
        <v/>
      </c>
      <c r="C53" s="21" t="inlineStr">
        <is>
          <t xml:space="preserve"> Вареные колбасы «Молочная» Весовой п/а ТМ «Особый рецепт» </t>
        </is>
      </c>
      <c r="D53" s="22" t="inlineStr">
        <is>
          <t xml:space="preserve"> 750 </t>
        </is>
      </c>
      <c r="E53" s="22" t="inlineStr">
        <is>
          <t xml:space="preserve"> 750 </t>
        </is>
      </c>
      <c r="F53" s="22" t="inlineStr">
        <is>
          <t xml:space="preserve"> 750 </t>
        </is>
      </c>
      <c r="G53" s="22" t="inlineStr">
        <is>
          <t xml:space="preserve"> 0 </t>
        </is>
      </c>
      <c r="H53" s="26">
        <f>IF(--SUBSTITUTE(G53," ","")&gt;0,0,--SUBSTITUTE(G53," ",""))</f>
        <v/>
      </c>
      <c r="I53" s="22" t="inlineStr">
        <is>
          <t xml:space="preserve"> кг </t>
        </is>
      </c>
      <c r="J53" s="22" t="inlineStr">
        <is>
          <t xml:space="preserve"> 750 </t>
        </is>
      </c>
      <c r="K53" s="22" t="inlineStr">
        <is>
          <t xml:space="preserve"> 1.000 </t>
        </is>
      </c>
      <c r="L53" s="22" t="inlineStr">
        <is>
          <t xml:space="preserve"> 159.81 </t>
        </is>
      </c>
      <c r="M53" s="22" t="inlineStr">
        <is>
          <t xml:space="preserve"> 119 890.26 </t>
        </is>
      </c>
    </row>
    <row r="54" ht="30" customHeight="1">
      <c r="A54" s="21" t="inlineStr">
        <is>
          <t xml:space="preserve"> SU003423 </t>
        </is>
      </c>
      <c r="B54" s="21">
        <f>SUBSTITUTE(A54," ","")</f>
        <v/>
      </c>
      <c r="C54" s="21" t="inlineStr">
        <is>
          <t xml:space="preserve"> Вареные колбасы «Со шпиком» Весовой п/а ТМ «Особый рецепт» большой батон </t>
        </is>
      </c>
      <c r="D54" s="22" t="inlineStr">
        <is>
          <t xml:space="preserve"> 840 </t>
        </is>
      </c>
      <c r="E54" s="22" t="inlineStr">
        <is>
          <t xml:space="preserve"> 840 </t>
        </is>
      </c>
      <c r="F54" s="22" t="inlineStr">
        <is>
          <t xml:space="preserve"> 841 </t>
        </is>
      </c>
      <c r="G54" s="22" t="inlineStr">
        <is>
          <t xml:space="preserve"> 1 </t>
        </is>
      </c>
      <c r="H54" s="26">
        <f>IF(--SUBSTITUTE(G54," ","")&gt;0,0,--SUBSTITUTE(G54," ",""))</f>
        <v/>
      </c>
      <c r="I54" s="22" t="inlineStr">
        <is>
          <t xml:space="preserve"> кг </t>
        </is>
      </c>
      <c r="J54" s="22" t="inlineStr">
        <is>
          <t xml:space="preserve"> 841 </t>
        </is>
      </c>
      <c r="K54" s="22" t="inlineStr">
        <is>
          <t xml:space="preserve"> 1.000 </t>
        </is>
      </c>
      <c r="L54" s="22" t="inlineStr">
        <is>
          <t xml:space="preserve"> 160.03 </t>
        </is>
      </c>
      <c r="M54" s="22" t="inlineStr">
        <is>
          <t xml:space="preserve"> 134 576.27 </t>
        </is>
      </c>
    </row>
    <row r="55" ht="30" customHeight="1">
      <c r="A55" s="21" t="inlineStr">
        <is>
          <t xml:space="preserve"> SU003642 </t>
        </is>
      </c>
      <c r="B55" s="21">
        <f>SUBSTITUTE(A55," ","")</f>
        <v/>
      </c>
      <c r="C55" s="21" t="inlineStr">
        <is>
          <t xml:space="preserve"> Вареные колбасы «Филейская со шпиком» Весовой п/а ТМ «Вязанка» </t>
        </is>
      </c>
      <c r="D55" s="22" t="inlineStr">
        <is>
          <t xml:space="preserve"> 157 </t>
        </is>
      </c>
      <c r="E55" s="22" t="inlineStr">
        <is>
          <t xml:space="preserve"> 157 </t>
        </is>
      </c>
      <c r="F55" s="22" t="inlineStr">
        <is>
          <t xml:space="preserve"> 156 </t>
        </is>
      </c>
      <c r="G55" s="22" t="inlineStr">
        <is>
          <t xml:space="preserve"> -1 </t>
        </is>
      </c>
      <c r="H55" s="26">
        <f>IF(--SUBSTITUTE(G55," ","")&gt;0,0,--SUBSTITUTE(G55," ",""))</f>
        <v/>
      </c>
      <c r="I55" s="22" t="inlineStr">
        <is>
          <t xml:space="preserve"> кг </t>
        </is>
      </c>
      <c r="J55" s="22" t="inlineStr">
        <is>
          <t xml:space="preserve"> 156 </t>
        </is>
      </c>
      <c r="K55" s="22" t="inlineStr">
        <is>
          <t xml:space="preserve"> 1.000 </t>
        </is>
      </c>
      <c r="L55" s="22" t="inlineStr">
        <is>
          <t xml:space="preserve"> 278.53 </t>
        </is>
      </c>
      <c r="M55" s="22" t="inlineStr">
        <is>
          <t xml:space="preserve"> 43 318.38 </t>
        </is>
      </c>
    </row>
    <row r="56" ht="30" customHeight="1">
      <c r="A56" s="21" t="inlineStr">
        <is>
          <t xml:space="preserve"> SU003829 </t>
        </is>
      </c>
      <c r="B56" s="21">
        <f>SUBSTITUTE(A56," ","")</f>
        <v/>
      </c>
      <c r="C56" s="21" t="inlineStr">
        <is>
          <t xml:space="preserve"> Копченые колбасы «Сервелат Мясорубский Делюкс» Фикс.вес 0,3 фиброуз ТМ «Стародворье» </t>
        </is>
      </c>
      <c r="D56" s="22" t="inlineStr">
        <is>
          <t xml:space="preserve"> 31 </t>
        </is>
      </c>
      <c r="E56" s="22" t="inlineStr">
        <is>
          <t xml:space="preserve"> 31 </t>
        </is>
      </c>
      <c r="F56" s="22" t="inlineStr">
        <is>
          <t xml:space="preserve"> 31 </t>
        </is>
      </c>
      <c r="G56" s="22" t="inlineStr">
        <is>
          <t xml:space="preserve"> 0 </t>
        </is>
      </c>
      <c r="H56" s="26">
        <f>IF(--SUBSTITUTE(G56," ","")&gt;0,0,--SUBSTITUTE(G56," ",""))</f>
        <v/>
      </c>
      <c r="I56" s="22" t="inlineStr">
        <is>
          <t xml:space="preserve"> шт </t>
        </is>
      </c>
      <c r="J56" s="22" t="inlineStr">
        <is>
          <t xml:space="preserve"> 102 </t>
        </is>
      </c>
      <c r="K56" s="22" t="inlineStr">
        <is>
          <t xml:space="preserve"> 0.300 </t>
        </is>
      </c>
      <c r="L56" s="22" t="inlineStr">
        <is>
          <t xml:space="preserve"> 108.11 </t>
        </is>
      </c>
      <c r="M56" s="22" t="inlineStr">
        <is>
          <t xml:space="preserve"> 11 027.22 </t>
        </is>
      </c>
    </row>
    <row r="57">
      <c r="A57" s="21" t="inlineStr">
        <is>
          <t xml:space="preserve"> SU003894 </t>
        </is>
      </c>
      <c r="B57" s="21">
        <f>SUBSTITUTE(A57," ","")</f>
        <v/>
      </c>
      <c r="C57" s="21" t="inlineStr">
        <is>
          <t xml:space="preserve"> Сырокопченые колбасы «Сервелат Ореховый» Фикс.вес 0,07 нарезка ТМ «Стародворье» </t>
        </is>
      </c>
      <c r="D57" s="22" t="inlineStr">
        <is>
          <t xml:space="preserve"> 5 </t>
        </is>
      </c>
      <c r="E57" s="22" t="inlineStr">
        <is>
          <t xml:space="preserve"> 0 </t>
        </is>
      </c>
      <c r="F57" s="22" t="inlineStr">
        <is>
          <t xml:space="preserve"> 0 </t>
        </is>
      </c>
      <c r="G57" s="22" t="inlineStr">
        <is>
          <t xml:space="preserve"> -5 </t>
        </is>
      </c>
      <c r="H57" s="26">
        <f>IF(--SUBSTITUTE(G57," ","")&gt;0,0,--SUBSTITUTE(G57," ",""))</f>
        <v/>
      </c>
      <c r="I57" s="22" t="inlineStr">
        <is>
          <t xml:space="preserve"> шт </t>
        </is>
      </c>
      <c r="J57" s="22" t="inlineStr">
        <is>
          <t xml:space="preserve"> 0 </t>
        </is>
      </c>
      <c r="K57" s="22" t="inlineStr">
        <is>
          <t xml:space="preserve"> 0.070 </t>
        </is>
      </c>
      <c r="L57" s="22" t="inlineStr">
        <is>
          <t xml:space="preserve"> 74.03 </t>
        </is>
      </c>
      <c r="M57" s="22" t="inlineStr">
        <is>
          <t xml:space="preserve"> 0.00 </t>
        </is>
      </c>
    </row>
    <row r="58" ht="30" customHeight="1">
      <c r="A58" s="21" t="inlineStr">
        <is>
          <t xml:space="preserve"> SU003896 </t>
        </is>
      </c>
      <c r="B58" s="21">
        <f>SUBSTITUTE(A58," ","")</f>
        <v/>
      </c>
      <c r="C58" s="21" t="inlineStr">
        <is>
          <t xml:space="preserve"> Сыровяленые колбасы «Фуэт» Фикс.вес 0,07 нарезка ТМ «Стародворье» </t>
        </is>
      </c>
      <c r="D58" s="22" t="inlineStr">
        <is>
          <t xml:space="preserve"> 10 </t>
        </is>
      </c>
      <c r="E58" s="22" t="inlineStr">
        <is>
          <t xml:space="preserve"> 10 </t>
        </is>
      </c>
      <c r="F58" s="22" t="inlineStr">
        <is>
          <t xml:space="preserve"> 10 </t>
        </is>
      </c>
      <c r="G58" s="22" t="inlineStr">
        <is>
          <t xml:space="preserve"> 0 </t>
        </is>
      </c>
      <c r="H58" s="26">
        <f>IF(--SUBSTITUTE(G58," ","")&gt;0,0,--SUBSTITUTE(G58," ",""))</f>
        <v/>
      </c>
      <c r="I58" s="22" t="inlineStr">
        <is>
          <t xml:space="preserve"> шт </t>
        </is>
      </c>
      <c r="J58" s="22" t="inlineStr">
        <is>
          <t xml:space="preserve"> 144 </t>
        </is>
      </c>
      <c r="K58" s="22" t="inlineStr">
        <is>
          <t xml:space="preserve"> 0.070 </t>
        </is>
      </c>
      <c r="L58" s="22" t="inlineStr">
        <is>
          <t xml:space="preserve"> 95.17 </t>
        </is>
      </c>
      <c r="M58" s="22" t="inlineStr">
        <is>
          <t xml:space="preserve"> 13 704.48 </t>
        </is>
      </c>
    </row>
    <row r="59">
      <c r="A59" s="21" t="inlineStr">
        <is>
          <t xml:space="preserve"> SU003921 </t>
        </is>
      </c>
      <c r="B59" s="21">
        <f>SUBSTITUTE(A59," ","")</f>
        <v/>
      </c>
      <c r="C59" s="21" t="inlineStr">
        <is>
          <t xml:space="preserve"> Деликатесы в/к «Грудинка копчено-вареная» Фикс.вес 0,12 нарезка ТМ «Стародворье» </t>
        </is>
      </c>
      <c r="D59" s="22" t="inlineStr">
        <is>
          <t xml:space="preserve"> 4 </t>
        </is>
      </c>
      <c r="E59" s="22" t="inlineStr">
        <is>
          <t xml:space="preserve"> 0 </t>
        </is>
      </c>
      <c r="F59" s="22" t="inlineStr">
        <is>
          <t xml:space="preserve"> 0 </t>
        </is>
      </c>
      <c r="G59" s="22" t="inlineStr">
        <is>
          <t xml:space="preserve"> -4 </t>
        </is>
      </c>
      <c r="H59" s="26">
        <f>IF(--SUBSTITUTE(G59," ","")&gt;0,0,--SUBSTITUTE(G59," ",""))</f>
        <v/>
      </c>
      <c r="I59" s="22" t="inlineStr">
        <is>
          <t xml:space="preserve"> шт </t>
        </is>
      </c>
      <c r="J59" s="22" t="inlineStr">
        <is>
          <t xml:space="preserve"> 0 </t>
        </is>
      </c>
      <c r="K59" s="22" t="inlineStr">
        <is>
          <t xml:space="preserve"> 0.120 </t>
        </is>
      </c>
      <c r="L59" s="22" t="inlineStr">
        <is>
          <t xml:space="preserve"> 102.25 </t>
        </is>
      </c>
      <c r="M59" s="22" t="inlineStr">
        <is>
          <t xml:space="preserve"> 0.00 </t>
        </is>
      </c>
    </row>
    <row r="60" ht="30" customHeight="1">
      <c r="A60" s="21" t="inlineStr">
        <is>
          <t xml:space="preserve"> SU004039 </t>
        </is>
      </c>
      <c r="B60" s="21">
        <f>SUBSTITUTE(A60," ","")</f>
        <v/>
      </c>
      <c r="C60" s="21" t="inlineStr">
        <is>
          <t xml:space="preserve"> Копченые колбасы «Балыковая» Фикс.вес 0,28 фиброуз срез ТМ «Вязанка» </t>
        </is>
      </c>
      <c r="D60" s="22" t="inlineStr">
        <is>
          <t xml:space="preserve"> 62 </t>
        </is>
      </c>
      <c r="E60" s="22" t="inlineStr">
        <is>
          <t xml:space="preserve"> 62 </t>
        </is>
      </c>
      <c r="F60" s="22" t="inlineStr">
        <is>
          <t xml:space="preserve"> 62 </t>
        </is>
      </c>
      <c r="G60" s="22" t="inlineStr">
        <is>
          <t xml:space="preserve"> 0 </t>
        </is>
      </c>
      <c r="H60" s="26">
        <f>IF(--SUBSTITUTE(G60," ","")&gt;0,0,--SUBSTITUTE(G60," ",""))</f>
        <v/>
      </c>
      <c r="I60" s="22" t="inlineStr">
        <is>
          <t xml:space="preserve"> шт </t>
        </is>
      </c>
      <c r="J60" s="22" t="inlineStr">
        <is>
          <t xml:space="preserve"> 222 </t>
        </is>
      </c>
      <c r="K60" s="22" t="inlineStr">
        <is>
          <t xml:space="preserve"> 0.280 </t>
        </is>
      </c>
      <c r="L60" s="22" t="inlineStr">
        <is>
          <t xml:space="preserve"> 112.81 </t>
        </is>
      </c>
      <c r="M60" s="22" t="inlineStr">
        <is>
          <t xml:space="preserve"> 25 043.82 </t>
        </is>
      </c>
    </row>
    <row r="61">
      <c r="A61" s="21" t="inlineStr">
        <is>
          <t xml:space="preserve"> SU004041 </t>
        </is>
      </c>
      <c r="B61" s="21">
        <f>SUBSTITUTE(A61," ","")</f>
        <v/>
      </c>
      <c r="C61" s="21" t="inlineStr">
        <is>
          <t xml:space="preserve"> Копченые колбасы «Балыковая» Весовой фиброуз ТМ «Вязанка» </t>
        </is>
      </c>
      <c r="D61" s="22" t="inlineStr">
        <is>
          <t xml:space="preserve"> 151 </t>
        </is>
      </c>
      <c r="E61" s="22" t="inlineStr">
        <is>
          <t xml:space="preserve"> 0 </t>
        </is>
      </c>
      <c r="F61" s="22" t="inlineStr">
        <is>
          <t xml:space="preserve"> 0 </t>
        </is>
      </c>
      <c r="G61" s="22" t="inlineStr">
        <is>
          <t xml:space="preserve"> -151 </t>
        </is>
      </c>
      <c r="H61" s="26">
        <f>IF(--SUBSTITUTE(G61," ","")&gt;0,0,--SUBSTITUTE(G61," ",""))</f>
        <v/>
      </c>
      <c r="I61" s="22" t="inlineStr">
        <is>
          <t xml:space="preserve"> кг </t>
        </is>
      </c>
      <c r="J61" s="22" t="inlineStr">
        <is>
          <t xml:space="preserve"> 0 </t>
        </is>
      </c>
      <c r="K61" s="22" t="inlineStr">
        <is>
          <t xml:space="preserve"> 1.000 </t>
        </is>
      </c>
      <c r="L61" s="22" t="inlineStr">
        <is>
          <t xml:space="preserve"> 297.52 </t>
        </is>
      </c>
      <c r="M61" s="22" t="inlineStr">
        <is>
          <t xml:space="preserve"> 0.00 </t>
        </is>
      </c>
    </row>
    <row r="62">
      <c r="A62" s="21" t="inlineStr">
        <is>
          <t xml:space="preserve"> SU004042 </t>
        </is>
      </c>
      <c r="B62" s="21">
        <f>SUBSTITUTE(A62," ","")</f>
        <v/>
      </c>
      <c r="C62" s="21" t="inlineStr">
        <is>
          <t xml:space="preserve"> Копченые колбасы «Сервелат Ореховый» Фикс.вес 0,28 фиброуз срез ТМ «Вязанка» </t>
        </is>
      </c>
      <c r="D62" s="22" t="inlineStr">
        <is>
          <t xml:space="preserve"> 42 </t>
        </is>
      </c>
      <c r="E62" s="22" t="inlineStr">
        <is>
          <t xml:space="preserve"> 0 </t>
        </is>
      </c>
      <c r="F62" s="22" t="inlineStr">
        <is>
          <t xml:space="preserve"> 0 </t>
        </is>
      </c>
      <c r="G62" s="22" t="inlineStr">
        <is>
          <t xml:space="preserve"> -42 </t>
        </is>
      </c>
      <c r="H62" s="26">
        <f>IF(--SUBSTITUTE(G62," ","")&gt;0,0,--SUBSTITUTE(G62," ",""))</f>
        <v/>
      </c>
      <c r="I62" s="22" t="inlineStr">
        <is>
          <t xml:space="preserve"> шт </t>
        </is>
      </c>
      <c r="J62" s="22" t="inlineStr">
        <is>
          <t xml:space="preserve"> 0 </t>
        </is>
      </c>
      <c r="K62" s="22" t="inlineStr">
        <is>
          <t xml:space="preserve"> 0.280 </t>
        </is>
      </c>
      <c r="L62" s="22" t="inlineStr">
        <is>
          <t xml:space="preserve"> 108.11 </t>
        </is>
      </c>
      <c r="M62" s="22" t="inlineStr">
        <is>
          <t xml:space="preserve"> 0.00 </t>
        </is>
      </c>
    </row>
    <row r="63" ht="30" customHeight="1">
      <c r="A63" s="21" t="inlineStr">
        <is>
          <t xml:space="preserve"> SU004044 </t>
        </is>
      </c>
      <c r="B63" s="21">
        <f>SUBSTITUTE(A63," ","")</f>
        <v/>
      </c>
      <c r="C63" s="21" t="inlineStr">
        <is>
          <t xml:space="preserve"> Копченые колбасы «Сервелат Ореховый» Весовой фиброуз ТМ «Вязанка» </t>
        </is>
      </c>
      <c r="D63" s="22" t="inlineStr">
        <is>
          <t xml:space="preserve"> 102 </t>
        </is>
      </c>
      <c r="E63" s="22" t="inlineStr">
        <is>
          <t xml:space="preserve"> 102 </t>
        </is>
      </c>
      <c r="F63" s="22" t="inlineStr">
        <is>
          <t xml:space="preserve"> 101 </t>
        </is>
      </c>
      <c r="G63" s="22" t="inlineStr">
        <is>
          <t xml:space="preserve"> -1 </t>
        </is>
      </c>
      <c r="H63" s="26">
        <f>IF(--SUBSTITUTE(G63," ","")&gt;0,0,--SUBSTITUTE(G63," ",""))</f>
        <v/>
      </c>
      <c r="I63" s="22" t="inlineStr">
        <is>
          <t xml:space="preserve"> кг </t>
        </is>
      </c>
      <c r="J63" s="22" t="inlineStr">
        <is>
          <t xml:space="preserve"> 101 </t>
        </is>
      </c>
      <c r="K63" s="22" t="inlineStr">
        <is>
          <t xml:space="preserve"> 1.000 </t>
        </is>
      </c>
      <c r="L63" s="22" t="inlineStr">
        <is>
          <t xml:space="preserve"> 292.04 </t>
        </is>
      </c>
      <c r="M63" s="22" t="inlineStr">
        <is>
          <t xml:space="preserve"> 29 557.66 </t>
        </is>
      </c>
    </row>
    <row r="64">
      <c r="A64" s="21" t="inlineStr">
        <is>
          <t xml:space="preserve"> SU004047 </t>
        </is>
      </c>
      <c r="B64" s="21">
        <f>SUBSTITUTE(A64," ","")</f>
        <v/>
      </c>
      <c r="C64" s="21" t="inlineStr">
        <is>
          <t xml:space="preserve"> Копченые колбасы «Сервелат Финский» Весовой фиброуз ТМ «Вязанка» </t>
        </is>
      </c>
      <c r="D64" s="22" t="inlineStr">
        <is>
          <t xml:space="preserve"> 102 </t>
        </is>
      </c>
      <c r="E64" s="22" t="inlineStr">
        <is>
          <t xml:space="preserve"> 102 </t>
        </is>
      </c>
      <c r="F64" s="22" t="inlineStr">
        <is>
          <t xml:space="preserve"> 0 </t>
        </is>
      </c>
      <c r="G64" s="22" t="inlineStr">
        <is>
          <t xml:space="preserve"> -102 </t>
        </is>
      </c>
      <c r="H64" s="26">
        <f>IF(--SUBSTITUTE(G64," ","")&gt;0,0,--SUBSTITUTE(G64," ",""))</f>
        <v/>
      </c>
      <c r="I64" s="22" t="inlineStr">
        <is>
          <t xml:space="preserve"> кг </t>
        </is>
      </c>
      <c r="J64" s="22" t="inlineStr">
        <is>
          <t xml:space="preserve"> 0 </t>
        </is>
      </c>
      <c r="K64" s="22" t="inlineStr">
        <is>
          <t xml:space="preserve"> 1.000 </t>
        </is>
      </c>
      <c r="L64" s="22" t="inlineStr">
        <is>
          <t xml:space="preserve"> 297.51 </t>
        </is>
      </c>
      <c r="M64" s="22" t="inlineStr">
        <is>
          <t xml:space="preserve"> 0.00 </t>
        </is>
      </c>
    </row>
    <row r="65" ht="30" customHeight="1">
      <c r="A65" s="21" t="inlineStr">
        <is>
          <t xml:space="preserve"> SU004104 </t>
        </is>
      </c>
      <c r="B65" s="21">
        <f>SUBSTITUTE(A65," ","")</f>
        <v/>
      </c>
      <c r="C65" s="21" t="inlineStr">
        <is>
          <t xml:space="preserve"> Вареные колбасы «Мясная» Весовой п/а ТМ «Стародворье» </t>
        </is>
      </c>
      <c r="D65" s="22" t="inlineStr">
        <is>
          <t xml:space="preserve"> 265 </t>
        </is>
      </c>
      <c r="E65" s="22" t="inlineStr">
        <is>
          <t xml:space="preserve"> 265 </t>
        </is>
      </c>
      <c r="F65" s="22" t="inlineStr">
        <is>
          <t xml:space="preserve"> 263 </t>
        </is>
      </c>
      <c r="G65" s="22" t="inlineStr">
        <is>
          <t xml:space="preserve"> -2 </t>
        </is>
      </c>
      <c r="H65" s="26">
        <f>IF(--SUBSTITUTE(G65," ","")&gt;0,0,--SUBSTITUTE(G65," ",""))</f>
        <v/>
      </c>
      <c r="I65" s="22" t="inlineStr">
        <is>
          <t xml:space="preserve"> кг </t>
        </is>
      </c>
      <c r="J65" s="22" t="inlineStr">
        <is>
          <t xml:space="preserve"> 263 </t>
        </is>
      </c>
      <c r="K65" s="22" t="inlineStr">
        <is>
          <t xml:space="preserve"> 1.000 </t>
        </is>
      </c>
      <c r="L65" s="22" t="inlineStr">
        <is>
          <t xml:space="preserve"> 229.77 </t>
        </is>
      </c>
      <c r="M65" s="22" t="inlineStr">
        <is>
          <t xml:space="preserve"> 60 325.88 </t>
        </is>
      </c>
    </row>
    <row r="66">
      <c r="A66" s="21" t="inlineStr">
        <is>
          <t xml:space="preserve"> SU004146 </t>
        </is>
      </c>
      <c r="B66" s="21">
        <f>SUBSTITUTE(A66," ","")</f>
        <v/>
      </c>
      <c r="C66" s="21" t="inlineStr">
        <is>
          <t xml:space="preserve"> Консервы «Буженина в пряном маринаде» Фикс.вес 0,25 ТМ «Стародворье» </t>
        </is>
      </c>
      <c r="D66" s="22" t="inlineStr">
        <is>
          <t xml:space="preserve"> 15 </t>
        </is>
      </c>
      <c r="E66" s="22" t="inlineStr">
        <is>
          <t xml:space="preserve"> 15 </t>
        </is>
      </c>
      <c r="F66" s="22" t="inlineStr">
        <is>
          <t xml:space="preserve"> 15 </t>
        </is>
      </c>
      <c r="G66" s="22" t="inlineStr">
        <is>
          <t xml:space="preserve"> 0 </t>
        </is>
      </c>
      <c r="H66" s="26">
        <f>IF(--SUBSTITUTE(G66," ","")&gt;0,0,--SUBSTITUTE(G66," ",""))</f>
        <v/>
      </c>
      <c r="I66" s="22" t="inlineStr">
        <is>
          <t xml:space="preserve"> шт </t>
        </is>
      </c>
      <c r="J66" s="22" t="inlineStr">
        <is>
          <t xml:space="preserve"> 60 </t>
        </is>
      </c>
      <c r="K66" s="22" t="inlineStr">
        <is>
          <t xml:space="preserve"> 0.250 </t>
        </is>
      </c>
      <c r="L66" s="22" t="inlineStr">
        <is>
          <t xml:space="preserve"> 115.16 </t>
        </is>
      </c>
      <c r="M66" s="22" t="inlineStr">
        <is>
          <t xml:space="preserve"> 6 909.60 </t>
        </is>
      </c>
    </row>
    <row r="67">
      <c r="A67" s="21" t="inlineStr">
        <is>
          <t xml:space="preserve"> SU004157 </t>
        </is>
      </c>
      <c r="B67" s="21">
        <f>SUBSTITUTE(A67," ","")</f>
        <v/>
      </c>
      <c r="C67" s="21" t="inlineStr">
        <is>
          <t xml:space="preserve"> Вареные колбасы «Мясная Классическая» Весовой п/а ТМ «Вязанка» </t>
        </is>
      </c>
      <c r="D67" s="22" t="inlineStr">
        <is>
          <t xml:space="preserve"> 42 </t>
        </is>
      </c>
      <c r="E67" s="22" t="inlineStr">
        <is>
          <t xml:space="preserve"> 42 </t>
        </is>
      </c>
      <c r="F67" s="22" t="inlineStr">
        <is>
          <t xml:space="preserve"> 0 </t>
        </is>
      </c>
      <c r="G67" s="22" t="inlineStr">
        <is>
          <t xml:space="preserve"> -42 </t>
        </is>
      </c>
      <c r="H67" s="26">
        <f>IF(--SUBSTITUTE(G67," ","")&gt;0,0,--SUBSTITUTE(G67," ",""))</f>
        <v/>
      </c>
      <c r="I67" s="22" t="inlineStr">
        <is>
          <t xml:space="preserve"> кг </t>
        </is>
      </c>
      <c r="J67" s="22" t="inlineStr">
        <is>
          <t xml:space="preserve"> 0 </t>
        </is>
      </c>
      <c r="K67" s="22" t="inlineStr">
        <is>
          <t xml:space="preserve"> 1.000 </t>
        </is>
      </c>
      <c r="L67" s="22" t="inlineStr">
        <is>
          <t xml:space="preserve"> 256.60 </t>
        </is>
      </c>
      <c r="M67" s="22" t="inlineStr">
        <is>
          <t xml:space="preserve"> 0.00 </t>
        </is>
      </c>
    </row>
    <row r="68" ht="30" customHeight="1">
      <c r="A68" s="21" t="inlineStr">
        <is>
          <t xml:space="preserve"> SU004238 </t>
        </is>
      </c>
      <c r="B68" s="21">
        <f>SUBSTITUTE(A68," ","")</f>
        <v/>
      </c>
      <c r="C68" s="21" t="inlineStr">
        <is>
          <t xml:space="preserve"> Вареные колбасы «Докторская Классическая» Весовой п/а ТМ «Особый рецепт» </t>
        </is>
      </c>
      <c r="D68" s="22" t="inlineStr">
        <is>
          <t xml:space="preserve"> 600 </t>
        </is>
      </c>
      <c r="E68" s="22" t="inlineStr">
        <is>
          <t xml:space="preserve"> 600 </t>
        </is>
      </c>
      <c r="F68" s="22" t="inlineStr">
        <is>
          <t xml:space="preserve"> 597 </t>
        </is>
      </c>
      <c r="G68" s="22" t="inlineStr">
        <is>
          <t xml:space="preserve"> -3 </t>
        </is>
      </c>
      <c r="H68" s="26">
        <f>IF(--SUBSTITUTE(G68," ","")&gt;0,0,--SUBSTITUTE(G68," ",""))</f>
        <v/>
      </c>
      <c r="I68" s="22" t="inlineStr">
        <is>
          <t xml:space="preserve"> кг </t>
        </is>
      </c>
      <c r="J68" s="22" t="inlineStr">
        <is>
          <t xml:space="preserve"> 597 </t>
        </is>
      </c>
      <c r="K68" s="22" t="inlineStr">
        <is>
          <t xml:space="preserve"> 1.000 </t>
        </is>
      </c>
      <c r="L68" s="22" t="inlineStr">
        <is>
          <t xml:space="preserve"> 159.80 </t>
        </is>
      </c>
      <c r="M68" s="22" t="inlineStr">
        <is>
          <t xml:space="preserve"> 95 449.50 </t>
        </is>
      </c>
    </row>
    <row r="69" ht="30" customHeight="1">
      <c r="A69" s="22" t="inlineStr">
        <is>
          <t xml:space="preserve"> ИТОГО </t>
        </is>
      </c>
      <c r="B69" s="33" t="n"/>
      <c r="C69" s="34" t="n"/>
      <c r="D69" s="22" t="inlineStr">
        <is>
          <t xml:space="preserve"> 18 046 </t>
        </is>
      </c>
      <c r="E69" s="22" t="inlineStr">
        <is>
          <t xml:space="preserve"> 16 812 </t>
        </is>
      </c>
      <c r="F69" s="22" t="inlineStr">
        <is>
          <t xml:space="preserve"> 16 677 </t>
        </is>
      </c>
      <c r="G69" s="22" t="inlineStr">
        <is>
          <t xml:space="preserve"> -1 369 </t>
        </is>
      </c>
      <c r="H69" s="26">
        <f>IF(--SUBSTITUTE(G69," ","")&gt;0,0,--SUBSTITUTE(G69," ",""))</f>
        <v/>
      </c>
      <c r="I69" s="22" t="inlineStr">
        <is>
          <t>  </t>
        </is>
      </c>
      <c r="J69" s="22" t="inlineStr">
        <is>
          <t xml:space="preserve"> 20 047 </t>
        </is>
      </c>
      <c r="K69" s="22" t="inlineStr">
        <is>
          <t>  </t>
        </is>
      </c>
      <c r="L69" s="22" t="inlineStr">
        <is>
          <t>  </t>
        </is>
      </c>
      <c r="M69" s="22" t="inlineStr">
        <is>
          <t xml:space="preserve"> 4 029 977.22</t>
        </is>
      </c>
    </row>
  </sheetData>
  <mergeCells count="1">
    <mergeCell ref="A69:C69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2026-08-25T11:38:33Z</dcterms:created>
  <dcterms:modified xsi:type="dcterms:W3CDTF">2026-08-27T17:17:45Z</dcterms:modified>
  <cp:lastModifiedBy>Uaer4</cp:lastModifiedBy>
</cp:coreProperties>
</file>