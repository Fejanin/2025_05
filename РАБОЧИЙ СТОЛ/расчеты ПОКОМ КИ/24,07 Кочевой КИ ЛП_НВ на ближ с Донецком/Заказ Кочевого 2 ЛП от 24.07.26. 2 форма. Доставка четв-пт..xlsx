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4,07 Кочевой КИ ЛП_НВ на ближ с Донецком\"/>
    </mc:Choice>
  </mc:AlternateContent>
  <xr:revisionPtr revIDLastSave="0" documentId="13_ncr:1_{F873E383-4FDF-450C-9676-8C73AED0FFA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Z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P365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Z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Z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Z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Z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Z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Z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62" i="2" l="1"/>
  <c r="Z116" i="2"/>
  <c r="Z149" i="2"/>
  <c r="Z184" i="2"/>
  <c r="Z282" i="2"/>
  <c r="Z319" i="2"/>
  <c r="Z344" i="2"/>
  <c r="Z347" i="2" s="1"/>
  <c r="BN344" i="2"/>
  <c r="Z377" i="2"/>
  <c r="Z416" i="2"/>
  <c r="Z434" i="2"/>
  <c r="BP484" i="2"/>
  <c r="Y163" i="2"/>
  <c r="Y203" i="2"/>
  <c r="Y204" i="2"/>
  <c r="X555" i="2"/>
  <c r="Z28" i="2"/>
  <c r="Z88" i="2"/>
  <c r="BN88" i="2"/>
  <c r="Y93" i="2"/>
  <c r="Z98" i="2"/>
  <c r="Z139" i="2"/>
  <c r="Z142" i="2"/>
  <c r="Z143" i="2" s="1"/>
  <c r="BN142" i="2"/>
  <c r="Z161" i="2"/>
  <c r="Z162" i="2" s="1"/>
  <c r="Z187" i="2"/>
  <c r="Z230" i="2"/>
  <c r="BN230" i="2"/>
  <c r="Z242" i="2"/>
  <c r="Z265" i="2"/>
  <c r="Z275" i="2"/>
  <c r="Z306" i="2"/>
  <c r="Z329" i="2"/>
  <c r="Z337" i="2"/>
  <c r="Z372" i="2"/>
  <c r="BP391" i="2"/>
  <c r="Z409" i="2"/>
  <c r="Z411" i="2" s="1"/>
  <c r="Z425" i="2"/>
  <c r="Z457" i="2"/>
  <c r="Z458" i="2" s="1"/>
  <c r="Z478" i="2"/>
  <c r="BN478" i="2"/>
  <c r="W561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Z418" i="2" s="1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Z322" i="2" s="1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51" i="2" l="1"/>
  <c r="Z297" i="2"/>
  <c r="Z480" i="2"/>
  <c r="Z338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<sst xmlns="http://schemas.openxmlformats.org/spreadsheetml/2006/main" count="4201" uniqueCount="895">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</sst>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V14" sqref="V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4000</v>
      </c>
      <c r="Y461" s="55">
        <f>IFERROR(IF(X461="",0,CEILING((X461/$H461),1)*$H461),"")</f>
        <v>4005</v>
      </c>
      <c r="Z461" s="41">
        <f>IFERROR(IF(Y461=0,"",ROUNDUP(Y461/H461,0)*0.01898),"")</f>
        <v>8.4460999999999995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4219.5555555555557</v>
      </c>
      <c r="BN461" s="78">
        <f>IFERROR(Y461*I461/H461,"0")</f>
        <v>4224.83</v>
      </c>
      <c r="BO461" s="78">
        <f>IFERROR(1/J461*(X461/H461),"0")</f>
        <v>6.9444444444444446</v>
      </c>
      <c r="BP461" s="78">
        <f>IFERROR(1/J461*(Y461/H461),"0")</f>
        <v>6.953125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444.44444444444446</v>
      </c>
      <c r="Y464" s="43">
        <f>IFERROR(Y461/H461,"0")+IFERROR(Y462/H462,"0")+IFERROR(Y463/H463,"0")</f>
        <v>445</v>
      </c>
      <c r="Z464" s="43">
        <f>IFERROR(IF(Z461="",0,Z461),"0")+IFERROR(IF(Z462="",0,Z462),"0")+IFERROR(IF(Z463="",0,Z463),"0")</f>
        <v>8.4460999999999995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4000</v>
      </c>
      <c r="Y465" s="43">
        <f>IFERROR(SUM(Y461:Y463),"0")</f>
        <v>4005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4000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4005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4219.5555555555557</v>
      </c>
      <c r="Y552" s="43">
        <f>IFERROR(SUM(BN22:BN548),"0")</f>
        <v>4224.83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7</v>
      </c>
      <c r="Y553" s="44">
        <f>ROUNDUP(SUM(BP22:BP548),0)</f>
        <v>7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4394.5555555555557</v>
      </c>
      <c r="Y554" s="43">
        <f>GrossWeightTotalR+PalletQtyTotalR*25</f>
        <v>4399.83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444.44444444444446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445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8.4460999999999995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4005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4 000,00"/>
        <filter val="4 219,56"/>
        <filter val="4 394,56"/>
        <filter val="444,44"/>
        <filter val="7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