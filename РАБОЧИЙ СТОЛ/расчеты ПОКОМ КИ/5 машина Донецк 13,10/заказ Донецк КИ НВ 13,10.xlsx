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D0505DC-7A06-430A-B497-B121C8BAD4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Z377" i="1" s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Z90" i="1" s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Z428" i="1" s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500" i="1" l="1"/>
  <c r="Z151" i="1"/>
  <c r="Z123" i="1"/>
  <c r="Z116" i="1"/>
  <c r="Z69" i="1"/>
  <c r="Y548" i="1"/>
  <c r="Z31" i="1"/>
  <c r="Z487" i="1"/>
  <c r="Z370" i="1"/>
  <c r="Z267" i="1"/>
  <c r="Z241" i="1"/>
  <c r="Z235" i="1"/>
  <c r="Z133" i="1"/>
  <c r="Z108" i="1"/>
  <c r="Z97" i="1"/>
  <c r="Z80" i="1"/>
  <c r="Z50" i="1"/>
  <c r="Z41" i="1"/>
  <c r="Y547" i="1"/>
  <c r="X549" i="1"/>
  <c r="Z251" i="1"/>
  <c r="Y550" i="1"/>
  <c r="Z516" i="1"/>
  <c r="Z390" i="1"/>
  <c r="Z227" i="1"/>
  <c r="Z181" i="1"/>
  <c r="Y546" i="1"/>
  <c r="Z415" i="1"/>
  <c r="Z461" i="1"/>
  <c r="Z434" i="1"/>
  <c r="Z298" i="1"/>
  <c r="Z282" i="1"/>
  <c r="Z336" i="1"/>
  <c r="Z62" i="1"/>
  <c r="Z472" i="1"/>
  <c r="Z206" i="1"/>
  <c r="Z551" i="1" l="1"/>
  <c r="Y549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<sst xmlns="http://schemas.openxmlformats.org/spreadsheetml/2006/main" count="2462" uniqueCount="893">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</sst>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55" sqref="AA55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idden="1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0</v>
      </c>
      <c r="Y50" s="619">
        <f>IFERROR(Y46/H46,"0")+IFERROR(Y47/H47,"0")+IFERROR(Y48/H48,"0")+IFERROR(Y49/H49,"0")</f>
        <v>0</v>
      </c>
      <c r="Z50" s="619">
        <f>IFERROR(IF(Z46="",0,Z46),"0")+IFERROR(IF(Z47="",0,Z47),"0")+IFERROR(IF(Z48="",0,Z48),"0")+IFERROR(IF(Z49="",0,Z49),"0")</f>
        <v>0</v>
      </c>
      <c r="AA50" s="620"/>
      <c r="AB50" s="620"/>
      <c r="AC50" s="620"/>
    </row>
    <row r="51" spans="1:68" hidden="1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0</v>
      </c>
      <c r="Y51" s="619">
        <f>IFERROR(SUM(Y46:Y49),"0")</f>
        <v>0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244</v>
      </c>
      <c r="Y55" s="618">
        <f t="shared" si="0"/>
        <v>248.4</v>
      </c>
      <c r="Z55" s="36">
        <f>IFERROR(IF(Y55=0,"",ROUNDUP(Y55/H55,0)*0.01898),"")</f>
        <v>0.43653999999999998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253.26296296296297</v>
      </c>
      <c r="BN55" s="64">
        <f t="shared" si="2"/>
        <v>257.83</v>
      </c>
      <c r="BO55" s="64">
        <f t="shared" si="3"/>
        <v>0.35300925925925924</v>
      </c>
      <c r="BP55" s="64">
        <f t="shared" si="4"/>
        <v>0.359375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89</v>
      </c>
      <c r="Y61" s="618">
        <f t="shared" si="0"/>
        <v>90</v>
      </c>
      <c r="Z61" s="36">
        <f>IFERROR(IF(Y61=0,"",ROUNDUP(Y61/H61,0)*0.00902),"")</f>
        <v>0.1804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92.75777777777779</v>
      </c>
      <c r="BN61" s="64">
        <f t="shared" si="2"/>
        <v>93.800000000000011</v>
      </c>
      <c r="BO61" s="64">
        <f t="shared" si="3"/>
        <v>0.14983164983164984</v>
      </c>
      <c r="BP61" s="64">
        <f t="shared" si="4"/>
        <v>0.15151515151515152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42.370370370370367</v>
      </c>
      <c r="Y62" s="619">
        <f>IFERROR(Y54/H54,"0")+IFERROR(Y55/H55,"0")+IFERROR(Y56/H56,"0")+IFERROR(Y57/H57,"0")+IFERROR(Y58/H58,"0")+IFERROR(Y59/H59,"0")+IFERROR(Y60/H60,"0")+IFERROR(Y61/H61,"0")</f>
        <v>43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0.61694000000000004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333</v>
      </c>
      <c r="Y63" s="619">
        <f>IFERROR(SUM(Y54:Y61),"0")</f>
        <v>338.4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64</v>
      </c>
      <c r="Y89" s="618">
        <f t="shared" si="5"/>
        <v>67.5</v>
      </c>
      <c r="Z89" s="36">
        <f>IFERROR(IF(Y89=0,"",ROUNDUP(Y89/H89,0)*0.00902),"")</f>
        <v>0.1353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66.702222222222233</v>
      </c>
      <c r="BN89" s="64">
        <f t="shared" si="7"/>
        <v>70.350000000000009</v>
      </c>
      <c r="BO89" s="64">
        <f t="shared" si="8"/>
        <v>0.10774410774410774</v>
      </c>
      <c r="BP89" s="64">
        <f t="shared" si="9"/>
        <v>0.11363636363636365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14.222222222222221</v>
      </c>
      <c r="Y90" s="619">
        <f>IFERROR(Y84/H84,"0")+IFERROR(Y85/H85,"0")+IFERROR(Y86/H86,"0")+IFERROR(Y87/H87,"0")+IFERROR(Y88/H88,"0")+IFERROR(Y89/H89,"0")</f>
        <v>15</v>
      </c>
      <c r="Z90" s="619">
        <f>IFERROR(IF(Z84="",0,Z84),"0")+IFERROR(IF(Z85="",0,Z85),"0")+IFERROR(IF(Z86="",0,Z86),"0")+IFERROR(IF(Z87="",0,Z87),"0")+IFERROR(IF(Z88="",0,Z88),"0")+IFERROR(IF(Z89="",0,Z89),"0")</f>
        <v>0.1353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64</v>
      </c>
      <c r="Y91" s="619">
        <f>IFERROR(SUM(Y84:Y89),"0")</f>
        <v>67.5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121</v>
      </c>
      <c r="Y101" s="618">
        <f t="shared" ref="Y101:Y107" si="10">IFERROR(IF(X101="",0,CEILING((X101/$H101),1)*$H101),"")</f>
        <v>129.60000000000002</v>
      </c>
      <c r="Z101" s="36">
        <f>IFERROR(IF(Y101=0,"",ROUNDUP(Y101/H101,0)*0.01898),"")</f>
        <v>0.22776000000000002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125.59351851851852</v>
      </c>
      <c r="BN101" s="64">
        <f t="shared" ref="BN101:BN107" si="12">IFERROR(Y101*I101/H101,"0")</f>
        <v>134.52000000000001</v>
      </c>
      <c r="BO101" s="64">
        <f t="shared" ref="BO101:BO107" si="13">IFERROR(1/J101*(X101/H101),"0")</f>
        <v>0.17505787037037035</v>
      </c>
      <c r="BP101" s="64">
        <f t="shared" ref="BP101:BP107" si="14">IFERROR(1/J101*(Y101/H101),"0")</f>
        <v>0.18750000000000003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283</v>
      </c>
      <c r="Y105" s="618">
        <f t="shared" si="10"/>
        <v>283.5</v>
      </c>
      <c r="Z105" s="36">
        <f>IFERROR(IF(Y105=0,"",ROUNDUP(Y105/H105,0)*0.00902),"")</f>
        <v>0.56825999999999999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294.94888888888892</v>
      </c>
      <c r="BN105" s="64">
        <f t="shared" si="12"/>
        <v>295.47000000000003</v>
      </c>
      <c r="BO105" s="64">
        <f t="shared" si="13"/>
        <v>0.47643097643097643</v>
      </c>
      <c r="BP105" s="64">
        <f t="shared" si="14"/>
        <v>0.47727272727272729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74.092592592592581</v>
      </c>
      <c r="Y108" s="619">
        <f>IFERROR(Y101/H101,"0")+IFERROR(Y102/H102,"0")+IFERROR(Y103/H103,"0")+IFERROR(Y104/H104,"0")+IFERROR(Y105/H105,"0")+IFERROR(Y106/H106,"0")+IFERROR(Y107/H107,"0")</f>
        <v>75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0.79601999999999995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404</v>
      </c>
      <c r="Y109" s="619">
        <f>IFERROR(SUM(Y101:Y107),"0")</f>
        <v>413.1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439</v>
      </c>
      <c r="Y119" s="618">
        <f>IFERROR(IF(X119="",0,CEILING((X119/$H119),1)*$H119),"")</f>
        <v>445.5</v>
      </c>
      <c r="Z119" s="36">
        <f>IFERROR(IF(Y119=0,"",ROUNDUP(Y119/H119,0)*0.01898),"")</f>
        <v>1.0439000000000001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465.44839506172838</v>
      </c>
      <c r="BN119" s="64">
        <f>IFERROR(Y119*I119/H119,"0")</f>
        <v>472.34</v>
      </c>
      <c r="BO119" s="64">
        <f>IFERROR(1/J119*(X119/H119),"0")</f>
        <v>0.84683641975308643</v>
      </c>
      <c r="BP119" s="64">
        <f>IFERROR(1/J119*(Y119/H119),"0")</f>
        <v>0.859375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788</v>
      </c>
      <c r="Y121" s="618">
        <f>IFERROR(IF(X121="",0,CEILING((X121/$H121),1)*$H121),"")</f>
        <v>788.40000000000009</v>
      </c>
      <c r="Z121" s="36">
        <f>IFERROR(IF(Y121=0,"",ROUNDUP(Y121/H121,0)*0.00651),"")</f>
        <v>1.9009199999999999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861.54666666666662</v>
      </c>
      <c r="BN121" s="64">
        <f>IFERROR(Y121*I121/H121,"0")</f>
        <v>861.98399999999992</v>
      </c>
      <c r="BO121" s="64">
        <f>IFERROR(1/J121*(X121/H121),"0")</f>
        <v>1.6035816035816037</v>
      </c>
      <c r="BP121" s="64">
        <f>IFERROR(1/J121*(Y121/H121),"0")</f>
        <v>1.6043956043956045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346.04938271604937</v>
      </c>
      <c r="Y123" s="619">
        <f>IFERROR(Y119/H119,"0")+IFERROR(Y120/H120,"0")+IFERROR(Y121/H121,"0")+IFERROR(Y122/H122,"0")</f>
        <v>347</v>
      </c>
      <c r="Z123" s="619">
        <f>IFERROR(IF(Z119="",0,Z119),"0")+IFERROR(IF(Z120="",0,Z120),"0")+IFERROR(IF(Z121="",0,Z121),"0")+IFERROR(IF(Z122="",0,Z122),"0")</f>
        <v>2.94482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1227</v>
      </c>
      <c r="Y124" s="619">
        <f>IFERROR(SUM(Y119:Y122),"0")</f>
        <v>1233.9000000000001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95</v>
      </c>
      <c r="Y126" s="618">
        <f>IFERROR(IF(X126="",0,CEILING((X126/$H126),1)*$H126),"")</f>
        <v>95.039999999999992</v>
      </c>
      <c r="Z126" s="36">
        <f>IFERROR(IF(Y126=0,"",ROUNDUP(Y126/H126,0)*0.00651),"")</f>
        <v>0.31247999999999998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107.37878787878788</v>
      </c>
      <c r="BN126" s="64">
        <f>IFERROR(Y126*I126/H126,"0")</f>
        <v>107.42399999999999</v>
      </c>
      <c r="BO126" s="64">
        <f>IFERROR(1/J126*(X126/H126),"0")</f>
        <v>0.26362526362526362</v>
      </c>
      <c r="BP126" s="64">
        <f>IFERROR(1/J126*(Y126/H126),"0")</f>
        <v>0.26373626373626374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47.979797979797979</v>
      </c>
      <c r="Y127" s="619">
        <f>IFERROR(Y126/H126,"0")</f>
        <v>47.999999999999993</v>
      </c>
      <c r="Z127" s="619">
        <f>IFERROR(IF(Z126="",0,Z126),"0")</f>
        <v>0.31247999999999998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95</v>
      </c>
      <c r="Y128" s="619">
        <f>IFERROR(SUM(Y126:Y126),"0")</f>
        <v>95.039999999999992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66</v>
      </c>
      <c r="Y173" s="618">
        <f t="shared" si="15"/>
        <v>66.5</v>
      </c>
      <c r="Z173" s="36">
        <f>IFERROR(IF(Y173=0,"",ROUNDUP(Y173/H173,0)*0.00902),"")</f>
        <v>0.17138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69.582857142857137</v>
      </c>
      <c r="BN173" s="64">
        <f t="shared" si="17"/>
        <v>70.11</v>
      </c>
      <c r="BO173" s="64">
        <f t="shared" si="18"/>
        <v>0.14285714285714288</v>
      </c>
      <c r="BP173" s="64">
        <f t="shared" si="19"/>
        <v>0.14393939393939395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425</v>
      </c>
      <c r="Y174" s="618">
        <f t="shared" si="15"/>
        <v>427</v>
      </c>
      <c r="Z174" s="36">
        <f>IFERROR(IF(Y174=0,"",ROUNDUP(Y174/H174,0)*0.00902),"")</f>
        <v>1.1004400000000001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448.07142857142856</v>
      </c>
      <c r="BN174" s="64">
        <f t="shared" si="17"/>
        <v>450.17999999999995</v>
      </c>
      <c r="BO174" s="64">
        <f t="shared" si="18"/>
        <v>0.91991341991341991</v>
      </c>
      <c r="BP174" s="64">
        <f t="shared" si="19"/>
        <v>0.92424242424242431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26</v>
      </c>
      <c r="Y176" s="618">
        <f t="shared" si="15"/>
        <v>26.88</v>
      </c>
      <c r="Z176" s="36">
        <f>IFERROR(IF(Y176=0,"",ROUNDUP(Y176/H176,0)*0.00502),"")</f>
        <v>8.0320000000000003E-2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27.547619047619051</v>
      </c>
      <c r="BN176" s="64">
        <f t="shared" si="17"/>
        <v>28.479999999999997</v>
      </c>
      <c r="BO176" s="64">
        <f t="shared" si="18"/>
        <v>6.6137566137566148E-2</v>
      </c>
      <c r="BP176" s="64">
        <f t="shared" si="19"/>
        <v>6.8376068376068383E-2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79</v>
      </c>
      <c r="Y180" s="618">
        <f t="shared" si="15"/>
        <v>80.64</v>
      </c>
      <c r="Z180" s="36">
        <f>IFERROR(IF(Y180=0,"",ROUNDUP(Y180/H180,0)*0.00502),"")</f>
        <v>0.24096000000000001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83.702380952380963</v>
      </c>
      <c r="BN180" s="64">
        <f t="shared" si="17"/>
        <v>85.44</v>
      </c>
      <c r="BO180" s="64">
        <f t="shared" si="18"/>
        <v>0.20095645095645098</v>
      </c>
      <c r="BP180" s="64">
        <f t="shared" si="19"/>
        <v>0.20512820512820515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202.78571428571428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205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1.5931000000000002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596</v>
      </c>
      <c r="Y182" s="619">
        <f>IFERROR(SUM(Y171:Y180),"0")</f>
        <v>601.02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15</v>
      </c>
      <c r="Y217" s="618">
        <f t="shared" si="26"/>
        <v>15.200000000000001</v>
      </c>
      <c r="Z217" s="36">
        <f>IFERROR(IF(Y217=0,"",ROUNDUP(Y217/H217,0)*0.00556),"")</f>
        <v>0.10564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17.4375</v>
      </c>
      <c r="BN217" s="64">
        <f t="shared" si="28"/>
        <v>17.670000000000002</v>
      </c>
      <c r="BO217" s="64">
        <f t="shared" si="29"/>
        <v>7.4404761904761904E-2</v>
      </c>
      <c r="BP217" s="64">
        <f t="shared" si="30"/>
        <v>7.5396825396825393E-2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275</v>
      </c>
      <c r="Y224" s="618">
        <f t="shared" si="26"/>
        <v>275.10000000000002</v>
      </c>
      <c r="Z224" s="36">
        <f>IFERROR(IF(Y224=0,"",ROUNDUP(Y224/H224,0)*0.00502),"")</f>
        <v>0.65761999999999998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288.09523809523807</v>
      </c>
      <c r="BN224" s="64">
        <f t="shared" si="28"/>
        <v>288.20000000000005</v>
      </c>
      <c r="BO224" s="64">
        <f t="shared" si="29"/>
        <v>0.5596255596255596</v>
      </c>
      <c r="BP224" s="64">
        <f t="shared" si="30"/>
        <v>0.55982905982905984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149.70238095238093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150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0.76325999999999994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290</v>
      </c>
      <c r="Y228" s="619">
        <f>IFERROR(SUM(Y214:Y226),"0")</f>
        <v>290.3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6</v>
      </c>
      <c r="Y240" s="618">
        <f>IFERROR(IF(X240="",0,CEILING((X240/$H240),1)*$H240),"")</f>
        <v>6.3</v>
      </c>
      <c r="Z240" s="36">
        <f>IFERROR(IF(Y240=0,"",ROUNDUP(Y240/H240,0)*0.0059),"")</f>
        <v>2.9499999999999998E-2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6.9047619047619042</v>
      </c>
      <c r="BN240" s="64">
        <f>IFERROR(Y240*I240/H240,"0")</f>
        <v>7.25</v>
      </c>
      <c r="BO240" s="64">
        <f>IFERROR(1/J240*(X240/H240),"0")</f>
        <v>2.2045855379188711E-2</v>
      </c>
      <c r="BP240" s="64">
        <f>IFERROR(1/J240*(Y240/H240),"0")</f>
        <v>2.3148148148148147E-2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7.9365079365079367</v>
      </c>
      <c r="Y241" s="619">
        <f>IFERROR(Y238/H238,"0")+IFERROR(Y239/H239,"0")+IFERROR(Y240/H240,"0")</f>
        <v>9</v>
      </c>
      <c r="Z241" s="619">
        <f>IFERROR(IF(Z238="",0,Z238),"0")+IFERROR(IF(Z239="",0,Z239),"0")+IFERROR(IF(Z240="",0,Z240),"0")</f>
        <v>5.3099999999999994E-2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10</v>
      </c>
      <c r="Y242" s="619">
        <f>IFERROR(SUM(Y238:Y240),"0")</f>
        <v>11.34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idden="1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0</v>
      </c>
      <c r="Y267" s="619">
        <f>IFERROR(Y259/H259,"0")+IFERROR(Y260/H260,"0")+IFERROR(Y261/H261,"0")+IFERROR(Y262/H262,"0")+IFERROR(Y263/H263,"0")+IFERROR(Y264/H264,"0")+IFERROR(Y265/H265,"0")+IFERROR(Y266/H266,"0")</f>
        <v>0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20"/>
      <c r="AB267" s="620"/>
      <c r="AC267" s="620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0</v>
      </c>
      <c r="Y268" s="619">
        <f>IFERROR(SUM(Y259:Y266),"0")</f>
        <v>0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68</v>
      </c>
      <c r="Y270" s="618">
        <f t="shared" ref="Y270:Y281" si="36">IFERROR(IF(X270="",0,CEILING((X270/$H270),1)*$H270),"")</f>
        <v>72.899999999999991</v>
      </c>
      <c r="Z270" s="36">
        <f>IFERROR(IF(Y270=0,"",ROUNDUP(Y270/H270,0)*0.01898),"")</f>
        <v>0.17082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72.147160493827158</v>
      </c>
      <c r="BN270" s="64">
        <f t="shared" ref="BN270:BN281" si="38">IFERROR(Y270*I270/H270,"0")</f>
        <v>77.345999999999989</v>
      </c>
      <c r="BO270" s="64">
        <f t="shared" ref="BO270:BO281" si="39">IFERROR(1/J270*(X270/H270),"0")</f>
        <v>0.13117283950617284</v>
      </c>
      <c r="BP270" s="64">
        <f t="shared" ref="BP270:BP281" si="40">IFERROR(1/J270*(Y270/H270),"0")</f>
        <v>0.140625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150</v>
      </c>
      <c r="Y271" s="618">
        <f t="shared" si="36"/>
        <v>153.9</v>
      </c>
      <c r="Z271" s="36">
        <f>IFERROR(IF(Y271=0,"",ROUNDUP(Y271/H271,0)*0.01898),"")</f>
        <v>0.36062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158.81481481481484</v>
      </c>
      <c r="BN271" s="64">
        <f t="shared" si="38"/>
        <v>162.94400000000002</v>
      </c>
      <c r="BO271" s="64">
        <f t="shared" si="39"/>
        <v>0.28935185185185186</v>
      </c>
      <c r="BP271" s="64">
        <f t="shared" si="40"/>
        <v>0.296875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85</v>
      </c>
      <c r="Y273" s="618">
        <f t="shared" si="36"/>
        <v>86.399999999999991</v>
      </c>
      <c r="Z273" s="36">
        <f>IFERROR(IF(Y273=0,"",ROUNDUP(Y273/H273,0)*0.00651),"")</f>
        <v>0.23436000000000001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94.5625</v>
      </c>
      <c r="BN273" s="64">
        <f t="shared" si="38"/>
        <v>96.11999999999999</v>
      </c>
      <c r="BO273" s="64">
        <f t="shared" si="39"/>
        <v>0.19459706959706963</v>
      </c>
      <c r="BP273" s="64">
        <f t="shared" si="40"/>
        <v>0.19780219780219782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771</v>
      </c>
      <c r="Y276" s="618">
        <f t="shared" si="36"/>
        <v>772.8</v>
      </c>
      <c r="Z276" s="36">
        <f>IFERROR(IF(Y276=0,"",ROUNDUP(Y276/H276,0)*0.00651),"")</f>
        <v>2.0962200000000002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851.95500000000004</v>
      </c>
      <c r="BN276" s="64">
        <f t="shared" si="38"/>
        <v>853.94400000000007</v>
      </c>
      <c r="BO276" s="64">
        <f t="shared" si="39"/>
        <v>1.7651098901098903</v>
      </c>
      <c r="BP276" s="64">
        <f t="shared" si="40"/>
        <v>1.7692307692307694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152</v>
      </c>
      <c r="Y278" s="618">
        <f t="shared" si="36"/>
        <v>153.6</v>
      </c>
      <c r="Z278" s="36">
        <f>IFERROR(IF(Y278=0,"",ROUNDUP(Y278/H278,0)*0.00651),"")</f>
        <v>0.41664000000000001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167.96000000000004</v>
      </c>
      <c r="BN278" s="64">
        <f t="shared" si="38"/>
        <v>169.72800000000001</v>
      </c>
      <c r="BO278" s="64">
        <f t="shared" si="39"/>
        <v>0.34798534798534803</v>
      </c>
      <c r="BP278" s="64">
        <f t="shared" si="40"/>
        <v>0.35164835164835168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77</v>
      </c>
      <c r="Y279" s="618">
        <f t="shared" si="36"/>
        <v>79.2</v>
      </c>
      <c r="Z279" s="36">
        <f>IFERROR(IF(Y279=0,"",ROUNDUP(Y279/H279,0)*0.00651),"")</f>
        <v>0.21482999999999999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85.085000000000008</v>
      </c>
      <c r="BN279" s="64">
        <f t="shared" si="38"/>
        <v>87.51600000000002</v>
      </c>
      <c r="BO279" s="64">
        <f t="shared" si="39"/>
        <v>0.17628205128205132</v>
      </c>
      <c r="BP279" s="64">
        <f t="shared" si="40"/>
        <v>0.18131868131868134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108</v>
      </c>
      <c r="Y280" s="618">
        <f t="shared" si="36"/>
        <v>108</v>
      </c>
      <c r="Z280" s="36">
        <f>IFERROR(IF(Y280=0,"",ROUNDUP(Y280/H280,0)*0.00651),"")</f>
        <v>0.29294999999999999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119.60999999999999</v>
      </c>
      <c r="BN280" s="64">
        <f t="shared" si="38"/>
        <v>119.60999999999999</v>
      </c>
      <c r="BO280" s="64">
        <f t="shared" si="39"/>
        <v>0.24725274725274726</v>
      </c>
      <c r="BP280" s="64">
        <f t="shared" si="40"/>
        <v>0.24725274725274726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523.99691358024688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528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3.7864400000000002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1411</v>
      </c>
      <c r="Y283" s="619">
        <f>IFERROR(SUM(Y270:Y281),"0")</f>
        <v>1426.8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91</v>
      </c>
      <c r="Y326" s="618">
        <f>IFERROR(IF(X326="",0,CEILING((X326/$H326),1)*$H326),"")</f>
        <v>91.2</v>
      </c>
      <c r="Z326" s="36">
        <f>IFERROR(IF(Y326=0,"",ROUNDUP(Y326/H326,0)*0.00651),"")</f>
        <v>0.24738000000000002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100.55500000000001</v>
      </c>
      <c r="BN326" s="64">
        <f>IFERROR(Y326*I326/H326,"0")</f>
        <v>100.77600000000001</v>
      </c>
      <c r="BO326" s="64">
        <f>IFERROR(1/J326*(X326/H326),"0")</f>
        <v>0.20833333333333337</v>
      </c>
      <c r="BP326" s="64">
        <f>IFERROR(1/J326*(Y326/H326),"0")</f>
        <v>0.2087912087912088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202</v>
      </c>
      <c r="Y327" s="618">
        <f>IFERROR(IF(X327="",0,CEILING((X327/$H327),1)*$H327),"")</f>
        <v>204</v>
      </c>
      <c r="Z327" s="36">
        <f>IFERROR(IF(Y327=0,"",ROUNDUP(Y327/H327,0)*0.00651),"")</f>
        <v>0.55335000000000001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217.15</v>
      </c>
      <c r="BN327" s="64">
        <f>IFERROR(Y327*I327/H327,"0")</f>
        <v>219.30000000000004</v>
      </c>
      <c r="BO327" s="64">
        <f>IFERROR(1/J327*(X327/H327),"0")</f>
        <v>0.46245421245421253</v>
      </c>
      <c r="BP327" s="64">
        <f>IFERROR(1/J327*(Y327/H327),"0")</f>
        <v>0.46703296703296709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122.08333333333334</v>
      </c>
      <c r="Y328" s="619">
        <f>IFERROR(Y325/H325,"0")+IFERROR(Y326/H326,"0")+IFERROR(Y327/H327,"0")</f>
        <v>123</v>
      </c>
      <c r="Z328" s="619">
        <f>IFERROR(IF(Z325="",0,Z325),"0")+IFERROR(IF(Z326="",0,Z326),"0")+IFERROR(IF(Z327="",0,Z327),"0")</f>
        <v>0.80073000000000005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293</v>
      </c>
      <c r="Y329" s="619">
        <f>IFERROR(SUM(Y325:Y327),"0")</f>
        <v>295.2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427</v>
      </c>
      <c r="Y347" s="618">
        <f>IFERROR(IF(X347="",0,CEILING((X347/$H347),1)*$H347),"")</f>
        <v>429</v>
      </c>
      <c r="Z347" s="36">
        <f>IFERROR(IF(Y347=0,"",ROUNDUP(Y347/H347,0)*0.01898),"")</f>
        <v>1.0439000000000001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449.44487179487186</v>
      </c>
      <c r="BN347" s="64">
        <f>IFERROR(Y347*I347/H347,"0")</f>
        <v>451.55</v>
      </c>
      <c r="BO347" s="64">
        <f>IFERROR(1/J347*(X347/H347),"0")</f>
        <v>0.85536858974358976</v>
      </c>
      <c r="BP347" s="64">
        <f>IFERROR(1/J347*(Y347/H347),"0")</f>
        <v>0.859375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54.743589743589745</v>
      </c>
      <c r="Y349" s="619">
        <f>IFERROR(Y346/H346,"0")+IFERROR(Y347/H347,"0")+IFERROR(Y348/H348,"0")</f>
        <v>55</v>
      </c>
      <c r="Z349" s="619">
        <f>IFERROR(IF(Z346="",0,Z346),"0")+IFERROR(IF(Z347="",0,Z347),"0")+IFERROR(IF(Z348="",0,Z348),"0")</f>
        <v>1.0439000000000001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427</v>
      </c>
      <c r="Y350" s="619">
        <f>IFERROR(SUM(Y346:Y348),"0")</f>
        <v>429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375</v>
      </c>
      <c r="Y381" s="618">
        <f>IFERROR(IF(X381="",0,CEILING((X381/$H381),1)*$H381),"")</f>
        <v>382.2</v>
      </c>
      <c r="Z381" s="36">
        <f>IFERROR(IF(Y381=0,"",ROUNDUP(Y381/H381,0)*0.01898),"")</f>
        <v>0.93002000000000007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398.75</v>
      </c>
      <c r="BN381" s="64">
        <f>IFERROR(Y381*I381/H381,"0")</f>
        <v>406.40600000000001</v>
      </c>
      <c r="BO381" s="64">
        <f>IFERROR(1/J381*(X381/H381),"0")</f>
        <v>0.75120192307692313</v>
      </c>
      <c r="BP381" s="64">
        <f>IFERROR(1/J381*(Y381/H381),"0")</f>
        <v>0.765625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48.07692307692308</v>
      </c>
      <c r="Y383" s="619">
        <f>IFERROR(Y380/H380,"0")+IFERROR(Y381/H381,"0")+IFERROR(Y382/H382,"0")</f>
        <v>49</v>
      </c>
      <c r="Z383" s="619">
        <f>IFERROR(IF(Z380="",0,Z380),"0")+IFERROR(IF(Z381="",0,Z381),"0")+IFERROR(IF(Z382="",0,Z382),"0")</f>
        <v>0.93002000000000007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375</v>
      </c>
      <c r="Y384" s="619">
        <f>IFERROR(SUM(Y380:Y382),"0")</f>
        <v>382.2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27</v>
      </c>
      <c r="Y393" s="618">
        <f>IFERROR(IF(X393="",0,CEILING((X393/$H393),1)*$H393),"")</f>
        <v>28</v>
      </c>
      <c r="Z393" s="36">
        <f>IFERROR(IF(Y393=0,"",ROUNDUP(Y393/H393,0)*0.00474),"")</f>
        <v>6.6360000000000002E-2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30.240000000000002</v>
      </c>
      <c r="BN393" s="64">
        <f>IFERROR(Y393*I393/H393,"0")</f>
        <v>31.360000000000003</v>
      </c>
      <c r="BO393" s="64">
        <f>IFERROR(1/J393*(X393/H393),"0")</f>
        <v>5.6722689075630252E-2</v>
      </c>
      <c r="BP393" s="64">
        <f>IFERROR(1/J393*(Y393/H393),"0")</f>
        <v>5.8823529411764705E-2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9</v>
      </c>
      <c r="Y394" s="618">
        <f>IFERROR(IF(X394="",0,CEILING((X394/$H394),1)*$H394),"")</f>
        <v>10</v>
      </c>
      <c r="Z394" s="36">
        <f>IFERROR(IF(Y394=0,"",ROUNDUP(Y394/H394,0)*0.00474),"")</f>
        <v>2.3700000000000002E-2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10.080000000000002</v>
      </c>
      <c r="BN394" s="64">
        <f>IFERROR(Y394*I394/H394,"0")</f>
        <v>11.200000000000001</v>
      </c>
      <c r="BO394" s="64">
        <f>IFERROR(1/J394*(X394/H394),"0")</f>
        <v>1.8907563025210083E-2</v>
      </c>
      <c r="BP394" s="64">
        <f>IFERROR(1/J394*(Y394/H394),"0")</f>
        <v>2.1008403361344536E-2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22</v>
      </c>
      <c r="Y395" s="618">
        <f>IFERROR(IF(X395="",0,CEILING((X395/$H395),1)*$H395),"")</f>
        <v>22</v>
      </c>
      <c r="Z395" s="36">
        <f>IFERROR(IF(Y395=0,"",ROUNDUP(Y395/H395,0)*0.00474),"")</f>
        <v>5.2140000000000006E-2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24.64</v>
      </c>
      <c r="BN395" s="64">
        <f>IFERROR(Y395*I395/H395,"0")</f>
        <v>24.64</v>
      </c>
      <c r="BO395" s="64">
        <f>IFERROR(1/J395*(X395/H395),"0")</f>
        <v>4.6218487394957979E-2</v>
      </c>
      <c r="BP395" s="64">
        <f>IFERROR(1/J395*(Y395/H395),"0")</f>
        <v>4.6218487394957979E-2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29</v>
      </c>
      <c r="Y396" s="619">
        <f>IFERROR(Y393/H393,"0")+IFERROR(Y394/H394,"0")+IFERROR(Y395/H395,"0")</f>
        <v>30</v>
      </c>
      <c r="Z396" s="619">
        <f>IFERROR(IF(Z393="",0,Z393),"0")+IFERROR(IF(Z394="",0,Z394),"0")+IFERROR(IF(Z395="",0,Z395),"0")</f>
        <v>0.14219999999999999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58</v>
      </c>
      <c r="Y397" s="619">
        <f>IFERROR(SUM(Y393:Y395),"0")</f>
        <v>60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25</v>
      </c>
      <c r="Y413" s="618">
        <f>IFERROR(IF(X413="",0,CEILING((X413/$H413),1)*$H413),"")</f>
        <v>25.200000000000003</v>
      </c>
      <c r="Z413" s="36">
        <f>IFERROR(IF(Y413=0,"",ROUNDUP(Y413/H413,0)*0.00651),"")</f>
        <v>7.8119999999999995E-2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27.999999999999996</v>
      </c>
      <c r="BN413" s="64">
        <f>IFERROR(Y413*I413/H413,"0")</f>
        <v>28.224</v>
      </c>
      <c r="BO413" s="64">
        <f>IFERROR(1/J413*(X413/H413),"0")</f>
        <v>6.541077969649399E-2</v>
      </c>
      <c r="BP413" s="64">
        <f>IFERROR(1/J413*(Y413/H413),"0")</f>
        <v>6.5934065934065936E-2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11.904761904761905</v>
      </c>
      <c r="Y415" s="619">
        <f>IFERROR(Y412/H412,"0")+IFERROR(Y413/H413,"0")+IFERROR(Y414/H414,"0")</f>
        <v>12</v>
      </c>
      <c r="Z415" s="619">
        <f>IFERROR(IF(Z412="",0,Z412),"0")+IFERROR(IF(Z413="",0,Z413),"0")+IFERROR(IF(Z414="",0,Z414),"0")</f>
        <v>7.8119999999999995E-2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25</v>
      </c>
      <c r="Y416" s="619">
        <f>IFERROR(SUM(Y412:Y414),"0")</f>
        <v>25.200000000000003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2844</v>
      </c>
      <c r="Y421" s="618">
        <f t="shared" si="61"/>
        <v>2850</v>
      </c>
      <c r="Z421" s="36">
        <f>IFERROR(IF(Y421=0,"",ROUNDUP(Y421/H421,0)*0.02175),"")</f>
        <v>4.1324999999999994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2933.1120000000001</v>
      </c>
      <c r="BN421" s="64">
        <f t="shared" si="63"/>
        <v>2939.3</v>
      </c>
      <c r="BO421" s="64">
        <f t="shared" si="64"/>
        <v>3.9499999999999997</v>
      </c>
      <c r="BP421" s="64">
        <f t="shared" si="65"/>
        <v>3.958333333333333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1039</v>
      </c>
      <c r="Y422" s="618">
        <f t="shared" si="61"/>
        <v>1050</v>
      </c>
      <c r="Z422" s="36">
        <f>IFERROR(IF(Y422=0,"",ROUNDUP(Y422/H422,0)*0.02175),"")</f>
        <v>1.5225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1071.5553333333332</v>
      </c>
      <c r="BN422" s="64">
        <f t="shared" si="63"/>
        <v>1082.9000000000001</v>
      </c>
      <c r="BO422" s="64">
        <f t="shared" si="64"/>
        <v>1.4430555555555555</v>
      </c>
      <c r="BP422" s="64">
        <f t="shared" si="65"/>
        <v>1.4583333333333333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1085</v>
      </c>
      <c r="Y423" s="618">
        <f t="shared" si="61"/>
        <v>1095</v>
      </c>
      <c r="Z423" s="36">
        <f>IFERROR(IF(Y423=0,"",ROUNDUP(Y423/H423,0)*0.02175),"")</f>
        <v>1.58775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1118.9966666666667</v>
      </c>
      <c r="BN423" s="64">
        <f t="shared" si="63"/>
        <v>1129.3100000000002</v>
      </c>
      <c r="BO423" s="64">
        <f t="shared" si="64"/>
        <v>1.5069444444444442</v>
      </c>
      <c r="BP423" s="64">
        <f t="shared" si="65"/>
        <v>1.5208333333333333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1516</v>
      </c>
      <c r="Y424" s="618">
        <f t="shared" si="61"/>
        <v>1530</v>
      </c>
      <c r="Z424" s="36">
        <f>IFERROR(IF(Y424=0,"",ROUNDUP(Y424/H424,0)*0.02175),"")</f>
        <v>2.2184999999999997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1563.5013333333334</v>
      </c>
      <c r="BN424" s="64">
        <f t="shared" si="63"/>
        <v>1577.94</v>
      </c>
      <c r="BO424" s="64">
        <f t="shared" si="64"/>
        <v>2.1055555555555552</v>
      </c>
      <c r="BP424" s="64">
        <f t="shared" si="65"/>
        <v>2.125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432.26666666666665</v>
      </c>
      <c r="Y428" s="619">
        <f>IFERROR(Y420/H420,"0")+IFERROR(Y421/H421,"0")+IFERROR(Y422/H422,"0")+IFERROR(Y423/H423,"0")+IFERROR(Y424/H424,"0")+IFERROR(Y425/H425,"0")+IFERROR(Y426/H426,"0")+IFERROR(Y427/H427,"0")</f>
        <v>435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9.4612499999999997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6484</v>
      </c>
      <c r="Y429" s="619">
        <f>IFERROR(SUM(Y420:Y427),"0")</f>
        <v>6525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1071</v>
      </c>
      <c r="Y458" s="618">
        <f>IFERROR(IF(X458="",0,CEILING((X458/$H458),1)*$H458),"")</f>
        <v>1071</v>
      </c>
      <c r="Z458" s="36">
        <f>IFERROR(IF(Y458=0,"",ROUNDUP(Y458/H458,0)*0.01898),"")</f>
        <v>2.2586200000000001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1129.7860000000001</v>
      </c>
      <c r="BN458" s="64">
        <f>IFERROR(Y458*I458/H458,"0")</f>
        <v>1129.7860000000001</v>
      </c>
      <c r="BO458" s="64">
        <f>IFERROR(1/J458*(X458/H458),"0")</f>
        <v>1.859375</v>
      </c>
      <c r="BP458" s="64">
        <f>IFERROR(1/J458*(Y458/H458),"0")</f>
        <v>1.859375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119</v>
      </c>
      <c r="Y461" s="619">
        <f>IFERROR(Y458/H458,"0")+IFERROR(Y459/H459,"0")+IFERROR(Y460/H460,"0")</f>
        <v>119</v>
      </c>
      <c r="Z461" s="619">
        <f>IFERROR(IF(Z458="",0,Z458),"0")+IFERROR(IF(Z459="",0,Z459),"0")+IFERROR(IF(Z460="",0,Z460),"0")</f>
        <v>2.2586200000000001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1071</v>
      </c>
      <c r="Y462" s="619">
        <f>IFERROR(SUM(Y458:Y460),"0")</f>
        <v>1071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1777</v>
      </c>
      <c r="Y495" s="618">
        <f t="shared" si="71"/>
        <v>1779.3600000000001</v>
      </c>
      <c r="Z495" s="36">
        <f>IFERROR(IF(Y495=0,"",ROUNDUP(Y495/H495,0)*0.01196),"")</f>
        <v>4.0305200000000001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1894.7935606060605</v>
      </c>
      <c r="BN495" s="64">
        <f t="shared" si="73"/>
        <v>1897.31</v>
      </c>
      <c r="BO495" s="64">
        <f t="shared" si="74"/>
        <v>3.2360868298368302</v>
      </c>
      <c r="BP495" s="64">
        <f t="shared" si="75"/>
        <v>3.2403846153846154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2276</v>
      </c>
      <c r="Y496" s="618">
        <f t="shared" si="71"/>
        <v>2280.96</v>
      </c>
      <c r="Z496" s="36">
        <f>IFERROR(IF(Y496=0,"",ROUNDUP(Y496/H496,0)*0.01196),"")</f>
        <v>5.1667199999999998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2426.871212121212</v>
      </c>
      <c r="BN496" s="64">
        <f t="shared" si="73"/>
        <v>2432.16</v>
      </c>
      <c r="BO496" s="64">
        <f t="shared" si="74"/>
        <v>4.1448135198135203</v>
      </c>
      <c r="BP496" s="64">
        <f t="shared" si="75"/>
        <v>4.1538461538461542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767.61363636363637</v>
      </c>
      <c r="Y500" s="619">
        <f>IFERROR(Y492/H492,"0")+IFERROR(Y493/H493,"0")+IFERROR(Y494/H494,"0")+IFERROR(Y495/H495,"0")+IFERROR(Y496/H496,"0")+IFERROR(Y497/H497,"0")+IFERROR(Y498/H498,"0")+IFERROR(Y499/H499,"0")</f>
        <v>769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9.1972400000000007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4053</v>
      </c>
      <c r="Y501" s="619">
        <f>IFERROR(SUM(Y492:Y499),"0")</f>
        <v>4060.32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165</v>
      </c>
      <c r="Y509" s="618">
        <f t="shared" ref="Y509:Y515" si="76">IFERROR(IF(X509="",0,CEILING((X509/$H509),1)*$H509),"")</f>
        <v>168.96</v>
      </c>
      <c r="Z509" s="36">
        <f>IFERROR(IF(Y509=0,"",ROUNDUP(Y509/H509,0)*0.01196),"")</f>
        <v>0.38272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175.93749999999997</v>
      </c>
      <c r="BN509" s="64">
        <f t="shared" ref="BN509:BN515" si="78">IFERROR(Y509*I509/H509,"0")</f>
        <v>180.16</v>
      </c>
      <c r="BO509" s="64">
        <f t="shared" ref="BO509:BO515" si="79">IFERROR(1/J509*(X509/H509),"0")</f>
        <v>0.30048076923076927</v>
      </c>
      <c r="BP509" s="64">
        <f t="shared" ref="BP509:BP515" si="80">IFERROR(1/J509*(Y509/H509),"0")</f>
        <v>0.30769230769230771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206</v>
      </c>
      <c r="Y511" s="618">
        <f t="shared" si="76"/>
        <v>211.20000000000002</v>
      </c>
      <c r="Z511" s="36">
        <f>IFERROR(IF(Y511=0,"",ROUNDUP(Y511/H511,0)*0.01196),"")</f>
        <v>0.47839999999999999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219.655303030303</v>
      </c>
      <c r="BN511" s="64">
        <f t="shared" si="78"/>
        <v>225.2</v>
      </c>
      <c r="BO511" s="64">
        <f t="shared" si="79"/>
        <v>0.37514568764568768</v>
      </c>
      <c r="BP511" s="64">
        <f t="shared" si="80"/>
        <v>0.38461538461538464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70.265151515151516</v>
      </c>
      <c r="Y516" s="619">
        <f>IFERROR(Y509/H509,"0")+IFERROR(Y510/H510,"0")+IFERROR(Y511/H511,"0")+IFERROR(Y512/H512,"0")+IFERROR(Y513/H513,"0")+IFERROR(Y514/H514,"0")+IFERROR(Y515/H515,"0")</f>
        <v>72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0.86112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371</v>
      </c>
      <c r="Y517" s="619">
        <f>IFERROR(SUM(Y509:Y515),"0")</f>
        <v>380.16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17587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17705.48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18556.787436489438</v>
      </c>
      <c r="Y547" s="619">
        <f>IFERROR(SUM(BN22:BN543),"0")</f>
        <v>18681.578000000001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31</v>
      </c>
      <c r="Y548" s="38">
        <f>ROUNDUP(SUM(BP22:BP543),0)</f>
        <v>31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19331.787436489438</v>
      </c>
      <c r="Y549" s="619">
        <f>GrossWeightTotalR+PalletQtyTotalR*25</f>
        <v>19456.578000000001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3064.0899452399453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3084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35.774660000000004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0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338.4</v>
      </c>
      <c r="F556" s="46">
        <f>IFERROR(Y84*1,"0")+IFERROR(Y85*1,"0")+IFERROR(Y86*1,"0")+IFERROR(Y87*1,"0")+IFERROR(Y88*1,"0")+IFERROR(Y89*1,"0")+IFERROR(Y93*1,"0")+IFERROR(Y94*1,"0")+IFERROR(Y95*1,"0")+IFERROR(Y96*1,"0")</f>
        <v>67.5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1742.04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601.02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301.64000000000004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1426.8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295.2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429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442.2</v>
      </c>
      <c r="U556" s="46">
        <f>IFERROR(Y406*1,"0")+IFERROR(Y407*1,"0")</f>
        <v>0</v>
      </c>
      <c r="V556" s="46">
        <f>IFERROR(Y412*1,"0")+IFERROR(Y413*1,"0")+IFERROR(Y414*1,"0")</f>
        <v>25.200000000000003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6525</v>
      </c>
      <c r="X556" s="46">
        <f>IFERROR(Y449*1,"0")+IFERROR(Y450*1,"0")+IFERROR(Y454*1,"0")+IFERROR(Y458*1,"0")+IFERROR(Y459*1,"0")+IFERROR(Y460*1,"0")</f>
        <v>1071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4440.4799999999996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9,00"/>
        <filter val="1 071,00"/>
        <filter val="1 085,00"/>
        <filter val="1 227,00"/>
        <filter val="1 411,00"/>
        <filter val="1 516,00"/>
        <filter val="1 777,00"/>
        <filter val="10,00"/>
        <filter val="108,00"/>
        <filter val="11,90"/>
        <filter val="119,00"/>
        <filter val="121,00"/>
        <filter val="122,08"/>
        <filter val="14,22"/>
        <filter val="149,70"/>
        <filter val="15,00"/>
        <filter val="150,00"/>
        <filter val="152,00"/>
        <filter val="165,00"/>
        <filter val="17 587,00"/>
        <filter val="18 556,79"/>
        <filter val="19 331,79"/>
        <filter val="2 276,00"/>
        <filter val="2 844,00"/>
        <filter val="202,00"/>
        <filter val="202,79"/>
        <filter val="206,00"/>
        <filter val="22,00"/>
        <filter val="244,00"/>
        <filter val="25,00"/>
        <filter val="26,00"/>
        <filter val="27,00"/>
        <filter val="275,00"/>
        <filter val="283,00"/>
        <filter val="29,00"/>
        <filter val="290,00"/>
        <filter val="293,00"/>
        <filter val="3 064,09"/>
        <filter val="31"/>
        <filter val="333,00"/>
        <filter val="346,05"/>
        <filter val="371,00"/>
        <filter val="375,00"/>
        <filter val="4 053,00"/>
        <filter val="4,00"/>
        <filter val="404,00"/>
        <filter val="42,37"/>
        <filter val="425,00"/>
        <filter val="427,00"/>
        <filter val="432,27"/>
        <filter val="439,00"/>
        <filter val="47,98"/>
        <filter val="48,08"/>
        <filter val="524,00"/>
        <filter val="54,74"/>
        <filter val="58,00"/>
        <filter val="596,00"/>
        <filter val="6 484,00"/>
        <filter val="6,00"/>
        <filter val="64,00"/>
        <filter val="66,00"/>
        <filter val="68,00"/>
        <filter val="7,94"/>
        <filter val="70,27"/>
        <filter val="74,09"/>
        <filter val="767,61"/>
        <filter val="77,00"/>
        <filter val="771,00"/>
        <filter val="788,00"/>
        <filter val="79,00"/>
        <filter val="85,00"/>
        <filter val="89,00"/>
        <filter val="9,00"/>
        <filter val="91,00"/>
        <filter val="95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