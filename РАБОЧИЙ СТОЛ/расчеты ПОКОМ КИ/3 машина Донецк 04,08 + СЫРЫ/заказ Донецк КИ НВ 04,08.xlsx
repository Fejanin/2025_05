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EC2B4B1-5518-4F03-9376-E49F8CDD21D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09" i="1" l="1"/>
  <c r="Z543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Z143" i="1" s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Z24" i="1" s="1"/>
  <c r="BN23" i="1"/>
  <c r="Y551" i="1" s="1"/>
  <c r="Y24" i="1"/>
  <c r="X550" i="1"/>
  <c r="Z27" i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Z67" i="1" s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Z92" i="1" s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Z215" i="1" s="1"/>
  <c r="Y215" i="1"/>
  <c r="BP224" i="1"/>
  <c r="BN224" i="1"/>
  <c r="Z224" i="1"/>
  <c r="Z237" i="1" s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Z245" i="1" s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Z277" i="1" s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Z297" i="1"/>
  <c r="BP364" i="1"/>
  <c r="BN364" i="1"/>
  <c r="Z364" i="1"/>
  <c r="Z368" i="1" s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Y298" i="1"/>
  <c r="Y308" i="1"/>
  <c r="BP301" i="1"/>
  <c r="BN301" i="1"/>
  <c r="Z301" i="1"/>
  <c r="Z308" i="1" s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Z359" i="1"/>
  <c r="BP357" i="1"/>
  <c r="BN357" i="1"/>
  <c r="Z357" i="1"/>
  <c r="BP366" i="1"/>
  <c r="BN366" i="1"/>
  <c r="Z366" i="1"/>
  <c r="Y379" i="1"/>
  <c r="BP374" i="1"/>
  <c r="BN374" i="1"/>
  <c r="Z374" i="1"/>
  <c r="Z378" i="1" s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Z463" i="1"/>
  <c r="BP461" i="1"/>
  <c r="BN461" i="1"/>
  <c r="Z461" i="1"/>
  <c r="BP496" i="1"/>
  <c r="BN496" i="1"/>
  <c r="Z496" i="1"/>
  <c r="BP500" i="1"/>
  <c r="BN500" i="1"/>
  <c r="Z500" i="1"/>
  <c r="Z504" i="1" s="1"/>
  <c r="Y504" i="1"/>
  <c r="Z510" i="1"/>
  <c r="BP508" i="1"/>
  <c r="BN508" i="1"/>
  <c r="Z508" i="1"/>
  <c r="Y510" i="1"/>
  <c r="X560" i="1"/>
  <c r="Y474" i="1"/>
  <c r="BP471" i="1"/>
  <c r="BN471" i="1"/>
  <c r="Z471" i="1"/>
  <c r="Z490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Y553" i="1" l="1"/>
  <c r="Z391" i="1"/>
  <c r="Z322" i="1"/>
  <c r="Y550" i="1"/>
  <c r="Z404" i="1"/>
  <c r="Z430" i="1"/>
  <c r="Z410" i="1"/>
  <c r="Z398" i="1"/>
  <c r="Z331" i="1"/>
  <c r="Z292" i="1"/>
  <c r="Z188" i="1"/>
  <c r="Z158" i="1"/>
  <c r="Z124" i="1"/>
  <c r="Z99" i="1"/>
  <c r="Z74" i="1"/>
  <c r="Z55" i="1"/>
  <c r="Z46" i="1"/>
  <c r="Z32" i="1"/>
  <c r="Z555" i="1" s="1"/>
  <c r="Y554" i="1"/>
  <c r="X553" i="1"/>
  <c r="Z347" i="1"/>
  <c r="Z194" i="1"/>
  <c r="Z169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<sst xmlns="http://schemas.openxmlformats.org/spreadsheetml/2006/main" count="2500" uniqueCount="907">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</sst>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33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774</v>
      </c>
      <c r="Y51" s="628">
        <f>IFERROR(IF(X51="",0,CEILING((X51/$H51),1)*$H51),"")</f>
        <v>777.6</v>
      </c>
      <c r="Z51" s="36">
        <f>IFERROR(IF(Y51=0,"",ROUNDUP(Y51/H51,0)*0.01898),"")</f>
        <v>1.36656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803.38333333333333</v>
      </c>
      <c r="BN51" s="64">
        <f>IFERROR(Y51*I51/H51,"0")</f>
        <v>807.12</v>
      </c>
      <c r="BO51" s="64">
        <f>IFERROR(1/J51*(X51/H51),"0")</f>
        <v>1.1197916666666665</v>
      </c>
      <c r="BP51" s="64">
        <f>IFERROR(1/J51*(Y51/H51),"0")</f>
        <v>1.125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71.666666666666657</v>
      </c>
      <c r="Y55" s="629">
        <f>IFERROR(Y51/H51,"0")+IFERROR(Y52/H52,"0")+IFERROR(Y53/H53,"0")+IFERROR(Y54/H54,"0")</f>
        <v>72</v>
      </c>
      <c r="Z55" s="629">
        <f>IFERROR(IF(Z51="",0,Z51),"0")+IFERROR(IF(Z52="",0,Z52),"0")+IFERROR(IF(Z53="",0,Z53),"0")+IFERROR(IF(Z54="",0,Z54),"0")</f>
        <v>1.36656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774</v>
      </c>
      <c r="Y56" s="629">
        <f>IFERROR(SUM(Y51:Y54),"0")</f>
        <v>777.6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595</v>
      </c>
      <c r="Y82" s="628">
        <f>IFERROR(IF(X82="",0,CEILING((X82/$H82),1)*$H82),"")</f>
        <v>600.6</v>
      </c>
      <c r="Z82" s="36">
        <f>IFERROR(IF(Y82=0,"",ROUNDUP(Y82/H82,0)*0.01898),"")</f>
        <v>1.46146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626.27564102564111</v>
      </c>
      <c r="BN82" s="64">
        <f>IFERROR(Y82*I82/H82,"0")</f>
        <v>632.17000000000007</v>
      </c>
      <c r="BO82" s="64">
        <f>IFERROR(1/J82*(X82/H82),"0")</f>
        <v>1.1919070512820513</v>
      </c>
      <c r="BP82" s="64">
        <f>IFERROR(1/J82*(Y82/H82),"0")</f>
        <v>1.203125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76.282051282051285</v>
      </c>
      <c r="Y84" s="629">
        <f>IFERROR(Y82/H82,"0")+IFERROR(Y83/H83,"0")</f>
        <v>77</v>
      </c>
      <c r="Z84" s="629">
        <f>IFERROR(IF(Z82="",0,Z82),"0")+IFERROR(IF(Z83="",0,Z83),"0")</f>
        <v>1.46146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595</v>
      </c>
      <c r="Y85" s="629">
        <f>IFERROR(SUM(Y82:Y83),"0")</f>
        <v>600.6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1065</v>
      </c>
      <c r="Y95" s="628">
        <f>IFERROR(IF(X95="",0,CEILING((X95/$H95),1)*$H95),"")</f>
        <v>1069.2</v>
      </c>
      <c r="Z95" s="36">
        <f>IFERROR(IF(Y95=0,"",ROUNDUP(Y95/H95,0)*0.01898),"")</f>
        <v>2.50536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1129.9518518518516</v>
      </c>
      <c r="BN95" s="64">
        <f>IFERROR(Y95*I95/H95,"0")</f>
        <v>1134.4079999999999</v>
      </c>
      <c r="BO95" s="64">
        <f>IFERROR(1/J95*(X95/H95),"0")</f>
        <v>2.0543981481481484</v>
      </c>
      <c r="BP95" s="64">
        <f>IFERROR(1/J95*(Y95/H95),"0")</f>
        <v>2.0625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921</v>
      </c>
      <c r="Y97" s="628">
        <f>IFERROR(IF(X97="",0,CEILING((X97/$H97),1)*$H97),"")</f>
        <v>923.40000000000009</v>
      </c>
      <c r="Z97" s="36">
        <f>IFERROR(IF(Y97=0,"",ROUNDUP(Y97/H97,0)*0.00651),"")</f>
        <v>2.2264200000000001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1006.9599999999999</v>
      </c>
      <c r="BN97" s="64">
        <f>IFERROR(Y97*I97/H97,"0")</f>
        <v>1009.5839999999999</v>
      </c>
      <c r="BO97" s="64">
        <f>IFERROR(1/J97*(X97/H97),"0")</f>
        <v>1.8742368742368742</v>
      </c>
      <c r="BP97" s="64">
        <f>IFERROR(1/J97*(Y97/H97),"0")</f>
        <v>1.8791208791208793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472.59259259259261</v>
      </c>
      <c r="Y99" s="629">
        <f>IFERROR(Y95/H95,"0")+IFERROR(Y96/H96,"0")+IFERROR(Y97/H97,"0")+IFERROR(Y98/H98,"0")</f>
        <v>474</v>
      </c>
      <c r="Z99" s="629">
        <f>IFERROR(IF(Z95="",0,Z95),"0")+IFERROR(IF(Z96="",0,Z96),"0")+IFERROR(IF(Z97="",0,Z97),"0")+IFERROR(IF(Z98="",0,Z98),"0")</f>
        <v>4.7317800000000005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1986</v>
      </c>
      <c r="Y100" s="629">
        <f>IFERROR(SUM(Y95:Y98),"0")</f>
        <v>1992.6000000000001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2024</v>
      </c>
      <c r="Y120" s="628">
        <f>IFERROR(IF(X120="",0,CEILING((X120/$H120),1)*$H120),"")</f>
        <v>2025</v>
      </c>
      <c r="Z120" s="36">
        <f>IFERROR(IF(Y120=0,"",ROUNDUP(Y120/H120,0)*0.01898),"")</f>
        <v>4.7450000000000001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2145.9397530864194</v>
      </c>
      <c r="BN120" s="64">
        <f>IFERROR(Y120*I120/H120,"0")</f>
        <v>2146.9999999999995</v>
      </c>
      <c r="BO120" s="64">
        <f>IFERROR(1/J120*(X120/H120),"0")</f>
        <v>3.9043209876543212</v>
      </c>
      <c r="BP120" s="64">
        <f>IFERROR(1/J120*(Y120/H120),"0")</f>
        <v>3.90625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789</v>
      </c>
      <c r="Y122" s="628">
        <f>IFERROR(IF(X122="",0,CEILING((X122/$H122),1)*$H122),"")</f>
        <v>791.1</v>
      </c>
      <c r="Z122" s="36">
        <f>IFERROR(IF(Y122=0,"",ROUNDUP(Y122/H122,0)*0.00651),"")</f>
        <v>1.90743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862.64</v>
      </c>
      <c r="BN122" s="64">
        <f>IFERROR(Y122*I122/H122,"0")</f>
        <v>864.93600000000004</v>
      </c>
      <c r="BO122" s="64">
        <f>IFERROR(1/J122*(X122/H122),"0")</f>
        <v>1.6056166056166057</v>
      </c>
      <c r="BP122" s="64">
        <f>IFERROR(1/J122*(Y122/H122),"0")</f>
        <v>1.6098901098901099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542.09876543209884</v>
      </c>
      <c r="Y124" s="629">
        <f>IFERROR(Y120/H120,"0")+IFERROR(Y121/H121,"0")+IFERROR(Y122/H122,"0")+IFERROR(Y123/H123,"0")</f>
        <v>543</v>
      </c>
      <c r="Z124" s="629">
        <f>IFERROR(IF(Z120="",0,Z120),"0")+IFERROR(IF(Z121="",0,Z121),"0")+IFERROR(IF(Z122="",0,Z122),"0")+IFERROR(IF(Z123="",0,Z123),"0")</f>
        <v>6.6524299999999998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2813</v>
      </c>
      <c r="Y125" s="629">
        <f>IFERROR(SUM(Y120:Y123),"0")</f>
        <v>2816.1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140</v>
      </c>
      <c r="Y185" s="628">
        <f t="shared" si="10"/>
        <v>141.12</v>
      </c>
      <c r="Z185" s="36">
        <f>IFERROR(IF(Y185=0,"",ROUNDUP(Y185/H185,0)*0.00502),"")</f>
        <v>0.42168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148.33333333333334</v>
      </c>
      <c r="BN185" s="64">
        <f t="shared" si="12"/>
        <v>149.52000000000001</v>
      </c>
      <c r="BO185" s="64">
        <f t="shared" si="13"/>
        <v>0.35612535612535623</v>
      </c>
      <c r="BP185" s="64">
        <f t="shared" si="14"/>
        <v>0.35897435897435903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83.333333333333343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84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0.42168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140</v>
      </c>
      <c r="Y189" s="629">
        <f>IFERROR(SUM(Y177:Y187),"0")</f>
        <v>141.12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106</v>
      </c>
      <c r="Y234" s="628">
        <f t="shared" si="21"/>
        <v>107.10000000000001</v>
      </c>
      <c r="Z234" s="36">
        <f>IFERROR(IF(Y234=0,"",ROUNDUP(Y234/H234,0)*0.00502),"")</f>
        <v>0.25602000000000003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111.04761904761905</v>
      </c>
      <c r="BN234" s="64">
        <f t="shared" si="23"/>
        <v>112.20000000000002</v>
      </c>
      <c r="BO234" s="64">
        <f t="shared" si="24"/>
        <v>0.21571021571021573</v>
      </c>
      <c r="BP234" s="64">
        <f t="shared" si="25"/>
        <v>0.21794871794871798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50.476190476190474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51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0.25602000000000003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106</v>
      </c>
      <c r="Y238" s="629">
        <f>IFERROR(SUM(Y223:Y236),"0")</f>
        <v>107.10000000000001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994</v>
      </c>
      <c r="Y286" s="628">
        <f t="shared" si="32"/>
        <v>996</v>
      </c>
      <c r="Z286" s="36">
        <f>IFERROR(IF(Y286=0,"",ROUNDUP(Y286/H286,0)*0.00651),"")</f>
        <v>2.7016499999999999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1098.3700000000001</v>
      </c>
      <c r="BN286" s="64">
        <f t="shared" si="34"/>
        <v>1100.5800000000002</v>
      </c>
      <c r="BO286" s="64">
        <f t="shared" si="35"/>
        <v>2.275641025641026</v>
      </c>
      <c r="BP286" s="64">
        <f t="shared" si="36"/>
        <v>2.2802197802197806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149</v>
      </c>
      <c r="Y289" s="628">
        <f t="shared" si="32"/>
        <v>151.19999999999999</v>
      </c>
      <c r="Z289" s="36">
        <f>IFERROR(IF(Y289=0,"",ROUNDUP(Y289/H289,0)*0.00651),"")</f>
        <v>0.41012999999999999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164.64500000000001</v>
      </c>
      <c r="BN289" s="64">
        <f t="shared" si="34"/>
        <v>167.07599999999999</v>
      </c>
      <c r="BO289" s="64">
        <f t="shared" si="35"/>
        <v>0.34111721611721618</v>
      </c>
      <c r="BP289" s="64">
        <f t="shared" si="36"/>
        <v>0.3461538461538462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476.25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478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3.11178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1143</v>
      </c>
      <c r="Y293" s="629">
        <f>IFERROR(SUM(Y280:Y291),"0")</f>
        <v>1147.2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602</v>
      </c>
      <c r="Y389" s="628">
        <f>IFERROR(IF(X389="",0,CEILING((X389/$H389),1)*$H389),"")</f>
        <v>608.4</v>
      </c>
      <c r="Z389" s="36">
        <f>IFERROR(IF(Y389=0,"",ROUNDUP(Y389/H389,0)*0.01898),"")</f>
        <v>1.48044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640.12666666666667</v>
      </c>
      <c r="BN389" s="64">
        <f>IFERROR(Y389*I389/H389,"0")</f>
        <v>646.93200000000002</v>
      </c>
      <c r="BO389" s="64">
        <f>IFERROR(1/J389*(X389/H389),"0")</f>
        <v>1.2059294871794872</v>
      </c>
      <c r="BP389" s="64">
        <f>IFERROR(1/J389*(Y389/H389),"0")</f>
        <v>1.21875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77.179487179487182</v>
      </c>
      <c r="Y391" s="629">
        <f>IFERROR(Y388/H388,"0")+IFERROR(Y389/H389,"0")+IFERROR(Y390/H390,"0")</f>
        <v>78</v>
      </c>
      <c r="Z391" s="629">
        <f>IFERROR(IF(Z388="",0,Z388),"0")+IFERROR(IF(Z389="",0,Z389),"0")+IFERROR(IF(Z390="",0,Z390),"0")</f>
        <v>1.48044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602</v>
      </c>
      <c r="Y392" s="629">
        <f>IFERROR(SUM(Y388:Y390),"0")</f>
        <v>608.4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724</v>
      </c>
      <c r="Y424" s="628">
        <f t="shared" si="47"/>
        <v>735</v>
      </c>
      <c r="Z424" s="36">
        <f>IFERROR(IF(Y424=0,"",ROUNDUP(Y424/H424,0)*0.02175),"")</f>
        <v>1.06575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746.68533333333335</v>
      </c>
      <c r="BN424" s="64">
        <f t="shared" si="49"/>
        <v>758.03000000000009</v>
      </c>
      <c r="BO424" s="64">
        <f t="shared" si="50"/>
        <v>1.0055555555555555</v>
      </c>
      <c r="BP424" s="64">
        <f t="shared" si="51"/>
        <v>1.0208333333333333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48.266666666666666</v>
      </c>
      <c r="Y430" s="629">
        <f>IFERROR(Y422/H422,"0")+IFERROR(Y423/H423,"0")+IFERROR(Y424/H424,"0")+IFERROR(Y425/H425,"0")+IFERROR(Y426/H426,"0")+IFERROR(Y427/H427,"0")+IFERROR(Y428/H428,"0")+IFERROR(Y429/H429,"0")</f>
        <v>49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1.06575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724</v>
      </c>
      <c r="Y431" s="629">
        <f>IFERROR(SUM(Y422:Y429),"0")</f>
        <v>735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786</v>
      </c>
      <c r="Y433" s="628">
        <f>IFERROR(IF(X433="",0,CEILING((X433/$H433),1)*$H433),"")</f>
        <v>795</v>
      </c>
      <c r="Z433" s="36">
        <f>IFERROR(IF(Y433=0,"",ROUNDUP(Y433/H433,0)*0.02175),"")</f>
        <v>1.1527499999999999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810.62800000000004</v>
      </c>
      <c r="BN433" s="64">
        <f>IFERROR(Y433*I433/H433,"0")</f>
        <v>819.91</v>
      </c>
      <c r="BO433" s="64">
        <f>IFERROR(1/J433*(X433/H433),"0")</f>
        <v>1.0916666666666666</v>
      </c>
      <c r="BP433" s="64">
        <f>IFERROR(1/J433*(Y433/H433),"0")</f>
        <v>1.1041666666666665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52.4</v>
      </c>
      <c r="Y436" s="629">
        <f>IFERROR(Y433/H433,"0")+IFERROR(Y434/H434,"0")+IFERROR(Y435/H435,"0")</f>
        <v>53</v>
      </c>
      <c r="Z436" s="629">
        <f>IFERROR(IF(Z433="",0,Z433),"0")+IFERROR(IF(Z434="",0,Z434),"0")+IFERROR(IF(Z435="",0,Z435),"0")</f>
        <v>1.1527499999999999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786</v>
      </c>
      <c r="Y437" s="629">
        <f>IFERROR(SUM(Y433:Y435),"0")</f>
        <v>795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660</v>
      </c>
      <c r="Y498" s="628">
        <f t="shared" si="57"/>
        <v>660</v>
      </c>
      <c r="Z498" s="36">
        <f t="shared" si="58"/>
        <v>1.4950000000000001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703.74999999999989</v>
      </c>
      <c r="BN498" s="64">
        <f t="shared" si="60"/>
        <v>703.74999999999989</v>
      </c>
      <c r="BO498" s="64">
        <f t="shared" si="61"/>
        <v>1.2019230769230771</v>
      </c>
      <c r="BP498" s="64">
        <f t="shared" si="62"/>
        <v>1.2019230769230771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1793</v>
      </c>
      <c r="Y500" s="628">
        <f t="shared" si="57"/>
        <v>1795.2</v>
      </c>
      <c r="Z500" s="36">
        <f t="shared" si="58"/>
        <v>4.0663999999999998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1911.8541666666665</v>
      </c>
      <c r="BN500" s="64">
        <f t="shared" si="60"/>
        <v>1914.2</v>
      </c>
      <c r="BO500" s="64">
        <f t="shared" si="61"/>
        <v>3.265224358974359</v>
      </c>
      <c r="BP500" s="64">
        <f t="shared" si="62"/>
        <v>3.2692307692307696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390</v>
      </c>
      <c r="Y502" s="628">
        <f t="shared" si="57"/>
        <v>393.59999999999997</v>
      </c>
      <c r="Z502" s="36">
        <f>IFERROR(IF(Y502=0,"",ROUNDUP(Y502/H502,0)*0.00902),"")</f>
        <v>0.73964000000000008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561.4375</v>
      </c>
      <c r="BN502" s="64">
        <f t="shared" si="60"/>
        <v>566.62</v>
      </c>
      <c r="BO502" s="64">
        <f t="shared" si="61"/>
        <v>0.61553030303030309</v>
      </c>
      <c r="BP502" s="64">
        <f t="shared" si="62"/>
        <v>0.62121212121212122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326</v>
      </c>
      <c r="Y503" s="628">
        <f t="shared" si="57"/>
        <v>326.39999999999998</v>
      </c>
      <c r="Z503" s="36">
        <f>IFERROR(IF(Y503=0,"",ROUNDUP(Y503/H503,0)*0.00902),"")</f>
        <v>0.61336000000000002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469.30416666666667</v>
      </c>
      <c r="BN503" s="64">
        <f t="shared" si="60"/>
        <v>469.88</v>
      </c>
      <c r="BO503" s="64">
        <f t="shared" si="61"/>
        <v>0.5145202020202021</v>
      </c>
      <c r="BP503" s="64">
        <f t="shared" si="62"/>
        <v>0.51515151515151514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613.74999999999989</v>
      </c>
      <c r="Y504" s="629">
        <f>IFERROR(Y495/H495,"0")+IFERROR(Y496/H496,"0")+IFERROR(Y497/H497,"0")+IFERROR(Y498/H498,"0")+IFERROR(Y499/H499,"0")+IFERROR(Y500/H500,"0")+IFERROR(Y501/H501,"0")+IFERROR(Y502/H502,"0")+IFERROR(Y503/H503,"0")</f>
        <v>615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6.9144000000000005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3169</v>
      </c>
      <c r="Y505" s="629">
        <f>IFERROR(SUM(Y495:Y503),"0")</f>
        <v>3175.2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2071</v>
      </c>
      <c r="Y507" s="628">
        <f>IFERROR(IF(X507="",0,CEILING((X507/$H507),1)*$H507),"")</f>
        <v>2075.04</v>
      </c>
      <c r="Z507" s="36">
        <f>IFERROR(IF(Y507=0,"",ROUNDUP(Y507/H507,0)*0.01196),"")</f>
        <v>4.7002800000000002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2208.282196969697</v>
      </c>
      <c r="BN507" s="64">
        <f>IFERROR(Y507*I507/H507,"0")</f>
        <v>2212.5899999999997</v>
      </c>
      <c r="BO507" s="64">
        <f>IFERROR(1/J507*(X507/H507),"0")</f>
        <v>3.7714889277389276</v>
      </c>
      <c r="BP507" s="64">
        <f>IFERROR(1/J507*(Y507/H507),"0")</f>
        <v>3.7788461538461542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205</v>
      </c>
      <c r="Y509" s="628">
        <f>IFERROR(IF(X509="",0,CEILING((X509/$H509),1)*$H509),"")</f>
        <v>206.4</v>
      </c>
      <c r="Z509" s="36">
        <f>IFERROR(IF(Y509=0,"",ROUNDUP(Y509/H509,0)*0.00902),"")</f>
        <v>0.38785999999999998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295.11458333333331</v>
      </c>
      <c r="BN509" s="64">
        <f>IFERROR(Y509*I509/H509,"0")</f>
        <v>297.13000000000005</v>
      </c>
      <c r="BO509" s="64">
        <f>IFERROR(1/J509*(X509/H509),"0")</f>
        <v>0.32354797979797983</v>
      </c>
      <c r="BP509" s="64">
        <f>IFERROR(1/J509*(Y509/H509),"0")</f>
        <v>0.32575757575757575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434.94318181818176</v>
      </c>
      <c r="Y510" s="629">
        <f>IFERROR(Y507/H507,"0")+IFERROR(Y508/H508,"0")+IFERROR(Y509/H509,"0")</f>
        <v>436</v>
      </c>
      <c r="Z510" s="629">
        <f>IFERROR(IF(Z507="",0,Z507),"0")+IFERROR(IF(Z508="",0,Z508),"0")+IFERROR(IF(Z509="",0,Z509),"0")</f>
        <v>5.0881400000000001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2276</v>
      </c>
      <c r="Y511" s="629">
        <f>IFERROR(SUM(Y507:Y509),"0")</f>
        <v>2281.44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705</v>
      </c>
      <c r="Y514" s="628">
        <f t="shared" si="63"/>
        <v>707.52</v>
      </c>
      <c r="Z514" s="36">
        <f>IFERROR(IF(Y514=0,"",ROUNDUP(Y514/H514,0)*0.01196),"")</f>
        <v>1.6026400000000001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751.7329545454545</v>
      </c>
      <c r="BN514" s="64">
        <f t="shared" si="65"/>
        <v>754.42</v>
      </c>
      <c r="BO514" s="64">
        <f t="shared" si="66"/>
        <v>1.2838723776223777</v>
      </c>
      <c r="BP514" s="64">
        <f t="shared" si="67"/>
        <v>1.2884615384615385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896</v>
      </c>
      <c r="Y515" s="628">
        <f t="shared" si="63"/>
        <v>897.6</v>
      </c>
      <c r="Z515" s="36">
        <f>IFERROR(IF(Y515=0,"",ROUNDUP(Y515/H515,0)*0.01196),"")</f>
        <v>2.0331999999999999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955.39393939393926</v>
      </c>
      <c r="BN515" s="64">
        <f t="shared" si="65"/>
        <v>957.1</v>
      </c>
      <c r="BO515" s="64">
        <f t="shared" si="66"/>
        <v>1.6317016317016317</v>
      </c>
      <c r="BP515" s="64">
        <f t="shared" si="67"/>
        <v>1.6346153846153848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303.219696969697</v>
      </c>
      <c r="Y520" s="629">
        <f>IFERROR(Y513/H513,"0")+IFERROR(Y514/H514,"0")+IFERROR(Y515/H515,"0")+IFERROR(Y516/H516,"0")+IFERROR(Y517/H517,"0")+IFERROR(Y518/H518,"0")+IFERROR(Y519/H519,"0")</f>
        <v>304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3.63584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1601</v>
      </c>
      <c r="Y521" s="629">
        <f>IFERROR(SUM(Y513:Y519),"0")</f>
        <v>1605.12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16715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16782.48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18151.856039253955</v>
      </c>
      <c r="Y551" s="629">
        <f>IFERROR(SUM(BN22:BN547),"0")</f>
        <v>18225.155999999999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31</v>
      </c>
      <c r="Y552" s="38">
        <f>ROUNDUP(SUM(BP22:BP547),0)</f>
        <v>31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18926.856039253955</v>
      </c>
      <c r="Y553" s="629">
        <f>GrossWeightTotalR+PalletQtyTotalR*25</f>
        <v>19000.155999999999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3302.4586324169659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3314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37.339030000000008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777.6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600.6</v>
      </c>
      <c r="F560" s="46">
        <f>IFERROR(Y88*1,"0")+IFERROR(Y89*1,"0")+IFERROR(Y90*1,"0")+IFERROR(Y91*1,"0")+IFERROR(Y95*1,"0")+IFERROR(Y96*1,"0")+IFERROR(Y97*1,"0")+IFERROR(Y98*1,"0")</f>
        <v>1992.6000000000001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2816.1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141.12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107.10000000000001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1147.2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608.4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1530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7061.76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2026-07-31T09:45:51Z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