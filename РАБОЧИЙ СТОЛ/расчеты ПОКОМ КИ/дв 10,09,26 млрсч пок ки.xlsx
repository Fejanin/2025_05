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8F32FB40-9F47-4155-9533-0FD77190A7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Sheet!$A$3:$AL$134</definedName>
  </definedNames>
  <calcPr calcId="191029"/>
</workbook>
</file>

<file path=xl/calcChain.xml><?xml version="1.0" encoding="utf-8"?>
<calcChain xmlns="http://schemas.openxmlformats.org/spreadsheetml/2006/main">
  <c r="S5" i="1" l="1"/>
  <c r="AM7" i="1"/>
  <c r="AM8" i="1"/>
  <c r="AM9" i="1"/>
  <c r="AM12" i="1"/>
  <c r="AM13" i="1"/>
  <c r="AM14" i="1"/>
  <c r="AM15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3" i="1"/>
  <c r="AM34" i="1"/>
  <c r="AM35" i="1"/>
  <c r="AM36" i="1"/>
  <c r="AM37" i="1"/>
  <c r="AM38" i="1"/>
  <c r="AM39" i="1"/>
  <c r="AM40" i="1"/>
  <c r="AM42" i="1"/>
  <c r="AM43" i="1"/>
  <c r="AM44" i="1"/>
  <c r="AM46" i="1"/>
  <c r="AM47" i="1"/>
  <c r="AM48" i="1"/>
  <c r="AM49" i="1"/>
  <c r="AM50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1" i="1"/>
  <c r="AM82" i="1"/>
  <c r="AM83" i="1"/>
  <c r="AM84" i="1"/>
  <c r="AM85" i="1"/>
  <c r="AM86" i="1"/>
  <c r="AM87" i="1"/>
  <c r="AM89" i="1"/>
  <c r="AM93" i="1"/>
  <c r="AM94" i="1"/>
  <c r="AM96" i="1"/>
  <c r="AM97" i="1"/>
  <c r="AM98" i="1"/>
  <c r="AM99" i="1"/>
  <c r="AM100" i="1"/>
  <c r="AM102" i="1"/>
  <c r="AM103" i="1"/>
  <c r="AM104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5" i="1"/>
  <c r="AM126" i="1"/>
  <c r="AM127" i="1"/>
  <c r="AM128" i="1"/>
  <c r="AM129" i="1"/>
  <c r="AM130" i="1"/>
  <c r="AM131" i="1"/>
  <c r="AM132" i="1"/>
  <c r="AM133" i="1"/>
  <c r="AM134" i="1"/>
  <c r="AM6" i="1"/>
  <c r="V7" i="1" l="1"/>
  <c r="AL7" i="1" s="1"/>
  <c r="V8" i="1"/>
  <c r="AL8" i="1" s="1"/>
  <c r="V9" i="1"/>
  <c r="W9" i="1" s="1"/>
  <c r="V12" i="1"/>
  <c r="W12" i="1" s="1"/>
  <c r="V18" i="1"/>
  <c r="W18" i="1" s="1"/>
  <c r="V19" i="1"/>
  <c r="W19" i="1" s="1"/>
  <c r="V21" i="1"/>
  <c r="W21" i="1" s="1"/>
  <c r="V22" i="1"/>
  <c r="V23" i="1"/>
  <c r="W23" i="1" s="1"/>
  <c r="V24" i="1"/>
  <c r="W24" i="1" s="1"/>
  <c r="V25" i="1"/>
  <c r="W25" i="1" s="1"/>
  <c r="V26" i="1"/>
  <c r="W26" i="1" s="1"/>
  <c r="V27" i="1"/>
  <c r="W27" i="1" s="1"/>
  <c r="V28" i="1"/>
  <c r="W28" i="1" s="1"/>
  <c r="V29" i="1"/>
  <c r="W29" i="1" s="1"/>
  <c r="V30" i="1"/>
  <c r="V34" i="1"/>
  <c r="W34" i="1" s="1"/>
  <c r="V36" i="1"/>
  <c r="W36" i="1" s="1"/>
  <c r="V37" i="1"/>
  <c r="W37" i="1" s="1"/>
  <c r="V38" i="1"/>
  <c r="W38" i="1" s="1"/>
  <c r="V39" i="1"/>
  <c r="W39" i="1" s="1"/>
  <c r="V40" i="1"/>
  <c r="W40" i="1" s="1"/>
  <c r="V42" i="1"/>
  <c r="W42" i="1" s="1"/>
  <c r="V43" i="1"/>
  <c r="W43" i="1" s="1"/>
  <c r="V44" i="1"/>
  <c r="V46" i="1"/>
  <c r="W46" i="1" s="1"/>
  <c r="V47" i="1"/>
  <c r="W47" i="1" s="1"/>
  <c r="V49" i="1"/>
  <c r="AL49" i="1" s="1"/>
  <c r="V50" i="1"/>
  <c r="W50" i="1" s="1"/>
  <c r="V52" i="1"/>
  <c r="W52" i="1" s="1"/>
  <c r="V54" i="1"/>
  <c r="W54" i="1" s="1"/>
  <c r="V55" i="1"/>
  <c r="W55" i="1" s="1"/>
  <c r="V56" i="1"/>
  <c r="W56" i="1" s="1"/>
  <c r="V57" i="1"/>
  <c r="W57" i="1" s="1"/>
  <c r="V60" i="1"/>
  <c r="W60" i="1" s="1"/>
  <c r="V63" i="1"/>
  <c r="W63" i="1" s="1"/>
  <c r="V65" i="1"/>
  <c r="W65" i="1" s="1"/>
  <c r="V67" i="1"/>
  <c r="W67" i="1" s="1"/>
  <c r="V68" i="1"/>
  <c r="W68" i="1" s="1"/>
  <c r="V69" i="1"/>
  <c r="W69" i="1" s="1"/>
  <c r="V70" i="1"/>
  <c r="W70" i="1" s="1"/>
  <c r="V72" i="1"/>
  <c r="AL72" i="1" s="1"/>
  <c r="V73" i="1"/>
  <c r="W73" i="1" s="1"/>
  <c r="V74" i="1"/>
  <c r="W74" i="1" s="1"/>
  <c r="V77" i="1"/>
  <c r="W77" i="1" s="1"/>
  <c r="V78" i="1"/>
  <c r="W78" i="1" s="1"/>
  <c r="V79" i="1"/>
  <c r="W79" i="1" s="1"/>
  <c r="V81" i="1"/>
  <c r="W81" i="1" s="1"/>
  <c r="V82" i="1"/>
  <c r="W82" i="1" s="1"/>
  <c r="V83" i="1"/>
  <c r="W83" i="1" s="1"/>
  <c r="V84" i="1"/>
  <c r="W84" i="1" s="1"/>
  <c r="V85" i="1"/>
  <c r="W85" i="1" s="1"/>
  <c r="V86" i="1"/>
  <c r="W86" i="1" s="1"/>
  <c r="V89" i="1"/>
  <c r="W89" i="1" s="1"/>
  <c r="V93" i="1"/>
  <c r="W93" i="1" s="1"/>
  <c r="V94" i="1"/>
  <c r="W94" i="1" s="1"/>
  <c r="V96" i="1"/>
  <c r="W96" i="1" s="1"/>
  <c r="V98" i="1"/>
  <c r="W98" i="1" s="1"/>
  <c r="V99" i="1"/>
  <c r="W99" i="1" s="1"/>
  <c r="V100" i="1"/>
  <c r="W100" i="1" s="1"/>
  <c r="V102" i="1"/>
  <c r="W102" i="1" s="1"/>
  <c r="V103" i="1"/>
  <c r="W103" i="1" s="1"/>
  <c r="V104" i="1"/>
  <c r="W104" i="1" s="1"/>
  <c r="V107" i="1"/>
  <c r="W107" i="1" s="1"/>
  <c r="V108" i="1"/>
  <c r="W108" i="1" s="1"/>
  <c r="V109" i="1"/>
  <c r="W109" i="1" s="1"/>
  <c r="V110" i="1"/>
  <c r="W110" i="1" s="1"/>
  <c r="V111" i="1"/>
  <c r="W111" i="1" s="1"/>
  <c r="V112" i="1"/>
  <c r="W112" i="1" s="1"/>
  <c r="V113" i="1"/>
  <c r="W113" i="1" s="1"/>
  <c r="V114" i="1"/>
  <c r="W114" i="1" s="1"/>
  <c r="V115" i="1"/>
  <c r="W115" i="1" s="1"/>
  <c r="V116" i="1"/>
  <c r="W116" i="1" s="1"/>
  <c r="V117" i="1"/>
  <c r="W117" i="1" s="1"/>
  <c r="V120" i="1"/>
  <c r="W120" i="1" s="1"/>
  <c r="V126" i="1"/>
  <c r="W126" i="1" s="1"/>
  <c r="AL126" i="1" s="1"/>
  <c r="V128" i="1"/>
  <c r="W128" i="1" s="1"/>
  <c r="V129" i="1"/>
  <c r="W129" i="1" s="1"/>
  <c r="V131" i="1"/>
  <c r="W131" i="1" s="1"/>
  <c r="V132" i="1"/>
  <c r="W132" i="1" s="1"/>
  <c r="V133" i="1"/>
  <c r="W133" i="1" s="1"/>
  <c r="V134" i="1"/>
  <c r="W134" i="1" s="1"/>
  <c r="AL133" i="1" l="1"/>
  <c r="AL131" i="1"/>
  <c r="AL128" i="1"/>
  <c r="AL120" i="1"/>
  <c r="AL116" i="1"/>
  <c r="AL114" i="1"/>
  <c r="AL112" i="1"/>
  <c r="AL110" i="1"/>
  <c r="AL108" i="1"/>
  <c r="AL104" i="1"/>
  <c r="AL102" i="1"/>
  <c r="AL99" i="1"/>
  <c r="AL96" i="1"/>
  <c r="AL93" i="1"/>
  <c r="AL86" i="1"/>
  <c r="AL84" i="1"/>
  <c r="AL82" i="1"/>
  <c r="AL79" i="1"/>
  <c r="AL77" i="1"/>
  <c r="AL73" i="1"/>
  <c r="AL70" i="1"/>
  <c r="AL68" i="1"/>
  <c r="AL65" i="1"/>
  <c r="AL60" i="1"/>
  <c r="AL56" i="1"/>
  <c r="AL54" i="1"/>
  <c r="AL50" i="1"/>
  <c r="AL47" i="1"/>
  <c r="AL42" i="1"/>
  <c r="AL39" i="1"/>
  <c r="AL37" i="1"/>
  <c r="AL34" i="1"/>
  <c r="AL29" i="1"/>
  <c r="AL27" i="1"/>
  <c r="AL25" i="1"/>
  <c r="AL23" i="1"/>
  <c r="AL21" i="1"/>
  <c r="AL18" i="1"/>
  <c r="AL9" i="1"/>
  <c r="AL134" i="1"/>
  <c r="AL132" i="1"/>
  <c r="AL129" i="1"/>
  <c r="AL117" i="1"/>
  <c r="AL115" i="1"/>
  <c r="AL113" i="1"/>
  <c r="AL111" i="1"/>
  <c r="AL109" i="1"/>
  <c r="AL107" i="1"/>
  <c r="AL103" i="1"/>
  <c r="AL100" i="1"/>
  <c r="AL98" i="1"/>
  <c r="AL94" i="1"/>
  <c r="AL89" i="1"/>
  <c r="AL85" i="1"/>
  <c r="AL83" i="1"/>
  <c r="AL81" i="1"/>
  <c r="AL78" i="1"/>
  <c r="AL74" i="1"/>
  <c r="AL69" i="1"/>
  <c r="AL67" i="1"/>
  <c r="AL63" i="1"/>
  <c r="AL57" i="1"/>
  <c r="AL55" i="1"/>
  <c r="AL52" i="1"/>
  <c r="AL46" i="1"/>
  <c r="AL43" i="1"/>
  <c r="AL40" i="1"/>
  <c r="AL38" i="1"/>
  <c r="AL36" i="1"/>
  <c r="AL28" i="1"/>
  <c r="AL26" i="1"/>
  <c r="AL24" i="1"/>
  <c r="AL19" i="1"/>
  <c r="AL12" i="1"/>
  <c r="AL44" i="1"/>
  <c r="AL30" i="1"/>
  <c r="AL22" i="1"/>
  <c r="T134" i="1"/>
  <c r="Y134" i="1" s="1"/>
  <c r="L134" i="1"/>
  <c r="T133" i="1"/>
  <c r="Y133" i="1" s="1"/>
  <c r="L133" i="1"/>
  <c r="T132" i="1"/>
  <c r="Y132" i="1" s="1"/>
  <c r="L132" i="1"/>
  <c r="T131" i="1"/>
  <c r="Y131" i="1" s="1"/>
  <c r="L131" i="1"/>
  <c r="T130" i="1"/>
  <c r="L130" i="1"/>
  <c r="T129" i="1"/>
  <c r="Y129" i="1" s="1"/>
  <c r="L129" i="1"/>
  <c r="T128" i="1"/>
  <c r="Y128" i="1" s="1"/>
  <c r="L128" i="1"/>
  <c r="T127" i="1"/>
  <c r="Z127" i="1" s="1"/>
  <c r="L127" i="1"/>
  <c r="T126" i="1"/>
  <c r="L126" i="1"/>
  <c r="F126" i="1"/>
  <c r="Y126" i="1" s="1"/>
  <c r="T125" i="1"/>
  <c r="U125" i="1" s="1"/>
  <c r="V125" i="1" s="1"/>
  <c r="L125" i="1"/>
  <c r="T124" i="1"/>
  <c r="L124" i="1"/>
  <c r="T123" i="1"/>
  <c r="U123" i="1" s="1"/>
  <c r="V123" i="1" s="1"/>
  <c r="X123" i="1" s="1"/>
  <c r="AM123" i="1" s="1"/>
  <c r="L123" i="1"/>
  <c r="T122" i="1"/>
  <c r="L122" i="1"/>
  <c r="T121" i="1"/>
  <c r="U121" i="1" s="1"/>
  <c r="V121" i="1" s="1"/>
  <c r="X121" i="1" s="1"/>
  <c r="AM121" i="1" s="1"/>
  <c r="L121" i="1"/>
  <c r="T120" i="1"/>
  <c r="Y120" i="1" s="1"/>
  <c r="L120" i="1"/>
  <c r="T119" i="1"/>
  <c r="U119" i="1" s="1"/>
  <c r="V119" i="1" s="1"/>
  <c r="L119" i="1"/>
  <c r="T118" i="1"/>
  <c r="U118" i="1" s="1"/>
  <c r="V118" i="1" s="1"/>
  <c r="L118" i="1"/>
  <c r="T117" i="1"/>
  <c r="Y117" i="1" s="1"/>
  <c r="L117" i="1"/>
  <c r="T116" i="1"/>
  <c r="Y116" i="1" s="1"/>
  <c r="L116" i="1"/>
  <c r="T115" i="1"/>
  <c r="Y115" i="1" s="1"/>
  <c r="L115" i="1"/>
  <c r="T114" i="1"/>
  <c r="Y114" i="1" s="1"/>
  <c r="L114" i="1"/>
  <c r="T113" i="1"/>
  <c r="Y113" i="1" s="1"/>
  <c r="L113" i="1"/>
  <c r="T112" i="1"/>
  <c r="Y112" i="1" s="1"/>
  <c r="L112" i="1"/>
  <c r="T111" i="1"/>
  <c r="Y111" i="1" s="1"/>
  <c r="L111" i="1"/>
  <c r="T110" i="1"/>
  <c r="Y110" i="1" s="1"/>
  <c r="L110" i="1"/>
  <c r="T109" i="1"/>
  <c r="Y109" i="1" s="1"/>
  <c r="L109" i="1"/>
  <c r="T108" i="1"/>
  <c r="Y108" i="1" s="1"/>
  <c r="L108" i="1"/>
  <c r="T107" i="1"/>
  <c r="Y107" i="1" s="1"/>
  <c r="L107" i="1"/>
  <c r="T106" i="1"/>
  <c r="L106" i="1"/>
  <c r="T105" i="1"/>
  <c r="L105" i="1"/>
  <c r="T104" i="1"/>
  <c r="Y104" i="1" s="1"/>
  <c r="L104" i="1"/>
  <c r="T103" i="1"/>
  <c r="Y103" i="1" s="1"/>
  <c r="L103" i="1"/>
  <c r="T102" i="1"/>
  <c r="Y102" i="1" s="1"/>
  <c r="L102" i="1"/>
  <c r="T101" i="1"/>
  <c r="U101" i="1" s="1"/>
  <c r="V101" i="1" s="1"/>
  <c r="X101" i="1" s="1"/>
  <c r="AM101" i="1" s="1"/>
  <c r="L101" i="1"/>
  <c r="T100" i="1"/>
  <c r="Y100" i="1" s="1"/>
  <c r="L100" i="1"/>
  <c r="T99" i="1"/>
  <c r="Y99" i="1" s="1"/>
  <c r="L99" i="1"/>
  <c r="T98" i="1"/>
  <c r="Y98" i="1" s="1"/>
  <c r="L98" i="1"/>
  <c r="T97" i="1"/>
  <c r="U97" i="1" s="1"/>
  <c r="V97" i="1" s="1"/>
  <c r="L97" i="1"/>
  <c r="T96" i="1"/>
  <c r="Y96" i="1" s="1"/>
  <c r="L96" i="1"/>
  <c r="T95" i="1"/>
  <c r="U95" i="1" s="1"/>
  <c r="V95" i="1" s="1"/>
  <c r="X95" i="1" s="1"/>
  <c r="AM95" i="1" s="1"/>
  <c r="L95" i="1"/>
  <c r="T94" i="1"/>
  <c r="Y94" i="1" s="1"/>
  <c r="L94" i="1"/>
  <c r="T93" i="1"/>
  <c r="Y93" i="1" s="1"/>
  <c r="L93" i="1"/>
  <c r="T92" i="1"/>
  <c r="L92" i="1"/>
  <c r="T91" i="1"/>
  <c r="L91" i="1"/>
  <c r="T90" i="1"/>
  <c r="U90" i="1" s="1"/>
  <c r="V90" i="1" s="1"/>
  <c r="X90" i="1" s="1"/>
  <c r="AM90" i="1" s="1"/>
  <c r="L90" i="1"/>
  <c r="T89" i="1"/>
  <c r="Y89" i="1" s="1"/>
  <c r="L89" i="1"/>
  <c r="T88" i="1"/>
  <c r="L88" i="1"/>
  <c r="T87" i="1"/>
  <c r="L87" i="1"/>
  <c r="T86" i="1"/>
  <c r="Y86" i="1" s="1"/>
  <c r="L86" i="1"/>
  <c r="T85" i="1"/>
  <c r="Y85" i="1" s="1"/>
  <c r="L85" i="1"/>
  <c r="T84" i="1"/>
  <c r="Y84" i="1" s="1"/>
  <c r="L84" i="1"/>
  <c r="T83" i="1"/>
  <c r="Y83" i="1" s="1"/>
  <c r="L83" i="1"/>
  <c r="T82" i="1"/>
  <c r="Y82" i="1" s="1"/>
  <c r="L82" i="1"/>
  <c r="T81" i="1"/>
  <c r="Y81" i="1" s="1"/>
  <c r="L81" i="1"/>
  <c r="T80" i="1"/>
  <c r="L80" i="1"/>
  <c r="T79" i="1"/>
  <c r="Y79" i="1" s="1"/>
  <c r="L79" i="1"/>
  <c r="T78" i="1"/>
  <c r="Y78" i="1" s="1"/>
  <c r="L78" i="1"/>
  <c r="T77" i="1"/>
  <c r="Y77" i="1" s="1"/>
  <c r="L77" i="1"/>
  <c r="T76" i="1"/>
  <c r="L76" i="1"/>
  <c r="T75" i="1"/>
  <c r="L75" i="1"/>
  <c r="T74" i="1"/>
  <c r="Y74" i="1" s="1"/>
  <c r="L74" i="1"/>
  <c r="T73" i="1"/>
  <c r="Y73" i="1" s="1"/>
  <c r="L73" i="1"/>
  <c r="T72" i="1"/>
  <c r="Y72" i="1" s="1"/>
  <c r="L72" i="1"/>
  <c r="T71" i="1"/>
  <c r="U71" i="1" s="1"/>
  <c r="V71" i="1" s="1"/>
  <c r="L71" i="1"/>
  <c r="T70" i="1"/>
  <c r="Y70" i="1" s="1"/>
  <c r="L70" i="1"/>
  <c r="T69" i="1"/>
  <c r="Y69" i="1" s="1"/>
  <c r="L69" i="1"/>
  <c r="T68" i="1"/>
  <c r="Y68" i="1" s="1"/>
  <c r="L68" i="1"/>
  <c r="T67" i="1"/>
  <c r="Y67" i="1" s="1"/>
  <c r="L67" i="1"/>
  <c r="T66" i="1"/>
  <c r="L66" i="1"/>
  <c r="T65" i="1"/>
  <c r="Y65" i="1" s="1"/>
  <c r="L65" i="1"/>
  <c r="T64" i="1"/>
  <c r="U64" i="1" s="1"/>
  <c r="V64" i="1" s="1"/>
  <c r="L64" i="1"/>
  <c r="T63" i="1"/>
  <c r="Y63" i="1" s="1"/>
  <c r="L63" i="1"/>
  <c r="T62" i="1"/>
  <c r="L62" i="1"/>
  <c r="T61" i="1"/>
  <c r="Y61" i="1" s="1"/>
  <c r="L61" i="1"/>
  <c r="T60" i="1"/>
  <c r="Y60" i="1" s="1"/>
  <c r="L60" i="1"/>
  <c r="T59" i="1"/>
  <c r="Y59" i="1" s="1"/>
  <c r="L59" i="1"/>
  <c r="F58" i="1"/>
  <c r="E58" i="1"/>
  <c r="L58" i="1" s="1"/>
  <c r="T57" i="1"/>
  <c r="Y57" i="1" s="1"/>
  <c r="L57" i="1"/>
  <c r="T56" i="1"/>
  <c r="Y56" i="1" s="1"/>
  <c r="L56" i="1"/>
  <c r="T55" i="1"/>
  <c r="Y55" i="1" s="1"/>
  <c r="L55" i="1"/>
  <c r="T54" i="1"/>
  <c r="Y54" i="1" s="1"/>
  <c r="L54" i="1"/>
  <c r="T53" i="1"/>
  <c r="L53" i="1"/>
  <c r="T52" i="1"/>
  <c r="Y52" i="1" s="1"/>
  <c r="L52" i="1"/>
  <c r="T51" i="1"/>
  <c r="L51" i="1"/>
  <c r="T50" i="1"/>
  <c r="Y50" i="1" s="1"/>
  <c r="L50" i="1"/>
  <c r="T49" i="1"/>
  <c r="Y49" i="1" s="1"/>
  <c r="L49" i="1"/>
  <c r="T48" i="1"/>
  <c r="L48" i="1"/>
  <c r="T47" i="1"/>
  <c r="Y47" i="1" s="1"/>
  <c r="L47" i="1"/>
  <c r="T46" i="1"/>
  <c r="Z46" i="1" s="1"/>
  <c r="L46" i="1"/>
  <c r="T45" i="1"/>
  <c r="L45" i="1"/>
  <c r="T44" i="1"/>
  <c r="Y44" i="1" s="1"/>
  <c r="L44" i="1"/>
  <c r="T43" i="1"/>
  <c r="Y43" i="1" s="1"/>
  <c r="L43" i="1"/>
  <c r="T42" i="1"/>
  <c r="Y42" i="1" s="1"/>
  <c r="L42" i="1"/>
  <c r="T41" i="1"/>
  <c r="L41" i="1"/>
  <c r="T40" i="1"/>
  <c r="Y40" i="1" s="1"/>
  <c r="L40" i="1"/>
  <c r="T39" i="1"/>
  <c r="Y39" i="1" s="1"/>
  <c r="L39" i="1"/>
  <c r="T38" i="1"/>
  <c r="Y38" i="1" s="1"/>
  <c r="L38" i="1"/>
  <c r="T37" i="1"/>
  <c r="Y37" i="1" s="1"/>
  <c r="L37" i="1"/>
  <c r="T36" i="1"/>
  <c r="Y36" i="1" s="1"/>
  <c r="L36" i="1"/>
  <c r="T35" i="1"/>
  <c r="L35" i="1"/>
  <c r="T34" i="1"/>
  <c r="Y34" i="1" s="1"/>
  <c r="L34" i="1"/>
  <c r="T33" i="1"/>
  <c r="L33" i="1"/>
  <c r="T32" i="1"/>
  <c r="L32" i="1"/>
  <c r="T31" i="1"/>
  <c r="L31" i="1"/>
  <c r="T30" i="1"/>
  <c r="Y30" i="1" s="1"/>
  <c r="L30" i="1"/>
  <c r="T29" i="1"/>
  <c r="Y29" i="1" s="1"/>
  <c r="L29" i="1"/>
  <c r="T28" i="1"/>
  <c r="Y28" i="1" s="1"/>
  <c r="L28" i="1"/>
  <c r="T27" i="1"/>
  <c r="Y27" i="1" s="1"/>
  <c r="L27" i="1"/>
  <c r="T26" i="1"/>
  <c r="Z26" i="1" s="1"/>
  <c r="L26" i="1"/>
  <c r="T25" i="1"/>
  <c r="Y25" i="1" s="1"/>
  <c r="L25" i="1"/>
  <c r="T24" i="1"/>
  <c r="Y24" i="1" s="1"/>
  <c r="L24" i="1"/>
  <c r="T23" i="1"/>
  <c r="Y23" i="1" s="1"/>
  <c r="L23" i="1"/>
  <c r="T22" i="1"/>
  <c r="Y22" i="1" s="1"/>
  <c r="L22" i="1"/>
  <c r="T21" i="1"/>
  <c r="Y21" i="1" s="1"/>
  <c r="L21" i="1"/>
  <c r="T20" i="1"/>
  <c r="U20" i="1" s="1"/>
  <c r="V20" i="1" s="1"/>
  <c r="W20" i="1" s="1"/>
  <c r="L20" i="1"/>
  <c r="T19" i="1"/>
  <c r="Y19" i="1" s="1"/>
  <c r="L19" i="1"/>
  <c r="T18" i="1"/>
  <c r="Z18" i="1" s="1"/>
  <c r="L18" i="1"/>
  <c r="T17" i="1"/>
  <c r="L17" i="1"/>
  <c r="T16" i="1"/>
  <c r="U16" i="1" s="1"/>
  <c r="V16" i="1" s="1"/>
  <c r="L16" i="1"/>
  <c r="T15" i="1"/>
  <c r="Y15" i="1" s="1"/>
  <c r="L15" i="1"/>
  <c r="T14" i="1"/>
  <c r="Z14" i="1" s="1"/>
  <c r="L14" i="1"/>
  <c r="T13" i="1"/>
  <c r="L13" i="1"/>
  <c r="T12" i="1"/>
  <c r="Z12" i="1" s="1"/>
  <c r="L12" i="1"/>
  <c r="T11" i="1"/>
  <c r="U11" i="1" s="1"/>
  <c r="V11" i="1" s="1"/>
  <c r="X11" i="1" s="1"/>
  <c r="L11" i="1"/>
  <c r="T10" i="1"/>
  <c r="L10" i="1"/>
  <c r="T9" i="1"/>
  <c r="Y9" i="1" s="1"/>
  <c r="L9" i="1"/>
  <c r="T8" i="1"/>
  <c r="Y8" i="1" s="1"/>
  <c r="L8" i="1"/>
  <c r="T7" i="1"/>
  <c r="Y7" i="1" s="1"/>
  <c r="L7" i="1"/>
  <c r="T6" i="1"/>
  <c r="L6" i="1"/>
  <c r="AJ5" i="1"/>
  <c r="AI5" i="1"/>
  <c r="AH5" i="1"/>
  <c r="AG5" i="1"/>
  <c r="AF5" i="1"/>
  <c r="AE5" i="1"/>
  <c r="AD5" i="1"/>
  <c r="AC5" i="1"/>
  <c r="AB5" i="1"/>
  <c r="AA5" i="1"/>
  <c r="R5" i="1"/>
  <c r="Q5" i="1"/>
  <c r="P5" i="1"/>
  <c r="O5" i="1"/>
  <c r="N5" i="1"/>
  <c r="M5" i="1"/>
  <c r="K5" i="1"/>
  <c r="AM11" i="1" l="1"/>
  <c r="Y11" i="1"/>
  <c r="AL20" i="1"/>
  <c r="Y20" i="1"/>
  <c r="Y46" i="1"/>
  <c r="Y18" i="1"/>
  <c r="Y12" i="1"/>
  <c r="Y26" i="1"/>
  <c r="AM16" i="1"/>
  <c r="AL11" i="1"/>
  <c r="Z54" i="1"/>
  <c r="Z56" i="1"/>
  <c r="W64" i="1"/>
  <c r="W71" i="1"/>
  <c r="Z73" i="1"/>
  <c r="W90" i="1"/>
  <c r="Z93" i="1"/>
  <c r="Z94" i="1"/>
  <c r="W95" i="1"/>
  <c r="Z96" i="1"/>
  <c r="W97" i="1"/>
  <c r="Z98" i="1"/>
  <c r="W101" i="1"/>
  <c r="Z102" i="1"/>
  <c r="Z103" i="1"/>
  <c r="Z104" i="1"/>
  <c r="Z107" i="1"/>
  <c r="Z108" i="1"/>
  <c r="Z109" i="1"/>
  <c r="Z110" i="1"/>
  <c r="Z114" i="1"/>
  <c r="Z116" i="1"/>
  <c r="Z117" i="1"/>
  <c r="W118" i="1"/>
  <c r="W119" i="1"/>
  <c r="W121" i="1"/>
  <c r="W123" i="1"/>
  <c r="W125" i="1"/>
  <c r="Z129" i="1"/>
  <c r="Z131" i="1"/>
  <c r="Z133" i="1"/>
  <c r="Z134" i="1"/>
  <c r="F5" i="1"/>
  <c r="Z20" i="1"/>
  <c r="Z16" i="1"/>
  <c r="Z97" i="1"/>
  <c r="Z111" i="1"/>
  <c r="Z52" i="1"/>
  <c r="Z95" i="1"/>
  <c r="Z99" i="1"/>
  <c r="Z6" i="1"/>
  <c r="U6" i="1"/>
  <c r="V6" i="1" s="1"/>
  <c r="Z10" i="1"/>
  <c r="U10" i="1"/>
  <c r="V10" i="1" s="1"/>
  <c r="X10" i="1" s="1"/>
  <c r="Y10" i="1" s="1"/>
  <c r="Z25" i="1"/>
  <c r="Z29" i="1"/>
  <c r="U32" i="1"/>
  <c r="V32" i="1" s="1"/>
  <c r="X32" i="1" s="1"/>
  <c r="AM32" i="1" s="1"/>
  <c r="Z40" i="1"/>
  <c r="Z47" i="1"/>
  <c r="Z8" i="1"/>
  <c r="Z23" i="1"/>
  <c r="Z31" i="1"/>
  <c r="U31" i="1"/>
  <c r="V31" i="1" s="1"/>
  <c r="U35" i="1"/>
  <c r="V35" i="1" s="1"/>
  <c r="Z38" i="1"/>
  <c r="U41" i="1"/>
  <c r="V41" i="1" s="1"/>
  <c r="X41" i="1" s="1"/>
  <c r="AM41" i="1" s="1"/>
  <c r="U48" i="1"/>
  <c r="V48" i="1" s="1"/>
  <c r="Z59" i="1"/>
  <c r="U59" i="1"/>
  <c r="V59" i="1" s="1"/>
  <c r="Z65" i="1"/>
  <c r="Z67" i="1"/>
  <c r="Z74" i="1"/>
  <c r="Z76" i="1"/>
  <c r="U76" i="1"/>
  <c r="V76" i="1" s="1"/>
  <c r="Z78" i="1"/>
  <c r="Z81" i="1"/>
  <c r="Z88" i="1"/>
  <c r="U88" i="1"/>
  <c r="V88" i="1" s="1"/>
  <c r="X88" i="1" s="1"/>
  <c r="AM88" i="1" s="1"/>
  <c r="Z91" i="1"/>
  <c r="U91" i="1"/>
  <c r="V91" i="1" s="1"/>
  <c r="AM91" i="1" s="1"/>
  <c r="Z105" i="1"/>
  <c r="U105" i="1"/>
  <c r="V105" i="1" s="1"/>
  <c r="X105" i="1" s="1"/>
  <c r="AM105" i="1" s="1"/>
  <c r="Z119" i="1"/>
  <c r="Z124" i="1"/>
  <c r="U124" i="1"/>
  <c r="V124" i="1" s="1"/>
  <c r="X124" i="1" s="1"/>
  <c r="E5" i="1"/>
  <c r="Z13" i="1"/>
  <c r="U13" i="1"/>
  <c r="V13" i="1" s="1"/>
  <c r="Z15" i="1"/>
  <c r="U15" i="1"/>
  <c r="V15" i="1" s="1"/>
  <c r="Z17" i="1"/>
  <c r="U17" i="1"/>
  <c r="V17" i="1" s="1"/>
  <c r="X17" i="1" s="1"/>
  <c r="AM17" i="1" s="1"/>
  <c r="Z19" i="1"/>
  <c r="Z21" i="1"/>
  <c r="Z27" i="1"/>
  <c r="Z33" i="1"/>
  <c r="U33" i="1"/>
  <c r="V33" i="1" s="1"/>
  <c r="Z36" i="1"/>
  <c r="Z42" i="1"/>
  <c r="Z44" i="1"/>
  <c r="Z49" i="1"/>
  <c r="Z51" i="1"/>
  <c r="U51" i="1"/>
  <c r="V51" i="1" s="1"/>
  <c r="X51" i="1" s="1"/>
  <c r="AM51" i="1" s="1"/>
  <c r="Z53" i="1"/>
  <c r="U53" i="1"/>
  <c r="V53" i="1" s="1"/>
  <c r="Z55" i="1"/>
  <c r="Z57" i="1"/>
  <c r="Z61" i="1"/>
  <c r="U61" i="1"/>
  <c r="V61" i="1" s="1"/>
  <c r="Z63" i="1"/>
  <c r="Z69" i="1"/>
  <c r="Z71" i="1"/>
  <c r="Z75" i="1"/>
  <c r="Z77" i="1"/>
  <c r="Z79" i="1"/>
  <c r="Z83" i="1"/>
  <c r="Z87" i="1"/>
  <c r="Z89" i="1"/>
  <c r="Z122" i="1"/>
  <c r="U122" i="1"/>
  <c r="V122" i="1" s="1"/>
  <c r="X122" i="1" s="1"/>
  <c r="AM122" i="1" s="1"/>
  <c r="U130" i="1"/>
  <c r="V130" i="1" s="1"/>
  <c r="U14" i="1"/>
  <c r="V14" i="1" s="1"/>
  <c r="U45" i="1"/>
  <c r="V45" i="1" s="1"/>
  <c r="X45" i="1" s="1"/>
  <c r="AM45" i="1" s="1"/>
  <c r="U62" i="1"/>
  <c r="V62" i="1" s="1"/>
  <c r="U66" i="1"/>
  <c r="V66" i="1" s="1"/>
  <c r="X66" i="1" s="1"/>
  <c r="AM66" i="1" s="1"/>
  <c r="U75" i="1"/>
  <c r="V75" i="1" s="1"/>
  <c r="U80" i="1"/>
  <c r="V80" i="1" s="1"/>
  <c r="X80" i="1" s="1"/>
  <c r="AM80" i="1" s="1"/>
  <c r="U87" i="1"/>
  <c r="V87" i="1" s="1"/>
  <c r="U92" i="1"/>
  <c r="V92" i="1" s="1"/>
  <c r="AM92" i="1" s="1"/>
  <c r="U106" i="1"/>
  <c r="V106" i="1" s="1"/>
  <c r="U127" i="1"/>
  <c r="V127" i="1" s="1"/>
  <c r="L5" i="1"/>
  <c r="T58" i="1"/>
  <c r="U58" i="1" s="1"/>
  <c r="V58" i="1" s="1"/>
  <c r="Z85" i="1"/>
  <c r="Z101" i="1"/>
  <c r="Z113" i="1"/>
  <c r="Z115" i="1"/>
  <c r="Z121" i="1"/>
  <c r="Z123" i="1"/>
  <c r="Z125" i="1"/>
  <c r="Z7" i="1"/>
  <c r="Z9" i="1"/>
  <c r="Z11" i="1"/>
  <c r="Z22" i="1"/>
  <c r="Z24" i="1"/>
  <c r="Z28" i="1"/>
  <c r="Z30" i="1"/>
  <c r="Z32" i="1"/>
  <c r="Z34" i="1"/>
  <c r="Z35" i="1"/>
  <c r="Z37" i="1"/>
  <c r="Z39" i="1"/>
  <c r="Z41" i="1"/>
  <c r="Z43" i="1"/>
  <c r="Z45" i="1"/>
  <c r="Z48" i="1"/>
  <c r="Z50" i="1"/>
  <c r="Z60" i="1"/>
  <c r="Z62" i="1"/>
  <c r="Z64" i="1"/>
  <c r="Z66" i="1"/>
  <c r="Z68" i="1"/>
  <c r="Z70" i="1"/>
  <c r="Z72" i="1"/>
  <c r="Z80" i="1"/>
  <c r="Z82" i="1"/>
  <c r="Z84" i="1"/>
  <c r="Z86" i="1"/>
  <c r="Z90" i="1"/>
  <c r="Z92" i="1"/>
  <c r="Z100" i="1"/>
  <c r="Z106" i="1"/>
  <c r="Z112" i="1"/>
  <c r="Z118" i="1"/>
  <c r="Z120" i="1"/>
  <c r="Z126" i="1"/>
  <c r="Z128" i="1"/>
  <c r="Z130" i="1"/>
  <c r="Z132" i="1"/>
  <c r="AM124" i="1" l="1"/>
  <c r="Y124" i="1"/>
  <c r="AL123" i="1"/>
  <c r="Y123" i="1"/>
  <c r="AL119" i="1"/>
  <c r="Y119" i="1"/>
  <c r="AL101" i="1"/>
  <c r="Y101" i="1"/>
  <c r="AL97" i="1"/>
  <c r="Y97" i="1"/>
  <c r="AL95" i="1"/>
  <c r="Y95" i="1"/>
  <c r="AL64" i="1"/>
  <c r="Y64" i="1"/>
  <c r="AL125" i="1"/>
  <c r="Y125" i="1"/>
  <c r="AL121" i="1"/>
  <c r="Y121" i="1"/>
  <c r="AL118" i="1"/>
  <c r="Y118" i="1"/>
  <c r="AL90" i="1"/>
  <c r="Y90" i="1"/>
  <c r="AL71" i="1"/>
  <c r="Y71" i="1"/>
  <c r="Y58" i="1"/>
  <c r="AL58" i="1"/>
  <c r="AM10" i="1"/>
  <c r="X5" i="1"/>
  <c r="W127" i="1"/>
  <c r="W92" i="1"/>
  <c r="W80" i="1"/>
  <c r="W66" i="1"/>
  <c r="W45" i="1"/>
  <c r="W130" i="1"/>
  <c r="AL61" i="1"/>
  <c r="W53" i="1"/>
  <c r="W51" i="1"/>
  <c r="W33" i="1"/>
  <c r="AL124" i="1"/>
  <c r="AL59" i="1"/>
  <c r="W48" i="1"/>
  <c r="W31" i="1"/>
  <c r="W32" i="1"/>
  <c r="W106" i="1"/>
  <c r="W87" i="1"/>
  <c r="W75" i="1"/>
  <c r="W62" i="1"/>
  <c r="W14" i="1"/>
  <c r="W122" i="1"/>
  <c r="W17" i="1"/>
  <c r="AL15" i="1"/>
  <c r="W13" i="1"/>
  <c r="W105" i="1"/>
  <c r="W91" i="1"/>
  <c r="W88" i="1"/>
  <c r="W76" i="1"/>
  <c r="W41" i="1"/>
  <c r="W35" i="1"/>
  <c r="AL10" i="1"/>
  <c r="W6" i="1"/>
  <c r="Y6" i="1" s="1"/>
  <c r="V5" i="1"/>
  <c r="Z58" i="1"/>
  <c r="T5" i="1"/>
  <c r="U5" i="1"/>
  <c r="AL35" i="1" l="1"/>
  <c r="Y35" i="1"/>
  <c r="AL76" i="1"/>
  <c r="Y76" i="1"/>
  <c r="AL13" i="1"/>
  <c r="Y13" i="1"/>
  <c r="AL17" i="1"/>
  <c r="Y17" i="1"/>
  <c r="AL14" i="1"/>
  <c r="Y14" i="1"/>
  <c r="AL75" i="1"/>
  <c r="Y75" i="1"/>
  <c r="AL106" i="1"/>
  <c r="Y106" i="1"/>
  <c r="AL31" i="1"/>
  <c r="Y31" i="1"/>
  <c r="AL33" i="1"/>
  <c r="Y33" i="1"/>
  <c r="AL53" i="1"/>
  <c r="Y53" i="1"/>
  <c r="AL130" i="1"/>
  <c r="Y130" i="1"/>
  <c r="AL66" i="1"/>
  <c r="Y66" i="1"/>
  <c r="AL41" i="1"/>
  <c r="Y41" i="1"/>
  <c r="AL88" i="1"/>
  <c r="Y88" i="1"/>
  <c r="AL105" i="1"/>
  <c r="Y105" i="1"/>
  <c r="AL122" i="1"/>
  <c r="Y122" i="1"/>
  <c r="AL62" i="1"/>
  <c r="Y62" i="1"/>
  <c r="AL87" i="1"/>
  <c r="Y87" i="1"/>
  <c r="AL32" i="1"/>
  <c r="Y32" i="1"/>
  <c r="AL48" i="1"/>
  <c r="Y48" i="1"/>
  <c r="AL51" i="1"/>
  <c r="Y51" i="1"/>
  <c r="AL45" i="1"/>
  <c r="Y45" i="1"/>
  <c r="AL80" i="1"/>
  <c r="Y80" i="1"/>
  <c r="AL127" i="1"/>
  <c r="Y127" i="1"/>
  <c r="AM5" i="1"/>
  <c r="AL91" i="1"/>
  <c r="Y91" i="1"/>
  <c r="AL92" i="1"/>
  <c r="Y92" i="1"/>
  <c r="AL16" i="1"/>
  <c r="Y16" i="1"/>
  <c r="AL6" i="1"/>
  <c r="W5" i="1"/>
  <c r="AL5" i="1" l="1"/>
</calcChain>
</file>

<file path=xl/sharedStrings.xml><?xml version="1.0" encoding="utf-8"?>
<sst xmlns="http://schemas.openxmlformats.org/spreadsheetml/2006/main" count="495" uniqueCount="189">
  <si>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</si>
  <si>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</si>
  <si>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</si>
  <si>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</si>
  <si>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</si>
  <si>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</si>
  <si>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</si>
  <si>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</si>
  <si>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</si>
  <si>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</si>
  <si>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</si>
  <si>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</si>
  <si>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</si>
  <si>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</si>
  <si>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</si>
  <si>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</si>
  <si>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</si>
  <si>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</si>
  <si>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</si>
  <si>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</si>
  <si>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</si>
  <si>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</si>
  <si>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07,09,</t>
  </si>
  <si>
    <t>07,09,недогр</t>
  </si>
  <si>
    <t>07,09,доз</t>
  </si>
  <si>
    <t>12,09,</t>
  </si>
  <si>
    <t>10,09,</t>
  </si>
  <si>
    <t>08,09,</t>
  </si>
  <si>
    <t>03,09,</t>
  </si>
  <si>
    <t>01,09,</t>
  </si>
  <si>
    <t>27,08,</t>
  </si>
  <si>
    <t>25,08,</t>
  </si>
  <si>
    <t>20,08,</t>
  </si>
  <si>
    <t>18,08,</t>
  </si>
  <si>
    <t>13,08,</t>
  </si>
  <si>
    <t>11,08,</t>
  </si>
  <si>
    <t>06,08,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</si>
  <si>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</si>
  <si>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</si>
  <si>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</si>
  <si>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</si>
  <si>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</si>
  <si>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</si>
  <si>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</si>
  <si>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</si>
  <si>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</si>
  <si>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</si>
  <si>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вышли из ПРОМО (в сентябре)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</si>
  <si>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</si>
  <si>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</si>
  <si>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</si>
  <si>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</si>
  <si>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</si>
  <si>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</si>
  <si>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</si>
  <si>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</si>
  <si>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</si>
  <si>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</si>
  <si>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</si>
  <si>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</si>
  <si>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</si>
  <si>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</si>
  <si>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>нужно увеличить продажи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</si>
  <si>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</si>
  <si>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</si>
  <si>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</si>
  <si>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</si>
  <si>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</si>
  <si>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</si>
  <si>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</si>
  <si>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</si>
  <si>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</si>
  <si>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</si>
  <si>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</si>
  <si>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</si>
  <si>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</si>
  <si>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</si>
  <si>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</si>
  <si>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</si>
  <si>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</si>
  <si>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</si>
  <si>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</si>
  <si>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ПРОМО сентябрь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</si>
  <si>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</si>
  <si>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</si>
  <si>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</si>
  <si>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</si>
  <si>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</si>
  <si>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</si>
  <si>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</si>
  <si>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</si>
  <si>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</si>
  <si>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>нужно увеличить продажи!!!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</si>
  <si>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</si>
  <si>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</si>
  <si>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</si>
  <si>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</si>
  <si>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</si>
  <si>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</si>
  <si>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</si>
  <si>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>нужно увеличить продажи / ПРОМО сентябрь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</si>
  <si>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</si>
  <si>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</si>
  <si>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</si>
  <si>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</si>
  <si>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</si>
  <si>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</si>
  <si>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</si>
  <si>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80кг задача ТК (31,07,26)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</si>
  <si>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</si>
  <si>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</si>
  <si>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</si>
  <si>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</si>
  <si>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</si>
  <si>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</si>
  <si>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</si>
  <si>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</si>
  <si>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</si>
  <si>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</si>
  <si>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</si>
  <si>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</si>
  <si>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</si>
  <si>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</si>
  <si>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</si>
  <si>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</si>
  <si>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</si>
  <si>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</si>
  <si>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</si>
  <si>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</si>
  <si>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</si>
  <si>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</si>
  <si>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</si>
  <si>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</si>
  <si>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</si>
  <si>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</si>
  <si>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</si>
  <si>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</si>
  <si>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</si>
  <si>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</si>
  <si>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</si>
  <si>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заказываем с 28,08,26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</si>
  <si>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</si>
  <si>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</si>
  <si>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</si>
  <si>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</si>
  <si>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</si>
  <si>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</si>
  <si>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</si>
  <si>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</si>
  <si>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</si>
  <si>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</si>
  <si>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</si>
  <si>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</si>
  <si>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</si>
  <si>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</si>
  <si>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</si>
  <si>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</si>
  <si>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</si>
  <si>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</si>
  <si>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</si>
  <si>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</si>
  <si>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</si>
  <si>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</si>
  <si>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</si>
  <si>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</si>
  <si>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</si>
  <si>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</si>
  <si>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</si>
  <si>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</si>
  <si>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</si>
  <si>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</si>
  <si>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</si>
  <si>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</si>
  <si>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</si>
  <si>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</si>
  <si>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</si>
  <si>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</si>
  <si>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</si>
  <si>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</si>
  <si>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</si>
  <si>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</si>
  <si>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</si>
  <si>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</si>
  <si>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заказ</t>
  </si>
  <si>
    <t>итого</t>
  </si>
  <si>
    <t>14,09,</t>
  </si>
  <si>
    <t>15,09,</t>
  </si>
  <si>
    <t>%</t>
  </si>
  <si>
    <t>12,09,доз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</si>
</sst>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164" fontId="5" fillId="8" borderId="1" xfId="1" applyNumberFormat="1" applyFont="1" applyFill="1"/>
    <xf numFmtId="164" fontId="6" fillId="2" borderId="1" xfId="1" applyNumberFormat="1" applyFont="1" applyFill="1"/>
    <xf numFmtId="164" fontId="7" fillId="0" borderId="1" xfId="1" applyNumberFormat="1" applyFont="1"/>
    <xf numFmtId="165" fontId="1" fillId="0" borderId="1" xfId="1" applyNumberFormat="1"/>
    <xf numFmtId="164" fontId="1" fillId="9" borderId="1" xfId="1" applyNumberFormat="1" applyFill="1"/>
    <xf numFmtId="164" fontId="9" fillId="0" borderId="1" xfId="1" applyNumberFormat="1" applyFont="1"/>
    <xf numFmtId="164" fontId="9" fillId="3" borderId="1" xfId="1" applyNumberFormat="1" applyFont="1" applyFill="1"/>
    <xf numFmtId="164" fontId="9" fillId="6" borderId="1" xfId="1" applyNumberFormat="1" applyFont="1" applyFill="1"/>
    <xf numFmtId="0" fontId="8" fillId="0" borderId="0" xfId="0" applyFon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0"/>
  <sheetViews>
    <sheetView tabSelected="1" zoomScale="85" workbookViewId="0">
      <pane xSplit="2" ySplit="5" topLeftCell="C75" activePane="bottomRight" state="frozen"/>
      <selection pane="topRight"/>
      <selection pane="bottomLeft"/>
      <selection pane="bottomRight" activeCell="S93" sqref="S9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7" style="24" customWidth="1"/>
    <col min="20" max="24" width="7" customWidth="1"/>
    <col min="25" max="26" width="5" customWidth="1"/>
    <col min="27" max="36" width="6" customWidth="1"/>
    <col min="37" max="37" width="24.42578125" customWidth="1"/>
    <col min="38" max="39" width="7" customWidth="1"/>
    <col min="40" max="53" width="8" customWidth="1"/>
  </cols>
  <sheetData>
    <row r="1" spans="1:53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1"/>
      <c r="T1" s="1"/>
      <c r="U1" s="1"/>
      <c r="V1" s="1"/>
      <c r="W1" s="1"/>
      <c r="X1" s="19">
        <v>0.59599999999999997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21">
        <v>670</v>
      </c>
      <c r="T2" s="1"/>
      <c r="U2" s="1"/>
      <c r="V2" s="1"/>
      <c r="W2" s="1"/>
      <c r="X2" s="18" t="s">
        <v>187</v>
      </c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3" t="s">
        <v>184</v>
      </c>
      <c r="W3" s="17" t="s">
        <v>183</v>
      </c>
      <c r="X3" s="17" t="s">
        <v>183</v>
      </c>
      <c r="Y3" s="2" t="s">
        <v>17</v>
      </c>
      <c r="Z3" s="2" t="s">
        <v>18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20</v>
      </c>
      <c r="AL3" s="2" t="s">
        <v>21</v>
      </c>
      <c r="AM3" s="2" t="s">
        <v>21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21" t="s">
        <v>188</v>
      </c>
      <c r="T4" s="1" t="s">
        <v>26</v>
      </c>
      <c r="U4" s="1"/>
      <c r="V4" s="1"/>
      <c r="W4" s="18" t="s">
        <v>185</v>
      </c>
      <c r="X4" s="18" t="s">
        <v>186</v>
      </c>
      <c r="Y4" s="1"/>
      <c r="Z4" s="1"/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 t="s">
        <v>36</v>
      </c>
      <c r="AK4" s="1"/>
      <c r="AL4" s="18" t="s">
        <v>185</v>
      </c>
      <c r="AM4" s="18" t="s">
        <v>186</v>
      </c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SUM(E6:E500)</f>
        <v>23444.38</v>
      </c>
      <c r="F5" s="4">
        <f>SUM(F6:F500)</f>
        <v>14373.083000000001</v>
      </c>
      <c r="G5" s="7"/>
      <c r="H5" s="1"/>
      <c r="I5" s="1"/>
      <c r="J5" s="1"/>
      <c r="K5" s="4">
        <f t="shared" ref="K5:X5" si="0">SUM(K6:K500)</f>
        <v>25374.085000000006</v>
      </c>
      <c r="L5" s="4">
        <f t="shared" si="0"/>
        <v>-1929.7049999999997</v>
      </c>
      <c r="M5" s="4">
        <f t="shared" si="0"/>
        <v>0</v>
      </c>
      <c r="N5" s="4">
        <f t="shared" si="0"/>
        <v>0</v>
      </c>
      <c r="O5" s="4">
        <f t="shared" si="0"/>
        <v>10150.0819618</v>
      </c>
      <c r="P5" s="4">
        <f t="shared" si="0"/>
        <v>-1376.5</v>
      </c>
      <c r="Q5" s="4">
        <f t="shared" si="0"/>
        <v>780</v>
      </c>
      <c r="R5" s="4">
        <f t="shared" si="0"/>
        <v>20686.057696</v>
      </c>
      <c r="S5" s="22">
        <f t="shared" ref="S5" si="1">SUM(S6:S500)</f>
        <v>670</v>
      </c>
      <c r="T5" s="4">
        <f t="shared" si="0"/>
        <v>4688.8759999999993</v>
      </c>
      <c r="U5" s="4">
        <f t="shared" si="0"/>
        <v>15299.280864400003</v>
      </c>
      <c r="V5" s="4">
        <f t="shared" si="0"/>
        <v>15299.280864400003</v>
      </c>
      <c r="W5" s="4">
        <f t="shared" si="0"/>
        <v>11045.074408799999</v>
      </c>
      <c r="X5" s="4">
        <f t="shared" si="0"/>
        <v>7020.7382152</v>
      </c>
      <c r="Y5" s="1"/>
      <c r="Z5" s="1"/>
      <c r="AA5" s="4">
        <f t="shared" ref="AA5:AJ5" si="2">SUM(AA6:AA500)</f>
        <v>4508.2022000000024</v>
      </c>
      <c r="AB5" s="4">
        <f t="shared" si="2"/>
        <v>3139.2097999999987</v>
      </c>
      <c r="AC5" s="4">
        <f t="shared" si="2"/>
        <v>2557.4352000000008</v>
      </c>
      <c r="AD5" s="4">
        <f t="shared" si="2"/>
        <v>3687.9288000000001</v>
      </c>
      <c r="AE5" s="4">
        <f t="shared" si="2"/>
        <v>4635.2076000000015</v>
      </c>
      <c r="AF5" s="4">
        <f t="shared" si="2"/>
        <v>4207.7697999999991</v>
      </c>
      <c r="AG5" s="4">
        <f t="shared" si="2"/>
        <v>3443.0367999999989</v>
      </c>
      <c r="AH5" s="4">
        <f t="shared" si="2"/>
        <v>3963.5633999999986</v>
      </c>
      <c r="AI5" s="4">
        <f t="shared" si="2"/>
        <v>3762.9608000000012</v>
      </c>
      <c r="AJ5" s="4">
        <f t="shared" si="2"/>
        <v>3888.003999999999</v>
      </c>
      <c r="AK5" s="1"/>
      <c r="AL5" s="4">
        <f>SUM(AL6:AL500)</f>
        <v>8202</v>
      </c>
      <c r="AM5" s="4">
        <f>SUM(AM6:AM500)</f>
        <v>5464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37</v>
      </c>
      <c r="B6" s="1" t="s">
        <v>38</v>
      </c>
      <c r="C6" s="1">
        <v>523.09900000000005</v>
      </c>
      <c r="D6" s="1">
        <v>1.34</v>
      </c>
      <c r="E6" s="1">
        <v>254.14699999999999</v>
      </c>
      <c r="F6" s="1">
        <v>261.56799999999998</v>
      </c>
      <c r="G6" s="7">
        <v>1</v>
      </c>
      <c r="H6" s="1">
        <v>50</v>
      </c>
      <c r="I6" s="1" t="s">
        <v>39</v>
      </c>
      <c r="J6" s="1"/>
      <c r="K6" s="1">
        <v>245.75</v>
      </c>
      <c r="L6" s="1">
        <f t="shared" ref="L6:L37" si="3">E6-K6</f>
        <v>8.3969999999999914</v>
      </c>
      <c r="M6" s="1"/>
      <c r="N6" s="1"/>
      <c r="O6" s="1">
        <v>0</v>
      </c>
      <c r="P6" s="1"/>
      <c r="Q6" s="1"/>
      <c r="R6" s="1">
        <v>250</v>
      </c>
      <c r="S6" s="21"/>
      <c r="T6" s="1">
        <f t="shared" ref="T6:T37" si="4">E6/5</f>
        <v>50.8294</v>
      </c>
      <c r="U6" s="5">
        <f>12*T6-R6-Q6-P6-O6-F6</f>
        <v>98.384800000000041</v>
      </c>
      <c r="V6" s="5">
        <f>U6</f>
        <v>98.384800000000041</v>
      </c>
      <c r="W6" s="5">
        <f>V6-X6</f>
        <v>48.384800000000041</v>
      </c>
      <c r="X6" s="5">
        <v>50</v>
      </c>
      <c r="Y6" s="1">
        <f>(F6+O6+P6+Q6+R6+W6+X6)/T6</f>
        <v>12</v>
      </c>
      <c r="Z6" s="1">
        <f t="shared" ref="Z6:Z37" si="5">(F6+O6+P6+Q6+R6)/T6</f>
        <v>10.064411541352053</v>
      </c>
      <c r="AA6" s="1">
        <v>44.6526</v>
      </c>
      <c r="AB6" s="1">
        <v>29.516400000000001</v>
      </c>
      <c r="AC6" s="1">
        <v>27.771999999999998</v>
      </c>
      <c r="AD6" s="1">
        <v>46.390599999999999</v>
      </c>
      <c r="AE6" s="1">
        <v>62.169199999999996</v>
      </c>
      <c r="AF6" s="1">
        <v>46.914400000000001</v>
      </c>
      <c r="AG6" s="1">
        <v>34.5426</v>
      </c>
      <c r="AH6" s="1">
        <v>43.8718</v>
      </c>
      <c r="AI6" s="1">
        <v>37.962800000000001</v>
      </c>
      <c r="AJ6" s="1">
        <v>34.125799999999998</v>
      </c>
      <c r="AK6" s="1"/>
      <c r="AL6" s="1">
        <f>ROUND(G6*W6,0)</f>
        <v>48</v>
      </c>
      <c r="AM6" s="1">
        <f>ROUND(G6*X6,0)</f>
        <v>50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40</v>
      </c>
      <c r="B7" s="1" t="s">
        <v>38</v>
      </c>
      <c r="C7" s="1">
        <v>966.75400000000002</v>
      </c>
      <c r="D7" s="1">
        <v>267.11099999999999</v>
      </c>
      <c r="E7" s="1">
        <v>770.39599999999996</v>
      </c>
      <c r="F7" s="1">
        <v>327.63099999999997</v>
      </c>
      <c r="G7" s="7">
        <v>1</v>
      </c>
      <c r="H7" s="1">
        <v>45</v>
      </c>
      <c r="I7" s="1" t="s">
        <v>39</v>
      </c>
      <c r="J7" s="1"/>
      <c r="K7" s="1">
        <v>748.9</v>
      </c>
      <c r="L7" s="1">
        <f t="shared" si="3"/>
        <v>21.495999999999981</v>
      </c>
      <c r="M7" s="1"/>
      <c r="N7" s="1"/>
      <c r="O7" s="1">
        <v>634.49845759999971</v>
      </c>
      <c r="P7" s="1"/>
      <c r="Q7" s="1"/>
      <c r="R7" s="1">
        <v>900</v>
      </c>
      <c r="S7" s="21"/>
      <c r="T7" s="1">
        <f t="shared" si="4"/>
        <v>154.07919999999999</v>
      </c>
      <c r="U7" s="5"/>
      <c r="V7" s="5">
        <f t="shared" ref="V7:V70" si="6">U7</f>
        <v>0</v>
      </c>
      <c r="W7" s="5"/>
      <c r="X7" s="5">
        <v>150</v>
      </c>
      <c r="Y7" s="1">
        <f t="shared" ref="Y7:Y70" si="7">(F7+O7+P7+Q7+R7+W7+X7)/T7</f>
        <v>13.059059610901405</v>
      </c>
      <c r="Z7" s="1">
        <f t="shared" si="5"/>
        <v>12.085534307031706</v>
      </c>
      <c r="AA7" s="1">
        <v>164.6078</v>
      </c>
      <c r="AB7" s="1">
        <v>132.37119999999999</v>
      </c>
      <c r="AC7" s="1">
        <v>119.9396</v>
      </c>
      <c r="AD7" s="1">
        <v>148.16139999999999</v>
      </c>
      <c r="AE7" s="1">
        <v>172.14420000000001</v>
      </c>
      <c r="AF7" s="1">
        <v>171.35</v>
      </c>
      <c r="AG7" s="1">
        <v>161.2954</v>
      </c>
      <c r="AH7" s="1">
        <v>174.07939999999999</v>
      </c>
      <c r="AI7" s="1">
        <v>156.54300000000001</v>
      </c>
      <c r="AJ7" s="1">
        <v>115.7188</v>
      </c>
      <c r="AK7" s="1"/>
      <c r="AL7" s="1">
        <f t="shared" ref="AL7:AL70" si="8">ROUND(G7*W7,0)</f>
        <v>0</v>
      </c>
      <c r="AM7" s="1">
        <f t="shared" ref="AM7:AM70" si="9">ROUND(G7*X7,0)</f>
        <v>150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41</v>
      </c>
      <c r="B8" s="1" t="s">
        <v>38</v>
      </c>
      <c r="C8" s="1">
        <v>857.61900000000003</v>
      </c>
      <c r="D8" s="1">
        <v>521.24</v>
      </c>
      <c r="E8" s="1">
        <v>806.66800000000001</v>
      </c>
      <c r="F8" s="1">
        <v>458.60899999999998</v>
      </c>
      <c r="G8" s="7">
        <v>1</v>
      </c>
      <c r="H8" s="1">
        <v>45</v>
      </c>
      <c r="I8" s="1" t="s">
        <v>39</v>
      </c>
      <c r="J8" s="1"/>
      <c r="K8" s="1">
        <v>810.5</v>
      </c>
      <c r="L8" s="1">
        <f t="shared" si="3"/>
        <v>-3.8319999999999936</v>
      </c>
      <c r="M8" s="1"/>
      <c r="N8" s="1"/>
      <c r="O8" s="1">
        <v>476.30950059999998</v>
      </c>
      <c r="P8" s="1"/>
      <c r="Q8" s="1"/>
      <c r="R8" s="1">
        <v>1000</v>
      </c>
      <c r="S8" s="21"/>
      <c r="T8" s="1">
        <f t="shared" si="4"/>
        <v>161.33359999999999</v>
      </c>
      <c r="U8" s="5"/>
      <c r="V8" s="5">
        <f t="shared" si="6"/>
        <v>0</v>
      </c>
      <c r="W8" s="5"/>
      <c r="X8" s="5">
        <v>150</v>
      </c>
      <c r="Y8" s="1">
        <f t="shared" si="7"/>
        <v>12.923027197062483</v>
      </c>
      <c r="Z8" s="1">
        <f t="shared" si="5"/>
        <v>11.993276667724517</v>
      </c>
      <c r="AA8" s="1">
        <v>169.9598</v>
      </c>
      <c r="AB8" s="1">
        <v>134.94839999999999</v>
      </c>
      <c r="AC8" s="1">
        <v>134.37119999999999</v>
      </c>
      <c r="AD8" s="1">
        <v>157.68879999999999</v>
      </c>
      <c r="AE8" s="1">
        <v>164.05779999999999</v>
      </c>
      <c r="AF8" s="1">
        <v>176.13800000000001</v>
      </c>
      <c r="AG8" s="1">
        <v>166.39340000000001</v>
      </c>
      <c r="AH8" s="1">
        <v>154.95760000000001</v>
      </c>
      <c r="AI8" s="1">
        <v>140.4342</v>
      </c>
      <c r="AJ8" s="1">
        <v>130.178</v>
      </c>
      <c r="AK8" s="1"/>
      <c r="AL8" s="1">
        <f t="shared" si="8"/>
        <v>0</v>
      </c>
      <c r="AM8" s="1">
        <f t="shared" si="9"/>
        <v>150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42</v>
      </c>
      <c r="B9" s="1" t="s">
        <v>43</v>
      </c>
      <c r="C9" s="1">
        <v>7</v>
      </c>
      <c r="D9" s="1"/>
      <c r="E9" s="1">
        <v>8</v>
      </c>
      <c r="F9" s="1">
        <v>-1</v>
      </c>
      <c r="G9" s="7">
        <v>0.4</v>
      </c>
      <c r="H9" s="1">
        <v>50</v>
      </c>
      <c r="I9" s="1" t="s">
        <v>39</v>
      </c>
      <c r="J9" s="1"/>
      <c r="K9" s="1">
        <v>10</v>
      </c>
      <c r="L9" s="1">
        <f t="shared" si="3"/>
        <v>-2</v>
      </c>
      <c r="M9" s="1"/>
      <c r="N9" s="1"/>
      <c r="O9" s="1">
        <v>51.4</v>
      </c>
      <c r="P9" s="1"/>
      <c r="Q9" s="1"/>
      <c r="R9" s="1">
        <v>37.6</v>
      </c>
      <c r="S9" s="21"/>
      <c r="T9" s="1">
        <f t="shared" si="4"/>
        <v>1.6</v>
      </c>
      <c r="U9" s="5"/>
      <c r="V9" s="5">
        <f t="shared" si="6"/>
        <v>0</v>
      </c>
      <c r="W9" s="5">
        <f t="shared" ref="W9:W70" si="10">V9-X9</f>
        <v>0</v>
      </c>
      <c r="X9" s="5"/>
      <c r="Y9" s="1">
        <f t="shared" si="7"/>
        <v>55</v>
      </c>
      <c r="Z9" s="1">
        <f t="shared" si="5"/>
        <v>55</v>
      </c>
      <c r="AA9" s="1">
        <v>8</v>
      </c>
      <c r="AB9" s="1">
        <v>6.8</v>
      </c>
      <c r="AC9" s="1">
        <v>0.4</v>
      </c>
      <c r="AD9" s="1">
        <v>0.4</v>
      </c>
      <c r="AE9" s="1">
        <v>2.6</v>
      </c>
      <c r="AF9" s="1">
        <v>6.2</v>
      </c>
      <c r="AG9" s="1">
        <v>4.5999999999999996</v>
      </c>
      <c r="AH9" s="1">
        <v>2</v>
      </c>
      <c r="AI9" s="1">
        <v>2.6</v>
      </c>
      <c r="AJ9" s="1">
        <v>1.4</v>
      </c>
      <c r="AK9" s="1" t="s">
        <v>44</v>
      </c>
      <c r="AL9" s="1">
        <f t="shared" si="8"/>
        <v>0</v>
      </c>
      <c r="AM9" s="1">
        <f t="shared" si="9"/>
        <v>0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45</v>
      </c>
      <c r="B10" s="1" t="s">
        <v>43</v>
      </c>
      <c r="C10" s="1">
        <v>208</v>
      </c>
      <c r="D10" s="1">
        <v>309</v>
      </c>
      <c r="E10" s="1">
        <v>388</v>
      </c>
      <c r="F10" s="1">
        <v>75</v>
      </c>
      <c r="G10" s="7">
        <v>0.45</v>
      </c>
      <c r="H10" s="1">
        <v>45</v>
      </c>
      <c r="I10" s="1" t="s">
        <v>39</v>
      </c>
      <c r="J10" s="1"/>
      <c r="K10" s="1">
        <v>394</v>
      </c>
      <c r="L10" s="1">
        <f t="shared" si="3"/>
        <v>-6</v>
      </c>
      <c r="M10" s="1"/>
      <c r="N10" s="1"/>
      <c r="O10" s="1">
        <v>69.17600000000003</v>
      </c>
      <c r="P10" s="1"/>
      <c r="Q10" s="1"/>
      <c r="R10" s="1">
        <v>450</v>
      </c>
      <c r="S10" s="21"/>
      <c r="T10" s="1">
        <f t="shared" si="4"/>
        <v>77.599999999999994</v>
      </c>
      <c r="U10" s="5">
        <f t="shared" ref="U10" si="11">12*T10-R10-Q10-P10-O10-F10</f>
        <v>337.02399999999989</v>
      </c>
      <c r="V10" s="5">
        <f t="shared" si="6"/>
        <v>337.02399999999989</v>
      </c>
      <c r="W10" s="5">
        <v>200</v>
      </c>
      <c r="X10" s="5">
        <f>V10*$X$1</f>
        <v>200.86630399999993</v>
      </c>
      <c r="Y10" s="1">
        <f t="shared" si="7"/>
        <v>12.822710103092783</v>
      </c>
      <c r="Z10" s="1">
        <f t="shared" si="5"/>
        <v>7.6569072164948464</v>
      </c>
      <c r="AA10" s="1">
        <v>67.2</v>
      </c>
      <c r="AB10" s="1">
        <v>41.6</v>
      </c>
      <c r="AC10" s="1">
        <v>45.2</v>
      </c>
      <c r="AD10" s="1">
        <v>39.6</v>
      </c>
      <c r="AE10" s="1">
        <v>42.2</v>
      </c>
      <c r="AF10" s="1">
        <v>64.599999999999994</v>
      </c>
      <c r="AG10" s="1">
        <v>52.4</v>
      </c>
      <c r="AH10" s="1">
        <v>54.8</v>
      </c>
      <c r="AI10" s="1">
        <v>47.6</v>
      </c>
      <c r="AJ10" s="1">
        <v>31.2</v>
      </c>
      <c r="AK10" s="1"/>
      <c r="AL10" s="1">
        <f t="shared" si="8"/>
        <v>90</v>
      </c>
      <c r="AM10" s="1">
        <f t="shared" si="9"/>
        <v>90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46</v>
      </c>
      <c r="B11" s="1" t="s">
        <v>43</v>
      </c>
      <c r="C11" s="1">
        <v>276</v>
      </c>
      <c r="D11" s="1">
        <v>258</v>
      </c>
      <c r="E11" s="1">
        <v>498</v>
      </c>
      <c r="F11" s="1">
        <v>-5</v>
      </c>
      <c r="G11" s="7">
        <v>0.45</v>
      </c>
      <c r="H11" s="1">
        <v>45</v>
      </c>
      <c r="I11" s="1" t="s">
        <v>39</v>
      </c>
      <c r="J11" s="1"/>
      <c r="K11" s="1">
        <v>494</v>
      </c>
      <c r="L11" s="1">
        <f t="shared" si="3"/>
        <v>4</v>
      </c>
      <c r="M11" s="1"/>
      <c r="N11" s="1"/>
      <c r="O11" s="1">
        <v>0</v>
      </c>
      <c r="P11" s="1"/>
      <c r="Q11" s="1"/>
      <c r="R11" s="1">
        <v>531.19999999999993</v>
      </c>
      <c r="S11" s="21"/>
      <c r="T11" s="1">
        <f t="shared" si="4"/>
        <v>99.6</v>
      </c>
      <c r="U11" s="5">
        <f>10*T11-R11-Q11-P11-O11-F11</f>
        <v>469.80000000000007</v>
      </c>
      <c r="V11" s="5">
        <f t="shared" si="6"/>
        <v>469.80000000000007</v>
      </c>
      <c r="W11" s="5">
        <v>250</v>
      </c>
      <c r="X11" s="5">
        <f>V11*$X$1</f>
        <v>280.00080000000003</v>
      </c>
      <c r="Y11" s="1">
        <f t="shared" si="7"/>
        <v>10.604425702811247</v>
      </c>
      <c r="Z11" s="1">
        <f t="shared" si="5"/>
        <v>5.2831325301204819</v>
      </c>
      <c r="AA11" s="1">
        <v>87.8</v>
      </c>
      <c r="AB11" s="1">
        <v>37.6</v>
      </c>
      <c r="AC11" s="1">
        <v>38.200000000000003</v>
      </c>
      <c r="AD11" s="1">
        <v>44.6</v>
      </c>
      <c r="AE11" s="1">
        <v>39.4</v>
      </c>
      <c r="AF11" s="1">
        <v>82.8</v>
      </c>
      <c r="AG11" s="1">
        <v>80.599999999999994</v>
      </c>
      <c r="AH11" s="1">
        <v>70</v>
      </c>
      <c r="AI11" s="1">
        <v>63.8</v>
      </c>
      <c r="AJ11" s="1">
        <v>57.2</v>
      </c>
      <c r="AK11" s="10" t="s">
        <v>47</v>
      </c>
      <c r="AL11" s="1">
        <f t="shared" si="8"/>
        <v>113</v>
      </c>
      <c r="AM11" s="1">
        <f t="shared" si="9"/>
        <v>126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1" t="s">
        <v>48</v>
      </c>
      <c r="B12" s="11" t="s">
        <v>43</v>
      </c>
      <c r="C12" s="11"/>
      <c r="D12" s="11"/>
      <c r="E12" s="11"/>
      <c r="F12" s="11"/>
      <c r="G12" s="12">
        <v>0</v>
      </c>
      <c r="H12" s="11"/>
      <c r="I12" s="11" t="s">
        <v>39</v>
      </c>
      <c r="J12" s="11"/>
      <c r="K12" s="11"/>
      <c r="L12" s="11">
        <f t="shared" si="3"/>
        <v>0</v>
      </c>
      <c r="M12" s="11"/>
      <c r="N12" s="11"/>
      <c r="O12" s="11">
        <v>0</v>
      </c>
      <c r="P12" s="11"/>
      <c r="Q12" s="11"/>
      <c r="R12" s="11">
        <v>0</v>
      </c>
      <c r="S12" s="23"/>
      <c r="T12" s="11">
        <f t="shared" si="4"/>
        <v>0</v>
      </c>
      <c r="U12" s="13"/>
      <c r="V12" s="5">
        <f t="shared" si="6"/>
        <v>0</v>
      </c>
      <c r="W12" s="5">
        <f t="shared" si="10"/>
        <v>0</v>
      </c>
      <c r="X12" s="5"/>
      <c r="Y12" s="1" t="e">
        <f t="shared" si="7"/>
        <v>#DIV/0!</v>
      </c>
      <c r="Z12" s="11" t="e">
        <f t="shared" si="5"/>
        <v>#DIV/0!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 t="s">
        <v>49</v>
      </c>
      <c r="AL12" s="1">
        <f t="shared" si="8"/>
        <v>0</v>
      </c>
      <c r="AM12" s="1">
        <f t="shared" si="9"/>
        <v>0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50</v>
      </c>
      <c r="B13" s="1" t="s">
        <v>43</v>
      </c>
      <c r="C13" s="1">
        <v>9</v>
      </c>
      <c r="D13" s="1">
        <v>54</v>
      </c>
      <c r="E13" s="1">
        <v>54</v>
      </c>
      <c r="F13" s="1">
        <v>9</v>
      </c>
      <c r="G13" s="7">
        <v>0.3</v>
      </c>
      <c r="H13" s="1">
        <v>40</v>
      </c>
      <c r="I13" s="9" t="s">
        <v>51</v>
      </c>
      <c r="J13" s="1"/>
      <c r="K13" s="1">
        <v>88</v>
      </c>
      <c r="L13" s="1">
        <f t="shared" si="3"/>
        <v>-34</v>
      </c>
      <c r="M13" s="1"/>
      <c r="N13" s="1"/>
      <c r="O13" s="1">
        <v>80</v>
      </c>
      <c r="P13" s="1"/>
      <c r="Q13" s="1"/>
      <c r="R13" s="1">
        <v>31.400000000000009</v>
      </c>
      <c r="S13" s="21"/>
      <c r="T13" s="1">
        <f t="shared" si="4"/>
        <v>10.8</v>
      </c>
      <c r="U13" s="5">
        <f t="shared" ref="U13:U20" si="12">12*T13-R13-Q13-P13-O13-F13</f>
        <v>9.2000000000000171</v>
      </c>
      <c r="V13" s="5">
        <f t="shared" si="6"/>
        <v>9.2000000000000171</v>
      </c>
      <c r="W13" s="5">
        <f t="shared" si="10"/>
        <v>9.2000000000000171</v>
      </c>
      <c r="X13" s="5"/>
      <c r="Y13" s="1">
        <f t="shared" si="7"/>
        <v>12.000000000000002</v>
      </c>
      <c r="Z13" s="1">
        <f t="shared" si="5"/>
        <v>11.148148148148149</v>
      </c>
      <c r="AA13" s="1">
        <v>13.4</v>
      </c>
      <c r="AB13" s="1">
        <v>10.6</v>
      </c>
      <c r="AC13" s="1">
        <v>3</v>
      </c>
      <c r="AD13" s="1">
        <v>16.8</v>
      </c>
      <c r="AE13" s="1">
        <v>27</v>
      </c>
      <c r="AF13" s="1">
        <v>25</v>
      </c>
      <c r="AG13" s="1">
        <v>19.399999999999999</v>
      </c>
      <c r="AH13" s="1">
        <v>21.6</v>
      </c>
      <c r="AI13" s="1">
        <v>19.8</v>
      </c>
      <c r="AJ13" s="1">
        <v>20.2</v>
      </c>
      <c r="AK13" s="1"/>
      <c r="AL13" s="1">
        <f t="shared" si="8"/>
        <v>3</v>
      </c>
      <c r="AM13" s="1">
        <f t="shared" si="9"/>
        <v>0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52</v>
      </c>
      <c r="B14" s="1" t="s">
        <v>43</v>
      </c>
      <c r="C14" s="1">
        <v>303</v>
      </c>
      <c r="D14" s="1">
        <v>165</v>
      </c>
      <c r="E14" s="1">
        <v>160</v>
      </c>
      <c r="F14" s="1">
        <v>298</v>
      </c>
      <c r="G14" s="7">
        <v>0.17</v>
      </c>
      <c r="H14" s="1">
        <v>180</v>
      </c>
      <c r="I14" s="1" t="s">
        <v>39</v>
      </c>
      <c r="J14" s="1"/>
      <c r="K14" s="1">
        <v>160</v>
      </c>
      <c r="L14" s="1">
        <f t="shared" si="3"/>
        <v>0</v>
      </c>
      <c r="M14" s="1"/>
      <c r="N14" s="1"/>
      <c r="O14" s="1">
        <v>0</v>
      </c>
      <c r="P14" s="1"/>
      <c r="Q14" s="1"/>
      <c r="R14" s="1">
        <v>0</v>
      </c>
      <c r="S14" s="21"/>
      <c r="T14" s="1">
        <f t="shared" si="4"/>
        <v>32</v>
      </c>
      <c r="U14" s="5">
        <f t="shared" si="12"/>
        <v>86</v>
      </c>
      <c r="V14" s="5">
        <f t="shared" si="6"/>
        <v>86</v>
      </c>
      <c r="W14" s="5">
        <f t="shared" si="10"/>
        <v>86</v>
      </c>
      <c r="X14" s="5"/>
      <c r="Y14" s="1">
        <f t="shared" si="7"/>
        <v>12</v>
      </c>
      <c r="Z14" s="1">
        <f t="shared" si="5"/>
        <v>9.3125</v>
      </c>
      <c r="AA14" s="1">
        <v>22</v>
      </c>
      <c r="AB14" s="1">
        <v>10</v>
      </c>
      <c r="AC14" s="1">
        <v>1.4</v>
      </c>
      <c r="AD14" s="1">
        <v>13.6</v>
      </c>
      <c r="AE14" s="1">
        <v>31.2</v>
      </c>
      <c r="AF14" s="1">
        <v>32.200000000000003</v>
      </c>
      <c r="AG14" s="1">
        <v>17.8</v>
      </c>
      <c r="AH14" s="1">
        <v>16.2</v>
      </c>
      <c r="AI14" s="1">
        <v>18</v>
      </c>
      <c r="AJ14" s="1">
        <v>19.2</v>
      </c>
      <c r="AK14" s="1"/>
      <c r="AL14" s="1">
        <f t="shared" si="8"/>
        <v>15</v>
      </c>
      <c r="AM14" s="1">
        <f t="shared" si="9"/>
        <v>0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53</v>
      </c>
      <c r="B15" s="1" t="s">
        <v>38</v>
      </c>
      <c r="C15" s="1">
        <v>256.26400000000001</v>
      </c>
      <c r="D15" s="1">
        <v>234.154</v>
      </c>
      <c r="E15" s="1">
        <v>467.64499999999998</v>
      </c>
      <c r="F15" s="1">
        <v>0.39100000000000001</v>
      </c>
      <c r="G15" s="7">
        <v>1</v>
      </c>
      <c r="H15" s="1">
        <v>70</v>
      </c>
      <c r="I15" s="9" t="s">
        <v>51</v>
      </c>
      <c r="J15" s="1"/>
      <c r="K15" s="1">
        <v>467.84</v>
      </c>
      <c r="L15" s="1">
        <f t="shared" si="3"/>
        <v>-0.19499999999999318</v>
      </c>
      <c r="M15" s="1"/>
      <c r="N15" s="1"/>
      <c r="O15" s="1">
        <v>467.05355800000012</v>
      </c>
      <c r="P15" s="1"/>
      <c r="Q15" s="1"/>
      <c r="R15" s="1">
        <v>580</v>
      </c>
      <c r="S15" s="21"/>
      <c r="T15" s="1">
        <f t="shared" si="4"/>
        <v>93.528999999999996</v>
      </c>
      <c r="U15" s="5">
        <f t="shared" si="12"/>
        <v>74.903441999999828</v>
      </c>
      <c r="V15" s="5">
        <f t="shared" si="6"/>
        <v>74.903441999999828</v>
      </c>
      <c r="W15" s="5">
        <v>150</v>
      </c>
      <c r="X15" s="5">
        <v>100</v>
      </c>
      <c r="Y15" s="1">
        <f t="shared" si="7"/>
        <v>13.872109805514869</v>
      </c>
      <c r="Z15" s="1">
        <f t="shared" si="5"/>
        <v>11.199142062889587</v>
      </c>
      <c r="AA15" s="1">
        <v>100.50239999999999</v>
      </c>
      <c r="AB15" s="1">
        <v>69.866600000000005</v>
      </c>
      <c r="AC15" s="1">
        <v>59.2682</v>
      </c>
      <c r="AD15" s="1">
        <v>64.551999999999992</v>
      </c>
      <c r="AE15" s="1">
        <v>60.460999999999999</v>
      </c>
      <c r="AF15" s="1">
        <v>67.999800000000008</v>
      </c>
      <c r="AG15" s="1">
        <v>67.419600000000003</v>
      </c>
      <c r="AH15" s="1">
        <v>63.860999999999997</v>
      </c>
      <c r="AI15" s="1">
        <v>64.120199999999997</v>
      </c>
      <c r="AJ15" s="1">
        <v>71.404200000000003</v>
      </c>
      <c r="AK15" s="1"/>
      <c r="AL15" s="1">
        <f t="shared" si="8"/>
        <v>150</v>
      </c>
      <c r="AM15" s="1">
        <f t="shared" si="9"/>
        <v>100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20" t="s">
        <v>54</v>
      </c>
      <c r="B16" s="1" t="s">
        <v>38</v>
      </c>
      <c r="C16" s="1">
        <v>1824.4090000000001</v>
      </c>
      <c r="D16" s="1">
        <v>1589.0630000000001</v>
      </c>
      <c r="E16" s="1">
        <v>2409.123</v>
      </c>
      <c r="F16" s="1">
        <v>819.88099999999997</v>
      </c>
      <c r="G16" s="7">
        <v>1</v>
      </c>
      <c r="H16" s="1">
        <v>50</v>
      </c>
      <c r="I16" s="1" t="s">
        <v>39</v>
      </c>
      <c r="J16" s="1"/>
      <c r="K16" s="1">
        <v>2367.5</v>
      </c>
      <c r="L16" s="1">
        <f t="shared" si="3"/>
        <v>41.623000000000047</v>
      </c>
      <c r="M16" s="1"/>
      <c r="N16" s="1"/>
      <c r="O16" s="1">
        <v>170</v>
      </c>
      <c r="P16" s="1"/>
      <c r="Q16" s="1">
        <v>200</v>
      </c>
      <c r="R16" s="1">
        <v>2670.3504000000012</v>
      </c>
      <c r="S16" s="21"/>
      <c r="T16" s="1">
        <f t="shared" si="4"/>
        <v>481.82460000000003</v>
      </c>
      <c r="U16" s="5">
        <f t="shared" si="12"/>
        <v>1921.6637999999998</v>
      </c>
      <c r="V16" s="5">
        <f t="shared" si="6"/>
        <v>1921.6637999999998</v>
      </c>
      <c r="W16" s="5">
        <v>1222</v>
      </c>
      <c r="X16" s="5">
        <v>600</v>
      </c>
      <c r="Y16" s="1">
        <f t="shared" si="7"/>
        <v>11.793153359126952</v>
      </c>
      <c r="Z16" s="1">
        <f t="shared" si="5"/>
        <v>8.011694297053328</v>
      </c>
      <c r="AA16" s="1">
        <v>420.36439999999999</v>
      </c>
      <c r="AB16" s="1">
        <v>317.29700000000003</v>
      </c>
      <c r="AC16" s="1">
        <v>275.59399999999999</v>
      </c>
      <c r="AD16" s="1">
        <v>362.4502</v>
      </c>
      <c r="AE16" s="1">
        <v>400.47460000000001</v>
      </c>
      <c r="AF16" s="1">
        <v>338.92259999999999</v>
      </c>
      <c r="AG16" s="1">
        <v>312.99419999999998</v>
      </c>
      <c r="AH16" s="1">
        <v>340.73579999999998</v>
      </c>
      <c r="AI16" s="1">
        <v>301.46600000000001</v>
      </c>
      <c r="AJ16" s="1">
        <v>223.81219999999999</v>
      </c>
      <c r="AK16" s="1"/>
      <c r="AL16" s="1">
        <f t="shared" si="8"/>
        <v>1222</v>
      </c>
      <c r="AM16" s="1">
        <f t="shared" si="9"/>
        <v>600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55</v>
      </c>
      <c r="B17" s="1" t="s">
        <v>38</v>
      </c>
      <c r="C17" s="1">
        <v>31.707999999999998</v>
      </c>
      <c r="D17" s="1">
        <v>95.45</v>
      </c>
      <c r="E17" s="1">
        <v>87.963999999999999</v>
      </c>
      <c r="F17" s="1">
        <v>35.515999999999998</v>
      </c>
      <c r="G17" s="7">
        <v>1</v>
      </c>
      <c r="H17" s="1">
        <v>60</v>
      </c>
      <c r="I17" s="1" t="s">
        <v>39</v>
      </c>
      <c r="J17" s="1"/>
      <c r="K17" s="1">
        <v>88.3</v>
      </c>
      <c r="L17" s="1">
        <f t="shared" si="3"/>
        <v>-0.33599999999999852</v>
      </c>
      <c r="M17" s="1"/>
      <c r="N17" s="1"/>
      <c r="O17" s="1">
        <v>32.779800000000009</v>
      </c>
      <c r="P17" s="1"/>
      <c r="Q17" s="1"/>
      <c r="R17" s="1">
        <v>19.625800000000002</v>
      </c>
      <c r="S17" s="21"/>
      <c r="T17" s="1">
        <f t="shared" si="4"/>
        <v>17.5928</v>
      </c>
      <c r="U17" s="5">
        <f t="shared" si="12"/>
        <v>123.19200000000004</v>
      </c>
      <c r="V17" s="5">
        <f t="shared" si="6"/>
        <v>123.19200000000004</v>
      </c>
      <c r="W17" s="5">
        <f t="shared" si="10"/>
        <v>49.769568000000021</v>
      </c>
      <c r="X17" s="5">
        <f t="shared" ref="X17" si="13">V17*$X$1</f>
        <v>73.422432000000015</v>
      </c>
      <c r="Y17" s="1">
        <f t="shared" si="7"/>
        <v>12.000000000000002</v>
      </c>
      <c r="Z17" s="1">
        <f t="shared" si="5"/>
        <v>4.9975899231503806</v>
      </c>
      <c r="AA17" s="1">
        <v>11.008599999999999</v>
      </c>
      <c r="AB17" s="1">
        <v>13.476000000000001</v>
      </c>
      <c r="AC17" s="1">
        <v>14.8294</v>
      </c>
      <c r="AD17" s="1">
        <v>16.038599999999999</v>
      </c>
      <c r="AE17" s="1">
        <v>10.763999999999999</v>
      </c>
      <c r="AF17" s="1">
        <v>8.6592000000000002</v>
      </c>
      <c r="AG17" s="1">
        <v>14.825799999999999</v>
      </c>
      <c r="AH17" s="1">
        <v>13.7936</v>
      </c>
      <c r="AI17" s="1">
        <v>9.2590000000000003</v>
      </c>
      <c r="AJ17" s="1">
        <v>15.664400000000001</v>
      </c>
      <c r="AK17" s="1"/>
      <c r="AL17" s="1">
        <f t="shared" si="8"/>
        <v>50</v>
      </c>
      <c r="AM17" s="1">
        <f t="shared" si="9"/>
        <v>73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56</v>
      </c>
      <c r="B18" s="1" t="s">
        <v>38</v>
      </c>
      <c r="C18" s="1">
        <v>14.835000000000001</v>
      </c>
      <c r="D18" s="1"/>
      <c r="E18" s="1">
        <v>9.7530000000000001</v>
      </c>
      <c r="F18" s="1">
        <v>2.4860000000000002</v>
      </c>
      <c r="G18" s="7">
        <v>1</v>
      </c>
      <c r="H18" s="1">
        <v>60</v>
      </c>
      <c r="I18" s="9" t="s">
        <v>51</v>
      </c>
      <c r="J18" s="1"/>
      <c r="K18" s="1">
        <v>30.8</v>
      </c>
      <c r="L18" s="1">
        <f t="shared" si="3"/>
        <v>-21.047000000000001</v>
      </c>
      <c r="M18" s="1"/>
      <c r="N18" s="1"/>
      <c r="O18" s="1">
        <v>50.872800000000012</v>
      </c>
      <c r="P18" s="1"/>
      <c r="Q18" s="1"/>
      <c r="R18" s="1">
        <v>45.561999999999983</v>
      </c>
      <c r="S18" s="21"/>
      <c r="T18" s="1">
        <f t="shared" si="4"/>
        <v>1.9506000000000001</v>
      </c>
      <c r="U18" s="5"/>
      <c r="V18" s="5">
        <f t="shared" si="6"/>
        <v>0</v>
      </c>
      <c r="W18" s="5">
        <f t="shared" si="10"/>
        <v>0</v>
      </c>
      <c r="X18" s="5"/>
      <c r="Y18" s="1">
        <f t="shared" si="7"/>
        <v>50.713011381113496</v>
      </c>
      <c r="Z18" s="1">
        <f t="shared" si="5"/>
        <v>50.713011381113496</v>
      </c>
      <c r="AA18" s="1">
        <v>8.992799999999999</v>
      </c>
      <c r="AB18" s="1">
        <v>11.2796</v>
      </c>
      <c r="AC18" s="1">
        <v>9.8811999999999998</v>
      </c>
      <c r="AD18" s="1">
        <v>10.02</v>
      </c>
      <c r="AE18" s="1">
        <v>6.4992000000000001</v>
      </c>
      <c r="AF18" s="1">
        <v>4.6139999999999999</v>
      </c>
      <c r="AG18" s="1">
        <v>9.6975999999999996</v>
      </c>
      <c r="AH18" s="1">
        <v>9.870000000000001</v>
      </c>
      <c r="AI18" s="1">
        <v>4.0758000000000001</v>
      </c>
      <c r="AJ18" s="1">
        <v>5.8464</v>
      </c>
      <c r="AK18" s="1"/>
      <c r="AL18" s="1">
        <f t="shared" si="8"/>
        <v>0</v>
      </c>
      <c r="AM18" s="1">
        <f t="shared" si="9"/>
        <v>0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57</v>
      </c>
      <c r="B19" s="1" t="s">
        <v>38</v>
      </c>
      <c r="C19" s="1">
        <v>57.526000000000003</v>
      </c>
      <c r="D19" s="1">
        <v>43.670999999999999</v>
      </c>
      <c r="E19" s="1">
        <v>23.866</v>
      </c>
      <c r="F19" s="1">
        <v>76.587000000000003</v>
      </c>
      <c r="G19" s="7">
        <v>1</v>
      </c>
      <c r="H19" s="1">
        <v>180</v>
      </c>
      <c r="I19" s="1" t="s">
        <v>39</v>
      </c>
      <c r="J19" s="1"/>
      <c r="K19" s="1">
        <v>22.15</v>
      </c>
      <c r="L19" s="1">
        <f t="shared" si="3"/>
        <v>1.7160000000000011</v>
      </c>
      <c r="M19" s="1"/>
      <c r="N19" s="1"/>
      <c r="O19" s="1">
        <v>0</v>
      </c>
      <c r="P19" s="1"/>
      <c r="Q19" s="1"/>
      <c r="R19" s="1">
        <v>0</v>
      </c>
      <c r="S19" s="21"/>
      <c r="T19" s="1">
        <f t="shared" si="4"/>
        <v>4.7732000000000001</v>
      </c>
      <c r="U19" s="5"/>
      <c r="V19" s="5">
        <f t="shared" si="6"/>
        <v>0</v>
      </c>
      <c r="W19" s="5">
        <f t="shared" si="10"/>
        <v>0</v>
      </c>
      <c r="X19" s="5"/>
      <c r="Y19" s="1">
        <f t="shared" si="7"/>
        <v>16.045210760077097</v>
      </c>
      <c r="Z19" s="1">
        <f t="shared" si="5"/>
        <v>16.045210760077097</v>
      </c>
      <c r="AA19" s="1">
        <v>4.9626000000000001</v>
      </c>
      <c r="AB19" s="1">
        <v>3.0619999999999998</v>
      </c>
      <c r="AC19" s="1">
        <v>3.778799999999999</v>
      </c>
      <c r="AD19" s="1">
        <v>6.1134000000000004</v>
      </c>
      <c r="AE19" s="1">
        <v>6.3506</v>
      </c>
      <c r="AF19" s="1">
        <v>4.6951999999999998</v>
      </c>
      <c r="AG19" s="1">
        <v>3.7277999999999998</v>
      </c>
      <c r="AH19" s="1">
        <v>4.875</v>
      </c>
      <c r="AI19" s="1">
        <v>3.3774000000000002</v>
      </c>
      <c r="AJ19" s="1">
        <v>2.6214</v>
      </c>
      <c r="AK19" s="1"/>
      <c r="AL19" s="1">
        <f t="shared" si="8"/>
        <v>0</v>
      </c>
      <c r="AM19" s="1">
        <f t="shared" si="9"/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58</v>
      </c>
      <c r="B20" s="1" t="s">
        <v>38</v>
      </c>
      <c r="C20" s="1">
        <v>373.41899999999998</v>
      </c>
      <c r="D20" s="1">
        <v>291.43299999999999</v>
      </c>
      <c r="E20" s="1">
        <v>466.75099999999998</v>
      </c>
      <c r="F20" s="1">
        <v>170.804</v>
      </c>
      <c r="G20" s="7">
        <v>1</v>
      </c>
      <c r="H20" s="1">
        <v>60</v>
      </c>
      <c r="I20" s="1" t="s">
        <v>39</v>
      </c>
      <c r="J20" s="1"/>
      <c r="K20" s="1">
        <v>451.21</v>
      </c>
      <c r="L20" s="1">
        <f t="shared" si="3"/>
        <v>15.540999999999997</v>
      </c>
      <c r="M20" s="1"/>
      <c r="N20" s="1"/>
      <c r="O20" s="1">
        <v>253.96077760000011</v>
      </c>
      <c r="P20" s="1"/>
      <c r="Q20" s="1"/>
      <c r="R20" s="1">
        <v>600</v>
      </c>
      <c r="S20" s="21"/>
      <c r="T20" s="1">
        <f t="shared" si="4"/>
        <v>93.350200000000001</v>
      </c>
      <c r="U20" s="5">
        <f t="shared" si="12"/>
        <v>95.437622399999981</v>
      </c>
      <c r="V20" s="5">
        <f t="shared" si="6"/>
        <v>95.437622399999981</v>
      </c>
      <c r="W20" s="5">
        <f t="shared" si="10"/>
        <v>95.437622399999981</v>
      </c>
      <c r="X20" s="5"/>
      <c r="Y20" s="1">
        <f t="shared" si="7"/>
        <v>12.000000000000002</v>
      </c>
      <c r="Z20" s="1">
        <f t="shared" si="5"/>
        <v>10.977638800988109</v>
      </c>
      <c r="AA20" s="1">
        <v>93.1404</v>
      </c>
      <c r="AB20" s="1">
        <v>67.726399999999998</v>
      </c>
      <c r="AC20" s="1">
        <v>70.512</v>
      </c>
      <c r="AD20" s="1">
        <v>77.909599999999998</v>
      </c>
      <c r="AE20" s="1">
        <v>72.000399999999999</v>
      </c>
      <c r="AF20" s="1">
        <v>75.010799999999989</v>
      </c>
      <c r="AG20" s="1">
        <v>77.209599999999995</v>
      </c>
      <c r="AH20" s="1">
        <v>79.551599999999993</v>
      </c>
      <c r="AI20" s="1">
        <v>73.747199999999992</v>
      </c>
      <c r="AJ20" s="1">
        <v>84.715599999999995</v>
      </c>
      <c r="AK20" s="1"/>
      <c r="AL20" s="1">
        <f t="shared" si="8"/>
        <v>95</v>
      </c>
      <c r="AM20" s="1">
        <f t="shared" si="9"/>
        <v>0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59</v>
      </c>
      <c r="B21" s="1" t="s">
        <v>38</v>
      </c>
      <c r="C21" s="1">
        <v>38.689</v>
      </c>
      <c r="D21" s="1">
        <v>158.52699999999999</v>
      </c>
      <c r="E21" s="1">
        <v>93.644000000000005</v>
      </c>
      <c r="F21" s="1">
        <v>86.864999999999995</v>
      </c>
      <c r="G21" s="7">
        <v>1</v>
      </c>
      <c r="H21" s="1">
        <v>70</v>
      </c>
      <c r="I21" s="1" t="s">
        <v>39</v>
      </c>
      <c r="J21" s="1"/>
      <c r="K21" s="1">
        <v>82.58</v>
      </c>
      <c r="L21" s="1">
        <f t="shared" si="3"/>
        <v>11.064000000000007</v>
      </c>
      <c r="M21" s="1"/>
      <c r="N21" s="1"/>
      <c r="O21" s="1">
        <v>137.71163200000001</v>
      </c>
      <c r="P21" s="1"/>
      <c r="Q21" s="1"/>
      <c r="R21" s="1">
        <v>0</v>
      </c>
      <c r="S21" s="21"/>
      <c r="T21" s="1">
        <f t="shared" si="4"/>
        <v>18.7288</v>
      </c>
      <c r="U21" s="5"/>
      <c r="V21" s="5">
        <f t="shared" si="6"/>
        <v>0</v>
      </c>
      <c r="W21" s="5">
        <f t="shared" si="10"/>
        <v>0</v>
      </c>
      <c r="X21" s="5"/>
      <c r="Y21" s="1">
        <f t="shared" si="7"/>
        <v>11.990978172653882</v>
      </c>
      <c r="Z21" s="1">
        <f t="shared" si="5"/>
        <v>11.990978172653882</v>
      </c>
      <c r="AA21" s="1">
        <v>23.340800000000002</v>
      </c>
      <c r="AB21" s="1">
        <v>25.481200000000001</v>
      </c>
      <c r="AC21" s="1">
        <v>24.018799999999999</v>
      </c>
      <c r="AD21" s="1">
        <v>17.2928</v>
      </c>
      <c r="AE21" s="1">
        <v>16.8612</v>
      </c>
      <c r="AF21" s="1">
        <v>15.4404</v>
      </c>
      <c r="AG21" s="1">
        <v>13</v>
      </c>
      <c r="AH21" s="1">
        <v>21.806999999999999</v>
      </c>
      <c r="AI21" s="1">
        <v>21.227</v>
      </c>
      <c r="AJ21" s="1">
        <v>14.3834</v>
      </c>
      <c r="AK21" s="1"/>
      <c r="AL21" s="1">
        <f t="shared" si="8"/>
        <v>0</v>
      </c>
      <c r="AM21" s="1">
        <f t="shared" si="9"/>
        <v>0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60</v>
      </c>
      <c r="B22" s="1" t="s">
        <v>38</v>
      </c>
      <c r="C22" s="1">
        <v>35.841999999999999</v>
      </c>
      <c r="D22" s="1">
        <v>259.99099999999999</v>
      </c>
      <c r="E22" s="1">
        <v>190.976</v>
      </c>
      <c r="F22" s="1">
        <v>79.399000000000001</v>
      </c>
      <c r="G22" s="7">
        <v>1</v>
      </c>
      <c r="H22" s="1">
        <v>70</v>
      </c>
      <c r="I22" s="9" t="s">
        <v>51</v>
      </c>
      <c r="J22" s="1"/>
      <c r="K22" s="1">
        <v>184.14</v>
      </c>
      <c r="L22" s="1">
        <f t="shared" si="3"/>
        <v>6.8360000000000127</v>
      </c>
      <c r="M22" s="1"/>
      <c r="N22" s="1"/>
      <c r="O22" s="1">
        <v>100</v>
      </c>
      <c r="P22" s="1"/>
      <c r="Q22" s="1"/>
      <c r="R22" s="1">
        <v>0</v>
      </c>
      <c r="S22" s="21"/>
      <c r="T22" s="1">
        <f t="shared" si="4"/>
        <v>38.1952</v>
      </c>
      <c r="U22" s="5">
        <v>250</v>
      </c>
      <c r="V22" s="5">
        <f t="shared" si="6"/>
        <v>250</v>
      </c>
      <c r="W22" s="5">
        <v>250</v>
      </c>
      <c r="X22" s="5">
        <v>100</v>
      </c>
      <c r="Y22" s="1">
        <f t="shared" si="7"/>
        <v>13.860354180630027</v>
      </c>
      <c r="Z22" s="1">
        <f t="shared" si="5"/>
        <v>4.6968990867962468</v>
      </c>
      <c r="AA22" s="1">
        <v>16.365600000000001</v>
      </c>
      <c r="AB22" s="1">
        <v>6.5044000000000004</v>
      </c>
      <c r="AC22" s="1">
        <v>18.438800000000001</v>
      </c>
      <c r="AD22" s="1">
        <v>35.318600000000004</v>
      </c>
      <c r="AE22" s="1">
        <v>41.7134</v>
      </c>
      <c r="AF22" s="1">
        <v>43.699199999999998</v>
      </c>
      <c r="AG22" s="1">
        <v>38.575599999999987</v>
      </c>
      <c r="AH22" s="1">
        <v>44.986800000000002</v>
      </c>
      <c r="AI22" s="1">
        <v>38.965000000000003</v>
      </c>
      <c r="AJ22" s="1">
        <v>37.324399999999997</v>
      </c>
      <c r="AK22" s="1"/>
      <c r="AL22" s="1">
        <f t="shared" si="8"/>
        <v>250</v>
      </c>
      <c r="AM22" s="1">
        <f t="shared" si="9"/>
        <v>100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61</v>
      </c>
      <c r="B23" s="1" t="s">
        <v>38</v>
      </c>
      <c r="C23" s="1">
        <v>73.180000000000007</v>
      </c>
      <c r="D23" s="1">
        <v>88.884</v>
      </c>
      <c r="E23" s="1">
        <v>25.094000000000001</v>
      </c>
      <c r="F23" s="1">
        <v>135.55699999999999</v>
      </c>
      <c r="G23" s="7">
        <v>1</v>
      </c>
      <c r="H23" s="1">
        <v>180</v>
      </c>
      <c r="I23" s="1" t="s">
        <v>39</v>
      </c>
      <c r="J23" s="1"/>
      <c r="K23" s="1">
        <v>24.75</v>
      </c>
      <c r="L23" s="1">
        <f t="shared" si="3"/>
        <v>0.34400000000000119</v>
      </c>
      <c r="M23" s="1"/>
      <c r="N23" s="1"/>
      <c r="O23" s="1">
        <v>0</v>
      </c>
      <c r="P23" s="1"/>
      <c r="Q23" s="1"/>
      <c r="R23" s="1">
        <v>0</v>
      </c>
      <c r="S23" s="21"/>
      <c r="T23" s="1">
        <f t="shared" si="4"/>
        <v>5.0188000000000006</v>
      </c>
      <c r="U23" s="5"/>
      <c r="V23" s="5">
        <f t="shared" si="6"/>
        <v>0</v>
      </c>
      <c r="W23" s="5">
        <f t="shared" si="10"/>
        <v>0</v>
      </c>
      <c r="X23" s="5"/>
      <c r="Y23" s="1">
        <f t="shared" si="7"/>
        <v>27.009842990356255</v>
      </c>
      <c r="Z23" s="1">
        <f t="shared" si="5"/>
        <v>27.009842990356255</v>
      </c>
      <c r="AA23" s="1">
        <v>4.7473999999999998</v>
      </c>
      <c r="AB23" s="1">
        <v>1.9568000000000001</v>
      </c>
      <c r="AC23" s="1">
        <v>2.3163999999999998</v>
      </c>
      <c r="AD23" s="1">
        <v>7.5906000000000002</v>
      </c>
      <c r="AE23" s="1">
        <v>9.031600000000001</v>
      </c>
      <c r="AF23" s="1">
        <v>4.0991999999999997</v>
      </c>
      <c r="AG23" s="1">
        <v>1.9630000000000001</v>
      </c>
      <c r="AH23" s="1">
        <v>4.3348000000000004</v>
      </c>
      <c r="AI23" s="1">
        <v>3.0522</v>
      </c>
      <c r="AJ23" s="1">
        <v>3.3224</v>
      </c>
      <c r="AK23" s="15" t="s">
        <v>62</v>
      </c>
      <c r="AL23" s="1">
        <f t="shared" si="8"/>
        <v>0</v>
      </c>
      <c r="AM23" s="1">
        <f t="shared" si="9"/>
        <v>0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63</v>
      </c>
      <c r="B24" s="1" t="s">
        <v>38</v>
      </c>
      <c r="C24" s="1">
        <v>13.196999999999999</v>
      </c>
      <c r="D24" s="1">
        <v>74.655000000000001</v>
      </c>
      <c r="E24" s="1">
        <v>94.849000000000004</v>
      </c>
      <c r="F24" s="1">
        <v>-11.4</v>
      </c>
      <c r="G24" s="7">
        <v>1</v>
      </c>
      <c r="H24" s="1">
        <v>70</v>
      </c>
      <c r="I24" s="9" t="s">
        <v>51</v>
      </c>
      <c r="J24" s="1"/>
      <c r="K24" s="1">
        <v>177.56</v>
      </c>
      <c r="L24" s="1">
        <f t="shared" si="3"/>
        <v>-82.710999999999999</v>
      </c>
      <c r="M24" s="1"/>
      <c r="N24" s="1"/>
      <c r="O24" s="1">
        <v>200</v>
      </c>
      <c r="P24" s="1"/>
      <c r="Q24" s="1"/>
      <c r="R24" s="1">
        <v>50</v>
      </c>
      <c r="S24" s="21"/>
      <c r="T24" s="1">
        <f t="shared" si="4"/>
        <v>18.969799999999999</v>
      </c>
      <c r="U24" s="5">
        <v>30</v>
      </c>
      <c r="V24" s="5">
        <f t="shared" si="6"/>
        <v>30</v>
      </c>
      <c r="W24" s="5">
        <f t="shared" si="10"/>
        <v>30</v>
      </c>
      <c r="X24" s="5"/>
      <c r="Y24" s="1">
        <f t="shared" si="7"/>
        <v>14.15934801632068</v>
      </c>
      <c r="Z24" s="1">
        <f t="shared" si="5"/>
        <v>12.577886957163491</v>
      </c>
      <c r="AA24" s="1">
        <v>14.39</v>
      </c>
      <c r="AB24" s="1">
        <v>8.7706</v>
      </c>
      <c r="AC24" s="1">
        <v>14.5794</v>
      </c>
      <c r="AD24" s="1">
        <v>31.823799999999999</v>
      </c>
      <c r="AE24" s="1">
        <v>37.118400000000001</v>
      </c>
      <c r="AF24" s="1">
        <v>39.154400000000003</v>
      </c>
      <c r="AG24" s="1">
        <v>36.545400000000001</v>
      </c>
      <c r="AH24" s="1">
        <v>37.086200000000012</v>
      </c>
      <c r="AI24" s="1">
        <v>30.3794</v>
      </c>
      <c r="AJ24" s="1">
        <v>37.165799999999997</v>
      </c>
      <c r="AK24" s="1"/>
      <c r="AL24" s="1">
        <f t="shared" si="8"/>
        <v>30</v>
      </c>
      <c r="AM24" s="1">
        <f t="shared" si="9"/>
        <v>0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1" t="s">
        <v>64</v>
      </c>
      <c r="B25" s="11" t="s">
        <v>38</v>
      </c>
      <c r="C25" s="11">
        <v>0.39800000000000002</v>
      </c>
      <c r="D25" s="11"/>
      <c r="E25" s="11">
        <v>-1.84</v>
      </c>
      <c r="F25" s="11">
        <v>0.39800000000000002</v>
      </c>
      <c r="G25" s="12">
        <v>0</v>
      </c>
      <c r="H25" s="11">
        <v>35</v>
      </c>
      <c r="I25" s="11" t="s">
        <v>65</v>
      </c>
      <c r="J25" s="11"/>
      <c r="K25" s="11">
        <v>0.7</v>
      </c>
      <c r="L25" s="11">
        <f t="shared" si="3"/>
        <v>-2.54</v>
      </c>
      <c r="M25" s="11"/>
      <c r="N25" s="11"/>
      <c r="O25" s="11">
        <v>0</v>
      </c>
      <c r="P25" s="11"/>
      <c r="Q25" s="11"/>
      <c r="R25" s="11">
        <v>0</v>
      </c>
      <c r="S25" s="23"/>
      <c r="T25" s="11">
        <f t="shared" si="4"/>
        <v>-0.36799999999999999</v>
      </c>
      <c r="U25" s="13"/>
      <c r="V25" s="5">
        <f t="shared" si="6"/>
        <v>0</v>
      </c>
      <c r="W25" s="5">
        <f t="shared" si="10"/>
        <v>0</v>
      </c>
      <c r="X25" s="5"/>
      <c r="Y25" s="1">
        <f t="shared" si="7"/>
        <v>-1.0815217391304348</v>
      </c>
      <c r="Z25" s="11">
        <f t="shared" si="5"/>
        <v>-1.0815217391304348</v>
      </c>
      <c r="AA25" s="11">
        <v>-0.51079999999999992</v>
      </c>
      <c r="AB25" s="11">
        <v>-0.14280000000000001</v>
      </c>
      <c r="AC25" s="11">
        <v>0</v>
      </c>
      <c r="AD25" s="11">
        <v>-0.1394</v>
      </c>
      <c r="AE25" s="11">
        <v>-0.42159999999999997</v>
      </c>
      <c r="AF25" s="11">
        <v>-0.28220000000000001</v>
      </c>
      <c r="AG25" s="11">
        <v>-0.14000000000000001</v>
      </c>
      <c r="AH25" s="11">
        <v>-0.14000000000000001</v>
      </c>
      <c r="AI25" s="11">
        <v>0</v>
      </c>
      <c r="AJ25" s="11">
        <v>4.6292</v>
      </c>
      <c r="AK25" s="11"/>
      <c r="AL25" s="1">
        <f t="shared" si="8"/>
        <v>0</v>
      </c>
      <c r="AM25" s="1">
        <f t="shared" si="9"/>
        <v>0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1" t="s">
        <v>66</v>
      </c>
      <c r="B26" s="11" t="s">
        <v>38</v>
      </c>
      <c r="C26" s="11"/>
      <c r="D26" s="11"/>
      <c r="E26" s="11"/>
      <c r="F26" s="11"/>
      <c r="G26" s="12">
        <v>0</v>
      </c>
      <c r="H26" s="11"/>
      <c r="I26" s="11" t="s">
        <v>39</v>
      </c>
      <c r="J26" s="11"/>
      <c r="K26" s="11"/>
      <c r="L26" s="11">
        <f t="shared" si="3"/>
        <v>0</v>
      </c>
      <c r="M26" s="11"/>
      <c r="N26" s="11"/>
      <c r="O26" s="11">
        <v>0</v>
      </c>
      <c r="P26" s="11"/>
      <c r="Q26" s="11"/>
      <c r="R26" s="11">
        <v>0</v>
      </c>
      <c r="S26" s="23"/>
      <c r="T26" s="11">
        <f t="shared" si="4"/>
        <v>0</v>
      </c>
      <c r="U26" s="13"/>
      <c r="V26" s="5">
        <f t="shared" si="6"/>
        <v>0</v>
      </c>
      <c r="W26" s="5">
        <f t="shared" si="10"/>
        <v>0</v>
      </c>
      <c r="X26" s="5"/>
      <c r="Y26" s="1" t="e">
        <f t="shared" si="7"/>
        <v>#DIV/0!</v>
      </c>
      <c r="Z26" s="11" t="e">
        <f t="shared" si="5"/>
        <v>#DIV/0!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 t="s">
        <v>49</v>
      </c>
      <c r="AL26" s="1">
        <f t="shared" si="8"/>
        <v>0</v>
      </c>
      <c r="AM26" s="1">
        <f t="shared" si="9"/>
        <v>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67</v>
      </c>
      <c r="B27" s="1" t="s">
        <v>38</v>
      </c>
      <c r="C27" s="1">
        <v>19.146000000000001</v>
      </c>
      <c r="D27" s="1">
        <v>1.46</v>
      </c>
      <c r="E27" s="1">
        <v>8.2080000000000002</v>
      </c>
      <c r="F27" s="1">
        <v>-4.1520000000000001</v>
      </c>
      <c r="G27" s="7">
        <v>1</v>
      </c>
      <c r="H27" s="1">
        <v>30</v>
      </c>
      <c r="I27" s="1" t="s">
        <v>39</v>
      </c>
      <c r="J27" s="1"/>
      <c r="K27" s="1">
        <v>22.6</v>
      </c>
      <c r="L27" s="1">
        <f t="shared" si="3"/>
        <v>-14.392000000000001</v>
      </c>
      <c r="M27" s="1"/>
      <c r="N27" s="1"/>
      <c r="O27" s="1">
        <v>317.55293200000011</v>
      </c>
      <c r="P27" s="1"/>
      <c r="Q27" s="1"/>
      <c r="R27" s="1">
        <v>0</v>
      </c>
      <c r="S27" s="21"/>
      <c r="T27" s="1">
        <f t="shared" si="4"/>
        <v>1.6415999999999999</v>
      </c>
      <c r="U27" s="5"/>
      <c r="V27" s="5">
        <f t="shared" si="6"/>
        <v>0</v>
      </c>
      <c r="W27" s="5">
        <f t="shared" si="10"/>
        <v>0</v>
      </c>
      <c r="X27" s="5"/>
      <c r="Y27" s="1">
        <f t="shared" si="7"/>
        <v>190.91187378167649</v>
      </c>
      <c r="Z27" s="1">
        <f t="shared" si="5"/>
        <v>190.91187378167649</v>
      </c>
      <c r="AA27" s="1">
        <v>20.915800000000001</v>
      </c>
      <c r="AB27" s="1">
        <v>41.127400000000002</v>
      </c>
      <c r="AC27" s="1">
        <v>48.219200000000001</v>
      </c>
      <c r="AD27" s="1">
        <v>53.691999999999993</v>
      </c>
      <c r="AE27" s="1">
        <v>57.585799999999992</v>
      </c>
      <c r="AF27" s="1">
        <v>41.682000000000002</v>
      </c>
      <c r="AG27" s="1">
        <v>45.629399999999997</v>
      </c>
      <c r="AH27" s="1">
        <v>54.0336</v>
      </c>
      <c r="AI27" s="1">
        <v>33.3504</v>
      </c>
      <c r="AJ27" s="1">
        <v>39.0062</v>
      </c>
      <c r="AK27" s="1"/>
      <c r="AL27" s="1">
        <f t="shared" si="8"/>
        <v>0</v>
      </c>
      <c r="AM27" s="1">
        <f t="shared" si="9"/>
        <v>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68</v>
      </c>
      <c r="B28" s="1" t="s">
        <v>38</v>
      </c>
      <c r="C28" s="1">
        <v>3.702</v>
      </c>
      <c r="D28" s="1"/>
      <c r="E28" s="1">
        <v>-0.56000000000000005</v>
      </c>
      <c r="F28" s="1">
        <v>3.702</v>
      </c>
      <c r="G28" s="7">
        <v>1</v>
      </c>
      <c r="H28" s="1">
        <v>40</v>
      </c>
      <c r="I28" s="9" t="s">
        <v>51</v>
      </c>
      <c r="J28" s="1"/>
      <c r="K28" s="1">
        <v>26.8</v>
      </c>
      <c r="L28" s="1">
        <f t="shared" si="3"/>
        <v>-27.36</v>
      </c>
      <c r="M28" s="1"/>
      <c r="N28" s="1"/>
      <c r="O28" s="1">
        <v>50</v>
      </c>
      <c r="P28" s="1"/>
      <c r="Q28" s="1"/>
      <c r="R28" s="1">
        <v>30</v>
      </c>
      <c r="S28" s="21"/>
      <c r="T28" s="1">
        <f t="shared" si="4"/>
        <v>-0.11200000000000002</v>
      </c>
      <c r="U28" s="5"/>
      <c r="V28" s="5">
        <f t="shared" si="6"/>
        <v>0</v>
      </c>
      <c r="W28" s="5">
        <f t="shared" si="10"/>
        <v>0</v>
      </c>
      <c r="X28" s="5"/>
      <c r="Y28" s="1">
        <f t="shared" si="7"/>
        <v>-747.33928571428555</v>
      </c>
      <c r="Z28" s="1">
        <f t="shared" si="5"/>
        <v>-747.33928571428555</v>
      </c>
      <c r="AA28" s="1">
        <v>0</v>
      </c>
      <c r="AB28" s="1">
        <v>0</v>
      </c>
      <c r="AC28" s="1">
        <v>0</v>
      </c>
      <c r="AD28" s="1">
        <v>-0.40960000000000002</v>
      </c>
      <c r="AE28" s="1">
        <v>-0.79859999999999998</v>
      </c>
      <c r="AF28" s="1">
        <v>0.30380000000000001</v>
      </c>
      <c r="AG28" s="1">
        <v>-2.1000000000000001E-2</v>
      </c>
      <c r="AH28" s="1">
        <v>0.1164</v>
      </c>
      <c r="AI28" s="1">
        <v>1.6801999999999999</v>
      </c>
      <c r="AJ28" s="1">
        <v>37.1038</v>
      </c>
      <c r="AK28" s="1"/>
      <c r="AL28" s="1">
        <f t="shared" si="8"/>
        <v>0</v>
      </c>
      <c r="AM28" s="1">
        <f t="shared" si="9"/>
        <v>0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69</v>
      </c>
      <c r="B29" s="1" t="s">
        <v>38</v>
      </c>
      <c r="C29" s="1">
        <v>1.25</v>
      </c>
      <c r="D29" s="1">
        <v>156.43799999999999</v>
      </c>
      <c r="E29" s="1">
        <v>143.20099999999999</v>
      </c>
      <c r="F29" s="1">
        <v>1.2849999999999999</v>
      </c>
      <c r="G29" s="7">
        <v>1</v>
      </c>
      <c r="H29" s="1">
        <v>30</v>
      </c>
      <c r="I29" s="9" t="s">
        <v>51</v>
      </c>
      <c r="J29" s="1"/>
      <c r="K29" s="1">
        <v>192.05</v>
      </c>
      <c r="L29" s="1">
        <f t="shared" si="3"/>
        <v>-48.849000000000018</v>
      </c>
      <c r="M29" s="1"/>
      <c r="N29" s="1"/>
      <c r="O29" s="1">
        <v>200</v>
      </c>
      <c r="P29" s="1"/>
      <c r="Q29" s="1"/>
      <c r="R29" s="1">
        <v>200</v>
      </c>
      <c r="S29" s="21"/>
      <c r="T29" s="1">
        <f t="shared" si="4"/>
        <v>28.6402</v>
      </c>
      <c r="U29" s="5"/>
      <c r="V29" s="5">
        <f t="shared" si="6"/>
        <v>0</v>
      </c>
      <c r="W29" s="5">
        <f t="shared" si="10"/>
        <v>0</v>
      </c>
      <c r="X29" s="5"/>
      <c r="Y29" s="1">
        <f t="shared" si="7"/>
        <v>14.011249921439095</v>
      </c>
      <c r="Z29" s="1">
        <f t="shared" si="5"/>
        <v>14.011249921439095</v>
      </c>
      <c r="AA29" s="1">
        <v>49.427</v>
      </c>
      <c r="AB29" s="1">
        <v>45.0518</v>
      </c>
      <c r="AC29" s="1">
        <v>-8.8800000000000004E-2</v>
      </c>
      <c r="AD29" s="1">
        <v>11.554</v>
      </c>
      <c r="AE29" s="1">
        <v>72.658000000000001</v>
      </c>
      <c r="AF29" s="1">
        <v>66.253200000000007</v>
      </c>
      <c r="AG29" s="1">
        <v>2.3946000000000001</v>
      </c>
      <c r="AH29" s="1">
        <v>-0.96219999999999994</v>
      </c>
      <c r="AI29" s="1">
        <v>10.6404</v>
      </c>
      <c r="AJ29" s="1">
        <v>28.9634</v>
      </c>
      <c r="AK29" s="10" t="s">
        <v>47</v>
      </c>
      <c r="AL29" s="1">
        <f t="shared" si="8"/>
        <v>0</v>
      </c>
      <c r="AM29" s="1">
        <f t="shared" si="9"/>
        <v>0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70</v>
      </c>
      <c r="B30" s="1" t="s">
        <v>38</v>
      </c>
      <c r="C30" s="1">
        <v>917.93100000000004</v>
      </c>
      <c r="D30" s="1">
        <v>1.44</v>
      </c>
      <c r="E30" s="1">
        <v>915.90700000000004</v>
      </c>
      <c r="F30" s="1">
        <v>7.8E-2</v>
      </c>
      <c r="G30" s="7">
        <v>1</v>
      </c>
      <c r="H30" s="1">
        <v>40</v>
      </c>
      <c r="I30" s="9" t="s">
        <v>51</v>
      </c>
      <c r="J30" s="1"/>
      <c r="K30" s="1">
        <v>884.55499999999995</v>
      </c>
      <c r="L30" s="1">
        <f t="shared" si="3"/>
        <v>31.352000000000089</v>
      </c>
      <c r="M30" s="1"/>
      <c r="N30" s="1"/>
      <c r="O30" s="1">
        <v>0</v>
      </c>
      <c r="P30" s="1"/>
      <c r="Q30" s="1"/>
      <c r="R30" s="1">
        <v>700</v>
      </c>
      <c r="S30" s="21"/>
      <c r="T30" s="1">
        <f t="shared" si="4"/>
        <v>183.1814</v>
      </c>
      <c r="U30" s="5">
        <v>800</v>
      </c>
      <c r="V30" s="5">
        <f t="shared" si="6"/>
        <v>800</v>
      </c>
      <c r="W30" s="5">
        <v>800</v>
      </c>
      <c r="X30" s="5">
        <v>600</v>
      </c>
      <c r="Y30" s="1">
        <f t="shared" si="7"/>
        <v>11.464471829563482</v>
      </c>
      <c r="Z30" s="1">
        <f t="shared" si="5"/>
        <v>3.8217744814702801</v>
      </c>
      <c r="AA30" s="1">
        <v>189.0034</v>
      </c>
      <c r="AB30" s="1">
        <v>89.290199999999999</v>
      </c>
      <c r="AC30" s="1">
        <v>4.0186000000000002</v>
      </c>
      <c r="AD30" s="1">
        <v>4.0195999999999996</v>
      </c>
      <c r="AE30" s="1">
        <v>85.760400000000004</v>
      </c>
      <c r="AF30" s="1">
        <v>91.31280000000001</v>
      </c>
      <c r="AG30" s="1">
        <v>5.6337999999999999</v>
      </c>
      <c r="AH30" s="1">
        <v>-0.54759999999999998</v>
      </c>
      <c r="AI30" s="1">
        <v>-0.10059999999999999</v>
      </c>
      <c r="AJ30" s="1">
        <v>-0.82639999999999991</v>
      </c>
      <c r="AK30" s="10" t="s">
        <v>47</v>
      </c>
      <c r="AL30" s="1">
        <f t="shared" si="8"/>
        <v>800</v>
      </c>
      <c r="AM30" s="1">
        <f t="shared" si="9"/>
        <v>600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71</v>
      </c>
      <c r="B31" s="1" t="s">
        <v>38</v>
      </c>
      <c r="C31" s="1">
        <v>0.28199999999999997</v>
      </c>
      <c r="D31" s="1">
        <v>27.111999999999998</v>
      </c>
      <c r="E31" s="1">
        <v>14.997</v>
      </c>
      <c r="F31" s="1">
        <v>7.71</v>
      </c>
      <c r="G31" s="7">
        <v>1</v>
      </c>
      <c r="H31" s="1">
        <v>40</v>
      </c>
      <c r="I31" s="9" t="s">
        <v>51</v>
      </c>
      <c r="J31" s="1"/>
      <c r="K31" s="1">
        <v>17.899999999999999</v>
      </c>
      <c r="L31" s="1">
        <f t="shared" si="3"/>
        <v>-2.9029999999999987</v>
      </c>
      <c r="M31" s="1"/>
      <c r="N31" s="1"/>
      <c r="O31" s="1">
        <v>10</v>
      </c>
      <c r="P31" s="1"/>
      <c r="Q31" s="1"/>
      <c r="R31" s="1">
        <v>0</v>
      </c>
      <c r="S31" s="21"/>
      <c r="T31" s="1">
        <f t="shared" si="4"/>
        <v>2.9994000000000001</v>
      </c>
      <c r="U31" s="5">
        <f t="shared" ref="U31:U33" si="14">12*T31-R31-Q31-P31-O31-F31</f>
        <v>18.282800000000002</v>
      </c>
      <c r="V31" s="5">
        <f t="shared" si="6"/>
        <v>18.282800000000002</v>
      </c>
      <c r="W31" s="5">
        <f t="shared" si="10"/>
        <v>18.282800000000002</v>
      </c>
      <c r="X31" s="5"/>
      <c r="Y31" s="1">
        <f t="shared" si="7"/>
        <v>12</v>
      </c>
      <c r="Z31" s="1">
        <f t="shared" si="5"/>
        <v>5.90451423618057</v>
      </c>
      <c r="AA31" s="1">
        <v>1.4805999999999999</v>
      </c>
      <c r="AB31" s="1">
        <v>0</v>
      </c>
      <c r="AC31" s="1">
        <v>0</v>
      </c>
      <c r="AD31" s="1">
        <v>3.4148000000000009</v>
      </c>
      <c r="AE31" s="1">
        <v>5.5952000000000002</v>
      </c>
      <c r="AF31" s="1">
        <v>2.1804000000000001</v>
      </c>
      <c r="AG31" s="1">
        <v>0</v>
      </c>
      <c r="AH31" s="1">
        <v>0</v>
      </c>
      <c r="AI31" s="1">
        <v>0</v>
      </c>
      <c r="AJ31" s="1">
        <v>0</v>
      </c>
      <c r="AK31" s="1"/>
      <c r="AL31" s="1">
        <f t="shared" si="8"/>
        <v>18</v>
      </c>
      <c r="AM31" s="1">
        <f t="shared" si="9"/>
        <v>0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72</v>
      </c>
      <c r="B32" s="1" t="s">
        <v>38</v>
      </c>
      <c r="C32" s="1">
        <v>156.74700000000001</v>
      </c>
      <c r="D32" s="1">
        <v>4.234</v>
      </c>
      <c r="E32" s="1">
        <v>101.834</v>
      </c>
      <c r="F32" s="1">
        <v>42.177</v>
      </c>
      <c r="G32" s="7">
        <v>1</v>
      </c>
      <c r="H32" s="1">
        <v>30</v>
      </c>
      <c r="I32" s="1" t="s">
        <v>39</v>
      </c>
      <c r="J32" s="1"/>
      <c r="K32" s="1">
        <v>122.4</v>
      </c>
      <c r="L32" s="1">
        <f t="shared" si="3"/>
        <v>-20.566000000000003</v>
      </c>
      <c r="M32" s="1"/>
      <c r="N32" s="1"/>
      <c r="O32" s="1">
        <v>0</v>
      </c>
      <c r="P32" s="1"/>
      <c r="Q32" s="1"/>
      <c r="R32" s="1">
        <v>63.789400000000029</v>
      </c>
      <c r="S32" s="21"/>
      <c r="T32" s="1">
        <f t="shared" si="4"/>
        <v>20.366800000000001</v>
      </c>
      <c r="U32" s="5">
        <f t="shared" si="14"/>
        <v>138.43520000000001</v>
      </c>
      <c r="V32" s="5">
        <f t="shared" si="6"/>
        <v>138.43520000000001</v>
      </c>
      <c r="W32" s="5">
        <f t="shared" si="10"/>
        <v>55.927820800000006</v>
      </c>
      <c r="X32" s="5">
        <f>V32*$X$1</f>
        <v>82.507379200000003</v>
      </c>
      <c r="Y32" s="1">
        <f t="shared" si="7"/>
        <v>12</v>
      </c>
      <c r="Z32" s="1">
        <f t="shared" si="5"/>
        <v>5.2028988353595071</v>
      </c>
      <c r="AA32" s="1">
        <v>14.660399999999999</v>
      </c>
      <c r="AB32" s="1">
        <v>3.9342000000000001</v>
      </c>
      <c r="AC32" s="1">
        <v>1.4094</v>
      </c>
      <c r="AD32" s="1">
        <v>13.768800000000001</v>
      </c>
      <c r="AE32" s="1">
        <v>18.741599999999998</v>
      </c>
      <c r="AF32" s="1">
        <v>8.1288</v>
      </c>
      <c r="AG32" s="1">
        <v>0.57519999999999993</v>
      </c>
      <c r="AH32" s="1">
        <v>4.4287999999999998</v>
      </c>
      <c r="AI32" s="1">
        <v>9.4892000000000003</v>
      </c>
      <c r="AJ32" s="1">
        <v>9.4754000000000005</v>
      </c>
      <c r="AK32" s="1"/>
      <c r="AL32" s="1">
        <f t="shared" si="8"/>
        <v>56</v>
      </c>
      <c r="AM32" s="1">
        <f t="shared" si="9"/>
        <v>83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73</v>
      </c>
      <c r="B33" s="1" t="s">
        <v>38</v>
      </c>
      <c r="C33" s="1">
        <v>6.2359999999999998</v>
      </c>
      <c r="D33" s="1">
        <v>159.78700000000001</v>
      </c>
      <c r="E33" s="1">
        <v>72.489000000000004</v>
      </c>
      <c r="F33" s="1">
        <v>88.944999999999993</v>
      </c>
      <c r="G33" s="7">
        <v>1</v>
      </c>
      <c r="H33" s="1">
        <v>50</v>
      </c>
      <c r="I33" s="9" t="s">
        <v>51</v>
      </c>
      <c r="J33" s="1"/>
      <c r="K33" s="1">
        <v>65.400000000000006</v>
      </c>
      <c r="L33" s="1">
        <f t="shared" si="3"/>
        <v>7.0889999999999986</v>
      </c>
      <c r="M33" s="1"/>
      <c r="N33" s="1"/>
      <c r="O33" s="1">
        <v>0</v>
      </c>
      <c r="P33" s="1"/>
      <c r="Q33" s="1"/>
      <c r="R33" s="1">
        <v>0</v>
      </c>
      <c r="S33" s="21"/>
      <c r="T33" s="1">
        <f t="shared" si="4"/>
        <v>14.497800000000002</v>
      </c>
      <c r="U33" s="5">
        <f t="shared" si="14"/>
        <v>85.02860000000004</v>
      </c>
      <c r="V33" s="5">
        <f t="shared" si="6"/>
        <v>85.02860000000004</v>
      </c>
      <c r="W33" s="5">
        <f t="shared" si="10"/>
        <v>85.02860000000004</v>
      </c>
      <c r="X33" s="5"/>
      <c r="Y33" s="1">
        <f t="shared" si="7"/>
        <v>12.000000000000002</v>
      </c>
      <c r="Z33" s="1">
        <f t="shared" si="5"/>
        <v>6.1350687690546142</v>
      </c>
      <c r="AA33" s="1">
        <v>7.5068000000000001</v>
      </c>
      <c r="AB33" s="1">
        <v>11.5124</v>
      </c>
      <c r="AC33" s="1">
        <v>10.9542</v>
      </c>
      <c r="AD33" s="1">
        <v>11.3468</v>
      </c>
      <c r="AE33" s="1">
        <v>12.454000000000001</v>
      </c>
      <c r="AF33" s="1">
        <v>10.270799999999999</v>
      </c>
      <c r="AG33" s="1">
        <v>14.135999999999999</v>
      </c>
      <c r="AH33" s="1">
        <v>12.776400000000001</v>
      </c>
      <c r="AI33" s="1">
        <v>6.4742000000000006</v>
      </c>
      <c r="AJ33" s="1">
        <v>12.1784</v>
      </c>
      <c r="AK33" s="1"/>
      <c r="AL33" s="1">
        <f t="shared" si="8"/>
        <v>85</v>
      </c>
      <c r="AM33" s="1">
        <f t="shared" si="9"/>
        <v>0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1" t="s">
        <v>74</v>
      </c>
      <c r="B34" s="11" t="s">
        <v>38</v>
      </c>
      <c r="C34" s="11">
        <v>3.173</v>
      </c>
      <c r="D34" s="11"/>
      <c r="E34" s="11">
        <v>-0.92</v>
      </c>
      <c r="F34" s="11">
        <v>3.173</v>
      </c>
      <c r="G34" s="12">
        <v>0</v>
      </c>
      <c r="H34" s="11">
        <v>50</v>
      </c>
      <c r="I34" s="11" t="s">
        <v>65</v>
      </c>
      <c r="J34" s="11"/>
      <c r="K34" s="11">
        <v>8.1999999999999993</v>
      </c>
      <c r="L34" s="11">
        <f t="shared" si="3"/>
        <v>-9.1199999999999992</v>
      </c>
      <c r="M34" s="11"/>
      <c r="N34" s="11"/>
      <c r="O34" s="11">
        <v>0</v>
      </c>
      <c r="P34" s="11"/>
      <c r="Q34" s="11"/>
      <c r="R34" s="11">
        <v>0</v>
      </c>
      <c r="S34" s="23"/>
      <c r="T34" s="11">
        <f t="shared" si="4"/>
        <v>-0.184</v>
      </c>
      <c r="U34" s="13"/>
      <c r="V34" s="5">
        <f t="shared" si="6"/>
        <v>0</v>
      </c>
      <c r="W34" s="5">
        <f t="shared" si="10"/>
        <v>0</v>
      </c>
      <c r="X34" s="5"/>
      <c r="Y34" s="1">
        <f t="shared" si="7"/>
        <v>-17.244565217391305</v>
      </c>
      <c r="Z34" s="11">
        <f t="shared" si="5"/>
        <v>-17.244565217391305</v>
      </c>
      <c r="AA34" s="11">
        <v>0</v>
      </c>
      <c r="AB34" s="11">
        <v>-0.18079999999999999</v>
      </c>
      <c r="AC34" s="11">
        <v>-0.36299999999999999</v>
      </c>
      <c r="AD34" s="11">
        <v>-0.1822</v>
      </c>
      <c r="AE34" s="11">
        <v>-0.54239999999999999</v>
      </c>
      <c r="AF34" s="11">
        <v>-2.3757999999999999</v>
      </c>
      <c r="AG34" s="11">
        <v>-0.74660000000000004</v>
      </c>
      <c r="AH34" s="11">
        <v>5.9942000000000002</v>
      </c>
      <c r="AI34" s="11">
        <v>6.5543999999999993</v>
      </c>
      <c r="AJ34" s="11">
        <v>7.2969999999999997</v>
      </c>
      <c r="AK34" s="11"/>
      <c r="AL34" s="1">
        <f t="shared" si="8"/>
        <v>0</v>
      </c>
      <c r="AM34" s="1">
        <f t="shared" si="9"/>
        <v>0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75</v>
      </c>
      <c r="B35" s="1" t="s">
        <v>38</v>
      </c>
      <c r="C35" s="1">
        <v>30.565000000000001</v>
      </c>
      <c r="D35" s="1">
        <v>54.098999999999997</v>
      </c>
      <c r="E35" s="1">
        <v>44.542000000000002</v>
      </c>
      <c r="F35" s="1">
        <v>35.563000000000002</v>
      </c>
      <c r="G35" s="7">
        <v>1</v>
      </c>
      <c r="H35" s="1">
        <v>50</v>
      </c>
      <c r="I35" s="1" t="s">
        <v>39</v>
      </c>
      <c r="J35" s="1"/>
      <c r="K35" s="1">
        <v>42.7</v>
      </c>
      <c r="L35" s="1">
        <f t="shared" si="3"/>
        <v>1.8419999999999987</v>
      </c>
      <c r="M35" s="1"/>
      <c r="N35" s="1"/>
      <c r="O35" s="1">
        <v>20</v>
      </c>
      <c r="P35" s="1"/>
      <c r="Q35" s="1"/>
      <c r="R35" s="1">
        <v>14.5044</v>
      </c>
      <c r="S35" s="21"/>
      <c r="T35" s="1">
        <f t="shared" si="4"/>
        <v>8.9084000000000003</v>
      </c>
      <c r="U35" s="5">
        <f t="shared" ref="U35:U45" si="15">12*T35-R35-Q35-P35-O35-F35</f>
        <v>36.833399999999997</v>
      </c>
      <c r="V35" s="5">
        <f t="shared" si="6"/>
        <v>36.833399999999997</v>
      </c>
      <c r="W35" s="5">
        <f t="shared" si="10"/>
        <v>36.833399999999997</v>
      </c>
      <c r="X35" s="5"/>
      <c r="Y35" s="1">
        <f t="shared" si="7"/>
        <v>12</v>
      </c>
      <c r="Z35" s="1">
        <f t="shared" si="5"/>
        <v>7.8653181267118679</v>
      </c>
      <c r="AA35" s="1">
        <v>7.8503999999999996</v>
      </c>
      <c r="AB35" s="1">
        <v>4.3845999999999998</v>
      </c>
      <c r="AC35" s="1">
        <v>6.3595999999999986</v>
      </c>
      <c r="AD35" s="1">
        <v>12.702</v>
      </c>
      <c r="AE35" s="1">
        <v>10.155799999999999</v>
      </c>
      <c r="AF35" s="1">
        <v>6.3393999999999986</v>
      </c>
      <c r="AG35" s="1">
        <v>11.959199999999999</v>
      </c>
      <c r="AH35" s="1">
        <v>10.5078</v>
      </c>
      <c r="AI35" s="1">
        <v>5.4367999999999999</v>
      </c>
      <c r="AJ35" s="1">
        <v>6.6819999999999986</v>
      </c>
      <c r="AK35" s="1"/>
      <c r="AL35" s="1">
        <f t="shared" si="8"/>
        <v>37</v>
      </c>
      <c r="AM35" s="1">
        <f t="shared" si="9"/>
        <v>0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76</v>
      </c>
      <c r="B36" s="1" t="s">
        <v>43</v>
      </c>
      <c r="C36" s="1">
        <v>3</v>
      </c>
      <c r="D36" s="1"/>
      <c r="E36" s="1">
        <v>-3</v>
      </c>
      <c r="F36" s="1">
        <v>3</v>
      </c>
      <c r="G36" s="7">
        <v>0.4</v>
      </c>
      <c r="H36" s="1">
        <v>45</v>
      </c>
      <c r="I36" s="9" t="s">
        <v>51</v>
      </c>
      <c r="J36" s="1"/>
      <c r="K36" s="1">
        <v>216</v>
      </c>
      <c r="L36" s="1">
        <f t="shared" si="3"/>
        <v>-219</v>
      </c>
      <c r="M36" s="1"/>
      <c r="N36" s="1"/>
      <c r="O36" s="1">
        <v>200</v>
      </c>
      <c r="P36" s="1"/>
      <c r="Q36" s="1"/>
      <c r="R36" s="1">
        <v>350</v>
      </c>
      <c r="S36" s="21"/>
      <c r="T36" s="1">
        <f t="shared" si="4"/>
        <v>-0.6</v>
      </c>
      <c r="U36" s="5">
        <v>200</v>
      </c>
      <c r="V36" s="5">
        <f t="shared" si="6"/>
        <v>200</v>
      </c>
      <c r="W36" s="5">
        <f t="shared" si="10"/>
        <v>200</v>
      </c>
      <c r="X36" s="5"/>
      <c r="Y36" s="1">
        <f t="shared" si="7"/>
        <v>-1255</v>
      </c>
      <c r="Z36" s="1">
        <f t="shared" si="5"/>
        <v>-921.66666666666674</v>
      </c>
      <c r="AA36" s="1">
        <v>43</v>
      </c>
      <c r="AB36" s="1">
        <v>53.6</v>
      </c>
      <c r="AC36" s="1">
        <v>82</v>
      </c>
      <c r="AD36" s="1">
        <v>105.6</v>
      </c>
      <c r="AE36" s="1">
        <v>114.4</v>
      </c>
      <c r="AF36" s="1">
        <v>104.2</v>
      </c>
      <c r="AG36" s="1">
        <v>116</v>
      </c>
      <c r="AH36" s="1">
        <v>216.8</v>
      </c>
      <c r="AI36" s="1">
        <v>207.6</v>
      </c>
      <c r="AJ36" s="1">
        <v>159.19999999999999</v>
      </c>
      <c r="AK36" s="1"/>
      <c r="AL36" s="1">
        <f t="shared" si="8"/>
        <v>80</v>
      </c>
      <c r="AM36" s="1">
        <f t="shared" si="9"/>
        <v>0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77</v>
      </c>
      <c r="B37" s="1" t="s">
        <v>43</v>
      </c>
      <c r="C37" s="1">
        <v>498</v>
      </c>
      <c r="D37" s="1">
        <v>140</v>
      </c>
      <c r="E37" s="1">
        <v>133</v>
      </c>
      <c r="F37" s="1">
        <v>495</v>
      </c>
      <c r="G37" s="7">
        <v>0.45</v>
      </c>
      <c r="H37" s="1">
        <v>50</v>
      </c>
      <c r="I37" s="1" t="s">
        <v>39</v>
      </c>
      <c r="J37" s="1"/>
      <c r="K37" s="1">
        <v>133</v>
      </c>
      <c r="L37" s="1">
        <f t="shared" si="3"/>
        <v>0</v>
      </c>
      <c r="M37" s="1"/>
      <c r="N37" s="1"/>
      <c r="O37" s="1">
        <v>0</v>
      </c>
      <c r="P37" s="1"/>
      <c r="Q37" s="1"/>
      <c r="R37" s="1">
        <v>0</v>
      </c>
      <c r="S37" s="21"/>
      <c r="T37" s="1">
        <f t="shared" si="4"/>
        <v>26.6</v>
      </c>
      <c r="U37" s="5"/>
      <c r="V37" s="5">
        <f t="shared" si="6"/>
        <v>0</v>
      </c>
      <c r="W37" s="5">
        <f t="shared" si="10"/>
        <v>0</v>
      </c>
      <c r="X37" s="5"/>
      <c r="Y37" s="1">
        <f t="shared" si="7"/>
        <v>18.609022556390975</v>
      </c>
      <c r="Z37" s="1">
        <f t="shared" si="5"/>
        <v>18.609022556390975</v>
      </c>
      <c r="AA37" s="1">
        <v>21.8</v>
      </c>
      <c r="AB37" s="1">
        <v>11.8</v>
      </c>
      <c r="AC37" s="1">
        <v>12.6</v>
      </c>
      <c r="AD37" s="1">
        <v>23.8</v>
      </c>
      <c r="AE37" s="1">
        <v>51.6</v>
      </c>
      <c r="AF37" s="1">
        <v>52.6</v>
      </c>
      <c r="AG37" s="1">
        <v>22.2</v>
      </c>
      <c r="AH37" s="1">
        <v>31.6</v>
      </c>
      <c r="AI37" s="1">
        <v>33.799999999999997</v>
      </c>
      <c r="AJ37" s="1">
        <v>31.2</v>
      </c>
      <c r="AK37" s="16" t="s">
        <v>92</v>
      </c>
      <c r="AL37" s="1">
        <f t="shared" si="8"/>
        <v>0</v>
      </c>
      <c r="AM37" s="1">
        <f t="shared" si="9"/>
        <v>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78</v>
      </c>
      <c r="B38" s="1" t="s">
        <v>43</v>
      </c>
      <c r="C38" s="1">
        <v>22</v>
      </c>
      <c r="D38" s="1">
        <v>108</v>
      </c>
      <c r="E38" s="1">
        <v>90</v>
      </c>
      <c r="F38" s="1">
        <v>28</v>
      </c>
      <c r="G38" s="7">
        <v>0.4</v>
      </c>
      <c r="H38" s="1">
        <v>45</v>
      </c>
      <c r="I38" s="9" t="s">
        <v>51</v>
      </c>
      <c r="J38" s="1"/>
      <c r="K38" s="1">
        <v>191</v>
      </c>
      <c r="L38" s="1">
        <f t="shared" ref="L38:L69" si="16">E38-K38</f>
        <v>-101</v>
      </c>
      <c r="M38" s="1"/>
      <c r="N38" s="1"/>
      <c r="O38" s="1">
        <v>80</v>
      </c>
      <c r="P38" s="1"/>
      <c r="Q38" s="1"/>
      <c r="R38" s="1">
        <v>200</v>
      </c>
      <c r="S38" s="21"/>
      <c r="T38" s="1">
        <f t="shared" ref="T38:T69" si="17">E38/5</f>
        <v>18</v>
      </c>
      <c r="U38" s="5">
        <v>60</v>
      </c>
      <c r="V38" s="5">
        <f t="shared" si="6"/>
        <v>60</v>
      </c>
      <c r="W38" s="5">
        <f t="shared" si="10"/>
        <v>60</v>
      </c>
      <c r="X38" s="5"/>
      <c r="Y38" s="1">
        <f t="shared" si="7"/>
        <v>20.444444444444443</v>
      </c>
      <c r="Z38" s="1">
        <f t="shared" ref="Z38:Z69" si="18">(F38+O38+P38+Q38+R38)/T38</f>
        <v>17.111111111111111</v>
      </c>
      <c r="AA38" s="1">
        <v>24.6</v>
      </c>
      <c r="AB38" s="1">
        <v>14.2</v>
      </c>
      <c r="AC38" s="1">
        <v>-0.4</v>
      </c>
      <c r="AD38" s="1">
        <v>2.4</v>
      </c>
      <c r="AE38" s="1">
        <v>29</v>
      </c>
      <c r="AF38" s="1">
        <v>33.6</v>
      </c>
      <c r="AG38" s="1">
        <v>5.4</v>
      </c>
      <c r="AH38" s="1">
        <v>27.8</v>
      </c>
      <c r="AI38" s="1">
        <v>61.4</v>
      </c>
      <c r="AJ38" s="1">
        <v>43.8</v>
      </c>
      <c r="AK38" s="1"/>
      <c r="AL38" s="1">
        <f t="shared" si="8"/>
        <v>24</v>
      </c>
      <c r="AM38" s="1">
        <f t="shared" si="9"/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79</v>
      </c>
      <c r="B39" s="1" t="s">
        <v>43</v>
      </c>
      <c r="C39" s="1">
        <v>-2</v>
      </c>
      <c r="D39" s="1"/>
      <c r="E39" s="1"/>
      <c r="F39" s="1">
        <v>-2</v>
      </c>
      <c r="G39" s="7">
        <v>0.4</v>
      </c>
      <c r="H39" s="1">
        <v>40</v>
      </c>
      <c r="I39" s="9" t="s">
        <v>51</v>
      </c>
      <c r="J39" s="1"/>
      <c r="K39" s="1">
        <v>6</v>
      </c>
      <c r="L39" s="1">
        <f t="shared" si="16"/>
        <v>-6</v>
      </c>
      <c r="M39" s="1"/>
      <c r="N39" s="1"/>
      <c r="O39" s="1">
        <v>10</v>
      </c>
      <c r="P39" s="1">
        <v>-12</v>
      </c>
      <c r="Q39" s="1"/>
      <c r="R39" s="1">
        <v>20</v>
      </c>
      <c r="S39" s="21"/>
      <c r="T39" s="1">
        <f t="shared" si="17"/>
        <v>0</v>
      </c>
      <c r="U39" s="5">
        <v>20</v>
      </c>
      <c r="V39" s="5">
        <f t="shared" si="6"/>
        <v>20</v>
      </c>
      <c r="W39" s="5">
        <f t="shared" si="10"/>
        <v>20</v>
      </c>
      <c r="X39" s="5"/>
      <c r="Y39" s="1" t="e">
        <f t="shared" si="7"/>
        <v>#DIV/0!</v>
      </c>
      <c r="Z39" s="1" t="e">
        <f t="shared" si="18"/>
        <v>#DIV/0!</v>
      </c>
      <c r="AA39" s="1">
        <v>0</v>
      </c>
      <c r="AB39" s="1">
        <v>0</v>
      </c>
      <c r="AC39" s="1">
        <v>0</v>
      </c>
      <c r="AD39" s="1">
        <v>3</v>
      </c>
      <c r="AE39" s="1">
        <v>8.6</v>
      </c>
      <c r="AF39" s="1">
        <v>9.1999999999999993</v>
      </c>
      <c r="AG39" s="1">
        <v>5.6</v>
      </c>
      <c r="AH39" s="1">
        <v>11.2</v>
      </c>
      <c r="AI39" s="1">
        <v>12</v>
      </c>
      <c r="AJ39" s="1">
        <v>6.6</v>
      </c>
      <c r="AK39" s="1"/>
      <c r="AL39" s="1">
        <f t="shared" si="8"/>
        <v>8</v>
      </c>
      <c r="AM39" s="1">
        <f t="shared" si="9"/>
        <v>0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80</v>
      </c>
      <c r="B40" s="1" t="s">
        <v>38</v>
      </c>
      <c r="C40" s="1">
        <v>53.665999999999997</v>
      </c>
      <c r="D40" s="1">
        <v>42.026000000000003</v>
      </c>
      <c r="E40" s="1">
        <v>46.777000000000001</v>
      </c>
      <c r="F40" s="1">
        <v>39.051000000000002</v>
      </c>
      <c r="G40" s="7">
        <v>1</v>
      </c>
      <c r="H40" s="1">
        <v>45</v>
      </c>
      <c r="I40" s="9" t="s">
        <v>51</v>
      </c>
      <c r="J40" s="1"/>
      <c r="K40" s="1">
        <v>38</v>
      </c>
      <c r="L40" s="1">
        <f t="shared" si="16"/>
        <v>8.777000000000001</v>
      </c>
      <c r="M40" s="1"/>
      <c r="N40" s="1"/>
      <c r="O40" s="1">
        <v>20</v>
      </c>
      <c r="P40" s="1"/>
      <c r="Q40" s="1"/>
      <c r="R40" s="1">
        <v>27.73</v>
      </c>
      <c r="S40" s="21"/>
      <c r="T40" s="1">
        <f t="shared" si="17"/>
        <v>9.3553999999999995</v>
      </c>
      <c r="U40" s="5">
        <v>20</v>
      </c>
      <c r="V40" s="5">
        <f t="shared" si="6"/>
        <v>20</v>
      </c>
      <c r="W40" s="5">
        <f t="shared" si="10"/>
        <v>20</v>
      </c>
      <c r="X40" s="5"/>
      <c r="Y40" s="1">
        <f t="shared" si="7"/>
        <v>11.413835859503603</v>
      </c>
      <c r="Z40" s="1">
        <f t="shared" si="18"/>
        <v>9.2760330931868236</v>
      </c>
      <c r="AA40" s="1">
        <v>10.323</v>
      </c>
      <c r="AB40" s="1">
        <v>4.6484000000000014</v>
      </c>
      <c r="AC40" s="1">
        <v>2.3094000000000001</v>
      </c>
      <c r="AD40" s="1">
        <v>9.5343999999999998</v>
      </c>
      <c r="AE40" s="1">
        <v>16.715199999999999</v>
      </c>
      <c r="AF40" s="1">
        <v>10.9094</v>
      </c>
      <c r="AG40" s="1">
        <v>0</v>
      </c>
      <c r="AH40" s="1">
        <v>0</v>
      </c>
      <c r="AI40" s="1">
        <v>0</v>
      </c>
      <c r="AJ40" s="1">
        <v>0</v>
      </c>
      <c r="AK40" s="1"/>
      <c r="AL40" s="1">
        <f t="shared" si="8"/>
        <v>20</v>
      </c>
      <c r="AM40" s="1">
        <f t="shared" si="9"/>
        <v>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81</v>
      </c>
      <c r="B41" s="1" t="s">
        <v>43</v>
      </c>
      <c r="C41" s="1">
        <v>740</v>
      </c>
      <c r="D41" s="1">
        <v>520</v>
      </c>
      <c r="E41" s="1">
        <v>747</v>
      </c>
      <c r="F41" s="1">
        <v>480</v>
      </c>
      <c r="G41" s="7">
        <v>0.1</v>
      </c>
      <c r="H41" s="1">
        <v>731</v>
      </c>
      <c r="I41" s="1" t="s">
        <v>39</v>
      </c>
      <c r="J41" s="1"/>
      <c r="K41" s="1">
        <v>723</v>
      </c>
      <c r="L41" s="1">
        <f t="shared" si="16"/>
        <v>24</v>
      </c>
      <c r="M41" s="1"/>
      <c r="N41" s="1"/>
      <c r="O41" s="1">
        <v>400</v>
      </c>
      <c r="P41" s="1"/>
      <c r="Q41" s="1"/>
      <c r="R41" s="1">
        <v>400</v>
      </c>
      <c r="S41" s="21"/>
      <c r="T41" s="1">
        <f t="shared" si="17"/>
        <v>149.4</v>
      </c>
      <c r="U41" s="5">
        <f t="shared" si="15"/>
        <v>512.80000000000018</v>
      </c>
      <c r="V41" s="5">
        <f t="shared" si="6"/>
        <v>512.80000000000018</v>
      </c>
      <c r="W41" s="5">
        <f t="shared" si="10"/>
        <v>207.17120000000011</v>
      </c>
      <c r="X41" s="5">
        <f>V41*$X$1</f>
        <v>305.62880000000007</v>
      </c>
      <c r="Y41" s="1">
        <f t="shared" si="7"/>
        <v>12</v>
      </c>
      <c r="Z41" s="1">
        <f t="shared" si="18"/>
        <v>8.5676037483266398</v>
      </c>
      <c r="AA41" s="1">
        <v>112</v>
      </c>
      <c r="AB41" s="1">
        <v>37</v>
      </c>
      <c r="AC41" s="1">
        <v>22.6</v>
      </c>
      <c r="AD41" s="1">
        <v>58.2</v>
      </c>
      <c r="AE41" s="1">
        <v>88</v>
      </c>
      <c r="AF41" s="1">
        <v>90</v>
      </c>
      <c r="AG41" s="1">
        <v>67.400000000000006</v>
      </c>
      <c r="AH41" s="1">
        <v>57.8</v>
      </c>
      <c r="AI41" s="1">
        <v>47.8</v>
      </c>
      <c r="AJ41" s="1">
        <v>59.6</v>
      </c>
      <c r="AK41" s="1" t="s">
        <v>82</v>
      </c>
      <c r="AL41" s="1">
        <f t="shared" si="8"/>
        <v>21</v>
      </c>
      <c r="AM41" s="1">
        <f t="shared" si="9"/>
        <v>31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83</v>
      </c>
      <c r="B42" s="1" t="s">
        <v>43</v>
      </c>
      <c r="C42" s="1">
        <v>5</v>
      </c>
      <c r="D42" s="1"/>
      <c r="E42" s="1">
        <v>-19</v>
      </c>
      <c r="F42" s="1">
        <v>5</v>
      </c>
      <c r="G42" s="7">
        <v>0.35</v>
      </c>
      <c r="H42" s="1">
        <v>40</v>
      </c>
      <c r="I42" s="9" t="s">
        <v>51</v>
      </c>
      <c r="J42" s="1"/>
      <c r="K42" s="1">
        <v>29</v>
      </c>
      <c r="L42" s="1">
        <f t="shared" si="16"/>
        <v>-48</v>
      </c>
      <c r="M42" s="1"/>
      <c r="N42" s="1"/>
      <c r="O42" s="1">
        <v>50</v>
      </c>
      <c r="P42" s="1"/>
      <c r="Q42" s="1"/>
      <c r="R42" s="1">
        <v>20</v>
      </c>
      <c r="S42" s="21"/>
      <c r="T42" s="1">
        <f t="shared" si="17"/>
        <v>-3.8</v>
      </c>
      <c r="U42" s="5">
        <v>20</v>
      </c>
      <c r="V42" s="5">
        <f t="shared" si="6"/>
        <v>20</v>
      </c>
      <c r="W42" s="5">
        <f t="shared" si="10"/>
        <v>20</v>
      </c>
      <c r="X42" s="5"/>
      <c r="Y42" s="1">
        <f t="shared" si="7"/>
        <v>-25</v>
      </c>
      <c r="Z42" s="1">
        <f t="shared" si="18"/>
        <v>-19.736842105263158</v>
      </c>
      <c r="AA42" s="1">
        <v>-3.6</v>
      </c>
      <c r="AB42" s="1">
        <v>0</v>
      </c>
      <c r="AC42" s="1">
        <v>0</v>
      </c>
      <c r="AD42" s="1">
        <v>-0.2</v>
      </c>
      <c r="AE42" s="1">
        <v>-0.8</v>
      </c>
      <c r="AF42" s="1">
        <v>0</v>
      </c>
      <c r="AG42" s="1">
        <v>-0.2</v>
      </c>
      <c r="AH42" s="1">
        <v>-0.8</v>
      </c>
      <c r="AI42" s="1">
        <v>3.8</v>
      </c>
      <c r="AJ42" s="1">
        <v>1.4</v>
      </c>
      <c r="AK42" s="1"/>
      <c r="AL42" s="1">
        <f t="shared" si="8"/>
        <v>7</v>
      </c>
      <c r="AM42" s="1">
        <f t="shared" si="9"/>
        <v>0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84</v>
      </c>
      <c r="B43" s="1" t="s">
        <v>38</v>
      </c>
      <c r="C43" s="1">
        <v>24.013999999999999</v>
      </c>
      <c r="D43" s="1"/>
      <c r="E43" s="1">
        <v>28.54</v>
      </c>
      <c r="F43" s="1">
        <v>-5.0839999999999996</v>
      </c>
      <c r="G43" s="7">
        <v>1</v>
      </c>
      <c r="H43" s="1">
        <v>40</v>
      </c>
      <c r="I43" s="9" t="s">
        <v>51</v>
      </c>
      <c r="J43" s="1"/>
      <c r="K43" s="1">
        <v>34.5</v>
      </c>
      <c r="L43" s="1">
        <f t="shared" si="16"/>
        <v>-5.9600000000000009</v>
      </c>
      <c r="M43" s="1"/>
      <c r="N43" s="1"/>
      <c r="O43" s="1">
        <v>100</v>
      </c>
      <c r="P43" s="1"/>
      <c r="Q43" s="1"/>
      <c r="R43" s="1">
        <v>50</v>
      </c>
      <c r="S43" s="21"/>
      <c r="T43" s="1">
        <f t="shared" si="17"/>
        <v>5.7080000000000002</v>
      </c>
      <c r="U43" s="5">
        <v>20</v>
      </c>
      <c r="V43" s="5">
        <f t="shared" si="6"/>
        <v>20</v>
      </c>
      <c r="W43" s="5">
        <f t="shared" si="10"/>
        <v>20</v>
      </c>
      <c r="X43" s="5"/>
      <c r="Y43" s="1">
        <f t="shared" si="7"/>
        <v>28.892081289418357</v>
      </c>
      <c r="Z43" s="1">
        <f t="shared" si="18"/>
        <v>25.388227049754729</v>
      </c>
      <c r="AA43" s="1">
        <v>8.1778000000000013</v>
      </c>
      <c r="AB43" s="1">
        <v>8.4413999999999998</v>
      </c>
      <c r="AC43" s="1">
        <v>18.788799999999998</v>
      </c>
      <c r="AD43" s="1">
        <v>21.273199999999999</v>
      </c>
      <c r="AE43" s="1">
        <v>22.917999999999999</v>
      </c>
      <c r="AF43" s="1">
        <v>21.759399999999999</v>
      </c>
      <c r="AG43" s="1">
        <v>16.7</v>
      </c>
      <c r="AH43" s="1">
        <v>22.0274</v>
      </c>
      <c r="AI43" s="1">
        <v>19.802399999999999</v>
      </c>
      <c r="AJ43" s="1">
        <v>21.879200000000001</v>
      </c>
      <c r="AK43" s="1"/>
      <c r="AL43" s="1">
        <f t="shared" si="8"/>
        <v>20</v>
      </c>
      <c r="AM43" s="1">
        <f t="shared" si="9"/>
        <v>0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85</v>
      </c>
      <c r="B44" s="1" t="s">
        <v>43</v>
      </c>
      <c r="C44" s="1">
        <v>91</v>
      </c>
      <c r="D44" s="1">
        <v>72</v>
      </c>
      <c r="E44" s="1">
        <v>123</v>
      </c>
      <c r="F44" s="1">
        <v>37</v>
      </c>
      <c r="G44" s="7">
        <v>0.4</v>
      </c>
      <c r="H44" s="1">
        <v>40</v>
      </c>
      <c r="I44" s="9" t="s">
        <v>51</v>
      </c>
      <c r="J44" s="1"/>
      <c r="K44" s="1">
        <v>118</v>
      </c>
      <c r="L44" s="1">
        <f t="shared" si="16"/>
        <v>5</v>
      </c>
      <c r="M44" s="1"/>
      <c r="N44" s="1"/>
      <c r="O44" s="1">
        <v>40</v>
      </c>
      <c r="P44" s="1"/>
      <c r="Q44" s="1"/>
      <c r="R44" s="1">
        <v>20</v>
      </c>
      <c r="S44" s="21"/>
      <c r="T44" s="1">
        <f t="shared" si="17"/>
        <v>24.6</v>
      </c>
      <c r="U44" s="5">
        <v>120</v>
      </c>
      <c r="V44" s="5">
        <f t="shared" si="6"/>
        <v>120</v>
      </c>
      <c r="W44" s="5">
        <v>120</v>
      </c>
      <c r="X44" s="5">
        <v>100</v>
      </c>
      <c r="Y44" s="1">
        <f t="shared" si="7"/>
        <v>12.886178861788617</v>
      </c>
      <c r="Z44" s="1">
        <f t="shared" si="18"/>
        <v>3.9430894308943087</v>
      </c>
      <c r="AA44" s="1">
        <v>15.2</v>
      </c>
      <c r="AB44" s="1">
        <v>11.6</v>
      </c>
      <c r="AC44" s="1">
        <v>11</v>
      </c>
      <c r="AD44" s="1">
        <v>16.399999999999999</v>
      </c>
      <c r="AE44" s="1">
        <v>26.8</v>
      </c>
      <c r="AF44" s="1">
        <v>22.8</v>
      </c>
      <c r="AG44" s="1">
        <v>2</v>
      </c>
      <c r="AH44" s="1">
        <v>6.2</v>
      </c>
      <c r="AI44" s="1">
        <v>16.399999999999999</v>
      </c>
      <c r="AJ44" s="1">
        <v>13.2</v>
      </c>
      <c r="AK44" s="1"/>
      <c r="AL44" s="1">
        <f t="shared" si="8"/>
        <v>48</v>
      </c>
      <c r="AM44" s="1">
        <f t="shared" si="9"/>
        <v>40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86</v>
      </c>
      <c r="B45" s="1" t="s">
        <v>43</v>
      </c>
      <c r="C45" s="1">
        <v>113</v>
      </c>
      <c r="D45" s="1">
        <v>150</v>
      </c>
      <c r="E45" s="1">
        <v>138</v>
      </c>
      <c r="F45" s="1">
        <v>122</v>
      </c>
      <c r="G45" s="7">
        <v>0.4</v>
      </c>
      <c r="H45" s="1">
        <v>45</v>
      </c>
      <c r="I45" s="1" t="s">
        <v>39</v>
      </c>
      <c r="J45" s="1"/>
      <c r="K45" s="1">
        <v>139</v>
      </c>
      <c r="L45" s="1">
        <f t="shared" si="16"/>
        <v>-1</v>
      </c>
      <c r="M45" s="1"/>
      <c r="N45" s="1"/>
      <c r="O45" s="1">
        <v>50</v>
      </c>
      <c r="P45" s="1"/>
      <c r="Q45" s="1"/>
      <c r="R45" s="1">
        <v>0</v>
      </c>
      <c r="S45" s="21"/>
      <c r="T45" s="1">
        <f t="shared" si="17"/>
        <v>27.6</v>
      </c>
      <c r="U45" s="5">
        <f t="shared" si="15"/>
        <v>159.20000000000005</v>
      </c>
      <c r="V45" s="5">
        <f t="shared" si="6"/>
        <v>159.20000000000005</v>
      </c>
      <c r="W45" s="5">
        <f t="shared" si="10"/>
        <v>64.316800000000029</v>
      </c>
      <c r="X45" s="5">
        <f>V45*$X$1</f>
        <v>94.883200000000016</v>
      </c>
      <c r="Y45" s="1">
        <f t="shared" si="7"/>
        <v>12.000000000000002</v>
      </c>
      <c r="Z45" s="1">
        <f t="shared" si="18"/>
        <v>6.2318840579710137</v>
      </c>
      <c r="AA45" s="1">
        <v>19</v>
      </c>
      <c r="AB45" s="1">
        <v>11.4</v>
      </c>
      <c r="AC45" s="1">
        <v>1.4</v>
      </c>
      <c r="AD45" s="1">
        <v>4.8</v>
      </c>
      <c r="AE45" s="1">
        <v>25</v>
      </c>
      <c r="AF45" s="1">
        <v>30.8</v>
      </c>
      <c r="AG45" s="1">
        <v>13.8</v>
      </c>
      <c r="AH45" s="1">
        <v>21.8</v>
      </c>
      <c r="AI45" s="1">
        <v>26.4</v>
      </c>
      <c r="AJ45" s="1">
        <v>14.8</v>
      </c>
      <c r="AK45" s="1"/>
      <c r="AL45" s="1">
        <f t="shared" si="8"/>
        <v>26</v>
      </c>
      <c r="AM45" s="1">
        <f t="shared" si="9"/>
        <v>38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1" t="s">
        <v>87</v>
      </c>
      <c r="B46" s="11" t="s">
        <v>38</v>
      </c>
      <c r="C46" s="11">
        <v>2.2000000000000002</v>
      </c>
      <c r="D46" s="11"/>
      <c r="E46" s="11">
        <v>-0.72799999999999998</v>
      </c>
      <c r="F46" s="11">
        <v>2.2000000000000002</v>
      </c>
      <c r="G46" s="12">
        <v>0</v>
      </c>
      <c r="H46" s="11">
        <v>40</v>
      </c>
      <c r="I46" s="11" t="s">
        <v>65</v>
      </c>
      <c r="J46" s="11"/>
      <c r="K46" s="11">
        <v>11.7</v>
      </c>
      <c r="L46" s="11">
        <f t="shared" si="16"/>
        <v>-12.427999999999999</v>
      </c>
      <c r="M46" s="11"/>
      <c r="N46" s="11"/>
      <c r="O46" s="11">
        <v>0</v>
      </c>
      <c r="P46" s="11"/>
      <c r="Q46" s="11"/>
      <c r="R46" s="11">
        <v>0</v>
      </c>
      <c r="S46" s="23"/>
      <c r="T46" s="11">
        <f t="shared" si="17"/>
        <v>-0.14560000000000001</v>
      </c>
      <c r="U46" s="13"/>
      <c r="V46" s="5">
        <f t="shared" si="6"/>
        <v>0</v>
      </c>
      <c r="W46" s="5">
        <f t="shared" si="10"/>
        <v>0</v>
      </c>
      <c r="X46" s="5"/>
      <c r="Y46" s="1">
        <f t="shared" si="7"/>
        <v>-15.109890109890109</v>
      </c>
      <c r="Z46" s="11">
        <f t="shared" si="18"/>
        <v>-15.109890109890109</v>
      </c>
      <c r="AA46" s="11">
        <v>-0.14560000000000001</v>
      </c>
      <c r="AB46" s="11">
        <v>0</v>
      </c>
      <c r="AC46" s="11">
        <v>0</v>
      </c>
      <c r="AD46" s="11">
        <v>0</v>
      </c>
      <c r="AE46" s="11">
        <v>-0.1434</v>
      </c>
      <c r="AF46" s="11">
        <v>-0.1434</v>
      </c>
      <c r="AG46" s="11">
        <v>0</v>
      </c>
      <c r="AH46" s="11">
        <v>-0.43659999999999999</v>
      </c>
      <c r="AI46" s="11">
        <v>-0.43659999999999999</v>
      </c>
      <c r="AJ46" s="11">
        <v>-0.28799999999999998</v>
      </c>
      <c r="AK46" s="11"/>
      <c r="AL46" s="1">
        <f t="shared" si="8"/>
        <v>0</v>
      </c>
      <c r="AM46" s="1">
        <f t="shared" si="9"/>
        <v>0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88</v>
      </c>
      <c r="B47" s="1" t="s">
        <v>38</v>
      </c>
      <c r="C47" s="1">
        <v>10.734999999999999</v>
      </c>
      <c r="D47" s="1"/>
      <c r="E47" s="1">
        <v>16.913</v>
      </c>
      <c r="F47" s="1">
        <v>-11.271000000000001</v>
      </c>
      <c r="G47" s="7">
        <v>1</v>
      </c>
      <c r="H47" s="1">
        <v>40</v>
      </c>
      <c r="I47" s="9" t="s">
        <v>51</v>
      </c>
      <c r="J47" s="1"/>
      <c r="K47" s="1">
        <v>32.6</v>
      </c>
      <c r="L47" s="1">
        <f t="shared" si="16"/>
        <v>-15.687000000000001</v>
      </c>
      <c r="M47" s="1"/>
      <c r="N47" s="1"/>
      <c r="O47" s="1">
        <v>20</v>
      </c>
      <c r="P47" s="1"/>
      <c r="Q47" s="1"/>
      <c r="R47" s="1">
        <v>50</v>
      </c>
      <c r="S47" s="21"/>
      <c r="T47" s="1">
        <f t="shared" si="17"/>
        <v>3.3826000000000001</v>
      </c>
      <c r="U47" s="5">
        <v>40</v>
      </c>
      <c r="V47" s="5">
        <f t="shared" si="6"/>
        <v>40</v>
      </c>
      <c r="W47" s="5">
        <f t="shared" si="10"/>
        <v>40</v>
      </c>
      <c r="X47" s="5"/>
      <c r="Y47" s="1">
        <f t="shared" si="7"/>
        <v>29.187311535505231</v>
      </c>
      <c r="Z47" s="1">
        <f t="shared" si="18"/>
        <v>17.362088334417312</v>
      </c>
      <c r="AA47" s="1">
        <v>8.9486000000000008</v>
      </c>
      <c r="AB47" s="1">
        <v>4.9824000000000002</v>
      </c>
      <c r="AC47" s="1">
        <v>7.7111999999999998</v>
      </c>
      <c r="AD47" s="1">
        <v>16.299800000000001</v>
      </c>
      <c r="AE47" s="1">
        <v>23.334199999999999</v>
      </c>
      <c r="AF47" s="1">
        <v>20.9544</v>
      </c>
      <c r="AG47" s="1">
        <v>15.678000000000001</v>
      </c>
      <c r="AH47" s="1">
        <v>20.927800000000001</v>
      </c>
      <c r="AI47" s="1">
        <v>16.421600000000002</v>
      </c>
      <c r="AJ47" s="1">
        <v>18.161000000000001</v>
      </c>
      <c r="AK47" s="1"/>
      <c r="AL47" s="1">
        <f t="shared" si="8"/>
        <v>40</v>
      </c>
      <c r="AM47" s="1">
        <f t="shared" si="9"/>
        <v>0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89</v>
      </c>
      <c r="B48" s="1" t="s">
        <v>43</v>
      </c>
      <c r="C48" s="1">
        <v>47</v>
      </c>
      <c r="D48" s="1">
        <v>159</v>
      </c>
      <c r="E48" s="1">
        <v>195</v>
      </c>
      <c r="F48" s="1">
        <v>6</v>
      </c>
      <c r="G48" s="7">
        <v>0.35</v>
      </c>
      <c r="H48" s="1">
        <v>40</v>
      </c>
      <c r="I48" s="9" t="s">
        <v>51</v>
      </c>
      <c r="J48" s="1"/>
      <c r="K48" s="1">
        <v>316</v>
      </c>
      <c r="L48" s="1">
        <f t="shared" si="16"/>
        <v>-121</v>
      </c>
      <c r="M48" s="1"/>
      <c r="N48" s="1"/>
      <c r="O48" s="1">
        <v>120</v>
      </c>
      <c r="P48" s="1"/>
      <c r="Q48" s="1"/>
      <c r="R48" s="1">
        <v>172.6</v>
      </c>
      <c r="S48" s="21"/>
      <c r="T48" s="1">
        <f t="shared" si="17"/>
        <v>39</v>
      </c>
      <c r="U48" s="5">
        <f t="shared" ref="U48:U66" si="19">12*T48-R48-Q48-P48-O48-F48</f>
        <v>169.39999999999998</v>
      </c>
      <c r="V48" s="5">
        <f t="shared" si="6"/>
        <v>169.39999999999998</v>
      </c>
      <c r="W48" s="5">
        <f t="shared" si="10"/>
        <v>169.39999999999998</v>
      </c>
      <c r="X48" s="5"/>
      <c r="Y48" s="1">
        <f t="shared" si="7"/>
        <v>12</v>
      </c>
      <c r="Z48" s="1">
        <f t="shared" si="18"/>
        <v>7.6564102564102567</v>
      </c>
      <c r="AA48" s="1">
        <v>35.6</v>
      </c>
      <c r="AB48" s="1">
        <v>19.600000000000001</v>
      </c>
      <c r="AC48" s="1">
        <v>0</v>
      </c>
      <c r="AD48" s="1">
        <v>2.2000000000000002</v>
      </c>
      <c r="AE48" s="1">
        <v>53</v>
      </c>
      <c r="AF48" s="1">
        <v>103</v>
      </c>
      <c r="AG48" s="1">
        <v>97.6</v>
      </c>
      <c r="AH48" s="1">
        <v>89</v>
      </c>
      <c r="AI48" s="1">
        <v>59.8</v>
      </c>
      <c r="AJ48" s="1">
        <v>29.4</v>
      </c>
      <c r="AK48" s="1"/>
      <c r="AL48" s="1">
        <f t="shared" si="8"/>
        <v>59</v>
      </c>
      <c r="AM48" s="1">
        <f t="shared" si="9"/>
        <v>0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90</v>
      </c>
      <c r="B49" s="1" t="s">
        <v>43</v>
      </c>
      <c r="C49" s="1">
        <v>145</v>
      </c>
      <c r="D49" s="1">
        <v>150</v>
      </c>
      <c r="E49" s="1">
        <v>258</v>
      </c>
      <c r="F49" s="1">
        <v>11</v>
      </c>
      <c r="G49" s="7">
        <v>0.4</v>
      </c>
      <c r="H49" s="1">
        <v>40</v>
      </c>
      <c r="I49" s="9" t="s">
        <v>51</v>
      </c>
      <c r="J49" s="1"/>
      <c r="K49" s="1">
        <v>262</v>
      </c>
      <c r="L49" s="1">
        <f t="shared" si="16"/>
        <v>-4</v>
      </c>
      <c r="M49" s="1"/>
      <c r="N49" s="1"/>
      <c r="O49" s="1">
        <v>100</v>
      </c>
      <c r="P49" s="1">
        <v>-102</v>
      </c>
      <c r="Q49" s="1"/>
      <c r="R49" s="1">
        <v>150</v>
      </c>
      <c r="S49" s="21"/>
      <c r="T49" s="1">
        <f t="shared" si="17"/>
        <v>51.6</v>
      </c>
      <c r="U49" s="5">
        <v>150</v>
      </c>
      <c r="V49" s="5">
        <f t="shared" si="6"/>
        <v>150</v>
      </c>
      <c r="W49" s="5">
        <v>150</v>
      </c>
      <c r="X49" s="5">
        <v>100</v>
      </c>
      <c r="Y49" s="1">
        <f t="shared" si="7"/>
        <v>7.9263565891472867</v>
      </c>
      <c r="Z49" s="1">
        <f t="shared" si="18"/>
        <v>3.081395348837209</v>
      </c>
      <c r="AA49" s="1">
        <v>49.6</v>
      </c>
      <c r="AB49" s="1">
        <v>31</v>
      </c>
      <c r="AC49" s="1">
        <v>7</v>
      </c>
      <c r="AD49" s="1">
        <v>16.399999999999999</v>
      </c>
      <c r="AE49" s="1">
        <v>57.2</v>
      </c>
      <c r="AF49" s="1">
        <v>50.6</v>
      </c>
      <c r="AG49" s="1">
        <v>5.8</v>
      </c>
      <c r="AH49" s="1">
        <v>33.6</v>
      </c>
      <c r="AI49" s="1">
        <v>70.400000000000006</v>
      </c>
      <c r="AJ49" s="1">
        <v>38.799999999999997</v>
      </c>
      <c r="AK49" s="1"/>
      <c r="AL49" s="1">
        <f t="shared" si="8"/>
        <v>60</v>
      </c>
      <c r="AM49" s="1">
        <f t="shared" si="9"/>
        <v>40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91</v>
      </c>
      <c r="B50" s="1" t="s">
        <v>38</v>
      </c>
      <c r="C50" s="1">
        <v>96.960999999999999</v>
      </c>
      <c r="D50" s="1">
        <v>99.929000000000002</v>
      </c>
      <c r="E50" s="1">
        <v>41.874000000000002</v>
      </c>
      <c r="F50" s="1">
        <v>146.94</v>
      </c>
      <c r="G50" s="7">
        <v>1</v>
      </c>
      <c r="H50" s="1">
        <v>50</v>
      </c>
      <c r="I50" s="1" t="s">
        <v>39</v>
      </c>
      <c r="J50" s="1"/>
      <c r="K50" s="1">
        <v>39.299999999999997</v>
      </c>
      <c r="L50" s="1">
        <f t="shared" si="16"/>
        <v>2.5740000000000052</v>
      </c>
      <c r="M50" s="1"/>
      <c r="N50" s="1"/>
      <c r="O50" s="1">
        <v>0</v>
      </c>
      <c r="P50" s="1"/>
      <c r="Q50" s="1"/>
      <c r="R50" s="1">
        <v>0</v>
      </c>
      <c r="S50" s="21"/>
      <c r="T50" s="1">
        <f t="shared" si="17"/>
        <v>8.3748000000000005</v>
      </c>
      <c r="U50" s="5"/>
      <c r="V50" s="5">
        <f t="shared" si="6"/>
        <v>0</v>
      </c>
      <c r="W50" s="5">
        <f t="shared" si="10"/>
        <v>0</v>
      </c>
      <c r="X50" s="5"/>
      <c r="Y50" s="1">
        <f t="shared" si="7"/>
        <v>17.545493623728326</v>
      </c>
      <c r="Z50" s="1">
        <f t="shared" si="18"/>
        <v>17.545493623728326</v>
      </c>
      <c r="AA50" s="1">
        <v>5.9323999999999986</v>
      </c>
      <c r="AB50" s="1">
        <v>6.7408000000000001</v>
      </c>
      <c r="AC50" s="1">
        <v>7.5424000000000007</v>
      </c>
      <c r="AD50" s="1">
        <v>17.248200000000001</v>
      </c>
      <c r="AE50" s="1">
        <v>16.198599999999999</v>
      </c>
      <c r="AF50" s="1">
        <v>4.0784000000000002</v>
      </c>
      <c r="AG50" s="1">
        <v>5.7111999999999998</v>
      </c>
      <c r="AH50" s="1">
        <v>8.3732000000000006</v>
      </c>
      <c r="AI50" s="1">
        <v>5.0987999999999998</v>
      </c>
      <c r="AJ50" s="1">
        <v>3.4666000000000001</v>
      </c>
      <c r="AK50" s="16" t="s">
        <v>92</v>
      </c>
      <c r="AL50" s="1">
        <f t="shared" si="8"/>
        <v>0</v>
      </c>
      <c r="AM50" s="1">
        <f t="shared" si="9"/>
        <v>0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93</v>
      </c>
      <c r="B51" s="1" t="s">
        <v>38</v>
      </c>
      <c r="C51" s="1">
        <v>233.553</v>
      </c>
      <c r="D51" s="1">
        <v>167.13900000000001</v>
      </c>
      <c r="E51" s="1">
        <v>155.81800000000001</v>
      </c>
      <c r="F51" s="1">
        <v>233.97200000000001</v>
      </c>
      <c r="G51" s="7">
        <v>1</v>
      </c>
      <c r="H51" s="1">
        <v>50</v>
      </c>
      <c r="I51" s="1" t="s">
        <v>39</v>
      </c>
      <c r="J51" s="1"/>
      <c r="K51" s="1">
        <v>152.25</v>
      </c>
      <c r="L51" s="1">
        <f t="shared" si="16"/>
        <v>3.5680000000000121</v>
      </c>
      <c r="M51" s="1"/>
      <c r="N51" s="1"/>
      <c r="O51" s="1">
        <v>0</v>
      </c>
      <c r="P51" s="1"/>
      <c r="Q51" s="1"/>
      <c r="R51" s="1">
        <v>30.38839999999993</v>
      </c>
      <c r="S51" s="21"/>
      <c r="T51" s="1">
        <f t="shared" si="17"/>
        <v>31.163600000000002</v>
      </c>
      <c r="U51" s="5">
        <f t="shared" si="19"/>
        <v>109.60280000000009</v>
      </c>
      <c r="V51" s="5">
        <f t="shared" si="6"/>
        <v>109.60280000000009</v>
      </c>
      <c r="W51" s="5">
        <f t="shared" si="10"/>
        <v>44.279531200000037</v>
      </c>
      <c r="X51" s="5">
        <f>V51*$X$1</f>
        <v>65.323268800000051</v>
      </c>
      <c r="Y51" s="1">
        <f t="shared" si="7"/>
        <v>12</v>
      </c>
      <c r="Z51" s="1">
        <f t="shared" si="18"/>
        <v>8.482986561244525</v>
      </c>
      <c r="AA51" s="1">
        <v>29.2424</v>
      </c>
      <c r="AB51" s="1">
        <v>13.016</v>
      </c>
      <c r="AC51" s="1">
        <v>12.1088</v>
      </c>
      <c r="AD51" s="1">
        <v>26.9346</v>
      </c>
      <c r="AE51" s="1">
        <v>28.4544</v>
      </c>
      <c r="AF51" s="1">
        <v>15.607200000000001</v>
      </c>
      <c r="AG51" s="1">
        <v>15.357799999999999</v>
      </c>
      <c r="AH51" s="1">
        <v>21.200199999999999</v>
      </c>
      <c r="AI51" s="1">
        <v>14.8202</v>
      </c>
      <c r="AJ51" s="1">
        <v>20.593</v>
      </c>
      <c r="AK51" s="1" t="s">
        <v>82</v>
      </c>
      <c r="AL51" s="1">
        <f t="shared" si="8"/>
        <v>44</v>
      </c>
      <c r="AM51" s="1">
        <f t="shared" si="9"/>
        <v>65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94</v>
      </c>
      <c r="B52" s="1" t="s">
        <v>38</v>
      </c>
      <c r="C52" s="1">
        <v>-0.125</v>
      </c>
      <c r="D52" s="1"/>
      <c r="E52" s="1"/>
      <c r="F52" s="1">
        <v>-0.125</v>
      </c>
      <c r="G52" s="7">
        <v>1</v>
      </c>
      <c r="H52" s="1">
        <v>45</v>
      </c>
      <c r="I52" s="9" t="s">
        <v>51</v>
      </c>
      <c r="J52" s="1"/>
      <c r="K52" s="1"/>
      <c r="L52" s="1">
        <f t="shared" si="16"/>
        <v>0</v>
      </c>
      <c r="M52" s="1"/>
      <c r="N52" s="1"/>
      <c r="O52" s="1">
        <v>30</v>
      </c>
      <c r="P52" s="1">
        <v>-36</v>
      </c>
      <c r="Q52" s="1"/>
      <c r="R52" s="1">
        <v>30</v>
      </c>
      <c r="S52" s="21"/>
      <c r="T52" s="1">
        <f t="shared" si="17"/>
        <v>0</v>
      </c>
      <c r="U52" s="5">
        <v>30</v>
      </c>
      <c r="V52" s="5">
        <f t="shared" si="6"/>
        <v>30</v>
      </c>
      <c r="W52" s="5">
        <f t="shared" si="10"/>
        <v>30</v>
      </c>
      <c r="X52" s="5"/>
      <c r="Y52" s="1" t="e">
        <f t="shared" si="7"/>
        <v>#DIV/0!</v>
      </c>
      <c r="Z52" s="1" t="e">
        <f t="shared" si="18"/>
        <v>#DIV/0!</v>
      </c>
      <c r="AA52" s="1">
        <v>0</v>
      </c>
      <c r="AB52" s="1">
        <v>0</v>
      </c>
      <c r="AC52" s="1">
        <v>0</v>
      </c>
      <c r="AD52" s="1">
        <v>0</v>
      </c>
      <c r="AE52" s="1">
        <v>-0.03</v>
      </c>
      <c r="AF52" s="1">
        <v>-0.03</v>
      </c>
      <c r="AG52" s="1">
        <v>0</v>
      </c>
      <c r="AH52" s="1">
        <v>0.57939999999999992</v>
      </c>
      <c r="AI52" s="1">
        <v>19.140999999999998</v>
      </c>
      <c r="AJ52" s="1">
        <v>23.854800000000001</v>
      </c>
      <c r="AK52" s="1"/>
      <c r="AL52" s="1">
        <f t="shared" si="8"/>
        <v>30</v>
      </c>
      <c r="AM52" s="1">
        <f t="shared" si="9"/>
        <v>0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95</v>
      </c>
      <c r="B53" s="1" t="s">
        <v>43</v>
      </c>
      <c r="C53" s="1">
        <v>108</v>
      </c>
      <c r="D53" s="1">
        <v>260</v>
      </c>
      <c r="E53" s="1">
        <v>107</v>
      </c>
      <c r="F53" s="1">
        <v>252</v>
      </c>
      <c r="G53" s="7">
        <v>0.45</v>
      </c>
      <c r="H53" s="1">
        <v>50</v>
      </c>
      <c r="I53" s="1" t="s">
        <v>39</v>
      </c>
      <c r="J53" s="1"/>
      <c r="K53" s="1">
        <v>108</v>
      </c>
      <c r="L53" s="1">
        <f t="shared" si="16"/>
        <v>-1</v>
      </c>
      <c r="M53" s="1"/>
      <c r="N53" s="1"/>
      <c r="O53" s="1">
        <v>0</v>
      </c>
      <c r="P53" s="1"/>
      <c r="Q53" s="1"/>
      <c r="R53" s="1">
        <v>0</v>
      </c>
      <c r="S53" s="21"/>
      <c r="T53" s="1">
        <f t="shared" si="17"/>
        <v>21.4</v>
      </c>
      <c r="U53" s="5">
        <f t="shared" si="19"/>
        <v>4.7999999999999545</v>
      </c>
      <c r="V53" s="5">
        <f t="shared" si="6"/>
        <v>4.7999999999999545</v>
      </c>
      <c r="W53" s="5">
        <f t="shared" si="10"/>
        <v>4.7999999999999545</v>
      </c>
      <c r="X53" s="5"/>
      <c r="Y53" s="1">
        <f t="shared" si="7"/>
        <v>11.999999999999998</v>
      </c>
      <c r="Z53" s="1">
        <f t="shared" si="18"/>
        <v>11.77570093457944</v>
      </c>
      <c r="AA53" s="1">
        <v>19.399999999999999</v>
      </c>
      <c r="AB53" s="1">
        <v>21</v>
      </c>
      <c r="AC53" s="1">
        <v>22</v>
      </c>
      <c r="AD53" s="1">
        <v>21.8</v>
      </c>
      <c r="AE53" s="1">
        <v>20.2</v>
      </c>
      <c r="AF53" s="1">
        <v>20.6</v>
      </c>
      <c r="AG53" s="1">
        <v>16.399999999999999</v>
      </c>
      <c r="AH53" s="1">
        <v>19.600000000000001</v>
      </c>
      <c r="AI53" s="1">
        <v>21.8</v>
      </c>
      <c r="AJ53" s="1">
        <v>20.2</v>
      </c>
      <c r="AK53" s="1"/>
      <c r="AL53" s="1">
        <f t="shared" si="8"/>
        <v>2</v>
      </c>
      <c r="AM53" s="1">
        <f t="shared" si="9"/>
        <v>0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96</v>
      </c>
      <c r="B54" s="1" t="s">
        <v>43</v>
      </c>
      <c r="C54" s="1">
        <v>391</v>
      </c>
      <c r="D54" s="1">
        <v>210</v>
      </c>
      <c r="E54" s="1">
        <v>108</v>
      </c>
      <c r="F54" s="1">
        <v>484</v>
      </c>
      <c r="G54" s="7">
        <v>0.45</v>
      </c>
      <c r="H54" s="1">
        <v>50</v>
      </c>
      <c r="I54" s="1" t="s">
        <v>39</v>
      </c>
      <c r="J54" s="1"/>
      <c r="K54" s="1">
        <v>130</v>
      </c>
      <c r="L54" s="1">
        <f t="shared" si="16"/>
        <v>-22</v>
      </c>
      <c r="M54" s="1"/>
      <c r="N54" s="1"/>
      <c r="O54" s="1">
        <v>0</v>
      </c>
      <c r="P54" s="1"/>
      <c r="Q54" s="1"/>
      <c r="R54" s="1">
        <v>0</v>
      </c>
      <c r="S54" s="21"/>
      <c r="T54" s="1">
        <f t="shared" si="17"/>
        <v>21.6</v>
      </c>
      <c r="U54" s="5"/>
      <c r="V54" s="5">
        <f t="shared" si="6"/>
        <v>0</v>
      </c>
      <c r="W54" s="5">
        <f t="shared" si="10"/>
        <v>0</v>
      </c>
      <c r="X54" s="5"/>
      <c r="Y54" s="1">
        <f t="shared" si="7"/>
        <v>22.407407407407405</v>
      </c>
      <c r="Z54" s="1">
        <f t="shared" si="18"/>
        <v>22.407407407407405</v>
      </c>
      <c r="AA54" s="1">
        <v>16</v>
      </c>
      <c r="AB54" s="1">
        <v>26</v>
      </c>
      <c r="AC54" s="1">
        <v>33</v>
      </c>
      <c r="AD54" s="1">
        <v>31.8</v>
      </c>
      <c r="AE54" s="1">
        <v>48.2</v>
      </c>
      <c r="AF54" s="1">
        <v>45.8</v>
      </c>
      <c r="AG54" s="1">
        <v>21.2</v>
      </c>
      <c r="AH54" s="1">
        <v>24</v>
      </c>
      <c r="AI54" s="1">
        <v>25.8</v>
      </c>
      <c r="AJ54" s="1">
        <v>20.8</v>
      </c>
      <c r="AK54" s="16" t="s">
        <v>92</v>
      </c>
      <c r="AL54" s="1">
        <f t="shared" si="8"/>
        <v>0</v>
      </c>
      <c r="AM54" s="1">
        <f t="shared" si="9"/>
        <v>0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97</v>
      </c>
      <c r="B55" s="1" t="s">
        <v>43</v>
      </c>
      <c r="C55" s="1">
        <v>-6</v>
      </c>
      <c r="D55" s="1"/>
      <c r="E55" s="1"/>
      <c r="F55" s="1">
        <v>-6</v>
      </c>
      <c r="G55" s="7">
        <v>0.4</v>
      </c>
      <c r="H55" s="1">
        <v>40</v>
      </c>
      <c r="I55" s="9" t="s">
        <v>51</v>
      </c>
      <c r="J55" s="1"/>
      <c r="K55" s="1"/>
      <c r="L55" s="1">
        <f t="shared" si="16"/>
        <v>0</v>
      </c>
      <c r="M55" s="1"/>
      <c r="N55" s="1"/>
      <c r="O55" s="1">
        <v>50</v>
      </c>
      <c r="P55" s="1">
        <v>-54</v>
      </c>
      <c r="Q55" s="1"/>
      <c r="R55" s="1">
        <v>50</v>
      </c>
      <c r="S55" s="21"/>
      <c r="T55" s="1">
        <f t="shared" si="17"/>
        <v>0</v>
      </c>
      <c r="U55" s="5">
        <v>50</v>
      </c>
      <c r="V55" s="5">
        <f t="shared" si="6"/>
        <v>50</v>
      </c>
      <c r="W55" s="5">
        <f t="shared" si="10"/>
        <v>50</v>
      </c>
      <c r="X55" s="5"/>
      <c r="Y55" s="1" t="e">
        <f t="shared" si="7"/>
        <v>#DIV/0!</v>
      </c>
      <c r="Z55" s="1" t="e">
        <f t="shared" si="18"/>
        <v>#DIV/0!</v>
      </c>
      <c r="AA55" s="1">
        <v>0.6</v>
      </c>
      <c r="AB55" s="1">
        <v>0.4</v>
      </c>
      <c r="AC55" s="1">
        <v>0.4</v>
      </c>
      <c r="AD55" s="1">
        <v>5.2</v>
      </c>
      <c r="AE55" s="1">
        <v>32</v>
      </c>
      <c r="AF55" s="1">
        <v>37.200000000000003</v>
      </c>
      <c r="AG55" s="1">
        <v>17</v>
      </c>
      <c r="AH55" s="1">
        <v>23.2</v>
      </c>
      <c r="AI55" s="1">
        <v>22.4</v>
      </c>
      <c r="AJ55" s="1">
        <v>14.8</v>
      </c>
      <c r="AK55" s="1"/>
      <c r="AL55" s="1">
        <f t="shared" si="8"/>
        <v>20</v>
      </c>
      <c r="AM55" s="1">
        <f t="shared" si="9"/>
        <v>0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98</v>
      </c>
      <c r="B56" s="1" t="s">
        <v>43</v>
      </c>
      <c r="C56" s="1">
        <v>144</v>
      </c>
      <c r="D56" s="1"/>
      <c r="E56" s="1">
        <v>113</v>
      </c>
      <c r="F56" s="1">
        <v>22</v>
      </c>
      <c r="G56" s="7">
        <v>0.4</v>
      </c>
      <c r="H56" s="1">
        <v>40</v>
      </c>
      <c r="I56" s="9" t="s">
        <v>51</v>
      </c>
      <c r="J56" s="1"/>
      <c r="K56" s="1">
        <v>116</v>
      </c>
      <c r="L56" s="1">
        <f t="shared" si="16"/>
        <v>-3</v>
      </c>
      <c r="M56" s="1"/>
      <c r="N56" s="1"/>
      <c r="O56" s="1">
        <v>60</v>
      </c>
      <c r="P56" s="1"/>
      <c r="Q56" s="1"/>
      <c r="R56" s="1">
        <v>25</v>
      </c>
      <c r="S56" s="21"/>
      <c r="T56" s="1">
        <f t="shared" si="17"/>
        <v>22.6</v>
      </c>
      <c r="U56" s="5">
        <v>120</v>
      </c>
      <c r="V56" s="5">
        <f t="shared" si="6"/>
        <v>120</v>
      </c>
      <c r="W56" s="5">
        <f t="shared" si="10"/>
        <v>120</v>
      </c>
      <c r="X56" s="5"/>
      <c r="Y56" s="1">
        <f t="shared" si="7"/>
        <v>10.044247787610619</v>
      </c>
      <c r="Z56" s="1">
        <f t="shared" si="18"/>
        <v>4.7345132743362832</v>
      </c>
      <c r="AA56" s="1">
        <v>16</v>
      </c>
      <c r="AB56" s="1">
        <v>9.1999999999999993</v>
      </c>
      <c r="AC56" s="1">
        <v>11.2</v>
      </c>
      <c r="AD56" s="1">
        <v>18.600000000000001</v>
      </c>
      <c r="AE56" s="1">
        <v>35.200000000000003</v>
      </c>
      <c r="AF56" s="1">
        <v>32</v>
      </c>
      <c r="AG56" s="1">
        <v>12.8</v>
      </c>
      <c r="AH56" s="1">
        <v>20.8</v>
      </c>
      <c r="AI56" s="1">
        <v>25.4</v>
      </c>
      <c r="AJ56" s="1">
        <v>15.6</v>
      </c>
      <c r="AK56" s="1"/>
      <c r="AL56" s="1">
        <f t="shared" si="8"/>
        <v>48</v>
      </c>
      <c r="AM56" s="1">
        <f t="shared" si="9"/>
        <v>0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99</v>
      </c>
      <c r="B57" s="1" t="s">
        <v>38</v>
      </c>
      <c r="C57" s="1">
        <v>235.55799999999999</v>
      </c>
      <c r="D57" s="1">
        <v>162.822</v>
      </c>
      <c r="E57" s="1">
        <v>72.686000000000007</v>
      </c>
      <c r="F57" s="1">
        <v>321.60000000000002</v>
      </c>
      <c r="G57" s="7">
        <v>1</v>
      </c>
      <c r="H57" s="1">
        <v>50</v>
      </c>
      <c r="I57" s="1" t="s">
        <v>39</v>
      </c>
      <c r="J57" s="1"/>
      <c r="K57" s="1">
        <v>71.349999999999994</v>
      </c>
      <c r="L57" s="1">
        <f t="shared" si="16"/>
        <v>1.3360000000000127</v>
      </c>
      <c r="M57" s="1"/>
      <c r="N57" s="1"/>
      <c r="O57" s="1">
        <v>0</v>
      </c>
      <c r="P57" s="1"/>
      <c r="Q57" s="1"/>
      <c r="R57" s="1">
        <v>0</v>
      </c>
      <c r="S57" s="21"/>
      <c r="T57" s="1">
        <f t="shared" si="17"/>
        <v>14.537200000000002</v>
      </c>
      <c r="U57" s="5"/>
      <c r="V57" s="5">
        <f t="shared" si="6"/>
        <v>0</v>
      </c>
      <c r="W57" s="5">
        <f t="shared" si="10"/>
        <v>0</v>
      </c>
      <c r="X57" s="5"/>
      <c r="Y57" s="1">
        <f t="shared" si="7"/>
        <v>22.122554549706958</v>
      </c>
      <c r="Z57" s="1">
        <f t="shared" si="18"/>
        <v>22.122554549706958</v>
      </c>
      <c r="AA57" s="1">
        <v>14.926600000000001</v>
      </c>
      <c r="AB57" s="1">
        <v>10.1182</v>
      </c>
      <c r="AC57" s="1">
        <v>9.234</v>
      </c>
      <c r="AD57" s="1">
        <v>17.479399999999998</v>
      </c>
      <c r="AE57" s="1">
        <v>25.413399999999999</v>
      </c>
      <c r="AF57" s="1">
        <v>15.8782</v>
      </c>
      <c r="AG57" s="1">
        <v>12.8612</v>
      </c>
      <c r="AH57" s="1">
        <v>18.917200000000001</v>
      </c>
      <c r="AI57" s="1">
        <v>14.224399999999999</v>
      </c>
      <c r="AJ57" s="1">
        <v>14.7386</v>
      </c>
      <c r="AK57" s="15" t="s">
        <v>100</v>
      </c>
      <c r="AL57" s="1">
        <f t="shared" si="8"/>
        <v>0</v>
      </c>
      <c r="AM57" s="1">
        <f t="shared" si="9"/>
        <v>0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101</v>
      </c>
      <c r="B58" s="1" t="s">
        <v>43</v>
      </c>
      <c r="C58" s="1">
        <v>141</v>
      </c>
      <c r="D58" s="1">
        <v>871</v>
      </c>
      <c r="E58" s="14">
        <f>404+E133</f>
        <v>596</v>
      </c>
      <c r="F58" s="14">
        <f>311+F133</f>
        <v>357</v>
      </c>
      <c r="G58" s="7">
        <v>0.1</v>
      </c>
      <c r="H58" s="1">
        <v>731</v>
      </c>
      <c r="I58" s="1" t="s">
        <v>39</v>
      </c>
      <c r="J58" s="1"/>
      <c r="K58" s="1">
        <v>374</v>
      </c>
      <c r="L58" s="1">
        <f t="shared" si="16"/>
        <v>222</v>
      </c>
      <c r="M58" s="1"/>
      <c r="N58" s="1"/>
      <c r="O58" s="1">
        <v>1000</v>
      </c>
      <c r="P58" s="1"/>
      <c r="Q58" s="1"/>
      <c r="R58" s="1">
        <v>0</v>
      </c>
      <c r="S58" s="21"/>
      <c r="T58" s="1">
        <f t="shared" si="17"/>
        <v>119.2</v>
      </c>
      <c r="U58" s="5">
        <f t="shared" si="19"/>
        <v>73.400000000000091</v>
      </c>
      <c r="V58" s="5">
        <f t="shared" si="6"/>
        <v>73.400000000000091</v>
      </c>
      <c r="W58" s="5">
        <v>300</v>
      </c>
      <c r="X58" s="5">
        <v>300</v>
      </c>
      <c r="Y58" s="1">
        <f t="shared" si="7"/>
        <v>16.417785234899327</v>
      </c>
      <c r="Z58" s="1">
        <f t="shared" si="18"/>
        <v>11.384228187919463</v>
      </c>
      <c r="AA58" s="1">
        <v>95.4</v>
      </c>
      <c r="AB58" s="1">
        <v>58.6</v>
      </c>
      <c r="AC58" s="1">
        <v>45.4</v>
      </c>
      <c r="AD58" s="1">
        <v>50</v>
      </c>
      <c r="AE58" s="1">
        <v>44.8</v>
      </c>
      <c r="AF58" s="1">
        <v>32.4</v>
      </c>
      <c r="AG58" s="1">
        <v>36.799999999999997</v>
      </c>
      <c r="AH58" s="1">
        <v>25.6</v>
      </c>
      <c r="AI58" s="1">
        <v>16.2</v>
      </c>
      <c r="AJ58" s="1">
        <v>44</v>
      </c>
      <c r="AK58" s="1" t="s">
        <v>82</v>
      </c>
      <c r="AL58" s="1">
        <f t="shared" si="8"/>
        <v>30</v>
      </c>
      <c r="AM58" s="1">
        <f t="shared" si="9"/>
        <v>30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102</v>
      </c>
      <c r="B59" s="1" t="s">
        <v>38</v>
      </c>
      <c r="C59" s="1">
        <v>142.79</v>
      </c>
      <c r="D59" s="1">
        <v>162.04</v>
      </c>
      <c r="E59" s="1">
        <v>112.31100000000001</v>
      </c>
      <c r="F59" s="1">
        <v>180.85499999999999</v>
      </c>
      <c r="G59" s="7">
        <v>1</v>
      </c>
      <c r="H59" s="1">
        <v>50</v>
      </c>
      <c r="I59" s="1" t="s">
        <v>39</v>
      </c>
      <c r="J59" s="1"/>
      <c r="K59" s="1">
        <v>96.15</v>
      </c>
      <c r="L59" s="1">
        <f t="shared" si="16"/>
        <v>16.161000000000001</v>
      </c>
      <c r="M59" s="1"/>
      <c r="N59" s="1"/>
      <c r="O59" s="1">
        <v>0</v>
      </c>
      <c r="P59" s="1"/>
      <c r="Q59" s="1"/>
      <c r="R59" s="1">
        <v>0</v>
      </c>
      <c r="S59" s="21"/>
      <c r="T59" s="1">
        <f t="shared" si="17"/>
        <v>22.462200000000003</v>
      </c>
      <c r="U59" s="5">
        <f t="shared" si="19"/>
        <v>88.691400000000073</v>
      </c>
      <c r="V59" s="5">
        <f t="shared" si="6"/>
        <v>88.691400000000073</v>
      </c>
      <c r="W59" s="5">
        <v>100</v>
      </c>
      <c r="X59" s="5">
        <v>80</v>
      </c>
      <c r="Y59" s="1">
        <f t="shared" si="7"/>
        <v>16.064989181825467</v>
      </c>
      <c r="Z59" s="1">
        <f t="shared" si="18"/>
        <v>8.0515265646285741</v>
      </c>
      <c r="AA59" s="1">
        <v>19.364799999999999</v>
      </c>
      <c r="AB59" s="1">
        <v>7.6135999999999999</v>
      </c>
      <c r="AC59" s="1">
        <v>7.0691999999999986</v>
      </c>
      <c r="AD59" s="1">
        <v>16.045000000000002</v>
      </c>
      <c r="AE59" s="1">
        <v>15.5054</v>
      </c>
      <c r="AF59" s="1">
        <v>10.170400000000001</v>
      </c>
      <c r="AG59" s="1">
        <v>14.961</v>
      </c>
      <c r="AH59" s="1">
        <v>15.6616</v>
      </c>
      <c r="AI59" s="1">
        <v>8.7063999999999986</v>
      </c>
      <c r="AJ59" s="1">
        <v>10.54</v>
      </c>
      <c r="AK59" s="1" t="s">
        <v>82</v>
      </c>
      <c r="AL59" s="1">
        <f t="shared" si="8"/>
        <v>100</v>
      </c>
      <c r="AM59" s="1">
        <f t="shared" si="9"/>
        <v>80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103</v>
      </c>
      <c r="B60" s="1" t="s">
        <v>38</v>
      </c>
      <c r="C60" s="1">
        <v>59.17</v>
      </c>
      <c r="D60" s="1">
        <v>56.18</v>
      </c>
      <c r="E60" s="1">
        <v>33.343000000000004</v>
      </c>
      <c r="F60" s="1">
        <v>80.203000000000003</v>
      </c>
      <c r="G60" s="7">
        <v>1</v>
      </c>
      <c r="H60" s="1">
        <v>55</v>
      </c>
      <c r="I60" s="1" t="s">
        <v>39</v>
      </c>
      <c r="J60" s="1"/>
      <c r="K60" s="1">
        <v>33.5</v>
      </c>
      <c r="L60" s="1">
        <f t="shared" si="16"/>
        <v>-0.15699999999999648</v>
      </c>
      <c r="M60" s="1"/>
      <c r="N60" s="1"/>
      <c r="O60" s="1">
        <v>0</v>
      </c>
      <c r="P60" s="1"/>
      <c r="Q60" s="1"/>
      <c r="R60" s="1">
        <v>0</v>
      </c>
      <c r="S60" s="21"/>
      <c r="T60" s="1">
        <f t="shared" si="17"/>
        <v>6.6686000000000005</v>
      </c>
      <c r="U60" s="5"/>
      <c r="V60" s="5">
        <f t="shared" si="6"/>
        <v>0</v>
      </c>
      <c r="W60" s="5">
        <f t="shared" si="10"/>
        <v>0</v>
      </c>
      <c r="X60" s="5"/>
      <c r="Y60" s="1">
        <f t="shared" si="7"/>
        <v>12.026962180967519</v>
      </c>
      <c r="Z60" s="1">
        <f t="shared" si="18"/>
        <v>12.026962180967519</v>
      </c>
      <c r="AA60" s="1">
        <v>3.7136</v>
      </c>
      <c r="AB60" s="1">
        <v>4.3811999999999998</v>
      </c>
      <c r="AC60" s="1">
        <v>5.7595999999999998</v>
      </c>
      <c r="AD60" s="1">
        <v>8.5346000000000011</v>
      </c>
      <c r="AE60" s="1">
        <v>7.9825999999999997</v>
      </c>
      <c r="AF60" s="1">
        <v>2.7427999999999999</v>
      </c>
      <c r="AG60" s="1">
        <v>6.0340000000000007</v>
      </c>
      <c r="AH60" s="1">
        <v>6.3116000000000003</v>
      </c>
      <c r="AI60" s="1">
        <v>1.65</v>
      </c>
      <c r="AJ60" s="1">
        <v>4.9256000000000002</v>
      </c>
      <c r="AK60" s="1"/>
      <c r="AL60" s="1">
        <f t="shared" si="8"/>
        <v>0</v>
      </c>
      <c r="AM60" s="1">
        <f t="shared" si="9"/>
        <v>0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104</v>
      </c>
      <c r="B61" s="1" t="s">
        <v>43</v>
      </c>
      <c r="C61" s="1">
        <v>694</v>
      </c>
      <c r="D61" s="1">
        <v>520</v>
      </c>
      <c r="E61" s="1">
        <v>434</v>
      </c>
      <c r="F61" s="1">
        <v>754</v>
      </c>
      <c r="G61" s="7">
        <v>0.1</v>
      </c>
      <c r="H61" s="1">
        <v>731</v>
      </c>
      <c r="I61" s="1" t="s">
        <v>39</v>
      </c>
      <c r="J61" s="1"/>
      <c r="K61" s="1">
        <v>422</v>
      </c>
      <c r="L61" s="1">
        <f t="shared" si="16"/>
        <v>12</v>
      </c>
      <c r="M61" s="1"/>
      <c r="N61" s="1"/>
      <c r="O61" s="1">
        <v>100</v>
      </c>
      <c r="P61" s="1"/>
      <c r="Q61" s="1"/>
      <c r="R61" s="1">
        <v>100</v>
      </c>
      <c r="S61" s="21"/>
      <c r="T61" s="1">
        <f t="shared" si="17"/>
        <v>86.8</v>
      </c>
      <c r="U61" s="5">
        <f t="shared" si="19"/>
        <v>87.599999999999909</v>
      </c>
      <c r="V61" s="5">
        <f t="shared" si="6"/>
        <v>87.599999999999909</v>
      </c>
      <c r="W61" s="5">
        <v>300</v>
      </c>
      <c r="X61" s="5">
        <v>200</v>
      </c>
      <c r="Y61" s="1">
        <f t="shared" si="7"/>
        <v>16.751152073732719</v>
      </c>
      <c r="Z61" s="1">
        <f t="shared" si="18"/>
        <v>10.990783410138249</v>
      </c>
      <c r="AA61" s="1">
        <v>72.8</v>
      </c>
      <c r="AB61" s="1">
        <v>27.2</v>
      </c>
      <c r="AC61" s="1">
        <v>7</v>
      </c>
      <c r="AD61" s="1">
        <v>29</v>
      </c>
      <c r="AE61" s="1">
        <v>73.2</v>
      </c>
      <c r="AF61" s="1">
        <v>64.2</v>
      </c>
      <c r="AG61" s="1">
        <v>32.799999999999997</v>
      </c>
      <c r="AH61" s="1">
        <v>32.6</v>
      </c>
      <c r="AI61" s="1">
        <v>33.200000000000003</v>
      </c>
      <c r="AJ61" s="1">
        <v>38.4</v>
      </c>
      <c r="AK61" s="1" t="s">
        <v>82</v>
      </c>
      <c r="AL61" s="1">
        <f t="shared" si="8"/>
        <v>30</v>
      </c>
      <c r="AM61" s="1">
        <f t="shared" si="9"/>
        <v>20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105</v>
      </c>
      <c r="B62" s="1" t="s">
        <v>43</v>
      </c>
      <c r="C62" s="1">
        <v>53</v>
      </c>
      <c r="D62" s="1">
        <v>20</v>
      </c>
      <c r="E62" s="1">
        <v>38</v>
      </c>
      <c r="F62" s="1">
        <v>33</v>
      </c>
      <c r="G62" s="7">
        <v>0.4</v>
      </c>
      <c r="H62" s="1">
        <v>50</v>
      </c>
      <c r="I62" s="1" t="s">
        <v>39</v>
      </c>
      <c r="J62" s="1"/>
      <c r="K62" s="1">
        <v>38</v>
      </c>
      <c r="L62" s="1">
        <f t="shared" si="16"/>
        <v>0</v>
      </c>
      <c r="M62" s="1"/>
      <c r="N62" s="1"/>
      <c r="O62" s="1">
        <v>0</v>
      </c>
      <c r="P62" s="1"/>
      <c r="Q62" s="1"/>
      <c r="R62" s="1">
        <v>30</v>
      </c>
      <c r="S62" s="21"/>
      <c r="T62" s="1">
        <f t="shared" si="17"/>
        <v>7.6</v>
      </c>
      <c r="U62" s="5">
        <f t="shared" si="19"/>
        <v>28.199999999999989</v>
      </c>
      <c r="V62" s="5">
        <f t="shared" si="6"/>
        <v>28.199999999999989</v>
      </c>
      <c r="W62" s="5">
        <f t="shared" si="10"/>
        <v>28.199999999999989</v>
      </c>
      <c r="X62" s="5"/>
      <c r="Y62" s="1">
        <f t="shared" si="7"/>
        <v>11.999999999999998</v>
      </c>
      <c r="Z62" s="1">
        <f t="shared" si="18"/>
        <v>8.2894736842105274</v>
      </c>
      <c r="AA62" s="1">
        <v>7</v>
      </c>
      <c r="AB62" s="1">
        <v>4.4000000000000004</v>
      </c>
      <c r="AC62" s="1">
        <v>3.6</v>
      </c>
      <c r="AD62" s="1">
        <v>7.6</v>
      </c>
      <c r="AE62" s="1">
        <v>8.8000000000000007</v>
      </c>
      <c r="AF62" s="1">
        <v>4</v>
      </c>
      <c r="AG62" s="1">
        <v>4</v>
      </c>
      <c r="AH62" s="1">
        <v>3.6</v>
      </c>
      <c r="AI62" s="1">
        <v>2.6</v>
      </c>
      <c r="AJ62" s="1">
        <v>3.6</v>
      </c>
      <c r="AK62" s="1"/>
      <c r="AL62" s="1">
        <f t="shared" si="8"/>
        <v>11</v>
      </c>
      <c r="AM62" s="1">
        <f t="shared" si="9"/>
        <v>0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106</v>
      </c>
      <c r="B63" s="1" t="s">
        <v>38</v>
      </c>
      <c r="C63" s="1">
        <v>26.98</v>
      </c>
      <c r="D63" s="1">
        <v>47.165999999999997</v>
      </c>
      <c r="E63" s="1">
        <v>72.349999999999994</v>
      </c>
      <c r="F63" s="1">
        <v>1.796</v>
      </c>
      <c r="G63" s="7">
        <v>1</v>
      </c>
      <c r="H63" s="1">
        <v>40</v>
      </c>
      <c r="I63" s="9" t="s">
        <v>51</v>
      </c>
      <c r="J63" s="1"/>
      <c r="K63" s="1">
        <v>92.6</v>
      </c>
      <c r="L63" s="1">
        <f t="shared" si="16"/>
        <v>-20.25</v>
      </c>
      <c r="M63" s="1"/>
      <c r="N63" s="1"/>
      <c r="O63" s="1">
        <v>50</v>
      </c>
      <c r="P63" s="1"/>
      <c r="Q63" s="1"/>
      <c r="R63" s="1">
        <v>146.70160000000001</v>
      </c>
      <c r="S63" s="21"/>
      <c r="T63" s="1">
        <f t="shared" si="17"/>
        <v>14.469999999999999</v>
      </c>
      <c r="U63" s="5">
        <v>20</v>
      </c>
      <c r="V63" s="5">
        <f t="shared" si="6"/>
        <v>20</v>
      </c>
      <c r="W63" s="5">
        <f t="shared" si="10"/>
        <v>20</v>
      </c>
      <c r="X63" s="5"/>
      <c r="Y63" s="1">
        <f t="shared" si="7"/>
        <v>15.100041465100208</v>
      </c>
      <c r="Z63" s="1">
        <f t="shared" si="18"/>
        <v>13.717871458189359</v>
      </c>
      <c r="AA63" s="1">
        <v>20.325600000000001</v>
      </c>
      <c r="AB63" s="1">
        <v>13.4848</v>
      </c>
      <c r="AC63" s="1">
        <v>5.4063999999999997</v>
      </c>
      <c r="AD63" s="1">
        <v>11.4124</v>
      </c>
      <c r="AE63" s="1">
        <v>15.1564</v>
      </c>
      <c r="AF63" s="1">
        <v>9.6504000000000012</v>
      </c>
      <c r="AG63" s="1">
        <v>0</v>
      </c>
      <c r="AH63" s="1">
        <v>13.583600000000001</v>
      </c>
      <c r="AI63" s="1">
        <v>14.9016</v>
      </c>
      <c r="AJ63" s="1">
        <v>6.7847999999999997</v>
      </c>
      <c r="AK63" s="1"/>
      <c r="AL63" s="1">
        <f t="shared" si="8"/>
        <v>20</v>
      </c>
      <c r="AM63" s="1">
        <f t="shared" si="9"/>
        <v>0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107</v>
      </c>
      <c r="B64" s="1" t="s">
        <v>38</v>
      </c>
      <c r="C64" s="1">
        <v>303.19299999999998</v>
      </c>
      <c r="D64" s="1"/>
      <c r="E64" s="1">
        <v>253.71700000000001</v>
      </c>
      <c r="F64" s="1">
        <v>8.5850000000000009</v>
      </c>
      <c r="G64" s="7">
        <v>1</v>
      </c>
      <c r="H64" s="1">
        <v>40</v>
      </c>
      <c r="I64" s="9" t="s">
        <v>51</v>
      </c>
      <c r="J64" s="1"/>
      <c r="K64" s="1">
        <v>246.85</v>
      </c>
      <c r="L64" s="1">
        <f t="shared" si="16"/>
        <v>6.8670000000000186</v>
      </c>
      <c r="M64" s="1"/>
      <c r="N64" s="1"/>
      <c r="O64" s="1">
        <v>0</v>
      </c>
      <c r="P64" s="1"/>
      <c r="Q64" s="1"/>
      <c r="R64" s="1">
        <v>360.13679999999999</v>
      </c>
      <c r="S64" s="21"/>
      <c r="T64" s="1">
        <f t="shared" si="17"/>
        <v>50.743400000000001</v>
      </c>
      <c r="U64" s="5">
        <f t="shared" si="19"/>
        <v>240.19899999999998</v>
      </c>
      <c r="V64" s="5">
        <f t="shared" si="6"/>
        <v>240.19899999999998</v>
      </c>
      <c r="W64" s="5">
        <f t="shared" si="10"/>
        <v>240.19899999999998</v>
      </c>
      <c r="X64" s="5"/>
      <c r="Y64" s="1">
        <f t="shared" si="7"/>
        <v>12</v>
      </c>
      <c r="Z64" s="1">
        <f t="shared" si="18"/>
        <v>7.2663991770358303</v>
      </c>
      <c r="AA64" s="1">
        <v>44.511800000000001</v>
      </c>
      <c r="AB64" s="1">
        <v>13.555400000000001</v>
      </c>
      <c r="AC64" s="1">
        <v>7.0035999999999996</v>
      </c>
      <c r="AD64" s="1">
        <v>20.619199999999999</v>
      </c>
      <c r="AE64" s="1">
        <v>34.844000000000001</v>
      </c>
      <c r="AF64" s="1">
        <v>21.790600000000001</v>
      </c>
      <c r="AG64" s="1">
        <v>3.8224</v>
      </c>
      <c r="AH64" s="1">
        <v>16.229199999999999</v>
      </c>
      <c r="AI64" s="1">
        <v>13.7578</v>
      </c>
      <c r="AJ64" s="1">
        <v>11.1006</v>
      </c>
      <c r="AK64" s="1" t="s">
        <v>108</v>
      </c>
      <c r="AL64" s="1">
        <f t="shared" si="8"/>
        <v>240</v>
      </c>
      <c r="AM64" s="1">
        <f t="shared" si="9"/>
        <v>0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109</v>
      </c>
      <c r="B65" s="1" t="s">
        <v>43</v>
      </c>
      <c r="C65" s="1">
        <v>323</v>
      </c>
      <c r="D65" s="1"/>
      <c r="E65" s="1"/>
      <c r="F65" s="1">
        <v>323</v>
      </c>
      <c r="G65" s="7">
        <v>0.4</v>
      </c>
      <c r="H65" s="1">
        <v>40</v>
      </c>
      <c r="I65" s="9" t="s">
        <v>51</v>
      </c>
      <c r="J65" s="1"/>
      <c r="K65" s="1">
        <v>619</v>
      </c>
      <c r="L65" s="1">
        <f t="shared" si="16"/>
        <v>-619</v>
      </c>
      <c r="M65" s="1"/>
      <c r="N65" s="1"/>
      <c r="O65" s="1">
        <v>249.54400000000001</v>
      </c>
      <c r="P65" s="1"/>
      <c r="Q65" s="1"/>
      <c r="R65" s="1">
        <v>0</v>
      </c>
      <c r="S65" s="21"/>
      <c r="T65" s="1">
        <f t="shared" si="17"/>
        <v>0</v>
      </c>
      <c r="U65" s="5">
        <v>250</v>
      </c>
      <c r="V65" s="5">
        <f t="shared" si="6"/>
        <v>250</v>
      </c>
      <c r="W65" s="5">
        <f t="shared" si="10"/>
        <v>250</v>
      </c>
      <c r="X65" s="5"/>
      <c r="Y65" s="1" t="e">
        <f t="shared" si="7"/>
        <v>#DIV/0!</v>
      </c>
      <c r="Z65" s="1" t="e">
        <f t="shared" si="18"/>
        <v>#DIV/0!</v>
      </c>
      <c r="AA65" s="1">
        <v>46.2</v>
      </c>
      <c r="AB65" s="1">
        <v>50.4</v>
      </c>
      <c r="AC65" s="1">
        <v>4</v>
      </c>
      <c r="AD65" s="1">
        <v>2.4</v>
      </c>
      <c r="AE65" s="1">
        <v>49</v>
      </c>
      <c r="AF65" s="1">
        <v>58</v>
      </c>
      <c r="AG65" s="1">
        <v>10</v>
      </c>
      <c r="AH65" s="1">
        <v>24.8</v>
      </c>
      <c r="AI65" s="1">
        <v>56.2</v>
      </c>
      <c r="AJ65" s="1">
        <v>44.2</v>
      </c>
      <c r="AK65" s="1"/>
      <c r="AL65" s="1">
        <f t="shared" si="8"/>
        <v>100</v>
      </c>
      <c r="AM65" s="1">
        <f t="shared" si="9"/>
        <v>0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110</v>
      </c>
      <c r="B66" s="1" t="s">
        <v>43</v>
      </c>
      <c r="C66" s="1">
        <v>172</v>
      </c>
      <c r="D66" s="1">
        <v>300</v>
      </c>
      <c r="E66" s="1">
        <v>440</v>
      </c>
      <c r="F66" s="1">
        <v>21</v>
      </c>
      <c r="G66" s="7">
        <v>0.4</v>
      </c>
      <c r="H66" s="1">
        <v>40</v>
      </c>
      <c r="I66" s="1" t="s">
        <v>39</v>
      </c>
      <c r="J66" s="1"/>
      <c r="K66" s="1">
        <v>424</v>
      </c>
      <c r="L66" s="1">
        <f t="shared" si="16"/>
        <v>16</v>
      </c>
      <c r="M66" s="1"/>
      <c r="N66" s="1"/>
      <c r="O66" s="1">
        <v>200</v>
      </c>
      <c r="P66" s="1"/>
      <c r="Q66" s="1"/>
      <c r="R66" s="1">
        <v>407.8</v>
      </c>
      <c r="S66" s="21"/>
      <c r="T66" s="1">
        <f t="shared" si="17"/>
        <v>88</v>
      </c>
      <c r="U66" s="5">
        <f t="shared" si="19"/>
        <v>427.20000000000005</v>
      </c>
      <c r="V66" s="5">
        <f t="shared" si="6"/>
        <v>427.20000000000005</v>
      </c>
      <c r="W66" s="5">
        <f t="shared" si="10"/>
        <v>172.58880000000002</v>
      </c>
      <c r="X66" s="5">
        <f>V66*$X$1</f>
        <v>254.61120000000003</v>
      </c>
      <c r="Y66" s="1">
        <f t="shared" si="7"/>
        <v>12</v>
      </c>
      <c r="Z66" s="1">
        <f t="shared" si="18"/>
        <v>7.1454545454545446</v>
      </c>
      <c r="AA66" s="1">
        <v>78.8</v>
      </c>
      <c r="AB66" s="1">
        <v>41.4</v>
      </c>
      <c r="AC66" s="1">
        <v>17.2</v>
      </c>
      <c r="AD66" s="1">
        <v>65.599999999999994</v>
      </c>
      <c r="AE66" s="1">
        <v>94.4</v>
      </c>
      <c r="AF66" s="1">
        <v>46.4</v>
      </c>
      <c r="AG66" s="1">
        <v>4</v>
      </c>
      <c r="AH66" s="1">
        <v>-0.2</v>
      </c>
      <c r="AI66" s="1">
        <v>-0.2</v>
      </c>
      <c r="AJ66" s="1">
        <v>-0.2</v>
      </c>
      <c r="AK66" s="1"/>
      <c r="AL66" s="1">
        <f t="shared" si="8"/>
        <v>69</v>
      </c>
      <c r="AM66" s="1">
        <f t="shared" si="9"/>
        <v>102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111</v>
      </c>
      <c r="B67" s="1" t="s">
        <v>38</v>
      </c>
      <c r="C67" s="1">
        <v>47.585999999999999</v>
      </c>
      <c r="D67" s="1"/>
      <c r="E67" s="1">
        <v>46.341000000000001</v>
      </c>
      <c r="F67" s="1">
        <v>-4.1779999999999999</v>
      </c>
      <c r="G67" s="7">
        <v>1</v>
      </c>
      <c r="H67" s="1">
        <v>40</v>
      </c>
      <c r="I67" s="9" t="s">
        <v>51</v>
      </c>
      <c r="J67" s="1"/>
      <c r="K67" s="1">
        <v>50.5</v>
      </c>
      <c r="L67" s="1">
        <f t="shared" si="16"/>
        <v>-4.1589999999999989</v>
      </c>
      <c r="M67" s="1"/>
      <c r="N67" s="1"/>
      <c r="O67" s="1">
        <v>60</v>
      </c>
      <c r="P67" s="1"/>
      <c r="Q67" s="1"/>
      <c r="R67" s="1">
        <v>92.044399999999996</v>
      </c>
      <c r="S67" s="21"/>
      <c r="T67" s="1">
        <f t="shared" si="17"/>
        <v>9.2682000000000002</v>
      </c>
      <c r="U67" s="5"/>
      <c r="V67" s="5">
        <f t="shared" si="6"/>
        <v>0</v>
      </c>
      <c r="W67" s="5">
        <f t="shared" si="10"/>
        <v>0</v>
      </c>
      <c r="X67" s="5"/>
      <c r="Y67" s="1">
        <f t="shared" si="7"/>
        <v>15.954165857448048</v>
      </c>
      <c r="Z67" s="1">
        <f t="shared" si="18"/>
        <v>15.954165857448048</v>
      </c>
      <c r="AA67" s="1">
        <v>13.442399999999999</v>
      </c>
      <c r="AB67" s="1">
        <v>3.0853999999999999</v>
      </c>
      <c r="AC67" s="1">
        <v>12.965400000000001</v>
      </c>
      <c r="AD67" s="1">
        <v>26.226199999999999</v>
      </c>
      <c r="AE67" s="1">
        <v>32.113799999999998</v>
      </c>
      <c r="AF67" s="1">
        <v>30.863199999999999</v>
      </c>
      <c r="AG67" s="1">
        <v>28.920999999999999</v>
      </c>
      <c r="AH67" s="1">
        <v>27.451000000000001</v>
      </c>
      <c r="AI67" s="1">
        <v>27.457799999999999</v>
      </c>
      <c r="AJ67" s="1">
        <v>33.810199999999988</v>
      </c>
      <c r="AK67" s="1"/>
      <c r="AL67" s="1">
        <f t="shared" si="8"/>
        <v>0</v>
      </c>
      <c r="AM67" s="1">
        <f t="shared" si="9"/>
        <v>0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 t="s">
        <v>112</v>
      </c>
      <c r="B68" s="1" t="s">
        <v>38</v>
      </c>
      <c r="C68" s="1">
        <v>50.637999999999998</v>
      </c>
      <c r="D68" s="1"/>
      <c r="E68" s="1">
        <v>49.533999999999999</v>
      </c>
      <c r="F68" s="1">
        <v>-0.71</v>
      </c>
      <c r="G68" s="7">
        <v>1</v>
      </c>
      <c r="H68" s="1">
        <v>40</v>
      </c>
      <c r="I68" s="9" t="s">
        <v>51</v>
      </c>
      <c r="J68" s="1"/>
      <c r="K68" s="1">
        <v>56.4</v>
      </c>
      <c r="L68" s="1">
        <f t="shared" si="16"/>
        <v>-6.8659999999999997</v>
      </c>
      <c r="M68" s="1"/>
      <c r="N68" s="1"/>
      <c r="O68" s="1">
        <v>50</v>
      </c>
      <c r="P68" s="1">
        <v>-54</v>
      </c>
      <c r="Q68" s="1"/>
      <c r="R68" s="1">
        <v>60</v>
      </c>
      <c r="S68" s="21"/>
      <c r="T68" s="1">
        <f t="shared" si="17"/>
        <v>9.9068000000000005</v>
      </c>
      <c r="U68" s="5">
        <v>50</v>
      </c>
      <c r="V68" s="5">
        <f t="shared" si="6"/>
        <v>50</v>
      </c>
      <c r="W68" s="5">
        <f t="shared" si="10"/>
        <v>50</v>
      </c>
      <c r="X68" s="5"/>
      <c r="Y68" s="1">
        <f t="shared" si="7"/>
        <v>10.628053458230708</v>
      </c>
      <c r="Z68" s="1">
        <f t="shared" si="18"/>
        <v>5.5810150603625788</v>
      </c>
      <c r="AA68" s="1">
        <v>13.321</v>
      </c>
      <c r="AB68" s="1">
        <v>3.2414000000000001</v>
      </c>
      <c r="AC68" s="1">
        <v>-0.35539999999999999</v>
      </c>
      <c r="AD68" s="1">
        <v>0.54620000000000002</v>
      </c>
      <c r="AE68" s="1">
        <v>13.5738</v>
      </c>
      <c r="AF68" s="1">
        <v>26.236799999999999</v>
      </c>
      <c r="AG68" s="1">
        <v>30.546399999999998</v>
      </c>
      <c r="AH68" s="1">
        <v>28.173400000000001</v>
      </c>
      <c r="AI68" s="1">
        <v>25.8324</v>
      </c>
      <c r="AJ68" s="1">
        <v>32.492199999999997</v>
      </c>
      <c r="AK68" s="1"/>
      <c r="AL68" s="1">
        <f t="shared" si="8"/>
        <v>50</v>
      </c>
      <c r="AM68" s="1">
        <f t="shared" si="9"/>
        <v>0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113</v>
      </c>
      <c r="B69" s="1" t="s">
        <v>38</v>
      </c>
      <c r="C69" s="1">
        <v>75.391000000000005</v>
      </c>
      <c r="D69" s="1"/>
      <c r="E69" s="1">
        <v>61.085999999999999</v>
      </c>
      <c r="F69" s="1">
        <v>3.7759999999999998</v>
      </c>
      <c r="G69" s="7">
        <v>1</v>
      </c>
      <c r="H69" s="1">
        <v>40</v>
      </c>
      <c r="I69" s="9" t="s">
        <v>51</v>
      </c>
      <c r="J69" s="1"/>
      <c r="K69" s="1">
        <v>157.4</v>
      </c>
      <c r="L69" s="1">
        <f t="shared" si="16"/>
        <v>-96.314000000000007</v>
      </c>
      <c r="M69" s="1"/>
      <c r="N69" s="1"/>
      <c r="O69" s="1">
        <v>80</v>
      </c>
      <c r="P69" s="1">
        <v>-81</v>
      </c>
      <c r="Q69" s="1"/>
      <c r="R69" s="1">
        <v>100</v>
      </c>
      <c r="S69" s="21"/>
      <c r="T69" s="1">
        <f t="shared" si="17"/>
        <v>12.2172</v>
      </c>
      <c r="U69" s="5">
        <v>80</v>
      </c>
      <c r="V69" s="5">
        <f t="shared" si="6"/>
        <v>80</v>
      </c>
      <c r="W69" s="5">
        <f t="shared" si="10"/>
        <v>80</v>
      </c>
      <c r="X69" s="5"/>
      <c r="Y69" s="1">
        <f t="shared" si="7"/>
        <v>14.960547424941886</v>
      </c>
      <c r="Z69" s="1">
        <f t="shared" si="18"/>
        <v>8.4124021870805095</v>
      </c>
      <c r="AA69" s="1">
        <v>26.985199999999999</v>
      </c>
      <c r="AB69" s="1">
        <v>13.568199999999999</v>
      </c>
      <c r="AC69" s="1">
        <v>13.93</v>
      </c>
      <c r="AD69" s="1">
        <v>51.272399999999998</v>
      </c>
      <c r="AE69" s="1">
        <v>69.817999999999998</v>
      </c>
      <c r="AF69" s="1">
        <v>64.147799999999989</v>
      </c>
      <c r="AG69" s="1">
        <v>64.944199999999995</v>
      </c>
      <c r="AH69" s="1">
        <v>60.923400000000001</v>
      </c>
      <c r="AI69" s="1">
        <v>43.718000000000004</v>
      </c>
      <c r="AJ69" s="1">
        <v>53.330599999999997</v>
      </c>
      <c r="AK69" s="1"/>
      <c r="AL69" s="1">
        <f t="shared" si="8"/>
        <v>80</v>
      </c>
      <c r="AM69" s="1">
        <f t="shared" si="9"/>
        <v>0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114</v>
      </c>
      <c r="B70" s="1" t="s">
        <v>38</v>
      </c>
      <c r="C70" s="1">
        <v>6.4160000000000004</v>
      </c>
      <c r="D70" s="1"/>
      <c r="E70" s="1">
        <v>-1.8109999999999999</v>
      </c>
      <c r="F70" s="1">
        <v>5.5129999999999999</v>
      </c>
      <c r="G70" s="7">
        <v>1</v>
      </c>
      <c r="H70" s="1">
        <v>40</v>
      </c>
      <c r="I70" s="9" t="s">
        <v>51</v>
      </c>
      <c r="J70" s="1"/>
      <c r="K70" s="1">
        <v>51.7</v>
      </c>
      <c r="L70" s="1">
        <f t="shared" ref="L70:L101" si="20">E70-K70</f>
        <v>-53.511000000000003</v>
      </c>
      <c r="M70" s="1"/>
      <c r="N70" s="1"/>
      <c r="O70" s="1">
        <v>60</v>
      </c>
      <c r="P70" s="1"/>
      <c r="Q70" s="1"/>
      <c r="R70" s="1">
        <v>78.241600000000005</v>
      </c>
      <c r="S70" s="21"/>
      <c r="T70" s="1">
        <f t="shared" ref="T70:T101" si="21">E70/5</f>
        <v>-0.36219999999999997</v>
      </c>
      <c r="U70" s="5">
        <v>20</v>
      </c>
      <c r="V70" s="5">
        <f t="shared" si="6"/>
        <v>20</v>
      </c>
      <c r="W70" s="5">
        <f t="shared" si="10"/>
        <v>20</v>
      </c>
      <c r="X70" s="5"/>
      <c r="Y70" s="1">
        <f t="shared" si="7"/>
        <v>-452.11098840419663</v>
      </c>
      <c r="Z70" s="1">
        <f t="shared" ref="Z70:Z101" si="22">(F70+O70+P70+Q70+R70)/T70</f>
        <v>-396.89287686361132</v>
      </c>
      <c r="AA70" s="1">
        <v>13.0686</v>
      </c>
      <c r="AB70" s="1">
        <v>12.698600000000001</v>
      </c>
      <c r="AC70" s="1">
        <v>15.569800000000001</v>
      </c>
      <c r="AD70" s="1">
        <v>33.192999999999998</v>
      </c>
      <c r="AE70" s="1">
        <v>31.08</v>
      </c>
      <c r="AF70" s="1">
        <v>25.4434</v>
      </c>
      <c r="AG70" s="1">
        <v>23.120999999999999</v>
      </c>
      <c r="AH70" s="1">
        <v>23.457599999999999</v>
      </c>
      <c r="AI70" s="1">
        <v>20.8584</v>
      </c>
      <c r="AJ70" s="1">
        <v>27.188800000000001</v>
      </c>
      <c r="AK70" s="1"/>
      <c r="AL70" s="1">
        <f t="shared" si="8"/>
        <v>20</v>
      </c>
      <c r="AM70" s="1">
        <f t="shared" si="9"/>
        <v>0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115</v>
      </c>
      <c r="B71" s="1" t="s">
        <v>43</v>
      </c>
      <c r="C71" s="1">
        <v>32</v>
      </c>
      <c r="D71" s="1"/>
      <c r="E71" s="1">
        <v>23</v>
      </c>
      <c r="F71" s="1">
        <v>1</v>
      </c>
      <c r="G71" s="7">
        <v>0.6</v>
      </c>
      <c r="H71" s="1">
        <v>70</v>
      </c>
      <c r="I71" s="1" t="s">
        <v>39</v>
      </c>
      <c r="J71" s="1"/>
      <c r="K71" s="1">
        <v>25</v>
      </c>
      <c r="L71" s="1">
        <f t="shared" si="20"/>
        <v>-2</v>
      </c>
      <c r="M71" s="1"/>
      <c r="N71" s="1"/>
      <c r="O71" s="1">
        <v>0</v>
      </c>
      <c r="P71" s="1"/>
      <c r="Q71" s="1"/>
      <c r="R71" s="1">
        <v>19.399999999999999</v>
      </c>
      <c r="S71" s="21"/>
      <c r="T71" s="1">
        <f t="shared" si="21"/>
        <v>4.5999999999999996</v>
      </c>
      <c r="U71" s="5">
        <f>11*T71-R71-Q71-P71-O71-F71</f>
        <v>30.199999999999996</v>
      </c>
      <c r="V71" s="5">
        <f t="shared" ref="V71:V134" si="23">U71</f>
        <v>30.199999999999996</v>
      </c>
      <c r="W71" s="5">
        <f t="shared" ref="W71:W134" si="24">V71-X71</f>
        <v>30.199999999999996</v>
      </c>
      <c r="X71" s="5"/>
      <c r="Y71" s="1">
        <f t="shared" ref="Y71:Y134" si="25">(F71+O71+P71+Q71+R71+W71+X71)/T71</f>
        <v>11</v>
      </c>
      <c r="Z71" s="1">
        <f t="shared" si="22"/>
        <v>4.4347826086956523</v>
      </c>
      <c r="AA71" s="1">
        <v>3.8</v>
      </c>
      <c r="AB71" s="1">
        <v>0</v>
      </c>
      <c r="AC71" s="1">
        <v>0</v>
      </c>
      <c r="AD71" s="1">
        <v>2.2000000000000002</v>
      </c>
      <c r="AE71" s="1">
        <v>2.8</v>
      </c>
      <c r="AF71" s="1">
        <v>2.2000000000000002</v>
      </c>
      <c r="AG71" s="1">
        <v>1.6</v>
      </c>
      <c r="AH71" s="1">
        <v>1.6</v>
      </c>
      <c r="AI71" s="1">
        <v>1.6</v>
      </c>
      <c r="AJ71" s="1">
        <v>0.6</v>
      </c>
      <c r="AK71" s="1"/>
      <c r="AL71" s="1">
        <f t="shared" ref="AL71:AL134" si="26">ROUND(G71*W71,0)</f>
        <v>18</v>
      </c>
      <c r="AM71" s="1">
        <f t="shared" ref="AM71:AM134" si="27">ROUND(G71*X71,0)</f>
        <v>0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116</v>
      </c>
      <c r="B72" s="1" t="s">
        <v>38</v>
      </c>
      <c r="C72" s="1">
        <v>401.303</v>
      </c>
      <c r="D72" s="1">
        <v>285.54599999999999</v>
      </c>
      <c r="E72" s="1">
        <v>530.42499999999995</v>
      </c>
      <c r="F72" s="1">
        <v>84.863</v>
      </c>
      <c r="G72" s="7">
        <v>1</v>
      </c>
      <c r="H72" s="1">
        <v>30</v>
      </c>
      <c r="I72" s="9" t="s">
        <v>51</v>
      </c>
      <c r="J72" s="1"/>
      <c r="K72" s="1">
        <v>559.35</v>
      </c>
      <c r="L72" s="1">
        <f t="shared" si="20"/>
        <v>-28.925000000000068</v>
      </c>
      <c r="M72" s="1"/>
      <c r="N72" s="1"/>
      <c r="O72" s="1">
        <v>0</v>
      </c>
      <c r="P72" s="1"/>
      <c r="Q72" s="1"/>
      <c r="R72" s="1">
        <v>495.65460000000002</v>
      </c>
      <c r="S72" s="21"/>
      <c r="T72" s="1">
        <f t="shared" si="21"/>
        <v>106.08499999999999</v>
      </c>
      <c r="U72" s="5">
        <v>500</v>
      </c>
      <c r="V72" s="5">
        <f t="shared" si="23"/>
        <v>500</v>
      </c>
      <c r="W72" s="5">
        <v>500</v>
      </c>
      <c r="X72" s="5">
        <v>200</v>
      </c>
      <c r="Y72" s="1">
        <f t="shared" si="25"/>
        <v>12.070675401800445</v>
      </c>
      <c r="Z72" s="1">
        <f t="shared" si="22"/>
        <v>5.4721930527407272</v>
      </c>
      <c r="AA72" s="1">
        <v>87.413399999999996</v>
      </c>
      <c r="AB72" s="1">
        <v>25.441199999999998</v>
      </c>
      <c r="AC72" s="1">
        <v>47.512</v>
      </c>
      <c r="AD72" s="1">
        <v>93.200599999999994</v>
      </c>
      <c r="AE72" s="1">
        <v>88.773200000000003</v>
      </c>
      <c r="AF72" s="1">
        <v>43.605600000000003</v>
      </c>
      <c r="AG72" s="1">
        <v>12.5822</v>
      </c>
      <c r="AH72" s="1">
        <v>49.552399999999999</v>
      </c>
      <c r="AI72" s="1">
        <v>72.886200000000002</v>
      </c>
      <c r="AJ72" s="1">
        <v>41.464399999999998</v>
      </c>
      <c r="AK72" s="10" t="s">
        <v>47</v>
      </c>
      <c r="AL72" s="1">
        <f t="shared" si="26"/>
        <v>500</v>
      </c>
      <c r="AM72" s="1">
        <f t="shared" si="27"/>
        <v>200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1" t="s">
        <v>117</v>
      </c>
      <c r="B73" s="11" t="s">
        <v>43</v>
      </c>
      <c r="C73" s="11"/>
      <c r="D73" s="11"/>
      <c r="E73" s="11"/>
      <c r="F73" s="11"/>
      <c r="G73" s="12">
        <v>0</v>
      </c>
      <c r="H73" s="11"/>
      <c r="I73" s="11" t="s">
        <v>39</v>
      </c>
      <c r="J73" s="11"/>
      <c r="K73" s="11"/>
      <c r="L73" s="11">
        <f t="shared" si="20"/>
        <v>0</v>
      </c>
      <c r="M73" s="11"/>
      <c r="N73" s="11"/>
      <c r="O73" s="11">
        <v>0</v>
      </c>
      <c r="P73" s="11"/>
      <c r="Q73" s="11"/>
      <c r="R73" s="11">
        <v>0</v>
      </c>
      <c r="S73" s="23"/>
      <c r="T73" s="11">
        <f t="shared" si="21"/>
        <v>0</v>
      </c>
      <c r="U73" s="13"/>
      <c r="V73" s="5">
        <f t="shared" si="23"/>
        <v>0</v>
      </c>
      <c r="W73" s="5">
        <f t="shared" si="24"/>
        <v>0</v>
      </c>
      <c r="X73" s="5"/>
      <c r="Y73" s="1" t="e">
        <f t="shared" si="25"/>
        <v>#DIV/0!</v>
      </c>
      <c r="Z73" s="11" t="e">
        <f t="shared" si="22"/>
        <v>#DIV/0!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 t="s">
        <v>49</v>
      </c>
      <c r="AL73" s="1">
        <f t="shared" si="26"/>
        <v>0</v>
      </c>
      <c r="AM73" s="1">
        <f t="shared" si="27"/>
        <v>0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118</v>
      </c>
      <c r="B74" s="1" t="s">
        <v>43</v>
      </c>
      <c r="C74" s="1">
        <v>227</v>
      </c>
      <c r="D74" s="1">
        <v>80</v>
      </c>
      <c r="E74" s="1">
        <v>52</v>
      </c>
      <c r="F74" s="1">
        <v>255</v>
      </c>
      <c r="G74" s="7">
        <v>0.6</v>
      </c>
      <c r="H74" s="1">
        <v>60</v>
      </c>
      <c r="I74" s="1" t="s">
        <v>39</v>
      </c>
      <c r="J74" s="1"/>
      <c r="K74" s="1">
        <v>44</v>
      </c>
      <c r="L74" s="1">
        <f t="shared" si="20"/>
        <v>8</v>
      </c>
      <c r="M74" s="1"/>
      <c r="N74" s="1"/>
      <c r="O74" s="1">
        <v>0</v>
      </c>
      <c r="P74" s="1"/>
      <c r="Q74" s="1"/>
      <c r="R74" s="1">
        <v>0</v>
      </c>
      <c r="S74" s="21"/>
      <c r="T74" s="1">
        <f t="shared" si="21"/>
        <v>10.4</v>
      </c>
      <c r="U74" s="5"/>
      <c r="V74" s="5">
        <f t="shared" si="23"/>
        <v>0</v>
      </c>
      <c r="W74" s="5">
        <f t="shared" si="24"/>
        <v>0</v>
      </c>
      <c r="X74" s="5"/>
      <c r="Y74" s="1">
        <f t="shared" si="25"/>
        <v>24.51923076923077</v>
      </c>
      <c r="Z74" s="1">
        <f t="shared" si="22"/>
        <v>24.51923076923077</v>
      </c>
      <c r="AA74" s="1">
        <v>2.4</v>
      </c>
      <c r="AB74" s="1">
        <v>6.8</v>
      </c>
      <c r="AC74" s="1">
        <v>12.6</v>
      </c>
      <c r="AD74" s="1">
        <v>8.1999999999999993</v>
      </c>
      <c r="AE74" s="1">
        <v>22.4</v>
      </c>
      <c r="AF74" s="1">
        <v>22.4</v>
      </c>
      <c r="AG74" s="1">
        <v>1.8</v>
      </c>
      <c r="AH74" s="1">
        <v>12</v>
      </c>
      <c r="AI74" s="1">
        <v>16.8</v>
      </c>
      <c r="AJ74" s="1">
        <v>10</v>
      </c>
      <c r="AK74" s="16" t="s">
        <v>92</v>
      </c>
      <c r="AL74" s="1">
        <f t="shared" si="26"/>
        <v>0</v>
      </c>
      <c r="AM74" s="1">
        <f t="shared" si="27"/>
        <v>0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119</v>
      </c>
      <c r="B75" s="1" t="s">
        <v>43</v>
      </c>
      <c r="C75" s="1">
        <v>137</v>
      </c>
      <c r="D75" s="1">
        <v>152</v>
      </c>
      <c r="E75" s="1">
        <v>88</v>
      </c>
      <c r="F75" s="1">
        <v>196</v>
      </c>
      <c r="G75" s="7">
        <v>0.4</v>
      </c>
      <c r="H75" s="1">
        <v>90</v>
      </c>
      <c r="I75" s="1" t="s">
        <v>39</v>
      </c>
      <c r="J75" s="1"/>
      <c r="K75" s="1">
        <v>87</v>
      </c>
      <c r="L75" s="1">
        <f t="shared" si="20"/>
        <v>1</v>
      </c>
      <c r="M75" s="1"/>
      <c r="N75" s="1"/>
      <c r="O75" s="1">
        <v>0</v>
      </c>
      <c r="P75" s="1"/>
      <c r="Q75" s="1"/>
      <c r="R75" s="1">
        <v>0</v>
      </c>
      <c r="S75" s="21"/>
      <c r="T75" s="1">
        <f t="shared" si="21"/>
        <v>17.600000000000001</v>
      </c>
      <c r="U75" s="5">
        <f t="shared" ref="U75:U76" si="28">12*T75-R75-Q75-P75-O75-F75</f>
        <v>15.200000000000017</v>
      </c>
      <c r="V75" s="5">
        <f t="shared" si="23"/>
        <v>15.200000000000017</v>
      </c>
      <c r="W75" s="5">
        <f t="shared" si="24"/>
        <v>15.200000000000017</v>
      </c>
      <c r="X75" s="5"/>
      <c r="Y75" s="1">
        <f t="shared" si="25"/>
        <v>12</v>
      </c>
      <c r="Z75" s="1">
        <f t="shared" si="22"/>
        <v>11.136363636363635</v>
      </c>
      <c r="AA75" s="1">
        <v>21</v>
      </c>
      <c r="AB75" s="1">
        <v>10.4</v>
      </c>
      <c r="AC75" s="1">
        <v>8.1999999999999993</v>
      </c>
      <c r="AD75" s="1">
        <v>16</v>
      </c>
      <c r="AE75" s="1">
        <v>19</v>
      </c>
      <c r="AF75" s="1">
        <v>17.600000000000001</v>
      </c>
      <c r="AG75" s="1">
        <v>16.600000000000001</v>
      </c>
      <c r="AH75" s="1">
        <v>13.6</v>
      </c>
      <c r="AI75" s="1">
        <v>5.4</v>
      </c>
      <c r="AJ75" s="1">
        <v>5.6</v>
      </c>
      <c r="AK75" s="1"/>
      <c r="AL75" s="1">
        <f t="shared" si="26"/>
        <v>6</v>
      </c>
      <c r="AM75" s="1">
        <f t="shared" si="27"/>
        <v>0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120</v>
      </c>
      <c r="B76" s="1" t="s">
        <v>43</v>
      </c>
      <c r="C76" s="1">
        <v>281</v>
      </c>
      <c r="D76" s="1">
        <v>128</v>
      </c>
      <c r="E76" s="1">
        <v>180</v>
      </c>
      <c r="F76" s="1">
        <v>213</v>
      </c>
      <c r="G76" s="7">
        <v>0.33</v>
      </c>
      <c r="H76" s="1">
        <v>60</v>
      </c>
      <c r="I76" s="9" t="s">
        <v>51</v>
      </c>
      <c r="J76" s="1"/>
      <c r="K76" s="1">
        <v>171</v>
      </c>
      <c r="L76" s="1">
        <f t="shared" si="20"/>
        <v>9</v>
      </c>
      <c r="M76" s="1"/>
      <c r="N76" s="1"/>
      <c r="O76" s="1">
        <v>0</v>
      </c>
      <c r="P76" s="1"/>
      <c r="Q76" s="1"/>
      <c r="R76" s="1">
        <v>98.600000000000023</v>
      </c>
      <c r="S76" s="21"/>
      <c r="T76" s="1">
        <f t="shared" si="21"/>
        <v>36</v>
      </c>
      <c r="U76" s="5">
        <f t="shared" si="28"/>
        <v>120.39999999999998</v>
      </c>
      <c r="V76" s="5">
        <f t="shared" si="23"/>
        <v>120.39999999999998</v>
      </c>
      <c r="W76" s="5">
        <f t="shared" si="24"/>
        <v>120.39999999999998</v>
      </c>
      <c r="X76" s="5"/>
      <c r="Y76" s="1">
        <f t="shared" si="25"/>
        <v>12</v>
      </c>
      <c r="Z76" s="1">
        <f t="shared" si="22"/>
        <v>8.6555555555555568</v>
      </c>
      <c r="AA76" s="1">
        <v>37.6</v>
      </c>
      <c r="AB76" s="1">
        <v>21.4</v>
      </c>
      <c r="AC76" s="1">
        <v>11.8</v>
      </c>
      <c r="AD76" s="1">
        <v>27.4</v>
      </c>
      <c r="AE76" s="1">
        <v>37.6</v>
      </c>
      <c r="AF76" s="1">
        <v>36</v>
      </c>
      <c r="AG76" s="1">
        <v>29.6</v>
      </c>
      <c r="AH76" s="1">
        <v>26.2</v>
      </c>
      <c r="AI76" s="1">
        <v>20.399999999999999</v>
      </c>
      <c r="AJ76" s="1">
        <v>23.4</v>
      </c>
      <c r="AK76" s="1"/>
      <c r="AL76" s="1">
        <f t="shared" si="26"/>
        <v>40</v>
      </c>
      <c r="AM76" s="1">
        <f t="shared" si="27"/>
        <v>0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121</v>
      </c>
      <c r="B77" s="1" t="s">
        <v>43</v>
      </c>
      <c r="C77" s="1">
        <v>64</v>
      </c>
      <c r="D77" s="1">
        <v>152</v>
      </c>
      <c r="E77" s="1">
        <v>102</v>
      </c>
      <c r="F77" s="1">
        <v>111</v>
      </c>
      <c r="G77" s="7">
        <v>0.35</v>
      </c>
      <c r="H77" s="1">
        <v>90</v>
      </c>
      <c r="I77" s="1" t="s">
        <v>39</v>
      </c>
      <c r="J77" s="1"/>
      <c r="K77" s="1">
        <v>102</v>
      </c>
      <c r="L77" s="1">
        <f t="shared" si="20"/>
        <v>0</v>
      </c>
      <c r="M77" s="1"/>
      <c r="N77" s="1"/>
      <c r="O77" s="1">
        <v>0</v>
      </c>
      <c r="P77" s="1"/>
      <c r="Q77" s="1"/>
      <c r="R77" s="1">
        <v>130.19999999999999</v>
      </c>
      <c r="S77" s="21"/>
      <c r="T77" s="1">
        <f t="shared" si="21"/>
        <v>20.399999999999999</v>
      </c>
      <c r="U77" s="5">
        <v>10</v>
      </c>
      <c r="V77" s="5">
        <f t="shared" si="23"/>
        <v>10</v>
      </c>
      <c r="W77" s="5">
        <f t="shared" si="24"/>
        <v>10</v>
      </c>
      <c r="X77" s="5"/>
      <c r="Y77" s="1">
        <f t="shared" si="25"/>
        <v>12.313725490196079</v>
      </c>
      <c r="Z77" s="1">
        <f t="shared" si="22"/>
        <v>11.823529411764707</v>
      </c>
      <c r="AA77" s="1">
        <v>25.2</v>
      </c>
      <c r="AB77" s="1">
        <v>11.8</v>
      </c>
      <c r="AC77" s="1">
        <v>10.4</v>
      </c>
      <c r="AD77" s="1">
        <v>13.6</v>
      </c>
      <c r="AE77" s="1">
        <v>7.8</v>
      </c>
      <c r="AF77" s="1">
        <v>18.399999999999999</v>
      </c>
      <c r="AG77" s="1">
        <v>25</v>
      </c>
      <c r="AH77" s="1">
        <v>13</v>
      </c>
      <c r="AI77" s="1">
        <v>5.4</v>
      </c>
      <c r="AJ77" s="1">
        <v>7.2</v>
      </c>
      <c r="AK77" s="1"/>
      <c r="AL77" s="1">
        <f t="shared" si="26"/>
        <v>4</v>
      </c>
      <c r="AM77" s="1">
        <f t="shared" si="27"/>
        <v>0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122</v>
      </c>
      <c r="B78" s="1" t="s">
        <v>43</v>
      </c>
      <c r="C78" s="1">
        <v>478</v>
      </c>
      <c r="D78" s="1">
        <v>210</v>
      </c>
      <c r="E78" s="1">
        <v>65</v>
      </c>
      <c r="F78" s="1">
        <v>616</v>
      </c>
      <c r="G78" s="7">
        <v>0.37</v>
      </c>
      <c r="H78" s="1">
        <v>50</v>
      </c>
      <c r="I78" s="1" t="s">
        <v>39</v>
      </c>
      <c r="J78" s="1"/>
      <c r="K78" s="1">
        <v>65</v>
      </c>
      <c r="L78" s="1">
        <f t="shared" si="20"/>
        <v>0</v>
      </c>
      <c r="M78" s="1"/>
      <c r="N78" s="1"/>
      <c r="O78" s="1">
        <v>0</v>
      </c>
      <c r="P78" s="1"/>
      <c r="Q78" s="1"/>
      <c r="R78" s="1">
        <v>0</v>
      </c>
      <c r="S78" s="21"/>
      <c r="T78" s="1">
        <f t="shared" si="21"/>
        <v>13</v>
      </c>
      <c r="U78" s="5"/>
      <c r="V78" s="5">
        <f t="shared" si="23"/>
        <v>0</v>
      </c>
      <c r="W78" s="5">
        <f t="shared" si="24"/>
        <v>0</v>
      </c>
      <c r="X78" s="5"/>
      <c r="Y78" s="1">
        <f t="shared" si="25"/>
        <v>47.384615384615387</v>
      </c>
      <c r="Z78" s="1">
        <f t="shared" si="22"/>
        <v>47.384615384615387</v>
      </c>
      <c r="AA78" s="1">
        <v>3.6</v>
      </c>
      <c r="AB78" s="1">
        <v>1</v>
      </c>
      <c r="AC78" s="1">
        <v>8.1999999999999993</v>
      </c>
      <c r="AD78" s="1">
        <v>13.4</v>
      </c>
      <c r="AE78" s="1">
        <v>43.8</v>
      </c>
      <c r="AF78" s="1">
        <v>44.4</v>
      </c>
      <c r="AG78" s="1">
        <v>11.8</v>
      </c>
      <c r="AH78" s="1">
        <v>23.6</v>
      </c>
      <c r="AI78" s="1">
        <v>22.4</v>
      </c>
      <c r="AJ78" s="1">
        <v>18.399999999999999</v>
      </c>
      <c r="AK78" s="16" t="s">
        <v>92</v>
      </c>
      <c r="AL78" s="1">
        <f t="shared" si="26"/>
        <v>0</v>
      </c>
      <c r="AM78" s="1">
        <f t="shared" si="27"/>
        <v>0</v>
      </c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1" t="s">
        <v>123</v>
      </c>
      <c r="B79" s="11" t="s">
        <v>43</v>
      </c>
      <c r="C79" s="11"/>
      <c r="D79" s="11"/>
      <c r="E79" s="11"/>
      <c r="F79" s="11"/>
      <c r="G79" s="12">
        <v>0</v>
      </c>
      <c r="H79" s="11"/>
      <c r="I79" s="11" t="s">
        <v>39</v>
      </c>
      <c r="J79" s="11"/>
      <c r="K79" s="11"/>
      <c r="L79" s="11">
        <f t="shared" si="20"/>
        <v>0</v>
      </c>
      <c r="M79" s="11"/>
      <c r="N79" s="11"/>
      <c r="O79" s="11">
        <v>0</v>
      </c>
      <c r="P79" s="11"/>
      <c r="Q79" s="11"/>
      <c r="R79" s="11">
        <v>0</v>
      </c>
      <c r="S79" s="23"/>
      <c r="T79" s="11">
        <f t="shared" si="21"/>
        <v>0</v>
      </c>
      <c r="U79" s="13"/>
      <c r="V79" s="5">
        <f t="shared" si="23"/>
        <v>0</v>
      </c>
      <c r="W79" s="5">
        <f t="shared" si="24"/>
        <v>0</v>
      </c>
      <c r="X79" s="5"/>
      <c r="Y79" s="1" t="e">
        <f t="shared" si="25"/>
        <v>#DIV/0!</v>
      </c>
      <c r="Z79" s="11" t="e">
        <f t="shared" si="22"/>
        <v>#DIV/0!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 t="s">
        <v>49</v>
      </c>
      <c r="AL79" s="1">
        <f t="shared" si="26"/>
        <v>0</v>
      </c>
      <c r="AM79" s="1">
        <f t="shared" si="27"/>
        <v>0</v>
      </c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124</v>
      </c>
      <c r="B80" s="1" t="s">
        <v>43</v>
      </c>
      <c r="C80" s="1">
        <v>148</v>
      </c>
      <c r="D80" s="1"/>
      <c r="E80" s="1">
        <v>146</v>
      </c>
      <c r="F80" s="1">
        <v>1</v>
      </c>
      <c r="G80" s="7">
        <v>0.33</v>
      </c>
      <c r="H80" s="1">
        <v>40</v>
      </c>
      <c r="I80" s="1" t="s">
        <v>39</v>
      </c>
      <c r="J80" s="1"/>
      <c r="K80" s="1">
        <v>145</v>
      </c>
      <c r="L80" s="1">
        <f t="shared" si="20"/>
        <v>1</v>
      </c>
      <c r="M80" s="1"/>
      <c r="N80" s="1"/>
      <c r="O80" s="1">
        <v>0</v>
      </c>
      <c r="P80" s="1"/>
      <c r="Q80" s="1"/>
      <c r="R80" s="1">
        <v>139</v>
      </c>
      <c r="S80" s="21"/>
      <c r="T80" s="1">
        <f t="shared" si="21"/>
        <v>29.2</v>
      </c>
      <c r="U80" s="5">
        <f t="shared" ref="U80" si="29">12*T80-R80-Q80-P80-O80-F80</f>
        <v>210.39999999999998</v>
      </c>
      <c r="V80" s="5">
        <f t="shared" si="23"/>
        <v>210.39999999999998</v>
      </c>
      <c r="W80" s="5">
        <f t="shared" si="24"/>
        <v>85.001599999999996</v>
      </c>
      <c r="X80" s="5">
        <f>V80*$X$1</f>
        <v>125.39839999999998</v>
      </c>
      <c r="Y80" s="1">
        <f t="shared" si="25"/>
        <v>12</v>
      </c>
      <c r="Z80" s="1">
        <f t="shared" si="22"/>
        <v>4.794520547945206</v>
      </c>
      <c r="AA80" s="1">
        <v>26</v>
      </c>
      <c r="AB80" s="1">
        <v>7.6</v>
      </c>
      <c r="AC80" s="1">
        <v>4.5999999999999996</v>
      </c>
      <c r="AD80" s="1">
        <v>8.8000000000000007</v>
      </c>
      <c r="AE80" s="1">
        <v>16.600000000000001</v>
      </c>
      <c r="AF80" s="1">
        <v>15.4</v>
      </c>
      <c r="AG80" s="1">
        <v>6.4</v>
      </c>
      <c r="AH80" s="1">
        <v>8.6</v>
      </c>
      <c r="AI80" s="1">
        <v>8.4</v>
      </c>
      <c r="AJ80" s="1">
        <v>6</v>
      </c>
      <c r="AK80" s="1"/>
      <c r="AL80" s="1">
        <f t="shared" si="26"/>
        <v>28</v>
      </c>
      <c r="AM80" s="1">
        <f t="shared" si="27"/>
        <v>41</v>
      </c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125</v>
      </c>
      <c r="B81" s="1" t="s">
        <v>43</v>
      </c>
      <c r="C81" s="1">
        <v>134</v>
      </c>
      <c r="D81" s="1">
        <v>60</v>
      </c>
      <c r="E81" s="1">
        <v>59</v>
      </c>
      <c r="F81" s="1">
        <v>130</v>
      </c>
      <c r="G81" s="7">
        <v>0.4</v>
      </c>
      <c r="H81" s="1">
        <v>55</v>
      </c>
      <c r="I81" s="1" t="s">
        <v>39</v>
      </c>
      <c r="J81" s="1"/>
      <c r="K81" s="1">
        <v>53</v>
      </c>
      <c r="L81" s="1">
        <f t="shared" si="20"/>
        <v>6</v>
      </c>
      <c r="M81" s="1"/>
      <c r="N81" s="1"/>
      <c r="O81" s="1">
        <v>12.600000000000019</v>
      </c>
      <c r="P81" s="1"/>
      <c r="Q81" s="1"/>
      <c r="R81" s="1">
        <v>0</v>
      </c>
      <c r="S81" s="21"/>
      <c r="T81" s="1">
        <f t="shared" si="21"/>
        <v>11.8</v>
      </c>
      <c r="U81" s="5"/>
      <c r="V81" s="5">
        <f t="shared" si="23"/>
        <v>0</v>
      </c>
      <c r="W81" s="5">
        <f t="shared" si="24"/>
        <v>0</v>
      </c>
      <c r="X81" s="5"/>
      <c r="Y81" s="1">
        <f t="shared" si="25"/>
        <v>12.084745762711865</v>
      </c>
      <c r="Z81" s="1">
        <f t="shared" si="22"/>
        <v>12.084745762711865</v>
      </c>
      <c r="AA81" s="1">
        <v>3.6</v>
      </c>
      <c r="AB81" s="1">
        <v>18.600000000000001</v>
      </c>
      <c r="AC81" s="1">
        <v>21.2</v>
      </c>
      <c r="AD81" s="1">
        <v>8.8000000000000007</v>
      </c>
      <c r="AE81" s="1">
        <v>14.8</v>
      </c>
      <c r="AF81" s="1">
        <v>11</v>
      </c>
      <c r="AG81" s="1">
        <v>4.4000000000000004</v>
      </c>
      <c r="AH81" s="1">
        <v>12.2</v>
      </c>
      <c r="AI81" s="1">
        <v>13.8</v>
      </c>
      <c r="AJ81" s="1">
        <v>9</v>
      </c>
      <c r="AK81" s="15" t="s">
        <v>62</v>
      </c>
      <c r="AL81" s="1">
        <f t="shared" si="26"/>
        <v>0</v>
      </c>
      <c r="AM81" s="1">
        <f t="shared" si="27"/>
        <v>0</v>
      </c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126</v>
      </c>
      <c r="B82" s="1" t="s">
        <v>43</v>
      </c>
      <c r="C82" s="1">
        <v>5</v>
      </c>
      <c r="D82" s="1"/>
      <c r="E82" s="1"/>
      <c r="F82" s="1">
        <v>5</v>
      </c>
      <c r="G82" s="7">
        <v>0.35</v>
      </c>
      <c r="H82" s="1">
        <v>40</v>
      </c>
      <c r="I82" s="9" t="s">
        <v>51</v>
      </c>
      <c r="J82" s="1"/>
      <c r="K82" s="1">
        <v>22</v>
      </c>
      <c r="L82" s="1">
        <f t="shared" si="20"/>
        <v>-22</v>
      </c>
      <c r="M82" s="1"/>
      <c r="N82" s="1"/>
      <c r="O82" s="1">
        <v>10</v>
      </c>
      <c r="P82" s="1">
        <v>-12</v>
      </c>
      <c r="Q82" s="1"/>
      <c r="R82" s="1">
        <v>10</v>
      </c>
      <c r="S82" s="21"/>
      <c r="T82" s="1">
        <f t="shared" si="21"/>
        <v>0</v>
      </c>
      <c r="U82" s="5">
        <v>10</v>
      </c>
      <c r="V82" s="5">
        <f t="shared" si="23"/>
        <v>10</v>
      </c>
      <c r="W82" s="5">
        <f t="shared" si="24"/>
        <v>10</v>
      </c>
      <c r="X82" s="5"/>
      <c r="Y82" s="1" t="e">
        <f t="shared" si="25"/>
        <v>#DIV/0!</v>
      </c>
      <c r="Z82" s="1" t="e">
        <f t="shared" si="22"/>
        <v>#DIV/0!</v>
      </c>
      <c r="AA82" s="1">
        <v>0</v>
      </c>
      <c r="AB82" s="1">
        <v>0</v>
      </c>
      <c r="AC82" s="1">
        <v>0</v>
      </c>
      <c r="AD82" s="1">
        <v>0</v>
      </c>
      <c r="AE82" s="1">
        <v>2</v>
      </c>
      <c r="AF82" s="1">
        <v>2</v>
      </c>
      <c r="AG82" s="1">
        <v>0</v>
      </c>
      <c r="AH82" s="1">
        <v>0</v>
      </c>
      <c r="AI82" s="1">
        <v>2.4</v>
      </c>
      <c r="AJ82" s="1">
        <v>6.2</v>
      </c>
      <c r="AK82" s="1"/>
      <c r="AL82" s="1">
        <f t="shared" si="26"/>
        <v>4</v>
      </c>
      <c r="AM82" s="1">
        <f t="shared" si="27"/>
        <v>0</v>
      </c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127</v>
      </c>
      <c r="B83" s="1" t="s">
        <v>43</v>
      </c>
      <c r="C83" s="1">
        <v>29</v>
      </c>
      <c r="D83" s="1"/>
      <c r="E83" s="1">
        <v>26</v>
      </c>
      <c r="F83" s="1">
        <v>3</v>
      </c>
      <c r="G83" s="7">
        <v>0.35</v>
      </c>
      <c r="H83" s="1">
        <v>45</v>
      </c>
      <c r="I83" s="9" t="s">
        <v>51</v>
      </c>
      <c r="J83" s="1"/>
      <c r="K83" s="1">
        <v>28</v>
      </c>
      <c r="L83" s="1">
        <f t="shared" si="20"/>
        <v>-2</v>
      </c>
      <c r="M83" s="1"/>
      <c r="N83" s="1"/>
      <c r="O83" s="1">
        <v>20</v>
      </c>
      <c r="P83" s="1"/>
      <c r="Q83" s="1"/>
      <c r="R83" s="1">
        <v>36.200000000000003</v>
      </c>
      <c r="S83" s="21"/>
      <c r="T83" s="1">
        <f t="shared" si="21"/>
        <v>5.2</v>
      </c>
      <c r="U83" s="5">
        <v>10</v>
      </c>
      <c r="V83" s="5">
        <f t="shared" si="23"/>
        <v>10</v>
      </c>
      <c r="W83" s="5">
        <f t="shared" si="24"/>
        <v>10</v>
      </c>
      <c r="X83" s="5"/>
      <c r="Y83" s="1">
        <f t="shared" si="25"/>
        <v>13.307692307692308</v>
      </c>
      <c r="Z83" s="1">
        <f t="shared" si="22"/>
        <v>11.384615384615385</v>
      </c>
      <c r="AA83" s="1">
        <v>6.2</v>
      </c>
      <c r="AB83" s="1">
        <v>3.6</v>
      </c>
      <c r="AC83" s="1">
        <v>2</v>
      </c>
      <c r="AD83" s="1">
        <v>8</v>
      </c>
      <c r="AE83" s="1">
        <v>9.4</v>
      </c>
      <c r="AF83" s="1">
        <v>3.4</v>
      </c>
      <c r="AG83" s="1">
        <v>0</v>
      </c>
      <c r="AH83" s="1">
        <v>0</v>
      </c>
      <c r="AI83" s="1">
        <v>1.4</v>
      </c>
      <c r="AJ83" s="1">
        <v>5.4</v>
      </c>
      <c r="AK83" s="1"/>
      <c r="AL83" s="1">
        <f t="shared" si="26"/>
        <v>4</v>
      </c>
      <c r="AM83" s="1">
        <f t="shared" si="27"/>
        <v>0</v>
      </c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1" t="s">
        <v>128</v>
      </c>
      <c r="B84" s="11" t="s">
        <v>43</v>
      </c>
      <c r="C84" s="11"/>
      <c r="D84" s="11"/>
      <c r="E84" s="11"/>
      <c r="F84" s="11"/>
      <c r="G84" s="12">
        <v>0</v>
      </c>
      <c r="H84" s="11"/>
      <c r="I84" s="11" t="s">
        <v>39</v>
      </c>
      <c r="J84" s="11"/>
      <c r="K84" s="11"/>
      <c r="L84" s="11">
        <f t="shared" si="20"/>
        <v>0</v>
      </c>
      <c r="M84" s="11"/>
      <c r="N84" s="11"/>
      <c r="O84" s="11">
        <v>0</v>
      </c>
      <c r="P84" s="11"/>
      <c r="Q84" s="11"/>
      <c r="R84" s="11">
        <v>0</v>
      </c>
      <c r="S84" s="23"/>
      <c r="T84" s="11">
        <f t="shared" si="21"/>
        <v>0</v>
      </c>
      <c r="U84" s="13"/>
      <c r="V84" s="5">
        <f t="shared" si="23"/>
        <v>0</v>
      </c>
      <c r="W84" s="5">
        <f t="shared" si="24"/>
        <v>0</v>
      </c>
      <c r="X84" s="5"/>
      <c r="Y84" s="1" t="e">
        <f t="shared" si="25"/>
        <v>#DIV/0!</v>
      </c>
      <c r="Z84" s="11" t="e">
        <f t="shared" si="22"/>
        <v>#DIV/0!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J84" s="11">
        <v>0</v>
      </c>
      <c r="AK84" s="11" t="s">
        <v>49</v>
      </c>
      <c r="AL84" s="1">
        <f t="shared" si="26"/>
        <v>0</v>
      </c>
      <c r="AM84" s="1">
        <f t="shared" si="27"/>
        <v>0</v>
      </c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1" t="s">
        <v>129</v>
      </c>
      <c r="B85" s="11" t="s">
        <v>38</v>
      </c>
      <c r="C85" s="11"/>
      <c r="D85" s="11"/>
      <c r="E85" s="11"/>
      <c r="F85" s="11"/>
      <c r="G85" s="12">
        <v>0</v>
      </c>
      <c r="H85" s="11"/>
      <c r="I85" s="11" t="s">
        <v>39</v>
      </c>
      <c r="J85" s="11"/>
      <c r="K85" s="11"/>
      <c r="L85" s="11">
        <f t="shared" si="20"/>
        <v>0</v>
      </c>
      <c r="M85" s="11"/>
      <c r="N85" s="11"/>
      <c r="O85" s="11">
        <v>0</v>
      </c>
      <c r="P85" s="11"/>
      <c r="Q85" s="11"/>
      <c r="R85" s="11">
        <v>0</v>
      </c>
      <c r="S85" s="23"/>
      <c r="T85" s="11">
        <f t="shared" si="21"/>
        <v>0</v>
      </c>
      <c r="U85" s="13"/>
      <c r="V85" s="5">
        <f t="shared" si="23"/>
        <v>0</v>
      </c>
      <c r="W85" s="5">
        <f t="shared" si="24"/>
        <v>0</v>
      </c>
      <c r="X85" s="5"/>
      <c r="Y85" s="1" t="e">
        <f t="shared" si="25"/>
        <v>#DIV/0!</v>
      </c>
      <c r="Z85" s="11" t="e">
        <f t="shared" si="22"/>
        <v>#DIV/0!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 t="s">
        <v>49</v>
      </c>
      <c r="AL85" s="1">
        <f t="shared" si="26"/>
        <v>0</v>
      </c>
      <c r="AM85" s="1">
        <f t="shared" si="27"/>
        <v>0</v>
      </c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1" t="s">
        <v>130</v>
      </c>
      <c r="B86" s="11" t="s">
        <v>43</v>
      </c>
      <c r="C86" s="11">
        <v>-5</v>
      </c>
      <c r="D86" s="11"/>
      <c r="E86" s="11">
        <v>-1</v>
      </c>
      <c r="F86" s="11">
        <v>-5</v>
      </c>
      <c r="G86" s="12">
        <v>0</v>
      </c>
      <c r="H86" s="11">
        <v>55</v>
      </c>
      <c r="I86" s="11" t="s">
        <v>65</v>
      </c>
      <c r="J86" s="11"/>
      <c r="K86" s="11"/>
      <c r="L86" s="11">
        <f t="shared" si="20"/>
        <v>-1</v>
      </c>
      <c r="M86" s="11"/>
      <c r="N86" s="11"/>
      <c r="O86" s="11">
        <v>0</v>
      </c>
      <c r="P86" s="11"/>
      <c r="Q86" s="11"/>
      <c r="R86" s="11">
        <v>0</v>
      </c>
      <c r="S86" s="23"/>
      <c r="T86" s="11">
        <f t="shared" si="21"/>
        <v>-0.2</v>
      </c>
      <c r="U86" s="13"/>
      <c r="V86" s="5">
        <f t="shared" si="23"/>
        <v>0</v>
      </c>
      <c r="W86" s="5">
        <f t="shared" si="24"/>
        <v>0</v>
      </c>
      <c r="X86" s="5"/>
      <c r="Y86" s="1">
        <f t="shared" si="25"/>
        <v>25</v>
      </c>
      <c r="Z86" s="11">
        <f t="shared" si="22"/>
        <v>25</v>
      </c>
      <c r="AA86" s="11">
        <v>-0.2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2</v>
      </c>
      <c r="AJ86" s="11">
        <v>2</v>
      </c>
      <c r="AK86" s="11"/>
      <c r="AL86" s="1">
        <f t="shared" si="26"/>
        <v>0</v>
      </c>
      <c r="AM86" s="1">
        <f t="shared" si="27"/>
        <v>0</v>
      </c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131</v>
      </c>
      <c r="B87" s="1" t="s">
        <v>38</v>
      </c>
      <c r="C87" s="1">
        <v>42.99</v>
      </c>
      <c r="D87" s="1">
        <v>11.458</v>
      </c>
      <c r="E87" s="1">
        <v>22.977</v>
      </c>
      <c r="F87" s="1">
        <v>20.013000000000002</v>
      </c>
      <c r="G87" s="7">
        <v>1</v>
      </c>
      <c r="H87" s="1">
        <v>55</v>
      </c>
      <c r="I87" s="1" t="s">
        <v>39</v>
      </c>
      <c r="J87" s="1"/>
      <c r="K87" s="1">
        <v>33.5</v>
      </c>
      <c r="L87" s="1">
        <f t="shared" si="20"/>
        <v>-10.523</v>
      </c>
      <c r="M87" s="1"/>
      <c r="N87" s="1"/>
      <c r="O87" s="1">
        <v>0</v>
      </c>
      <c r="P87" s="1"/>
      <c r="Q87" s="1"/>
      <c r="R87" s="1">
        <v>17.043600000000001</v>
      </c>
      <c r="S87" s="21"/>
      <c r="T87" s="1">
        <f t="shared" si="21"/>
        <v>4.5953999999999997</v>
      </c>
      <c r="U87" s="5">
        <f t="shared" ref="U87:U88" si="30">12*T87-R87-Q87-P87-O87-F87</f>
        <v>18.08819999999999</v>
      </c>
      <c r="V87" s="5">
        <f t="shared" si="23"/>
        <v>18.08819999999999</v>
      </c>
      <c r="W87" s="5">
        <f t="shared" si="24"/>
        <v>18.08819999999999</v>
      </c>
      <c r="X87" s="5"/>
      <c r="Y87" s="1">
        <f t="shared" si="25"/>
        <v>11.999999999999998</v>
      </c>
      <c r="Z87" s="1">
        <f t="shared" si="22"/>
        <v>8.063846455150804</v>
      </c>
      <c r="AA87" s="1">
        <v>4.0216000000000003</v>
      </c>
      <c r="AB87" s="1">
        <v>0.86240000000000006</v>
      </c>
      <c r="AC87" s="1">
        <v>0</v>
      </c>
      <c r="AD87" s="1">
        <v>2.0213999999999999</v>
      </c>
      <c r="AE87" s="1">
        <v>3.1659999999999999</v>
      </c>
      <c r="AF87" s="1">
        <v>2.0042</v>
      </c>
      <c r="AG87" s="1">
        <v>1.1472</v>
      </c>
      <c r="AH87" s="1">
        <v>0.57320000000000004</v>
      </c>
      <c r="AI87" s="1">
        <v>0.57420000000000004</v>
      </c>
      <c r="AJ87" s="1">
        <v>0.57440000000000002</v>
      </c>
      <c r="AK87" s="1"/>
      <c r="AL87" s="1">
        <f t="shared" si="26"/>
        <v>18</v>
      </c>
      <c r="AM87" s="1">
        <f t="shared" si="27"/>
        <v>0</v>
      </c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132</v>
      </c>
      <c r="B88" s="1" t="s">
        <v>38</v>
      </c>
      <c r="C88" s="1">
        <v>219.49600000000001</v>
      </c>
      <c r="D88" s="1">
        <v>10.125</v>
      </c>
      <c r="E88" s="1">
        <v>233.97499999999999</v>
      </c>
      <c r="F88" s="1">
        <v>-5.8920000000000003</v>
      </c>
      <c r="G88" s="7">
        <v>1</v>
      </c>
      <c r="H88" s="1">
        <v>60</v>
      </c>
      <c r="I88" s="1" t="s">
        <v>39</v>
      </c>
      <c r="J88" s="1"/>
      <c r="K88" s="1">
        <v>231.6</v>
      </c>
      <c r="L88" s="1">
        <f t="shared" si="20"/>
        <v>2.375</v>
      </c>
      <c r="M88" s="1"/>
      <c r="N88" s="1"/>
      <c r="O88" s="1">
        <v>311.13500799999991</v>
      </c>
      <c r="P88" s="1"/>
      <c r="Q88" s="1"/>
      <c r="R88" s="1">
        <v>105.31639200000011</v>
      </c>
      <c r="S88" s="21"/>
      <c r="T88" s="1">
        <f t="shared" si="21"/>
        <v>46.795000000000002</v>
      </c>
      <c r="U88" s="5">
        <f t="shared" si="30"/>
        <v>150.98059999999992</v>
      </c>
      <c r="V88" s="5">
        <f t="shared" si="23"/>
        <v>150.98059999999992</v>
      </c>
      <c r="W88" s="5">
        <f t="shared" si="24"/>
        <v>60.996162399999974</v>
      </c>
      <c r="X88" s="5">
        <f>V88*$X$1</f>
        <v>89.98443759999995</v>
      </c>
      <c r="Y88" s="1">
        <f t="shared" si="25"/>
        <v>11.999999999999998</v>
      </c>
      <c r="Z88" s="1">
        <f t="shared" si="22"/>
        <v>8.7735740997969867</v>
      </c>
      <c r="AA88" s="1">
        <v>43.2684</v>
      </c>
      <c r="AB88" s="1">
        <v>40.822800000000001</v>
      </c>
      <c r="AC88" s="1">
        <v>37.770800000000001</v>
      </c>
      <c r="AD88" s="1">
        <v>33.010000000000012</v>
      </c>
      <c r="AE88" s="1">
        <v>40.011200000000002</v>
      </c>
      <c r="AF88" s="1">
        <v>37.158999999999999</v>
      </c>
      <c r="AG88" s="1">
        <v>27.297799999999999</v>
      </c>
      <c r="AH88" s="1">
        <v>35.398400000000002</v>
      </c>
      <c r="AI88" s="1">
        <v>35.738399999999999</v>
      </c>
      <c r="AJ88" s="1">
        <v>39.966799999999999</v>
      </c>
      <c r="AK88" s="1"/>
      <c r="AL88" s="1">
        <f t="shared" si="26"/>
        <v>61</v>
      </c>
      <c r="AM88" s="1">
        <f t="shared" si="27"/>
        <v>90</v>
      </c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1" t="s">
        <v>133</v>
      </c>
      <c r="B89" s="11" t="s">
        <v>43</v>
      </c>
      <c r="C89" s="11"/>
      <c r="D89" s="11"/>
      <c r="E89" s="11"/>
      <c r="F89" s="11"/>
      <c r="G89" s="12">
        <v>0</v>
      </c>
      <c r="H89" s="11"/>
      <c r="I89" s="11" t="s">
        <v>39</v>
      </c>
      <c r="J89" s="11"/>
      <c r="K89" s="11"/>
      <c r="L89" s="11">
        <f t="shared" si="20"/>
        <v>0</v>
      </c>
      <c r="M89" s="11"/>
      <c r="N89" s="11"/>
      <c r="O89" s="11">
        <v>0</v>
      </c>
      <c r="P89" s="11"/>
      <c r="Q89" s="11"/>
      <c r="R89" s="11">
        <v>0</v>
      </c>
      <c r="S89" s="23"/>
      <c r="T89" s="11">
        <f t="shared" si="21"/>
        <v>0</v>
      </c>
      <c r="U89" s="13"/>
      <c r="V89" s="5">
        <f t="shared" si="23"/>
        <v>0</v>
      </c>
      <c r="W89" s="5">
        <f t="shared" si="24"/>
        <v>0</v>
      </c>
      <c r="X89" s="5"/>
      <c r="Y89" s="1" t="e">
        <f t="shared" si="25"/>
        <v>#DIV/0!</v>
      </c>
      <c r="Z89" s="11" t="e">
        <f t="shared" si="22"/>
        <v>#DIV/0!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 t="s">
        <v>49</v>
      </c>
      <c r="AL89" s="1">
        <f t="shared" si="26"/>
        <v>0</v>
      </c>
      <c r="AM89" s="1">
        <f t="shared" si="27"/>
        <v>0</v>
      </c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20" t="s">
        <v>134</v>
      </c>
      <c r="B90" s="1" t="s">
        <v>38</v>
      </c>
      <c r="C90" s="1">
        <v>977.09299999999996</v>
      </c>
      <c r="D90" s="1">
        <v>1361.5150000000001</v>
      </c>
      <c r="E90" s="1">
        <v>1564.424</v>
      </c>
      <c r="F90" s="1">
        <v>624.72199999999998</v>
      </c>
      <c r="G90" s="7">
        <v>1</v>
      </c>
      <c r="H90" s="1">
        <v>60</v>
      </c>
      <c r="I90" s="1" t="s">
        <v>39</v>
      </c>
      <c r="J90" s="1"/>
      <c r="K90" s="1">
        <v>1587.5</v>
      </c>
      <c r="L90" s="1">
        <f t="shared" si="20"/>
        <v>-23.076000000000022</v>
      </c>
      <c r="M90" s="1"/>
      <c r="N90" s="1"/>
      <c r="O90" s="1">
        <v>1077.3959279999999</v>
      </c>
      <c r="P90" s="1"/>
      <c r="Q90" s="1">
        <v>150</v>
      </c>
      <c r="R90" s="1">
        <v>1570.0830719999999</v>
      </c>
      <c r="S90" s="21"/>
      <c r="T90" s="1">
        <f t="shared" si="21"/>
        <v>312.88479999999998</v>
      </c>
      <c r="U90" s="5">
        <f t="shared" ref="U90:U92" si="31">12*T90-R90-Q90-P90-O90-F90</f>
        <v>332.41659999999979</v>
      </c>
      <c r="V90" s="5">
        <f t="shared" si="23"/>
        <v>332.41659999999979</v>
      </c>
      <c r="W90" s="5">
        <f t="shared" si="24"/>
        <v>134.29630639999993</v>
      </c>
      <c r="X90" s="5">
        <f t="shared" ref="X90" si="32">V90*$X$1</f>
        <v>198.12029359999985</v>
      </c>
      <c r="Y90" s="1">
        <f t="shared" si="25"/>
        <v>12</v>
      </c>
      <c r="Z90" s="1">
        <f t="shared" si="22"/>
        <v>10.93757510751561</v>
      </c>
      <c r="AA90" s="1">
        <v>368.565</v>
      </c>
      <c r="AB90" s="1">
        <v>303.18119999999999</v>
      </c>
      <c r="AC90" s="1">
        <v>264.67619999999999</v>
      </c>
      <c r="AD90" s="1">
        <v>304.95080000000002</v>
      </c>
      <c r="AE90" s="1">
        <v>256.99919999999997</v>
      </c>
      <c r="AF90" s="1">
        <v>231.32480000000001</v>
      </c>
      <c r="AG90" s="1">
        <v>263.76119999999997</v>
      </c>
      <c r="AH90" s="1">
        <v>305.51940000000002</v>
      </c>
      <c r="AI90" s="1">
        <v>261.89159999999998</v>
      </c>
      <c r="AJ90" s="1">
        <v>278.6728</v>
      </c>
      <c r="AK90" s="1"/>
      <c r="AL90" s="1">
        <f t="shared" si="26"/>
        <v>134</v>
      </c>
      <c r="AM90" s="1">
        <f t="shared" si="27"/>
        <v>198</v>
      </c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20" t="s">
        <v>135</v>
      </c>
      <c r="B91" s="1" t="s">
        <v>38</v>
      </c>
      <c r="C91" s="1">
        <v>1289.2929999999999</v>
      </c>
      <c r="D91" s="1">
        <v>1641.921</v>
      </c>
      <c r="E91" s="1">
        <v>1968.067</v>
      </c>
      <c r="F91" s="1">
        <v>812.38699999999994</v>
      </c>
      <c r="G91" s="7">
        <v>1</v>
      </c>
      <c r="H91" s="1">
        <v>60</v>
      </c>
      <c r="I91" s="1" t="s">
        <v>39</v>
      </c>
      <c r="J91" s="1"/>
      <c r="K91" s="1">
        <v>1930</v>
      </c>
      <c r="L91" s="1">
        <f t="shared" si="20"/>
        <v>38.067000000000007</v>
      </c>
      <c r="M91" s="1"/>
      <c r="N91" s="1"/>
      <c r="O91" s="1"/>
      <c r="P91" s="1"/>
      <c r="Q91" s="1">
        <v>150</v>
      </c>
      <c r="R91" s="1">
        <v>2008.4182000000001</v>
      </c>
      <c r="S91" s="21">
        <v>270</v>
      </c>
      <c r="T91" s="1">
        <f t="shared" si="21"/>
        <v>393.61340000000001</v>
      </c>
      <c r="U91" s="5">
        <f t="shared" si="31"/>
        <v>1752.5556000000004</v>
      </c>
      <c r="V91" s="5">
        <f t="shared" si="23"/>
        <v>1752.5556000000004</v>
      </c>
      <c r="W91" s="5">
        <f t="shared" si="24"/>
        <v>752.55560000000037</v>
      </c>
      <c r="X91" s="5">
        <v>1000</v>
      </c>
      <c r="Y91" s="1">
        <f t="shared" si="25"/>
        <v>12</v>
      </c>
      <c r="Z91" s="1">
        <f t="shared" si="22"/>
        <v>7.5475204858371177</v>
      </c>
      <c r="AA91" s="1">
        <v>331.94720000000001</v>
      </c>
      <c r="AB91" s="1">
        <v>257.45100000000002</v>
      </c>
      <c r="AC91" s="1">
        <v>207.36179999999999</v>
      </c>
      <c r="AD91" s="1">
        <v>301.77659999999997</v>
      </c>
      <c r="AE91" s="1">
        <v>293.72859999999997</v>
      </c>
      <c r="AF91" s="1">
        <v>213.80719999999999</v>
      </c>
      <c r="AG91" s="1">
        <v>230.60740000000001</v>
      </c>
      <c r="AH91" s="1">
        <v>267.38240000000002</v>
      </c>
      <c r="AI91" s="1">
        <v>257.27859999999998</v>
      </c>
      <c r="AJ91" s="1">
        <v>302.92239999999998</v>
      </c>
      <c r="AK91" s="1"/>
      <c r="AL91" s="1">
        <f t="shared" si="26"/>
        <v>753</v>
      </c>
      <c r="AM91" s="1">
        <f t="shared" si="27"/>
        <v>1000</v>
      </c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20" t="s">
        <v>136</v>
      </c>
      <c r="B92" s="1" t="s">
        <v>38</v>
      </c>
      <c r="C92" s="1">
        <v>1948.61</v>
      </c>
      <c r="D92" s="1">
        <v>2170.2109999999998</v>
      </c>
      <c r="E92" s="1">
        <v>2618.0650000000001</v>
      </c>
      <c r="F92" s="1">
        <v>1286.1980000000001</v>
      </c>
      <c r="G92" s="7">
        <v>1</v>
      </c>
      <c r="H92" s="1">
        <v>60</v>
      </c>
      <c r="I92" s="1" t="s">
        <v>39</v>
      </c>
      <c r="J92" s="1"/>
      <c r="K92" s="1">
        <v>2661.4</v>
      </c>
      <c r="L92" s="1">
        <f t="shared" si="20"/>
        <v>-43.335000000000036</v>
      </c>
      <c r="M92" s="1"/>
      <c r="N92" s="1"/>
      <c r="O92" s="1">
        <v>367.46000000000032</v>
      </c>
      <c r="P92" s="1"/>
      <c r="Q92" s="1">
        <v>280</v>
      </c>
      <c r="R92" s="1">
        <v>2536.2446</v>
      </c>
      <c r="S92" s="21">
        <v>400</v>
      </c>
      <c r="T92" s="1">
        <f t="shared" si="21"/>
        <v>523.61300000000006</v>
      </c>
      <c r="U92" s="5">
        <f t="shared" si="31"/>
        <v>1813.4534000000001</v>
      </c>
      <c r="V92" s="5">
        <f t="shared" si="23"/>
        <v>1813.4534000000001</v>
      </c>
      <c r="W92" s="5">
        <f t="shared" si="24"/>
        <v>1113.4534000000001</v>
      </c>
      <c r="X92" s="5">
        <v>700</v>
      </c>
      <c r="Y92" s="1">
        <f t="shared" si="25"/>
        <v>12</v>
      </c>
      <c r="Z92" s="1">
        <f t="shared" si="22"/>
        <v>8.5366532152563046</v>
      </c>
      <c r="AA92" s="1">
        <v>494.76659999999998</v>
      </c>
      <c r="AB92" s="1">
        <v>402.2328</v>
      </c>
      <c r="AC92" s="1">
        <v>356.45299999999997</v>
      </c>
      <c r="AD92" s="1">
        <v>435.99239999999998</v>
      </c>
      <c r="AE92" s="1">
        <v>464.71859999999998</v>
      </c>
      <c r="AF92" s="1">
        <v>390.34859999999998</v>
      </c>
      <c r="AG92" s="1">
        <v>377.59100000000001</v>
      </c>
      <c r="AH92" s="1">
        <v>432.98239999999998</v>
      </c>
      <c r="AI92" s="1">
        <v>418.18819999999988</v>
      </c>
      <c r="AJ92" s="1">
        <v>465.66320000000002</v>
      </c>
      <c r="AK92" s="1"/>
      <c r="AL92" s="1">
        <f t="shared" si="26"/>
        <v>1113</v>
      </c>
      <c r="AM92" s="1">
        <f t="shared" si="27"/>
        <v>700</v>
      </c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1" t="s">
        <v>137</v>
      </c>
      <c r="B93" s="11" t="s">
        <v>38</v>
      </c>
      <c r="C93" s="11"/>
      <c r="D93" s="11"/>
      <c r="E93" s="11"/>
      <c r="F93" s="11"/>
      <c r="G93" s="12">
        <v>0</v>
      </c>
      <c r="H93" s="11"/>
      <c r="I93" s="11" t="s">
        <v>39</v>
      </c>
      <c r="J93" s="11"/>
      <c r="K93" s="11"/>
      <c r="L93" s="11">
        <f t="shared" si="20"/>
        <v>0</v>
      </c>
      <c r="M93" s="11"/>
      <c r="N93" s="11"/>
      <c r="O93" s="11">
        <v>0</v>
      </c>
      <c r="P93" s="11"/>
      <c r="Q93" s="11"/>
      <c r="R93" s="11">
        <v>0</v>
      </c>
      <c r="S93" s="23"/>
      <c r="T93" s="11">
        <f t="shared" si="21"/>
        <v>0</v>
      </c>
      <c r="U93" s="13"/>
      <c r="V93" s="5">
        <f t="shared" si="23"/>
        <v>0</v>
      </c>
      <c r="W93" s="5">
        <f t="shared" si="24"/>
        <v>0</v>
      </c>
      <c r="X93" s="5"/>
      <c r="Y93" s="1" t="e">
        <f t="shared" si="25"/>
        <v>#DIV/0!</v>
      </c>
      <c r="Z93" s="11" t="e">
        <f t="shared" si="22"/>
        <v>#DIV/0!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>
        <v>0</v>
      </c>
      <c r="AK93" s="11" t="s">
        <v>49</v>
      </c>
      <c r="AL93" s="1">
        <f t="shared" si="26"/>
        <v>0</v>
      </c>
      <c r="AM93" s="1">
        <f t="shared" si="27"/>
        <v>0</v>
      </c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138</v>
      </c>
      <c r="B94" s="1" t="s">
        <v>43</v>
      </c>
      <c r="C94" s="1">
        <v>-11</v>
      </c>
      <c r="D94" s="1"/>
      <c r="E94" s="1">
        <v>-3</v>
      </c>
      <c r="F94" s="1">
        <v>-11</v>
      </c>
      <c r="G94" s="7">
        <v>0.3</v>
      </c>
      <c r="H94" s="1">
        <v>40</v>
      </c>
      <c r="I94" s="9" t="s">
        <v>51</v>
      </c>
      <c r="J94" s="1"/>
      <c r="K94" s="1">
        <v>3</v>
      </c>
      <c r="L94" s="1">
        <f t="shared" si="20"/>
        <v>-6</v>
      </c>
      <c r="M94" s="1"/>
      <c r="N94" s="1"/>
      <c r="O94" s="1">
        <v>50</v>
      </c>
      <c r="P94" s="1">
        <v>-54</v>
      </c>
      <c r="Q94" s="1"/>
      <c r="R94" s="1">
        <v>50</v>
      </c>
      <c r="S94" s="21"/>
      <c r="T94" s="1">
        <f t="shared" si="21"/>
        <v>-0.6</v>
      </c>
      <c r="U94" s="5">
        <v>50</v>
      </c>
      <c r="V94" s="5">
        <f t="shared" si="23"/>
        <v>50</v>
      </c>
      <c r="W94" s="5">
        <f t="shared" si="24"/>
        <v>50</v>
      </c>
      <c r="X94" s="5"/>
      <c r="Y94" s="1">
        <f t="shared" si="25"/>
        <v>-141.66666666666669</v>
      </c>
      <c r="Z94" s="1">
        <f t="shared" si="22"/>
        <v>-58.333333333333336</v>
      </c>
      <c r="AA94" s="1">
        <v>-1</v>
      </c>
      <c r="AB94" s="1">
        <v>-0.8</v>
      </c>
      <c r="AC94" s="1">
        <v>-1</v>
      </c>
      <c r="AD94" s="1">
        <v>-1.2</v>
      </c>
      <c r="AE94" s="1">
        <v>-1</v>
      </c>
      <c r="AF94" s="1">
        <v>5.4</v>
      </c>
      <c r="AG94" s="1">
        <v>28.6</v>
      </c>
      <c r="AH94" s="1">
        <v>48.6</v>
      </c>
      <c r="AI94" s="1">
        <v>42.6</v>
      </c>
      <c r="AJ94" s="1">
        <v>15.2</v>
      </c>
      <c r="AK94" s="1"/>
      <c r="AL94" s="1">
        <f t="shared" si="26"/>
        <v>15</v>
      </c>
      <c r="AM94" s="1">
        <f t="shared" si="27"/>
        <v>0</v>
      </c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 t="s">
        <v>139</v>
      </c>
      <c r="B95" s="1" t="s">
        <v>43</v>
      </c>
      <c r="C95" s="1"/>
      <c r="D95" s="1">
        <v>84</v>
      </c>
      <c r="E95" s="1">
        <v>83</v>
      </c>
      <c r="F95" s="1">
        <v>1</v>
      </c>
      <c r="G95" s="7">
        <v>0.3</v>
      </c>
      <c r="H95" s="1"/>
      <c r="I95" s="1" t="s">
        <v>39</v>
      </c>
      <c r="J95" s="1"/>
      <c r="K95" s="1">
        <v>97</v>
      </c>
      <c r="L95" s="1">
        <f t="shared" si="20"/>
        <v>-14</v>
      </c>
      <c r="M95" s="1"/>
      <c r="N95" s="1"/>
      <c r="O95" s="1">
        <v>0</v>
      </c>
      <c r="P95" s="1"/>
      <c r="Q95" s="1"/>
      <c r="R95" s="1">
        <v>0</v>
      </c>
      <c r="S95" s="21"/>
      <c r="T95" s="1">
        <f t="shared" si="21"/>
        <v>16.600000000000001</v>
      </c>
      <c r="U95" s="5">
        <f>7*T95-R95-Q95-P95-O95-F95</f>
        <v>115.20000000000002</v>
      </c>
      <c r="V95" s="5">
        <f t="shared" si="23"/>
        <v>115.20000000000002</v>
      </c>
      <c r="W95" s="5">
        <f t="shared" si="24"/>
        <v>46.540800000000004</v>
      </c>
      <c r="X95" s="5">
        <f>V95*$X$1</f>
        <v>68.659200000000013</v>
      </c>
      <c r="Y95" s="1">
        <f t="shared" si="25"/>
        <v>7</v>
      </c>
      <c r="Z95" s="1">
        <f t="shared" si="22"/>
        <v>6.0240963855421679E-2</v>
      </c>
      <c r="AA95" s="1">
        <v>1.2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 t="s">
        <v>140</v>
      </c>
      <c r="AL95" s="1">
        <f t="shared" si="26"/>
        <v>14</v>
      </c>
      <c r="AM95" s="1">
        <f t="shared" si="27"/>
        <v>21</v>
      </c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 t="s">
        <v>141</v>
      </c>
      <c r="B96" s="1" t="s">
        <v>43</v>
      </c>
      <c r="C96" s="1">
        <v>54</v>
      </c>
      <c r="D96" s="1"/>
      <c r="E96" s="1">
        <v>50</v>
      </c>
      <c r="F96" s="1">
        <v>4</v>
      </c>
      <c r="G96" s="7">
        <v>7.0000000000000007E-2</v>
      </c>
      <c r="H96" s="1">
        <v>90</v>
      </c>
      <c r="I96" s="9" t="s">
        <v>51</v>
      </c>
      <c r="J96" s="1"/>
      <c r="K96" s="1">
        <v>65</v>
      </c>
      <c r="L96" s="1">
        <f t="shared" si="20"/>
        <v>-15</v>
      </c>
      <c r="M96" s="1"/>
      <c r="N96" s="1"/>
      <c r="O96" s="1">
        <v>20</v>
      </c>
      <c r="P96" s="1">
        <v>-18</v>
      </c>
      <c r="Q96" s="1"/>
      <c r="R96" s="1">
        <v>40</v>
      </c>
      <c r="S96" s="21"/>
      <c r="T96" s="1">
        <f t="shared" si="21"/>
        <v>10</v>
      </c>
      <c r="U96" s="5">
        <v>30</v>
      </c>
      <c r="V96" s="5">
        <f t="shared" si="23"/>
        <v>30</v>
      </c>
      <c r="W96" s="5">
        <f t="shared" si="24"/>
        <v>30</v>
      </c>
      <c r="X96" s="5"/>
      <c r="Y96" s="1">
        <f t="shared" si="25"/>
        <v>7.6</v>
      </c>
      <c r="Z96" s="1">
        <f t="shared" si="22"/>
        <v>4.5999999999999996</v>
      </c>
      <c r="AA96" s="1">
        <v>9.4</v>
      </c>
      <c r="AB96" s="1">
        <v>5.2</v>
      </c>
      <c r="AC96" s="1">
        <v>7.6</v>
      </c>
      <c r="AD96" s="1">
        <v>16</v>
      </c>
      <c r="AE96" s="1">
        <v>18.2</v>
      </c>
      <c r="AF96" s="1">
        <v>15.2</v>
      </c>
      <c r="AG96" s="1">
        <v>12.6</v>
      </c>
      <c r="AH96" s="1">
        <v>7</v>
      </c>
      <c r="AI96" s="1">
        <v>4.4000000000000004</v>
      </c>
      <c r="AJ96" s="1">
        <v>14.2</v>
      </c>
      <c r="AK96" s="1"/>
      <c r="AL96" s="1">
        <f t="shared" si="26"/>
        <v>2</v>
      </c>
      <c r="AM96" s="1">
        <f t="shared" si="27"/>
        <v>0</v>
      </c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 t="s">
        <v>142</v>
      </c>
      <c r="B97" s="1" t="s">
        <v>43</v>
      </c>
      <c r="C97" s="1">
        <v>33</v>
      </c>
      <c r="D97" s="1">
        <v>36</v>
      </c>
      <c r="E97" s="1">
        <v>45</v>
      </c>
      <c r="F97" s="1">
        <v>15</v>
      </c>
      <c r="G97" s="7">
        <v>7.0000000000000007E-2</v>
      </c>
      <c r="H97" s="1">
        <v>90</v>
      </c>
      <c r="I97" s="9" t="s">
        <v>51</v>
      </c>
      <c r="J97" s="1"/>
      <c r="K97" s="1">
        <v>45</v>
      </c>
      <c r="L97" s="1">
        <f t="shared" si="20"/>
        <v>0</v>
      </c>
      <c r="M97" s="1"/>
      <c r="N97" s="1"/>
      <c r="O97" s="1">
        <v>20</v>
      </c>
      <c r="P97" s="1"/>
      <c r="Q97" s="1"/>
      <c r="R97" s="1">
        <v>30.599999999999991</v>
      </c>
      <c r="S97" s="21"/>
      <c r="T97" s="1">
        <f t="shared" si="21"/>
        <v>9</v>
      </c>
      <c r="U97" s="5">
        <f t="shared" ref="U97" si="33">12*T97-R97-Q97-P97-O97-F97</f>
        <v>42.400000000000006</v>
      </c>
      <c r="V97" s="5">
        <f t="shared" si="23"/>
        <v>42.400000000000006</v>
      </c>
      <c r="W97" s="5">
        <f t="shared" si="24"/>
        <v>42.400000000000006</v>
      </c>
      <c r="X97" s="5"/>
      <c r="Y97" s="1">
        <f t="shared" si="25"/>
        <v>12</v>
      </c>
      <c r="Z97" s="1">
        <f t="shared" si="22"/>
        <v>7.2888888888888879</v>
      </c>
      <c r="AA97" s="1">
        <v>8.6</v>
      </c>
      <c r="AB97" s="1">
        <v>4.2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7.2</v>
      </c>
      <c r="AK97" s="1"/>
      <c r="AL97" s="1">
        <f t="shared" si="26"/>
        <v>3</v>
      </c>
      <c r="AM97" s="1">
        <f t="shared" si="27"/>
        <v>0</v>
      </c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 t="s">
        <v>143</v>
      </c>
      <c r="B98" s="1" t="s">
        <v>43</v>
      </c>
      <c r="C98" s="1">
        <v>171</v>
      </c>
      <c r="D98" s="1">
        <v>108</v>
      </c>
      <c r="E98" s="1">
        <v>68</v>
      </c>
      <c r="F98" s="1">
        <v>199</v>
      </c>
      <c r="G98" s="7">
        <v>7.0000000000000007E-2</v>
      </c>
      <c r="H98" s="1">
        <v>90</v>
      </c>
      <c r="I98" s="9" t="s">
        <v>51</v>
      </c>
      <c r="J98" s="1"/>
      <c r="K98" s="1">
        <v>68</v>
      </c>
      <c r="L98" s="1">
        <f t="shared" si="20"/>
        <v>0</v>
      </c>
      <c r="M98" s="1"/>
      <c r="N98" s="1"/>
      <c r="O98" s="1">
        <v>0</v>
      </c>
      <c r="P98" s="1"/>
      <c r="Q98" s="1"/>
      <c r="R98" s="1">
        <v>0</v>
      </c>
      <c r="S98" s="21"/>
      <c r="T98" s="1">
        <f t="shared" si="21"/>
        <v>13.6</v>
      </c>
      <c r="U98" s="5"/>
      <c r="V98" s="5">
        <f t="shared" si="23"/>
        <v>0</v>
      </c>
      <c r="W98" s="5">
        <f t="shared" si="24"/>
        <v>0</v>
      </c>
      <c r="X98" s="5"/>
      <c r="Y98" s="1">
        <f t="shared" si="25"/>
        <v>14.632352941176471</v>
      </c>
      <c r="Z98" s="1">
        <f t="shared" si="22"/>
        <v>14.632352941176471</v>
      </c>
      <c r="AA98" s="1">
        <v>14.2</v>
      </c>
      <c r="AB98" s="1">
        <v>7</v>
      </c>
      <c r="AC98" s="1">
        <v>-0.2</v>
      </c>
      <c r="AD98" s="1">
        <v>10</v>
      </c>
      <c r="AE98" s="1">
        <v>17.2</v>
      </c>
      <c r="AF98" s="1">
        <v>13</v>
      </c>
      <c r="AG98" s="1">
        <v>12.2</v>
      </c>
      <c r="AH98" s="1">
        <v>9.1999999999999993</v>
      </c>
      <c r="AI98" s="1">
        <v>5</v>
      </c>
      <c r="AJ98" s="1">
        <v>11</v>
      </c>
      <c r="AK98" s="1"/>
      <c r="AL98" s="1">
        <f t="shared" si="26"/>
        <v>0</v>
      </c>
      <c r="AM98" s="1">
        <f t="shared" si="27"/>
        <v>0</v>
      </c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1" t="s">
        <v>144</v>
      </c>
      <c r="B99" s="11" t="s">
        <v>43</v>
      </c>
      <c r="C99" s="11">
        <v>7</v>
      </c>
      <c r="D99" s="11"/>
      <c r="E99" s="11">
        <v>-1</v>
      </c>
      <c r="F99" s="11">
        <v>7</v>
      </c>
      <c r="G99" s="12">
        <v>0</v>
      </c>
      <c r="H99" s="11">
        <v>90</v>
      </c>
      <c r="I99" s="11" t="s">
        <v>65</v>
      </c>
      <c r="J99" s="11"/>
      <c r="K99" s="11">
        <v>27</v>
      </c>
      <c r="L99" s="11">
        <f t="shared" si="20"/>
        <v>-28</v>
      </c>
      <c r="M99" s="11"/>
      <c r="N99" s="11"/>
      <c r="O99" s="11">
        <v>0</v>
      </c>
      <c r="P99" s="11"/>
      <c r="Q99" s="11"/>
      <c r="R99" s="11">
        <v>0</v>
      </c>
      <c r="S99" s="23"/>
      <c r="T99" s="11">
        <f t="shared" si="21"/>
        <v>-0.2</v>
      </c>
      <c r="U99" s="13"/>
      <c r="V99" s="5">
        <f t="shared" si="23"/>
        <v>0</v>
      </c>
      <c r="W99" s="5">
        <f t="shared" si="24"/>
        <v>0</v>
      </c>
      <c r="X99" s="5"/>
      <c r="Y99" s="1">
        <f t="shared" si="25"/>
        <v>-35</v>
      </c>
      <c r="Z99" s="11">
        <f t="shared" si="22"/>
        <v>-35</v>
      </c>
      <c r="AA99" s="11">
        <v>0</v>
      </c>
      <c r="AB99" s="11">
        <v>0</v>
      </c>
      <c r="AC99" s="11">
        <v>0</v>
      </c>
      <c r="AD99" s="11">
        <v>-0.2</v>
      </c>
      <c r="AE99" s="11">
        <v>-0.2</v>
      </c>
      <c r="AF99" s="11">
        <v>-0.2</v>
      </c>
      <c r="AG99" s="11">
        <v>-0.6</v>
      </c>
      <c r="AH99" s="11">
        <v>-0.4</v>
      </c>
      <c r="AI99" s="11">
        <v>0</v>
      </c>
      <c r="AJ99" s="11">
        <v>8.8000000000000007</v>
      </c>
      <c r="AK99" s="11"/>
      <c r="AL99" s="1">
        <f t="shared" si="26"/>
        <v>0</v>
      </c>
      <c r="AM99" s="1">
        <f t="shared" si="27"/>
        <v>0</v>
      </c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1" t="s">
        <v>145</v>
      </c>
      <c r="B100" s="11" t="s">
        <v>43</v>
      </c>
      <c r="C100" s="11">
        <v>1</v>
      </c>
      <c r="D100" s="11"/>
      <c r="E100" s="11">
        <v>-1</v>
      </c>
      <c r="F100" s="11">
        <v>1</v>
      </c>
      <c r="G100" s="12">
        <v>0</v>
      </c>
      <c r="H100" s="11"/>
      <c r="I100" s="11" t="s">
        <v>65</v>
      </c>
      <c r="J100" s="11"/>
      <c r="K100" s="11">
        <v>10</v>
      </c>
      <c r="L100" s="11">
        <f t="shared" si="20"/>
        <v>-11</v>
      </c>
      <c r="M100" s="11"/>
      <c r="N100" s="11"/>
      <c r="O100" s="11">
        <v>0</v>
      </c>
      <c r="P100" s="11"/>
      <c r="Q100" s="11"/>
      <c r="R100" s="11">
        <v>0</v>
      </c>
      <c r="S100" s="23"/>
      <c r="T100" s="11">
        <f t="shared" si="21"/>
        <v>-0.2</v>
      </c>
      <c r="U100" s="13"/>
      <c r="V100" s="5">
        <f t="shared" si="23"/>
        <v>0</v>
      </c>
      <c r="W100" s="5">
        <f t="shared" si="24"/>
        <v>0</v>
      </c>
      <c r="X100" s="5"/>
      <c r="Y100" s="1">
        <f t="shared" si="25"/>
        <v>-5</v>
      </c>
      <c r="Z100" s="11">
        <f t="shared" si="22"/>
        <v>-5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-0.2</v>
      </c>
      <c r="AG100" s="11">
        <v>-0.2</v>
      </c>
      <c r="AH100" s="11">
        <v>-0.2</v>
      </c>
      <c r="AI100" s="11">
        <v>-0.2</v>
      </c>
      <c r="AJ100" s="11">
        <v>-1.8</v>
      </c>
      <c r="AK100" s="11" t="s">
        <v>146</v>
      </c>
      <c r="AL100" s="1">
        <f t="shared" si="26"/>
        <v>0</v>
      </c>
      <c r="AM100" s="1">
        <f t="shared" si="27"/>
        <v>0</v>
      </c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 t="s">
        <v>147</v>
      </c>
      <c r="B101" s="1" t="s">
        <v>43</v>
      </c>
      <c r="C101" s="1"/>
      <c r="D101" s="1">
        <v>84</v>
      </c>
      <c r="E101" s="1">
        <v>83</v>
      </c>
      <c r="F101" s="1">
        <v>1</v>
      </c>
      <c r="G101" s="7">
        <v>0.3</v>
      </c>
      <c r="H101" s="1"/>
      <c r="I101" s="1" t="s">
        <v>39</v>
      </c>
      <c r="J101" s="1"/>
      <c r="K101" s="1">
        <v>82</v>
      </c>
      <c r="L101" s="1">
        <f t="shared" si="20"/>
        <v>1</v>
      </c>
      <c r="M101" s="1"/>
      <c r="N101" s="1"/>
      <c r="O101" s="1">
        <v>0</v>
      </c>
      <c r="P101" s="1"/>
      <c r="Q101" s="1"/>
      <c r="R101" s="1">
        <v>0</v>
      </c>
      <c r="S101" s="21"/>
      <c r="T101" s="1">
        <f t="shared" si="21"/>
        <v>16.600000000000001</v>
      </c>
      <c r="U101" s="5">
        <f>7*T101-R101-Q101-P101-O101-F101</f>
        <v>115.20000000000002</v>
      </c>
      <c r="V101" s="5">
        <f t="shared" si="23"/>
        <v>115.20000000000002</v>
      </c>
      <c r="W101" s="5">
        <f t="shared" si="24"/>
        <v>46.540800000000004</v>
      </c>
      <c r="X101" s="5">
        <f>V101*$X$1</f>
        <v>68.659200000000013</v>
      </c>
      <c r="Y101" s="1">
        <f t="shared" si="25"/>
        <v>7</v>
      </c>
      <c r="Z101" s="1">
        <f t="shared" si="22"/>
        <v>6.0240963855421679E-2</v>
      </c>
      <c r="AA101" s="1">
        <v>1.2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 t="s">
        <v>140</v>
      </c>
      <c r="AL101" s="1">
        <f t="shared" si="26"/>
        <v>14</v>
      </c>
      <c r="AM101" s="1">
        <f t="shared" si="27"/>
        <v>21</v>
      </c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1" t="s">
        <v>148</v>
      </c>
      <c r="B102" s="11" t="s">
        <v>38</v>
      </c>
      <c r="C102" s="11">
        <v>-3.173</v>
      </c>
      <c r="D102" s="11"/>
      <c r="E102" s="11"/>
      <c r="F102" s="11">
        <v>-3.173</v>
      </c>
      <c r="G102" s="12">
        <v>0</v>
      </c>
      <c r="H102" s="11"/>
      <c r="I102" s="11" t="s">
        <v>39</v>
      </c>
      <c r="J102" s="11"/>
      <c r="K102" s="11"/>
      <c r="L102" s="11">
        <f t="shared" ref="L102:L133" si="34">E102-K102</f>
        <v>0</v>
      </c>
      <c r="M102" s="11"/>
      <c r="N102" s="11"/>
      <c r="O102" s="11">
        <v>0</v>
      </c>
      <c r="P102" s="11"/>
      <c r="Q102" s="11"/>
      <c r="R102" s="11">
        <v>0</v>
      </c>
      <c r="S102" s="23"/>
      <c r="T102" s="11">
        <f t="shared" ref="T102:T134" si="35">E102/5</f>
        <v>0</v>
      </c>
      <c r="U102" s="13"/>
      <c r="V102" s="5">
        <f t="shared" si="23"/>
        <v>0</v>
      </c>
      <c r="W102" s="5">
        <f t="shared" si="24"/>
        <v>0</v>
      </c>
      <c r="X102" s="5"/>
      <c r="Y102" s="1" t="e">
        <f t="shared" si="25"/>
        <v>#DIV/0!</v>
      </c>
      <c r="Z102" s="11" t="e">
        <f t="shared" ref="Z102:Z134" si="36">(F102+O102+P102+Q102+R102)/T102</f>
        <v>#DIV/0!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-0.32</v>
      </c>
      <c r="AH102" s="11">
        <v>-0.32</v>
      </c>
      <c r="AI102" s="11">
        <v>-0.31919999999999998</v>
      </c>
      <c r="AJ102" s="11">
        <v>-0.31919999999999998</v>
      </c>
      <c r="AK102" s="11" t="s">
        <v>49</v>
      </c>
      <c r="AL102" s="1">
        <f t="shared" si="26"/>
        <v>0</v>
      </c>
      <c r="AM102" s="1">
        <f t="shared" si="27"/>
        <v>0</v>
      </c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1" t="s">
        <v>149</v>
      </c>
      <c r="B103" s="11" t="s">
        <v>43</v>
      </c>
      <c r="C103" s="11"/>
      <c r="D103" s="11"/>
      <c r="E103" s="11"/>
      <c r="F103" s="11"/>
      <c r="G103" s="12">
        <v>0</v>
      </c>
      <c r="H103" s="11"/>
      <c r="I103" s="11" t="s">
        <v>39</v>
      </c>
      <c r="J103" s="11"/>
      <c r="K103" s="11"/>
      <c r="L103" s="11">
        <f t="shared" si="34"/>
        <v>0</v>
      </c>
      <c r="M103" s="11"/>
      <c r="N103" s="11"/>
      <c r="O103" s="11">
        <v>0</v>
      </c>
      <c r="P103" s="11"/>
      <c r="Q103" s="11"/>
      <c r="R103" s="11">
        <v>0</v>
      </c>
      <c r="S103" s="23"/>
      <c r="T103" s="11">
        <f t="shared" si="35"/>
        <v>0</v>
      </c>
      <c r="U103" s="13"/>
      <c r="V103" s="5">
        <f t="shared" si="23"/>
        <v>0</v>
      </c>
      <c r="W103" s="5">
        <f t="shared" si="24"/>
        <v>0</v>
      </c>
      <c r="X103" s="5"/>
      <c r="Y103" s="1" t="e">
        <f t="shared" si="25"/>
        <v>#DIV/0!</v>
      </c>
      <c r="Z103" s="11" t="e">
        <f t="shared" si="36"/>
        <v>#DIV/0!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 t="s">
        <v>49</v>
      </c>
      <c r="AL103" s="1">
        <f t="shared" si="26"/>
        <v>0</v>
      </c>
      <c r="AM103" s="1">
        <f t="shared" si="27"/>
        <v>0</v>
      </c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1" t="s">
        <v>150</v>
      </c>
      <c r="B104" s="11" t="s">
        <v>43</v>
      </c>
      <c r="C104" s="11"/>
      <c r="D104" s="11"/>
      <c r="E104" s="11"/>
      <c r="F104" s="11"/>
      <c r="G104" s="12">
        <v>0</v>
      </c>
      <c r="H104" s="11"/>
      <c r="I104" s="11" t="s">
        <v>39</v>
      </c>
      <c r="J104" s="11"/>
      <c r="K104" s="11"/>
      <c r="L104" s="11">
        <f t="shared" si="34"/>
        <v>0</v>
      </c>
      <c r="M104" s="11"/>
      <c r="N104" s="11"/>
      <c r="O104" s="11">
        <v>0</v>
      </c>
      <c r="P104" s="11"/>
      <c r="Q104" s="11"/>
      <c r="R104" s="11">
        <v>0</v>
      </c>
      <c r="S104" s="23"/>
      <c r="T104" s="11">
        <f t="shared" si="35"/>
        <v>0</v>
      </c>
      <c r="U104" s="13"/>
      <c r="V104" s="5">
        <f t="shared" si="23"/>
        <v>0</v>
      </c>
      <c r="W104" s="5">
        <f t="shared" si="24"/>
        <v>0</v>
      </c>
      <c r="X104" s="5"/>
      <c r="Y104" s="1" t="e">
        <f t="shared" si="25"/>
        <v>#DIV/0!</v>
      </c>
      <c r="Z104" s="11" t="e">
        <f t="shared" si="36"/>
        <v>#DIV/0!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11">
        <v>0</v>
      </c>
      <c r="AJ104" s="11">
        <v>0</v>
      </c>
      <c r="AK104" s="11" t="s">
        <v>49</v>
      </c>
      <c r="AL104" s="1">
        <f t="shared" si="26"/>
        <v>0</v>
      </c>
      <c r="AM104" s="1">
        <f t="shared" si="27"/>
        <v>0</v>
      </c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 t="s">
        <v>151</v>
      </c>
      <c r="B105" s="1" t="s">
        <v>43</v>
      </c>
      <c r="C105" s="1">
        <v>201</v>
      </c>
      <c r="D105" s="1">
        <v>100</v>
      </c>
      <c r="E105" s="1">
        <v>128</v>
      </c>
      <c r="F105" s="1">
        <v>166</v>
      </c>
      <c r="G105" s="7">
        <v>0.08</v>
      </c>
      <c r="H105" s="1">
        <v>45</v>
      </c>
      <c r="I105" s="1" t="s">
        <v>39</v>
      </c>
      <c r="J105" s="1"/>
      <c r="K105" s="1">
        <v>123</v>
      </c>
      <c r="L105" s="1">
        <f t="shared" si="34"/>
        <v>5</v>
      </c>
      <c r="M105" s="1"/>
      <c r="N105" s="1"/>
      <c r="O105" s="1">
        <v>0</v>
      </c>
      <c r="P105" s="1"/>
      <c r="Q105" s="1"/>
      <c r="R105" s="1">
        <v>35.199999999999989</v>
      </c>
      <c r="S105" s="21"/>
      <c r="T105" s="1">
        <f t="shared" si="35"/>
        <v>25.6</v>
      </c>
      <c r="U105" s="5">
        <f t="shared" ref="U105:U106" si="37">12*T105-R105-Q105-P105-O105-F105</f>
        <v>106.00000000000006</v>
      </c>
      <c r="V105" s="5">
        <f t="shared" si="23"/>
        <v>106.00000000000006</v>
      </c>
      <c r="W105" s="5">
        <f t="shared" si="24"/>
        <v>42.824000000000026</v>
      </c>
      <c r="X105" s="5">
        <f>V105*$X$1</f>
        <v>63.17600000000003</v>
      </c>
      <c r="Y105" s="1">
        <f t="shared" si="25"/>
        <v>12.000000000000002</v>
      </c>
      <c r="Z105" s="1">
        <f t="shared" si="36"/>
        <v>7.8593749999999991</v>
      </c>
      <c r="AA105" s="1">
        <v>25.2</v>
      </c>
      <c r="AB105" s="1">
        <v>14</v>
      </c>
      <c r="AC105" s="1">
        <v>0.6</v>
      </c>
      <c r="AD105" s="1">
        <v>11.2</v>
      </c>
      <c r="AE105" s="1">
        <v>23.6</v>
      </c>
      <c r="AF105" s="1">
        <v>19</v>
      </c>
      <c r="AG105" s="1">
        <v>14.6</v>
      </c>
      <c r="AH105" s="1">
        <v>11.6</v>
      </c>
      <c r="AI105" s="1">
        <v>5.4</v>
      </c>
      <c r="AJ105" s="1">
        <v>13.6</v>
      </c>
      <c r="AK105" s="1"/>
      <c r="AL105" s="1">
        <f t="shared" si="26"/>
        <v>3</v>
      </c>
      <c r="AM105" s="1">
        <f t="shared" si="27"/>
        <v>5</v>
      </c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 t="s">
        <v>152</v>
      </c>
      <c r="B106" s="1" t="s">
        <v>43</v>
      </c>
      <c r="C106" s="1">
        <v>113</v>
      </c>
      <c r="D106" s="1">
        <v>200</v>
      </c>
      <c r="E106" s="1">
        <v>149</v>
      </c>
      <c r="F106" s="1">
        <v>145</v>
      </c>
      <c r="G106" s="7">
        <v>0.08</v>
      </c>
      <c r="H106" s="1">
        <v>45</v>
      </c>
      <c r="I106" s="1" t="s">
        <v>39</v>
      </c>
      <c r="J106" s="1"/>
      <c r="K106" s="1">
        <v>146</v>
      </c>
      <c r="L106" s="1">
        <f t="shared" si="34"/>
        <v>3</v>
      </c>
      <c r="M106" s="1"/>
      <c r="N106" s="1"/>
      <c r="O106" s="1">
        <v>0</v>
      </c>
      <c r="P106" s="1"/>
      <c r="Q106" s="1"/>
      <c r="R106" s="1">
        <v>114</v>
      </c>
      <c r="S106" s="21"/>
      <c r="T106" s="1">
        <f t="shared" si="35"/>
        <v>29.8</v>
      </c>
      <c r="U106" s="5">
        <f t="shared" si="37"/>
        <v>98.600000000000023</v>
      </c>
      <c r="V106" s="5">
        <f t="shared" si="23"/>
        <v>98.600000000000023</v>
      </c>
      <c r="W106" s="5">
        <f t="shared" si="24"/>
        <v>98.600000000000023</v>
      </c>
      <c r="X106" s="5"/>
      <c r="Y106" s="1">
        <f t="shared" si="25"/>
        <v>12</v>
      </c>
      <c r="Z106" s="1">
        <f t="shared" si="36"/>
        <v>8.6912751677852356</v>
      </c>
      <c r="AA106" s="1">
        <v>31</v>
      </c>
      <c r="AB106" s="1">
        <v>18.2</v>
      </c>
      <c r="AC106" s="1">
        <v>11</v>
      </c>
      <c r="AD106" s="1">
        <v>21</v>
      </c>
      <c r="AE106" s="1">
        <v>22.2</v>
      </c>
      <c r="AF106" s="1">
        <v>14.4</v>
      </c>
      <c r="AG106" s="1">
        <v>15.6</v>
      </c>
      <c r="AH106" s="1">
        <v>9.8000000000000007</v>
      </c>
      <c r="AI106" s="1">
        <v>4.2</v>
      </c>
      <c r="AJ106" s="1">
        <v>18</v>
      </c>
      <c r="AK106" s="1" t="s">
        <v>82</v>
      </c>
      <c r="AL106" s="1">
        <f t="shared" si="26"/>
        <v>8</v>
      </c>
      <c r="AM106" s="1">
        <f t="shared" si="27"/>
        <v>0</v>
      </c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1" t="s">
        <v>153</v>
      </c>
      <c r="B107" s="11" t="s">
        <v>43</v>
      </c>
      <c r="C107" s="11"/>
      <c r="D107" s="11"/>
      <c r="E107" s="11"/>
      <c r="F107" s="11"/>
      <c r="G107" s="12">
        <v>0</v>
      </c>
      <c r="H107" s="11"/>
      <c r="I107" s="11" t="s">
        <v>39</v>
      </c>
      <c r="J107" s="11"/>
      <c r="K107" s="11"/>
      <c r="L107" s="11">
        <f t="shared" si="34"/>
        <v>0</v>
      </c>
      <c r="M107" s="11"/>
      <c r="N107" s="11"/>
      <c r="O107" s="11">
        <v>0</v>
      </c>
      <c r="P107" s="11"/>
      <c r="Q107" s="11"/>
      <c r="R107" s="11">
        <v>0</v>
      </c>
      <c r="S107" s="23"/>
      <c r="T107" s="11">
        <f t="shared" si="35"/>
        <v>0</v>
      </c>
      <c r="U107" s="13"/>
      <c r="V107" s="5">
        <f t="shared" si="23"/>
        <v>0</v>
      </c>
      <c r="W107" s="5">
        <f t="shared" si="24"/>
        <v>0</v>
      </c>
      <c r="X107" s="5"/>
      <c r="Y107" s="1" t="e">
        <f t="shared" si="25"/>
        <v>#DIV/0!</v>
      </c>
      <c r="Z107" s="11" t="e">
        <f t="shared" si="36"/>
        <v>#DIV/0!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 t="s">
        <v>49</v>
      </c>
      <c r="AL107" s="1">
        <f t="shared" si="26"/>
        <v>0</v>
      </c>
      <c r="AM107" s="1">
        <f t="shared" si="27"/>
        <v>0</v>
      </c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 t="s">
        <v>154</v>
      </c>
      <c r="B108" s="1" t="s">
        <v>38</v>
      </c>
      <c r="C108" s="1">
        <v>-1.371</v>
      </c>
      <c r="D108" s="1">
        <v>106.367</v>
      </c>
      <c r="E108" s="1">
        <v>87.661000000000001</v>
      </c>
      <c r="F108" s="1">
        <v>6.7000000000000004E-2</v>
      </c>
      <c r="G108" s="7">
        <v>1</v>
      </c>
      <c r="H108" s="1">
        <v>40</v>
      </c>
      <c r="I108" s="9" t="s">
        <v>51</v>
      </c>
      <c r="J108" s="1"/>
      <c r="K108" s="1">
        <v>153.69999999999999</v>
      </c>
      <c r="L108" s="1">
        <f t="shared" si="34"/>
        <v>-66.038999999999987</v>
      </c>
      <c r="M108" s="1"/>
      <c r="N108" s="1"/>
      <c r="O108" s="1">
        <v>150</v>
      </c>
      <c r="P108" s="1">
        <v>-150.5</v>
      </c>
      <c r="Q108" s="1"/>
      <c r="R108" s="1">
        <v>100</v>
      </c>
      <c r="S108" s="21"/>
      <c r="T108" s="1">
        <f t="shared" si="35"/>
        <v>17.5322</v>
      </c>
      <c r="U108" s="5">
        <v>100</v>
      </c>
      <c r="V108" s="5">
        <f t="shared" si="23"/>
        <v>100</v>
      </c>
      <c r="W108" s="5">
        <f t="shared" si="24"/>
        <v>100</v>
      </c>
      <c r="X108" s="5"/>
      <c r="Y108" s="1">
        <f t="shared" si="25"/>
        <v>11.382884064749433</v>
      </c>
      <c r="Z108" s="1">
        <f t="shared" si="36"/>
        <v>5.679093325424077</v>
      </c>
      <c r="AA108" s="1">
        <v>21.331199999999999</v>
      </c>
      <c r="AB108" s="1">
        <v>16.2516</v>
      </c>
      <c r="AC108" s="1">
        <v>0.43880000000000002</v>
      </c>
      <c r="AD108" s="1">
        <v>18.152000000000001</v>
      </c>
      <c r="AE108" s="1">
        <v>37.6066</v>
      </c>
      <c r="AF108" s="1">
        <v>48.525799999999997</v>
      </c>
      <c r="AG108" s="1">
        <v>48.293199999999999</v>
      </c>
      <c r="AH108" s="1">
        <v>40.6768</v>
      </c>
      <c r="AI108" s="1">
        <v>32.158000000000001</v>
      </c>
      <c r="AJ108" s="1">
        <v>35.068199999999997</v>
      </c>
      <c r="AK108" s="1"/>
      <c r="AL108" s="1">
        <f t="shared" si="26"/>
        <v>100</v>
      </c>
      <c r="AM108" s="1">
        <f t="shared" si="27"/>
        <v>0</v>
      </c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 t="s">
        <v>155</v>
      </c>
      <c r="B109" s="1" t="s">
        <v>38</v>
      </c>
      <c r="C109" s="1">
        <v>-6.75</v>
      </c>
      <c r="D109" s="1">
        <v>108.137</v>
      </c>
      <c r="E109" s="1">
        <v>92.977000000000004</v>
      </c>
      <c r="F109" s="1">
        <v>-0.28399999999999997</v>
      </c>
      <c r="G109" s="7">
        <v>1</v>
      </c>
      <c r="H109" s="1">
        <v>40</v>
      </c>
      <c r="I109" s="9" t="s">
        <v>51</v>
      </c>
      <c r="J109" s="1"/>
      <c r="K109" s="1">
        <v>165.5</v>
      </c>
      <c r="L109" s="1">
        <f t="shared" si="34"/>
        <v>-72.522999999999996</v>
      </c>
      <c r="M109" s="1"/>
      <c r="N109" s="1"/>
      <c r="O109" s="1">
        <v>150</v>
      </c>
      <c r="P109" s="1"/>
      <c r="Q109" s="1"/>
      <c r="R109" s="1">
        <v>20</v>
      </c>
      <c r="S109" s="21"/>
      <c r="T109" s="1">
        <f t="shared" si="35"/>
        <v>18.595400000000001</v>
      </c>
      <c r="U109" s="5">
        <v>100</v>
      </c>
      <c r="V109" s="5">
        <f t="shared" si="23"/>
        <v>100</v>
      </c>
      <c r="W109" s="5">
        <f t="shared" si="24"/>
        <v>100</v>
      </c>
      <c r="X109" s="5"/>
      <c r="Y109" s="1">
        <f t="shared" si="25"/>
        <v>14.504447336438043</v>
      </c>
      <c r="Z109" s="1">
        <f t="shared" si="36"/>
        <v>9.1267732880174659</v>
      </c>
      <c r="AA109" s="1">
        <v>14.566599999999999</v>
      </c>
      <c r="AB109" s="1">
        <v>10.164199999999999</v>
      </c>
      <c r="AC109" s="1">
        <v>1.1066</v>
      </c>
      <c r="AD109" s="1">
        <v>18.8582</v>
      </c>
      <c r="AE109" s="1">
        <v>41.940399999999997</v>
      </c>
      <c r="AF109" s="1">
        <v>51.450800000000001</v>
      </c>
      <c r="AG109" s="1">
        <v>46.6586</v>
      </c>
      <c r="AH109" s="1">
        <v>38.007399999999997</v>
      </c>
      <c r="AI109" s="1">
        <v>31.772600000000001</v>
      </c>
      <c r="AJ109" s="1">
        <v>34.806199999999997</v>
      </c>
      <c r="AK109" s="1"/>
      <c r="AL109" s="1">
        <f t="shared" si="26"/>
        <v>100</v>
      </c>
      <c r="AM109" s="1">
        <f t="shared" si="27"/>
        <v>0</v>
      </c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 t="s">
        <v>156</v>
      </c>
      <c r="B110" s="1" t="s">
        <v>38</v>
      </c>
      <c r="C110" s="1">
        <v>8.0519999999999996</v>
      </c>
      <c r="D110" s="1"/>
      <c r="E110" s="1">
        <v>-4.2770000000000001</v>
      </c>
      <c r="F110" s="1">
        <v>8.0519999999999996</v>
      </c>
      <c r="G110" s="7">
        <v>1</v>
      </c>
      <c r="H110" s="1">
        <v>40</v>
      </c>
      <c r="I110" s="9" t="s">
        <v>51</v>
      </c>
      <c r="J110" s="1"/>
      <c r="K110" s="1">
        <v>106.4</v>
      </c>
      <c r="L110" s="1">
        <f t="shared" si="34"/>
        <v>-110.67700000000001</v>
      </c>
      <c r="M110" s="1"/>
      <c r="N110" s="1"/>
      <c r="O110" s="1">
        <v>200</v>
      </c>
      <c r="P110" s="1">
        <v>-203</v>
      </c>
      <c r="Q110" s="1"/>
      <c r="R110" s="1">
        <v>150</v>
      </c>
      <c r="S110" s="21"/>
      <c r="T110" s="1">
        <f t="shared" si="35"/>
        <v>-0.85540000000000005</v>
      </c>
      <c r="U110" s="5">
        <v>150</v>
      </c>
      <c r="V110" s="5">
        <f t="shared" si="23"/>
        <v>150</v>
      </c>
      <c r="W110" s="5">
        <f t="shared" si="24"/>
        <v>150</v>
      </c>
      <c r="X110" s="5"/>
      <c r="Y110" s="1">
        <f t="shared" si="25"/>
        <v>-356.6191255552958</v>
      </c>
      <c r="Z110" s="1">
        <f t="shared" si="36"/>
        <v>-181.26256722001401</v>
      </c>
      <c r="AA110" s="1">
        <v>-0.56600000000000006</v>
      </c>
      <c r="AB110" s="1">
        <v>-0.42</v>
      </c>
      <c r="AC110" s="1">
        <v>-0.42220000000000002</v>
      </c>
      <c r="AD110" s="1">
        <v>-1.1372</v>
      </c>
      <c r="AE110" s="1">
        <v>-1.2682</v>
      </c>
      <c r="AF110" s="1">
        <v>29.753599999999999</v>
      </c>
      <c r="AG110" s="1">
        <v>60.248199999999997</v>
      </c>
      <c r="AH110" s="1">
        <v>61.4514</v>
      </c>
      <c r="AI110" s="1">
        <v>45.332599999999999</v>
      </c>
      <c r="AJ110" s="1">
        <v>44.720799999999997</v>
      </c>
      <c r="AK110" s="1"/>
      <c r="AL110" s="1">
        <f t="shared" si="26"/>
        <v>150</v>
      </c>
      <c r="AM110" s="1">
        <f t="shared" si="27"/>
        <v>0</v>
      </c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1" t="s">
        <v>157</v>
      </c>
      <c r="B111" s="11" t="s">
        <v>43</v>
      </c>
      <c r="C111" s="11"/>
      <c r="D111" s="11"/>
      <c r="E111" s="11"/>
      <c r="F111" s="11"/>
      <c r="G111" s="12">
        <v>0</v>
      </c>
      <c r="H111" s="11"/>
      <c r="I111" s="11" t="s">
        <v>39</v>
      </c>
      <c r="J111" s="11"/>
      <c r="K111" s="11"/>
      <c r="L111" s="11">
        <f t="shared" si="34"/>
        <v>0</v>
      </c>
      <c r="M111" s="11"/>
      <c r="N111" s="11"/>
      <c r="O111" s="11">
        <v>0</v>
      </c>
      <c r="P111" s="11"/>
      <c r="Q111" s="11"/>
      <c r="R111" s="11">
        <v>0</v>
      </c>
      <c r="S111" s="23"/>
      <c r="T111" s="11">
        <f t="shared" si="35"/>
        <v>0</v>
      </c>
      <c r="U111" s="13"/>
      <c r="V111" s="5">
        <f t="shared" si="23"/>
        <v>0</v>
      </c>
      <c r="W111" s="5">
        <f t="shared" si="24"/>
        <v>0</v>
      </c>
      <c r="X111" s="5"/>
      <c r="Y111" s="1" t="e">
        <f t="shared" si="25"/>
        <v>#DIV/0!</v>
      </c>
      <c r="Z111" s="11" t="e">
        <f t="shared" si="36"/>
        <v>#DIV/0!</v>
      </c>
      <c r="AA111" s="11">
        <v>0</v>
      </c>
      <c r="AB111" s="11">
        <v>0</v>
      </c>
      <c r="AC111" s="11">
        <v>0</v>
      </c>
      <c r="AD111" s="11">
        <v>0</v>
      </c>
      <c r="AE111" s="11">
        <v>0</v>
      </c>
      <c r="AF111" s="11">
        <v>0</v>
      </c>
      <c r="AG111" s="11">
        <v>0</v>
      </c>
      <c r="AH111" s="11">
        <v>0</v>
      </c>
      <c r="AI111" s="11">
        <v>0</v>
      </c>
      <c r="AJ111" s="11">
        <v>0</v>
      </c>
      <c r="AK111" s="11" t="s">
        <v>49</v>
      </c>
      <c r="AL111" s="1">
        <f t="shared" si="26"/>
        <v>0</v>
      </c>
      <c r="AM111" s="1">
        <f t="shared" si="27"/>
        <v>0</v>
      </c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1" t="s">
        <v>158</v>
      </c>
      <c r="B112" s="11" t="s">
        <v>43</v>
      </c>
      <c r="C112" s="11"/>
      <c r="D112" s="11"/>
      <c r="E112" s="11"/>
      <c r="F112" s="11"/>
      <c r="G112" s="12">
        <v>0</v>
      </c>
      <c r="H112" s="11"/>
      <c r="I112" s="11" t="s">
        <v>39</v>
      </c>
      <c r="J112" s="11"/>
      <c r="K112" s="11"/>
      <c r="L112" s="11">
        <f t="shared" si="34"/>
        <v>0</v>
      </c>
      <c r="M112" s="11"/>
      <c r="N112" s="11"/>
      <c r="O112" s="11">
        <v>0</v>
      </c>
      <c r="P112" s="11"/>
      <c r="Q112" s="11"/>
      <c r="R112" s="11">
        <v>0</v>
      </c>
      <c r="S112" s="23"/>
      <c r="T112" s="11">
        <f t="shared" si="35"/>
        <v>0</v>
      </c>
      <c r="U112" s="13"/>
      <c r="V112" s="5">
        <f t="shared" si="23"/>
        <v>0</v>
      </c>
      <c r="W112" s="5">
        <f t="shared" si="24"/>
        <v>0</v>
      </c>
      <c r="X112" s="5"/>
      <c r="Y112" s="1" t="e">
        <f t="shared" si="25"/>
        <v>#DIV/0!</v>
      </c>
      <c r="Z112" s="11" t="e">
        <f t="shared" si="36"/>
        <v>#DIV/0!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 t="s">
        <v>49</v>
      </c>
      <c r="AL112" s="1">
        <f t="shared" si="26"/>
        <v>0</v>
      </c>
      <c r="AM112" s="1">
        <f t="shared" si="27"/>
        <v>0</v>
      </c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 t="s">
        <v>159</v>
      </c>
      <c r="B113" s="1" t="s">
        <v>43</v>
      </c>
      <c r="C113" s="1">
        <v>23</v>
      </c>
      <c r="D113" s="1">
        <v>103</v>
      </c>
      <c r="E113" s="1">
        <v>114</v>
      </c>
      <c r="F113" s="1">
        <v>7</v>
      </c>
      <c r="G113" s="7">
        <v>0.28000000000000003</v>
      </c>
      <c r="H113" s="1">
        <v>40</v>
      </c>
      <c r="I113" s="9" t="s">
        <v>51</v>
      </c>
      <c r="J113" s="1"/>
      <c r="K113" s="1">
        <v>237</v>
      </c>
      <c r="L113" s="1">
        <f t="shared" si="34"/>
        <v>-123</v>
      </c>
      <c r="M113" s="1"/>
      <c r="N113" s="1"/>
      <c r="O113" s="1">
        <v>200</v>
      </c>
      <c r="P113" s="1"/>
      <c r="Q113" s="1"/>
      <c r="R113" s="1">
        <v>137.80000000000001</v>
      </c>
      <c r="S113" s="21"/>
      <c r="T113" s="1">
        <f t="shared" si="35"/>
        <v>22.8</v>
      </c>
      <c r="U113" s="5">
        <v>80</v>
      </c>
      <c r="V113" s="5">
        <f t="shared" si="23"/>
        <v>80</v>
      </c>
      <c r="W113" s="5">
        <f t="shared" si="24"/>
        <v>80</v>
      </c>
      <c r="X113" s="5"/>
      <c r="Y113" s="1">
        <f t="shared" si="25"/>
        <v>18.631578947368421</v>
      </c>
      <c r="Z113" s="1">
        <f t="shared" si="36"/>
        <v>15.12280701754386</v>
      </c>
      <c r="AA113" s="1">
        <v>33.799999999999997</v>
      </c>
      <c r="AB113" s="1">
        <v>17.8</v>
      </c>
      <c r="AC113" s="1">
        <v>-1.2</v>
      </c>
      <c r="AD113" s="1">
        <v>19.2</v>
      </c>
      <c r="AE113" s="1">
        <v>56.6</v>
      </c>
      <c r="AF113" s="1">
        <v>41</v>
      </c>
      <c r="AG113" s="1">
        <v>1</v>
      </c>
      <c r="AH113" s="1">
        <v>-2</v>
      </c>
      <c r="AI113" s="1">
        <v>7</v>
      </c>
      <c r="AJ113" s="1">
        <v>46</v>
      </c>
      <c r="AK113" s="1"/>
      <c r="AL113" s="1">
        <f t="shared" si="26"/>
        <v>22</v>
      </c>
      <c r="AM113" s="1">
        <f t="shared" si="27"/>
        <v>0</v>
      </c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 t="s">
        <v>160</v>
      </c>
      <c r="B114" s="1" t="s">
        <v>43</v>
      </c>
      <c r="C114" s="1">
        <v>2</v>
      </c>
      <c r="D114" s="1">
        <v>105</v>
      </c>
      <c r="E114" s="1">
        <v>96</v>
      </c>
      <c r="F114" s="1">
        <v>3</v>
      </c>
      <c r="G114" s="7">
        <v>0.28000000000000003</v>
      </c>
      <c r="H114" s="1">
        <v>40</v>
      </c>
      <c r="I114" s="9" t="s">
        <v>51</v>
      </c>
      <c r="J114" s="1"/>
      <c r="K114" s="1">
        <v>163</v>
      </c>
      <c r="L114" s="1">
        <f t="shared" si="34"/>
        <v>-67</v>
      </c>
      <c r="M114" s="1"/>
      <c r="N114" s="1"/>
      <c r="O114" s="1">
        <v>200</v>
      </c>
      <c r="P114" s="1">
        <v>-204</v>
      </c>
      <c r="Q114" s="1"/>
      <c r="R114" s="1">
        <v>150</v>
      </c>
      <c r="S114" s="21"/>
      <c r="T114" s="1">
        <f t="shared" si="35"/>
        <v>19.2</v>
      </c>
      <c r="U114" s="5">
        <v>150</v>
      </c>
      <c r="V114" s="5">
        <f t="shared" si="23"/>
        <v>150</v>
      </c>
      <c r="W114" s="5">
        <f t="shared" si="24"/>
        <v>150</v>
      </c>
      <c r="X114" s="5"/>
      <c r="Y114" s="1">
        <f t="shared" si="25"/>
        <v>15.572916666666668</v>
      </c>
      <c r="Z114" s="1">
        <f t="shared" si="36"/>
        <v>7.760416666666667</v>
      </c>
      <c r="AA114" s="1">
        <v>21.2</v>
      </c>
      <c r="AB114" s="1">
        <v>13.8</v>
      </c>
      <c r="AC114" s="1">
        <v>-0.6</v>
      </c>
      <c r="AD114" s="1">
        <v>-1</v>
      </c>
      <c r="AE114" s="1">
        <v>-2.4</v>
      </c>
      <c r="AF114" s="1">
        <v>-2.4</v>
      </c>
      <c r="AG114" s="1">
        <v>1</v>
      </c>
      <c r="AH114" s="1">
        <v>22.4</v>
      </c>
      <c r="AI114" s="1">
        <v>34.6</v>
      </c>
      <c r="AJ114" s="1">
        <v>45.2</v>
      </c>
      <c r="AK114" s="1"/>
      <c r="AL114" s="1">
        <f t="shared" si="26"/>
        <v>42</v>
      </c>
      <c r="AM114" s="1">
        <f t="shared" si="27"/>
        <v>0</v>
      </c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 t="s">
        <v>161</v>
      </c>
      <c r="B115" s="1" t="s">
        <v>43</v>
      </c>
      <c r="C115" s="1">
        <v>-7</v>
      </c>
      <c r="D115" s="1">
        <v>87</v>
      </c>
      <c r="E115" s="1">
        <v>76</v>
      </c>
      <c r="F115" s="1">
        <v>-4</v>
      </c>
      <c r="G115" s="7">
        <v>0.28000000000000003</v>
      </c>
      <c r="H115" s="1">
        <v>40</v>
      </c>
      <c r="I115" s="9" t="s">
        <v>51</v>
      </c>
      <c r="J115" s="1"/>
      <c r="K115" s="1">
        <v>129</v>
      </c>
      <c r="L115" s="1">
        <f t="shared" si="34"/>
        <v>-53</v>
      </c>
      <c r="M115" s="1"/>
      <c r="N115" s="1"/>
      <c r="O115" s="1">
        <v>200</v>
      </c>
      <c r="P115" s="1">
        <v>-204</v>
      </c>
      <c r="Q115" s="1"/>
      <c r="R115" s="1">
        <v>150</v>
      </c>
      <c r="S115" s="21"/>
      <c r="T115" s="1">
        <f t="shared" si="35"/>
        <v>15.2</v>
      </c>
      <c r="U115" s="5">
        <v>100</v>
      </c>
      <c r="V115" s="5">
        <f t="shared" si="23"/>
        <v>100</v>
      </c>
      <c r="W115" s="5">
        <f t="shared" si="24"/>
        <v>100</v>
      </c>
      <c r="X115" s="5"/>
      <c r="Y115" s="1">
        <f t="shared" si="25"/>
        <v>15.921052631578949</v>
      </c>
      <c r="Z115" s="1">
        <f t="shared" si="36"/>
        <v>9.3421052631578956</v>
      </c>
      <c r="AA115" s="1">
        <v>19</v>
      </c>
      <c r="AB115" s="1">
        <v>13.2</v>
      </c>
      <c r="AC115" s="1">
        <v>8</v>
      </c>
      <c r="AD115" s="1">
        <v>42.2</v>
      </c>
      <c r="AE115" s="1">
        <v>68.2</v>
      </c>
      <c r="AF115" s="1">
        <v>49.2</v>
      </c>
      <c r="AG115" s="1">
        <v>33</v>
      </c>
      <c r="AH115" s="1">
        <v>39.200000000000003</v>
      </c>
      <c r="AI115" s="1">
        <v>30.6</v>
      </c>
      <c r="AJ115" s="1">
        <v>43.4</v>
      </c>
      <c r="AK115" s="1"/>
      <c r="AL115" s="1">
        <f t="shared" si="26"/>
        <v>28</v>
      </c>
      <c r="AM115" s="1">
        <f t="shared" si="27"/>
        <v>0</v>
      </c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1" t="s">
        <v>162</v>
      </c>
      <c r="B116" s="11" t="s">
        <v>43</v>
      </c>
      <c r="C116" s="11"/>
      <c r="D116" s="11"/>
      <c r="E116" s="11"/>
      <c r="F116" s="11"/>
      <c r="G116" s="12">
        <v>0</v>
      </c>
      <c r="H116" s="11"/>
      <c r="I116" s="11" t="s">
        <v>39</v>
      </c>
      <c r="J116" s="11"/>
      <c r="K116" s="11"/>
      <c r="L116" s="11">
        <f t="shared" si="34"/>
        <v>0</v>
      </c>
      <c r="M116" s="11"/>
      <c r="N116" s="11"/>
      <c r="O116" s="11">
        <v>0</v>
      </c>
      <c r="P116" s="11"/>
      <c r="Q116" s="11"/>
      <c r="R116" s="11">
        <v>0</v>
      </c>
      <c r="S116" s="23"/>
      <c r="T116" s="11">
        <f t="shared" si="35"/>
        <v>0</v>
      </c>
      <c r="U116" s="13"/>
      <c r="V116" s="5">
        <f t="shared" si="23"/>
        <v>0</v>
      </c>
      <c r="W116" s="5">
        <f t="shared" si="24"/>
        <v>0</v>
      </c>
      <c r="X116" s="5"/>
      <c r="Y116" s="1" t="e">
        <f t="shared" si="25"/>
        <v>#DIV/0!</v>
      </c>
      <c r="Z116" s="11" t="e">
        <f t="shared" si="36"/>
        <v>#DIV/0!</v>
      </c>
      <c r="AA116" s="11">
        <v>0</v>
      </c>
      <c r="AB116" s="11">
        <v>0</v>
      </c>
      <c r="AC116" s="11">
        <v>0</v>
      </c>
      <c r="AD116" s="11">
        <v>0</v>
      </c>
      <c r="AE116" s="11">
        <v>0</v>
      </c>
      <c r="AF116" s="11">
        <v>0</v>
      </c>
      <c r="AG116" s="11">
        <v>0</v>
      </c>
      <c r="AH116" s="11">
        <v>0</v>
      </c>
      <c r="AI116" s="11">
        <v>0</v>
      </c>
      <c r="AJ116" s="11">
        <v>0</v>
      </c>
      <c r="AK116" s="11" t="s">
        <v>49</v>
      </c>
      <c r="AL116" s="1">
        <f t="shared" si="26"/>
        <v>0</v>
      </c>
      <c r="AM116" s="1">
        <f t="shared" si="27"/>
        <v>0</v>
      </c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 t="s">
        <v>163</v>
      </c>
      <c r="B117" s="1" t="s">
        <v>38</v>
      </c>
      <c r="C117" s="1">
        <v>144.423</v>
      </c>
      <c r="D117" s="1"/>
      <c r="E117" s="1">
        <v>34.146999999999998</v>
      </c>
      <c r="F117" s="1">
        <v>99.305999999999997</v>
      </c>
      <c r="G117" s="7">
        <v>1</v>
      </c>
      <c r="H117" s="1">
        <v>60</v>
      </c>
      <c r="I117" s="1" t="s">
        <v>39</v>
      </c>
      <c r="J117" s="1"/>
      <c r="K117" s="1">
        <v>35</v>
      </c>
      <c r="L117" s="1">
        <f t="shared" si="34"/>
        <v>-0.85300000000000153</v>
      </c>
      <c r="M117" s="1"/>
      <c r="N117" s="1"/>
      <c r="O117" s="1">
        <v>0</v>
      </c>
      <c r="P117" s="1"/>
      <c r="Q117" s="1"/>
      <c r="R117" s="1">
        <v>0</v>
      </c>
      <c r="S117" s="21"/>
      <c r="T117" s="1">
        <f t="shared" si="35"/>
        <v>6.8293999999999997</v>
      </c>
      <c r="U117" s="5"/>
      <c r="V117" s="5">
        <f t="shared" si="23"/>
        <v>0</v>
      </c>
      <c r="W117" s="5">
        <f t="shared" si="24"/>
        <v>0</v>
      </c>
      <c r="X117" s="5"/>
      <c r="Y117" s="1">
        <f t="shared" si="25"/>
        <v>14.540955281576712</v>
      </c>
      <c r="Z117" s="1">
        <f t="shared" si="36"/>
        <v>14.540955281576712</v>
      </c>
      <c r="AA117" s="1">
        <v>5.8517999999999999</v>
      </c>
      <c r="AB117" s="1">
        <v>3.0104000000000002</v>
      </c>
      <c r="AC117" s="1">
        <v>7.0028000000000006</v>
      </c>
      <c r="AD117" s="1">
        <v>11.0334</v>
      </c>
      <c r="AE117" s="1">
        <v>6.3334000000000001</v>
      </c>
      <c r="AF117" s="1">
        <v>3.678199999999999</v>
      </c>
      <c r="AG117" s="1">
        <v>4.3917999999999999</v>
      </c>
      <c r="AH117" s="1">
        <v>9.8704000000000001</v>
      </c>
      <c r="AI117" s="1">
        <v>11.0616</v>
      </c>
      <c r="AJ117" s="1">
        <v>18.499199999999998</v>
      </c>
      <c r="AK117" s="16" t="s">
        <v>92</v>
      </c>
      <c r="AL117" s="1">
        <f t="shared" si="26"/>
        <v>0</v>
      </c>
      <c r="AM117" s="1">
        <f t="shared" si="27"/>
        <v>0</v>
      </c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 t="s">
        <v>164</v>
      </c>
      <c r="B118" s="1" t="s">
        <v>38</v>
      </c>
      <c r="C118" s="1">
        <v>42.637</v>
      </c>
      <c r="D118" s="1">
        <v>64.73</v>
      </c>
      <c r="E118" s="1">
        <v>29.841000000000001</v>
      </c>
      <c r="F118" s="1">
        <v>62.595999999999997</v>
      </c>
      <c r="G118" s="7">
        <v>1</v>
      </c>
      <c r="H118" s="1">
        <v>50</v>
      </c>
      <c r="I118" s="1" t="s">
        <v>39</v>
      </c>
      <c r="J118" s="1"/>
      <c r="K118" s="1">
        <v>35</v>
      </c>
      <c r="L118" s="1">
        <f t="shared" si="34"/>
        <v>-5.1589999999999989</v>
      </c>
      <c r="M118" s="1"/>
      <c r="N118" s="1"/>
      <c r="O118" s="1">
        <v>0</v>
      </c>
      <c r="P118" s="1"/>
      <c r="Q118" s="1"/>
      <c r="R118" s="1">
        <v>0</v>
      </c>
      <c r="S118" s="21"/>
      <c r="T118" s="1">
        <f t="shared" si="35"/>
        <v>5.9682000000000004</v>
      </c>
      <c r="U118" s="5">
        <f t="shared" ref="U118" si="38">12*T118-R118-Q118-P118-O118-F118</f>
        <v>9.0224000000000117</v>
      </c>
      <c r="V118" s="5">
        <f t="shared" si="23"/>
        <v>9.0224000000000117</v>
      </c>
      <c r="W118" s="5">
        <f t="shared" si="24"/>
        <v>9.0224000000000117</v>
      </c>
      <c r="X118" s="5"/>
      <c r="Y118" s="1">
        <f t="shared" si="25"/>
        <v>12</v>
      </c>
      <c r="Z118" s="1">
        <f t="shared" si="36"/>
        <v>10.488254415066518</v>
      </c>
      <c r="AA118" s="1">
        <v>6.4512</v>
      </c>
      <c r="AB118" s="1">
        <v>3.9742000000000002</v>
      </c>
      <c r="AC118" s="1">
        <v>4.4668000000000001</v>
      </c>
      <c r="AD118" s="1">
        <v>8.9374000000000002</v>
      </c>
      <c r="AE118" s="1">
        <v>6.4590000000000014</v>
      </c>
      <c r="AF118" s="1">
        <v>1.9887999999999999</v>
      </c>
      <c r="AG118" s="1">
        <v>5.2645999999999997</v>
      </c>
      <c r="AH118" s="1">
        <v>7.7645999999999997</v>
      </c>
      <c r="AI118" s="1">
        <v>5.4868000000000006</v>
      </c>
      <c r="AJ118" s="1">
        <v>7.4721999999999991</v>
      </c>
      <c r="AK118" s="1"/>
      <c r="AL118" s="1">
        <f t="shared" si="26"/>
        <v>9</v>
      </c>
      <c r="AM118" s="1">
        <f t="shared" si="27"/>
        <v>0</v>
      </c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 t="s">
        <v>165</v>
      </c>
      <c r="B119" s="1" t="s">
        <v>43</v>
      </c>
      <c r="C119" s="1"/>
      <c r="D119" s="1">
        <v>65</v>
      </c>
      <c r="E119" s="1">
        <v>51</v>
      </c>
      <c r="F119" s="1">
        <v>5</v>
      </c>
      <c r="G119" s="7">
        <v>0.09</v>
      </c>
      <c r="H119" s="1"/>
      <c r="I119" s="1" t="s">
        <v>39</v>
      </c>
      <c r="J119" s="1"/>
      <c r="K119" s="1">
        <v>57</v>
      </c>
      <c r="L119" s="1">
        <f t="shared" si="34"/>
        <v>-6</v>
      </c>
      <c r="M119" s="1"/>
      <c r="N119" s="1"/>
      <c r="O119" s="1">
        <v>0</v>
      </c>
      <c r="P119" s="1"/>
      <c r="Q119" s="1"/>
      <c r="R119" s="1">
        <v>0</v>
      </c>
      <c r="S119" s="21"/>
      <c r="T119" s="1">
        <f t="shared" si="35"/>
        <v>10.199999999999999</v>
      </c>
      <c r="U119" s="5">
        <f>7*T119-R119-Q119-P119-O119-F119</f>
        <v>66.399999999999991</v>
      </c>
      <c r="V119" s="5">
        <f t="shared" si="23"/>
        <v>66.399999999999991</v>
      </c>
      <c r="W119" s="5">
        <f t="shared" si="24"/>
        <v>66.399999999999991</v>
      </c>
      <c r="X119" s="5"/>
      <c r="Y119" s="1">
        <f t="shared" si="25"/>
        <v>7</v>
      </c>
      <c r="Z119" s="1">
        <f t="shared" si="36"/>
        <v>0.49019607843137258</v>
      </c>
      <c r="AA119" s="1">
        <v>1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 t="s">
        <v>140</v>
      </c>
      <c r="AL119" s="1">
        <f t="shared" si="26"/>
        <v>6</v>
      </c>
      <c r="AM119" s="1">
        <f t="shared" si="27"/>
        <v>0</v>
      </c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1" t="s">
        <v>166</v>
      </c>
      <c r="B120" s="11" t="s">
        <v>43</v>
      </c>
      <c r="C120" s="11"/>
      <c r="D120" s="11"/>
      <c r="E120" s="11"/>
      <c r="F120" s="11"/>
      <c r="G120" s="12">
        <v>0</v>
      </c>
      <c r="H120" s="11"/>
      <c r="I120" s="11" t="s">
        <v>39</v>
      </c>
      <c r="J120" s="11"/>
      <c r="K120" s="11"/>
      <c r="L120" s="11">
        <f t="shared" si="34"/>
        <v>0</v>
      </c>
      <c r="M120" s="11"/>
      <c r="N120" s="11"/>
      <c r="O120" s="11">
        <v>0</v>
      </c>
      <c r="P120" s="11"/>
      <c r="Q120" s="11"/>
      <c r="R120" s="11">
        <v>0</v>
      </c>
      <c r="S120" s="23"/>
      <c r="T120" s="11">
        <f t="shared" si="35"/>
        <v>0</v>
      </c>
      <c r="U120" s="13"/>
      <c r="V120" s="5">
        <f t="shared" si="23"/>
        <v>0</v>
      </c>
      <c r="W120" s="5">
        <f t="shared" si="24"/>
        <v>0</v>
      </c>
      <c r="X120" s="5"/>
      <c r="Y120" s="1" t="e">
        <f t="shared" si="25"/>
        <v>#DIV/0!</v>
      </c>
      <c r="Z120" s="11" t="e">
        <f t="shared" si="36"/>
        <v>#DIV/0!</v>
      </c>
      <c r="AA120" s="11">
        <v>0</v>
      </c>
      <c r="AB120" s="11">
        <v>0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>
        <v>0</v>
      </c>
      <c r="AK120" s="11" t="s">
        <v>49</v>
      </c>
      <c r="AL120" s="1">
        <f t="shared" si="26"/>
        <v>0</v>
      </c>
      <c r="AM120" s="1">
        <f t="shared" si="27"/>
        <v>0</v>
      </c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 t="s">
        <v>167</v>
      </c>
      <c r="B121" s="1" t="s">
        <v>38</v>
      </c>
      <c r="C121" s="1">
        <v>56.634</v>
      </c>
      <c r="D121" s="1">
        <v>197.88200000000001</v>
      </c>
      <c r="E121" s="1">
        <v>184.49</v>
      </c>
      <c r="F121" s="1">
        <v>52.350999999999999</v>
      </c>
      <c r="G121" s="7">
        <v>1</v>
      </c>
      <c r="H121" s="1">
        <v>60</v>
      </c>
      <c r="I121" s="1" t="s">
        <v>39</v>
      </c>
      <c r="J121" s="1"/>
      <c r="K121" s="1">
        <v>185.6</v>
      </c>
      <c r="L121" s="1">
        <f t="shared" si="34"/>
        <v>-1.1099999999999852</v>
      </c>
      <c r="M121" s="1"/>
      <c r="N121" s="1"/>
      <c r="O121" s="1">
        <v>76.631567999999987</v>
      </c>
      <c r="P121" s="1"/>
      <c r="Q121" s="1"/>
      <c r="R121" s="1">
        <v>207.05563200000009</v>
      </c>
      <c r="S121" s="21"/>
      <c r="T121" s="1">
        <f t="shared" si="35"/>
        <v>36.898000000000003</v>
      </c>
      <c r="U121" s="5">
        <f t="shared" ref="U121:U130" si="39">12*T121-R121-Q121-P121-O121-F121</f>
        <v>106.73779999999999</v>
      </c>
      <c r="V121" s="5">
        <f t="shared" si="23"/>
        <v>106.73779999999999</v>
      </c>
      <c r="W121" s="5">
        <f t="shared" si="24"/>
        <v>43.122071200000001</v>
      </c>
      <c r="X121" s="5">
        <f t="shared" ref="X121:X124" si="40">V121*$X$1</f>
        <v>63.615728799999992</v>
      </c>
      <c r="Y121" s="1">
        <f t="shared" si="25"/>
        <v>12</v>
      </c>
      <c r="Z121" s="1">
        <f t="shared" si="36"/>
        <v>9.107219903517807</v>
      </c>
      <c r="AA121" s="1">
        <v>36.700200000000002</v>
      </c>
      <c r="AB121" s="1">
        <v>21.813800000000001</v>
      </c>
      <c r="AC121" s="1">
        <v>19.250399999999999</v>
      </c>
      <c r="AD121" s="1">
        <v>20.642199999999999</v>
      </c>
      <c r="AE121" s="1">
        <v>20.875599999999999</v>
      </c>
      <c r="AF121" s="1">
        <v>23.84</v>
      </c>
      <c r="AG121" s="1">
        <v>21.065799999999999</v>
      </c>
      <c r="AH121" s="1">
        <v>20.172000000000001</v>
      </c>
      <c r="AI121" s="1">
        <v>15.214600000000001</v>
      </c>
      <c r="AJ121" s="1">
        <v>14.1698</v>
      </c>
      <c r="AK121" s="1" t="s">
        <v>82</v>
      </c>
      <c r="AL121" s="1">
        <f t="shared" si="26"/>
        <v>43</v>
      </c>
      <c r="AM121" s="1">
        <f t="shared" si="27"/>
        <v>64</v>
      </c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 t="s">
        <v>168</v>
      </c>
      <c r="B122" s="1" t="s">
        <v>38</v>
      </c>
      <c r="C122" s="1">
        <v>533.88599999999997</v>
      </c>
      <c r="D122" s="1">
        <v>106.57299999999999</v>
      </c>
      <c r="E122" s="1">
        <v>233.67699999999999</v>
      </c>
      <c r="F122" s="1">
        <v>382.07900000000001</v>
      </c>
      <c r="G122" s="7">
        <v>1</v>
      </c>
      <c r="H122" s="1">
        <v>60</v>
      </c>
      <c r="I122" s="1" t="s">
        <v>39</v>
      </c>
      <c r="J122" s="1"/>
      <c r="K122" s="1">
        <v>229.45</v>
      </c>
      <c r="L122" s="1">
        <f t="shared" si="34"/>
        <v>4.2270000000000039</v>
      </c>
      <c r="M122" s="1"/>
      <c r="N122" s="1"/>
      <c r="O122" s="1">
        <v>0</v>
      </c>
      <c r="P122" s="1"/>
      <c r="Q122" s="1"/>
      <c r="R122" s="1">
        <v>0</v>
      </c>
      <c r="S122" s="21"/>
      <c r="T122" s="1">
        <f t="shared" si="35"/>
        <v>46.735399999999998</v>
      </c>
      <c r="U122" s="5">
        <f t="shared" si="39"/>
        <v>178.74579999999997</v>
      </c>
      <c r="V122" s="5">
        <f t="shared" si="23"/>
        <v>178.74579999999997</v>
      </c>
      <c r="W122" s="5">
        <f t="shared" si="24"/>
        <v>72.213303199999999</v>
      </c>
      <c r="X122" s="5">
        <f t="shared" si="40"/>
        <v>106.53249679999998</v>
      </c>
      <c r="Y122" s="1">
        <f t="shared" si="25"/>
        <v>12</v>
      </c>
      <c r="Z122" s="1">
        <f t="shared" si="36"/>
        <v>8.1753659966535004</v>
      </c>
      <c r="AA122" s="1">
        <v>35.391800000000003</v>
      </c>
      <c r="AB122" s="1">
        <v>16.724399999999999</v>
      </c>
      <c r="AC122" s="1">
        <v>15.421799999999999</v>
      </c>
      <c r="AD122" s="1">
        <v>46.654200000000003</v>
      </c>
      <c r="AE122" s="1">
        <v>57.178999999999988</v>
      </c>
      <c r="AF122" s="1">
        <v>41.480200000000004</v>
      </c>
      <c r="AG122" s="1">
        <v>28.829000000000001</v>
      </c>
      <c r="AH122" s="1">
        <v>33.867400000000004</v>
      </c>
      <c r="AI122" s="1">
        <v>37.478999999999999</v>
      </c>
      <c r="AJ122" s="1">
        <v>34.275799999999997</v>
      </c>
      <c r="AK122" s="1" t="s">
        <v>82</v>
      </c>
      <c r="AL122" s="1">
        <f t="shared" si="26"/>
        <v>72</v>
      </c>
      <c r="AM122" s="1">
        <f t="shared" si="27"/>
        <v>107</v>
      </c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 t="s">
        <v>169</v>
      </c>
      <c r="B123" s="1" t="s">
        <v>38</v>
      </c>
      <c r="C123" s="1">
        <v>100.453</v>
      </c>
      <c r="D123" s="1"/>
      <c r="E123" s="1">
        <v>73.486999999999995</v>
      </c>
      <c r="F123" s="1">
        <v>21.683</v>
      </c>
      <c r="G123" s="7">
        <v>1</v>
      </c>
      <c r="H123" s="1">
        <v>60</v>
      </c>
      <c r="I123" s="1" t="s">
        <v>39</v>
      </c>
      <c r="J123" s="1"/>
      <c r="K123" s="1">
        <v>72.2</v>
      </c>
      <c r="L123" s="1">
        <f t="shared" si="34"/>
        <v>1.2869999999999919</v>
      </c>
      <c r="M123" s="1"/>
      <c r="N123" s="1"/>
      <c r="O123" s="1">
        <v>4</v>
      </c>
      <c r="P123" s="1"/>
      <c r="Q123" s="1"/>
      <c r="R123" s="1">
        <v>48.36</v>
      </c>
      <c r="S123" s="21"/>
      <c r="T123" s="1">
        <f t="shared" si="35"/>
        <v>14.697399999999998</v>
      </c>
      <c r="U123" s="5">
        <f t="shared" si="39"/>
        <v>102.32579999999996</v>
      </c>
      <c r="V123" s="5">
        <f t="shared" si="23"/>
        <v>102.32579999999996</v>
      </c>
      <c r="W123" s="5">
        <f t="shared" si="24"/>
        <v>41.339623199999984</v>
      </c>
      <c r="X123" s="5">
        <f t="shared" si="40"/>
        <v>60.986176799999974</v>
      </c>
      <c r="Y123" s="1">
        <f t="shared" si="25"/>
        <v>11.999999999999998</v>
      </c>
      <c r="Z123" s="1">
        <f t="shared" si="36"/>
        <v>5.037829820240316</v>
      </c>
      <c r="AA123" s="1">
        <v>11.095000000000001</v>
      </c>
      <c r="AB123" s="1">
        <v>8.4111999999999991</v>
      </c>
      <c r="AC123" s="1">
        <v>7.3227999999999991</v>
      </c>
      <c r="AD123" s="1">
        <v>10.3934</v>
      </c>
      <c r="AE123" s="1">
        <v>13.385199999999999</v>
      </c>
      <c r="AF123" s="1">
        <v>14.412599999999999</v>
      </c>
      <c r="AG123" s="1">
        <v>11.468</v>
      </c>
      <c r="AH123" s="1">
        <v>9.6209999999999987</v>
      </c>
      <c r="AI123" s="1">
        <v>8.5533999999999999</v>
      </c>
      <c r="AJ123" s="1">
        <v>12.0816</v>
      </c>
      <c r="AK123" s="1"/>
      <c r="AL123" s="1">
        <f t="shared" si="26"/>
        <v>41</v>
      </c>
      <c r="AM123" s="1">
        <f t="shared" si="27"/>
        <v>61</v>
      </c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 t="s">
        <v>170</v>
      </c>
      <c r="B124" s="1" t="s">
        <v>38</v>
      </c>
      <c r="C124" s="1">
        <v>881.64099999999996</v>
      </c>
      <c r="D124" s="1">
        <v>814.15099999999995</v>
      </c>
      <c r="E124" s="1">
        <v>867.58600000000001</v>
      </c>
      <c r="F124" s="1">
        <v>738.38400000000001</v>
      </c>
      <c r="G124" s="7">
        <v>1</v>
      </c>
      <c r="H124" s="1">
        <v>60</v>
      </c>
      <c r="I124" s="1" t="s">
        <v>39</v>
      </c>
      <c r="J124" s="1"/>
      <c r="K124" s="1">
        <v>857.5</v>
      </c>
      <c r="L124" s="1">
        <f t="shared" si="34"/>
        <v>10.086000000000013</v>
      </c>
      <c r="M124" s="1"/>
      <c r="N124" s="1"/>
      <c r="O124" s="1">
        <v>0</v>
      </c>
      <c r="P124" s="1"/>
      <c r="Q124" s="1"/>
      <c r="R124" s="1">
        <v>692.20679999999993</v>
      </c>
      <c r="S124" s="21"/>
      <c r="T124" s="1">
        <f t="shared" si="35"/>
        <v>173.5172</v>
      </c>
      <c r="U124" s="5">
        <f t="shared" si="39"/>
        <v>651.61560000000009</v>
      </c>
      <c r="V124" s="5">
        <f t="shared" si="23"/>
        <v>651.61560000000009</v>
      </c>
      <c r="W124" s="5">
        <v>400</v>
      </c>
      <c r="X124" s="5">
        <f t="shared" si="40"/>
        <v>388.36289760000005</v>
      </c>
      <c r="Y124" s="1">
        <f t="shared" si="25"/>
        <v>12.788090734520843</v>
      </c>
      <c r="Z124" s="1">
        <f t="shared" si="36"/>
        <v>8.2446627769466083</v>
      </c>
      <c r="AA124" s="1">
        <v>165.2568</v>
      </c>
      <c r="AB124" s="1">
        <v>112.7216</v>
      </c>
      <c r="AC124" s="1">
        <v>127.8082</v>
      </c>
      <c r="AD124" s="1">
        <v>160.60159999999999</v>
      </c>
      <c r="AE124" s="1">
        <v>163.82</v>
      </c>
      <c r="AF124" s="1">
        <v>131.39340000000001</v>
      </c>
      <c r="AG124" s="1">
        <v>135.7192</v>
      </c>
      <c r="AH124" s="1">
        <v>165.4958</v>
      </c>
      <c r="AI124" s="1">
        <v>148.43340000000001</v>
      </c>
      <c r="AJ124" s="1">
        <v>180.2364</v>
      </c>
      <c r="AK124" s="1"/>
      <c r="AL124" s="1">
        <f t="shared" si="26"/>
        <v>400</v>
      </c>
      <c r="AM124" s="1">
        <f t="shared" si="27"/>
        <v>388</v>
      </c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 t="s">
        <v>171</v>
      </c>
      <c r="B125" s="1" t="s">
        <v>43</v>
      </c>
      <c r="C125" s="1">
        <v>27</v>
      </c>
      <c r="D125" s="1">
        <v>205</v>
      </c>
      <c r="E125" s="1">
        <v>131</v>
      </c>
      <c r="F125" s="1">
        <v>64</v>
      </c>
      <c r="G125" s="7">
        <v>0.25</v>
      </c>
      <c r="H125" s="1">
        <v>1096</v>
      </c>
      <c r="I125" s="1" t="s">
        <v>39</v>
      </c>
      <c r="J125" s="1"/>
      <c r="K125" s="1">
        <v>139</v>
      </c>
      <c r="L125" s="1">
        <f t="shared" si="34"/>
        <v>-8</v>
      </c>
      <c r="M125" s="1"/>
      <c r="N125" s="1"/>
      <c r="O125" s="1">
        <v>200</v>
      </c>
      <c r="P125" s="1"/>
      <c r="Q125" s="1"/>
      <c r="R125" s="1">
        <v>0</v>
      </c>
      <c r="S125" s="21"/>
      <c r="T125" s="1">
        <f t="shared" si="35"/>
        <v>26.2</v>
      </c>
      <c r="U125" s="5">
        <f t="shared" si="39"/>
        <v>50.399999999999977</v>
      </c>
      <c r="V125" s="5">
        <f t="shared" si="23"/>
        <v>50.399999999999977</v>
      </c>
      <c r="W125" s="5">
        <f t="shared" si="24"/>
        <v>50.399999999999977</v>
      </c>
      <c r="X125" s="5"/>
      <c r="Y125" s="1">
        <f t="shared" si="25"/>
        <v>12</v>
      </c>
      <c r="Z125" s="1">
        <f t="shared" si="36"/>
        <v>10.076335877862595</v>
      </c>
      <c r="AA125" s="1">
        <v>23</v>
      </c>
      <c r="AB125" s="1">
        <v>14.4</v>
      </c>
      <c r="AC125" s="1">
        <v>0.6</v>
      </c>
      <c r="AD125" s="1">
        <v>0</v>
      </c>
      <c r="AE125" s="1">
        <v>0</v>
      </c>
      <c r="AF125" s="1">
        <v>0</v>
      </c>
      <c r="AG125" s="1">
        <v>1.6</v>
      </c>
      <c r="AH125" s="1">
        <v>3.6</v>
      </c>
      <c r="AI125" s="1">
        <v>5.4</v>
      </c>
      <c r="AJ125" s="1">
        <v>25.8</v>
      </c>
      <c r="AK125" s="1" t="s">
        <v>82</v>
      </c>
      <c r="AL125" s="1">
        <f t="shared" si="26"/>
        <v>13</v>
      </c>
      <c r="AM125" s="1">
        <f t="shared" si="27"/>
        <v>0</v>
      </c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 t="s">
        <v>172</v>
      </c>
      <c r="B126" s="1" t="s">
        <v>43</v>
      </c>
      <c r="C126" s="1">
        <v>16</v>
      </c>
      <c r="D126" s="1">
        <v>409</v>
      </c>
      <c r="E126" s="1">
        <v>81</v>
      </c>
      <c r="F126" s="14">
        <f>339+F134</f>
        <v>341</v>
      </c>
      <c r="G126" s="7">
        <v>0.32500000000000001</v>
      </c>
      <c r="H126" s="1">
        <v>1096</v>
      </c>
      <c r="I126" s="1" t="s">
        <v>39</v>
      </c>
      <c r="J126" s="1"/>
      <c r="K126" s="1">
        <v>79</v>
      </c>
      <c r="L126" s="1">
        <f t="shared" si="34"/>
        <v>2</v>
      </c>
      <c r="M126" s="1"/>
      <c r="N126" s="1"/>
      <c r="O126" s="1">
        <v>200</v>
      </c>
      <c r="P126" s="1"/>
      <c r="Q126" s="1"/>
      <c r="R126" s="1">
        <v>0</v>
      </c>
      <c r="S126" s="21"/>
      <c r="T126" s="1">
        <f t="shared" si="35"/>
        <v>16.2</v>
      </c>
      <c r="U126" s="5"/>
      <c r="V126" s="5">
        <f t="shared" si="23"/>
        <v>0</v>
      </c>
      <c r="W126" s="5">
        <f t="shared" si="24"/>
        <v>0</v>
      </c>
      <c r="X126" s="5"/>
      <c r="Y126" s="1">
        <f t="shared" si="25"/>
        <v>33.395061728395063</v>
      </c>
      <c r="Z126" s="1">
        <f t="shared" si="36"/>
        <v>33.395061728395063</v>
      </c>
      <c r="AA126" s="1">
        <v>15.6</v>
      </c>
      <c r="AB126" s="1">
        <v>12</v>
      </c>
      <c r="AC126" s="1">
        <v>0</v>
      </c>
      <c r="AD126" s="1">
        <v>0</v>
      </c>
      <c r="AE126" s="1">
        <v>0.4</v>
      </c>
      <c r="AF126" s="1">
        <v>6.2</v>
      </c>
      <c r="AG126" s="1">
        <v>11</v>
      </c>
      <c r="AH126" s="1">
        <v>8</v>
      </c>
      <c r="AI126" s="1">
        <v>5.6</v>
      </c>
      <c r="AJ126" s="1">
        <v>22</v>
      </c>
      <c r="AK126" s="1" t="s">
        <v>82</v>
      </c>
      <c r="AL126" s="1">
        <f t="shared" si="26"/>
        <v>0</v>
      </c>
      <c r="AM126" s="1">
        <f t="shared" si="27"/>
        <v>0</v>
      </c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 t="s">
        <v>173</v>
      </c>
      <c r="B127" s="1" t="s">
        <v>43</v>
      </c>
      <c r="C127" s="1">
        <v>392</v>
      </c>
      <c r="D127" s="1">
        <v>25</v>
      </c>
      <c r="E127" s="1">
        <v>211</v>
      </c>
      <c r="F127" s="1">
        <v>193</v>
      </c>
      <c r="G127" s="7">
        <v>0.25</v>
      </c>
      <c r="H127" s="1">
        <v>1096</v>
      </c>
      <c r="I127" s="1" t="s">
        <v>39</v>
      </c>
      <c r="J127" s="1"/>
      <c r="K127" s="1">
        <v>200</v>
      </c>
      <c r="L127" s="1">
        <f t="shared" si="34"/>
        <v>11</v>
      </c>
      <c r="M127" s="1"/>
      <c r="N127" s="1"/>
      <c r="O127" s="1">
        <v>0</v>
      </c>
      <c r="P127" s="1"/>
      <c r="Q127" s="1"/>
      <c r="R127" s="1">
        <v>300</v>
      </c>
      <c r="S127" s="21"/>
      <c r="T127" s="1">
        <f t="shared" si="35"/>
        <v>42.2</v>
      </c>
      <c r="U127" s="5">
        <f t="shared" si="39"/>
        <v>13.400000000000034</v>
      </c>
      <c r="V127" s="5">
        <f t="shared" si="23"/>
        <v>13.400000000000034</v>
      </c>
      <c r="W127" s="5">
        <f t="shared" si="24"/>
        <v>13.400000000000034</v>
      </c>
      <c r="X127" s="5"/>
      <c r="Y127" s="1">
        <f t="shared" si="25"/>
        <v>12</v>
      </c>
      <c r="Z127" s="1">
        <f t="shared" si="36"/>
        <v>11.682464454976303</v>
      </c>
      <c r="AA127" s="1">
        <v>40</v>
      </c>
      <c r="AB127" s="1">
        <v>24.2</v>
      </c>
      <c r="AC127" s="1">
        <v>18.399999999999999</v>
      </c>
      <c r="AD127" s="1">
        <v>43.2</v>
      </c>
      <c r="AE127" s="1">
        <v>52.6</v>
      </c>
      <c r="AF127" s="1">
        <v>20.399999999999999</v>
      </c>
      <c r="AG127" s="1">
        <v>3</v>
      </c>
      <c r="AH127" s="1">
        <v>5.2</v>
      </c>
      <c r="AI127" s="1">
        <v>8.1999999999999993</v>
      </c>
      <c r="AJ127" s="1">
        <v>27.6</v>
      </c>
      <c r="AK127" s="1"/>
      <c r="AL127" s="1">
        <f t="shared" si="26"/>
        <v>3</v>
      </c>
      <c r="AM127" s="1">
        <f t="shared" si="27"/>
        <v>0</v>
      </c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 t="s">
        <v>174</v>
      </c>
      <c r="B128" s="1" t="s">
        <v>43</v>
      </c>
      <c r="C128" s="1"/>
      <c r="D128" s="1"/>
      <c r="E128" s="1">
        <v>-4</v>
      </c>
      <c r="F128" s="1"/>
      <c r="G128" s="7">
        <v>0.3</v>
      </c>
      <c r="H128" s="1">
        <v>40</v>
      </c>
      <c r="I128" s="9" t="s">
        <v>51</v>
      </c>
      <c r="J128" s="1"/>
      <c r="K128" s="1"/>
      <c r="L128" s="1">
        <f t="shared" si="34"/>
        <v>-4</v>
      </c>
      <c r="M128" s="1"/>
      <c r="N128" s="1"/>
      <c r="O128" s="1">
        <v>30</v>
      </c>
      <c r="P128" s="1">
        <v>-30</v>
      </c>
      <c r="Q128" s="1"/>
      <c r="R128" s="1">
        <v>30</v>
      </c>
      <c r="S128" s="21"/>
      <c r="T128" s="1">
        <f t="shared" si="35"/>
        <v>-0.8</v>
      </c>
      <c r="U128" s="5">
        <v>30</v>
      </c>
      <c r="V128" s="5">
        <f t="shared" si="23"/>
        <v>30</v>
      </c>
      <c r="W128" s="5">
        <f t="shared" si="24"/>
        <v>30</v>
      </c>
      <c r="X128" s="5"/>
      <c r="Y128" s="1">
        <f t="shared" si="25"/>
        <v>-75</v>
      </c>
      <c r="Z128" s="1">
        <f t="shared" si="36"/>
        <v>-37.5</v>
      </c>
      <c r="AA128" s="1">
        <v>-1.4</v>
      </c>
      <c r="AB128" s="1">
        <v>-0.6</v>
      </c>
      <c r="AC128" s="1">
        <v>0</v>
      </c>
      <c r="AD128" s="1">
        <v>0</v>
      </c>
      <c r="AE128" s="1">
        <v>0</v>
      </c>
      <c r="AF128" s="1">
        <v>-0.2</v>
      </c>
      <c r="AG128" s="1">
        <v>-0.4</v>
      </c>
      <c r="AH128" s="1">
        <v>-1</v>
      </c>
      <c r="AI128" s="1">
        <v>-1.2</v>
      </c>
      <c r="AJ128" s="1">
        <v>-0.6</v>
      </c>
      <c r="AK128" s="1"/>
      <c r="AL128" s="1">
        <f t="shared" si="26"/>
        <v>9</v>
      </c>
      <c r="AM128" s="1">
        <f t="shared" si="27"/>
        <v>0</v>
      </c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 t="s">
        <v>175</v>
      </c>
      <c r="B129" s="1" t="s">
        <v>43</v>
      </c>
      <c r="C129" s="1">
        <v>1</v>
      </c>
      <c r="D129" s="1"/>
      <c r="E129" s="1">
        <v>-1</v>
      </c>
      <c r="F129" s="1">
        <v>1</v>
      </c>
      <c r="G129" s="7">
        <v>0.3</v>
      </c>
      <c r="H129" s="1">
        <v>40</v>
      </c>
      <c r="I129" s="9" t="s">
        <v>51</v>
      </c>
      <c r="J129" s="1"/>
      <c r="K129" s="1">
        <v>22</v>
      </c>
      <c r="L129" s="1">
        <f t="shared" si="34"/>
        <v>-23</v>
      </c>
      <c r="M129" s="1"/>
      <c r="N129" s="1"/>
      <c r="O129" s="1">
        <v>30</v>
      </c>
      <c r="P129" s="1">
        <v>-30</v>
      </c>
      <c r="Q129" s="1"/>
      <c r="R129" s="1">
        <v>30</v>
      </c>
      <c r="S129" s="21"/>
      <c r="T129" s="1">
        <f t="shared" si="35"/>
        <v>-0.2</v>
      </c>
      <c r="U129" s="5">
        <v>30</v>
      </c>
      <c r="V129" s="5">
        <f t="shared" si="23"/>
        <v>30</v>
      </c>
      <c r="W129" s="5">
        <f t="shared" si="24"/>
        <v>30</v>
      </c>
      <c r="X129" s="5"/>
      <c r="Y129" s="1">
        <f t="shared" si="25"/>
        <v>-305</v>
      </c>
      <c r="Z129" s="1">
        <f t="shared" si="36"/>
        <v>-155</v>
      </c>
      <c r="AA129" s="1">
        <v>-0.2</v>
      </c>
      <c r="AB129" s="1">
        <v>0</v>
      </c>
      <c r="AC129" s="1">
        <v>0</v>
      </c>
      <c r="AD129" s="1">
        <v>0</v>
      </c>
      <c r="AE129" s="1">
        <v>-0.8</v>
      </c>
      <c r="AF129" s="1">
        <v>-0.2</v>
      </c>
      <c r="AG129" s="1">
        <v>0</v>
      </c>
      <c r="AH129" s="1">
        <v>0.6</v>
      </c>
      <c r="AI129" s="1">
        <v>5.8</v>
      </c>
      <c r="AJ129" s="1">
        <v>6.8</v>
      </c>
      <c r="AK129" s="1" t="s">
        <v>176</v>
      </c>
      <c r="AL129" s="1">
        <f t="shared" si="26"/>
        <v>9</v>
      </c>
      <c r="AM129" s="1">
        <f t="shared" si="27"/>
        <v>0</v>
      </c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 t="s">
        <v>177</v>
      </c>
      <c r="B130" s="1" t="s">
        <v>38</v>
      </c>
      <c r="C130" s="1">
        <v>45.723999999999997</v>
      </c>
      <c r="D130" s="1">
        <v>10.925000000000001</v>
      </c>
      <c r="E130" s="1">
        <v>23.373000000000001</v>
      </c>
      <c r="F130" s="1">
        <v>31.835000000000001</v>
      </c>
      <c r="G130" s="7">
        <v>1</v>
      </c>
      <c r="H130" s="1">
        <v>50</v>
      </c>
      <c r="I130" s="1" t="s">
        <v>39</v>
      </c>
      <c r="J130" s="1"/>
      <c r="K130" s="1">
        <v>21.3</v>
      </c>
      <c r="L130" s="1">
        <f t="shared" si="34"/>
        <v>2.0730000000000004</v>
      </c>
      <c r="M130" s="1"/>
      <c r="N130" s="1"/>
      <c r="O130" s="1">
        <v>0</v>
      </c>
      <c r="P130" s="1"/>
      <c r="Q130" s="1"/>
      <c r="R130" s="1">
        <v>0</v>
      </c>
      <c r="S130" s="21"/>
      <c r="T130" s="1">
        <f t="shared" si="35"/>
        <v>4.6745999999999999</v>
      </c>
      <c r="U130" s="5">
        <f t="shared" si="39"/>
        <v>24.260199999999998</v>
      </c>
      <c r="V130" s="5">
        <f t="shared" si="23"/>
        <v>24.260199999999998</v>
      </c>
      <c r="W130" s="5">
        <f t="shared" si="24"/>
        <v>24.260199999999998</v>
      </c>
      <c r="X130" s="5"/>
      <c r="Y130" s="1">
        <f t="shared" si="25"/>
        <v>12</v>
      </c>
      <c r="Z130" s="1">
        <f t="shared" si="36"/>
        <v>6.8102083600735899</v>
      </c>
      <c r="AA130" s="1">
        <v>3.2343999999999999</v>
      </c>
      <c r="AB130" s="1">
        <v>1.3575999999999999</v>
      </c>
      <c r="AC130" s="1">
        <v>0.81319999999999992</v>
      </c>
      <c r="AD130" s="1">
        <v>4.306</v>
      </c>
      <c r="AE130" s="1">
        <v>5.1116000000000001</v>
      </c>
      <c r="AF130" s="1">
        <v>2.4276</v>
      </c>
      <c r="AG130" s="1">
        <v>2.9628000000000001</v>
      </c>
      <c r="AH130" s="1">
        <v>2.1503999999999999</v>
      </c>
      <c r="AI130" s="1">
        <v>2.1423999999999999</v>
      </c>
      <c r="AJ130" s="1">
        <v>2.9592000000000001</v>
      </c>
      <c r="AK130" s="1"/>
      <c r="AL130" s="1">
        <f t="shared" si="26"/>
        <v>24</v>
      </c>
      <c r="AM130" s="1">
        <f t="shared" si="27"/>
        <v>0</v>
      </c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 t="s">
        <v>178</v>
      </c>
      <c r="B131" s="1" t="s">
        <v>43</v>
      </c>
      <c r="C131" s="1">
        <v>12</v>
      </c>
      <c r="D131" s="1"/>
      <c r="E131" s="1">
        <v>-4</v>
      </c>
      <c r="F131" s="1">
        <v>12</v>
      </c>
      <c r="G131" s="7">
        <v>0.3</v>
      </c>
      <c r="H131" s="1">
        <v>40</v>
      </c>
      <c r="I131" s="9" t="s">
        <v>51</v>
      </c>
      <c r="J131" s="1"/>
      <c r="K131" s="1">
        <v>68</v>
      </c>
      <c r="L131" s="1">
        <f t="shared" si="34"/>
        <v>-72</v>
      </c>
      <c r="M131" s="1"/>
      <c r="N131" s="1"/>
      <c r="O131" s="1">
        <v>100</v>
      </c>
      <c r="P131" s="1">
        <v>-102</v>
      </c>
      <c r="Q131" s="1"/>
      <c r="R131" s="1">
        <v>60</v>
      </c>
      <c r="S131" s="21"/>
      <c r="T131" s="1">
        <f t="shared" si="35"/>
        <v>-0.8</v>
      </c>
      <c r="U131" s="5">
        <v>60</v>
      </c>
      <c r="V131" s="5">
        <f t="shared" si="23"/>
        <v>60</v>
      </c>
      <c r="W131" s="5">
        <f t="shared" si="24"/>
        <v>60</v>
      </c>
      <c r="X131" s="5"/>
      <c r="Y131" s="1">
        <f t="shared" si="25"/>
        <v>-162.5</v>
      </c>
      <c r="Z131" s="1">
        <f t="shared" si="36"/>
        <v>-87.5</v>
      </c>
      <c r="AA131" s="1">
        <v>-0.8</v>
      </c>
      <c r="AB131" s="1">
        <v>-0.4</v>
      </c>
      <c r="AC131" s="1">
        <v>-0.2</v>
      </c>
      <c r="AD131" s="1">
        <v>1</v>
      </c>
      <c r="AE131" s="1">
        <v>20.8</v>
      </c>
      <c r="AF131" s="1">
        <v>23.4</v>
      </c>
      <c r="AG131" s="1">
        <v>2.4</v>
      </c>
      <c r="AH131" s="1">
        <v>4</v>
      </c>
      <c r="AI131" s="1">
        <v>11.6</v>
      </c>
      <c r="AJ131" s="1">
        <v>31.2</v>
      </c>
      <c r="AK131" s="1"/>
      <c r="AL131" s="1">
        <f t="shared" si="26"/>
        <v>18</v>
      </c>
      <c r="AM131" s="1">
        <f t="shared" si="27"/>
        <v>0</v>
      </c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 t="s">
        <v>179</v>
      </c>
      <c r="B132" s="1" t="s">
        <v>43</v>
      </c>
      <c r="C132" s="1">
        <v>19</v>
      </c>
      <c r="D132" s="1"/>
      <c r="E132" s="1">
        <v>6</v>
      </c>
      <c r="F132" s="1">
        <v>7</v>
      </c>
      <c r="G132" s="7">
        <v>0.12</v>
      </c>
      <c r="H132" s="1">
        <v>45</v>
      </c>
      <c r="I132" s="9" t="s">
        <v>51</v>
      </c>
      <c r="J132" s="1"/>
      <c r="K132" s="1">
        <v>32</v>
      </c>
      <c r="L132" s="1">
        <f t="shared" si="34"/>
        <v>-26</v>
      </c>
      <c r="M132" s="1"/>
      <c r="N132" s="1"/>
      <c r="O132" s="1">
        <v>20</v>
      </c>
      <c r="P132" s="1">
        <v>-30</v>
      </c>
      <c r="Q132" s="1"/>
      <c r="R132" s="1">
        <v>30</v>
      </c>
      <c r="S132" s="21"/>
      <c r="T132" s="1">
        <f t="shared" si="35"/>
        <v>1.2</v>
      </c>
      <c r="U132" s="5">
        <v>20</v>
      </c>
      <c r="V132" s="5">
        <f t="shared" si="23"/>
        <v>20</v>
      </c>
      <c r="W132" s="5">
        <f t="shared" si="24"/>
        <v>20</v>
      </c>
      <c r="X132" s="5"/>
      <c r="Y132" s="1">
        <f t="shared" si="25"/>
        <v>39.166666666666671</v>
      </c>
      <c r="Z132" s="1">
        <f t="shared" si="36"/>
        <v>22.5</v>
      </c>
      <c r="AA132" s="1">
        <v>11</v>
      </c>
      <c r="AB132" s="1">
        <v>9</v>
      </c>
      <c r="AC132" s="1">
        <v>-0.6</v>
      </c>
      <c r="AD132" s="1">
        <v>3.4</v>
      </c>
      <c r="AE132" s="1">
        <v>9.6</v>
      </c>
      <c r="AF132" s="1">
        <v>9.8000000000000007</v>
      </c>
      <c r="AG132" s="1">
        <v>6</v>
      </c>
      <c r="AH132" s="1">
        <v>8.6</v>
      </c>
      <c r="AI132" s="1">
        <v>9</v>
      </c>
      <c r="AJ132" s="1">
        <v>13.4</v>
      </c>
      <c r="AK132" s="1"/>
      <c r="AL132" s="1">
        <f t="shared" si="26"/>
        <v>2</v>
      </c>
      <c r="AM132" s="1">
        <f t="shared" si="27"/>
        <v>0</v>
      </c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1" t="s">
        <v>180</v>
      </c>
      <c r="B133" s="11" t="s">
        <v>43</v>
      </c>
      <c r="C133" s="11">
        <v>52</v>
      </c>
      <c r="D133" s="11">
        <v>200</v>
      </c>
      <c r="E133" s="14">
        <v>192</v>
      </c>
      <c r="F133" s="14">
        <v>46</v>
      </c>
      <c r="G133" s="12">
        <v>0</v>
      </c>
      <c r="H133" s="11"/>
      <c r="I133" s="11" t="s">
        <v>181</v>
      </c>
      <c r="J133" s="11" t="s">
        <v>101</v>
      </c>
      <c r="K133" s="11">
        <v>213</v>
      </c>
      <c r="L133" s="11">
        <f t="shared" si="34"/>
        <v>-21</v>
      </c>
      <c r="M133" s="11"/>
      <c r="N133" s="11"/>
      <c r="O133" s="11">
        <v>0</v>
      </c>
      <c r="P133" s="11"/>
      <c r="Q133" s="11"/>
      <c r="R133" s="11">
        <v>0</v>
      </c>
      <c r="S133" s="23"/>
      <c r="T133" s="11">
        <f t="shared" si="35"/>
        <v>38.4</v>
      </c>
      <c r="U133" s="13"/>
      <c r="V133" s="5">
        <f t="shared" si="23"/>
        <v>0</v>
      </c>
      <c r="W133" s="5">
        <f t="shared" si="24"/>
        <v>0</v>
      </c>
      <c r="X133" s="5"/>
      <c r="Y133" s="1">
        <f t="shared" si="25"/>
        <v>1.1979166666666667</v>
      </c>
      <c r="Z133" s="11">
        <f t="shared" si="36"/>
        <v>1.1979166666666667</v>
      </c>
      <c r="AA133" s="11">
        <v>29.4</v>
      </c>
      <c r="AB133" s="11">
        <v>9.6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/>
      <c r="AL133" s="1">
        <f t="shared" si="26"/>
        <v>0</v>
      </c>
      <c r="AM133" s="1">
        <f t="shared" si="27"/>
        <v>0</v>
      </c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1" t="s">
        <v>182</v>
      </c>
      <c r="B134" s="11" t="s">
        <v>43</v>
      </c>
      <c r="C134" s="11">
        <v>2</v>
      </c>
      <c r="D134" s="11"/>
      <c r="E134" s="11"/>
      <c r="F134" s="14">
        <v>2</v>
      </c>
      <c r="G134" s="12">
        <v>0</v>
      </c>
      <c r="H134" s="11"/>
      <c r="I134" s="11" t="s">
        <v>181</v>
      </c>
      <c r="J134" s="11" t="s">
        <v>172</v>
      </c>
      <c r="K134" s="11">
        <v>2</v>
      </c>
      <c r="L134" s="11">
        <f t="shared" ref="L134" si="41">E134-K134</f>
        <v>-2</v>
      </c>
      <c r="M134" s="11"/>
      <c r="N134" s="11"/>
      <c r="O134" s="11">
        <v>0</v>
      </c>
      <c r="P134" s="11"/>
      <c r="Q134" s="11"/>
      <c r="R134" s="11">
        <v>0</v>
      </c>
      <c r="S134" s="23"/>
      <c r="T134" s="11">
        <f t="shared" si="35"/>
        <v>0</v>
      </c>
      <c r="U134" s="13"/>
      <c r="V134" s="5">
        <f t="shared" si="23"/>
        <v>0</v>
      </c>
      <c r="W134" s="5">
        <f t="shared" si="24"/>
        <v>0</v>
      </c>
      <c r="X134" s="5"/>
      <c r="Y134" s="1" t="e">
        <f t="shared" si="25"/>
        <v>#DIV/0!</v>
      </c>
      <c r="Z134" s="11" t="e">
        <f t="shared" si="36"/>
        <v>#DIV/0!</v>
      </c>
      <c r="AA134" s="11">
        <v>1</v>
      </c>
      <c r="AB134" s="11">
        <v>1</v>
      </c>
      <c r="AC134" s="11">
        <v>0</v>
      </c>
      <c r="AD134" s="11">
        <v>0</v>
      </c>
      <c r="AE134" s="11">
        <v>0.4</v>
      </c>
      <c r="AF134" s="11">
        <v>5.2</v>
      </c>
      <c r="AG134" s="11">
        <v>5.2</v>
      </c>
      <c r="AH134" s="11">
        <v>1.4</v>
      </c>
      <c r="AI134" s="11">
        <v>2.4</v>
      </c>
      <c r="AJ134" s="11">
        <v>2</v>
      </c>
      <c r="AK134" s="11"/>
      <c r="AL134" s="1">
        <f t="shared" si="26"/>
        <v>0</v>
      </c>
      <c r="AM134" s="1">
        <f t="shared" si="27"/>
        <v>0</v>
      </c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2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2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2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2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2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2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2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2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2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2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2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2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2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2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2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2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2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2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2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2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2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2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2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2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2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2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2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2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2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2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2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2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2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2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2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2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2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2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2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2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2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2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2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2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2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2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2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2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2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2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2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2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2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2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2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2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2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2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2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2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2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2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2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2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2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2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2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2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2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2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2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2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2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2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2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2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2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2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2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2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2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2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2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2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2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2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2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2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2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2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2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2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2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2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2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2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2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2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2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2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2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2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2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2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2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2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2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2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2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2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2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2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2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2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2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2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2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2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2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2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2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2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2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2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2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2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2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2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2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2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2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2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2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2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2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2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2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2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2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2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2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2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2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2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2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2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2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2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2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2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2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2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2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2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2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2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2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2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2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2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2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2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2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2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2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2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2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2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2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2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2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2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2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2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2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2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2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2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2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2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2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2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2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2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2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2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2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2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2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2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2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2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2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2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2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2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2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2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2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2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2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2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2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2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2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2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2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2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2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2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2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2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2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2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2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2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2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2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2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2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2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2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2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2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2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2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2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2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2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2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2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2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2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2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2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2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2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2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2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2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2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2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2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2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2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2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2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2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2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2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2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2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2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2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2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2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2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2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2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2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2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2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2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2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2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2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2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2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2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2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2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2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2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2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2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2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2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2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2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2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2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2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2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2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2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2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2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2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2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2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2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2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2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2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2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2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2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2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2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2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2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2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2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2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2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2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2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2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2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2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2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2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2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2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2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2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2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2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2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2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2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2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2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2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2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2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2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2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2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2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2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2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2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2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2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2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2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2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2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2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2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2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2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2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2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2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2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2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2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2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2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2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2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2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2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2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2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2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2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2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2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2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2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2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2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2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</sheetData>
  <autoFilter ref="A3:AL13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2026-09-10T13:27:38Z</dcterms:created>
  <dcterms:modified xsi:type="dcterms:W3CDTF">2026-09-12T07:46:14Z</dcterms:modified>
</cp:coreProperties>
</file>