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4ED7384-24A4-4813-ADA4-0BA667956F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3" i="1" l="1"/>
  <c r="T133" i="1" s="1"/>
  <c r="L133" i="1"/>
  <c r="Q132" i="1"/>
  <c r="L132" i="1"/>
  <c r="Q131" i="1"/>
  <c r="L131" i="1"/>
  <c r="Q130" i="1"/>
  <c r="L130" i="1"/>
  <c r="Q129" i="1"/>
  <c r="L129" i="1"/>
  <c r="Q128" i="1"/>
  <c r="R128" i="1" s="1"/>
  <c r="L128" i="1"/>
  <c r="Q127" i="1"/>
  <c r="R127" i="1" s="1"/>
  <c r="L127" i="1"/>
  <c r="F126" i="1"/>
  <c r="F5" i="1" s="1"/>
  <c r="E126" i="1"/>
  <c r="L126" i="1" s="1"/>
  <c r="Q125" i="1"/>
  <c r="R125" i="1" s="1"/>
  <c r="L125" i="1"/>
  <c r="Q124" i="1"/>
  <c r="L124" i="1"/>
  <c r="Q123" i="1"/>
  <c r="L123" i="1"/>
  <c r="Q122" i="1"/>
  <c r="L122" i="1"/>
  <c r="Q121" i="1"/>
  <c r="L121" i="1"/>
  <c r="Q120" i="1"/>
  <c r="T120" i="1" s="1"/>
  <c r="L120" i="1"/>
  <c r="Q119" i="1"/>
  <c r="T119" i="1" s="1"/>
  <c r="L119" i="1"/>
  <c r="Q118" i="1"/>
  <c r="L118" i="1"/>
  <c r="Q117" i="1"/>
  <c r="R117" i="1" s="1"/>
  <c r="L117" i="1"/>
  <c r="Q116" i="1"/>
  <c r="T116" i="1" s="1"/>
  <c r="L116" i="1"/>
  <c r="Q115" i="1"/>
  <c r="L115" i="1"/>
  <c r="Q114" i="1"/>
  <c r="R114" i="1" s="1"/>
  <c r="L114" i="1"/>
  <c r="Q113" i="1"/>
  <c r="R113" i="1" s="1"/>
  <c r="L113" i="1"/>
  <c r="Q112" i="1"/>
  <c r="S112" i="1" s="1"/>
  <c r="L112" i="1"/>
  <c r="Q111" i="1"/>
  <c r="S111" i="1" s="1"/>
  <c r="L111" i="1"/>
  <c r="Q110" i="1"/>
  <c r="L110" i="1"/>
  <c r="Q109" i="1"/>
  <c r="L109" i="1"/>
  <c r="Q108" i="1"/>
  <c r="L108" i="1"/>
  <c r="Q107" i="1"/>
  <c r="T107" i="1" s="1"/>
  <c r="L107" i="1"/>
  <c r="Q106" i="1"/>
  <c r="L106" i="1"/>
  <c r="Q105" i="1"/>
  <c r="L105" i="1"/>
  <c r="Q104" i="1"/>
  <c r="T104" i="1" s="1"/>
  <c r="L104" i="1"/>
  <c r="Q103" i="1"/>
  <c r="T103" i="1" s="1"/>
  <c r="L103" i="1"/>
  <c r="Q102" i="1"/>
  <c r="T102" i="1" s="1"/>
  <c r="L102" i="1"/>
  <c r="Q101" i="1"/>
  <c r="T101" i="1" s="1"/>
  <c r="L101" i="1"/>
  <c r="Q100" i="1"/>
  <c r="T100" i="1" s="1"/>
  <c r="L100" i="1"/>
  <c r="Q99" i="1"/>
  <c r="T99" i="1" s="1"/>
  <c r="L99" i="1"/>
  <c r="Q98" i="1"/>
  <c r="L98" i="1"/>
  <c r="Q97" i="1"/>
  <c r="R97" i="1" s="1"/>
  <c r="L97" i="1"/>
  <c r="Q96" i="1"/>
  <c r="L96" i="1"/>
  <c r="Q95" i="1"/>
  <c r="S95" i="1" s="1"/>
  <c r="L95" i="1"/>
  <c r="Q94" i="1"/>
  <c r="L94" i="1"/>
  <c r="Q93" i="1"/>
  <c r="T93" i="1" s="1"/>
  <c r="L93" i="1"/>
  <c r="Q92" i="1"/>
  <c r="L92" i="1"/>
  <c r="Q91" i="1"/>
  <c r="L91" i="1"/>
  <c r="Q90" i="1"/>
  <c r="L90" i="1"/>
  <c r="Q89" i="1"/>
  <c r="S89" i="1" s="1"/>
  <c r="L89" i="1"/>
  <c r="Q88" i="1"/>
  <c r="L88" i="1"/>
  <c r="Q87" i="1"/>
  <c r="L87" i="1"/>
  <c r="Q86" i="1"/>
  <c r="S86" i="1" s="1"/>
  <c r="L86" i="1"/>
  <c r="Q85" i="1"/>
  <c r="S85" i="1" s="1"/>
  <c r="L85" i="1"/>
  <c r="Q84" i="1"/>
  <c r="S84" i="1" s="1"/>
  <c r="L84" i="1"/>
  <c r="Q83" i="1"/>
  <c r="R83" i="1" s="1"/>
  <c r="L83" i="1"/>
  <c r="Q82" i="1"/>
  <c r="R82" i="1" s="1"/>
  <c r="L82" i="1"/>
  <c r="Q81" i="1"/>
  <c r="L81" i="1"/>
  <c r="Q80" i="1"/>
  <c r="L80" i="1"/>
  <c r="Q79" i="1"/>
  <c r="S79" i="1" s="1"/>
  <c r="L79" i="1"/>
  <c r="Q78" i="1"/>
  <c r="L78" i="1"/>
  <c r="Q77" i="1"/>
  <c r="L77" i="1"/>
  <c r="Q76" i="1"/>
  <c r="L76" i="1"/>
  <c r="Q75" i="1"/>
  <c r="L75" i="1"/>
  <c r="Q74" i="1"/>
  <c r="L74" i="1"/>
  <c r="Q73" i="1"/>
  <c r="T73" i="1" s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T46" i="1" s="1"/>
  <c r="L46" i="1"/>
  <c r="Q45" i="1"/>
  <c r="L45" i="1"/>
  <c r="Q44" i="1"/>
  <c r="L44" i="1"/>
  <c r="Q43" i="1"/>
  <c r="L43" i="1"/>
  <c r="Q42" i="1"/>
  <c r="L42" i="1"/>
  <c r="Q41" i="1"/>
  <c r="L41" i="1"/>
  <c r="Q40" i="1"/>
  <c r="R40" i="1" s="1"/>
  <c r="L40" i="1"/>
  <c r="Q39" i="1"/>
  <c r="L39" i="1"/>
  <c r="Q38" i="1"/>
  <c r="L38" i="1"/>
  <c r="Q37" i="1"/>
  <c r="L37" i="1"/>
  <c r="Q36" i="1"/>
  <c r="L36" i="1"/>
  <c r="Q35" i="1"/>
  <c r="L35" i="1"/>
  <c r="Q34" i="1"/>
  <c r="S34" i="1" s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T26" i="1" s="1"/>
  <c r="L26" i="1"/>
  <c r="Q25" i="1"/>
  <c r="T25" i="1" s="1"/>
  <c r="L25" i="1"/>
  <c r="Q24" i="1"/>
  <c r="L24" i="1"/>
  <c r="Q23" i="1"/>
  <c r="L23" i="1"/>
  <c r="Q22" i="1"/>
  <c r="R22" i="1" s="1"/>
  <c r="AF22" i="1" s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T12" i="1" s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T7" i="1" l="1"/>
  <c r="R7" i="1"/>
  <c r="AF7" i="1" s="1"/>
  <c r="R11" i="1"/>
  <c r="AF11" i="1" s="1"/>
  <c r="T19" i="1"/>
  <c r="AF19" i="1"/>
  <c r="T23" i="1"/>
  <c r="R23" i="1"/>
  <c r="AF23" i="1" s="1"/>
  <c r="T29" i="1"/>
  <c r="AF29" i="1"/>
  <c r="T33" i="1"/>
  <c r="R33" i="1"/>
  <c r="AF33" i="1" s="1"/>
  <c r="T38" i="1"/>
  <c r="AF38" i="1"/>
  <c r="T42" i="1"/>
  <c r="AF42" i="1"/>
  <c r="T47" i="1"/>
  <c r="R47" i="1"/>
  <c r="AF47" i="1" s="1"/>
  <c r="T51" i="1"/>
  <c r="R51" i="1"/>
  <c r="AF51" i="1" s="1"/>
  <c r="T55" i="1"/>
  <c r="R55" i="1"/>
  <c r="AF55" i="1" s="1"/>
  <c r="T59" i="1"/>
  <c r="R59" i="1"/>
  <c r="AF59" i="1" s="1"/>
  <c r="T63" i="1"/>
  <c r="R63" i="1"/>
  <c r="AF63" i="1" s="1"/>
  <c r="T67" i="1"/>
  <c r="R67" i="1"/>
  <c r="AF67" i="1" s="1"/>
  <c r="T71" i="1"/>
  <c r="AF71" i="1"/>
  <c r="T76" i="1"/>
  <c r="R76" i="1"/>
  <c r="AF76" i="1" s="1"/>
  <c r="T81" i="1"/>
  <c r="AF81" i="1"/>
  <c r="T88" i="1"/>
  <c r="AF88" i="1"/>
  <c r="T94" i="1"/>
  <c r="AF94" i="1"/>
  <c r="AF9" i="1"/>
  <c r="R14" i="1"/>
  <c r="AF14" i="1" s="1"/>
  <c r="T17" i="1"/>
  <c r="R17" i="1"/>
  <c r="AF17" i="1" s="1"/>
  <c r="T21" i="1"/>
  <c r="AF21" i="1"/>
  <c r="T27" i="1"/>
  <c r="R27" i="1"/>
  <c r="AF27" i="1" s="1"/>
  <c r="T31" i="1"/>
  <c r="AF31" i="1"/>
  <c r="T36" i="1"/>
  <c r="AF36" i="1"/>
  <c r="T40" i="1"/>
  <c r="AF40" i="1"/>
  <c r="T44" i="1"/>
  <c r="AF44" i="1"/>
  <c r="T49" i="1"/>
  <c r="AF49" i="1"/>
  <c r="T53" i="1"/>
  <c r="R53" i="1"/>
  <c r="AF53" i="1" s="1"/>
  <c r="T57" i="1"/>
  <c r="R57" i="1"/>
  <c r="AF57" i="1" s="1"/>
  <c r="T61" i="1"/>
  <c r="AF61" i="1"/>
  <c r="T65" i="1"/>
  <c r="AF65" i="1"/>
  <c r="T69" i="1"/>
  <c r="R69" i="1"/>
  <c r="AF69" i="1" s="1"/>
  <c r="T74" i="1"/>
  <c r="AF74" i="1"/>
  <c r="T78" i="1"/>
  <c r="AF78" i="1"/>
  <c r="T83" i="1"/>
  <c r="AF83" i="1"/>
  <c r="T91" i="1"/>
  <c r="AF91" i="1"/>
  <c r="T97" i="1"/>
  <c r="AF97" i="1"/>
  <c r="T105" i="1"/>
  <c r="R105" i="1"/>
  <c r="AF105" i="1" s="1"/>
  <c r="T108" i="1"/>
  <c r="R108" i="1"/>
  <c r="AF108" i="1" s="1"/>
  <c r="T110" i="1"/>
  <c r="R110" i="1"/>
  <c r="AF110" i="1" s="1"/>
  <c r="T114" i="1"/>
  <c r="AF114" i="1"/>
  <c r="T117" i="1"/>
  <c r="AF117" i="1"/>
  <c r="T121" i="1"/>
  <c r="R121" i="1"/>
  <c r="AF121" i="1" s="1"/>
  <c r="T123" i="1"/>
  <c r="AF123" i="1"/>
  <c r="T125" i="1"/>
  <c r="AF125" i="1"/>
  <c r="T127" i="1"/>
  <c r="AF127" i="1"/>
  <c r="T129" i="1"/>
  <c r="AF129" i="1"/>
  <c r="T131" i="1"/>
  <c r="AF131" i="1"/>
  <c r="T6" i="1"/>
  <c r="R6" i="1"/>
  <c r="S6" i="1" s="1"/>
  <c r="T8" i="1"/>
  <c r="AF8" i="1"/>
  <c r="T10" i="1"/>
  <c r="R10" i="1"/>
  <c r="AF10" i="1" s="1"/>
  <c r="T13" i="1"/>
  <c r="R13" i="1"/>
  <c r="AF13" i="1" s="1"/>
  <c r="T15" i="1"/>
  <c r="R15" i="1"/>
  <c r="AF16" i="1"/>
  <c r="R18" i="1"/>
  <c r="AF18" i="1" s="1"/>
  <c r="R20" i="1"/>
  <c r="AF20" i="1" s="1"/>
  <c r="R24" i="1"/>
  <c r="AF24" i="1" s="1"/>
  <c r="AF28" i="1"/>
  <c r="AF30" i="1"/>
  <c r="AF32" i="1"/>
  <c r="R35" i="1"/>
  <c r="AF35" i="1" s="1"/>
  <c r="AF37" i="1"/>
  <c r="AF39" i="1"/>
  <c r="AF41" i="1"/>
  <c r="R43" i="1"/>
  <c r="AF43" i="1" s="1"/>
  <c r="AF45" i="1"/>
  <c r="AF48" i="1"/>
  <c r="R50" i="1"/>
  <c r="AF50" i="1" s="1"/>
  <c r="R52" i="1"/>
  <c r="AF52" i="1" s="1"/>
  <c r="AF54" i="1"/>
  <c r="AF56" i="1"/>
  <c r="R58" i="1"/>
  <c r="AF58" i="1" s="1"/>
  <c r="R60" i="1"/>
  <c r="AF60" i="1" s="1"/>
  <c r="AF62" i="1"/>
  <c r="R64" i="1"/>
  <c r="AF64" i="1" s="1"/>
  <c r="AF66" i="1"/>
  <c r="R68" i="1"/>
  <c r="AF68" i="1" s="1"/>
  <c r="R70" i="1"/>
  <c r="AF70" i="1" s="1"/>
  <c r="AF72" i="1"/>
  <c r="AF75" i="1"/>
  <c r="R77" i="1"/>
  <c r="AF77" i="1" s="1"/>
  <c r="AF80" i="1"/>
  <c r="AF82" i="1"/>
  <c r="AF87" i="1"/>
  <c r="R90" i="1"/>
  <c r="AF90" i="1" s="1"/>
  <c r="AF92" i="1"/>
  <c r="R96" i="1"/>
  <c r="AF96" i="1" s="1"/>
  <c r="R98" i="1"/>
  <c r="AF98" i="1" s="1"/>
  <c r="R106" i="1"/>
  <c r="AF106" i="1" s="1"/>
  <c r="R109" i="1"/>
  <c r="AF109" i="1" s="1"/>
  <c r="AF113" i="1"/>
  <c r="R115" i="1"/>
  <c r="AF115" i="1" s="1"/>
  <c r="AF118" i="1"/>
  <c r="AF122" i="1"/>
  <c r="AF124" i="1"/>
  <c r="AF128" i="1"/>
  <c r="AF130" i="1"/>
  <c r="R132" i="1"/>
  <c r="AF132" i="1" s="1"/>
  <c r="T85" i="1"/>
  <c r="S93" i="1"/>
  <c r="E5" i="1"/>
  <c r="S46" i="1"/>
  <c r="S29" i="1"/>
  <c r="S38" i="1"/>
  <c r="S101" i="1"/>
  <c r="S120" i="1"/>
  <c r="L5" i="1"/>
  <c r="T9" i="1"/>
  <c r="T11" i="1"/>
  <c r="S12" i="1"/>
  <c r="S19" i="1"/>
  <c r="S26" i="1"/>
  <c r="S49" i="1"/>
  <c r="S65" i="1"/>
  <c r="S73" i="1"/>
  <c r="S99" i="1"/>
  <c r="S103" i="1"/>
  <c r="T109" i="1"/>
  <c r="T111" i="1"/>
  <c r="S21" i="1"/>
  <c r="S25" i="1"/>
  <c r="S36" i="1"/>
  <c r="S44" i="1"/>
  <c r="S74" i="1"/>
  <c r="T75" i="1"/>
  <c r="T77" i="1"/>
  <c r="S78" i="1"/>
  <c r="T79" i="1"/>
  <c r="S81" i="1"/>
  <c r="T87" i="1"/>
  <c r="S88" i="1"/>
  <c r="T89" i="1"/>
  <c r="S91" i="1"/>
  <c r="T95" i="1"/>
  <c r="S100" i="1"/>
  <c r="S102" i="1"/>
  <c r="S104" i="1"/>
  <c r="S107" i="1"/>
  <c r="T113" i="1"/>
  <c r="T115" i="1"/>
  <c r="S116" i="1"/>
  <c r="S119" i="1"/>
  <c r="Q126" i="1"/>
  <c r="T128" i="1"/>
  <c r="S129" i="1"/>
  <c r="T130" i="1"/>
  <c r="S131" i="1"/>
  <c r="T132" i="1"/>
  <c r="S133" i="1"/>
  <c r="S22" i="1"/>
  <c r="T22" i="1"/>
  <c r="T14" i="1"/>
  <c r="T16" i="1"/>
  <c r="T18" i="1"/>
  <c r="T20" i="1"/>
  <c r="T24" i="1"/>
  <c r="T28" i="1"/>
  <c r="T30" i="1"/>
  <c r="T32" i="1"/>
  <c r="T34" i="1"/>
  <c r="T35" i="1"/>
  <c r="T37" i="1"/>
  <c r="T39" i="1"/>
  <c r="T41" i="1"/>
  <c r="T43" i="1"/>
  <c r="T45" i="1"/>
  <c r="T48" i="1"/>
  <c r="T50" i="1"/>
  <c r="T52" i="1"/>
  <c r="T54" i="1"/>
  <c r="T56" i="1"/>
  <c r="T58" i="1"/>
  <c r="T60" i="1"/>
  <c r="T62" i="1"/>
  <c r="T64" i="1"/>
  <c r="T66" i="1"/>
  <c r="T68" i="1"/>
  <c r="T70" i="1"/>
  <c r="T72" i="1"/>
  <c r="T80" i="1"/>
  <c r="T82" i="1"/>
  <c r="T84" i="1"/>
  <c r="T86" i="1"/>
  <c r="T90" i="1"/>
  <c r="T92" i="1"/>
  <c r="T96" i="1"/>
  <c r="T98" i="1"/>
  <c r="T106" i="1"/>
  <c r="T112" i="1"/>
  <c r="T118" i="1"/>
  <c r="T122" i="1"/>
  <c r="T124" i="1"/>
  <c r="S51" i="1" l="1"/>
  <c r="Q5" i="1"/>
  <c r="R126" i="1"/>
  <c r="AF126" i="1" s="1"/>
  <c r="S67" i="1"/>
  <c r="S13" i="1"/>
  <c r="S127" i="1"/>
  <c r="S125" i="1"/>
  <c r="S76" i="1"/>
  <c r="S59" i="1"/>
  <c r="S27" i="1"/>
  <c r="S117" i="1"/>
  <c r="S110" i="1"/>
  <c r="S108" i="1"/>
  <c r="S33" i="1"/>
  <c r="S69" i="1"/>
  <c r="S105" i="1"/>
  <c r="S7" i="1"/>
  <c r="AF15" i="1"/>
  <c r="S15" i="1"/>
  <c r="AF6" i="1"/>
  <c r="T126" i="1"/>
  <c r="S121" i="1"/>
  <c r="S114" i="1"/>
  <c r="S97" i="1"/>
  <c r="S94" i="1"/>
  <c r="S71" i="1"/>
  <c r="S63" i="1"/>
  <c r="S55" i="1"/>
  <c r="S47" i="1"/>
  <c r="S40" i="1"/>
  <c r="S31" i="1"/>
  <c r="S17" i="1"/>
  <c r="S123" i="1"/>
  <c r="S57" i="1"/>
  <c r="S42" i="1"/>
  <c r="S10" i="1"/>
  <c r="S8" i="1"/>
  <c r="S53" i="1"/>
  <c r="S23" i="1"/>
  <c r="S61" i="1"/>
  <c r="S83" i="1"/>
  <c r="S132" i="1"/>
  <c r="S130" i="1"/>
  <c r="S128" i="1"/>
  <c r="S124" i="1"/>
  <c r="S122" i="1"/>
  <c r="S118" i="1"/>
  <c r="S115" i="1"/>
  <c r="S113" i="1"/>
  <c r="S109" i="1"/>
  <c r="S106" i="1"/>
  <c r="S98" i="1"/>
  <c r="S96" i="1"/>
  <c r="S92" i="1"/>
  <c r="S90" i="1"/>
  <c r="S87" i="1"/>
  <c r="S82" i="1"/>
  <c r="S80" i="1"/>
  <c r="S77" i="1"/>
  <c r="S75" i="1"/>
  <c r="S72" i="1"/>
  <c r="S70" i="1"/>
  <c r="S68" i="1"/>
  <c r="S66" i="1"/>
  <c r="S64" i="1"/>
  <c r="S62" i="1"/>
  <c r="S60" i="1"/>
  <c r="S58" i="1"/>
  <c r="S56" i="1"/>
  <c r="S54" i="1"/>
  <c r="S52" i="1"/>
  <c r="S50" i="1"/>
  <c r="S48" i="1"/>
  <c r="S45" i="1"/>
  <c r="S43" i="1"/>
  <c r="S41" i="1"/>
  <c r="S39" i="1"/>
  <c r="S37" i="1"/>
  <c r="S35" i="1"/>
  <c r="S32" i="1"/>
  <c r="S30" i="1"/>
  <c r="S28" i="1"/>
  <c r="S24" i="1"/>
  <c r="S20" i="1"/>
  <c r="S18" i="1"/>
  <c r="S16" i="1"/>
  <c r="S14" i="1"/>
  <c r="S9" i="1"/>
  <c r="S11" i="1"/>
  <c r="AF5" i="1" l="1"/>
  <c r="S126" i="1"/>
  <c r="R5" i="1"/>
</calcChain>
</file>

<file path=xl/sharedStrings.xml><?xml version="1.0" encoding="utf-8"?>
<sst xmlns="http://schemas.openxmlformats.org/spreadsheetml/2006/main" count="465" uniqueCount="177">
  <si>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</si>
  <si>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</si>
  <si>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</si>
  <si>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</si>
  <si>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</si>
  <si>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</si>
  <si>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</si>
  <si>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</si>
  <si>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</si>
  <si>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</si>
  <si>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</si>
  <si>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</si>
  <si>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</si>
  <si>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</si>
  <si>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</si>
  <si>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</si>
  <si>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</si>
  <si>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</si>
  <si>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</si>
  <si>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</si>
  <si>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</si>
  <si>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</si>
  <si>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</si>
  <si>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03,08,доз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</si>
  <si>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</si>
  <si>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</si>
  <si>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</si>
  <si>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</si>
  <si>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</si>
  <si>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</si>
  <si>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</si>
  <si>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</si>
  <si>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</si>
  <si>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</si>
  <si>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</si>
  <si>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</si>
  <si>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</si>
  <si>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</si>
  <si>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</si>
  <si>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</si>
  <si>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</si>
  <si>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</si>
  <si>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</si>
  <si>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</si>
  <si>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</si>
  <si>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</si>
  <si>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</si>
  <si>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</si>
  <si>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</si>
  <si>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</si>
  <si>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</si>
  <si>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</si>
  <si>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</si>
  <si>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</si>
  <si>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</si>
  <si>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</si>
  <si>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</si>
  <si>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</si>
  <si>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</si>
  <si>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</si>
  <si>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</si>
  <si>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</si>
  <si>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</si>
  <si>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</si>
  <si>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</si>
  <si>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</si>
  <si>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</si>
  <si>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</si>
  <si>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</si>
  <si>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</si>
  <si>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</si>
  <si>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</si>
  <si>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</si>
  <si>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</si>
  <si>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</si>
  <si>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</si>
  <si>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80кг задача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</si>
  <si>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</si>
  <si>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</si>
  <si>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</si>
  <si>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</si>
  <si>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</si>
  <si>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</si>
  <si>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</si>
  <si>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</si>
  <si>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</si>
  <si>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</si>
  <si>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</si>
  <si>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</si>
  <si>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</si>
  <si>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</si>
  <si>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</si>
  <si>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</si>
  <si>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</si>
  <si>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</si>
  <si>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</si>
  <si>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</si>
  <si>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</si>
  <si>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</si>
  <si>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</si>
  <si>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</si>
  <si>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</si>
  <si>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</si>
  <si>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</si>
  <si>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</si>
  <si>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</si>
  <si>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</si>
  <si>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</si>
  <si>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</si>
  <si>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</si>
  <si>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</si>
  <si>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</si>
  <si>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</si>
  <si>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</si>
  <si>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</si>
  <si>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</si>
  <si>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</si>
  <si>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</si>
  <si>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</si>
  <si>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</si>
  <si>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</si>
  <si>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</si>
  <si>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</si>
  <si>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</si>
  <si>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</si>
  <si>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</si>
  <si>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</si>
  <si>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</si>
  <si>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</si>
  <si>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</si>
  <si>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</si>
  <si>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</si>
  <si>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</si>
  <si>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</si>
  <si>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</si>
  <si>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</si>
  <si>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</si>
  <si>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</si>
  <si>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</si>
  <si>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</si>
  <si>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</si>
  <si>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</si>
  <si>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</si>
  <si>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</si>
  <si>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</si>
  <si>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</si>
  <si>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</si>
  <si>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</si>
  <si>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</si>
  <si>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</si>
  <si>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</si>
  <si>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</si>
  <si>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</si>
  <si>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</si>
  <si>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</si>
  <si>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</si>
  <si>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</si>
  <si>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</si>
  <si>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</si>
  <si>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</si>
  <si>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</si>
  <si>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</si>
  <si>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</si>
  <si>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</si>
  <si>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</si>
  <si>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</si>
  <si>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</si>
  <si>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</si>
  <si>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</si>
  <si>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</si>
  <si>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</si>
  <si>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</si>
  <si>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</si>
  <si>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</si>
  <si>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</si>
  <si>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НЕДОГРУЗ / матрица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</si>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</sst>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8" width="7" customWidth="1"/>
    <col min="19" max="20" width="5" customWidth="1"/>
    <col min="21" max="30" width="6" customWidth="1"/>
    <col min="31" max="31" width="39.85546875" customWidth="1"/>
    <col min="32" max="32" width="7" customWidth="1"/>
    <col min="33" max="42" width="3" customWidth="1"/>
  </cols>
  <sheetData>
    <row r="1" spans="1:42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/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x14ac:dyDescent="0.25">
      <c r="A5" s="5"/>
      <c r="B5" s="5"/>
      <c r="C5" s="5"/>
      <c r="D5" s="5"/>
      <c r="E5" s="3">
        <f>SUM(E6:E499)</f>
        <v>21486.328999999998</v>
      </c>
      <c r="F5" s="3">
        <f>SUM(F6:F499)</f>
        <v>38912.19000000001</v>
      </c>
      <c r="G5" s="7"/>
      <c r="H5" s="5"/>
      <c r="I5" s="5"/>
      <c r="J5" s="5"/>
      <c r="K5" s="3">
        <f t="shared" ref="K5:R5" si="0">SUM(K6:K499)</f>
        <v>25089.114999999998</v>
      </c>
      <c r="L5" s="3">
        <f t="shared" si="0"/>
        <v>-3602.7860000000001</v>
      </c>
      <c r="M5" s="3">
        <f t="shared" si="0"/>
        <v>0</v>
      </c>
      <c r="N5" s="3">
        <f t="shared" si="0"/>
        <v>0</v>
      </c>
      <c r="O5" s="3">
        <f t="shared" si="0"/>
        <v>11205.175771919998</v>
      </c>
      <c r="P5" s="3">
        <f t="shared" si="0"/>
        <v>3600</v>
      </c>
      <c r="Q5" s="3">
        <f t="shared" si="0"/>
        <v>4297.2657999999992</v>
      </c>
      <c r="R5" s="3">
        <f t="shared" si="0"/>
        <v>9825.5921999999991</v>
      </c>
      <c r="S5" s="5"/>
      <c r="T5" s="5"/>
      <c r="U5" s="3">
        <f t="shared" ref="U5:AD5" si="1">SUM(U6:U499)</f>
        <v>4684.4022000000004</v>
      </c>
      <c r="V5" s="3">
        <f t="shared" si="1"/>
        <v>4934.9677999999976</v>
      </c>
      <c r="W5" s="3">
        <f t="shared" si="1"/>
        <v>5484.3842000000004</v>
      </c>
      <c r="X5" s="3">
        <f t="shared" si="1"/>
        <v>5313.1188000000011</v>
      </c>
      <c r="Y5" s="3">
        <f t="shared" si="1"/>
        <v>4949.6584000000003</v>
      </c>
      <c r="Z5" s="3">
        <f t="shared" si="1"/>
        <v>5681.5398000000005</v>
      </c>
      <c r="AA5" s="3">
        <f t="shared" si="1"/>
        <v>4551.4276000000009</v>
      </c>
      <c r="AB5" s="3">
        <f t="shared" si="1"/>
        <v>4056.5027999999998</v>
      </c>
      <c r="AC5" s="3">
        <f t="shared" si="1"/>
        <v>4897.2521999999981</v>
      </c>
      <c r="AD5" s="3">
        <f t="shared" si="1"/>
        <v>4544.8997999999974</v>
      </c>
      <c r="AE5" s="5"/>
      <c r="AF5" s="3">
        <f>SUM(AF6:AF499)</f>
        <v>6829.0201999999981</v>
      </c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5">
      <c r="A6" s="5" t="s">
        <v>35</v>
      </c>
      <c r="B6" s="5" t="s">
        <v>36</v>
      </c>
      <c r="C6" s="5">
        <v>520.91700000000003</v>
      </c>
      <c r="D6" s="5">
        <v>80.972999999999999</v>
      </c>
      <c r="E6" s="5">
        <v>243.98699999999999</v>
      </c>
      <c r="F6" s="5">
        <v>333.827</v>
      </c>
      <c r="G6" s="7">
        <v>1</v>
      </c>
      <c r="H6" s="5">
        <v>50</v>
      </c>
      <c r="I6" s="5" t="s">
        <v>37</v>
      </c>
      <c r="J6" s="5"/>
      <c r="K6" s="5">
        <v>214.45</v>
      </c>
      <c r="L6" s="5">
        <f t="shared" ref="L6:L37" si="2">E6-K6</f>
        <v>29.537000000000006</v>
      </c>
      <c r="M6" s="5"/>
      <c r="N6" s="5"/>
      <c r="O6" s="5">
        <v>220</v>
      </c>
      <c r="P6" s="5"/>
      <c r="Q6" s="5">
        <f t="shared" ref="Q6:Q37" si="3">E6/5</f>
        <v>48.797399999999996</v>
      </c>
      <c r="R6" s="4">
        <f>11*Q6-P6-F6</f>
        <v>202.94439999999997</v>
      </c>
      <c r="S6" s="5">
        <f t="shared" ref="S6:S37" si="4">(F6+O6+P6+R6)/Q6</f>
        <v>15.508436924918131</v>
      </c>
      <c r="T6" s="5">
        <f t="shared" ref="T6:T37" si="5">(F6+O6+P6)/Q6</f>
        <v>11.34951862189379</v>
      </c>
      <c r="U6" s="5">
        <v>48.463799999999999</v>
      </c>
      <c r="V6" s="5">
        <v>38.078200000000002</v>
      </c>
      <c r="W6" s="5">
        <v>53.040599999999998</v>
      </c>
      <c r="X6" s="5">
        <v>62.256600000000013</v>
      </c>
      <c r="Y6" s="5">
        <v>66.852599999999995</v>
      </c>
      <c r="Z6" s="5">
        <v>82.294000000000011</v>
      </c>
      <c r="AA6" s="5">
        <v>60.082000000000008</v>
      </c>
      <c r="AB6" s="5">
        <v>55.816999999999993</v>
      </c>
      <c r="AC6" s="5">
        <v>53.811199999999999</v>
      </c>
      <c r="AD6" s="5">
        <v>54.4542</v>
      </c>
      <c r="AE6" s="5"/>
      <c r="AF6" s="5">
        <f t="shared" ref="AF6:AF11" si="6">G6*R6</f>
        <v>202.94439999999997</v>
      </c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x14ac:dyDescent="0.25">
      <c r="A7" s="5" t="s">
        <v>38</v>
      </c>
      <c r="B7" s="5" t="s">
        <v>36</v>
      </c>
      <c r="C7" s="5">
        <v>502.54599999999999</v>
      </c>
      <c r="D7" s="5">
        <v>1080.3679999999999</v>
      </c>
      <c r="E7" s="5">
        <v>616.19200000000001</v>
      </c>
      <c r="F7" s="5">
        <v>908.01300000000003</v>
      </c>
      <c r="G7" s="7">
        <v>1</v>
      </c>
      <c r="H7" s="5">
        <v>45</v>
      </c>
      <c r="I7" s="5" t="s">
        <v>37</v>
      </c>
      <c r="J7" s="5"/>
      <c r="K7" s="5">
        <v>681.4</v>
      </c>
      <c r="L7" s="5">
        <f t="shared" si="2"/>
        <v>-65.20799999999997</v>
      </c>
      <c r="M7" s="5"/>
      <c r="N7" s="5"/>
      <c r="O7" s="5">
        <v>687.99371000000031</v>
      </c>
      <c r="P7" s="5"/>
      <c r="Q7" s="5">
        <f t="shared" si="3"/>
        <v>123.2384</v>
      </c>
      <c r="R7" s="4">
        <f t="shared" ref="R7:R11" si="7">11*Q7-P7-F7</f>
        <v>447.60939999999994</v>
      </c>
      <c r="S7" s="5">
        <f t="shared" si="4"/>
        <v>16.582624490418574</v>
      </c>
      <c r="T7" s="5">
        <f t="shared" si="5"/>
        <v>12.950563379595973</v>
      </c>
      <c r="U7" s="5">
        <v>165.91419999999999</v>
      </c>
      <c r="V7" s="5">
        <v>160.22540000000001</v>
      </c>
      <c r="W7" s="5">
        <v>155.3356</v>
      </c>
      <c r="X7" s="5">
        <v>161.36680000000001</v>
      </c>
      <c r="Y7" s="5">
        <v>149.6454</v>
      </c>
      <c r="Z7" s="5">
        <v>178.84819999999999</v>
      </c>
      <c r="AA7" s="5">
        <v>149.67179999999999</v>
      </c>
      <c r="AB7" s="5">
        <v>148.21080000000001</v>
      </c>
      <c r="AC7" s="5">
        <v>187.27260000000001</v>
      </c>
      <c r="AD7" s="5">
        <v>139.0446</v>
      </c>
      <c r="AE7" s="5"/>
      <c r="AF7" s="5">
        <f t="shared" si="6"/>
        <v>447.60939999999994</v>
      </c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x14ac:dyDescent="0.25">
      <c r="A8" s="5" t="s">
        <v>39</v>
      </c>
      <c r="B8" s="5" t="s">
        <v>36</v>
      </c>
      <c r="C8" s="5">
        <v>517.81399999999996</v>
      </c>
      <c r="D8" s="5">
        <v>1972.0340000000001</v>
      </c>
      <c r="E8" s="5">
        <v>708.21</v>
      </c>
      <c r="F8" s="5">
        <v>1731.356</v>
      </c>
      <c r="G8" s="7">
        <v>1</v>
      </c>
      <c r="H8" s="5">
        <v>45</v>
      </c>
      <c r="I8" s="5" t="s">
        <v>37</v>
      </c>
      <c r="J8" s="5"/>
      <c r="K8" s="5">
        <v>774.38499999999999</v>
      </c>
      <c r="L8" s="5">
        <f t="shared" si="2"/>
        <v>-66.174999999999955</v>
      </c>
      <c r="M8" s="5"/>
      <c r="N8" s="5"/>
      <c r="O8" s="5">
        <v>0</v>
      </c>
      <c r="P8" s="5"/>
      <c r="Q8" s="5">
        <f t="shared" si="3"/>
        <v>141.642</v>
      </c>
      <c r="R8" s="4"/>
      <c r="S8" s="5">
        <f t="shared" si="4"/>
        <v>12.223464791516641</v>
      </c>
      <c r="T8" s="5">
        <f t="shared" si="5"/>
        <v>12.223464791516641</v>
      </c>
      <c r="U8" s="5">
        <v>157.6602</v>
      </c>
      <c r="V8" s="5">
        <v>153.99100000000001</v>
      </c>
      <c r="W8" s="5">
        <v>162.184</v>
      </c>
      <c r="X8" s="5">
        <v>168.56280000000001</v>
      </c>
      <c r="Y8" s="5">
        <v>152.89080000000001</v>
      </c>
      <c r="Z8" s="5">
        <v>189.7098</v>
      </c>
      <c r="AA8" s="5">
        <v>156.5736</v>
      </c>
      <c r="AB8" s="5">
        <v>142.0624</v>
      </c>
      <c r="AC8" s="5">
        <v>183.81639999999999</v>
      </c>
      <c r="AD8" s="5">
        <v>143.90119999999999</v>
      </c>
      <c r="AE8" s="5"/>
      <c r="AF8" s="5">
        <f t="shared" si="6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x14ac:dyDescent="0.25">
      <c r="A9" s="5" t="s">
        <v>40</v>
      </c>
      <c r="B9" s="5" t="s">
        <v>41</v>
      </c>
      <c r="C9" s="5">
        <v>1</v>
      </c>
      <c r="D9" s="5">
        <v>43</v>
      </c>
      <c r="E9" s="5">
        <v>1</v>
      </c>
      <c r="F9" s="5">
        <v>40</v>
      </c>
      <c r="G9" s="7">
        <v>0.4</v>
      </c>
      <c r="H9" s="5">
        <v>50</v>
      </c>
      <c r="I9" s="5" t="s">
        <v>37</v>
      </c>
      <c r="J9" s="5"/>
      <c r="K9" s="5">
        <v>14</v>
      </c>
      <c r="L9" s="5">
        <f t="shared" si="2"/>
        <v>-13</v>
      </c>
      <c r="M9" s="5"/>
      <c r="N9" s="5"/>
      <c r="O9" s="5">
        <v>0</v>
      </c>
      <c r="P9" s="5"/>
      <c r="Q9" s="5">
        <f t="shared" si="3"/>
        <v>0.2</v>
      </c>
      <c r="R9" s="4"/>
      <c r="S9" s="5">
        <f t="shared" si="4"/>
        <v>200</v>
      </c>
      <c r="T9" s="5">
        <f t="shared" si="5"/>
        <v>200</v>
      </c>
      <c r="U9" s="5">
        <v>1</v>
      </c>
      <c r="V9" s="5">
        <v>3.2</v>
      </c>
      <c r="W9" s="5">
        <v>2.6</v>
      </c>
      <c r="X9" s="5">
        <v>0.4</v>
      </c>
      <c r="Y9" s="5">
        <v>0</v>
      </c>
      <c r="Z9" s="5">
        <v>0</v>
      </c>
      <c r="AA9" s="5">
        <v>0</v>
      </c>
      <c r="AB9" s="5">
        <v>0.4</v>
      </c>
      <c r="AC9" s="5">
        <v>1.4</v>
      </c>
      <c r="AD9" s="5">
        <v>2</v>
      </c>
      <c r="AE9" s="5" t="s">
        <v>42</v>
      </c>
      <c r="AF9" s="5">
        <f t="shared" si="6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x14ac:dyDescent="0.25">
      <c r="A10" s="5" t="s">
        <v>43</v>
      </c>
      <c r="B10" s="5" t="s">
        <v>41</v>
      </c>
      <c r="C10" s="5">
        <v>133</v>
      </c>
      <c r="D10" s="5">
        <v>482</v>
      </c>
      <c r="E10" s="5">
        <v>192</v>
      </c>
      <c r="F10" s="5">
        <v>407</v>
      </c>
      <c r="G10" s="7">
        <v>0.45</v>
      </c>
      <c r="H10" s="5">
        <v>45</v>
      </c>
      <c r="I10" s="5" t="s">
        <v>37</v>
      </c>
      <c r="J10" s="5"/>
      <c r="K10" s="5">
        <v>259</v>
      </c>
      <c r="L10" s="5">
        <f t="shared" si="2"/>
        <v>-67</v>
      </c>
      <c r="M10" s="5"/>
      <c r="N10" s="5"/>
      <c r="O10" s="5">
        <v>238.42</v>
      </c>
      <c r="P10" s="5"/>
      <c r="Q10" s="5">
        <f t="shared" si="3"/>
        <v>38.4</v>
      </c>
      <c r="R10" s="4">
        <f t="shared" si="7"/>
        <v>15.399999999999977</v>
      </c>
      <c r="S10" s="5">
        <f t="shared" si="4"/>
        <v>17.208854166666665</v>
      </c>
      <c r="T10" s="5">
        <f t="shared" si="5"/>
        <v>16.807812500000001</v>
      </c>
      <c r="U10" s="5">
        <v>60.4</v>
      </c>
      <c r="V10" s="5">
        <v>57.4</v>
      </c>
      <c r="W10" s="5">
        <v>77</v>
      </c>
      <c r="X10" s="5">
        <v>68.599999999999994</v>
      </c>
      <c r="Y10" s="5">
        <v>57</v>
      </c>
      <c r="Z10" s="5">
        <v>64.400000000000006</v>
      </c>
      <c r="AA10" s="5">
        <v>51.8</v>
      </c>
      <c r="AB10" s="5">
        <v>54</v>
      </c>
      <c r="AC10" s="5">
        <v>66.599999999999994</v>
      </c>
      <c r="AD10" s="5">
        <v>69</v>
      </c>
      <c r="AE10" s="5"/>
      <c r="AF10" s="5">
        <f t="shared" si="6"/>
        <v>6.9299999999999899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x14ac:dyDescent="0.25">
      <c r="A11" s="5" t="s">
        <v>44</v>
      </c>
      <c r="B11" s="5" t="s">
        <v>41</v>
      </c>
      <c r="C11" s="5">
        <v>305</v>
      </c>
      <c r="D11" s="5">
        <v>542</v>
      </c>
      <c r="E11" s="5">
        <v>361</v>
      </c>
      <c r="F11" s="5">
        <v>452</v>
      </c>
      <c r="G11" s="7">
        <v>0.45</v>
      </c>
      <c r="H11" s="5">
        <v>45</v>
      </c>
      <c r="I11" s="5" t="s">
        <v>37</v>
      </c>
      <c r="J11" s="5"/>
      <c r="K11" s="5">
        <v>404</v>
      </c>
      <c r="L11" s="5">
        <f t="shared" si="2"/>
        <v>-43</v>
      </c>
      <c r="M11" s="5"/>
      <c r="N11" s="5"/>
      <c r="O11" s="5">
        <v>534.29999999999995</v>
      </c>
      <c r="P11" s="5"/>
      <c r="Q11" s="5">
        <f t="shared" si="3"/>
        <v>72.2</v>
      </c>
      <c r="R11" s="4">
        <f t="shared" si="7"/>
        <v>342.20000000000005</v>
      </c>
      <c r="S11" s="5">
        <f t="shared" si="4"/>
        <v>18.400277008310248</v>
      </c>
      <c r="T11" s="5">
        <f t="shared" si="5"/>
        <v>13.660664819944596</v>
      </c>
      <c r="U11" s="5">
        <v>90</v>
      </c>
      <c r="V11" s="5">
        <v>77.2</v>
      </c>
      <c r="W11" s="5">
        <v>93.8</v>
      </c>
      <c r="X11" s="5">
        <v>88.6</v>
      </c>
      <c r="Y11" s="5">
        <v>85.2</v>
      </c>
      <c r="Z11" s="5">
        <v>90.6</v>
      </c>
      <c r="AA11" s="5">
        <v>71.400000000000006</v>
      </c>
      <c r="AB11" s="5">
        <v>71.8</v>
      </c>
      <c r="AC11" s="5">
        <v>78</v>
      </c>
      <c r="AD11" s="5">
        <v>73.2</v>
      </c>
      <c r="AE11" s="5"/>
      <c r="AF11" s="5">
        <f t="shared" si="6"/>
        <v>153.99000000000004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x14ac:dyDescent="0.25">
      <c r="A12" s="10" t="s">
        <v>45</v>
      </c>
      <c r="B12" s="10" t="s">
        <v>41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f t="shared" si="3"/>
        <v>0</v>
      </c>
      <c r="R12" s="12"/>
      <c r="S12" s="10" t="e">
        <f t="shared" si="4"/>
        <v>#DIV/0!</v>
      </c>
      <c r="T12" s="10" t="e">
        <f t="shared" si="5"/>
        <v>#DIV/0!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 t="s">
        <v>46</v>
      </c>
      <c r="AF12" s="10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x14ac:dyDescent="0.25">
      <c r="A13" s="5" t="s">
        <v>47</v>
      </c>
      <c r="B13" s="5" t="s">
        <v>41</v>
      </c>
      <c r="C13" s="5">
        <v>121</v>
      </c>
      <c r="D13" s="5">
        <v>144</v>
      </c>
      <c r="E13" s="5">
        <v>107</v>
      </c>
      <c r="F13" s="5">
        <v>156</v>
      </c>
      <c r="G13" s="7">
        <v>0.3</v>
      </c>
      <c r="H13" s="5">
        <v>40</v>
      </c>
      <c r="I13" s="5" t="s">
        <v>37</v>
      </c>
      <c r="J13" s="5"/>
      <c r="K13" s="5">
        <v>102</v>
      </c>
      <c r="L13" s="5">
        <f t="shared" si="2"/>
        <v>5</v>
      </c>
      <c r="M13" s="5"/>
      <c r="N13" s="5"/>
      <c r="O13" s="5">
        <v>76.999999999999943</v>
      </c>
      <c r="P13" s="5"/>
      <c r="Q13" s="5">
        <f t="shared" si="3"/>
        <v>21.4</v>
      </c>
      <c r="R13" s="4">
        <f t="shared" ref="R13:R24" si="8">11*Q13-P13-F13</f>
        <v>79.399999999999977</v>
      </c>
      <c r="S13" s="5">
        <f t="shared" si="4"/>
        <v>14.598130841121492</v>
      </c>
      <c r="T13" s="5">
        <f t="shared" si="5"/>
        <v>10.887850467289718</v>
      </c>
      <c r="U13" s="5">
        <v>22.4</v>
      </c>
      <c r="V13" s="5">
        <v>23.8</v>
      </c>
      <c r="W13" s="5">
        <v>23</v>
      </c>
      <c r="X13" s="5">
        <v>19.8</v>
      </c>
      <c r="Y13" s="5">
        <v>18</v>
      </c>
      <c r="Z13" s="5">
        <v>25.6</v>
      </c>
      <c r="AA13" s="5">
        <v>22.4</v>
      </c>
      <c r="AB13" s="5">
        <v>14</v>
      </c>
      <c r="AC13" s="5">
        <v>18</v>
      </c>
      <c r="AD13" s="5">
        <v>14.4</v>
      </c>
      <c r="AE13" s="5"/>
      <c r="AF13" s="5">
        <f t="shared" ref="AF13:AF24" si="9">G13*R13</f>
        <v>23.819999999999993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25">
      <c r="A14" s="5" t="s">
        <v>48</v>
      </c>
      <c r="B14" s="5" t="s">
        <v>41</v>
      </c>
      <c r="C14" s="5">
        <v>163</v>
      </c>
      <c r="D14" s="5">
        <v>15</v>
      </c>
      <c r="E14" s="5">
        <v>110</v>
      </c>
      <c r="F14" s="5">
        <v>66</v>
      </c>
      <c r="G14" s="7">
        <v>0.17</v>
      </c>
      <c r="H14" s="5">
        <v>180</v>
      </c>
      <c r="I14" s="5" t="s">
        <v>37</v>
      </c>
      <c r="J14" s="5"/>
      <c r="K14" s="5">
        <v>106</v>
      </c>
      <c r="L14" s="5">
        <f t="shared" si="2"/>
        <v>4</v>
      </c>
      <c r="M14" s="5"/>
      <c r="N14" s="5"/>
      <c r="O14" s="5">
        <v>111.8</v>
      </c>
      <c r="P14" s="5"/>
      <c r="Q14" s="5">
        <f t="shared" si="3"/>
        <v>22</v>
      </c>
      <c r="R14" s="4">
        <f t="shared" si="8"/>
        <v>176</v>
      </c>
      <c r="S14" s="5">
        <f t="shared" si="4"/>
        <v>16.081818181818182</v>
      </c>
      <c r="T14" s="5">
        <f t="shared" si="5"/>
        <v>8.081818181818182</v>
      </c>
      <c r="U14" s="5">
        <v>18.8</v>
      </c>
      <c r="V14" s="5">
        <v>15.8</v>
      </c>
      <c r="W14" s="5">
        <v>17.600000000000001</v>
      </c>
      <c r="X14" s="5">
        <v>19.8</v>
      </c>
      <c r="Y14" s="5">
        <v>14.8</v>
      </c>
      <c r="Z14" s="5">
        <v>20.6</v>
      </c>
      <c r="AA14" s="5">
        <v>21.8</v>
      </c>
      <c r="AB14" s="5">
        <v>18.2</v>
      </c>
      <c r="AC14" s="5">
        <v>30.6</v>
      </c>
      <c r="AD14" s="5">
        <v>32.799999999999997</v>
      </c>
      <c r="AE14" s="5"/>
      <c r="AF14" s="5">
        <f t="shared" si="9"/>
        <v>29.92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x14ac:dyDescent="0.25">
      <c r="A15" s="5" t="s">
        <v>49</v>
      </c>
      <c r="B15" s="5" t="s">
        <v>36</v>
      </c>
      <c r="C15" s="5">
        <v>416.173</v>
      </c>
      <c r="D15" s="5">
        <v>464.69499999999999</v>
      </c>
      <c r="E15" s="5">
        <v>383.55</v>
      </c>
      <c r="F15" s="5">
        <v>484.97199999999998</v>
      </c>
      <c r="G15" s="7">
        <v>1</v>
      </c>
      <c r="H15" s="5">
        <v>70</v>
      </c>
      <c r="I15" s="5" t="s">
        <v>37</v>
      </c>
      <c r="J15" s="5"/>
      <c r="K15" s="5">
        <v>363.8</v>
      </c>
      <c r="L15" s="5">
        <f t="shared" si="2"/>
        <v>19.75</v>
      </c>
      <c r="M15" s="5"/>
      <c r="N15" s="5"/>
      <c r="O15" s="5">
        <v>349.93367999999998</v>
      </c>
      <c r="P15" s="5"/>
      <c r="Q15" s="5">
        <f t="shared" si="3"/>
        <v>76.710000000000008</v>
      </c>
      <c r="R15" s="4">
        <f t="shared" si="8"/>
        <v>358.83800000000008</v>
      </c>
      <c r="S15" s="5">
        <f t="shared" si="4"/>
        <v>15.561773953852169</v>
      </c>
      <c r="T15" s="5">
        <f t="shared" si="5"/>
        <v>10.883922304784251</v>
      </c>
      <c r="U15" s="5">
        <v>82.161599999999993</v>
      </c>
      <c r="V15" s="5">
        <v>77.837599999999995</v>
      </c>
      <c r="W15" s="5">
        <v>83.318399999999997</v>
      </c>
      <c r="X15" s="5">
        <v>95.534199999999998</v>
      </c>
      <c r="Y15" s="5">
        <v>52.246799999999993</v>
      </c>
      <c r="Z15" s="5">
        <v>66.222200000000001</v>
      </c>
      <c r="AA15" s="5">
        <v>84.409000000000006</v>
      </c>
      <c r="AB15" s="5">
        <v>85.927999999999997</v>
      </c>
      <c r="AC15" s="5">
        <v>52.177999999999997</v>
      </c>
      <c r="AD15" s="5">
        <v>15.4452</v>
      </c>
      <c r="AE15" s="5"/>
      <c r="AF15" s="5">
        <f t="shared" si="9"/>
        <v>358.83800000000008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x14ac:dyDescent="0.25">
      <c r="A16" s="5" t="s">
        <v>50</v>
      </c>
      <c r="B16" s="5" t="s">
        <v>36</v>
      </c>
      <c r="C16" s="5">
        <v>885.77599999999995</v>
      </c>
      <c r="D16" s="5">
        <v>5071.2060000000001</v>
      </c>
      <c r="E16" s="5">
        <v>1127.0840000000001</v>
      </c>
      <c r="F16" s="5">
        <v>4550.9740000000002</v>
      </c>
      <c r="G16" s="7">
        <v>1</v>
      </c>
      <c r="H16" s="5">
        <v>50</v>
      </c>
      <c r="I16" s="5" t="s">
        <v>37</v>
      </c>
      <c r="J16" s="5"/>
      <c r="K16" s="5">
        <v>1854</v>
      </c>
      <c r="L16" s="5">
        <f t="shared" si="2"/>
        <v>-726.91599999999994</v>
      </c>
      <c r="M16" s="5"/>
      <c r="N16" s="5"/>
      <c r="O16" s="5">
        <v>0</v>
      </c>
      <c r="P16" s="5"/>
      <c r="Q16" s="5">
        <f t="shared" si="3"/>
        <v>225.41680000000002</v>
      </c>
      <c r="R16" s="4"/>
      <c r="S16" s="5">
        <f t="shared" si="4"/>
        <v>20.189151828967493</v>
      </c>
      <c r="T16" s="5">
        <f t="shared" si="5"/>
        <v>20.189151828967493</v>
      </c>
      <c r="U16" s="5">
        <v>363.58780000000002</v>
      </c>
      <c r="V16" s="5">
        <v>414.27560000000011</v>
      </c>
      <c r="W16" s="5">
        <v>403.12939999999998</v>
      </c>
      <c r="X16" s="5">
        <v>368.91160000000002</v>
      </c>
      <c r="Y16" s="5">
        <v>333.24779999999998</v>
      </c>
      <c r="Z16" s="5">
        <v>396.964</v>
      </c>
      <c r="AA16" s="5">
        <v>364.63580000000002</v>
      </c>
      <c r="AB16" s="5">
        <v>341.27480000000003</v>
      </c>
      <c r="AC16" s="5">
        <v>267.3186</v>
      </c>
      <c r="AD16" s="5">
        <v>211.0538</v>
      </c>
      <c r="AE16" s="15" t="s">
        <v>176</v>
      </c>
      <c r="AF16" s="5">
        <f t="shared" si="9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x14ac:dyDescent="0.25">
      <c r="A17" s="5" t="s">
        <v>51</v>
      </c>
      <c r="B17" s="5" t="s">
        <v>36</v>
      </c>
      <c r="C17" s="5">
        <v>127.904</v>
      </c>
      <c r="D17" s="5">
        <v>132.58600000000001</v>
      </c>
      <c r="E17" s="5">
        <v>99.072999999999993</v>
      </c>
      <c r="F17" s="5">
        <v>161.417</v>
      </c>
      <c r="G17" s="7">
        <v>1</v>
      </c>
      <c r="H17" s="5">
        <v>60</v>
      </c>
      <c r="I17" s="5" t="s">
        <v>37</v>
      </c>
      <c r="J17" s="5"/>
      <c r="K17" s="5">
        <v>90.68</v>
      </c>
      <c r="L17" s="5">
        <f t="shared" si="2"/>
        <v>8.3929999999999865</v>
      </c>
      <c r="M17" s="5"/>
      <c r="N17" s="5"/>
      <c r="O17" s="5">
        <v>23.791199999999911</v>
      </c>
      <c r="P17" s="5"/>
      <c r="Q17" s="5">
        <f t="shared" si="3"/>
        <v>19.814599999999999</v>
      </c>
      <c r="R17" s="4">
        <f t="shared" si="8"/>
        <v>56.543599999999998</v>
      </c>
      <c r="S17" s="5">
        <f t="shared" si="4"/>
        <v>12.200690400008071</v>
      </c>
      <c r="T17" s="5">
        <f t="shared" si="5"/>
        <v>9.347057220433415</v>
      </c>
      <c r="U17" s="5">
        <v>17.560199999999998</v>
      </c>
      <c r="V17" s="5">
        <v>20.452200000000001</v>
      </c>
      <c r="W17" s="5">
        <v>22.732399999999998</v>
      </c>
      <c r="X17" s="5">
        <v>16.6022</v>
      </c>
      <c r="Y17" s="5">
        <v>18.7286</v>
      </c>
      <c r="Z17" s="5">
        <v>18.415600000000001</v>
      </c>
      <c r="AA17" s="5">
        <v>10.8032</v>
      </c>
      <c r="AB17" s="5">
        <v>8.2970000000000006</v>
      </c>
      <c r="AC17" s="5">
        <v>16.942399999999999</v>
      </c>
      <c r="AD17" s="5">
        <v>19.0762</v>
      </c>
      <c r="AE17" s="5"/>
      <c r="AF17" s="5">
        <f t="shared" si="9"/>
        <v>56.543599999999998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x14ac:dyDescent="0.25">
      <c r="A18" s="5" t="s">
        <v>52</v>
      </c>
      <c r="B18" s="5" t="s">
        <v>36</v>
      </c>
      <c r="C18" s="5">
        <v>96.751000000000005</v>
      </c>
      <c r="D18" s="5">
        <v>33.652000000000001</v>
      </c>
      <c r="E18" s="5">
        <v>58.899000000000001</v>
      </c>
      <c r="F18" s="5">
        <v>71.504000000000005</v>
      </c>
      <c r="G18" s="7">
        <v>1</v>
      </c>
      <c r="H18" s="5">
        <v>60</v>
      </c>
      <c r="I18" s="5" t="s">
        <v>37</v>
      </c>
      <c r="J18" s="5"/>
      <c r="K18" s="5">
        <v>52.4</v>
      </c>
      <c r="L18" s="5">
        <f t="shared" si="2"/>
        <v>6.4990000000000023</v>
      </c>
      <c r="M18" s="5"/>
      <c r="N18" s="5"/>
      <c r="O18" s="5">
        <v>35.797599999999981</v>
      </c>
      <c r="P18" s="5"/>
      <c r="Q18" s="5">
        <f t="shared" si="3"/>
        <v>11.7798</v>
      </c>
      <c r="R18" s="4">
        <f t="shared" si="8"/>
        <v>58.073799999999991</v>
      </c>
      <c r="S18" s="5">
        <f t="shared" si="4"/>
        <v>14.038897095027076</v>
      </c>
      <c r="T18" s="5">
        <f t="shared" si="5"/>
        <v>9.1089492181531071</v>
      </c>
      <c r="U18" s="5">
        <v>9.9963999999999995</v>
      </c>
      <c r="V18" s="5">
        <v>9.1463999999999999</v>
      </c>
      <c r="W18" s="5">
        <v>10.711600000000001</v>
      </c>
      <c r="X18" s="5">
        <v>10.7</v>
      </c>
      <c r="Y18" s="5">
        <v>9.6920000000000002</v>
      </c>
      <c r="Z18" s="5">
        <v>6.7256</v>
      </c>
      <c r="AA18" s="5">
        <v>4.0734000000000004</v>
      </c>
      <c r="AB18" s="5">
        <v>4.6054000000000004</v>
      </c>
      <c r="AC18" s="5">
        <v>12.081200000000001</v>
      </c>
      <c r="AD18" s="5">
        <v>12.433199999999999</v>
      </c>
      <c r="AE18" s="5"/>
      <c r="AF18" s="5">
        <f t="shared" si="9"/>
        <v>58.073799999999991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x14ac:dyDescent="0.25">
      <c r="A19" s="5" t="s">
        <v>53</v>
      </c>
      <c r="B19" s="5" t="s">
        <v>36</v>
      </c>
      <c r="C19" s="5">
        <v>52.606000000000002</v>
      </c>
      <c r="D19" s="5"/>
      <c r="E19" s="5">
        <v>16.265999999999998</v>
      </c>
      <c r="F19" s="5">
        <v>36.340000000000003</v>
      </c>
      <c r="G19" s="7">
        <v>1</v>
      </c>
      <c r="H19" s="5">
        <v>180</v>
      </c>
      <c r="I19" s="5" t="s">
        <v>37</v>
      </c>
      <c r="J19" s="5"/>
      <c r="K19" s="5">
        <v>14.98</v>
      </c>
      <c r="L19" s="5">
        <f t="shared" si="2"/>
        <v>1.2859999999999978</v>
      </c>
      <c r="M19" s="5"/>
      <c r="N19" s="5"/>
      <c r="O19" s="5">
        <v>0</v>
      </c>
      <c r="P19" s="5"/>
      <c r="Q19" s="5">
        <f t="shared" si="3"/>
        <v>3.2531999999999996</v>
      </c>
      <c r="R19" s="4"/>
      <c r="S19" s="5">
        <f t="shared" si="4"/>
        <v>11.170539776220339</v>
      </c>
      <c r="T19" s="5">
        <f t="shared" si="5"/>
        <v>11.170539776220339</v>
      </c>
      <c r="U19" s="5">
        <v>2.9756</v>
      </c>
      <c r="V19" s="5">
        <v>3.4765999999999999</v>
      </c>
      <c r="W19" s="5">
        <v>3.2033999999999998</v>
      </c>
      <c r="X19" s="5">
        <v>2.6796000000000002</v>
      </c>
      <c r="Y19" s="5">
        <v>5.3262</v>
      </c>
      <c r="Z19" s="5">
        <v>5.8662000000000001</v>
      </c>
      <c r="AA19" s="5">
        <v>3.2307999999999999</v>
      </c>
      <c r="AB19" s="5">
        <v>3.8264</v>
      </c>
      <c r="AC19" s="5">
        <v>6.4126000000000003</v>
      </c>
      <c r="AD19" s="5">
        <v>4.5920000000000014</v>
      </c>
      <c r="AE19" s="5"/>
      <c r="AF19" s="5">
        <f t="shared" si="9"/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x14ac:dyDescent="0.25">
      <c r="A20" s="5" t="s">
        <v>54</v>
      </c>
      <c r="B20" s="5" t="s">
        <v>36</v>
      </c>
      <c r="C20" s="5">
        <v>733.51</v>
      </c>
      <c r="D20" s="5">
        <v>339.24</v>
      </c>
      <c r="E20" s="5">
        <v>449.89699999999999</v>
      </c>
      <c r="F20" s="5">
        <v>599.64499999999998</v>
      </c>
      <c r="G20" s="7">
        <v>1</v>
      </c>
      <c r="H20" s="5">
        <v>60</v>
      </c>
      <c r="I20" s="5" t="s">
        <v>37</v>
      </c>
      <c r="J20" s="5"/>
      <c r="K20" s="5">
        <v>422.06</v>
      </c>
      <c r="L20" s="5">
        <f t="shared" si="2"/>
        <v>27.836999999999989</v>
      </c>
      <c r="M20" s="5"/>
      <c r="N20" s="5"/>
      <c r="O20" s="5">
        <v>257.59659000000028</v>
      </c>
      <c r="P20" s="5"/>
      <c r="Q20" s="5">
        <f t="shared" si="3"/>
        <v>89.979399999999998</v>
      </c>
      <c r="R20" s="4">
        <f t="shared" si="8"/>
        <v>390.12840000000006</v>
      </c>
      <c r="S20" s="5">
        <f t="shared" si="4"/>
        <v>13.862839605509709</v>
      </c>
      <c r="T20" s="5">
        <f t="shared" si="5"/>
        <v>9.5270871999591051</v>
      </c>
      <c r="U20" s="5">
        <v>85.64500000000001</v>
      </c>
      <c r="V20" s="5">
        <v>82.814400000000006</v>
      </c>
      <c r="W20" s="5">
        <v>99.254800000000003</v>
      </c>
      <c r="X20" s="5">
        <v>109.6948</v>
      </c>
      <c r="Y20" s="5">
        <v>108.2616</v>
      </c>
      <c r="Z20" s="5">
        <v>128.46600000000001</v>
      </c>
      <c r="AA20" s="5">
        <v>94.878799999999998</v>
      </c>
      <c r="AB20" s="5">
        <v>92.316800000000001</v>
      </c>
      <c r="AC20" s="5">
        <v>112.2612</v>
      </c>
      <c r="AD20" s="5">
        <v>109.2184</v>
      </c>
      <c r="AE20" s="5"/>
      <c r="AF20" s="5">
        <f t="shared" si="9"/>
        <v>390.12840000000006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x14ac:dyDescent="0.25">
      <c r="A21" s="5" t="s">
        <v>55</v>
      </c>
      <c r="B21" s="5" t="s">
        <v>36</v>
      </c>
      <c r="C21" s="5">
        <v>93.445999999999998</v>
      </c>
      <c r="D21" s="5">
        <v>266.39</v>
      </c>
      <c r="E21" s="5">
        <v>98.834999999999994</v>
      </c>
      <c r="F21" s="5">
        <v>260.12099999999998</v>
      </c>
      <c r="G21" s="7">
        <v>1</v>
      </c>
      <c r="H21" s="5">
        <v>70</v>
      </c>
      <c r="I21" s="5" t="s">
        <v>37</v>
      </c>
      <c r="J21" s="5"/>
      <c r="K21" s="5">
        <v>103.88</v>
      </c>
      <c r="L21" s="5">
        <f t="shared" si="2"/>
        <v>-5.0450000000000017</v>
      </c>
      <c r="M21" s="5"/>
      <c r="N21" s="5"/>
      <c r="O21" s="5">
        <v>112.0868</v>
      </c>
      <c r="P21" s="5"/>
      <c r="Q21" s="5">
        <f t="shared" si="3"/>
        <v>19.766999999999999</v>
      </c>
      <c r="R21" s="4"/>
      <c r="S21" s="5">
        <f t="shared" si="4"/>
        <v>18.829756665148984</v>
      </c>
      <c r="T21" s="5">
        <f t="shared" si="5"/>
        <v>18.829756665148984</v>
      </c>
      <c r="U21" s="5">
        <v>31.105599999999999</v>
      </c>
      <c r="V21" s="5">
        <v>31.758400000000002</v>
      </c>
      <c r="W21" s="5">
        <v>22.8048</v>
      </c>
      <c r="X21" s="5">
        <v>16.5824</v>
      </c>
      <c r="Y21" s="5">
        <v>21.981400000000001</v>
      </c>
      <c r="Z21" s="5">
        <v>25.205400000000001</v>
      </c>
      <c r="AA21" s="5">
        <v>18.808800000000002</v>
      </c>
      <c r="AB21" s="5">
        <v>8.6364000000000001</v>
      </c>
      <c r="AC21" s="5">
        <v>5.4560000000000004</v>
      </c>
      <c r="AD21" s="5">
        <v>17.258400000000002</v>
      </c>
      <c r="AE21" s="5"/>
      <c r="AF21" s="5">
        <f t="shared" si="9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x14ac:dyDescent="0.25">
      <c r="A22" s="5" t="s">
        <v>56</v>
      </c>
      <c r="B22" s="5" t="s">
        <v>36</v>
      </c>
      <c r="C22" s="5">
        <v>345.05200000000002</v>
      </c>
      <c r="D22" s="5">
        <v>285.166</v>
      </c>
      <c r="E22" s="5">
        <v>213.024</v>
      </c>
      <c r="F22" s="5">
        <v>400.12599999999998</v>
      </c>
      <c r="G22" s="7">
        <v>1</v>
      </c>
      <c r="H22" s="5">
        <v>70</v>
      </c>
      <c r="I22" s="5" t="s">
        <v>37</v>
      </c>
      <c r="J22" s="5"/>
      <c r="K22" s="5">
        <v>208.6</v>
      </c>
      <c r="L22" s="5">
        <f t="shared" si="2"/>
        <v>4.4240000000000066</v>
      </c>
      <c r="M22" s="5"/>
      <c r="N22" s="5"/>
      <c r="O22" s="5">
        <v>32.934599999999989</v>
      </c>
      <c r="P22" s="5"/>
      <c r="Q22" s="5">
        <f t="shared" si="3"/>
        <v>42.604799999999997</v>
      </c>
      <c r="R22" s="4">
        <f t="shared" si="8"/>
        <v>68.52679999999998</v>
      </c>
      <c r="S22" s="5">
        <f t="shared" si="4"/>
        <v>11.773025574583144</v>
      </c>
      <c r="T22" s="5">
        <f t="shared" si="5"/>
        <v>10.164596477392218</v>
      </c>
      <c r="U22" s="5">
        <v>42.156199999999998</v>
      </c>
      <c r="V22" s="5">
        <v>46.545400000000001</v>
      </c>
      <c r="W22" s="5">
        <v>57.740400000000001</v>
      </c>
      <c r="X22" s="5">
        <v>61.052200000000013</v>
      </c>
      <c r="Y22" s="5">
        <v>53.941800000000001</v>
      </c>
      <c r="Z22" s="5">
        <v>51.120199999999997</v>
      </c>
      <c r="AA22" s="5">
        <v>36.6006</v>
      </c>
      <c r="AB22" s="5">
        <v>37.357199999999999</v>
      </c>
      <c r="AC22" s="5">
        <v>53.085400000000007</v>
      </c>
      <c r="AD22" s="5">
        <v>53.475800000000007</v>
      </c>
      <c r="AE22" s="5"/>
      <c r="AF22" s="5">
        <f t="shared" si="9"/>
        <v>68.52679999999998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x14ac:dyDescent="0.25">
      <c r="A23" s="5" t="s">
        <v>57</v>
      </c>
      <c r="B23" s="5" t="s">
        <v>36</v>
      </c>
      <c r="C23" s="5">
        <v>22.85</v>
      </c>
      <c r="D23" s="5">
        <v>8.0419999999999998</v>
      </c>
      <c r="E23" s="5">
        <v>23.457999999999998</v>
      </c>
      <c r="F23" s="5">
        <v>7.4340000000000002</v>
      </c>
      <c r="G23" s="7">
        <v>1</v>
      </c>
      <c r="H23" s="5">
        <v>180</v>
      </c>
      <c r="I23" s="5" t="s">
        <v>37</v>
      </c>
      <c r="J23" s="5"/>
      <c r="K23" s="5">
        <v>27.46</v>
      </c>
      <c r="L23" s="5">
        <f t="shared" si="2"/>
        <v>-4.0020000000000024</v>
      </c>
      <c r="M23" s="5"/>
      <c r="N23" s="5"/>
      <c r="O23" s="5">
        <v>15.446400000000001</v>
      </c>
      <c r="P23" s="5"/>
      <c r="Q23" s="5">
        <f t="shared" si="3"/>
        <v>4.6915999999999993</v>
      </c>
      <c r="R23" s="4">
        <f t="shared" si="8"/>
        <v>44.173599999999993</v>
      </c>
      <c r="S23" s="5">
        <f t="shared" si="4"/>
        <v>14.292352289197717</v>
      </c>
      <c r="T23" s="5">
        <f t="shared" si="5"/>
        <v>4.8768863500724713</v>
      </c>
      <c r="U23" s="5">
        <v>3.9258000000000002</v>
      </c>
      <c r="V23" s="5">
        <v>4.0861999999999998</v>
      </c>
      <c r="W23" s="5">
        <v>3.0114000000000001</v>
      </c>
      <c r="X23" s="5">
        <v>1.6878</v>
      </c>
      <c r="Y23" s="5">
        <v>2.2938000000000001</v>
      </c>
      <c r="Z23" s="5">
        <v>4.5103999999999997</v>
      </c>
      <c r="AA23" s="5">
        <v>4.2845999999999993</v>
      </c>
      <c r="AB23" s="5">
        <v>3.5438000000000001</v>
      </c>
      <c r="AC23" s="5">
        <v>6.9477999999999991</v>
      </c>
      <c r="AD23" s="5">
        <v>5.1381999999999994</v>
      </c>
      <c r="AE23" s="5"/>
      <c r="AF23" s="5">
        <f t="shared" si="9"/>
        <v>44.173599999999993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x14ac:dyDescent="0.25">
      <c r="A24" s="5" t="s">
        <v>58</v>
      </c>
      <c r="B24" s="5" t="s">
        <v>36</v>
      </c>
      <c r="C24" s="5">
        <v>333.77699999999999</v>
      </c>
      <c r="D24" s="5">
        <v>236.155</v>
      </c>
      <c r="E24" s="5">
        <v>233.35599999999999</v>
      </c>
      <c r="F24" s="5">
        <v>335.69200000000001</v>
      </c>
      <c r="G24" s="7">
        <v>1</v>
      </c>
      <c r="H24" s="5">
        <v>70</v>
      </c>
      <c r="I24" s="5" t="s">
        <v>37</v>
      </c>
      <c r="J24" s="5"/>
      <c r="K24" s="5">
        <v>201.12</v>
      </c>
      <c r="L24" s="5">
        <f t="shared" si="2"/>
        <v>32.23599999999999</v>
      </c>
      <c r="M24" s="5"/>
      <c r="N24" s="5"/>
      <c r="O24" s="5">
        <v>207.77400000000009</v>
      </c>
      <c r="P24" s="5"/>
      <c r="Q24" s="5">
        <f t="shared" si="3"/>
        <v>46.671199999999999</v>
      </c>
      <c r="R24" s="4">
        <f t="shared" si="8"/>
        <v>177.69119999999998</v>
      </c>
      <c r="S24" s="5">
        <f t="shared" si="4"/>
        <v>15.451867532868238</v>
      </c>
      <c r="T24" s="5">
        <f t="shared" si="5"/>
        <v>11.644568813315281</v>
      </c>
      <c r="U24" s="5">
        <v>51.576599999999999</v>
      </c>
      <c r="V24" s="5">
        <v>50.810199999999988</v>
      </c>
      <c r="W24" s="5">
        <v>51.419199999999996</v>
      </c>
      <c r="X24" s="5">
        <v>53.342599999999997</v>
      </c>
      <c r="Y24" s="5">
        <v>51.205800000000004</v>
      </c>
      <c r="Z24" s="5">
        <v>58.679999999999993</v>
      </c>
      <c r="AA24" s="5">
        <v>46.426400000000001</v>
      </c>
      <c r="AB24" s="5">
        <v>46.136600000000001</v>
      </c>
      <c r="AC24" s="5">
        <v>69.900199999999998</v>
      </c>
      <c r="AD24" s="5">
        <v>60.441600000000008</v>
      </c>
      <c r="AE24" s="5"/>
      <c r="AF24" s="5">
        <f t="shared" si="9"/>
        <v>177.69119999999998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x14ac:dyDescent="0.25">
      <c r="A25" s="10" t="s">
        <v>59</v>
      </c>
      <c r="B25" s="10" t="s">
        <v>36</v>
      </c>
      <c r="C25" s="10">
        <v>30.533000000000001</v>
      </c>
      <c r="D25" s="10">
        <v>4.2240000000000002</v>
      </c>
      <c r="E25" s="10">
        <v>32.26</v>
      </c>
      <c r="F25" s="10">
        <v>1.0980000000000001</v>
      </c>
      <c r="G25" s="11">
        <v>0</v>
      </c>
      <c r="H25" s="10">
        <v>35</v>
      </c>
      <c r="I25" s="10" t="s">
        <v>60</v>
      </c>
      <c r="J25" s="10"/>
      <c r="K25" s="10">
        <v>36.5</v>
      </c>
      <c r="L25" s="10">
        <f t="shared" si="2"/>
        <v>-4.240000000000002</v>
      </c>
      <c r="M25" s="10"/>
      <c r="N25" s="10"/>
      <c r="O25" s="10">
        <v>0</v>
      </c>
      <c r="P25" s="10"/>
      <c r="Q25" s="10">
        <f t="shared" si="3"/>
        <v>6.452</v>
      </c>
      <c r="R25" s="12"/>
      <c r="S25" s="10">
        <f t="shared" si="4"/>
        <v>0.17017978921264726</v>
      </c>
      <c r="T25" s="10">
        <f t="shared" si="5"/>
        <v>0.17017978921264726</v>
      </c>
      <c r="U25" s="10">
        <v>6.3102</v>
      </c>
      <c r="V25" s="10">
        <v>5.6124000000000001</v>
      </c>
      <c r="W25" s="10">
        <v>3.0931999999999999</v>
      </c>
      <c r="X25" s="10">
        <v>2.9478</v>
      </c>
      <c r="Y25" s="10">
        <v>4.7827999999999999</v>
      </c>
      <c r="Z25" s="10">
        <v>7.0242000000000004</v>
      </c>
      <c r="AA25" s="10">
        <v>5.6067999999999998</v>
      </c>
      <c r="AB25" s="10">
        <v>2.6564000000000001</v>
      </c>
      <c r="AC25" s="10">
        <v>4.1875999999999998</v>
      </c>
      <c r="AD25" s="10">
        <v>4.7523999999999997</v>
      </c>
      <c r="AE25" s="10"/>
      <c r="AF25" s="10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x14ac:dyDescent="0.25">
      <c r="A26" s="10" t="s">
        <v>61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>
        <f t="shared" si="3"/>
        <v>0</v>
      </c>
      <c r="R26" s="12"/>
      <c r="S26" s="10" t="e">
        <f t="shared" si="4"/>
        <v>#DIV/0!</v>
      </c>
      <c r="T26" s="10" t="e">
        <f t="shared" si="5"/>
        <v>#DIV/0!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 t="s">
        <v>46</v>
      </c>
      <c r="AF26" s="10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x14ac:dyDescent="0.25">
      <c r="A27" s="5" t="s">
        <v>62</v>
      </c>
      <c r="B27" s="5" t="s">
        <v>36</v>
      </c>
      <c r="C27" s="5">
        <v>190.113</v>
      </c>
      <c r="D27" s="5">
        <v>171.702</v>
      </c>
      <c r="E27" s="5">
        <v>266.505</v>
      </c>
      <c r="F27" s="5">
        <v>82.53</v>
      </c>
      <c r="G27" s="7">
        <v>1</v>
      </c>
      <c r="H27" s="5">
        <v>30</v>
      </c>
      <c r="I27" s="5" t="s">
        <v>37</v>
      </c>
      <c r="J27" s="5"/>
      <c r="K27" s="5">
        <v>255.6</v>
      </c>
      <c r="L27" s="5">
        <f t="shared" si="2"/>
        <v>10.905000000000001</v>
      </c>
      <c r="M27" s="5"/>
      <c r="N27" s="5"/>
      <c r="O27" s="5">
        <v>311.05499999999978</v>
      </c>
      <c r="P27" s="5"/>
      <c r="Q27" s="5">
        <f t="shared" si="3"/>
        <v>53.301000000000002</v>
      </c>
      <c r="R27" s="4">
        <f t="shared" ref="R27:R33" si="10">11*Q27-P27-F27</f>
        <v>503.78100000000006</v>
      </c>
      <c r="S27" s="5">
        <f t="shared" si="4"/>
        <v>16.835819215399333</v>
      </c>
      <c r="T27" s="5">
        <f t="shared" si="5"/>
        <v>7.3841954184724452</v>
      </c>
      <c r="U27" s="5">
        <v>46.706800000000001</v>
      </c>
      <c r="V27" s="5">
        <v>23.161200000000001</v>
      </c>
      <c r="W27" s="5">
        <v>34.602600000000002</v>
      </c>
      <c r="X27" s="5">
        <v>39.710599999999999</v>
      </c>
      <c r="Y27" s="5">
        <v>34.586599999999997</v>
      </c>
      <c r="Z27" s="5">
        <v>40.651400000000002</v>
      </c>
      <c r="AA27" s="5">
        <v>18.385000000000002</v>
      </c>
      <c r="AB27" s="5">
        <v>6.2451999999999996</v>
      </c>
      <c r="AC27" s="5">
        <v>23.9664</v>
      </c>
      <c r="AD27" s="5">
        <v>38.5518</v>
      </c>
      <c r="AE27" s="5"/>
      <c r="AF27" s="5">
        <f t="shared" ref="AF27:AF33" si="11">G27*R27</f>
        <v>503.78100000000006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x14ac:dyDescent="0.25">
      <c r="A28" s="5" t="s">
        <v>63</v>
      </c>
      <c r="B28" s="5" t="s">
        <v>36</v>
      </c>
      <c r="C28" s="5">
        <v>372.1</v>
      </c>
      <c r="D28" s="5">
        <v>38.700000000000003</v>
      </c>
      <c r="E28" s="5">
        <v>368.19400000000002</v>
      </c>
      <c r="F28" s="5">
        <v>15.599</v>
      </c>
      <c r="G28" s="7">
        <v>1</v>
      </c>
      <c r="H28" s="5">
        <v>40</v>
      </c>
      <c r="I28" s="14" t="s">
        <v>175</v>
      </c>
      <c r="J28" s="5"/>
      <c r="K28" s="5">
        <v>374.8</v>
      </c>
      <c r="L28" s="5">
        <f t="shared" si="2"/>
        <v>-6.6059999999999945</v>
      </c>
      <c r="M28" s="5"/>
      <c r="N28" s="5"/>
      <c r="O28" s="9">
        <v>0</v>
      </c>
      <c r="P28" s="5"/>
      <c r="Q28" s="5">
        <f t="shared" si="3"/>
        <v>73.638800000000003</v>
      </c>
      <c r="R28" s="17">
        <v>150</v>
      </c>
      <c r="S28" s="5">
        <f t="shared" si="4"/>
        <v>2.2488009038713286</v>
      </c>
      <c r="T28" s="5">
        <f t="shared" si="5"/>
        <v>0.21183126286685822</v>
      </c>
      <c r="U28" s="5">
        <v>62.238599999999998</v>
      </c>
      <c r="V28" s="5">
        <v>32.152799999999999</v>
      </c>
      <c r="W28" s="5">
        <v>66.114800000000002</v>
      </c>
      <c r="X28" s="5">
        <v>89.90979999999999</v>
      </c>
      <c r="Y28" s="5">
        <v>73.314800000000005</v>
      </c>
      <c r="Z28" s="5">
        <v>79.865399999999994</v>
      </c>
      <c r="AA28" s="5">
        <v>55.552999999999997</v>
      </c>
      <c r="AB28" s="5">
        <v>47.498399999999997</v>
      </c>
      <c r="AC28" s="5">
        <v>64.634600000000006</v>
      </c>
      <c r="AD28" s="5">
        <v>63.067999999999998</v>
      </c>
      <c r="AE28" s="5"/>
      <c r="AF28" s="5">
        <f t="shared" si="11"/>
        <v>150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x14ac:dyDescent="0.25">
      <c r="A29" s="5" t="s">
        <v>64</v>
      </c>
      <c r="B29" s="5" t="s">
        <v>36</v>
      </c>
      <c r="C29" s="5">
        <v>-7.7670000000000003</v>
      </c>
      <c r="D29" s="5">
        <v>169.631</v>
      </c>
      <c r="E29" s="5">
        <v>102.295</v>
      </c>
      <c r="F29" s="5">
        <v>30.716000000000001</v>
      </c>
      <c r="G29" s="7">
        <v>1</v>
      </c>
      <c r="H29" s="5">
        <v>30</v>
      </c>
      <c r="I29" s="14" t="s">
        <v>175</v>
      </c>
      <c r="J29" s="5"/>
      <c r="K29" s="5">
        <v>125.6</v>
      </c>
      <c r="L29" s="5">
        <f t="shared" si="2"/>
        <v>-23.304999999999993</v>
      </c>
      <c r="M29" s="5"/>
      <c r="N29" s="5"/>
      <c r="O29" s="5">
        <v>0</v>
      </c>
      <c r="P29" s="5"/>
      <c r="Q29" s="5">
        <f t="shared" si="3"/>
        <v>20.459</v>
      </c>
      <c r="R29" s="17">
        <v>100</v>
      </c>
      <c r="S29" s="5">
        <f t="shared" si="4"/>
        <v>6.3891685810645686</v>
      </c>
      <c r="T29" s="5">
        <f t="shared" si="5"/>
        <v>1.5013441517180703</v>
      </c>
      <c r="U29" s="5">
        <v>-1.2302</v>
      </c>
      <c r="V29" s="5">
        <v>10.5242</v>
      </c>
      <c r="W29" s="5">
        <v>51.875800000000012</v>
      </c>
      <c r="X29" s="5">
        <v>106.5702</v>
      </c>
      <c r="Y29" s="5">
        <v>91.686000000000007</v>
      </c>
      <c r="Z29" s="5">
        <v>71.770200000000003</v>
      </c>
      <c r="AA29" s="5">
        <v>57.282799999999988</v>
      </c>
      <c r="AB29" s="5">
        <v>54.650399999999998</v>
      </c>
      <c r="AC29" s="5">
        <v>63.486400000000003</v>
      </c>
      <c r="AD29" s="5">
        <v>25.735800000000001</v>
      </c>
      <c r="AE29" s="5"/>
      <c r="AF29" s="5">
        <f t="shared" si="11"/>
        <v>100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x14ac:dyDescent="0.25">
      <c r="A30" s="5" t="s">
        <v>65</v>
      </c>
      <c r="B30" s="5" t="s">
        <v>36</v>
      </c>
      <c r="C30" s="5">
        <v>-1.026</v>
      </c>
      <c r="D30" s="5"/>
      <c r="E30" s="5">
        <v>0.70399999999999996</v>
      </c>
      <c r="F30" s="5">
        <v>-6.8019999999999996</v>
      </c>
      <c r="G30" s="7">
        <v>1</v>
      </c>
      <c r="H30" s="5">
        <v>40</v>
      </c>
      <c r="I30" s="14" t="s">
        <v>175</v>
      </c>
      <c r="J30" s="5"/>
      <c r="K30" s="5">
        <v>112.7</v>
      </c>
      <c r="L30" s="5">
        <f t="shared" si="2"/>
        <v>-111.99600000000001</v>
      </c>
      <c r="M30" s="5"/>
      <c r="N30" s="5"/>
      <c r="O30" s="9">
        <v>0</v>
      </c>
      <c r="P30" s="5"/>
      <c r="Q30" s="5">
        <f t="shared" si="3"/>
        <v>0.14079999999999998</v>
      </c>
      <c r="R30" s="17">
        <v>200</v>
      </c>
      <c r="S30" s="5">
        <f t="shared" si="4"/>
        <v>1372.1448863636367</v>
      </c>
      <c r="T30" s="5">
        <f t="shared" si="5"/>
        <v>-48.309659090909093</v>
      </c>
      <c r="U30" s="5">
        <v>2.6922000000000001</v>
      </c>
      <c r="V30" s="5">
        <v>93.157600000000002</v>
      </c>
      <c r="W30" s="5">
        <v>186.66319999999999</v>
      </c>
      <c r="X30" s="5">
        <v>177.22620000000001</v>
      </c>
      <c r="Y30" s="5">
        <v>205.678</v>
      </c>
      <c r="Z30" s="5">
        <v>192.21559999999999</v>
      </c>
      <c r="AA30" s="5">
        <v>70.557199999999995</v>
      </c>
      <c r="AB30" s="5">
        <v>-0.49800000000000011</v>
      </c>
      <c r="AC30" s="5">
        <v>74.856799999999993</v>
      </c>
      <c r="AD30" s="5">
        <v>185.2568</v>
      </c>
      <c r="AE30" s="5"/>
      <c r="AF30" s="5">
        <f t="shared" si="11"/>
        <v>200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x14ac:dyDescent="0.25">
      <c r="A31" s="5" t="s">
        <v>66</v>
      </c>
      <c r="B31" s="5" t="s">
        <v>36</v>
      </c>
      <c r="C31" s="5">
        <v>1.4E-2</v>
      </c>
      <c r="D31" s="5"/>
      <c r="E31" s="5"/>
      <c r="F31" s="5">
        <v>1.4E-2</v>
      </c>
      <c r="G31" s="7">
        <v>1</v>
      </c>
      <c r="H31" s="5">
        <v>40</v>
      </c>
      <c r="I31" s="5" t="s">
        <v>37</v>
      </c>
      <c r="J31" s="5"/>
      <c r="K31" s="5">
        <v>4.3</v>
      </c>
      <c r="L31" s="5">
        <f t="shared" si="2"/>
        <v>-4.3</v>
      </c>
      <c r="M31" s="5"/>
      <c r="N31" s="5"/>
      <c r="O31" s="9">
        <v>0</v>
      </c>
      <c r="P31" s="5"/>
      <c r="Q31" s="5">
        <f t="shared" si="3"/>
        <v>0</v>
      </c>
      <c r="R31" s="4">
        <v>20</v>
      </c>
      <c r="S31" s="5" t="e">
        <f t="shared" si="4"/>
        <v>#DIV/0!</v>
      </c>
      <c r="T31" s="5" t="e">
        <f t="shared" si="5"/>
        <v>#DIV/0!</v>
      </c>
      <c r="U31" s="5">
        <v>0</v>
      </c>
      <c r="V31" s="5">
        <v>0</v>
      </c>
      <c r="W31" s="5">
        <v>0.87280000000000002</v>
      </c>
      <c r="X31" s="5">
        <v>8.621599999999999</v>
      </c>
      <c r="Y31" s="5">
        <v>7.7488000000000001</v>
      </c>
      <c r="Z31" s="5">
        <v>-0.42280000000000001</v>
      </c>
      <c r="AA31" s="5">
        <v>-0.42280000000000001</v>
      </c>
      <c r="AB31" s="5">
        <v>0</v>
      </c>
      <c r="AC31" s="5">
        <v>0</v>
      </c>
      <c r="AD31" s="5">
        <v>0.64379999999999993</v>
      </c>
      <c r="AE31" s="5"/>
      <c r="AF31" s="5">
        <f t="shared" si="11"/>
        <v>20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x14ac:dyDescent="0.25">
      <c r="A32" s="5" t="s">
        <v>67</v>
      </c>
      <c r="B32" s="5" t="s">
        <v>36</v>
      </c>
      <c r="C32" s="5">
        <v>1.4510000000000001</v>
      </c>
      <c r="D32" s="5">
        <v>88.733999999999995</v>
      </c>
      <c r="E32" s="5">
        <v>17.725000000000001</v>
      </c>
      <c r="F32" s="5">
        <v>69.424999999999997</v>
      </c>
      <c r="G32" s="7">
        <v>1</v>
      </c>
      <c r="H32" s="5">
        <v>30</v>
      </c>
      <c r="I32" s="5" t="s">
        <v>37</v>
      </c>
      <c r="J32" s="5"/>
      <c r="K32" s="5">
        <v>31.4</v>
      </c>
      <c r="L32" s="5">
        <f t="shared" si="2"/>
        <v>-13.674999999999997</v>
      </c>
      <c r="M32" s="5"/>
      <c r="N32" s="5"/>
      <c r="O32" s="5">
        <v>0</v>
      </c>
      <c r="P32" s="5"/>
      <c r="Q32" s="5">
        <f t="shared" si="3"/>
        <v>3.5450000000000004</v>
      </c>
      <c r="R32" s="4"/>
      <c r="S32" s="5">
        <f t="shared" si="4"/>
        <v>19.583921015514807</v>
      </c>
      <c r="T32" s="5">
        <f t="shared" si="5"/>
        <v>19.583921015514807</v>
      </c>
      <c r="U32" s="5">
        <v>0</v>
      </c>
      <c r="V32" s="5">
        <v>5.3902000000000001</v>
      </c>
      <c r="W32" s="5">
        <v>10.913</v>
      </c>
      <c r="X32" s="5">
        <v>11.9476</v>
      </c>
      <c r="Y32" s="5">
        <v>7.6019999999999994</v>
      </c>
      <c r="Z32" s="5">
        <v>9.0299999999999994</v>
      </c>
      <c r="AA32" s="5">
        <v>13.668799999999999</v>
      </c>
      <c r="AB32" s="5">
        <v>10.4878</v>
      </c>
      <c r="AC32" s="5">
        <v>6.930200000000001</v>
      </c>
      <c r="AD32" s="5">
        <v>4.702</v>
      </c>
      <c r="AE32" s="5"/>
      <c r="AF32" s="5">
        <f t="shared" si="11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x14ac:dyDescent="0.25">
      <c r="A33" s="5" t="s">
        <v>68</v>
      </c>
      <c r="B33" s="5" t="s">
        <v>36</v>
      </c>
      <c r="C33" s="5">
        <v>119.91</v>
      </c>
      <c r="D33" s="5">
        <v>26.742000000000001</v>
      </c>
      <c r="E33" s="5">
        <v>120.07</v>
      </c>
      <c r="F33" s="5">
        <v>24.765999999999998</v>
      </c>
      <c r="G33" s="7">
        <v>1</v>
      </c>
      <c r="H33" s="5">
        <v>50</v>
      </c>
      <c r="I33" s="5" t="s">
        <v>37</v>
      </c>
      <c r="J33" s="5"/>
      <c r="K33" s="5">
        <v>106.2</v>
      </c>
      <c r="L33" s="5">
        <f t="shared" si="2"/>
        <v>13.86999999999999</v>
      </c>
      <c r="M33" s="5"/>
      <c r="N33" s="5"/>
      <c r="O33" s="5">
        <v>168.1884</v>
      </c>
      <c r="P33" s="5"/>
      <c r="Q33" s="5">
        <f t="shared" si="3"/>
        <v>24.013999999999999</v>
      </c>
      <c r="R33" s="4">
        <f t="shared" si="10"/>
        <v>239.38800000000001</v>
      </c>
      <c r="S33" s="5">
        <f t="shared" si="4"/>
        <v>18.003764470725411</v>
      </c>
      <c r="T33" s="5">
        <f t="shared" si="5"/>
        <v>8.0350795369367862</v>
      </c>
      <c r="U33" s="5">
        <v>21.271599999999999</v>
      </c>
      <c r="V33" s="5">
        <v>12.952199999999999</v>
      </c>
      <c r="W33" s="5">
        <v>13.867599999999999</v>
      </c>
      <c r="X33" s="5">
        <v>15.708600000000001</v>
      </c>
      <c r="Y33" s="5">
        <v>12.254200000000001</v>
      </c>
      <c r="Z33" s="5">
        <v>11.743399999999999</v>
      </c>
      <c r="AA33" s="5">
        <v>12.266</v>
      </c>
      <c r="AB33" s="5">
        <v>12.967599999999999</v>
      </c>
      <c r="AC33" s="5">
        <v>22.8354</v>
      </c>
      <c r="AD33" s="5">
        <v>18.087</v>
      </c>
      <c r="AE33" s="5"/>
      <c r="AF33" s="5">
        <f t="shared" si="11"/>
        <v>239.38800000000001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x14ac:dyDescent="0.25">
      <c r="A34" s="10" t="s">
        <v>69</v>
      </c>
      <c r="B34" s="10" t="s">
        <v>36</v>
      </c>
      <c r="C34" s="10">
        <v>108.864</v>
      </c>
      <c r="D34" s="10">
        <v>3.6309999999999998</v>
      </c>
      <c r="E34" s="10">
        <v>61.046999999999997</v>
      </c>
      <c r="F34" s="10">
        <v>45.076999999999998</v>
      </c>
      <c r="G34" s="11">
        <v>0</v>
      </c>
      <c r="H34" s="10">
        <v>50</v>
      </c>
      <c r="I34" s="10" t="s">
        <v>60</v>
      </c>
      <c r="J34" s="10"/>
      <c r="K34" s="10">
        <v>51.5</v>
      </c>
      <c r="L34" s="10">
        <f t="shared" si="2"/>
        <v>9.546999999999997</v>
      </c>
      <c r="M34" s="10"/>
      <c r="N34" s="10"/>
      <c r="O34" s="10">
        <v>0</v>
      </c>
      <c r="P34" s="10"/>
      <c r="Q34" s="10">
        <f t="shared" si="3"/>
        <v>12.209399999999999</v>
      </c>
      <c r="R34" s="12"/>
      <c r="S34" s="10">
        <f t="shared" si="4"/>
        <v>3.6919914164496208</v>
      </c>
      <c r="T34" s="10">
        <f t="shared" si="5"/>
        <v>3.6919914164496208</v>
      </c>
      <c r="U34" s="10">
        <v>12.5466</v>
      </c>
      <c r="V34" s="10">
        <v>9.8046000000000006</v>
      </c>
      <c r="W34" s="10">
        <v>10.172000000000001</v>
      </c>
      <c r="X34" s="10">
        <v>9.0811999999999991</v>
      </c>
      <c r="Y34" s="10">
        <v>5.2960000000000003</v>
      </c>
      <c r="Z34" s="10">
        <v>9.1239999999999988</v>
      </c>
      <c r="AA34" s="10">
        <v>9.2742000000000004</v>
      </c>
      <c r="AB34" s="10">
        <v>7.9944000000000006</v>
      </c>
      <c r="AC34" s="10">
        <v>17.6374</v>
      </c>
      <c r="AD34" s="10">
        <v>15.8256</v>
      </c>
      <c r="AE34" s="10"/>
      <c r="AF34" s="10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x14ac:dyDescent="0.25">
      <c r="A35" s="5" t="s">
        <v>70</v>
      </c>
      <c r="B35" s="5" t="s">
        <v>36</v>
      </c>
      <c r="C35" s="5">
        <v>72.263000000000005</v>
      </c>
      <c r="D35" s="5">
        <v>70.695999999999998</v>
      </c>
      <c r="E35" s="5">
        <v>70.87</v>
      </c>
      <c r="F35" s="5">
        <v>71.179000000000002</v>
      </c>
      <c r="G35" s="7">
        <v>1</v>
      </c>
      <c r="H35" s="5">
        <v>50</v>
      </c>
      <c r="I35" s="5" t="s">
        <v>37</v>
      </c>
      <c r="J35" s="5"/>
      <c r="K35" s="5">
        <v>57.3</v>
      </c>
      <c r="L35" s="5">
        <f t="shared" si="2"/>
        <v>13.570000000000007</v>
      </c>
      <c r="M35" s="5"/>
      <c r="N35" s="5"/>
      <c r="O35" s="5">
        <v>101.79559999999999</v>
      </c>
      <c r="P35" s="5"/>
      <c r="Q35" s="5">
        <f t="shared" si="3"/>
        <v>14.174000000000001</v>
      </c>
      <c r="R35" s="4">
        <f t="shared" ref="R35:R45" si="12">11*Q35-P35-F35</f>
        <v>84.735000000000014</v>
      </c>
      <c r="S35" s="5">
        <f t="shared" si="4"/>
        <v>18.181854099054608</v>
      </c>
      <c r="T35" s="5">
        <f t="shared" si="5"/>
        <v>12.203654578806265</v>
      </c>
      <c r="U35" s="5">
        <v>14.984400000000001</v>
      </c>
      <c r="V35" s="5">
        <v>12.6342</v>
      </c>
      <c r="W35" s="5">
        <v>12.2704</v>
      </c>
      <c r="X35" s="5">
        <v>9.8894000000000002</v>
      </c>
      <c r="Y35" s="5">
        <v>6.7754000000000003</v>
      </c>
      <c r="Z35" s="5">
        <v>9.1257999999999999</v>
      </c>
      <c r="AA35" s="5">
        <v>9.4567999999999994</v>
      </c>
      <c r="AB35" s="5">
        <v>7.2782</v>
      </c>
      <c r="AC35" s="5">
        <v>13.0936</v>
      </c>
      <c r="AD35" s="5">
        <v>11.2852</v>
      </c>
      <c r="AE35" s="5"/>
      <c r="AF35" s="5">
        <f t="shared" ref="AF35:AF45" si="13">G35*R35</f>
        <v>84.735000000000014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x14ac:dyDescent="0.25">
      <c r="A36" s="5" t="s">
        <v>71</v>
      </c>
      <c r="B36" s="5" t="s">
        <v>41</v>
      </c>
      <c r="C36" s="5">
        <v>198</v>
      </c>
      <c r="D36" s="5">
        <v>1954</v>
      </c>
      <c r="E36" s="5">
        <v>882</v>
      </c>
      <c r="F36" s="5">
        <v>1191</v>
      </c>
      <c r="G36" s="7">
        <v>0.4</v>
      </c>
      <c r="H36" s="5">
        <v>45</v>
      </c>
      <c r="I36" s="14" t="s">
        <v>175</v>
      </c>
      <c r="J36" s="5"/>
      <c r="K36" s="5">
        <v>1118</v>
      </c>
      <c r="L36" s="5">
        <f t="shared" si="2"/>
        <v>-236</v>
      </c>
      <c r="M36" s="5"/>
      <c r="N36" s="5"/>
      <c r="O36" s="5">
        <v>331.92200000000003</v>
      </c>
      <c r="P36" s="5"/>
      <c r="Q36" s="5">
        <f t="shared" si="3"/>
        <v>176.4</v>
      </c>
      <c r="R36" s="17">
        <v>400</v>
      </c>
      <c r="S36" s="5">
        <f t="shared" si="4"/>
        <v>10.900918367346939</v>
      </c>
      <c r="T36" s="5">
        <f t="shared" si="5"/>
        <v>8.6333446712018134</v>
      </c>
      <c r="U36" s="5">
        <v>250</v>
      </c>
      <c r="V36" s="5">
        <v>263.39999999999998</v>
      </c>
      <c r="W36" s="5">
        <v>260</v>
      </c>
      <c r="X36" s="5">
        <v>238.2</v>
      </c>
      <c r="Y36" s="5">
        <v>222</v>
      </c>
      <c r="Z36" s="5">
        <v>266.76</v>
      </c>
      <c r="AA36" s="5">
        <v>234.56</v>
      </c>
      <c r="AB36" s="5">
        <v>209.4</v>
      </c>
      <c r="AC36" s="5">
        <v>257.60000000000002</v>
      </c>
      <c r="AD36" s="5">
        <v>219.4</v>
      </c>
      <c r="AE36" s="5"/>
      <c r="AF36" s="5">
        <f t="shared" si="13"/>
        <v>160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x14ac:dyDescent="0.25">
      <c r="A37" s="5" t="s">
        <v>72</v>
      </c>
      <c r="B37" s="5" t="s">
        <v>41</v>
      </c>
      <c r="C37" s="5">
        <v>101</v>
      </c>
      <c r="D37" s="5">
        <v>573</v>
      </c>
      <c r="E37" s="5">
        <v>210</v>
      </c>
      <c r="F37" s="5">
        <v>458</v>
      </c>
      <c r="G37" s="7">
        <v>0.45</v>
      </c>
      <c r="H37" s="5">
        <v>50</v>
      </c>
      <c r="I37" s="5" t="s">
        <v>37</v>
      </c>
      <c r="J37" s="5"/>
      <c r="K37" s="5">
        <v>214</v>
      </c>
      <c r="L37" s="5">
        <f t="shared" si="2"/>
        <v>-4</v>
      </c>
      <c r="M37" s="5"/>
      <c r="N37" s="5"/>
      <c r="O37" s="5">
        <v>42.799999999999947</v>
      </c>
      <c r="P37" s="5"/>
      <c r="Q37" s="5">
        <f t="shared" si="3"/>
        <v>42</v>
      </c>
      <c r="R37" s="4">
        <v>8</v>
      </c>
      <c r="S37" s="5">
        <f t="shared" si="4"/>
        <v>12.114285714285714</v>
      </c>
      <c r="T37" s="5">
        <f t="shared" si="5"/>
        <v>11.923809523809522</v>
      </c>
      <c r="U37" s="5">
        <v>45.4</v>
      </c>
      <c r="V37" s="5">
        <v>60</v>
      </c>
      <c r="W37" s="5">
        <v>71</v>
      </c>
      <c r="X37" s="5">
        <v>44.6</v>
      </c>
      <c r="Y37" s="5">
        <v>24</v>
      </c>
      <c r="Z37" s="5">
        <v>40.4</v>
      </c>
      <c r="AA37" s="5">
        <v>47.8</v>
      </c>
      <c r="AB37" s="5">
        <v>42.4</v>
      </c>
      <c r="AC37" s="5">
        <v>58.6</v>
      </c>
      <c r="AD37" s="5">
        <v>62.8</v>
      </c>
      <c r="AE37" s="5"/>
      <c r="AF37" s="5">
        <f t="shared" si="13"/>
        <v>3.6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x14ac:dyDescent="0.25">
      <c r="A38" s="5" t="s">
        <v>73</v>
      </c>
      <c r="B38" s="5" t="s">
        <v>41</v>
      </c>
      <c r="C38" s="5">
        <v>72</v>
      </c>
      <c r="D38" s="5">
        <v>363</v>
      </c>
      <c r="E38" s="5">
        <v>99</v>
      </c>
      <c r="F38" s="5">
        <v>316</v>
      </c>
      <c r="G38" s="7">
        <v>0.4</v>
      </c>
      <c r="H38" s="5">
        <v>45</v>
      </c>
      <c r="I38" s="14" t="s">
        <v>175</v>
      </c>
      <c r="J38" s="5"/>
      <c r="K38" s="5">
        <v>332</v>
      </c>
      <c r="L38" s="5">
        <f t="shared" ref="L38:L69" si="14">E38-K38</f>
        <v>-233</v>
      </c>
      <c r="M38" s="5"/>
      <c r="N38" s="5"/>
      <c r="O38" s="5">
        <v>0</v>
      </c>
      <c r="P38" s="5"/>
      <c r="Q38" s="5">
        <f t="shared" ref="Q38:Q69" si="15">E38/5</f>
        <v>19.8</v>
      </c>
      <c r="R38" s="4"/>
      <c r="S38" s="5">
        <f t="shared" ref="S38:S69" si="16">(F38+O38+P38+R38)/Q38</f>
        <v>15.959595959595958</v>
      </c>
      <c r="T38" s="5">
        <f t="shared" ref="T38:T69" si="17">(F38+O38+P38)/Q38</f>
        <v>15.959595959595958</v>
      </c>
      <c r="U38" s="5">
        <v>19</v>
      </c>
      <c r="V38" s="5">
        <v>23.4</v>
      </c>
      <c r="W38" s="5">
        <v>63</v>
      </c>
      <c r="X38" s="5">
        <v>70.400000000000006</v>
      </c>
      <c r="Y38" s="5">
        <v>69.8</v>
      </c>
      <c r="Z38" s="5">
        <v>86.6</v>
      </c>
      <c r="AA38" s="5">
        <v>51.2</v>
      </c>
      <c r="AB38" s="5">
        <v>34.200000000000003</v>
      </c>
      <c r="AC38" s="5">
        <v>69.8</v>
      </c>
      <c r="AD38" s="5">
        <v>72.599999999999994</v>
      </c>
      <c r="AE38" s="5"/>
      <c r="AF38" s="5">
        <f t="shared" si="13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x14ac:dyDescent="0.25">
      <c r="A39" s="5" t="s">
        <v>74</v>
      </c>
      <c r="B39" s="5" t="s">
        <v>41</v>
      </c>
      <c r="C39" s="5">
        <v>13</v>
      </c>
      <c r="D39" s="5">
        <v>114</v>
      </c>
      <c r="E39" s="5">
        <v>31</v>
      </c>
      <c r="F39" s="5">
        <v>88</v>
      </c>
      <c r="G39" s="7">
        <v>0.4</v>
      </c>
      <c r="H39" s="5">
        <v>40</v>
      </c>
      <c r="I39" s="14" t="s">
        <v>175</v>
      </c>
      <c r="J39" s="5"/>
      <c r="K39" s="5">
        <v>62</v>
      </c>
      <c r="L39" s="5">
        <f t="shared" si="14"/>
        <v>-31</v>
      </c>
      <c r="M39" s="5"/>
      <c r="N39" s="5"/>
      <c r="O39" s="9">
        <v>0</v>
      </c>
      <c r="P39" s="5"/>
      <c r="Q39" s="5">
        <f t="shared" si="15"/>
        <v>6.2</v>
      </c>
      <c r="R39" s="4"/>
      <c r="S39" s="5">
        <f t="shared" si="16"/>
        <v>14.193548387096774</v>
      </c>
      <c r="T39" s="5">
        <f t="shared" si="17"/>
        <v>14.193548387096774</v>
      </c>
      <c r="U39" s="5">
        <v>6</v>
      </c>
      <c r="V39" s="5">
        <v>6.6</v>
      </c>
      <c r="W39" s="5">
        <v>14.2</v>
      </c>
      <c r="X39" s="5">
        <v>15.4</v>
      </c>
      <c r="Y39" s="5">
        <v>8.1999999999999993</v>
      </c>
      <c r="Z39" s="5">
        <v>4.5999999999999996</v>
      </c>
      <c r="AA39" s="5">
        <v>2.4</v>
      </c>
      <c r="AB39" s="5">
        <v>0.6</v>
      </c>
      <c r="AC39" s="5">
        <v>9.8000000000000007</v>
      </c>
      <c r="AD39" s="5">
        <v>11.2</v>
      </c>
      <c r="AE39" s="5"/>
      <c r="AF39" s="5">
        <f t="shared" si="13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x14ac:dyDescent="0.25">
      <c r="A40" s="5" t="s">
        <v>75</v>
      </c>
      <c r="B40" s="5" t="s">
        <v>36</v>
      </c>
      <c r="C40" s="5">
        <v>12.755000000000001</v>
      </c>
      <c r="D40" s="5"/>
      <c r="E40" s="5">
        <v>10.266999999999999</v>
      </c>
      <c r="F40" s="5">
        <v>2.488</v>
      </c>
      <c r="G40" s="7">
        <v>1</v>
      </c>
      <c r="H40" s="5">
        <v>45</v>
      </c>
      <c r="I40" s="5" t="s">
        <v>37</v>
      </c>
      <c r="J40" s="5"/>
      <c r="K40" s="5">
        <v>20.2</v>
      </c>
      <c r="L40" s="5">
        <f t="shared" si="14"/>
        <v>-9.9329999999999998</v>
      </c>
      <c r="M40" s="5"/>
      <c r="N40" s="5"/>
      <c r="O40" s="9">
        <v>0</v>
      </c>
      <c r="P40" s="5"/>
      <c r="Q40" s="5">
        <f t="shared" si="15"/>
        <v>2.0533999999999999</v>
      </c>
      <c r="R40" s="4">
        <f>7*Q40-P40-F40</f>
        <v>11.8858</v>
      </c>
      <c r="S40" s="5">
        <f t="shared" si="16"/>
        <v>7</v>
      </c>
      <c r="T40" s="5">
        <f t="shared" si="17"/>
        <v>1.21164897243596</v>
      </c>
      <c r="U40" s="5">
        <v>4.7110000000000003</v>
      </c>
      <c r="V40" s="5">
        <v>5.5636000000000001</v>
      </c>
      <c r="W40" s="5">
        <v>4.6311999999999998</v>
      </c>
      <c r="X40" s="5">
        <v>2.2968000000000002</v>
      </c>
      <c r="Y40" s="5">
        <v>2.3052000000000001</v>
      </c>
      <c r="Z40" s="5">
        <v>2.8776000000000002</v>
      </c>
      <c r="AA40" s="5">
        <v>1.722</v>
      </c>
      <c r="AB40" s="5">
        <v>0</v>
      </c>
      <c r="AC40" s="5">
        <v>1.1624000000000001</v>
      </c>
      <c r="AD40" s="5">
        <v>4.9401999999999999</v>
      </c>
      <c r="AE40" s="5" t="s">
        <v>76</v>
      </c>
      <c r="AF40" s="5">
        <f t="shared" si="13"/>
        <v>11.8858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x14ac:dyDescent="0.25">
      <c r="A41" s="5" t="s">
        <v>77</v>
      </c>
      <c r="B41" s="5" t="s">
        <v>41</v>
      </c>
      <c r="C41" s="5">
        <v>241</v>
      </c>
      <c r="D41" s="5">
        <v>1185</v>
      </c>
      <c r="E41" s="5">
        <v>321</v>
      </c>
      <c r="F41" s="5">
        <v>1093</v>
      </c>
      <c r="G41" s="7">
        <v>0.1</v>
      </c>
      <c r="H41" s="5">
        <v>731</v>
      </c>
      <c r="I41" s="5" t="s">
        <v>37</v>
      </c>
      <c r="J41" s="5"/>
      <c r="K41" s="5">
        <v>270</v>
      </c>
      <c r="L41" s="5">
        <f t="shared" si="14"/>
        <v>51</v>
      </c>
      <c r="M41" s="5"/>
      <c r="N41" s="5"/>
      <c r="O41" s="5">
        <v>0</v>
      </c>
      <c r="P41" s="5"/>
      <c r="Q41" s="5">
        <f t="shared" si="15"/>
        <v>64.2</v>
      </c>
      <c r="R41" s="4"/>
      <c r="S41" s="5">
        <f t="shared" si="16"/>
        <v>17.024922118380061</v>
      </c>
      <c r="T41" s="5">
        <f t="shared" si="17"/>
        <v>17.024922118380061</v>
      </c>
      <c r="U41" s="5">
        <v>86</v>
      </c>
      <c r="V41" s="5">
        <v>87.2</v>
      </c>
      <c r="W41" s="5">
        <v>66.599999999999994</v>
      </c>
      <c r="X41" s="5">
        <v>65.400000000000006</v>
      </c>
      <c r="Y41" s="5">
        <v>37.6</v>
      </c>
      <c r="Z41" s="5">
        <v>47</v>
      </c>
      <c r="AA41" s="5">
        <v>61</v>
      </c>
      <c r="AB41" s="5">
        <v>70.8</v>
      </c>
      <c r="AC41" s="5">
        <v>84.6</v>
      </c>
      <c r="AD41" s="5">
        <v>73.8</v>
      </c>
      <c r="AE41" s="5"/>
      <c r="AF41" s="5">
        <f t="shared" si="13"/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x14ac:dyDescent="0.25">
      <c r="A42" s="5" t="s">
        <v>78</v>
      </c>
      <c r="B42" s="5" t="s">
        <v>41</v>
      </c>
      <c r="C42" s="5">
        <v>-1</v>
      </c>
      <c r="D42" s="5">
        <v>36</v>
      </c>
      <c r="E42" s="5">
        <v>-15</v>
      </c>
      <c r="F42" s="5">
        <v>34</v>
      </c>
      <c r="G42" s="7">
        <v>0.35</v>
      </c>
      <c r="H42" s="5">
        <v>40</v>
      </c>
      <c r="I42" s="5" t="s">
        <v>37</v>
      </c>
      <c r="J42" s="5"/>
      <c r="K42" s="5">
        <v>10</v>
      </c>
      <c r="L42" s="5">
        <f t="shared" si="14"/>
        <v>-25</v>
      </c>
      <c r="M42" s="5"/>
      <c r="N42" s="5"/>
      <c r="O42" s="9">
        <v>0</v>
      </c>
      <c r="P42" s="5"/>
      <c r="Q42" s="5">
        <f t="shared" si="15"/>
        <v>-3</v>
      </c>
      <c r="R42" s="4"/>
      <c r="S42" s="5">
        <f t="shared" si="16"/>
        <v>-11.333333333333334</v>
      </c>
      <c r="T42" s="5">
        <f t="shared" si="17"/>
        <v>-11.333333333333334</v>
      </c>
      <c r="U42" s="5">
        <v>5.6</v>
      </c>
      <c r="V42" s="5">
        <v>29.2</v>
      </c>
      <c r="W42" s="5">
        <v>53.2</v>
      </c>
      <c r="X42" s="5">
        <v>48</v>
      </c>
      <c r="Y42" s="5">
        <v>28</v>
      </c>
      <c r="Z42" s="5">
        <v>33.799999999999997</v>
      </c>
      <c r="AA42" s="5">
        <v>35.200000000000003</v>
      </c>
      <c r="AB42" s="5">
        <v>30.4</v>
      </c>
      <c r="AC42" s="5">
        <v>34</v>
      </c>
      <c r="AD42" s="5">
        <v>27.4</v>
      </c>
      <c r="AE42" s="5"/>
      <c r="AF42" s="5">
        <f t="shared" si="13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5" t="s">
        <v>79</v>
      </c>
      <c r="B43" s="5" t="s">
        <v>36</v>
      </c>
      <c r="C43" s="5">
        <v>151.60300000000001</v>
      </c>
      <c r="D43" s="5">
        <v>117.404</v>
      </c>
      <c r="E43" s="5">
        <v>106.979</v>
      </c>
      <c r="F43" s="5">
        <v>140.845</v>
      </c>
      <c r="G43" s="7">
        <v>1</v>
      </c>
      <c r="H43" s="5">
        <v>40</v>
      </c>
      <c r="I43" s="5" t="s">
        <v>37</v>
      </c>
      <c r="J43" s="5"/>
      <c r="K43" s="5">
        <v>117.2</v>
      </c>
      <c r="L43" s="5">
        <f t="shared" si="14"/>
        <v>-10.221000000000004</v>
      </c>
      <c r="M43" s="5"/>
      <c r="N43" s="5"/>
      <c r="O43" s="5">
        <v>102.15479999999999</v>
      </c>
      <c r="P43" s="5"/>
      <c r="Q43" s="5">
        <f t="shared" si="15"/>
        <v>21.395800000000001</v>
      </c>
      <c r="R43" s="4">
        <f t="shared" si="12"/>
        <v>94.508800000000008</v>
      </c>
      <c r="S43" s="5">
        <f t="shared" si="16"/>
        <v>15.774525841520298</v>
      </c>
      <c r="T43" s="5">
        <f t="shared" si="17"/>
        <v>11.357359855672607</v>
      </c>
      <c r="U43" s="5">
        <v>23.605599999999999</v>
      </c>
      <c r="V43" s="5">
        <v>23.142399999999999</v>
      </c>
      <c r="W43" s="5">
        <v>25.816199999999998</v>
      </c>
      <c r="X43" s="5">
        <v>21.3096</v>
      </c>
      <c r="Y43" s="5">
        <v>20.192399999999999</v>
      </c>
      <c r="Z43" s="5">
        <v>27.465599999999998</v>
      </c>
      <c r="AA43" s="5">
        <v>16.9666</v>
      </c>
      <c r="AB43" s="5">
        <v>11.3088</v>
      </c>
      <c r="AC43" s="5">
        <v>21.493200000000002</v>
      </c>
      <c r="AD43" s="5">
        <v>20.497599999999998</v>
      </c>
      <c r="AE43" s="5"/>
      <c r="AF43" s="5">
        <f t="shared" si="13"/>
        <v>94.508800000000008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x14ac:dyDescent="0.25">
      <c r="A44" s="5" t="s">
        <v>80</v>
      </c>
      <c r="B44" s="5" t="s">
        <v>41</v>
      </c>
      <c r="C44" s="5">
        <v>1</v>
      </c>
      <c r="D44" s="5">
        <v>102</v>
      </c>
      <c r="E44" s="5">
        <v>5</v>
      </c>
      <c r="F44" s="5">
        <v>89</v>
      </c>
      <c r="G44" s="7">
        <v>0.4</v>
      </c>
      <c r="H44" s="5">
        <v>40</v>
      </c>
      <c r="I44" s="14" t="s">
        <v>175</v>
      </c>
      <c r="J44" s="5"/>
      <c r="K44" s="5">
        <v>92</v>
      </c>
      <c r="L44" s="5">
        <f t="shared" si="14"/>
        <v>-87</v>
      </c>
      <c r="M44" s="5"/>
      <c r="N44" s="5"/>
      <c r="O44" s="9">
        <v>0</v>
      </c>
      <c r="P44" s="5"/>
      <c r="Q44" s="5">
        <f t="shared" si="15"/>
        <v>1</v>
      </c>
      <c r="R44" s="17">
        <v>20</v>
      </c>
      <c r="S44" s="5">
        <f t="shared" si="16"/>
        <v>109</v>
      </c>
      <c r="T44" s="5">
        <f t="shared" si="17"/>
        <v>89</v>
      </c>
      <c r="U44" s="5">
        <v>0</v>
      </c>
      <c r="V44" s="5">
        <v>-0.4</v>
      </c>
      <c r="W44" s="5">
        <v>1.6</v>
      </c>
      <c r="X44" s="5">
        <v>15.4</v>
      </c>
      <c r="Y44" s="5">
        <v>26.8</v>
      </c>
      <c r="Z44" s="5">
        <v>22.6</v>
      </c>
      <c r="AA44" s="5">
        <v>12.6</v>
      </c>
      <c r="AB44" s="5">
        <v>16.8</v>
      </c>
      <c r="AC44" s="5">
        <v>27.2</v>
      </c>
      <c r="AD44" s="5">
        <v>28.8</v>
      </c>
      <c r="AE44" s="5"/>
      <c r="AF44" s="5">
        <f t="shared" si="13"/>
        <v>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x14ac:dyDescent="0.25">
      <c r="A45" s="5" t="s">
        <v>81</v>
      </c>
      <c r="B45" s="5" t="s">
        <v>41</v>
      </c>
      <c r="C45" s="5">
        <v>11</v>
      </c>
      <c r="D45" s="5">
        <v>258</v>
      </c>
      <c r="E45" s="5">
        <v>12</v>
      </c>
      <c r="F45" s="5">
        <v>252</v>
      </c>
      <c r="G45" s="7">
        <v>0.4</v>
      </c>
      <c r="H45" s="5">
        <v>45</v>
      </c>
      <c r="I45" s="14" t="s">
        <v>175</v>
      </c>
      <c r="J45" s="5"/>
      <c r="K45" s="5">
        <v>136</v>
      </c>
      <c r="L45" s="5">
        <f t="shared" si="14"/>
        <v>-124</v>
      </c>
      <c r="M45" s="5"/>
      <c r="N45" s="5"/>
      <c r="O45" s="9">
        <v>0</v>
      </c>
      <c r="P45" s="5"/>
      <c r="Q45" s="5">
        <f t="shared" si="15"/>
        <v>2.4</v>
      </c>
      <c r="R45" s="4"/>
      <c r="S45" s="5">
        <f t="shared" si="16"/>
        <v>105</v>
      </c>
      <c r="T45" s="5">
        <f t="shared" si="17"/>
        <v>105</v>
      </c>
      <c r="U45" s="5">
        <v>0</v>
      </c>
      <c r="V45" s="5">
        <v>18</v>
      </c>
      <c r="W45" s="5">
        <v>37.6</v>
      </c>
      <c r="X45" s="5">
        <v>30.2</v>
      </c>
      <c r="Y45" s="5">
        <v>22.4</v>
      </c>
      <c r="Z45" s="5">
        <v>21.8</v>
      </c>
      <c r="AA45" s="5">
        <v>19.600000000000001</v>
      </c>
      <c r="AB45" s="5">
        <v>21.4</v>
      </c>
      <c r="AC45" s="5">
        <v>24.4</v>
      </c>
      <c r="AD45" s="5">
        <v>27.8</v>
      </c>
      <c r="AE45" s="5"/>
      <c r="AF45" s="5">
        <f t="shared" si="13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x14ac:dyDescent="0.25">
      <c r="A46" s="10" t="s">
        <v>82</v>
      </c>
      <c r="B46" s="10" t="s">
        <v>36</v>
      </c>
      <c r="C46" s="10">
        <v>6.5350000000000001</v>
      </c>
      <c r="D46" s="10"/>
      <c r="E46" s="10">
        <v>0.73899999999999999</v>
      </c>
      <c r="F46" s="10">
        <v>3.63</v>
      </c>
      <c r="G46" s="11">
        <v>0</v>
      </c>
      <c r="H46" s="10">
        <v>40</v>
      </c>
      <c r="I46" s="10" t="s">
        <v>60</v>
      </c>
      <c r="J46" s="10"/>
      <c r="K46" s="10">
        <v>44.1</v>
      </c>
      <c r="L46" s="10">
        <f t="shared" si="14"/>
        <v>-43.361000000000004</v>
      </c>
      <c r="M46" s="10"/>
      <c r="N46" s="10"/>
      <c r="O46" s="10">
        <v>0</v>
      </c>
      <c r="P46" s="10"/>
      <c r="Q46" s="10">
        <f t="shared" si="15"/>
        <v>0.14779999999999999</v>
      </c>
      <c r="R46" s="12"/>
      <c r="S46" s="10">
        <f t="shared" si="16"/>
        <v>24.560216508795673</v>
      </c>
      <c r="T46" s="10">
        <f t="shared" si="17"/>
        <v>24.560216508795673</v>
      </c>
      <c r="U46" s="10">
        <v>9.0436000000000014</v>
      </c>
      <c r="V46" s="10">
        <v>13.8338</v>
      </c>
      <c r="W46" s="10">
        <v>14.6386</v>
      </c>
      <c r="X46" s="10">
        <v>12.710599999999999</v>
      </c>
      <c r="Y46" s="10">
        <v>6.6037999999999997</v>
      </c>
      <c r="Z46" s="10">
        <v>9.2596000000000007</v>
      </c>
      <c r="AA46" s="10">
        <v>9.5682000000000009</v>
      </c>
      <c r="AB46" s="10">
        <v>11.018000000000001</v>
      </c>
      <c r="AC46" s="10">
        <v>14.236800000000001</v>
      </c>
      <c r="AD46" s="10">
        <v>11.3324</v>
      </c>
      <c r="AE46" s="10"/>
      <c r="AF46" s="10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x14ac:dyDescent="0.25">
      <c r="A47" s="5" t="s">
        <v>83</v>
      </c>
      <c r="B47" s="5" t="s">
        <v>36</v>
      </c>
      <c r="C47" s="5">
        <v>119.6</v>
      </c>
      <c r="D47" s="5">
        <v>209.27199999999999</v>
      </c>
      <c r="E47" s="5">
        <v>98.004000000000005</v>
      </c>
      <c r="F47" s="5">
        <v>209.83500000000001</v>
      </c>
      <c r="G47" s="7">
        <v>1</v>
      </c>
      <c r="H47" s="5">
        <v>40</v>
      </c>
      <c r="I47" s="5" t="s">
        <v>37</v>
      </c>
      <c r="J47" s="5"/>
      <c r="K47" s="5">
        <v>114.8</v>
      </c>
      <c r="L47" s="5">
        <f t="shared" si="14"/>
        <v>-16.795999999999992</v>
      </c>
      <c r="M47" s="5"/>
      <c r="N47" s="5"/>
      <c r="O47" s="5">
        <v>38.09920000000001</v>
      </c>
      <c r="P47" s="5"/>
      <c r="Q47" s="5">
        <f t="shared" si="15"/>
        <v>19.6008</v>
      </c>
      <c r="R47" s="4">
        <f t="shared" ref="R47:R72" si="18">11*Q47-P47-F47</f>
        <v>5.7737999999999943</v>
      </c>
      <c r="S47" s="5">
        <f t="shared" si="16"/>
        <v>12.94375739765724</v>
      </c>
      <c r="T47" s="5">
        <f t="shared" si="17"/>
        <v>12.649187788253542</v>
      </c>
      <c r="U47" s="5">
        <v>24.483599999999999</v>
      </c>
      <c r="V47" s="5">
        <v>29.43</v>
      </c>
      <c r="W47" s="5">
        <v>32.792200000000001</v>
      </c>
      <c r="X47" s="5">
        <v>25.5106</v>
      </c>
      <c r="Y47" s="5">
        <v>21.378599999999999</v>
      </c>
      <c r="Z47" s="5">
        <v>28.646000000000001</v>
      </c>
      <c r="AA47" s="5">
        <v>20.747199999999999</v>
      </c>
      <c r="AB47" s="5">
        <v>18.888000000000002</v>
      </c>
      <c r="AC47" s="5">
        <v>24.991</v>
      </c>
      <c r="AD47" s="5">
        <v>20.183199999999999</v>
      </c>
      <c r="AE47" s="5"/>
      <c r="AF47" s="5">
        <f t="shared" ref="AF47:AF72" si="19">G47*R47</f>
        <v>5.7737999999999943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x14ac:dyDescent="0.25">
      <c r="A48" s="5" t="s">
        <v>84</v>
      </c>
      <c r="B48" s="5" t="s">
        <v>41</v>
      </c>
      <c r="C48" s="5">
        <v>99</v>
      </c>
      <c r="D48" s="5">
        <v>972</v>
      </c>
      <c r="E48" s="5">
        <v>141</v>
      </c>
      <c r="F48" s="5">
        <v>916</v>
      </c>
      <c r="G48" s="7">
        <v>0.35</v>
      </c>
      <c r="H48" s="5">
        <v>40</v>
      </c>
      <c r="I48" s="5" t="s">
        <v>37</v>
      </c>
      <c r="J48" s="5"/>
      <c r="K48" s="5">
        <v>287</v>
      </c>
      <c r="L48" s="5">
        <f t="shared" si="14"/>
        <v>-146</v>
      </c>
      <c r="M48" s="5"/>
      <c r="N48" s="5"/>
      <c r="O48" s="5">
        <v>100</v>
      </c>
      <c r="P48" s="5"/>
      <c r="Q48" s="5">
        <f t="shared" si="15"/>
        <v>28.2</v>
      </c>
      <c r="R48" s="4"/>
      <c r="S48" s="5">
        <f t="shared" si="16"/>
        <v>36.028368794326241</v>
      </c>
      <c r="T48" s="5">
        <f t="shared" si="17"/>
        <v>36.028368794326241</v>
      </c>
      <c r="U48" s="5">
        <v>68</v>
      </c>
      <c r="V48" s="5">
        <v>90.8</v>
      </c>
      <c r="W48" s="5">
        <v>100.4</v>
      </c>
      <c r="X48" s="5">
        <v>88.8</v>
      </c>
      <c r="Y48" s="5">
        <v>72.599999999999994</v>
      </c>
      <c r="Z48" s="5">
        <v>95.6</v>
      </c>
      <c r="AA48" s="5">
        <v>83</v>
      </c>
      <c r="AB48" s="5">
        <v>71.8</v>
      </c>
      <c r="AC48" s="5">
        <v>77.2</v>
      </c>
      <c r="AD48" s="5">
        <v>67.97999999999999</v>
      </c>
      <c r="AE48" s="5"/>
      <c r="AF48" s="5">
        <f t="shared" si="19"/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x14ac:dyDescent="0.25">
      <c r="A49" s="5" t="s">
        <v>85</v>
      </c>
      <c r="B49" s="5" t="s">
        <v>41</v>
      </c>
      <c r="C49" s="5">
        <v>6</v>
      </c>
      <c r="D49" s="5">
        <v>360</v>
      </c>
      <c r="E49" s="5">
        <v>-2</v>
      </c>
      <c r="F49" s="5">
        <v>357</v>
      </c>
      <c r="G49" s="7">
        <v>0.4</v>
      </c>
      <c r="H49" s="5">
        <v>40</v>
      </c>
      <c r="I49" s="14" t="s">
        <v>175</v>
      </c>
      <c r="J49" s="5"/>
      <c r="K49" s="5">
        <v>244</v>
      </c>
      <c r="L49" s="5">
        <f t="shared" si="14"/>
        <v>-246</v>
      </c>
      <c r="M49" s="5"/>
      <c r="N49" s="5"/>
      <c r="O49" s="9">
        <v>0</v>
      </c>
      <c r="P49" s="5"/>
      <c r="Q49" s="5">
        <f t="shared" si="15"/>
        <v>-0.4</v>
      </c>
      <c r="R49" s="17">
        <v>100</v>
      </c>
      <c r="S49" s="5">
        <f t="shared" si="16"/>
        <v>-1142.5</v>
      </c>
      <c r="T49" s="5">
        <f t="shared" si="17"/>
        <v>-892.5</v>
      </c>
      <c r="U49" s="5">
        <v>4.8</v>
      </c>
      <c r="V49" s="5">
        <v>60.6</v>
      </c>
      <c r="W49" s="5">
        <v>80.400000000000006</v>
      </c>
      <c r="X49" s="5">
        <v>31</v>
      </c>
      <c r="Y49" s="5">
        <v>47</v>
      </c>
      <c r="Z49" s="5">
        <v>79.599999999999994</v>
      </c>
      <c r="AA49" s="5">
        <v>60</v>
      </c>
      <c r="AB49" s="5">
        <v>42</v>
      </c>
      <c r="AC49" s="5">
        <v>28.6</v>
      </c>
      <c r="AD49" s="5">
        <v>26.6</v>
      </c>
      <c r="AE49" s="5"/>
      <c r="AF49" s="5">
        <f t="shared" si="19"/>
        <v>40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x14ac:dyDescent="0.25">
      <c r="A50" s="5" t="s">
        <v>86</v>
      </c>
      <c r="B50" s="5" t="s">
        <v>36</v>
      </c>
      <c r="C50" s="5">
        <v>38.021999999999998</v>
      </c>
      <c r="D50" s="5">
        <v>91.945999999999998</v>
      </c>
      <c r="E50" s="5">
        <v>43.146000000000001</v>
      </c>
      <c r="F50" s="5">
        <v>79.846000000000004</v>
      </c>
      <c r="G50" s="7">
        <v>1</v>
      </c>
      <c r="H50" s="5">
        <v>50</v>
      </c>
      <c r="I50" s="5" t="s">
        <v>37</v>
      </c>
      <c r="J50" s="5"/>
      <c r="K50" s="5">
        <v>42</v>
      </c>
      <c r="L50" s="5">
        <f t="shared" si="14"/>
        <v>1.1460000000000008</v>
      </c>
      <c r="M50" s="5"/>
      <c r="N50" s="5"/>
      <c r="O50" s="5">
        <v>100.0532</v>
      </c>
      <c r="P50" s="5"/>
      <c r="Q50" s="5">
        <f t="shared" si="15"/>
        <v>8.6292000000000009</v>
      </c>
      <c r="R50" s="4">
        <f t="shared" si="18"/>
        <v>15.075200000000009</v>
      </c>
      <c r="S50" s="5">
        <f t="shared" si="16"/>
        <v>22.594724887590967</v>
      </c>
      <c r="T50" s="5">
        <f t="shared" si="17"/>
        <v>20.847726324572381</v>
      </c>
      <c r="U50" s="5">
        <v>14.634600000000001</v>
      </c>
      <c r="V50" s="5">
        <v>11.626799999999999</v>
      </c>
      <c r="W50" s="5">
        <v>6.9311999999999996</v>
      </c>
      <c r="X50" s="5">
        <v>5.5941999999999998</v>
      </c>
      <c r="Y50" s="5">
        <v>8.6849999999999987</v>
      </c>
      <c r="Z50" s="5">
        <v>11.409000000000001</v>
      </c>
      <c r="AA50" s="5">
        <v>5.1622000000000003</v>
      </c>
      <c r="AB50" s="5">
        <v>2.6922000000000001</v>
      </c>
      <c r="AC50" s="5">
        <v>6.4640000000000004</v>
      </c>
      <c r="AD50" s="5">
        <v>7.74</v>
      </c>
      <c r="AE50" s="5"/>
      <c r="AF50" s="5">
        <f t="shared" si="19"/>
        <v>15.075200000000009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x14ac:dyDescent="0.25">
      <c r="A51" s="5" t="s">
        <v>87</v>
      </c>
      <c r="B51" s="5" t="s">
        <v>36</v>
      </c>
      <c r="C51" s="5">
        <v>392.70600000000002</v>
      </c>
      <c r="D51" s="5">
        <v>5.4349999999999996</v>
      </c>
      <c r="E51" s="5">
        <v>135.13399999999999</v>
      </c>
      <c r="F51" s="5">
        <v>255.84700000000001</v>
      </c>
      <c r="G51" s="7">
        <v>1</v>
      </c>
      <c r="H51" s="5">
        <v>50</v>
      </c>
      <c r="I51" s="5" t="s">
        <v>37</v>
      </c>
      <c r="J51" s="5"/>
      <c r="K51" s="5">
        <v>121.4</v>
      </c>
      <c r="L51" s="5">
        <f t="shared" si="14"/>
        <v>13.73399999999998</v>
      </c>
      <c r="M51" s="5"/>
      <c r="N51" s="5"/>
      <c r="O51" s="5">
        <v>0</v>
      </c>
      <c r="P51" s="5"/>
      <c r="Q51" s="5">
        <f t="shared" si="15"/>
        <v>27.026799999999998</v>
      </c>
      <c r="R51" s="4">
        <f t="shared" si="18"/>
        <v>41.447799999999944</v>
      </c>
      <c r="S51" s="5">
        <f t="shared" si="16"/>
        <v>10.999999999999998</v>
      </c>
      <c r="T51" s="5">
        <f t="shared" si="17"/>
        <v>9.4664185179155513</v>
      </c>
      <c r="U51" s="5">
        <v>24.317599999999999</v>
      </c>
      <c r="V51" s="5">
        <v>22.387</v>
      </c>
      <c r="W51" s="5">
        <v>17.299399999999999</v>
      </c>
      <c r="X51" s="5">
        <v>20.2286</v>
      </c>
      <c r="Y51" s="5">
        <v>30.904399999999999</v>
      </c>
      <c r="Z51" s="5">
        <v>32.477800000000002</v>
      </c>
      <c r="AA51" s="5">
        <v>18.959</v>
      </c>
      <c r="AB51" s="5">
        <v>17.484999999999999</v>
      </c>
      <c r="AC51" s="5">
        <v>29.415600000000001</v>
      </c>
      <c r="AD51" s="5">
        <v>25.074000000000002</v>
      </c>
      <c r="AE51" s="5"/>
      <c r="AF51" s="5">
        <f t="shared" si="19"/>
        <v>41.447799999999944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x14ac:dyDescent="0.25">
      <c r="A52" s="5" t="s">
        <v>88</v>
      </c>
      <c r="B52" s="5" t="s">
        <v>36</v>
      </c>
      <c r="C52" s="5">
        <v>2.9020000000000001</v>
      </c>
      <c r="D52" s="5">
        <v>133.92099999999999</v>
      </c>
      <c r="E52" s="5">
        <v>28.367999999999999</v>
      </c>
      <c r="F52" s="5">
        <v>26.614999999999998</v>
      </c>
      <c r="G52" s="7">
        <v>1</v>
      </c>
      <c r="H52" s="5">
        <v>45</v>
      </c>
      <c r="I52" s="5" t="s">
        <v>37</v>
      </c>
      <c r="J52" s="5"/>
      <c r="K52" s="5">
        <v>40.4</v>
      </c>
      <c r="L52" s="5">
        <f t="shared" si="14"/>
        <v>-12.032</v>
      </c>
      <c r="M52" s="5"/>
      <c r="N52" s="5"/>
      <c r="O52" s="5">
        <v>0</v>
      </c>
      <c r="P52" s="5"/>
      <c r="Q52" s="5">
        <f t="shared" si="15"/>
        <v>5.6735999999999995</v>
      </c>
      <c r="R52" s="4">
        <f t="shared" si="18"/>
        <v>35.794600000000003</v>
      </c>
      <c r="S52" s="5">
        <f t="shared" si="16"/>
        <v>11</v>
      </c>
      <c r="T52" s="5">
        <f t="shared" si="17"/>
        <v>4.691025098702764</v>
      </c>
      <c r="U52" s="5">
        <v>9.59</v>
      </c>
      <c r="V52" s="5">
        <v>25.247399999999999</v>
      </c>
      <c r="W52" s="5">
        <v>16.625399999999999</v>
      </c>
      <c r="X52" s="5">
        <v>0.30599999999999999</v>
      </c>
      <c r="Y52" s="5">
        <v>1.5204</v>
      </c>
      <c r="Z52" s="5">
        <v>10.6396</v>
      </c>
      <c r="AA52" s="5">
        <v>9.4252000000000002</v>
      </c>
      <c r="AB52" s="5">
        <v>0</v>
      </c>
      <c r="AC52" s="5">
        <v>0</v>
      </c>
      <c r="AD52" s="5">
        <v>0</v>
      </c>
      <c r="AE52" s="5"/>
      <c r="AF52" s="5">
        <f t="shared" si="19"/>
        <v>35.794600000000003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5" t="s">
        <v>89</v>
      </c>
      <c r="B53" s="5" t="s">
        <v>41</v>
      </c>
      <c r="C53" s="5">
        <v>161</v>
      </c>
      <c r="D53" s="5">
        <v>213</v>
      </c>
      <c r="E53" s="5">
        <v>127</v>
      </c>
      <c r="F53" s="5">
        <v>242</v>
      </c>
      <c r="G53" s="7">
        <v>0.45</v>
      </c>
      <c r="H53" s="5">
        <v>50</v>
      </c>
      <c r="I53" s="5" t="s">
        <v>37</v>
      </c>
      <c r="J53" s="5"/>
      <c r="K53" s="5">
        <v>132</v>
      </c>
      <c r="L53" s="5">
        <f t="shared" si="14"/>
        <v>-5</v>
      </c>
      <c r="M53" s="5"/>
      <c r="N53" s="5"/>
      <c r="O53" s="5">
        <v>30.399999999999949</v>
      </c>
      <c r="P53" s="5"/>
      <c r="Q53" s="5">
        <f t="shared" si="15"/>
        <v>25.4</v>
      </c>
      <c r="R53" s="4">
        <f t="shared" si="18"/>
        <v>37.399999999999977</v>
      </c>
      <c r="S53" s="5">
        <f t="shared" si="16"/>
        <v>12.196850393700787</v>
      </c>
      <c r="T53" s="5">
        <f t="shared" si="17"/>
        <v>10.724409448818898</v>
      </c>
      <c r="U53" s="5">
        <v>24.4</v>
      </c>
      <c r="V53" s="5">
        <v>20.8</v>
      </c>
      <c r="W53" s="5">
        <v>31</v>
      </c>
      <c r="X53" s="5">
        <v>31.8</v>
      </c>
      <c r="Y53" s="5">
        <v>22.2</v>
      </c>
      <c r="Z53" s="5">
        <v>21.8</v>
      </c>
      <c r="AA53" s="5">
        <v>22.8</v>
      </c>
      <c r="AB53" s="5">
        <v>20.8</v>
      </c>
      <c r="AC53" s="5">
        <v>17.399999999999999</v>
      </c>
      <c r="AD53" s="5">
        <v>23</v>
      </c>
      <c r="AE53" s="5"/>
      <c r="AF53" s="5">
        <f t="shared" si="19"/>
        <v>16.829999999999991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x14ac:dyDescent="0.25">
      <c r="A54" s="5" t="s">
        <v>90</v>
      </c>
      <c r="B54" s="5" t="s">
        <v>41</v>
      </c>
      <c r="C54" s="5">
        <v>132</v>
      </c>
      <c r="D54" s="5">
        <v>483</v>
      </c>
      <c r="E54" s="5">
        <v>161</v>
      </c>
      <c r="F54" s="5">
        <v>450</v>
      </c>
      <c r="G54" s="7">
        <v>0.45</v>
      </c>
      <c r="H54" s="5">
        <v>50</v>
      </c>
      <c r="I54" s="5" t="s">
        <v>37</v>
      </c>
      <c r="J54" s="5"/>
      <c r="K54" s="5">
        <v>169</v>
      </c>
      <c r="L54" s="5">
        <f t="shared" si="14"/>
        <v>-8</v>
      </c>
      <c r="M54" s="5"/>
      <c r="N54" s="5"/>
      <c r="O54" s="5">
        <v>200</v>
      </c>
      <c r="P54" s="5"/>
      <c r="Q54" s="5">
        <f t="shared" si="15"/>
        <v>32.200000000000003</v>
      </c>
      <c r="R54" s="4"/>
      <c r="S54" s="5">
        <f t="shared" si="16"/>
        <v>20.186335403726705</v>
      </c>
      <c r="T54" s="5">
        <f t="shared" si="17"/>
        <v>20.186335403726705</v>
      </c>
      <c r="U54" s="5">
        <v>52.2</v>
      </c>
      <c r="V54" s="5">
        <v>55.2</v>
      </c>
      <c r="W54" s="5">
        <v>40.4</v>
      </c>
      <c r="X54" s="5">
        <v>26.6</v>
      </c>
      <c r="Y54" s="5">
        <v>33.4</v>
      </c>
      <c r="Z54" s="5">
        <v>48.6</v>
      </c>
      <c r="AA54" s="5">
        <v>40.6</v>
      </c>
      <c r="AB54" s="5">
        <v>35.6</v>
      </c>
      <c r="AC54" s="5">
        <v>40.6</v>
      </c>
      <c r="AD54" s="5">
        <v>40.4</v>
      </c>
      <c r="AE54" s="5"/>
      <c r="AF54" s="5">
        <f t="shared" si="19"/>
        <v>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x14ac:dyDescent="0.25">
      <c r="A55" s="5" t="s">
        <v>91</v>
      </c>
      <c r="B55" s="5" t="s">
        <v>41</v>
      </c>
      <c r="C55" s="5">
        <v>45</v>
      </c>
      <c r="D55" s="5">
        <v>282</v>
      </c>
      <c r="E55" s="5">
        <v>106</v>
      </c>
      <c r="F55" s="5">
        <v>202</v>
      </c>
      <c r="G55" s="7">
        <v>0.4</v>
      </c>
      <c r="H55" s="5">
        <v>40</v>
      </c>
      <c r="I55" s="5" t="s">
        <v>37</v>
      </c>
      <c r="J55" s="5"/>
      <c r="K55" s="5">
        <v>126</v>
      </c>
      <c r="L55" s="5">
        <f t="shared" si="14"/>
        <v>-20</v>
      </c>
      <c r="M55" s="5"/>
      <c r="N55" s="5"/>
      <c r="O55" s="9">
        <v>0</v>
      </c>
      <c r="P55" s="5"/>
      <c r="Q55" s="5">
        <f t="shared" si="15"/>
        <v>21.2</v>
      </c>
      <c r="R55" s="4">
        <f t="shared" si="18"/>
        <v>31.199999999999989</v>
      </c>
      <c r="S55" s="5">
        <f t="shared" si="16"/>
        <v>11</v>
      </c>
      <c r="T55" s="5">
        <f t="shared" si="17"/>
        <v>9.5283018867924536</v>
      </c>
      <c r="U55" s="5">
        <v>21.8</v>
      </c>
      <c r="V55" s="5">
        <v>20.2</v>
      </c>
      <c r="W55" s="5">
        <v>32.6</v>
      </c>
      <c r="X55" s="5">
        <v>27.8</v>
      </c>
      <c r="Y55" s="5">
        <v>19</v>
      </c>
      <c r="Z55" s="5">
        <v>19</v>
      </c>
      <c r="AA55" s="5">
        <v>9.1999999999999993</v>
      </c>
      <c r="AB55" s="5">
        <v>1.2</v>
      </c>
      <c r="AC55" s="5">
        <v>11.8</v>
      </c>
      <c r="AD55" s="5">
        <v>23</v>
      </c>
      <c r="AE55" s="5"/>
      <c r="AF55" s="5">
        <f t="shared" si="19"/>
        <v>12.479999999999997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x14ac:dyDescent="0.25">
      <c r="A56" s="5" t="s">
        <v>92</v>
      </c>
      <c r="B56" s="5" t="s">
        <v>41</v>
      </c>
      <c r="C56" s="5">
        <v>7</v>
      </c>
      <c r="D56" s="5">
        <v>270</v>
      </c>
      <c r="E56" s="5">
        <v>64</v>
      </c>
      <c r="F56" s="5">
        <v>186</v>
      </c>
      <c r="G56" s="7">
        <v>0.4</v>
      </c>
      <c r="H56" s="5">
        <v>40</v>
      </c>
      <c r="I56" s="14" t="s">
        <v>175</v>
      </c>
      <c r="J56" s="5"/>
      <c r="K56" s="5">
        <v>141</v>
      </c>
      <c r="L56" s="5">
        <f t="shared" si="14"/>
        <v>-77</v>
      </c>
      <c r="M56" s="5"/>
      <c r="N56" s="5"/>
      <c r="O56" s="5">
        <v>0</v>
      </c>
      <c r="P56" s="5"/>
      <c r="Q56" s="5">
        <f t="shared" si="15"/>
        <v>12.8</v>
      </c>
      <c r="R56" s="17">
        <v>50</v>
      </c>
      <c r="S56" s="5">
        <f t="shared" si="16"/>
        <v>18.4375</v>
      </c>
      <c r="T56" s="5">
        <f t="shared" si="17"/>
        <v>14.53125</v>
      </c>
      <c r="U56" s="5">
        <v>14.4</v>
      </c>
      <c r="V56" s="5">
        <v>16.600000000000001</v>
      </c>
      <c r="W56" s="5">
        <v>31.6</v>
      </c>
      <c r="X56" s="5">
        <v>18.2</v>
      </c>
      <c r="Y56" s="5">
        <v>-0.8</v>
      </c>
      <c r="Z56" s="5">
        <v>8.8000000000000007</v>
      </c>
      <c r="AA56" s="5">
        <v>15.6</v>
      </c>
      <c r="AB56" s="5">
        <v>14.2</v>
      </c>
      <c r="AC56" s="5">
        <v>6</v>
      </c>
      <c r="AD56" s="5">
        <v>0.4</v>
      </c>
      <c r="AE56" s="5"/>
      <c r="AF56" s="5">
        <f t="shared" si="19"/>
        <v>20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x14ac:dyDescent="0.25">
      <c r="A57" s="5" t="s">
        <v>93</v>
      </c>
      <c r="B57" s="5" t="s">
        <v>36</v>
      </c>
      <c r="C57" s="5">
        <v>170.97399999999999</v>
      </c>
      <c r="D57" s="5">
        <v>40.658999999999999</v>
      </c>
      <c r="E57" s="5">
        <v>108.36</v>
      </c>
      <c r="F57" s="5">
        <v>92.417000000000002</v>
      </c>
      <c r="G57" s="7">
        <v>1</v>
      </c>
      <c r="H57" s="5">
        <v>50</v>
      </c>
      <c r="I57" s="5" t="s">
        <v>37</v>
      </c>
      <c r="J57" s="5"/>
      <c r="K57" s="5">
        <v>103.4</v>
      </c>
      <c r="L57" s="5">
        <f t="shared" si="14"/>
        <v>4.9599999999999937</v>
      </c>
      <c r="M57" s="5"/>
      <c r="N57" s="5"/>
      <c r="O57" s="5">
        <v>127.803</v>
      </c>
      <c r="P57" s="5"/>
      <c r="Q57" s="5">
        <f t="shared" si="15"/>
        <v>21.672000000000001</v>
      </c>
      <c r="R57" s="4">
        <f t="shared" si="18"/>
        <v>145.97499999999999</v>
      </c>
      <c r="S57" s="5">
        <f t="shared" si="16"/>
        <v>16.897148394241416</v>
      </c>
      <c r="T57" s="5">
        <f t="shared" si="17"/>
        <v>10.161498708010335</v>
      </c>
      <c r="U57" s="5">
        <v>21.163</v>
      </c>
      <c r="V57" s="5">
        <v>17.197600000000001</v>
      </c>
      <c r="W57" s="5">
        <v>18.852</v>
      </c>
      <c r="X57" s="5">
        <v>18.622800000000002</v>
      </c>
      <c r="Y57" s="5">
        <v>15.298999999999999</v>
      </c>
      <c r="Z57" s="5">
        <v>19.466200000000001</v>
      </c>
      <c r="AA57" s="5">
        <v>19.613600000000002</v>
      </c>
      <c r="AB57" s="5">
        <v>23.474799999999998</v>
      </c>
      <c r="AC57" s="5">
        <v>30.131599999999999</v>
      </c>
      <c r="AD57" s="5">
        <v>27.6572</v>
      </c>
      <c r="AE57" s="5"/>
      <c r="AF57" s="5">
        <f t="shared" si="19"/>
        <v>145.97499999999999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x14ac:dyDescent="0.25">
      <c r="A58" s="5" t="s">
        <v>94</v>
      </c>
      <c r="B58" s="5" t="s">
        <v>41</v>
      </c>
      <c r="C58" s="5">
        <v>297</v>
      </c>
      <c r="D58" s="5">
        <v>125</v>
      </c>
      <c r="E58" s="5">
        <v>265</v>
      </c>
      <c r="F58" s="5">
        <v>145</v>
      </c>
      <c r="G58" s="7">
        <v>0.1</v>
      </c>
      <c r="H58" s="5">
        <v>731</v>
      </c>
      <c r="I58" s="5" t="s">
        <v>37</v>
      </c>
      <c r="J58" s="5"/>
      <c r="K58" s="5">
        <v>228</v>
      </c>
      <c r="L58" s="5">
        <f t="shared" si="14"/>
        <v>37</v>
      </c>
      <c r="M58" s="5"/>
      <c r="N58" s="5"/>
      <c r="O58" s="5">
        <v>290.99999999999989</v>
      </c>
      <c r="P58" s="5"/>
      <c r="Q58" s="5">
        <f t="shared" si="15"/>
        <v>53</v>
      </c>
      <c r="R58" s="4">
        <f t="shared" si="18"/>
        <v>438</v>
      </c>
      <c r="S58" s="5">
        <f t="shared" si="16"/>
        <v>16.490566037735846</v>
      </c>
      <c r="T58" s="5">
        <f t="shared" si="17"/>
        <v>8.2264150943396199</v>
      </c>
      <c r="U58" s="5">
        <v>43.4</v>
      </c>
      <c r="V58" s="5">
        <v>37.799999999999997</v>
      </c>
      <c r="W58" s="5">
        <v>25.4</v>
      </c>
      <c r="X58" s="5">
        <v>33</v>
      </c>
      <c r="Y58" s="5">
        <v>46</v>
      </c>
      <c r="Z58" s="5">
        <v>45.8</v>
      </c>
      <c r="AA58" s="5">
        <v>44</v>
      </c>
      <c r="AB58" s="5">
        <v>22</v>
      </c>
      <c r="AC58" s="5">
        <v>45</v>
      </c>
      <c r="AD58" s="5">
        <v>59.4</v>
      </c>
      <c r="AE58" s="5"/>
      <c r="AF58" s="5">
        <f t="shared" si="19"/>
        <v>43.800000000000004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x14ac:dyDescent="0.25">
      <c r="A59" s="5" t="s">
        <v>95</v>
      </c>
      <c r="B59" s="5" t="s">
        <v>36</v>
      </c>
      <c r="C59" s="5">
        <v>137.06</v>
      </c>
      <c r="D59" s="5">
        <v>38.106999999999999</v>
      </c>
      <c r="E59" s="5">
        <v>84.176000000000002</v>
      </c>
      <c r="F59" s="5">
        <v>85.391000000000005</v>
      </c>
      <c r="G59" s="7">
        <v>1</v>
      </c>
      <c r="H59" s="5">
        <v>50</v>
      </c>
      <c r="I59" s="5" t="s">
        <v>37</v>
      </c>
      <c r="J59" s="5"/>
      <c r="K59" s="5">
        <v>74.150000000000006</v>
      </c>
      <c r="L59" s="5">
        <f t="shared" si="14"/>
        <v>10.025999999999996</v>
      </c>
      <c r="M59" s="5"/>
      <c r="N59" s="5"/>
      <c r="O59" s="5">
        <v>102.646</v>
      </c>
      <c r="P59" s="5"/>
      <c r="Q59" s="5">
        <f t="shared" si="15"/>
        <v>16.8352</v>
      </c>
      <c r="R59" s="4">
        <f t="shared" si="18"/>
        <v>99.796200000000013</v>
      </c>
      <c r="S59" s="5">
        <f t="shared" si="16"/>
        <v>17.097106063486031</v>
      </c>
      <c r="T59" s="5">
        <f t="shared" si="17"/>
        <v>11.169276278274092</v>
      </c>
      <c r="U59" s="5">
        <v>17.306999999999999</v>
      </c>
      <c r="V59" s="5">
        <v>15.000999999999999</v>
      </c>
      <c r="W59" s="5">
        <v>12.8538</v>
      </c>
      <c r="X59" s="5">
        <v>14.462999999999999</v>
      </c>
      <c r="Y59" s="5">
        <v>19.234200000000001</v>
      </c>
      <c r="Z59" s="5">
        <v>21.715800000000002</v>
      </c>
      <c r="AA59" s="5">
        <v>16.465399999999999</v>
      </c>
      <c r="AB59" s="5">
        <v>16.174800000000001</v>
      </c>
      <c r="AC59" s="5">
        <v>20.6662</v>
      </c>
      <c r="AD59" s="5">
        <v>20.6676</v>
      </c>
      <c r="AE59" s="5"/>
      <c r="AF59" s="5">
        <f t="shared" si="19"/>
        <v>99.796200000000013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x14ac:dyDescent="0.25">
      <c r="A60" s="5" t="s">
        <v>96</v>
      </c>
      <c r="B60" s="5" t="s">
        <v>36</v>
      </c>
      <c r="C60" s="5">
        <v>47.796999999999997</v>
      </c>
      <c r="D60" s="5">
        <v>27.356999999999999</v>
      </c>
      <c r="E60" s="5">
        <v>38.314</v>
      </c>
      <c r="F60" s="5">
        <v>31.361000000000001</v>
      </c>
      <c r="G60" s="7">
        <v>1</v>
      </c>
      <c r="H60" s="5">
        <v>55</v>
      </c>
      <c r="I60" s="5" t="s">
        <v>37</v>
      </c>
      <c r="J60" s="5"/>
      <c r="K60" s="5">
        <v>38.4</v>
      </c>
      <c r="L60" s="5">
        <f t="shared" si="14"/>
        <v>-8.5999999999998522E-2</v>
      </c>
      <c r="M60" s="5"/>
      <c r="N60" s="5"/>
      <c r="O60" s="5">
        <v>50.938400000000001</v>
      </c>
      <c r="P60" s="5"/>
      <c r="Q60" s="5">
        <f t="shared" si="15"/>
        <v>7.6627999999999998</v>
      </c>
      <c r="R60" s="4">
        <f t="shared" si="18"/>
        <v>52.9298</v>
      </c>
      <c r="S60" s="5">
        <f t="shared" si="16"/>
        <v>17.647491778462179</v>
      </c>
      <c r="T60" s="5">
        <f t="shared" si="17"/>
        <v>10.740121104557081</v>
      </c>
      <c r="U60" s="5">
        <v>7.9290000000000003</v>
      </c>
      <c r="V60" s="5">
        <v>6.2595999999999998</v>
      </c>
      <c r="W60" s="5">
        <v>4.0456000000000003</v>
      </c>
      <c r="X60" s="5">
        <v>5.1433999999999997</v>
      </c>
      <c r="Y60" s="5">
        <v>5.1475999999999997</v>
      </c>
      <c r="Z60" s="5">
        <v>5.4037999999999986</v>
      </c>
      <c r="AA60" s="5">
        <v>4.0573999999999986</v>
      </c>
      <c r="AB60" s="5">
        <v>2.7052</v>
      </c>
      <c r="AC60" s="5">
        <v>1.0808</v>
      </c>
      <c r="AD60" s="5">
        <v>2.1631999999999998</v>
      </c>
      <c r="AE60" s="5"/>
      <c r="AF60" s="5">
        <f t="shared" si="19"/>
        <v>52.9298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x14ac:dyDescent="0.25">
      <c r="A61" s="5" t="s">
        <v>97</v>
      </c>
      <c r="B61" s="5" t="s">
        <v>41</v>
      </c>
      <c r="C61" s="5">
        <v>154</v>
      </c>
      <c r="D61" s="5">
        <v>520</v>
      </c>
      <c r="E61" s="5">
        <v>195</v>
      </c>
      <c r="F61" s="5">
        <v>472</v>
      </c>
      <c r="G61" s="7">
        <v>0.1</v>
      </c>
      <c r="H61" s="5">
        <v>731</v>
      </c>
      <c r="I61" s="5" t="s">
        <v>37</v>
      </c>
      <c r="J61" s="5"/>
      <c r="K61" s="5">
        <v>179</v>
      </c>
      <c r="L61" s="5">
        <f t="shared" si="14"/>
        <v>16</v>
      </c>
      <c r="M61" s="5"/>
      <c r="N61" s="5"/>
      <c r="O61" s="5">
        <v>69.800000000000068</v>
      </c>
      <c r="P61" s="5"/>
      <c r="Q61" s="5">
        <f t="shared" si="15"/>
        <v>39</v>
      </c>
      <c r="R61" s="4"/>
      <c r="S61" s="5">
        <f t="shared" si="16"/>
        <v>13.892307692307694</v>
      </c>
      <c r="T61" s="5">
        <f t="shared" si="17"/>
        <v>13.892307692307694</v>
      </c>
      <c r="U61" s="5">
        <v>48.6</v>
      </c>
      <c r="V61" s="5">
        <v>60.4</v>
      </c>
      <c r="W61" s="5">
        <v>36.200000000000003</v>
      </c>
      <c r="X61" s="5">
        <v>27</v>
      </c>
      <c r="Y61" s="5">
        <v>41.2</v>
      </c>
      <c r="Z61" s="5">
        <v>38.799999999999997</v>
      </c>
      <c r="AA61" s="5">
        <v>36</v>
      </c>
      <c r="AB61" s="5">
        <v>32.6</v>
      </c>
      <c r="AC61" s="5">
        <v>50.2</v>
      </c>
      <c r="AD61" s="5">
        <v>53</v>
      </c>
      <c r="AE61" s="5"/>
      <c r="AF61" s="5">
        <f t="shared" si="19"/>
        <v>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x14ac:dyDescent="0.25">
      <c r="A62" s="5" t="s">
        <v>98</v>
      </c>
      <c r="B62" s="5" t="s">
        <v>41</v>
      </c>
      <c r="C62" s="5">
        <v>37</v>
      </c>
      <c r="D62" s="5">
        <v>73</v>
      </c>
      <c r="E62" s="5">
        <v>20</v>
      </c>
      <c r="F62" s="5">
        <v>87</v>
      </c>
      <c r="G62" s="7">
        <v>0.4</v>
      </c>
      <c r="H62" s="5">
        <v>50</v>
      </c>
      <c r="I62" s="5" t="s">
        <v>37</v>
      </c>
      <c r="J62" s="5"/>
      <c r="K62" s="5">
        <v>23</v>
      </c>
      <c r="L62" s="5">
        <f t="shared" si="14"/>
        <v>-3</v>
      </c>
      <c r="M62" s="5"/>
      <c r="N62" s="5"/>
      <c r="O62" s="5">
        <v>21</v>
      </c>
      <c r="P62" s="5"/>
      <c r="Q62" s="5">
        <f t="shared" si="15"/>
        <v>4</v>
      </c>
      <c r="R62" s="4"/>
      <c r="S62" s="5">
        <f t="shared" si="16"/>
        <v>27</v>
      </c>
      <c r="T62" s="5">
        <f t="shared" si="17"/>
        <v>27</v>
      </c>
      <c r="U62" s="5">
        <v>9</v>
      </c>
      <c r="V62" s="5">
        <v>10</v>
      </c>
      <c r="W62" s="5">
        <v>3</v>
      </c>
      <c r="X62" s="5">
        <v>1.2</v>
      </c>
      <c r="Y62" s="5">
        <v>5</v>
      </c>
      <c r="Z62" s="5">
        <v>7.6</v>
      </c>
      <c r="AA62" s="5">
        <v>4.8</v>
      </c>
      <c r="AB62" s="5">
        <v>3.6</v>
      </c>
      <c r="AC62" s="5">
        <v>3</v>
      </c>
      <c r="AD62" s="5">
        <v>2.2000000000000002</v>
      </c>
      <c r="AE62" s="15" t="s">
        <v>176</v>
      </c>
      <c r="AF62" s="5">
        <f t="shared" si="19"/>
        <v>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x14ac:dyDescent="0.25">
      <c r="A63" s="5" t="s">
        <v>99</v>
      </c>
      <c r="B63" s="5" t="s">
        <v>36</v>
      </c>
      <c r="C63" s="5">
        <v>15.787000000000001</v>
      </c>
      <c r="D63" s="5">
        <v>31.1</v>
      </c>
      <c r="E63" s="5">
        <v>37.78</v>
      </c>
      <c r="F63" s="5">
        <v>7.7910000000000004</v>
      </c>
      <c r="G63" s="7">
        <v>1</v>
      </c>
      <c r="H63" s="5">
        <v>40</v>
      </c>
      <c r="I63" s="5" t="s">
        <v>37</v>
      </c>
      <c r="J63" s="5"/>
      <c r="K63" s="5">
        <v>43.8</v>
      </c>
      <c r="L63" s="5">
        <f t="shared" si="14"/>
        <v>-6.019999999999996</v>
      </c>
      <c r="M63" s="5"/>
      <c r="N63" s="5"/>
      <c r="O63" s="5">
        <v>60</v>
      </c>
      <c r="P63" s="5"/>
      <c r="Q63" s="5">
        <f t="shared" si="15"/>
        <v>7.556</v>
      </c>
      <c r="R63" s="4">
        <f t="shared" si="18"/>
        <v>75.325000000000003</v>
      </c>
      <c r="S63" s="5">
        <f t="shared" si="16"/>
        <v>18.940709370037055</v>
      </c>
      <c r="T63" s="5">
        <f t="shared" si="17"/>
        <v>8.9718104817363677</v>
      </c>
      <c r="U63" s="5">
        <v>3.6623999999999999</v>
      </c>
      <c r="V63" s="5">
        <v>4.5907999999999998</v>
      </c>
      <c r="W63" s="5">
        <v>4.3612000000000002</v>
      </c>
      <c r="X63" s="5">
        <v>1.5891999999999999</v>
      </c>
      <c r="Y63" s="5">
        <v>3.0236000000000001</v>
      </c>
      <c r="Z63" s="5">
        <v>3.0611999999999999</v>
      </c>
      <c r="AA63" s="5">
        <v>0.83219999999999994</v>
      </c>
      <c r="AB63" s="5">
        <v>0</v>
      </c>
      <c r="AC63" s="5">
        <v>0</v>
      </c>
      <c r="AD63" s="5">
        <v>0</v>
      </c>
      <c r="AE63" s="5" t="s">
        <v>76</v>
      </c>
      <c r="AF63" s="5">
        <f t="shared" si="19"/>
        <v>75.325000000000003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x14ac:dyDescent="0.25">
      <c r="A64" s="5" t="s">
        <v>100</v>
      </c>
      <c r="B64" s="5" t="s">
        <v>36</v>
      </c>
      <c r="C64" s="5">
        <v>84.619</v>
      </c>
      <c r="D64" s="5">
        <v>2.7240000000000002</v>
      </c>
      <c r="E64" s="5">
        <v>75.332999999999998</v>
      </c>
      <c r="F64" s="5">
        <v>8.7409999999999997</v>
      </c>
      <c r="G64" s="7">
        <v>1</v>
      </c>
      <c r="H64" s="5">
        <v>40</v>
      </c>
      <c r="I64" s="5" t="s">
        <v>37</v>
      </c>
      <c r="J64" s="5"/>
      <c r="K64" s="5">
        <v>78.8</v>
      </c>
      <c r="L64" s="5">
        <f t="shared" si="14"/>
        <v>-3.4669999999999987</v>
      </c>
      <c r="M64" s="5"/>
      <c r="N64" s="5"/>
      <c r="O64" s="5">
        <v>80</v>
      </c>
      <c r="P64" s="5"/>
      <c r="Q64" s="5">
        <f t="shared" si="15"/>
        <v>15.066599999999999</v>
      </c>
      <c r="R64" s="4">
        <f t="shared" si="18"/>
        <v>156.99160000000001</v>
      </c>
      <c r="S64" s="5">
        <f t="shared" si="16"/>
        <v>16.309758007778797</v>
      </c>
      <c r="T64" s="5">
        <f t="shared" si="17"/>
        <v>5.8899154421037263</v>
      </c>
      <c r="U64" s="5">
        <v>7.2840000000000007</v>
      </c>
      <c r="V64" s="5">
        <v>7.2656000000000009</v>
      </c>
      <c r="W64" s="5">
        <v>7.7450000000000001</v>
      </c>
      <c r="X64" s="5">
        <v>3.6516000000000002</v>
      </c>
      <c r="Y64" s="5">
        <v>5.5808</v>
      </c>
      <c r="Z64" s="5">
        <v>9.1449999999999996</v>
      </c>
      <c r="AA64" s="5">
        <v>8.0937999999999999</v>
      </c>
      <c r="AB64" s="5">
        <v>4.8628</v>
      </c>
      <c r="AC64" s="5">
        <v>0</v>
      </c>
      <c r="AD64" s="5">
        <v>1.8466</v>
      </c>
      <c r="AE64" s="5" t="s">
        <v>76</v>
      </c>
      <c r="AF64" s="5">
        <f t="shared" si="19"/>
        <v>156.99160000000001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x14ac:dyDescent="0.25">
      <c r="A65" s="5" t="s">
        <v>101</v>
      </c>
      <c r="B65" s="5" t="s">
        <v>41</v>
      </c>
      <c r="C65" s="5">
        <v>336</v>
      </c>
      <c r="D65" s="5">
        <v>356</v>
      </c>
      <c r="E65" s="5">
        <v>71</v>
      </c>
      <c r="F65" s="5">
        <v>601</v>
      </c>
      <c r="G65" s="7">
        <v>0.4</v>
      </c>
      <c r="H65" s="5">
        <v>40</v>
      </c>
      <c r="I65" s="5" t="s">
        <v>37</v>
      </c>
      <c r="J65" s="5"/>
      <c r="K65" s="5">
        <v>569</v>
      </c>
      <c r="L65" s="5">
        <f t="shared" si="14"/>
        <v>-498</v>
      </c>
      <c r="M65" s="5"/>
      <c r="N65" s="5"/>
      <c r="O65" s="5">
        <v>0</v>
      </c>
      <c r="P65" s="5"/>
      <c r="Q65" s="5">
        <f t="shared" si="15"/>
        <v>14.2</v>
      </c>
      <c r="R65" s="4"/>
      <c r="S65" s="5">
        <f t="shared" si="16"/>
        <v>42.323943661971832</v>
      </c>
      <c r="T65" s="5">
        <f t="shared" si="17"/>
        <v>42.323943661971832</v>
      </c>
      <c r="U65" s="5">
        <v>1.4</v>
      </c>
      <c r="V65" s="5">
        <v>13.8</v>
      </c>
      <c r="W65" s="5">
        <v>63.8</v>
      </c>
      <c r="X65" s="5">
        <v>81.2</v>
      </c>
      <c r="Y65" s="5">
        <v>86.2</v>
      </c>
      <c r="Z65" s="5">
        <v>112.6</v>
      </c>
      <c r="AA65" s="5">
        <v>85.6</v>
      </c>
      <c r="AB65" s="5">
        <v>71.599999999999994</v>
      </c>
      <c r="AC65" s="5">
        <v>109.6</v>
      </c>
      <c r="AD65" s="5">
        <v>96.8</v>
      </c>
      <c r="AE65" s="16" t="s">
        <v>102</v>
      </c>
      <c r="AF65" s="5">
        <f t="shared" si="19"/>
        <v>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x14ac:dyDescent="0.25">
      <c r="A66" s="5" t="s">
        <v>103</v>
      </c>
      <c r="B66" s="5" t="s">
        <v>41</v>
      </c>
      <c r="C66" s="5">
        <v>-1</v>
      </c>
      <c r="D66" s="5">
        <v>12</v>
      </c>
      <c r="E66" s="5"/>
      <c r="F66" s="5">
        <v>11</v>
      </c>
      <c r="G66" s="7">
        <v>0.4</v>
      </c>
      <c r="H66" s="5">
        <v>40</v>
      </c>
      <c r="I66" s="14" t="s">
        <v>175</v>
      </c>
      <c r="J66" s="5"/>
      <c r="K66" s="5">
        <v>272</v>
      </c>
      <c r="L66" s="5">
        <f t="shared" si="14"/>
        <v>-272</v>
      </c>
      <c r="M66" s="5"/>
      <c r="N66" s="5"/>
      <c r="O66" s="9">
        <v>0</v>
      </c>
      <c r="P66" s="5"/>
      <c r="Q66" s="5">
        <f t="shared" si="15"/>
        <v>0</v>
      </c>
      <c r="R66" s="17">
        <v>100</v>
      </c>
      <c r="S66" s="5" t="e">
        <f t="shared" si="16"/>
        <v>#DIV/0!</v>
      </c>
      <c r="T66" s="5" t="e">
        <f t="shared" si="17"/>
        <v>#DIV/0!</v>
      </c>
      <c r="U66" s="5">
        <v>0</v>
      </c>
      <c r="V66" s="5">
        <v>45.2</v>
      </c>
      <c r="W66" s="5">
        <v>92.6</v>
      </c>
      <c r="X66" s="5">
        <v>69</v>
      </c>
      <c r="Y66" s="5">
        <v>57.4</v>
      </c>
      <c r="Z66" s="5">
        <v>72.400000000000006</v>
      </c>
      <c r="AA66" s="5">
        <v>47.8</v>
      </c>
      <c r="AB66" s="5">
        <v>37.4</v>
      </c>
      <c r="AC66" s="5">
        <v>71.599999999999994</v>
      </c>
      <c r="AD66" s="5">
        <v>76.599999999999994</v>
      </c>
      <c r="AE66" s="5"/>
      <c r="AF66" s="5">
        <f t="shared" si="19"/>
        <v>40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x14ac:dyDescent="0.25">
      <c r="A67" s="5" t="s">
        <v>104</v>
      </c>
      <c r="B67" s="5" t="s">
        <v>36</v>
      </c>
      <c r="C67" s="5">
        <v>184.06100000000001</v>
      </c>
      <c r="D67" s="5">
        <v>300.017</v>
      </c>
      <c r="E67" s="5">
        <v>154.45699999999999</v>
      </c>
      <c r="F67" s="5">
        <v>301.447</v>
      </c>
      <c r="G67" s="7">
        <v>1</v>
      </c>
      <c r="H67" s="5">
        <v>40</v>
      </c>
      <c r="I67" s="5" t="s">
        <v>37</v>
      </c>
      <c r="J67" s="5"/>
      <c r="K67" s="5">
        <v>144.19999999999999</v>
      </c>
      <c r="L67" s="5">
        <f t="shared" si="14"/>
        <v>10.257000000000005</v>
      </c>
      <c r="M67" s="5"/>
      <c r="N67" s="5"/>
      <c r="O67" s="5">
        <v>113.04379999999991</v>
      </c>
      <c r="P67" s="5"/>
      <c r="Q67" s="5">
        <f t="shared" si="15"/>
        <v>30.891399999999997</v>
      </c>
      <c r="R67" s="4">
        <f t="shared" si="18"/>
        <v>38.358399999999961</v>
      </c>
      <c r="S67" s="5">
        <f t="shared" si="16"/>
        <v>14.659393876612906</v>
      </c>
      <c r="T67" s="5">
        <f t="shared" si="17"/>
        <v>13.417676116977539</v>
      </c>
      <c r="U67" s="5">
        <v>39.8172</v>
      </c>
      <c r="V67" s="5">
        <v>43.403599999999997</v>
      </c>
      <c r="W67" s="5">
        <v>22.808599999999998</v>
      </c>
      <c r="X67" s="5">
        <v>12.564399999999999</v>
      </c>
      <c r="Y67" s="5">
        <v>29.346399999999999</v>
      </c>
      <c r="Z67" s="5">
        <v>40.2258</v>
      </c>
      <c r="AA67" s="5">
        <v>30.734999999999999</v>
      </c>
      <c r="AB67" s="5">
        <v>15.739000000000001</v>
      </c>
      <c r="AC67" s="5">
        <v>10.629</v>
      </c>
      <c r="AD67" s="5">
        <v>20.083200000000001</v>
      </c>
      <c r="AE67" s="5"/>
      <c r="AF67" s="5">
        <f t="shared" si="19"/>
        <v>38.358399999999961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x14ac:dyDescent="0.25">
      <c r="A68" s="5" t="s">
        <v>105</v>
      </c>
      <c r="B68" s="5" t="s">
        <v>36</v>
      </c>
      <c r="C68" s="5">
        <v>275.97199999999998</v>
      </c>
      <c r="D68" s="5">
        <v>75.691000000000003</v>
      </c>
      <c r="E68" s="5">
        <v>172.66800000000001</v>
      </c>
      <c r="F68" s="5">
        <v>155.45500000000001</v>
      </c>
      <c r="G68" s="7">
        <v>1</v>
      </c>
      <c r="H68" s="5">
        <v>40</v>
      </c>
      <c r="I68" s="5" t="s">
        <v>37</v>
      </c>
      <c r="J68" s="5"/>
      <c r="K68" s="5">
        <v>184.2</v>
      </c>
      <c r="L68" s="5">
        <f t="shared" si="14"/>
        <v>-11.531999999999982</v>
      </c>
      <c r="M68" s="5"/>
      <c r="N68" s="5"/>
      <c r="O68" s="5">
        <v>192.20548000000011</v>
      </c>
      <c r="P68" s="5"/>
      <c r="Q68" s="5">
        <f t="shared" si="15"/>
        <v>34.5336</v>
      </c>
      <c r="R68" s="4">
        <f t="shared" si="18"/>
        <v>224.41459999999998</v>
      </c>
      <c r="S68" s="5">
        <f t="shared" si="16"/>
        <v>16.565752774109853</v>
      </c>
      <c r="T68" s="5">
        <f t="shared" si="17"/>
        <v>10.067310677137632</v>
      </c>
      <c r="U68" s="5">
        <v>33.2986</v>
      </c>
      <c r="V68" s="5">
        <v>24.674399999999999</v>
      </c>
      <c r="W68" s="5">
        <v>33.698399999999999</v>
      </c>
      <c r="X68" s="5">
        <v>35.2834</v>
      </c>
      <c r="Y68" s="5">
        <v>31.5944</v>
      </c>
      <c r="Z68" s="5">
        <v>36.930199999999999</v>
      </c>
      <c r="AA68" s="5">
        <v>26.832999999999998</v>
      </c>
      <c r="AB68" s="5">
        <v>11.881</v>
      </c>
      <c r="AC68" s="5">
        <v>23.1356</v>
      </c>
      <c r="AD68" s="5">
        <v>31.2576</v>
      </c>
      <c r="AE68" s="5"/>
      <c r="AF68" s="5">
        <f t="shared" si="19"/>
        <v>224.41459999999998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x14ac:dyDescent="0.25">
      <c r="A69" s="5" t="s">
        <v>106</v>
      </c>
      <c r="B69" s="5" t="s">
        <v>36</v>
      </c>
      <c r="C69" s="5">
        <v>473.28800000000001</v>
      </c>
      <c r="D69" s="5">
        <v>371.31799999999998</v>
      </c>
      <c r="E69" s="5">
        <v>338.42399999999998</v>
      </c>
      <c r="F69" s="5">
        <v>433.13</v>
      </c>
      <c r="G69" s="7">
        <v>1</v>
      </c>
      <c r="H69" s="5">
        <v>40</v>
      </c>
      <c r="I69" s="5" t="s">
        <v>37</v>
      </c>
      <c r="J69" s="5"/>
      <c r="K69" s="5">
        <v>345.4</v>
      </c>
      <c r="L69" s="5">
        <f t="shared" si="14"/>
        <v>-6.9759999999999991</v>
      </c>
      <c r="M69" s="5"/>
      <c r="N69" s="5"/>
      <c r="O69" s="5">
        <v>264.80350999999979</v>
      </c>
      <c r="P69" s="5"/>
      <c r="Q69" s="5">
        <f t="shared" si="15"/>
        <v>67.684799999999996</v>
      </c>
      <c r="R69" s="4">
        <f t="shared" si="18"/>
        <v>311.40279999999996</v>
      </c>
      <c r="S69" s="5">
        <f t="shared" si="16"/>
        <v>14.912303944164714</v>
      </c>
      <c r="T69" s="5">
        <f t="shared" si="17"/>
        <v>10.311525039595299</v>
      </c>
      <c r="U69" s="5">
        <v>69.110199999999992</v>
      </c>
      <c r="V69" s="5">
        <v>62.149800000000013</v>
      </c>
      <c r="W69" s="5">
        <v>77.261200000000002</v>
      </c>
      <c r="X69" s="5">
        <v>84.820999999999998</v>
      </c>
      <c r="Y69" s="5">
        <v>67.469399999999993</v>
      </c>
      <c r="Z69" s="5">
        <v>80.919799999999995</v>
      </c>
      <c r="AA69" s="5">
        <v>73.772799999999989</v>
      </c>
      <c r="AB69" s="5">
        <v>73.477000000000004</v>
      </c>
      <c r="AC69" s="5">
        <v>111.7908</v>
      </c>
      <c r="AD69" s="5">
        <v>92.128999999999991</v>
      </c>
      <c r="AE69" s="5"/>
      <c r="AF69" s="5">
        <f t="shared" si="19"/>
        <v>311.40279999999996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x14ac:dyDescent="0.25">
      <c r="A70" s="5" t="s">
        <v>107</v>
      </c>
      <c r="B70" s="5" t="s">
        <v>36</v>
      </c>
      <c r="C70" s="5">
        <v>245.79</v>
      </c>
      <c r="D70" s="5">
        <v>136.554</v>
      </c>
      <c r="E70" s="5">
        <v>144.18100000000001</v>
      </c>
      <c r="F70" s="5">
        <v>211.911</v>
      </c>
      <c r="G70" s="7">
        <v>1</v>
      </c>
      <c r="H70" s="5">
        <v>40</v>
      </c>
      <c r="I70" s="5" t="s">
        <v>37</v>
      </c>
      <c r="J70" s="5"/>
      <c r="K70" s="5">
        <v>128.9</v>
      </c>
      <c r="L70" s="5">
        <f t="shared" ref="L70:L101" si="20">E70-K70</f>
        <v>15.281000000000006</v>
      </c>
      <c r="M70" s="5"/>
      <c r="N70" s="5"/>
      <c r="O70" s="5">
        <v>101.9755999999999</v>
      </c>
      <c r="P70" s="5"/>
      <c r="Q70" s="5">
        <f t="shared" ref="Q70:Q101" si="21">E70/5</f>
        <v>28.836200000000002</v>
      </c>
      <c r="R70" s="4">
        <f t="shared" si="18"/>
        <v>105.28720000000004</v>
      </c>
      <c r="S70" s="5">
        <f t="shared" ref="S70:S101" si="22">(F70+O70+P70+R70)/Q70</f>
        <v>14.536374418265927</v>
      </c>
      <c r="T70" s="5">
        <f t="shared" ref="T70:T101" si="23">(F70+O70+P70)/Q70</f>
        <v>10.885158238602864</v>
      </c>
      <c r="U70" s="5">
        <v>31.062999999999999</v>
      </c>
      <c r="V70" s="5">
        <v>31.611599999999999</v>
      </c>
      <c r="W70" s="5">
        <v>37.389200000000002</v>
      </c>
      <c r="X70" s="5">
        <v>31.877600000000001</v>
      </c>
      <c r="Y70" s="5">
        <v>27.787199999999999</v>
      </c>
      <c r="Z70" s="5">
        <v>32.726599999999998</v>
      </c>
      <c r="AA70" s="5">
        <v>26.318200000000001</v>
      </c>
      <c r="AB70" s="5">
        <v>15.6272</v>
      </c>
      <c r="AC70" s="5">
        <v>17.955400000000001</v>
      </c>
      <c r="AD70" s="5">
        <v>33.378999999999998</v>
      </c>
      <c r="AE70" s="5"/>
      <c r="AF70" s="5">
        <f t="shared" si="19"/>
        <v>105.28720000000004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x14ac:dyDescent="0.25">
      <c r="A71" s="5" t="s">
        <v>108</v>
      </c>
      <c r="B71" s="5" t="s">
        <v>41</v>
      </c>
      <c r="C71" s="5">
        <v>67</v>
      </c>
      <c r="D71" s="5"/>
      <c r="E71" s="5">
        <v>5</v>
      </c>
      <c r="F71" s="5">
        <v>62</v>
      </c>
      <c r="G71" s="7">
        <v>0.6</v>
      </c>
      <c r="H71" s="5">
        <v>70</v>
      </c>
      <c r="I71" s="5" t="s">
        <v>37</v>
      </c>
      <c r="J71" s="5"/>
      <c r="K71" s="5">
        <v>4.9000000000000004</v>
      </c>
      <c r="L71" s="5">
        <f t="shared" si="20"/>
        <v>9.9999999999999645E-2</v>
      </c>
      <c r="M71" s="5"/>
      <c r="N71" s="5"/>
      <c r="O71" s="5">
        <v>0</v>
      </c>
      <c r="P71" s="5"/>
      <c r="Q71" s="5">
        <f t="shared" si="21"/>
        <v>1</v>
      </c>
      <c r="R71" s="4"/>
      <c r="S71" s="5">
        <f t="shared" si="22"/>
        <v>62</v>
      </c>
      <c r="T71" s="5">
        <f t="shared" si="23"/>
        <v>62</v>
      </c>
      <c r="U71" s="5">
        <v>0.8</v>
      </c>
      <c r="V71" s="5">
        <v>1.2</v>
      </c>
      <c r="W71" s="5">
        <v>2.4</v>
      </c>
      <c r="X71" s="5">
        <v>1.6</v>
      </c>
      <c r="Y71" s="5">
        <v>5</v>
      </c>
      <c r="Z71" s="5">
        <v>5.4</v>
      </c>
      <c r="AA71" s="5">
        <v>2</v>
      </c>
      <c r="AB71" s="5">
        <v>1.8</v>
      </c>
      <c r="AC71" s="5">
        <v>2.8</v>
      </c>
      <c r="AD71" s="5">
        <v>2.2000000000000002</v>
      </c>
      <c r="AE71" s="16" t="s">
        <v>102</v>
      </c>
      <c r="AF71" s="5">
        <f t="shared" si="19"/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x14ac:dyDescent="0.25">
      <c r="A72" s="5" t="s">
        <v>109</v>
      </c>
      <c r="B72" s="5" t="s">
        <v>36</v>
      </c>
      <c r="C72" s="5">
        <v>46.468000000000004</v>
      </c>
      <c r="D72" s="5">
        <v>533.726</v>
      </c>
      <c r="E72" s="5">
        <v>80.614000000000004</v>
      </c>
      <c r="F72" s="5">
        <v>447.43200000000002</v>
      </c>
      <c r="G72" s="7">
        <v>1</v>
      </c>
      <c r="H72" s="5">
        <v>30</v>
      </c>
      <c r="I72" s="5" t="s">
        <v>37</v>
      </c>
      <c r="J72" s="5"/>
      <c r="K72" s="5">
        <v>274.7</v>
      </c>
      <c r="L72" s="5">
        <f t="shared" si="20"/>
        <v>-194.08599999999998</v>
      </c>
      <c r="M72" s="5"/>
      <c r="N72" s="5"/>
      <c r="O72" s="5">
        <v>0</v>
      </c>
      <c r="P72" s="5"/>
      <c r="Q72" s="5">
        <f t="shared" si="21"/>
        <v>16.122800000000002</v>
      </c>
      <c r="R72" s="4"/>
      <c r="S72" s="5">
        <f t="shared" si="22"/>
        <v>27.751507182375267</v>
      </c>
      <c r="T72" s="5">
        <f t="shared" si="23"/>
        <v>27.751507182375267</v>
      </c>
      <c r="U72" s="5">
        <v>65.612400000000008</v>
      </c>
      <c r="V72" s="5">
        <v>95.952399999999997</v>
      </c>
      <c r="W72" s="5">
        <v>85.349000000000004</v>
      </c>
      <c r="X72" s="5">
        <v>80.937399999999997</v>
      </c>
      <c r="Y72" s="5">
        <v>39.692799999999998</v>
      </c>
      <c r="Z72" s="5">
        <v>48.635199999999998</v>
      </c>
      <c r="AA72" s="5">
        <v>81.170600000000007</v>
      </c>
      <c r="AB72" s="5">
        <v>85.153199999999998</v>
      </c>
      <c r="AC72" s="5">
        <v>45.728400000000001</v>
      </c>
      <c r="AD72" s="5">
        <v>6.1534000000000004</v>
      </c>
      <c r="AE72" s="5"/>
      <c r="AF72" s="5">
        <f t="shared" si="19"/>
        <v>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x14ac:dyDescent="0.25">
      <c r="A73" s="10" t="s">
        <v>110</v>
      </c>
      <c r="B73" s="10" t="s">
        <v>41</v>
      </c>
      <c r="C73" s="10"/>
      <c r="D73" s="10"/>
      <c r="E73" s="10"/>
      <c r="F73" s="10"/>
      <c r="G73" s="11">
        <v>0</v>
      </c>
      <c r="H73" s="10"/>
      <c r="I73" s="10" t="s">
        <v>37</v>
      </c>
      <c r="J73" s="10"/>
      <c r="K73" s="10"/>
      <c r="L73" s="10">
        <f t="shared" si="20"/>
        <v>0</v>
      </c>
      <c r="M73" s="10"/>
      <c r="N73" s="10"/>
      <c r="O73" s="10">
        <v>0</v>
      </c>
      <c r="P73" s="10"/>
      <c r="Q73" s="10">
        <f t="shared" si="21"/>
        <v>0</v>
      </c>
      <c r="R73" s="12"/>
      <c r="S73" s="10" t="e">
        <f t="shared" si="22"/>
        <v>#DIV/0!</v>
      </c>
      <c r="T73" s="10" t="e">
        <f t="shared" si="23"/>
        <v>#DIV/0!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 t="s">
        <v>46</v>
      </c>
      <c r="AF73" s="10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x14ac:dyDescent="0.25">
      <c r="A74" s="5" t="s">
        <v>111</v>
      </c>
      <c r="B74" s="5" t="s">
        <v>41</v>
      </c>
      <c r="C74" s="5">
        <v>149</v>
      </c>
      <c r="D74" s="5">
        <v>144</v>
      </c>
      <c r="E74" s="5">
        <v>67</v>
      </c>
      <c r="F74" s="5">
        <v>226</v>
      </c>
      <c r="G74" s="7">
        <v>0.6</v>
      </c>
      <c r="H74" s="5">
        <v>60</v>
      </c>
      <c r="I74" s="5" t="s">
        <v>37</v>
      </c>
      <c r="J74" s="5"/>
      <c r="K74" s="5">
        <v>55</v>
      </c>
      <c r="L74" s="5">
        <f t="shared" si="20"/>
        <v>12</v>
      </c>
      <c r="M74" s="5"/>
      <c r="N74" s="5"/>
      <c r="O74" s="5">
        <v>0</v>
      </c>
      <c r="P74" s="5"/>
      <c r="Q74" s="5">
        <f t="shared" si="21"/>
        <v>13.4</v>
      </c>
      <c r="R74" s="4"/>
      <c r="S74" s="5">
        <f t="shared" si="22"/>
        <v>16.865671641791046</v>
      </c>
      <c r="T74" s="5">
        <f t="shared" si="23"/>
        <v>16.865671641791046</v>
      </c>
      <c r="U74" s="5">
        <v>8.1999999999999993</v>
      </c>
      <c r="V74" s="5">
        <v>3.2</v>
      </c>
      <c r="W74" s="5">
        <v>24</v>
      </c>
      <c r="X74" s="5">
        <v>23</v>
      </c>
      <c r="Y74" s="5">
        <v>12.4</v>
      </c>
      <c r="Z74" s="5">
        <v>11.8</v>
      </c>
      <c r="AA74" s="5">
        <v>3.8</v>
      </c>
      <c r="AB74" s="5">
        <v>3.8</v>
      </c>
      <c r="AC74" s="5">
        <v>12.6</v>
      </c>
      <c r="AD74" s="5">
        <v>15.2</v>
      </c>
      <c r="AE74" s="5"/>
      <c r="AF74" s="5">
        <f>G74*R74</f>
        <v>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x14ac:dyDescent="0.25">
      <c r="A75" s="5" t="s">
        <v>112</v>
      </c>
      <c r="B75" s="5" t="s">
        <v>41</v>
      </c>
      <c r="C75" s="5">
        <v>157</v>
      </c>
      <c r="D75" s="5">
        <v>53</v>
      </c>
      <c r="E75" s="5">
        <v>49</v>
      </c>
      <c r="F75" s="5">
        <v>153</v>
      </c>
      <c r="G75" s="7">
        <v>0.4</v>
      </c>
      <c r="H75" s="5">
        <v>90</v>
      </c>
      <c r="I75" s="5" t="s">
        <v>37</v>
      </c>
      <c r="J75" s="5"/>
      <c r="K75" s="5">
        <v>55</v>
      </c>
      <c r="L75" s="5">
        <f t="shared" si="20"/>
        <v>-6</v>
      </c>
      <c r="M75" s="5"/>
      <c r="N75" s="5"/>
      <c r="O75" s="5">
        <v>45.000000000000057</v>
      </c>
      <c r="P75" s="5"/>
      <c r="Q75" s="5">
        <f t="shared" si="21"/>
        <v>9.8000000000000007</v>
      </c>
      <c r="R75" s="4"/>
      <c r="S75" s="5">
        <f t="shared" si="22"/>
        <v>20.204081632653065</v>
      </c>
      <c r="T75" s="5">
        <f t="shared" si="23"/>
        <v>20.204081632653065</v>
      </c>
      <c r="U75" s="5">
        <v>16.600000000000001</v>
      </c>
      <c r="V75" s="5">
        <v>17.2</v>
      </c>
      <c r="W75" s="5">
        <v>18.399999999999999</v>
      </c>
      <c r="X75" s="5">
        <v>20</v>
      </c>
      <c r="Y75" s="5">
        <v>20.6</v>
      </c>
      <c r="Z75" s="5">
        <v>25.4</v>
      </c>
      <c r="AA75" s="5">
        <v>19.2</v>
      </c>
      <c r="AB75" s="5">
        <v>19.600000000000001</v>
      </c>
      <c r="AC75" s="5">
        <v>29.2</v>
      </c>
      <c r="AD75" s="5">
        <v>21</v>
      </c>
      <c r="AE75" s="15" t="s">
        <v>176</v>
      </c>
      <c r="AF75" s="5">
        <f>G75*R75</f>
        <v>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x14ac:dyDescent="0.25">
      <c r="A76" s="5" t="s">
        <v>113</v>
      </c>
      <c r="B76" s="5" t="s">
        <v>41</v>
      </c>
      <c r="C76" s="5">
        <v>147</v>
      </c>
      <c r="D76" s="5">
        <v>90</v>
      </c>
      <c r="E76" s="5">
        <v>133</v>
      </c>
      <c r="F76" s="5">
        <v>98</v>
      </c>
      <c r="G76" s="7">
        <v>0.33</v>
      </c>
      <c r="H76" s="5">
        <v>60</v>
      </c>
      <c r="I76" s="5" t="s">
        <v>37</v>
      </c>
      <c r="J76" s="5"/>
      <c r="K76" s="5">
        <v>118</v>
      </c>
      <c r="L76" s="5">
        <f t="shared" si="20"/>
        <v>15</v>
      </c>
      <c r="M76" s="5"/>
      <c r="N76" s="5"/>
      <c r="O76" s="5">
        <v>159</v>
      </c>
      <c r="P76" s="5"/>
      <c r="Q76" s="5">
        <f t="shared" si="21"/>
        <v>26.6</v>
      </c>
      <c r="R76" s="4">
        <f t="shared" ref="R74:R78" si="24">11*Q76-P76-F76</f>
        <v>194.60000000000002</v>
      </c>
      <c r="S76" s="5">
        <f t="shared" si="22"/>
        <v>16.977443609022558</v>
      </c>
      <c r="T76" s="5">
        <f t="shared" si="23"/>
        <v>9.6616541353383454</v>
      </c>
      <c r="U76" s="5">
        <v>29</v>
      </c>
      <c r="V76" s="5">
        <v>25</v>
      </c>
      <c r="W76" s="5">
        <v>24.2</v>
      </c>
      <c r="X76" s="5">
        <v>33.6</v>
      </c>
      <c r="Y76" s="5">
        <v>25.6</v>
      </c>
      <c r="Z76" s="5">
        <v>14.8</v>
      </c>
      <c r="AA76" s="5">
        <v>21</v>
      </c>
      <c r="AB76" s="5">
        <v>30.8</v>
      </c>
      <c r="AC76" s="5">
        <v>40.200000000000003</v>
      </c>
      <c r="AD76" s="5">
        <v>28.2</v>
      </c>
      <c r="AE76" s="5"/>
      <c r="AF76" s="5">
        <f>G76*R76</f>
        <v>64.218000000000004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x14ac:dyDescent="0.25">
      <c r="A77" s="5" t="s">
        <v>114</v>
      </c>
      <c r="B77" s="5" t="s">
        <v>41</v>
      </c>
      <c r="C77" s="5">
        <v>117</v>
      </c>
      <c r="D77" s="5">
        <v>26</v>
      </c>
      <c r="E77" s="5">
        <v>55</v>
      </c>
      <c r="F77" s="5">
        <v>86</v>
      </c>
      <c r="G77" s="7">
        <v>0.35</v>
      </c>
      <c r="H77" s="5">
        <v>90</v>
      </c>
      <c r="I77" s="5" t="s">
        <v>37</v>
      </c>
      <c r="J77" s="5"/>
      <c r="K77" s="5">
        <v>55</v>
      </c>
      <c r="L77" s="5">
        <f t="shared" si="20"/>
        <v>0</v>
      </c>
      <c r="M77" s="5"/>
      <c r="N77" s="5"/>
      <c r="O77" s="5">
        <v>89.199999999999989</v>
      </c>
      <c r="P77" s="5"/>
      <c r="Q77" s="5">
        <f t="shared" si="21"/>
        <v>11</v>
      </c>
      <c r="R77" s="4">
        <f t="shared" si="24"/>
        <v>35</v>
      </c>
      <c r="S77" s="5">
        <f t="shared" si="22"/>
        <v>19.109090909090909</v>
      </c>
      <c r="T77" s="5">
        <f t="shared" si="23"/>
        <v>15.927272727272726</v>
      </c>
      <c r="U77" s="5">
        <v>15</v>
      </c>
      <c r="V77" s="5">
        <v>12.8</v>
      </c>
      <c r="W77" s="5">
        <v>11.2</v>
      </c>
      <c r="X77" s="5">
        <v>13.4</v>
      </c>
      <c r="Y77" s="5">
        <v>13.6</v>
      </c>
      <c r="Z77" s="5">
        <v>20.8</v>
      </c>
      <c r="AA77" s="5">
        <v>21.8</v>
      </c>
      <c r="AB77" s="5">
        <v>18.2</v>
      </c>
      <c r="AC77" s="5">
        <v>15</v>
      </c>
      <c r="AD77" s="5">
        <v>7.4</v>
      </c>
      <c r="AE77" s="5"/>
      <c r="AF77" s="5">
        <f>G77*R77</f>
        <v>12.25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x14ac:dyDescent="0.25">
      <c r="A78" s="5" t="s">
        <v>115</v>
      </c>
      <c r="B78" s="5" t="s">
        <v>41</v>
      </c>
      <c r="C78" s="5">
        <v>147</v>
      </c>
      <c r="D78" s="5">
        <v>333</v>
      </c>
      <c r="E78" s="5">
        <v>130</v>
      </c>
      <c r="F78" s="5">
        <v>346</v>
      </c>
      <c r="G78" s="7">
        <v>0.37</v>
      </c>
      <c r="H78" s="5">
        <v>50</v>
      </c>
      <c r="I78" s="5" t="s">
        <v>37</v>
      </c>
      <c r="J78" s="5"/>
      <c r="K78" s="5">
        <v>134</v>
      </c>
      <c r="L78" s="5">
        <f t="shared" si="20"/>
        <v>-4</v>
      </c>
      <c r="M78" s="5"/>
      <c r="N78" s="5"/>
      <c r="O78" s="5">
        <v>37.399999999999977</v>
      </c>
      <c r="P78" s="5"/>
      <c r="Q78" s="5">
        <f t="shared" si="21"/>
        <v>26</v>
      </c>
      <c r="R78" s="4"/>
      <c r="S78" s="5">
        <f t="shared" si="22"/>
        <v>14.746153846153845</v>
      </c>
      <c r="T78" s="5">
        <f t="shared" si="23"/>
        <v>14.746153846153845</v>
      </c>
      <c r="U78" s="5">
        <v>33.4</v>
      </c>
      <c r="V78" s="5">
        <v>42.4</v>
      </c>
      <c r="W78" s="5">
        <v>46</v>
      </c>
      <c r="X78" s="5">
        <v>32</v>
      </c>
      <c r="Y78" s="5">
        <v>24.8</v>
      </c>
      <c r="Z78" s="5">
        <v>30.8</v>
      </c>
      <c r="AA78" s="5">
        <v>26.4</v>
      </c>
      <c r="AB78" s="5">
        <v>18.2</v>
      </c>
      <c r="AC78" s="5">
        <v>32.4</v>
      </c>
      <c r="AD78" s="5">
        <v>44</v>
      </c>
      <c r="AE78" s="5"/>
      <c r="AF78" s="5">
        <f>G78*R78</f>
        <v>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x14ac:dyDescent="0.25">
      <c r="A79" s="10" t="s">
        <v>116</v>
      </c>
      <c r="B79" s="10" t="s">
        <v>41</v>
      </c>
      <c r="C79" s="10"/>
      <c r="D79" s="10"/>
      <c r="E79" s="10"/>
      <c r="F79" s="10"/>
      <c r="G79" s="11">
        <v>0</v>
      </c>
      <c r="H79" s="10"/>
      <c r="I79" s="10" t="s">
        <v>37</v>
      </c>
      <c r="J79" s="10"/>
      <c r="K79" s="10"/>
      <c r="L79" s="10">
        <f t="shared" si="20"/>
        <v>0</v>
      </c>
      <c r="M79" s="10"/>
      <c r="N79" s="10"/>
      <c r="O79" s="10">
        <v>0</v>
      </c>
      <c r="P79" s="10"/>
      <c r="Q79" s="10">
        <f t="shared" si="21"/>
        <v>0</v>
      </c>
      <c r="R79" s="12"/>
      <c r="S79" s="10" t="e">
        <f t="shared" si="22"/>
        <v>#DIV/0!</v>
      </c>
      <c r="T79" s="10" t="e">
        <f t="shared" si="23"/>
        <v>#DIV/0!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">
        <v>46</v>
      </c>
      <c r="AF79" s="10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x14ac:dyDescent="0.25">
      <c r="A80" s="5" t="s">
        <v>117</v>
      </c>
      <c r="B80" s="5" t="s">
        <v>41</v>
      </c>
      <c r="C80" s="5">
        <v>22</v>
      </c>
      <c r="D80" s="5">
        <v>78</v>
      </c>
      <c r="E80" s="5">
        <v>28</v>
      </c>
      <c r="F80" s="5">
        <v>70</v>
      </c>
      <c r="G80" s="7">
        <v>0.33</v>
      </c>
      <c r="H80" s="5">
        <v>40</v>
      </c>
      <c r="I80" s="5" t="s">
        <v>37</v>
      </c>
      <c r="J80" s="5"/>
      <c r="K80" s="5">
        <v>40</v>
      </c>
      <c r="L80" s="5">
        <f t="shared" si="20"/>
        <v>-12</v>
      </c>
      <c r="M80" s="5"/>
      <c r="N80" s="5"/>
      <c r="O80" s="5">
        <v>0</v>
      </c>
      <c r="P80" s="5"/>
      <c r="Q80" s="5">
        <f t="shared" si="21"/>
        <v>5.6</v>
      </c>
      <c r="R80" s="4"/>
      <c r="S80" s="5">
        <f t="shared" si="22"/>
        <v>12.5</v>
      </c>
      <c r="T80" s="5">
        <f t="shared" si="23"/>
        <v>12.5</v>
      </c>
      <c r="U80" s="5">
        <v>8.1999999999999993</v>
      </c>
      <c r="V80" s="5">
        <v>11</v>
      </c>
      <c r="W80" s="5">
        <v>10.8</v>
      </c>
      <c r="X80" s="5">
        <v>10.199999999999999</v>
      </c>
      <c r="Y80" s="5">
        <v>7.4</v>
      </c>
      <c r="Z80" s="5">
        <v>7.6</v>
      </c>
      <c r="AA80" s="5">
        <v>6</v>
      </c>
      <c r="AB80" s="5">
        <v>0.8</v>
      </c>
      <c r="AC80" s="5">
        <v>7.4</v>
      </c>
      <c r="AD80" s="5">
        <v>11.2</v>
      </c>
      <c r="AE80" s="5"/>
      <c r="AF80" s="5">
        <f>G80*R80</f>
        <v>0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x14ac:dyDescent="0.25">
      <c r="A81" s="5" t="s">
        <v>118</v>
      </c>
      <c r="B81" s="5" t="s">
        <v>41</v>
      </c>
      <c r="C81" s="5">
        <v>102</v>
      </c>
      <c r="D81" s="5">
        <v>378</v>
      </c>
      <c r="E81" s="5">
        <v>63</v>
      </c>
      <c r="F81" s="5">
        <v>416</v>
      </c>
      <c r="G81" s="7">
        <v>0.4</v>
      </c>
      <c r="H81" s="5">
        <v>55</v>
      </c>
      <c r="I81" s="5" t="s">
        <v>37</v>
      </c>
      <c r="J81" s="5"/>
      <c r="K81" s="5">
        <v>62</v>
      </c>
      <c r="L81" s="5">
        <f t="shared" si="20"/>
        <v>1</v>
      </c>
      <c r="M81" s="5"/>
      <c r="N81" s="5"/>
      <c r="O81" s="5">
        <v>0</v>
      </c>
      <c r="P81" s="5"/>
      <c r="Q81" s="5">
        <f t="shared" si="21"/>
        <v>12.6</v>
      </c>
      <c r="R81" s="4"/>
      <c r="S81" s="5">
        <f t="shared" si="22"/>
        <v>33.015873015873019</v>
      </c>
      <c r="T81" s="5">
        <f t="shared" si="23"/>
        <v>33.015873015873019</v>
      </c>
      <c r="U81" s="5">
        <v>8.6</v>
      </c>
      <c r="V81" s="5">
        <v>7.4</v>
      </c>
      <c r="W81" s="5">
        <v>43</v>
      </c>
      <c r="X81" s="5">
        <v>39.4</v>
      </c>
      <c r="Y81" s="5">
        <v>4</v>
      </c>
      <c r="Z81" s="5">
        <v>4.2</v>
      </c>
      <c r="AA81" s="5">
        <v>14.8</v>
      </c>
      <c r="AB81" s="5">
        <v>22.6</v>
      </c>
      <c r="AC81" s="5">
        <v>18</v>
      </c>
      <c r="AD81" s="5">
        <v>12.6</v>
      </c>
      <c r="AE81" s="16" t="s">
        <v>102</v>
      </c>
      <c r="AF81" s="5">
        <f>G81*R81</f>
        <v>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x14ac:dyDescent="0.25">
      <c r="A82" s="5" t="s">
        <v>119</v>
      </c>
      <c r="B82" s="5" t="s">
        <v>41</v>
      </c>
      <c r="C82" s="5">
        <v>52</v>
      </c>
      <c r="D82" s="5"/>
      <c r="E82" s="5">
        <v>35</v>
      </c>
      <c r="F82" s="5">
        <v>17</v>
      </c>
      <c r="G82" s="7">
        <v>0.35</v>
      </c>
      <c r="H82" s="5">
        <v>40</v>
      </c>
      <c r="I82" s="5" t="s">
        <v>37</v>
      </c>
      <c r="J82" s="5"/>
      <c r="K82" s="5">
        <v>40</v>
      </c>
      <c r="L82" s="5">
        <f t="shared" si="20"/>
        <v>-5</v>
      </c>
      <c r="M82" s="5"/>
      <c r="N82" s="5"/>
      <c r="O82" s="9">
        <v>0</v>
      </c>
      <c r="P82" s="5"/>
      <c r="Q82" s="5">
        <f t="shared" si="21"/>
        <v>7</v>
      </c>
      <c r="R82" s="4">
        <f>8*Q82-P82-F82</f>
        <v>39</v>
      </c>
      <c r="S82" s="5">
        <f t="shared" si="22"/>
        <v>8</v>
      </c>
      <c r="T82" s="5">
        <f t="shared" si="23"/>
        <v>2.4285714285714284</v>
      </c>
      <c r="U82" s="5">
        <v>8</v>
      </c>
      <c r="V82" s="5">
        <v>6.4</v>
      </c>
      <c r="W82" s="5">
        <v>3.4</v>
      </c>
      <c r="X82" s="5">
        <v>2.2000000000000002</v>
      </c>
      <c r="Y82" s="5">
        <v>0.6</v>
      </c>
      <c r="Z82" s="5">
        <v>4.8</v>
      </c>
      <c r="AA82" s="5">
        <v>8.4</v>
      </c>
      <c r="AB82" s="5">
        <v>6.2</v>
      </c>
      <c r="AC82" s="5">
        <v>4.5999999999999996</v>
      </c>
      <c r="AD82" s="5">
        <v>7</v>
      </c>
      <c r="AE82" s="5"/>
      <c r="AF82" s="5">
        <f>G82*R82</f>
        <v>13.649999999999999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x14ac:dyDescent="0.25">
      <c r="A83" s="5" t="s">
        <v>120</v>
      </c>
      <c r="B83" s="5" t="s">
        <v>41</v>
      </c>
      <c r="C83" s="5">
        <v>52</v>
      </c>
      <c r="D83" s="5"/>
      <c r="E83" s="5">
        <v>41</v>
      </c>
      <c r="F83" s="5">
        <v>9</v>
      </c>
      <c r="G83" s="7">
        <v>0.35</v>
      </c>
      <c r="H83" s="5">
        <v>45</v>
      </c>
      <c r="I83" s="5" t="s">
        <v>37</v>
      </c>
      <c r="J83" s="5"/>
      <c r="K83" s="5">
        <v>44</v>
      </c>
      <c r="L83" s="5">
        <f t="shared" si="20"/>
        <v>-3</v>
      </c>
      <c r="M83" s="5"/>
      <c r="N83" s="5"/>
      <c r="O83" s="9">
        <v>0</v>
      </c>
      <c r="P83" s="5"/>
      <c r="Q83" s="5">
        <f t="shared" si="21"/>
        <v>8.1999999999999993</v>
      </c>
      <c r="R83" s="4">
        <f>7*Q83-P83-F83</f>
        <v>48.399999999999991</v>
      </c>
      <c r="S83" s="5">
        <f t="shared" si="22"/>
        <v>7</v>
      </c>
      <c r="T83" s="5">
        <f t="shared" si="23"/>
        <v>1.0975609756097562</v>
      </c>
      <c r="U83" s="5">
        <v>9</v>
      </c>
      <c r="V83" s="5">
        <v>5</v>
      </c>
      <c r="W83" s="5">
        <v>1.8</v>
      </c>
      <c r="X83" s="5">
        <v>6.2</v>
      </c>
      <c r="Y83" s="5">
        <v>6.6</v>
      </c>
      <c r="Z83" s="5">
        <v>4</v>
      </c>
      <c r="AA83" s="5">
        <v>2.6</v>
      </c>
      <c r="AB83" s="5">
        <v>1.2</v>
      </c>
      <c r="AC83" s="5">
        <v>0</v>
      </c>
      <c r="AD83" s="5">
        <v>6</v>
      </c>
      <c r="AE83" s="5"/>
      <c r="AF83" s="5">
        <f>G83*R83</f>
        <v>16.939999999999994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x14ac:dyDescent="0.25">
      <c r="A84" s="10" t="s">
        <v>121</v>
      </c>
      <c r="B84" s="10" t="s">
        <v>41</v>
      </c>
      <c r="C84" s="10"/>
      <c r="D84" s="10"/>
      <c r="E84" s="10"/>
      <c r="F84" s="10"/>
      <c r="G84" s="11">
        <v>0</v>
      </c>
      <c r="H84" s="10"/>
      <c r="I84" s="10" t="s">
        <v>37</v>
      </c>
      <c r="J84" s="10"/>
      <c r="K84" s="10"/>
      <c r="L84" s="10">
        <f t="shared" si="20"/>
        <v>0</v>
      </c>
      <c r="M84" s="10"/>
      <c r="N84" s="10"/>
      <c r="O84" s="10">
        <v>0</v>
      </c>
      <c r="P84" s="10"/>
      <c r="Q84" s="10">
        <f t="shared" si="21"/>
        <v>0</v>
      </c>
      <c r="R84" s="12"/>
      <c r="S84" s="10" t="e">
        <f t="shared" si="22"/>
        <v>#DIV/0!</v>
      </c>
      <c r="T84" s="10" t="e">
        <f t="shared" si="23"/>
        <v>#DIV/0!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">
        <v>46</v>
      </c>
      <c r="AF84" s="10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x14ac:dyDescent="0.25">
      <c r="A85" s="10" t="s">
        <v>122</v>
      </c>
      <c r="B85" s="10" t="s">
        <v>36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20"/>
        <v>0</v>
      </c>
      <c r="M85" s="10"/>
      <c r="N85" s="10"/>
      <c r="O85" s="10">
        <v>0</v>
      </c>
      <c r="P85" s="10"/>
      <c r="Q85" s="10">
        <f t="shared" si="21"/>
        <v>0</v>
      </c>
      <c r="R85" s="12"/>
      <c r="S85" s="10" t="e">
        <f t="shared" si="22"/>
        <v>#DIV/0!</v>
      </c>
      <c r="T85" s="10" t="e">
        <f t="shared" si="23"/>
        <v>#DIV/0!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 t="s">
        <v>46</v>
      </c>
      <c r="AF85" s="10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x14ac:dyDescent="0.25">
      <c r="A86" s="10" t="s">
        <v>123</v>
      </c>
      <c r="B86" s="10" t="s">
        <v>41</v>
      </c>
      <c r="C86" s="10">
        <v>5</v>
      </c>
      <c r="D86" s="10"/>
      <c r="E86" s="10"/>
      <c r="F86" s="10">
        <v>5</v>
      </c>
      <c r="G86" s="11">
        <v>0</v>
      </c>
      <c r="H86" s="10">
        <v>55</v>
      </c>
      <c r="I86" s="10" t="s">
        <v>60</v>
      </c>
      <c r="J86" s="10"/>
      <c r="K86" s="10">
        <v>77</v>
      </c>
      <c r="L86" s="10">
        <f t="shared" si="20"/>
        <v>-77</v>
      </c>
      <c r="M86" s="10"/>
      <c r="N86" s="10"/>
      <c r="O86" s="10">
        <v>0</v>
      </c>
      <c r="P86" s="10"/>
      <c r="Q86" s="10">
        <f t="shared" si="21"/>
        <v>0</v>
      </c>
      <c r="R86" s="12"/>
      <c r="S86" s="10" t="e">
        <f t="shared" si="22"/>
        <v>#DIV/0!</v>
      </c>
      <c r="T86" s="10" t="e">
        <f t="shared" si="23"/>
        <v>#DIV/0!</v>
      </c>
      <c r="U86" s="10">
        <v>8.6</v>
      </c>
      <c r="V86" s="10">
        <v>17.399999999999999</v>
      </c>
      <c r="W86" s="10">
        <v>27.4</v>
      </c>
      <c r="X86" s="10">
        <v>18.600000000000001</v>
      </c>
      <c r="Y86" s="10">
        <v>2.6</v>
      </c>
      <c r="Z86" s="10">
        <v>14.4</v>
      </c>
      <c r="AA86" s="10">
        <v>16.2</v>
      </c>
      <c r="AB86" s="10">
        <v>14.4</v>
      </c>
      <c r="AC86" s="10">
        <v>13.8</v>
      </c>
      <c r="AD86" s="10">
        <v>10.6</v>
      </c>
      <c r="AE86" s="10"/>
      <c r="AF86" s="10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x14ac:dyDescent="0.25">
      <c r="A87" s="5" t="s">
        <v>124</v>
      </c>
      <c r="B87" s="5" t="s">
        <v>36</v>
      </c>
      <c r="C87" s="5">
        <v>20.041</v>
      </c>
      <c r="D87" s="5">
        <v>22.994</v>
      </c>
      <c r="E87" s="5">
        <v>5.7469999999999999</v>
      </c>
      <c r="F87" s="5">
        <v>35.844999999999999</v>
      </c>
      <c r="G87" s="7">
        <v>1</v>
      </c>
      <c r="H87" s="5">
        <v>55</v>
      </c>
      <c r="I87" s="5" t="s">
        <v>37</v>
      </c>
      <c r="J87" s="5"/>
      <c r="K87" s="5">
        <v>4.5999999999999996</v>
      </c>
      <c r="L87" s="5">
        <f t="shared" si="20"/>
        <v>1.1470000000000002</v>
      </c>
      <c r="M87" s="5"/>
      <c r="N87" s="5"/>
      <c r="O87" s="5">
        <v>0</v>
      </c>
      <c r="P87" s="5"/>
      <c r="Q87" s="5">
        <f t="shared" si="21"/>
        <v>1.1494</v>
      </c>
      <c r="R87" s="4"/>
      <c r="S87" s="5">
        <f t="shared" si="22"/>
        <v>31.185836088393945</v>
      </c>
      <c r="T87" s="5">
        <f t="shared" si="23"/>
        <v>31.185836088393945</v>
      </c>
      <c r="U87" s="5">
        <v>2.0078</v>
      </c>
      <c r="V87" s="5">
        <v>2.8702000000000001</v>
      </c>
      <c r="W87" s="5">
        <v>2.3037999999999998</v>
      </c>
      <c r="X87" s="5">
        <v>0.86639999999999995</v>
      </c>
      <c r="Y87" s="5">
        <v>1.159</v>
      </c>
      <c r="Z87" s="5">
        <v>1.4476</v>
      </c>
      <c r="AA87" s="5">
        <v>0.86639999999999995</v>
      </c>
      <c r="AB87" s="5">
        <v>0.28920000000000001</v>
      </c>
      <c r="AC87" s="5">
        <v>0.57919999999999994</v>
      </c>
      <c r="AD87" s="5">
        <v>2.3048000000000002</v>
      </c>
      <c r="AE87" s="16" t="s">
        <v>102</v>
      </c>
      <c r="AF87" s="5">
        <f>G87*R87</f>
        <v>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x14ac:dyDescent="0.25">
      <c r="A88" s="5" t="s">
        <v>125</v>
      </c>
      <c r="B88" s="5" t="s">
        <v>36</v>
      </c>
      <c r="C88" s="5">
        <v>332.18200000000002</v>
      </c>
      <c r="D88" s="5">
        <v>394.24</v>
      </c>
      <c r="E88" s="5">
        <v>211.67400000000001</v>
      </c>
      <c r="F88" s="5">
        <v>502.83600000000001</v>
      </c>
      <c r="G88" s="7">
        <v>1</v>
      </c>
      <c r="H88" s="5">
        <v>60</v>
      </c>
      <c r="I88" s="5" t="s">
        <v>37</v>
      </c>
      <c r="J88" s="5"/>
      <c r="K88" s="5">
        <v>201.3</v>
      </c>
      <c r="L88" s="5">
        <f t="shared" si="20"/>
        <v>10.373999999999995</v>
      </c>
      <c r="M88" s="5"/>
      <c r="N88" s="5"/>
      <c r="O88" s="5">
        <v>73.187999999999931</v>
      </c>
      <c r="P88" s="5"/>
      <c r="Q88" s="5">
        <f t="shared" si="21"/>
        <v>42.334800000000001</v>
      </c>
      <c r="R88" s="4"/>
      <c r="S88" s="5">
        <f t="shared" si="22"/>
        <v>13.606394739079903</v>
      </c>
      <c r="T88" s="5">
        <f t="shared" si="23"/>
        <v>13.606394739079903</v>
      </c>
      <c r="U88" s="5">
        <v>54.258799999999987</v>
      </c>
      <c r="V88" s="5">
        <v>64.385599999999997</v>
      </c>
      <c r="W88" s="5">
        <v>65.792000000000002</v>
      </c>
      <c r="X88" s="5">
        <v>54.653599999999997</v>
      </c>
      <c r="Y88" s="5">
        <v>52.551599999999993</v>
      </c>
      <c r="Z88" s="5">
        <v>69.242800000000003</v>
      </c>
      <c r="AA88" s="5">
        <v>51.0944</v>
      </c>
      <c r="AB88" s="5">
        <v>33.292000000000002</v>
      </c>
      <c r="AC88" s="5">
        <v>50.997199999999999</v>
      </c>
      <c r="AD88" s="5">
        <v>63.35</v>
      </c>
      <c r="AE88" s="5"/>
      <c r="AF88" s="5">
        <f>G88*R88</f>
        <v>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x14ac:dyDescent="0.25">
      <c r="A89" s="10" t="s">
        <v>126</v>
      </c>
      <c r="B89" s="10" t="s">
        <v>41</v>
      </c>
      <c r="C89" s="10"/>
      <c r="D89" s="10"/>
      <c r="E89" s="10"/>
      <c r="F89" s="10"/>
      <c r="G89" s="11">
        <v>0</v>
      </c>
      <c r="H89" s="10"/>
      <c r="I89" s="10" t="s">
        <v>37</v>
      </c>
      <c r="J89" s="10"/>
      <c r="K89" s="10"/>
      <c r="L89" s="10">
        <f t="shared" si="20"/>
        <v>0</v>
      </c>
      <c r="M89" s="10"/>
      <c r="N89" s="10"/>
      <c r="O89" s="10">
        <v>0</v>
      </c>
      <c r="P89" s="10"/>
      <c r="Q89" s="10">
        <f t="shared" si="21"/>
        <v>0</v>
      </c>
      <c r="R89" s="12"/>
      <c r="S89" s="10" t="e">
        <f t="shared" si="22"/>
        <v>#DIV/0!</v>
      </c>
      <c r="T89" s="10" t="e">
        <f t="shared" si="23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 t="s">
        <v>46</v>
      </c>
      <c r="AF89" s="10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x14ac:dyDescent="0.25">
      <c r="A90" s="5" t="s">
        <v>127</v>
      </c>
      <c r="B90" s="5" t="s">
        <v>36</v>
      </c>
      <c r="C90" s="5">
        <v>2234.6979999999999</v>
      </c>
      <c r="D90" s="5">
        <v>3279.944</v>
      </c>
      <c r="E90" s="5">
        <v>1747.9749999999999</v>
      </c>
      <c r="F90" s="5">
        <v>3553.8119999999999</v>
      </c>
      <c r="G90" s="7">
        <v>1</v>
      </c>
      <c r="H90" s="5">
        <v>60</v>
      </c>
      <c r="I90" s="5" t="s">
        <v>37</v>
      </c>
      <c r="J90" s="5"/>
      <c r="K90" s="5">
        <v>1760</v>
      </c>
      <c r="L90" s="5">
        <f t="shared" si="20"/>
        <v>-12.025000000000091</v>
      </c>
      <c r="M90" s="5"/>
      <c r="N90" s="5"/>
      <c r="O90" s="5">
        <v>1353.0125219199981</v>
      </c>
      <c r="P90" s="5"/>
      <c r="Q90" s="5">
        <f t="shared" si="21"/>
        <v>349.59499999999997</v>
      </c>
      <c r="R90" s="4">
        <f t="shared" ref="R90:R92" si="25">11*Q90-P90-F90</f>
        <v>291.73299999999972</v>
      </c>
      <c r="S90" s="5">
        <f t="shared" si="22"/>
        <v>14.870228469857974</v>
      </c>
      <c r="T90" s="5">
        <f t="shared" si="23"/>
        <v>14.035739990331665</v>
      </c>
      <c r="U90" s="5">
        <v>386.44279999999998</v>
      </c>
      <c r="V90" s="5">
        <v>349.46839999999997</v>
      </c>
      <c r="W90" s="5">
        <v>330.30160000000001</v>
      </c>
      <c r="X90" s="5">
        <v>346.56220000000002</v>
      </c>
      <c r="Y90" s="5">
        <v>373.70159999999998</v>
      </c>
      <c r="Z90" s="5">
        <v>399.83</v>
      </c>
      <c r="AA90" s="5">
        <v>296.8424</v>
      </c>
      <c r="AB90" s="5">
        <v>287.976</v>
      </c>
      <c r="AC90" s="5">
        <v>270.93779999999998</v>
      </c>
      <c r="AD90" s="5">
        <v>197.911</v>
      </c>
      <c r="AE90" s="5"/>
      <c r="AF90" s="5">
        <f>G90*R90</f>
        <v>291.73299999999972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x14ac:dyDescent="0.25">
      <c r="A91" s="5" t="s">
        <v>128</v>
      </c>
      <c r="B91" s="5" t="s">
        <v>36</v>
      </c>
      <c r="C91" s="5">
        <v>3078.8130000000001</v>
      </c>
      <c r="D91" s="5">
        <v>2063.2840000000001</v>
      </c>
      <c r="E91" s="5">
        <v>1678.2650000000001</v>
      </c>
      <c r="F91" s="5">
        <v>3121.5149999999999</v>
      </c>
      <c r="G91" s="7">
        <v>1</v>
      </c>
      <c r="H91" s="5">
        <v>60</v>
      </c>
      <c r="I91" s="5" t="s">
        <v>37</v>
      </c>
      <c r="J91" s="5"/>
      <c r="K91" s="5">
        <v>1722.5</v>
      </c>
      <c r="L91" s="5">
        <f t="shared" si="20"/>
        <v>-44.2349999999999</v>
      </c>
      <c r="M91" s="5"/>
      <c r="N91" s="5"/>
      <c r="O91" s="5">
        <v>929.15559999999914</v>
      </c>
      <c r="P91" s="5">
        <v>1000</v>
      </c>
      <c r="Q91" s="5">
        <f t="shared" si="21"/>
        <v>335.65300000000002</v>
      </c>
      <c r="R91" s="4"/>
      <c r="S91" s="5">
        <f t="shared" si="22"/>
        <v>15.047297655614576</v>
      </c>
      <c r="T91" s="5">
        <f t="shared" si="23"/>
        <v>15.047297655614576</v>
      </c>
      <c r="U91" s="5">
        <v>342.85480000000001</v>
      </c>
      <c r="V91" s="5">
        <v>355.83800000000002</v>
      </c>
      <c r="W91" s="5">
        <v>333.839</v>
      </c>
      <c r="X91" s="5">
        <v>299.80560000000003</v>
      </c>
      <c r="Y91" s="5">
        <v>327.33319999999998</v>
      </c>
      <c r="Z91" s="5">
        <v>409.26220000000001</v>
      </c>
      <c r="AA91" s="5">
        <v>319.29379999999998</v>
      </c>
      <c r="AB91" s="5">
        <v>349.4932</v>
      </c>
      <c r="AC91" s="5">
        <v>374.82220000000001</v>
      </c>
      <c r="AD91" s="5">
        <v>291.64859999999999</v>
      </c>
      <c r="AE91" s="5"/>
      <c r="AF91" s="5">
        <f>G91*R91</f>
        <v>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x14ac:dyDescent="0.25">
      <c r="A92" s="5" t="s">
        <v>129</v>
      </c>
      <c r="B92" s="5" t="s">
        <v>36</v>
      </c>
      <c r="C92" s="5">
        <v>5738.2650000000003</v>
      </c>
      <c r="D92" s="5">
        <v>860.82899999999995</v>
      </c>
      <c r="E92" s="5">
        <v>2689.4690000000001</v>
      </c>
      <c r="F92" s="5">
        <v>3584.636</v>
      </c>
      <c r="G92" s="7">
        <v>1</v>
      </c>
      <c r="H92" s="5">
        <v>60</v>
      </c>
      <c r="I92" s="5" t="s">
        <v>37</v>
      </c>
      <c r="J92" s="5"/>
      <c r="K92" s="5">
        <v>2707.5</v>
      </c>
      <c r="L92" s="5">
        <f t="shared" si="20"/>
        <v>-18.030999999999949</v>
      </c>
      <c r="M92" s="5"/>
      <c r="N92" s="5"/>
      <c r="O92" s="5">
        <v>1430.921600000001</v>
      </c>
      <c r="P92" s="5">
        <v>2400</v>
      </c>
      <c r="Q92" s="5">
        <f t="shared" si="21"/>
        <v>537.89380000000006</v>
      </c>
      <c r="R92" s="4"/>
      <c r="S92" s="5">
        <f t="shared" si="22"/>
        <v>13.786285694313637</v>
      </c>
      <c r="T92" s="5">
        <f t="shared" si="23"/>
        <v>13.786285694313637</v>
      </c>
      <c r="U92" s="5">
        <v>509.97379999999998</v>
      </c>
      <c r="V92" s="5">
        <v>493.71719999999988</v>
      </c>
      <c r="W92" s="5">
        <v>528.36019999999996</v>
      </c>
      <c r="X92" s="5">
        <v>520.89139999999998</v>
      </c>
      <c r="Y92" s="5">
        <v>526.52819999999997</v>
      </c>
      <c r="Z92" s="5">
        <v>579.12779999999998</v>
      </c>
      <c r="AA92" s="5">
        <v>471.89260000000002</v>
      </c>
      <c r="AB92" s="5">
        <v>469.8184</v>
      </c>
      <c r="AC92" s="5">
        <v>607.09460000000001</v>
      </c>
      <c r="AD92" s="5">
        <v>618.89179999999999</v>
      </c>
      <c r="AE92" s="5"/>
      <c r="AF92" s="5">
        <f>G92*R92</f>
        <v>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x14ac:dyDescent="0.25">
      <c r="A93" s="10" t="s">
        <v>130</v>
      </c>
      <c r="B93" s="10" t="s">
        <v>36</v>
      </c>
      <c r="C93" s="10"/>
      <c r="D93" s="10"/>
      <c r="E93" s="10"/>
      <c r="F93" s="10"/>
      <c r="G93" s="11">
        <v>0</v>
      </c>
      <c r="H93" s="10"/>
      <c r="I93" s="10" t="s">
        <v>37</v>
      </c>
      <c r="J93" s="10"/>
      <c r="K93" s="10"/>
      <c r="L93" s="10">
        <f t="shared" si="20"/>
        <v>0</v>
      </c>
      <c r="M93" s="10"/>
      <c r="N93" s="10"/>
      <c r="O93" s="10">
        <v>0</v>
      </c>
      <c r="P93" s="10"/>
      <c r="Q93" s="10">
        <f t="shared" si="21"/>
        <v>0</v>
      </c>
      <c r="R93" s="12"/>
      <c r="S93" s="10" t="e">
        <f t="shared" si="22"/>
        <v>#DIV/0!</v>
      </c>
      <c r="T93" s="10" t="e">
        <f t="shared" si="23"/>
        <v>#DIV/0!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 t="s">
        <v>46</v>
      </c>
      <c r="AF93" s="10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x14ac:dyDescent="0.25">
      <c r="A94" s="5" t="s">
        <v>131</v>
      </c>
      <c r="B94" s="5" t="s">
        <v>41</v>
      </c>
      <c r="C94" s="5">
        <v>3</v>
      </c>
      <c r="D94" s="5">
        <v>374.36700000000002</v>
      </c>
      <c r="E94" s="5">
        <v>3</v>
      </c>
      <c r="F94" s="5">
        <v>356</v>
      </c>
      <c r="G94" s="7">
        <v>0.3</v>
      </c>
      <c r="H94" s="5">
        <v>40</v>
      </c>
      <c r="I94" s="5" t="s">
        <v>37</v>
      </c>
      <c r="J94" s="5"/>
      <c r="K94" s="5">
        <v>42</v>
      </c>
      <c r="L94" s="5">
        <f t="shared" si="20"/>
        <v>-39</v>
      </c>
      <c r="M94" s="5"/>
      <c r="N94" s="5"/>
      <c r="O94" s="5">
        <v>0</v>
      </c>
      <c r="P94" s="5"/>
      <c r="Q94" s="5">
        <f t="shared" si="21"/>
        <v>0.6</v>
      </c>
      <c r="R94" s="4"/>
      <c r="S94" s="5">
        <f t="shared" si="22"/>
        <v>593.33333333333337</v>
      </c>
      <c r="T94" s="5">
        <f t="shared" si="23"/>
        <v>593.33333333333337</v>
      </c>
      <c r="U94" s="5">
        <v>35</v>
      </c>
      <c r="V94" s="5">
        <v>57.4</v>
      </c>
      <c r="W94" s="5">
        <v>28.8</v>
      </c>
      <c r="X94" s="5">
        <v>12.6</v>
      </c>
      <c r="Y94" s="5">
        <v>25</v>
      </c>
      <c r="Z94" s="5">
        <v>32.4</v>
      </c>
      <c r="AA94" s="5">
        <v>26.6</v>
      </c>
      <c r="AB94" s="5">
        <v>8</v>
      </c>
      <c r="AC94" s="5">
        <v>5</v>
      </c>
      <c r="AD94" s="5">
        <v>21</v>
      </c>
      <c r="AE94" s="5"/>
      <c r="AF94" s="5">
        <f>G94*R94</f>
        <v>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x14ac:dyDescent="0.25">
      <c r="A95" s="10" t="s">
        <v>132</v>
      </c>
      <c r="B95" s="10" t="s">
        <v>41</v>
      </c>
      <c r="C95" s="10"/>
      <c r="D95" s="10"/>
      <c r="E95" s="10"/>
      <c r="F95" s="10"/>
      <c r="G95" s="11">
        <v>0</v>
      </c>
      <c r="H95" s="10"/>
      <c r="I95" s="10" t="s">
        <v>37</v>
      </c>
      <c r="J95" s="10"/>
      <c r="K95" s="10"/>
      <c r="L95" s="10">
        <f t="shared" si="20"/>
        <v>0</v>
      </c>
      <c r="M95" s="10"/>
      <c r="N95" s="10"/>
      <c r="O95" s="10">
        <v>0</v>
      </c>
      <c r="P95" s="10"/>
      <c r="Q95" s="10">
        <f t="shared" si="21"/>
        <v>0</v>
      </c>
      <c r="R95" s="12"/>
      <c r="S95" s="10" t="e">
        <f t="shared" si="22"/>
        <v>#DIV/0!</v>
      </c>
      <c r="T95" s="10" t="e">
        <f t="shared" si="23"/>
        <v>#DIV/0!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 t="s">
        <v>46</v>
      </c>
      <c r="AF95" s="10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x14ac:dyDescent="0.25">
      <c r="A96" s="5" t="s">
        <v>133</v>
      </c>
      <c r="B96" s="5" t="s">
        <v>41</v>
      </c>
      <c r="C96" s="5">
        <v>209</v>
      </c>
      <c r="D96" s="5"/>
      <c r="E96" s="5">
        <v>85</v>
      </c>
      <c r="F96" s="5">
        <v>120</v>
      </c>
      <c r="G96" s="7">
        <v>7.0000000000000007E-2</v>
      </c>
      <c r="H96" s="5">
        <v>90</v>
      </c>
      <c r="I96" s="5" t="s">
        <v>37</v>
      </c>
      <c r="J96" s="5"/>
      <c r="K96" s="5">
        <v>83</v>
      </c>
      <c r="L96" s="5">
        <f t="shared" si="20"/>
        <v>2</v>
      </c>
      <c r="M96" s="5"/>
      <c r="N96" s="5"/>
      <c r="O96" s="5">
        <v>0</v>
      </c>
      <c r="P96" s="5"/>
      <c r="Q96" s="5">
        <f t="shared" si="21"/>
        <v>17</v>
      </c>
      <c r="R96" s="4">
        <f t="shared" ref="R96:R98" si="26">11*Q96-P96-F96</f>
        <v>67</v>
      </c>
      <c r="S96" s="5">
        <f t="shared" si="22"/>
        <v>11</v>
      </c>
      <c r="T96" s="5">
        <f t="shared" si="23"/>
        <v>7.0588235294117645</v>
      </c>
      <c r="U96" s="5">
        <v>9.4</v>
      </c>
      <c r="V96" s="5">
        <v>9.4</v>
      </c>
      <c r="W96" s="5">
        <v>12</v>
      </c>
      <c r="X96" s="5">
        <v>13</v>
      </c>
      <c r="Y96" s="5">
        <v>14.6</v>
      </c>
      <c r="Z96" s="5">
        <v>15</v>
      </c>
      <c r="AA96" s="5">
        <v>10</v>
      </c>
      <c r="AB96" s="5">
        <v>9.1999999999999993</v>
      </c>
      <c r="AC96" s="5">
        <v>11.4</v>
      </c>
      <c r="AD96" s="5">
        <v>6.8</v>
      </c>
      <c r="AE96" s="5"/>
      <c r="AF96" s="5">
        <f>G96*R96</f>
        <v>4.6900000000000004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x14ac:dyDescent="0.25">
      <c r="A97" s="5" t="s">
        <v>134</v>
      </c>
      <c r="B97" s="5" t="s">
        <v>41</v>
      </c>
      <c r="C97" s="5">
        <v>56</v>
      </c>
      <c r="D97" s="5"/>
      <c r="E97" s="5">
        <v>56</v>
      </c>
      <c r="F97" s="5"/>
      <c r="G97" s="7">
        <v>7.0000000000000007E-2</v>
      </c>
      <c r="H97" s="5">
        <v>90</v>
      </c>
      <c r="I97" s="5" t="s">
        <v>37</v>
      </c>
      <c r="J97" s="5"/>
      <c r="K97" s="5">
        <v>63</v>
      </c>
      <c r="L97" s="5">
        <f t="shared" si="20"/>
        <v>-7</v>
      </c>
      <c r="M97" s="5"/>
      <c r="N97" s="5"/>
      <c r="O97" s="9">
        <v>0</v>
      </c>
      <c r="P97" s="5"/>
      <c r="Q97" s="5">
        <f t="shared" si="21"/>
        <v>11.2</v>
      </c>
      <c r="R97" s="4">
        <f>6*Q97-P97-F97</f>
        <v>67.199999999999989</v>
      </c>
      <c r="S97" s="5">
        <f t="shared" si="22"/>
        <v>5.9999999999999991</v>
      </c>
      <c r="T97" s="5">
        <f t="shared" si="23"/>
        <v>0</v>
      </c>
      <c r="U97" s="5">
        <v>7.2</v>
      </c>
      <c r="V97" s="5">
        <v>3.2</v>
      </c>
      <c r="W97" s="5">
        <v>0</v>
      </c>
      <c r="X97" s="5">
        <v>0</v>
      </c>
      <c r="Y97" s="5">
        <v>4</v>
      </c>
      <c r="Z97" s="5">
        <v>10.4</v>
      </c>
      <c r="AA97" s="5">
        <v>9.8000000000000007</v>
      </c>
      <c r="AB97" s="5">
        <v>10</v>
      </c>
      <c r="AC97" s="5">
        <v>12.4</v>
      </c>
      <c r="AD97" s="5">
        <v>6.6</v>
      </c>
      <c r="AE97" s="5"/>
      <c r="AF97" s="5">
        <f>G97*R97</f>
        <v>4.7039999999999997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x14ac:dyDescent="0.25">
      <c r="A98" s="5" t="s">
        <v>135</v>
      </c>
      <c r="B98" s="5" t="s">
        <v>41</v>
      </c>
      <c r="C98" s="5">
        <v>143</v>
      </c>
      <c r="D98" s="5">
        <v>54</v>
      </c>
      <c r="E98" s="5">
        <v>63</v>
      </c>
      <c r="F98" s="5">
        <v>127</v>
      </c>
      <c r="G98" s="7">
        <v>7.0000000000000007E-2</v>
      </c>
      <c r="H98" s="5">
        <v>90</v>
      </c>
      <c r="I98" s="5" t="s">
        <v>37</v>
      </c>
      <c r="J98" s="5"/>
      <c r="K98" s="5">
        <v>64</v>
      </c>
      <c r="L98" s="5">
        <f t="shared" si="20"/>
        <v>-1</v>
      </c>
      <c r="M98" s="5"/>
      <c r="N98" s="5"/>
      <c r="O98" s="5">
        <v>0</v>
      </c>
      <c r="P98" s="5"/>
      <c r="Q98" s="5">
        <f t="shared" si="21"/>
        <v>12.6</v>
      </c>
      <c r="R98" s="4">
        <f t="shared" si="26"/>
        <v>11.599999999999994</v>
      </c>
      <c r="S98" s="5">
        <f t="shared" si="22"/>
        <v>11</v>
      </c>
      <c r="T98" s="5">
        <f t="shared" si="23"/>
        <v>10.079365079365079</v>
      </c>
      <c r="U98" s="5">
        <v>7</v>
      </c>
      <c r="V98" s="5">
        <v>9.4</v>
      </c>
      <c r="W98" s="5">
        <v>15.4</v>
      </c>
      <c r="X98" s="5">
        <v>14.2</v>
      </c>
      <c r="Y98" s="5">
        <v>10.6</v>
      </c>
      <c r="Z98" s="5">
        <v>8.4</v>
      </c>
      <c r="AA98" s="5">
        <v>4.2</v>
      </c>
      <c r="AB98" s="5">
        <v>5</v>
      </c>
      <c r="AC98" s="5">
        <v>12.4</v>
      </c>
      <c r="AD98" s="5">
        <v>9</v>
      </c>
      <c r="AE98" s="5"/>
      <c r="AF98" s="5">
        <f>G98*R98</f>
        <v>0.81199999999999972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x14ac:dyDescent="0.25">
      <c r="A99" s="10" t="s">
        <v>136</v>
      </c>
      <c r="B99" s="10" t="s">
        <v>41</v>
      </c>
      <c r="C99" s="10">
        <v>80</v>
      </c>
      <c r="D99" s="10"/>
      <c r="E99" s="10">
        <v>70</v>
      </c>
      <c r="F99" s="10">
        <v>8</v>
      </c>
      <c r="G99" s="11">
        <v>0</v>
      </c>
      <c r="H99" s="10">
        <v>90</v>
      </c>
      <c r="I99" s="10" t="s">
        <v>60</v>
      </c>
      <c r="J99" s="10"/>
      <c r="K99" s="10">
        <v>82</v>
      </c>
      <c r="L99" s="10">
        <f t="shared" si="20"/>
        <v>-12</v>
      </c>
      <c r="M99" s="10"/>
      <c r="N99" s="10"/>
      <c r="O99" s="10">
        <v>0</v>
      </c>
      <c r="P99" s="10"/>
      <c r="Q99" s="10">
        <f t="shared" si="21"/>
        <v>14</v>
      </c>
      <c r="R99" s="12"/>
      <c r="S99" s="10">
        <f t="shared" si="22"/>
        <v>0.5714285714285714</v>
      </c>
      <c r="T99" s="10">
        <f t="shared" si="23"/>
        <v>0.5714285714285714</v>
      </c>
      <c r="U99" s="10">
        <v>12.6</v>
      </c>
      <c r="V99" s="10">
        <v>14</v>
      </c>
      <c r="W99" s="10">
        <v>15</v>
      </c>
      <c r="X99" s="10">
        <v>12.6</v>
      </c>
      <c r="Y99" s="10">
        <v>7.6</v>
      </c>
      <c r="Z99" s="10">
        <v>9.1999999999999993</v>
      </c>
      <c r="AA99" s="10">
        <v>8.8000000000000007</v>
      </c>
      <c r="AB99" s="10">
        <v>15.2</v>
      </c>
      <c r="AC99" s="10">
        <v>20.2</v>
      </c>
      <c r="AD99" s="10">
        <v>10</v>
      </c>
      <c r="AE99" s="10"/>
      <c r="AF99" s="10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x14ac:dyDescent="0.25">
      <c r="A100" s="10" t="s">
        <v>137</v>
      </c>
      <c r="B100" s="10" t="s">
        <v>41</v>
      </c>
      <c r="C100" s="10">
        <v>1</v>
      </c>
      <c r="D100" s="10"/>
      <c r="E100" s="10">
        <v>-9</v>
      </c>
      <c r="F100" s="10">
        <v>1</v>
      </c>
      <c r="G100" s="11">
        <v>0</v>
      </c>
      <c r="H100" s="10"/>
      <c r="I100" s="10" t="s">
        <v>60</v>
      </c>
      <c r="J100" s="10"/>
      <c r="K100" s="10">
        <v>28</v>
      </c>
      <c r="L100" s="10">
        <f t="shared" si="20"/>
        <v>-37</v>
      </c>
      <c r="M100" s="10"/>
      <c r="N100" s="10"/>
      <c r="O100" s="10">
        <v>0</v>
      </c>
      <c r="P100" s="10"/>
      <c r="Q100" s="10">
        <f t="shared" si="21"/>
        <v>-1.8</v>
      </c>
      <c r="R100" s="12"/>
      <c r="S100" s="10">
        <f t="shared" si="22"/>
        <v>-0.55555555555555558</v>
      </c>
      <c r="T100" s="10">
        <f t="shared" si="23"/>
        <v>-0.55555555555555558</v>
      </c>
      <c r="U100" s="10">
        <v>0</v>
      </c>
      <c r="V100" s="10">
        <v>0</v>
      </c>
      <c r="W100" s="10">
        <v>-0.2</v>
      </c>
      <c r="X100" s="10">
        <v>-0.8</v>
      </c>
      <c r="Y100" s="10">
        <v>2.8</v>
      </c>
      <c r="Z100" s="10">
        <v>11</v>
      </c>
      <c r="AA100" s="10">
        <v>10</v>
      </c>
      <c r="AB100" s="10">
        <v>7.8</v>
      </c>
      <c r="AC100" s="10">
        <v>12.6</v>
      </c>
      <c r="AD100" s="10">
        <v>9.4</v>
      </c>
      <c r="AE100" s="10" t="s">
        <v>138</v>
      </c>
      <c r="AF100" s="10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x14ac:dyDescent="0.25">
      <c r="A101" s="10" t="s">
        <v>139</v>
      </c>
      <c r="B101" s="10" t="s">
        <v>41</v>
      </c>
      <c r="C101" s="10"/>
      <c r="D101" s="10"/>
      <c r="E101" s="10"/>
      <c r="F101" s="10"/>
      <c r="G101" s="11">
        <v>0</v>
      </c>
      <c r="H101" s="10"/>
      <c r="I101" s="10" t="s">
        <v>37</v>
      </c>
      <c r="J101" s="10"/>
      <c r="K101" s="10"/>
      <c r="L101" s="10">
        <f t="shared" si="20"/>
        <v>0</v>
      </c>
      <c r="M101" s="10"/>
      <c r="N101" s="10"/>
      <c r="O101" s="10">
        <v>0</v>
      </c>
      <c r="P101" s="10"/>
      <c r="Q101" s="10">
        <f t="shared" si="21"/>
        <v>0</v>
      </c>
      <c r="R101" s="12"/>
      <c r="S101" s="10" t="e">
        <f t="shared" si="22"/>
        <v>#DIV/0!</v>
      </c>
      <c r="T101" s="10" t="e">
        <f t="shared" si="23"/>
        <v>#DIV/0!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 t="s">
        <v>46</v>
      </c>
      <c r="AF101" s="10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x14ac:dyDescent="0.25">
      <c r="A102" s="10" t="s">
        <v>140</v>
      </c>
      <c r="B102" s="10" t="s">
        <v>36</v>
      </c>
      <c r="C102" s="10">
        <v>-3.173</v>
      </c>
      <c r="D102" s="10"/>
      <c r="E102" s="10">
        <v>-0.27200000000000002</v>
      </c>
      <c r="F102" s="10">
        <v>-3.173</v>
      </c>
      <c r="G102" s="11">
        <v>0</v>
      </c>
      <c r="H102" s="10"/>
      <c r="I102" s="10" t="s">
        <v>37</v>
      </c>
      <c r="J102" s="10"/>
      <c r="K102" s="10">
        <v>1</v>
      </c>
      <c r="L102" s="10">
        <f t="shared" ref="L102:L133" si="27">E102-K102</f>
        <v>-1.272</v>
      </c>
      <c r="M102" s="10"/>
      <c r="N102" s="10"/>
      <c r="O102" s="10">
        <v>0</v>
      </c>
      <c r="P102" s="10"/>
      <c r="Q102" s="10">
        <f t="shared" ref="Q102:Q133" si="28">E102/5</f>
        <v>-5.4400000000000004E-2</v>
      </c>
      <c r="R102" s="12"/>
      <c r="S102" s="10">
        <f t="shared" ref="S102:S133" si="29">(F102+O102+P102+R102)/Q102</f>
        <v>58.327205882352935</v>
      </c>
      <c r="T102" s="10">
        <f t="shared" ref="T102:T133" si="30">(F102+O102+P102)/Q102</f>
        <v>58.327205882352935</v>
      </c>
      <c r="U102" s="10">
        <v>0.63460000000000005</v>
      </c>
      <c r="V102" s="10">
        <v>4.1537999999999986</v>
      </c>
      <c r="W102" s="10">
        <v>6.4096000000000002</v>
      </c>
      <c r="X102" s="10">
        <v>3.5326</v>
      </c>
      <c r="Y102" s="10">
        <v>2.8809999999999998</v>
      </c>
      <c r="Z102" s="10">
        <v>7.3634000000000004</v>
      </c>
      <c r="AA102" s="10">
        <v>8.003400000000001</v>
      </c>
      <c r="AB102" s="10">
        <v>10.226000000000001</v>
      </c>
      <c r="AC102" s="10">
        <v>11.8124</v>
      </c>
      <c r="AD102" s="10">
        <v>7.6684000000000001</v>
      </c>
      <c r="AE102" s="10" t="s">
        <v>46</v>
      </c>
      <c r="AF102" s="10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x14ac:dyDescent="0.25">
      <c r="A103" s="10" t="s">
        <v>141</v>
      </c>
      <c r="B103" s="10" t="s">
        <v>41</v>
      </c>
      <c r="C103" s="10"/>
      <c r="D103" s="10"/>
      <c r="E103" s="10"/>
      <c r="F103" s="10"/>
      <c r="G103" s="11">
        <v>0</v>
      </c>
      <c r="H103" s="10"/>
      <c r="I103" s="10" t="s">
        <v>37</v>
      </c>
      <c r="J103" s="10"/>
      <c r="K103" s="10"/>
      <c r="L103" s="10">
        <f t="shared" si="27"/>
        <v>0</v>
      </c>
      <c r="M103" s="10"/>
      <c r="N103" s="10"/>
      <c r="O103" s="10">
        <v>0</v>
      </c>
      <c r="P103" s="10"/>
      <c r="Q103" s="10">
        <f t="shared" si="28"/>
        <v>0</v>
      </c>
      <c r="R103" s="12"/>
      <c r="S103" s="10" t="e">
        <f t="shared" si="29"/>
        <v>#DIV/0!</v>
      </c>
      <c r="T103" s="10" t="e">
        <f t="shared" si="30"/>
        <v>#DIV/0!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 t="s">
        <v>46</v>
      </c>
      <c r="AF103" s="10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x14ac:dyDescent="0.25">
      <c r="A104" s="10" t="s">
        <v>142</v>
      </c>
      <c r="B104" s="10" t="s">
        <v>41</v>
      </c>
      <c r="C104" s="10"/>
      <c r="D104" s="10"/>
      <c r="E104" s="10"/>
      <c r="F104" s="10"/>
      <c r="G104" s="11">
        <v>0</v>
      </c>
      <c r="H104" s="10"/>
      <c r="I104" s="10" t="s">
        <v>37</v>
      </c>
      <c r="J104" s="10"/>
      <c r="K104" s="10"/>
      <c r="L104" s="10">
        <f t="shared" si="27"/>
        <v>0</v>
      </c>
      <c r="M104" s="10"/>
      <c r="N104" s="10"/>
      <c r="O104" s="10">
        <v>0</v>
      </c>
      <c r="P104" s="10"/>
      <c r="Q104" s="10">
        <f t="shared" si="28"/>
        <v>0</v>
      </c>
      <c r="R104" s="12"/>
      <c r="S104" s="10" t="e">
        <f t="shared" si="29"/>
        <v>#DIV/0!</v>
      </c>
      <c r="T104" s="10" t="e">
        <f t="shared" si="30"/>
        <v>#DIV/0!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 t="s">
        <v>46</v>
      </c>
      <c r="AF104" s="10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x14ac:dyDescent="0.25">
      <c r="A105" s="5" t="s">
        <v>143</v>
      </c>
      <c r="B105" s="5" t="s">
        <v>41</v>
      </c>
      <c r="C105" s="5">
        <v>184</v>
      </c>
      <c r="D105" s="5"/>
      <c r="E105" s="5">
        <v>100</v>
      </c>
      <c r="F105" s="5">
        <v>76</v>
      </c>
      <c r="G105" s="7">
        <v>0.08</v>
      </c>
      <c r="H105" s="5">
        <v>45</v>
      </c>
      <c r="I105" s="5" t="s">
        <v>37</v>
      </c>
      <c r="J105" s="5"/>
      <c r="K105" s="5">
        <v>99</v>
      </c>
      <c r="L105" s="5">
        <f t="shared" si="27"/>
        <v>1</v>
      </c>
      <c r="M105" s="5"/>
      <c r="N105" s="5"/>
      <c r="O105" s="5">
        <v>27.199999999999989</v>
      </c>
      <c r="P105" s="5"/>
      <c r="Q105" s="5">
        <f t="shared" si="28"/>
        <v>20</v>
      </c>
      <c r="R105" s="4">
        <f t="shared" ref="R105:R106" si="31">11*Q105-P105-F105</f>
        <v>144</v>
      </c>
      <c r="S105" s="5">
        <f t="shared" si="29"/>
        <v>12.36</v>
      </c>
      <c r="T105" s="5">
        <f t="shared" si="30"/>
        <v>5.1599999999999993</v>
      </c>
      <c r="U105" s="5">
        <v>12.6</v>
      </c>
      <c r="V105" s="5">
        <v>5</v>
      </c>
      <c r="W105" s="5">
        <v>10</v>
      </c>
      <c r="X105" s="5">
        <v>18.399999999999999</v>
      </c>
      <c r="Y105" s="5">
        <v>18.8</v>
      </c>
      <c r="Z105" s="5">
        <v>17.2</v>
      </c>
      <c r="AA105" s="5">
        <v>7.4</v>
      </c>
      <c r="AB105" s="5">
        <v>1</v>
      </c>
      <c r="AC105" s="5">
        <v>8.8000000000000007</v>
      </c>
      <c r="AD105" s="5">
        <v>14.2</v>
      </c>
      <c r="AE105" s="5"/>
      <c r="AF105" s="5">
        <f>G105*R105</f>
        <v>11.52</v>
      </c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x14ac:dyDescent="0.25">
      <c r="A106" s="5" t="s">
        <v>144</v>
      </c>
      <c r="B106" s="5" t="s">
        <v>41</v>
      </c>
      <c r="C106" s="5">
        <v>205</v>
      </c>
      <c r="D106" s="5"/>
      <c r="E106" s="5">
        <v>100</v>
      </c>
      <c r="F106" s="5">
        <v>97</v>
      </c>
      <c r="G106" s="7">
        <v>0.08</v>
      </c>
      <c r="H106" s="5">
        <v>45</v>
      </c>
      <c r="I106" s="5" t="s">
        <v>37</v>
      </c>
      <c r="J106" s="5"/>
      <c r="K106" s="5">
        <v>97</v>
      </c>
      <c r="L106" s="5">
        <f t="shared" si="27"/>
        <v>3</v>
      </c>
      <c r="M106" s="5"/>
      <c r="N106" s="5"/>
      <c r="O106" s="5">
        <v>0</v>
      </c>
      <c r="P106" s="5"/>
      <c r="Q106" s="5">
        <f t="shared" si="28"/>
        <v>20</v>
      </c>
      <c r="R106" s="4">
        <f t="shared" si="31"/>
        <v>123</v>
      </c>
      <c r="S106" s="5">
        <f t="shared" si="29"/>
        <v>11</v>
      </c>
      <c r="T106" s="5">
        <f t="shared" si="30"/>
        <v>4.8499999999999996</v>
      </c>
      <c r="U106" s="5">
        <v>9.4</v>
      </c>
      <c r="V106" s="5">
        <v>5.4</v>
      </c>
      <c r="W106" s="5">
        <v>9.4</v>
      </c>
      <c r="X106" s="5">
        <v>16.8</v>
      </c>
      <c r="Y106" s="5">
        <v>22.2</v>
      </c>
      <c r="Z106" s="5">
        <v>22</v>
      </c>
      <c r="AA106" s="5">
        <v>19</v>
      </c>
      <c r="AB106" s="5">
        <v>16.2</v>
      </c>
      <c r="AC106" s="5">
        <v>17.2</v>
      </c>
      <c r="AD106" s="5">
        <v>13.8</v>
      </c>
      <c r="AE106" s="5"/>
      <c r="AF106" s="5">
        <f>G106*R106</f>
        <v>9.84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x14ac:dyDescent="0.25">
      <c r="A107" s="10" t="s">
        <v>145</v>
      </c>
      <c r="B107" s="10" t="s">
        <v>41</v>
      </c>
      <c r="C107" s="10"/>
      <c r="D107" s="10"/>
      <c r="E107" s="10"/>
      <c r="F107" s="10"/>
      <c r="G107" s="11">
        <v>0</v>
      </c>
      <c r="H107" s="10"/>
      <c r="I107" s="10" t="s">
        <v>37</v>
      </c>
      <c r="J107" s="10"/>
      <c r="K107" s="10"/>
      <c r="L107" s="10">
        <f t="shared" si="27"/>
        <v>0</v>
      </c>
      <c r="M107" s="10"/>
      <c r="N107" s="10"/>
      <c r="O107" s="10">
        <v>0</v>
      </c>
      <c r="P107" s="10"/>
      <c r="Q107" s="10">
        <f t="shared" si="28"/>
        <v>0</v>
      </c>
      <c r="R107" s="12"/>
      <c r="S107" s="10" t="e">
        <f t="shared" si="29"/>
        <v>#DIV/0!</v>
      </c>
      <c r="T107" s="10" t="e">
        <f t="shared" si="30"/>
        <v>#DIV/0!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 t="s">
        <v>46</v>
      </c>
      <c r="AF107" s="10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x14ac:dyDescent="0.25">
      <c r="A108" s="5" t="s">
        <v>146</v>
      </c>
      <c r="B108" s="5" t="s">
        <v>36</v>
      </c>
      <c r="C108" s="5">
        <v>377.52199999999999</v>
      </c>
      <c r="D108" s="5">
        <v>37.460999999999999</v>
      </c>
      <c r="E108" s="5">
        <v>193.68700000000001</v>
      </c>
      <c r="F108" s="5">
        <v>201.48099999999999</v>
      </c>
      <c r="G108" s="7">
        <v>1</v>
      </c>
      <c r="H108" s="5">
        <v>40</v>
      </c>
      <c r="I108" s="5" t="s">
        <v>37</v>
      </c>
      <c r="J108" s="5"/>
      <c r="K108" s="5">
        <v>185.5</v>
      </c>
      <c r="L108" s="5">
        <f t="shared" si="27"/>
        <v>8.1870000000000118</v>
      </c>
      <c r="M108" s="5"/>
      <c r="N108" s="5"/>
      <c r="O108" s="5">
        <v>176.23179999999991</v>
      </c>
      <c r="P108" s="5"/>
      <c r="Q108" s="5">
        <f t="shared" si="28"/>
        <v>38.737400000000001</v>
      </c>
      <c r="R108" s="4">
        <f t="shared" ref="R108:R110" si="32">11*Q108-P108-F108</f>
        <v>224.63040000000001</v>
      </c>
      <c r="S108" s="5">
        <f t="shared" si="29"/>
        <v>15.549396707058293</v>
      </c>
      <c r="T108" s="5">
        <f t="shared" si="30"/>
        <v>9.7505976136756694</v>
      </c>
      <c r="U108" s="5">
        <v>37.202199999999998</v>
      </c>
      <c r="V108" s="5">
        <v>32.511200000000002</v>
      </c>
      <c r="W108" s="5">
        <v>39.205399999999997</v>
      </c>
      <c r="X108" s="5">
        <v>47.357999999999997</v>
      </c>
      <c r="Y108" s="5">
        <v>40.43</v>
      </c>
      <c r="Z108" s="5">
        <v>48.8384</v>
      </c>
      <c r="AA108" s="5">
        <v>44.055</v>
      </c>
      <c r="AB108" s="5">
        <v>44.2652</v>
      </c>
      <c r="AC108" s="5">
        <v>54.242199999999997</v>
      </c>
      <c r="AD108" s="5">
        <v>42.4114</v>
      </c>
      <c r="AE108" s="5"/>
      <c r="AF108" s="5">
        <f>G108*R108</f>
        <v>224.63040000000001</v>
      </c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x14ac:dyDescent="0.25">
      <c r="A109" s="5" t="s">
        <v>147</v>
      </c>
      <c r="B109" s="5" t="s">
        <v>36</v>
      </c>
      <c r="C109" s="5">
        <v>335.41399999999999</v>
      </c>
      <c r="D109" s="5">
        <v>139.72800000000001</v>
      </c>
      <c r="E109" s="5">
        <v>177.54900000000001</v>
      </c>
      <c r="F109" s="5">
        <v>268.654</v>
      </c>
      <c r="G109" s="7">
        <v>1</v>
      </c>
      <c r="H109" s="5">
        <v>40</v>
      </c>
      <c r="I109" s="5" t="s">
        <v>37</v>
      </c>
      <c r="J109" s="5"/>
      <c r="K109" s="5">
        <v>176.4</v>
      </c>
      <c r="L109" s="5">
        <f t="shared" si="27"/>
        <v>1.1490000000000009</v>
      </c>
      <c r="M109" s="5"/>
      <c r="N109" s="5"/>
      <c r="O109" s="5">
        <v>162.947</v>
      </c>
      <c r="P109" s="5"/>
      <c r="Q109" s="5">
        <f t="shared" si="28"/>
        <v>35.509799999999998</v>
      </c>
      <c r="R109" s="4">
        <f t="shared" si="32"/>
        <v>121.9538</v>
      </c>
      <c r="S109" s="5">
        <f t="shared" si="29"/>
        <v>15.588789573582504</v>
      </c>
      <c r="T109" s="5">
        <f t="shared" si="30"/>
        <v>12.154419343392529</v>
      </c>
      <c r="U109" s="5">
        <v>40.703800000000001</v>
      </c>
      <c r="V109" s="5">
        <v>41.782600000000002</v>
      </c>
      <c r="W109" s="5">
        <v>43.181199999999997</v>
      </c>
      <c r="X109" s="5">
        <v>44.637</v>
      </c>
      <c r="Y109" s="5">
        <v>44.8142</v>
      </c>
      <c r="Z109" s="5">
        <v>56.320599999999999</v>
      </c>
      <c r="AA109" s="5">
        <v>47.069200000000002</v>
      </c>
      <c r="AB109" s="5">
        <v>42.101199999999999</v>
      </c>
      <c r="AC109" s="5">
        <v>53.484000000000002</v>
      </c>
      <c r="AD109" s="5">
        <v>58.659000000000013</v>
      </c>
      <c r="AE109" s="5"/>
      <c r="AF109" s="5">
        <f>G109*R109</f>
        <v>121.9538</v>
      </c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x14ac:dyDescent="0.25">
      <c r="A110" s="5" t="s">
        <v>148</v>
      </c>
      <c r="B110" s="5" t="s">
        <v>36</v>
      </c>
      <c r="C110" s="5">
        <v>322.97500000000002</v>
      </c>
      <c r="D110" s="5">
        <v>285.7</v>
      </c>
      <c r="E110" s="5">
        <v>257.63900000000001</v>
      </c>
      <c r="F110" s="5">
        <v>317.66300000000001</v>
      </c>
      <c r="G110" s="7">
        <v>1</v>
      </c>
      <c r="H110" s="5">
        <v>40</v>
      </c>
      <c r="I110" s="5" t="s">
        <v>37</v>
      </c>
      <c r="J110" s="5"/>
      <c r="K110" s="5">
        <v>257</v>
      </c>
      <c r="L110" s="5">
        <f t="shared" si="27"/>
        <v>0.63900000000001</v>
      </c>
      <c r="M110" s="5"/>
      <c r="N110" s="5"/>
      <c r="O110" s="5">
        <v>198.77567999999991</v>
      </c>
      <c r="P110" s="5"/>
      <c r="Q110" s="5">
        <f t="shared" si="28"/>
        <v>51.527799999999999</v>
      </c>
      <c r="R110" s="4">
        <f t="shared" si="32"/>
        <v>249.14279999999997</v>
      </c>
      <c r="S110" s="5">
        <f t="shared" si="29"/>
        <v>14.857639565438461</v>
      </c>
      <c r="T110" s="5">
        <f t="shared" si="30"/>
        <v>10.02252531643113</v>
      </c>
      <c r="U110" s="5">
        <v>51.247799999999998</v>
      </c>
      <c r="V110" s="5">
        <v>50.388800000000003</v>
      </c>
      <c r="W110" s="5">
        <v>57.012800000000013</v>
      </c>
      <c r="X110" s="5">
        <v>65.165199999999999</v>
      </c>
      <c r="Y110" s="5">
        <v>60.9452</v>
      </c>
      <c r="Z110" s="5">
        <v>70.5732</v>
      </c>
      <c r="AA110" s="5">
        <v>62.651200000000003</v>
      </c>
      <c r="AB110" s="5">
        <v>44.876600000000003</v>
      </c>
      <c r="AC110" s="5">
        <v>53.498600000000003</v>
      </c>
      <c r="AD110" s="5">
        <v>56.879600000000003</v>
      </c>
      <c r="AE110" s="5"/>
      <c r="AF110" s="5">
        <f>G110*R110</f>
        <v>249.14279999999997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x14ac:dyDescent="0.25">
      <c r="A111" s="10" t="s">
        <v>149</v>
      </c>
      <c r="B111" s="10" t="s">
        <v>41</v>
      </c>
      <c r="C111" s="10"/>
      <c r="D111" s="10"/>
      <c r="E111" s="10"/>
      <c r="F111" s="10"/>
      <c r="G111" s="11">
        <v>0</v>
      </c>
      <c r="H111" s="10"/>
      <c r="I111" s="10" t="s">
        <v>37</v>
      </c>
      <c r="J111" s="10"/>
      <c r="K111" s="10"/>
      <c r="L111" s="10">
        <f t="shared" si="27"/>
        <v>0</v>
      </c>
      <c r="M111" s="10"/>
      <c r="N111" s="10"/>
      <c r="O111" s="10">
        <v>0</v>
      </c>
      <c r="P111" s="10"/>
      <c r="Q111" s="10">
        <f t="shared" si="28"/>
        <v>0</v>
      </c>
      <c r="R111" s="12"/>
      <c r="S111" s="10" t="e">
        <f t="shared" si="29"/>
        <v>#DIV/0!</v>
      </c>
      <c r="T111" s="10" t="e">
        <f t="shared" si="30"/>
        <v>#DIV/0!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 t="s">
        <v>46</v>
      </c>
      <c r="AF111" s="10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x14ac:dyDescent="0.25">
      <c r="A112" s="10" t="s">
        <v>150</v>
      </c>
      <c r="B112" s="10" t="s">
        <v>41</v>
      </c>
      <c r="C112" s="10"/>
      <c r="D112" s="10"/>
      <c r="E112" s="10"/>
      <c r="F112" s="10"/>
      <c r="G112" s="11">
        <v>0</v>
      </c>
      <c r="H112" s="10"/>
      <c r="I112" s="10" t="s">
        <v>37</v>
      </c>
      <c r="J112" s="10"/>
      <c r="K112" s="10"/>
      <c r="L112" s="10">
        <f t="shared" si="27"/>
        <v>0</v>
      </c>
      <c r="M112" s="10"/>
      <c r="N112" s="10"/>
      <c r="O112" s="10">
        <v>0</v>
      </c>
      <c r="P112" s="10"/>
      <c r="Q112" s="10">
        <f t="shared" si="28"/>
        <v>0</v>
      </c>
      <c r="R112" s="12"/>
      <c r="S112" s="10" t="e">
        <f t="shared" si="29"/>
        <v>#DIV/0!</v>
      </c>
      <c r="T112" s="10" t="e">
        <f t="shared" si="30"/>
        <v>#DIV/0!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 t="s">
        <v>46</v>
      </c>
      <c r="AF112" s="10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x14ac:dyDescent="0.25">
      <c r="A113" s="5" t="s">
        <v>151</v>
      </c>
      <c r="B113" s="5" t="s">
        <v>41</v>
      </c>
      <c r="C113" s="5">
        <v>362</v>
      </c>
      <c r="D113" s="5"/>
      <c r="E113" s="5">
        <v>282</v>
      </c>
      <c r="F113" s="5">
        <v>63</v>
      </c>
      <c r="G113" s="7">
        <v>0.28000000000000003</v>
      </c>
      <c r="H113" s="5">
        <v>40</v>
      </c>
      <c r="I113" s="5" t="s">
        <v>37</v>
      </c>
      <c r="J113" s="5"/>
      <c r="K113" s="5">
        <v>286</v>
      </c>
      <c r="L113" s="5">
        <f t="shared" si="27"/>
        <v>-4</v>
      </c>
      <c r="M113" s="5"/>
      <c r="N113" s="5"/>
      <c r="O113" s="9">
        <v>0</v>
      </c>
      <c r="P113" s="5"/>
      <c r="Q113" s="5">
        <f t="shared" si="28"/>
        <v>56.4</v>
      </c>
      <c r="R113" s="4">
        <f>7*Q113-P113-F113</f>
        <v>331.8</v>
      </c>
      <c r="S113" s="5">
        <f t="shared" si="29"/>
        <v>7</v>
      </c>
      <c r="T113" s="5">
        <f t="shared" si="30"/>
        <v>1.1170212765957448</v>
      </c>
      <c r="U113" s="5">
        <v>36.6</v>
      </c>
      <c r="V113" s="5">
        <v>18.8</v>
      </c>
      <c r="W113" s="5">
        <v>1.8</v>
      </c>
      <c r="X113" s="5">
        <v>20</v>
      </c>
      <c r="Y113" s="5">
        <v>41</v>
      </c>
      <c r="Z113" s="5">
        <v>38.799999999999997</v>
      </c>
      <c r="AA113" s="5">
        <v>14.8</v>
      </c>
      <c r="AB113" s="5">
        <v>-2.6</v>
      </c>
      <c r="AC113" s="5">
        <v>-1.8</v>
      </c>
      <c r="AD113" s="5">
        <v>10.4</v>
      </c>
      <c r="AE113" s="5"/>
      <c r="AF113" s="5">
        <f>G113*R113</f>
        <v>92.904000000000011</v>
      </c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x14ac:dyDescent="0.25">
      <c r="A114" s="5" t="s">
        <v>152</v>
      </c>
      <c r="B114" s="5" t="s">
        <v>41</v>
      </c>
      <c r="C114" s="5">
        <v>176</v>
      </c>
      <c r="D114" s="5">
        <v>256</v>
      </c>
      <c r="E114" s="5">
        <v>229</v>
      </c>
      <c r="F114" s="5">
        <v>190</v>
      </c>
      <c r="G114" s="7">
        <v>0.28000000000000003</v>
      </c>
      <c r="H114" s="5">
        <v>40</v>
      </c>
      <c r="I114" s="5" t="s">
        <v>37</v>
      </c>
      <c r="J114" s="5"/>
      <c r="K114" s="5">
        <v>224</v>
      </c>
      <c r="L114" s="5">
        <f t="shared" si="27"/>
        <v>5</v>
      </c>
      <c r="M114" s="5"/>
      <c r="N114" s="5"/>
      <c r="O114" s="9">
        <v>0</v>
      </c>
      <c r="P114" s="5"/>
      <c r="Q114" s="5">
        <f t="shared" si="28"/>
        <v>45.8</v>
      </c>
      <c r="R114" s="4">
        <f>10*Q114-P114-F114</f>
        <v>268</v>
      </c>
      <c r="S114" s="5">
        <f t="shared" si="29"/>
        <v>10</v>
      </c>
      <c r="T114" s="5">
        <f t="shared" si="30"/>
        <v>4.1484716157205241</v>
      </c>
      <c r="U114" s="5">
        <v>35</v>
      </c>
      <c r="V114" s="5">
        <v>34.799999999999997</v>
      </c>
      <c r="W114" s="5">
        <v>40.4</v>
      </c>
      <c r="X114" s="5">
        <v>38.6</v>
      </c>
      <c r="Y114" s="5">
        <v>25</v>
      </c>
      <c r="Z114" s="5">
        <v>12.8</v>
      </c>
      <c r="AA114" s="5">
        <v>8.6</v>
      </c>
      <c r="AB114" s="5">
        <v>24</v>
      </c>
      <c r="AC114" s="5">
        <v>42.6</v>
      </c>
      <c r="AD114" s="5">
        <v>28.8</v>
      </c>
      <c r="AE114" s="5"/>
      <c r="AF114" s="5">
        <f>G114*R114</f>
        <v>75.040000000000006</v>
      </c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x14ac:dyDescent="0.25">
      <c r="A115" s="5" t="s">
        <v>153</v>
      </c>
      <c r="B115" s="5" t="s">
        <v>41</v>
      </c>
      <c r="C115" s="5">
        <v>292</v>
      </c>
      <c r="D115" s="5">
        <v>108</v>
      </c>
      <c r="E115" s="5">
        <v>215</v>
      </c>
      <c r="F115" s="5">
        <v>175</v>
      </c>
      <c r="G115" s="7">
        <v>0.28000000000000003</v>
      </c>
      <c r="H115" s="5">
        <v>40</v>
      </c>
      <c r="I115" s="5" t="s">
        <v>37</v>
      </c>
      <c r="J115" s="5"/>
      <c r="K115" s="5">
        <v>209</v>
      </c>
      <c r="L115" s="5">
        <f t="shared" si="27"/>
        <v>6</v>
      </c>
      <c r="M115" s="5"/>
      <c r="N115" s="5"/>
      <c r="O115" s="5">
        <v>140.6</v>
      </c>
      <c r="P115" s="5"/>
      <c r="Q115" s="5">
        <f t="shared" si="28"/>
        <v>43</v>
      </c>
      <c r="R115" s="4">
        <f t="shared" ref="R113:R115" si="33">11*Q115-P115-F115</f>
        <v>298</v>
      </c>
      <c r="S115" s="5">
        <f t="shared" si="29"/>
        <v>14.269767441860466</v>
      </c>
      <c r="T115" s="5">
        <f t="shared" si="30"/>
        <v>7.3395348837209307</v>
      </c>
      <c r="U115" s="5">
        <v>33</v>
      </c>
      <c r="V115" s="5">
        <v>34.799999999999997</v>
      </c>
      <c r="W115" s="5">
        <v>39</v>
      </c>
      <c r="X115" s="5">
        <v>39.6</v>
      </c>
      <c r="Y115" s="5">
        <v>31.8</v>
      </c>
      <c r="Z115" s="5">
        <v>39</v>
      </c>
      <c r="AA115" s="5">
        <v>32.200000000000003</v>
      </c>
      <c r="AB115" s="5">
        <v>27.6</v>
      </c>
      <c r="AC115" s="5">
        <v>42.8</v>
      </c>
      <c r="AD115" s="5">
        <v>38.6</v>
      </c>
      <c r="AE115" s="5"/>
      <c r="AF115" s="5">
        <f>G115*R115</f>
        <v>83.440000000000012</v>
      </c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x14ac:dyDescent="0.25">
      <c r="A116" s="10" t="s">
        <v>154</v>
      </c>
      <c r="B116" s="10" t="s">
        <v>41</v>
      </c>
      <c r="C116" s="10"/>
      <c r="D116" s="10"/>
      <c r="E116" s="10"/>
      <c r="F116" s="10"/>
      <c r="G116" s="11">
        <v>0</v>
      </c>
      <c r="H116" s="10"/>
      <c r="I116" s="10" t="s">
        <v>37</v>
      </c>
      <c r="J116" s="10"/>
      <c r="K116" s="10"/>
      <c r="L116" s="10">
        <f t="shared" si="27"/>
        <v>0</v>
      </c>
      <c r="M116" s="10"/>
      <c r="N116" s="10"/>
      <c r="O116" s="10">
        <v>0</v>
      </c>
      <c r="P116" s="10"/>
      <c r="Q116" s="10">
        <f t="shared" si="28"/>
        <v>0</v>
      </c>
      <c r="R116" s="12"/>
      <c r="S116" s="10" t="e">
        <f t="shared" si="29"/>
        <v>#DIV/0!</v>
      </c>
      <c r="T116" s="10" t="e">
        <f t="shared" si="30"/>
        <v>#DIV/0!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 t="s">
        <v>46</v>
      </c>
      <c r="AF116" s="10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x14ac:dyDescent="0.25">
      <c r="A117" s="5" t="s">
        <v>155</v>
      </c>
      <c r="B117" s="5" t="s">
        <v>36</v>
      </c>
      <c r="C117" s="5">
        <v>133.78800000000001</v>
      </c>
      <c r="D117" s="5">
        <v>53.072000000000003</v>
      </c>
      <c r="E117" s="5">
        <v>92.236000000000004</v>
      </c>
      <c r="F117" s="5">
        <v>72.027000000000001</v>
      </c>
      <c r="G117" s="7">
        <v>1</v>
      </c>
      <c r="H117" s="5">
        <v>60</v>
      </c>
      <c r="I117" s="5" t="s">
        <v>37</v>
      </c>
      <c r="J117" s="5"/>
      <c r="K117" s="5">
        <v>116.6</v>
      </c>
      <c r="L117" s="5">
        <f t="shared" si="27"/>
        <v>-24.36399999999999</v>
      </c>
      <c r="M117" s="5"/>
      <c r="N117" s="5"/>
      <c r="O117" s="5">
        <v>4</v>
      </c>
      <c r="P117" s="5"/>
      <c r="Q117" s="5">
        <f t="shared" si="28"/>
        <v>18.447200000000002</v>
      </c>
      <c r="R117" s="4">
        <f>10*Q117-P117-F117</f>
        <v>112.44500000000004</v>
      </c>
      <c r="S117" s="5">
        <f t="shared" si="29"/>
        <v>10.216835075241772</v>
      </c>
      <c r="T117" s="5">
        <f t="shared" si="30"/>
        <v>4.1213300663515327</v>
      </c>
      <c r="U117" s="5">
        <v>12.635400000000001</v>
      </c>
      <c r="V117" s="5">
        <v>14.976000000000001</v>
      </c>
      <c r="W117" s="5">
        <v>20.262599999999999</v>
      </c>
      <c r="X117" s="5">
        <v>18.412800000000001</v>
      </c>
      <c r="Y117" s="5">
        <v>15.7308</v>
      </c>
      <c r="Z117" s="5">
        <v>19.185199999999998</v>
      </c>
      <c r="AA117" s="5">
        <v>9.5001999999999995</v>
      </c>
      <c r="AB117" s="5">
        <v>4.1302000000000003</v>
      </c>
      <c r="AC117" s="5">
        <v>29.898199999999999</v>
      </c>
      <c r="AD117" s="5">
        <v>29.849799999999998</v>
      </c>
      <c r="AE117" s="5"/>
      <c r="AF117" s="5">
        <f>G117*R117</f>
        <v>112.44500000000004</v>
      </c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x14ac:dyDescent="0.25">
      <c r="A118" s="5" t="s">
        <v>156</v>
      </c>
      <c r="B118" s="5" t="s">
        <v>36</v>
      </c>
      <c r="C118" s="5">
        <v>154.661</v>
      </c>
      <c r="D118" s="5">
        <v>62.201999999999998</v>
      </c>
      <c r="E118" s="5">
        <v>49.805999999999997</v>
      </c>
      <c r="F118" s="5">
        <v>149.58000000000001</v>
      </c>
      <c r="G118" s="7">
        <v>1</v>
      </c>
      <c r="H118" s="5">
        <v>50</v>
      </c>
      <c r="I118" s="5" t="s">
        <v>37</v>
      </c>
      <c r="J118" s="5"/>
      <c r="K118" s="5">
        <v>66.5</v>
      </c>
      <c r="L118" s="5">
        <f t="shared" si="27"/>
        <v>-16.694000000000003</v>
      </c>
      <c r="M118" s="5"/>
      <c r="N118" s="5"/>
      <c r="O118" s="5">
        <v>0</v>
      </c>
      <c r="P118" s="5"/>
      <c r="Q118" s="5">
        <f t="shared" si="28"/>
        <v>9.9611999999999998</v>
      </c>
      <c r="R118" s="4"/>
      <c r="S118" s="5">
        <f t="shared" si="29"/>
        <v>15.016263100831226</v>
      </c>
      <c r="T118" s="5">
        <f t="shared" si="30"/>
        <v>15.016263100831226</v>
      </c>
      <c r="U118" s="5">
        <v>8.8994</v>
      </c>
      <c r="V118" s="5">
        <v>10.405799999999999</v>
      </c>
      <c r="W118" s="5">
        <v>16.494800000000001</v>
      </c>
      <c r="X118" s="5">
        <v>16.497199999999999</v>
      </c>
      <c r="Y118" s="5">
        <v>14.1732</v>
      </c>
      <c r="Z118" s="5">
        <v>15.641999999999999</v>
      </c>
      <c r="AA118" s="5">
        <v>12.287000000000001</v>
      </c>
      <c r="AB118" s="5">
        <v>4.1159999999999997</v>
      </c>
      <c r="AC118" s="5">
        <v>7.7904</v>
      </c>
      <c r="AD118" s="5">
        <v>13.495799999999999</v>
      </c>
      <c r="AE118" s="5"/>
      <c r="AF118" s="5">
        <f>G118*R118</f>
        <v>0</v>
      </c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x14ac:dyDescent="0.25">
      <c r="A119" s="10" t="s">
        <v>157</v>
      </c>
      <c r="B119" s="10" t="s">
        <v>41</v>
      </c>
      <c r="C119" s="10"/>
      <c r="D119" s="10"/>
      <c r="E119" s="10"/>
      <c r="F119" s="10"/>
      <c r="G119" s="11">
        <v>0</v>
      </c>
      <c r="H119" s="10"/>
      <c r="I119" s="10" t="s">
        <v>37</v>
      </c>
      <c r="J119" s="10"/>
      <c r="K119" s="10"/>
      <c r="L119" s="10">
        <f t="shared" si="27"/>
        <v>0</v>
      </c>
      <c r="M119" s="10"/>
      <c r="N119" s="10"/>
      <c r="O119" s="10">
        <v>0</v>
      </c>
      <c r="P119" s="10"/>
      <c r="Q119" s="10">
        <f t="shared" si="28"/>
        <v>0</v>
      </c>
      <c r="R119" s="12"/>
      <c r="S119" s="10" t="e">
        <f t="shared" si="29"/>
        <v>#DIV/0!</v>
      </c>
      <c r="T119" s="10" t="e">
        <f t="shared" si="30"/>
        <v>#DIV/0!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 t="s">
        <v>46</v>
      </c>
      <c r="AF119" s="10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x14ac:dyDescent="0.25">
      <c r="A120" s="10" t="s">
        <v>158</v>
      </c>
      <c r="B120" s="10" t="s">
        <v>41</v>
      </c>
      <c r="C120" s="10"/>
      <c r="D120" s="10"/>
      <c r="E120" s="10"/>
      <c r="F120" s="10"/>
      <c r="G120" s="11">
        <v>0</v>
      </c>
      <c r="H120" s="10"/>
      <c r="I120" s="10" t="s">
        <v>37</v>
      </c>
      <c r="J120" s="10"/>
      <c r="K120" s="10"/>
      <c r="L120" s="10">
        <f t="shared" si="27"/>
        <v>0</v>
      </c>
      <c r="M120" s="10"/>
      <c r="N120" s="10"/>
      <c r="O120" s="10">
        <v>0</v>
      </c>
      <c r="P120" s="10"/>
      <c r="Q120" s="10">
        <f t="shared" si="28"/>
        <v>0</v>
      </c>
      <c r="R120" s="12"/>
      <c r="S120" s="10" t="e">
        <f t="shared" si="29"/>
        <v>#DIV/0!</v>
      </c>
      <c r="T120" s="10" t="e">
        <f t="shared" si="30"/>
        <v>#DIV/0!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 t="s">
        <v>46</v>
      </c>
      <c r="AF120" s="10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x14ac:dyDescent="0.25">
      <c r="A121" s="5" t="s">
        <v>159</v>
      </c>
      <c r="B121" s="5" t="s">
        <v>36</v>
      </c>
      <c r="C121" s="5">
        <v>148.792</v>
      </c>
      <c r="D121" s="5">
        <v>10.95</v>
      </c>
      <c r="E121" s="5">
        <v>102.05200000000001</v>
      </c>
      <c r="F121" s="5">
        <v>54.826999999999998</v>
      </c>
      <c r="G121" s="7">
        <v>1</v>
      </c>
      <c r="H121" s="5">
        <v>60</v>
      </c>
      <c r="I121" s="5" t="s">
        <v>37</v>
      </c>
      <c r="J121" s="5"/>
      <c r="K121" s="5">
        <v>95.1</v>
      </c>
      <c r="L121" s="5">
        <f t="shared" si="27"/>
        <v>6.9520000000000124</v>
      </c>
      <c r="M121" s="5"/>
      <c r="N121" s="5"/>
      <c r="O121" s="5">
        <v>172.62719999999999</v>
      </c>
      <c r="P121" s="5"/>
      <c r="Q121" s="5">
        <f t="shared" si="28"/>
        <v>20.410400000000003</v>
      </c>
      <c r="R121" s="4">
        <f t="shared" ref="R121:R132" si="34">11*Q121-P121-F121</f>
        <v>169.68740000000003</v>
      </c>
      <c r="S121" s="5">
        <f t="shared" si="29"/>
        <v>19.457805824481635</v>
      </c>
      <c r="T121" s="5">
        <f t="shared" si="30"/>
        <v>11.144034413828242</v>
      </c>
      <c r="U121" s="5">
        <v>21.778199999999998</v>
      </c>
      <c r="V121" s="5">
        <v>13.795400000000001</v>
      </c>
      <c r="W121" s="5">
        <v>8.7471999999999994</v>
      </c>
      <c r="X121" s="5">
        <v>11.3284</v>
      </c>
      <c r="Y121" s="5">
        <v>16.998000000000001</v>
      </c>
      <c r="Z121" s="5">
        <v>21.1784</v>
      </c>
      <c r="AA121" s="5">
        <v>9.8439999999999994</v>
      </c>
      <c r="AB121" s="5">
        <v>0</v>
      </c>
      <c r="AC121" s="5">
        <v>0</v>
      </c>
      <c r="AD121" s="5">
        <v>0</v>
      </c>
      <c r="AE121" s="5"/>
      <c r="AF121" s="5">
        <f t="shared" ref="AF121:AF132" si="35">G121*R121</f>
        <v>169.68740000000003</v>
      </c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x14ac:dyDescent="0.25">
      <c r="A122" s="5" t="s">
        <v>160</v>
      </c>
      <c r="B122" s="5" t="s">
        <v>36</v>
      </c>
      <c r="C122" s="5">
        <v>132.821</v>
      </c>
      <c r="D122" s="5">
        <v>487.09</v>
      </c>
      <c r="E122" s="5">
        <v>182.905</v>
      </c>
      <c r="F122" s="5">
        <v>424.00700000000001</v>
      </c>
      <c r="G122" s="7">
        <v>1</v>
      </c>
      <c r="H122" s="5">
        <v>60</v>
      </c>
      <c r="I122" s="5" t="s">
        <v>37</v>
      </c>
      <c r="J122" s="5"/>
      <c r="K122" s="5">
        <v>184.1</v>
      </c>
      <c r="L122" s="5">
        <f t="shared" si="27"/>
        <v>-1.1949999999999932</v>
      </c>
      <c r="M122" s="5"/>
      <c r="N122" s="5"/>
      <c r="O122" s="5">
        <v>12.41639999999988</v>
      </c>
      <c r="P122" s="5"/>
      <c r="Q122" s="5">
        <f t="shared" si="28"/>
        <v>36.581000000000003</v>
      </c>
      <c r="R122" s="4"/>
      <c r="S122" s="5">
        <f t="shared" si="29"/>
        <v>11.930329952707686</v>
      </c>
      <c r="T122" s="5">
        <f t="shared" si="30"/>
        <v>11.930329952707686</v>
      </c>
      <c r="U122" s="5">
        <v>40.446399999999997</v>
      </c>
      <c r="V122" s="5">
        <v>52.765599999999992</v>
      </c>
      <c r="W122" s="5">
        <v>58.024800000000013</v>
      </c>
      <c r="X122" s="5">
        <v>40.68</v>
      </c>
      <c r="Y122" s="5">
        <v>30.541399999999999</v>
      </c>
      <c r="Z122" s="5">
        <v>38.330199999999998</v>
      </c>
      <c r="AA122" s="5">
        <v>36.979799999999997</v>
      </c>
      <c r="AB122" s="5">
        <v>37.952800000000003</v>
      </c>
      <c r="AC122" s="5">
        <v>20.715</v>
      </c>
      <c r="AD122" s="5">
        <v>10.0794</v>
      </c>
      <c r="AE122" s="5"/>
      <c r="AF122" s="5">
        <f t="shared" si="35"/>
        <v>0</v>
      </c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x14ac:dyDescent="0.25">
      <c r="A123" s="5" t="s">
        <v>161</v>
      </c>
      <c r="B123" s="5" t="s">
        <v>36</v>
      </c>
      <c r="C123" s="5">
        <v>128.923</v>
      </c>
      <c r="D123" s="5">
        <v>114.062</v>
      </c>
      <c r="E123" s="5">
        <v>58.920999999999999</v>
      </c>
      <c r="F123" s="5">
        <v>184.06399999999999</v>
      </c>
      <c r="G123" s="7">
        <v>1</v>
      </c>
      <c r="H123" s="5">
        <v>60</v>
      </c>
      <c r="I123" s="5" t="s">
        <v>37</v>
      </c>
      <c r="J123" s="5"/>
      <c r="K123" s="5">
        <v>52.5</v>
      </c>
      <c r="L123" s="5">
        <f t="shared" si="27"/>
        <v>6.4209999999999994</v>
      </c>
      <c r="M123" s="5"/>
      <c r="N123" s="5"/>
      <c r="O123" s="5">
        <v>0</v>
      </c>
      <c r="P123" s="5"/>
      <c r="Q123" s="5">
        <f t="shared" si="28"/>
        <v>11.7842</v>
      </c>
      <c r="R123" s="4"/>
      <c r="S123" s="5">
        <f t="shared" si="29"/>
        <v>15.619558391744878</v>
      </c>
      <c r="T123" s="5">
        <f t="shared" si="30"/>
        <v>15.619558391744878</v>
      </c>
      <c r="U123" s="5">
        <v>5.2182000000000004</v>
      </c>
      <c r="V123" s="5">
        <v>9.017199999999999</v>
      </c>
      <c r="W123" s="5">
        <v>19.734200000000001</v>
      </c>
      <c r="X123" s="5">
        <v>18.6568</v>
      </c>
      <c r="Y123" s="5">
        <v>9.5117999999999991</v>
      </c>
      <c r="Z123" s="5">
        <v>9.5025999999999993</v>
      </c>
      <c r="AA123" s="5">
        <v>9.9976000000000003</v>
      </c>
      <c r="AB123" s="5">
        <v>8.3857999999999997</v>
      </c>
      <c r="AC123" s="5">
        <v>12.8756</v>
      </c>
      <c r="AD123" s="5">
        <v>14.671799999999999</v>
      </c>
      <c r="AE123" s="5"/>
      <c r="AF123" s="5">
        <f t="shared" si="35"/>
        <v>0</v>
      </c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x14ac:dyDescent="0.25">
      <c r="A124" s="5" t="s">
        <v>162</v>
      </c>
      <c r="B124" s="5" t="s">
        <v>36</v>
      </c>
      <c r="C124" s="5">
        <v>2017.44</v>
      </c>
      <c r="D124" s="5">
        <v>1293.6659999999999</v>
      </c>
      <c r="E124" s="5">
        <v>1011.021</v>
      </c>
      <c r="F124" s="5">
        <v>2225.212</v>
      </c>
      <c r="G124" s="7">
        <v>1</v>
      </c>
      <c r="H124" s="5">
        <v>60</v>
      </c>
      <c r="I124" s="5" t="s">
        <v>37</v>
      </c>
      <c r="J124" s="5"/>
      <c r="K124" s="5">
        <v>1025</v>
      </c>
      <c r="L124" s="5">
        <f t="shared" si="27"/>
        <v>-13.979000000000042</v>
      </c>
      <c r="M124" s="5"/>
      <c r="N124" s="5"/>
      <c r="O124" s="5">
        <v>282.22840000000042</v>
      </c>
      <c r="P124" s="5">
        <v>200</v>
      </c>
      <c r="Q124" s="5">
        <f t="shared" si="28"/>
        <v>202.20419999999999</v>
      </c>
      <c r="R124" s="4"/>
      <c r="S124" s="5">
        <f t="shared" si="29"/>
        <v>13.389634834489099</v>
      </c>
      <c r="T124" s="5">
        <f t="shared" si="30"/>
        <v>13.389634834489099</v>
      </c>
      <c r="U124" s="5">
        <v>198.17320000000001</v>
      </c>
      <c r="V124" s="5">
        <v>185.0686</v>
      </c>
      <c r="W124" s="5">
        <v>197.94739999999999</v>
      </c>
      <c r="X124" s="5">
        <v>193.87379999999999</v>
      </c>
      <c r="Y124" s="5">
        <v>177.26840000000001</v>
      </c>
      <c r="Z124" s="5">
        <v>143.54259999999999</v>
      </c>
      <c r="AA124" s="5">
        <v>73.318599999999989</v>
      </c>
      <c r="AB124" s="5">
        <v>37.800199999999997</v>
      </c>
      <c r="AC124" s="5">
        <v>16.512</v>
      </c>
      <c r="AD124" s="5">
        <v>0</v>
      </c>
      <c r="AE124" s="5"/>
      <c r="AF124" s="5">
        <f t="shared" si="35"/>
        <v>0</v>
      </c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x14ac:dyDescent="0.25">
      <c r="A125" s="5" t="s">
        <v>163</v>
      </c>
      <c r="B125" s="5" t="s">
        <v>41</v>
      </c>
      <c r="C125" s="5"/>
      <c r="D125" s="5">
        <v>206</v>
      </c>
      <c r="E125" s="5">
        <v>165</v>
      </c>
      <c r="F125" s="5">
        <v>36</v>
      </c>
      <c r="G125" s="7">
        <v>0.25</v>
      </c>
      <c r="H125" s="5"/>
      <c r="I125" s="5" t="s">
        <v>37</v>
      </c>
      <c r="J125" s="5"/>
      <c r="K125" s="5">
        <v>165</v>
      </c>
      <c r="L125" s="5">
        <f t="shared" si="27"/>
        <v>0</v>
      </c>
      <c r="M125" s="5"/>
      <c r="N125" s="5"/>
      <c r="O125" s="9">
        <v>0</v>
      </c>
      <c r="P125" s="5"/>
      <c r="Q125" s="5">
        <f t="shared" si="28"/>
        <v>33</v>
      </c>
      <c r="R125" s="4">
        <f>7*Q125-P125-F125</f>
        <v>195</v>
      </c>
      <c r="S125" s="5">
        <f t="shared" si="29"/>
        <v>7</v>
      </c>
      <c r="T125" s="5">
        <f t="shared" si="30"/>
        <v>1.0909090909090908</v>
      </c>
      <c r="U125" s="5">
        <v>10.6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 t="s">
        <v>164</v>
      </c>
      <c r="AF125" s="5">
        <f t="shared" si="35"/>
        <v>48.75</v>
      </c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x14ac:dyDescent="0.25">
      <c r="A126" s="5" t="s">
        <v>165</v>
      </c>
      <c r="B126" s="5" t="s">
        <v>41</v>
      </c>
      <c r="C126" s="5"/>
      <c r="D126" s="5">
        <v>206</v>
      </c>
      <c r="E126" s="13">
        <f>109+E133</f>
        <v>112</v>
      </c>
      <c r="F126" s="13">
        <f>45+F133</f>
        <v>92</v>
      </c>
      <c r="G126" s="7">
        <v>0.32500000000000001</v>
      </c>
      <c r="H126" s="5"/>
      <c r="I126" s="5" t="s">
        <v>37</v>
      </c>
      <c r="J126" s="5"/>
      <c r="K126" s="5">
        <v>107</v>
      </c>
      <c r="L126" s="5">
        <f t="shared" si="27"/>
        <v>5</v>
      </c>
      <c r="M126" s="5"/>
      <c r="N126" s="5"/>
      <c r="O126" s="5">
        <v>0</v>
      </c>
      <c r="P126" s="5"/>
      <c r="Q126" s="5">
        <f t="shared" si="28"/>
        <v>22.4</v>
      </c>
      <c r="R126" s="4">
        <f>10*Q126-P126-F126</f>
        <v>132</v>
      </c>
      <c r="S126" s="5">
        <f t="shared" si="29"/>
        <v>10</v>
      </c>
      <c r="T126" s="5">
        <f t="shared" si="30"/>
        <v>4.1071428571428577</v>
      </c>
      <c r="U126" s="5">
        <v>3.2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 t="s">
        <v>164</v>
      </c>
      <c r="AF126" s="5">
        <f t="shared" si="35"/>
        <v>42.9</v>
      </c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x14ac:dyDescent="0.25">
      <c r="A127" s="5" t="s">
        <v>166</v>
      </c>
      <c r="B127" s="5" t="s">
        <v>41</v>
      </c>
      <c r="C127" s="5"/>
      <c r="D127" s="5">
        <v>206</v>
      </c>
      <c r="E127" s="5">
        <v>147</v>
      </c>
      <c r="F127" s="5">
        <v>52</v>
      </c>
      <c r="G127" s="7">
        <v>0.25</v>
      </c>
      <c r="H127" s="5"/>
      <c r="I127" s="5" t="s">
        <v>37</v>
      </c>
      <c r="J127" s="5"/>
      <c r="K127" s="5">
        <v>147</v>
      </c>
      <c r="L127" s="5">
        <f t="shared" si="27"/>
        <v>0</v>
      </c>
      <c r="M127" s="5"/>
      <c r="N127" s="5"/>
      <c r="O127" s="5">
        <v>0</v>
      </c>
      <c r="P127" s="5"/>
      <c r="Q127" s="5">
        <f t="shared" si="28"/>
        <v>29.4</v>
      </c>
      <c r="R127" s="4">
        <f>8*Q127-P127-F127</f>
        <v>183.2</v>
      </c>
      <c r="S127" s="5">
        <f t="shared" si="29"/>
        <v>8</v>
      </c>
      <c r="T127" s="5">
        <f t="shared" si="30"/>
        <v>1.7687074829931975</v>
      </c>
      <c r="U127" s="5">
        <v>7.2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 t="s">
        <v>164</v>
      </c>
      <c r="AF127" s="5">
        <f t="shared" si="35"/>
        <v>45.8</v>
      </c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x14ac:dyDescent="0.25">
      <c r="A128" s="5" t="s">
        <v>167</v>
      </c>
      <c r="B128" s="5" t="s">
        <v>41</v>
      </c>
      <c r="C128" s="5">
        <v>81</v>
      </c>
      <c r="D128" s="5">
        <v>5</v>
      </c>
      <c r="E128" s="5">
        <v>76</v>
      </c>
      <c r="F128" s="5"/>
      <c r="G128" s="7">
        <v>0.3</v>
      </c>
      <c r="H128" s="5">
        <v>40</v>
      </c>
      <c r="I128" s="5" t="s">
        <v>37</v>
      </c>
      <c r="J128" s="5"/>
      <c r="K128" s="5">
        <v>146</v>
      </c>
      <c r="L128" s="5">
        <f t="shared" si="27"/>
        <v>-70</v>
      </c>
      <c r="M128" s="5"/>
      <c r="N128" s="5"/>
      <c r="O128" s="9">
        <v>0</v>
      </c>
      <c r="P128" s="5"/>
      <c r="Q128" s="5">
        <f t="shared" si="28"/>
        <v>15.2</v>
      </c>
      <c r="R128" s="4">
        <f>6*Q128-P128-F128</f>
        <v>91.199999999999989</v>
      </c>
      <c r="S128" s="5">
        <f t="shared" si="29"/>
        <v>5.9999999999999991</v>
      </c>
      <c r="T128" s="5">
        <f t="shared" si="30"/>
        <v>0</v>
      </c>
      <c r="U128" s="5">
        <v>36.4</v>
      </c>
      <c r="V128" s="5">
        <v>36.6</v>
      </c>
      <c r="W128" s="5">
        <v>59.8</v>
      </c>
      <c r="X128" s="5">
        <v>60</v>
      </c>
      <c r="Y128" s="5">
        <v>36.4</v>
      </c>
      <c r="Z128" s="5">
        <v>44.4</v>
      </c>
      <c r="AA128" s="5">
        <v>39</v>
      </c>
      <c r="AB128" s="5">
        <v>37.200000000000003</v>
      </c>
      <c r="AC128" s="5">
        <v>48.4</v>
      </c>
      <c r="AD128" s="5">
        <v>47.6</v>
      </c>
      <c r="AE128" s="5"/>
      <c r="AF128" s="5">
        <f t="shared" si="35"/>
        <v>27.359999999999996</v>
      </c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x14ac:dyDescent="0.25">
      <c r="A129" s="5" t="s">
        <v>168</v>
      </c>
      <c r="B129" s="5" t="s">
        <v>41</v>
      </c>
      <c r="C129" s="5">
        <v>1</v>
      </c>
      <c r="D129" s="5">
        <v>60</v>
      </c>
      <c r="E129" s="5">
        <v>7</v>
      </c>
      <c r="F129" s="5">
        <v>24</v>
      </c>
      <c r="G129" s="7">
        <v>0.3</v>
      </c>
      <c r="H129" s="5">
        <v>40</v>
      </c>
      <c r="I129" s="5" t="s">
        <v>37</v>
      </c>
      <c r="J129" s="5"/>
      <c r="K129" s="5">
        <v>133</v>
      </c>
      <c r="L129" s="5">
        <f t="shared" si="27"/>
        <v>-126</v>
      </c>
      <c r="M129" s="5"/>
      <c r="N129" s="5"/>
      <c r="O129" s="5">
        <v>0</v>
      </c>
      <c r="P129" s="5"/>
      <c r="Q129" s="5">
        <f t="shared" si="28"/>
        <v>1.4</v>
      </c>
      <c r="R129" s="4"/>
      <c r="S129" s="5">
        <f t="shared" si="29"/>
        <v>17.142857142857142</v>
      </c>
      <c r="T129" s="5">
        <f t="shared" si="30"/>
        <v>17.142857142857142</v>
      </c>
      <c r="U129" s="5">
        <v>-0.2</v>
      </c>
      <c r="V129" s="5">
        <v>-0.8</v>
      </c>
      <c r="W129" s="5">
        <v>15.8</v>
      </c>
      <c r="X129" s="5">
        <v>16</v>
      </c>
      <c r="Y129" s="5">
        <v>-1.2</v>
      </c>
      <c r="Z129" s="5">
        <v>-0.6</v>
      </c>
      <c r="AA129" s="5">
        <v>-1.2</v>
      </c>
      <c r="AB129" s="5">
        <v>-3.6</v>
      </c>
      <c r="AC129" s="5">
        <v>-6.6</v>
      </c>
      <c r="AD129" s="5">
        <v>4.4000000000000004</v>
      </c>
      <c r="AE129" s="5" t="s">
        <v>169</v>
      </c>
      <c r="AF129" s="5">
        <f t="shared" si="35"/>
        <v>0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x14ac:dyDescent="0.25">
      <c r="A130" s="5" t="s">
        <v>170</v>
      </c>
      <c r="B130" s="5" t="s">
        <v>36</v>
      </c>
      <c r="C130" s="5">
        <v>9.4570000000000007</v>
      </c>
      <c r="D130" s="5">
        <v>59.155999999999999</v>
      </c>
      <c r="E130" s="5">
        <v>12.21</v>
      </c>
      <c r="F130" s="5">
        <v>46.999000000000002</v>
      </c>
      <c r="G130" s="7">
        <v>1</v>
      </c>
      <c r="H130" s="5">
        <v>50</v>
      </c>
      <c r="I130" s="5" t="s">
        <v>37</v>
      </c>
      <c r="J130" s="5"/>
      <c r="K130" s="5">
        <v>16.45</v>
      </c>
      <c r="L130" s="5">
        <f t="shared" si="27"/>
        <v>-4.2399999999999984</v>
      </c>
      <c r="M130" s="5"/>
      <c r="N130" s="5"/>
      <c r="O130" s="5">
        <v>4.7130000000000054</v>
      </c>
      <c r="P130" s="5"/>
      <c r="Q130" s="5">
        <f t="shared" si="28"/>
        <v>2.4420000000000002</v>
      </c>
      <c r="R130" s="4"/>
      <c r="S130" s="5">
        <f t="shared" si="29"/>
        <v>21.176085176085177</v>
      </c>
      <c r="T130" s="5">
        <f t="shared" si="30"/>
        <v>21.176085176085177</v>
      </c>
      <c r="U130" s="5">
        <v>4.0430000000000001</v>
      </c>
      <c r="V130" s="5">
        <v>4.5990000000000002</v>
      </c>
      <c r="W130" s="5">
        <v>3.5379999999999998</v>
      </c>
      <c r="X130" s="5">
        <v>1.901</v>
      </c>
      <c r="Y130" s="5">
        <v>1.0864</v>
      </c>
      <c r="Z130" s="5">
        <v>2.4331999999999998</v>
      </c>
      <c r="AA130" s="5">
        <v>1.623</v>
      </c>
      <c r="AB130" s="5">
        <v>0</v>
      </c>
      <c r="AC130" s="5">
        <v>0</v>
      </c>
      <c r="AD130" s="5">
        <v>-4.7E-2</v>
      </c>
      <c r="AE130" s="5"/>
      <c r="AF130" s="5">
        <f t="shared" si="35"/>
        <v>0</v>
      </c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x14ac:dyDescent="0.25">
      <c r="A131" s="5" t="s">
        <v>171</v>
      </c>
      <c r="B131" s="5" t="s">
        <v>41</v>
      </c>
      <c r="C131" s="5">
        <v>283</v>
      </c>
      <c r="D131" s="5"/>
      <c r="E131" s="5">
        <v>198</v>
      </c>
      <c r="F131" s="5">
        <v>67</v>
      </c>
      <c r="G131" s="7">
        <v>0.3</v>
      </c>
      <c r="H131" s="5">
        <v>40</v>
      </c>
      <c r="I131" s="14" t="s">
        <v>175</v>
      </c>
      <c r="J131" s="5"/>
      <c r="K131" s="5">
        <v>211</v>
      </c>
      <c r="L131" s="5">
        <f t="shared" si="27"/>
        <v>-13</v>
      </c>
      <c r="M131" s="5"/>
      <c r="N131" s="5"/>
      <c r="O131" s="9">
        <v>0</v>
      </c>
      <c r="P131" s="5"/>
      <c r="Q131" s="5">
        <f t="shared" si="28"/>
        <v>39.6</v>
      </c>
      <c r="R131" s="17">
        <v>80</v>
      </c>
      <c r="S131" s="5">
        <f t="shared" si="29"/>
        <v>3.7121212121212119</v>
      </c>
      <c r="T131" s="5">
        <f t="shared" si="30"/>
        <v>1.6919191919191918</v>
      </c>
      <c r="U131" s="5">
        <v>28.2</v>
      </c>
      <c r="V131" s="5">
        <v>23.2</v>
      </c>
      <c r="W131" s="5">
        <v>15.8</v>
      </c>
      <c r="X131" s="5">
        <v>14.6</v>
      </c>
      <c r="Y131" s="5">
        <v>30</v>
      </c>
      <c r="Z131" s="5">
        <v>42.6</v>
      </c>
      <c r="AA131" s="5">
        <v>23.8</v>
      </c>
      <c r="AB131" s="5">
        <v>8</v>
      </c>
      <c r="AC131" s="5">
        <v>18.8</v>
      </c>
      <c r="AD131" s="5">
        <v>20.399999999999999</v>
      </c>
      <c r="AE131" s="5"/>
      <c r="AF131" s="5">
        <f t="shared" si="35"/>
        <v>24</v>
      </c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x14ac:dyDescent="0.25">
      <c r="A132" s="5" t="s">
        <v>172</v>
      </c>
      <c r="B132" s="5" t="s">
        <v>41</v>
      </c>
      <c r="C132" s="5">
        <v>106</v>
      </c>
      <c r="D132" s="5">
        <v>105</v>
      </c>
      <c r="E132" s="5">
        <v>75</v>
      </c>
      <c r="F132" s="5">
        <v>133</v>
      </c>
      <c r="G132" s="7">
        <v>0.12</v>
      </c>
      <c r="H132" s="5">
        <v>45</v>
      </c>
      <c r="I132" s="5" t="s">
        <v>37</v>
      </c>
      <c r="J132" s="5"/>
      <c r="K132" s="5">
        <v>70</v>
      </c>
      <c r="L132" s="5">
        <f t="shared" si="27"/>
        <v>5</v>
      </c>
      <c r="M132" s="5"/>
      <c r="N132" s="5"/>
      <c r="O132" s="5">
        <v>0</v>
      </c>
      <c r="P132" s="5"/>
      <c r="Q132" s="5">
        <f t="shared" si="28"/>
        <v>15</v>
      </c>
      <c r="R132" s="4">
        <f t="shared" si="34"/>
        <v>32</v>
      </c>
      <c r="S132" s="5">
        <f t="shared" si="29"/>
        <v>11</v>
      </c>
      <c r="T132" s="5">
        <f t="shared" si="30"/>
        <v>8.8666666666666671</v>
      </c>
      <c r="U132" s="5">
        <v>11.8</v>
      </c>
      <c r="V132" s="5">
        <v>14.6</v>
      </c>
      <c r="W132" s="5">
        <v>17.600000000000001</v>
      </c>
      <c r="X132" s="5">
        <v>14.6</v>
      </c>
      <c r="Y132" s="5">
        <v>7.4</v>
      </c>
      <c r="Z132" s="5">
        <v>3.6</v>
      </c>
      <c r="AA132" s="5">
        <v>3.2</v>
      </c>
      <c r="AB132" s="5">
        <v>6.2</v>
      </c>
      <c r="AC132" s="5">
        <v>12.2</v>
      </c>
      <c r="AD132" s="5">
        <v>7.6</v>
      </c>
      <c r="AE132" s="5"/>
      <c r="AF132" s="5">
        <f t="shared" si="35"/>
        <v>3.84</v>
      </c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x14ac:dyDescent="0.25">
      <c r="A133" s="10" t="s">
        <v>173</v>
      </c>
      <c r="B133" s="10" t="s">
        <v>41</v>
      </c>
      <c r="C133" s="10"/>
      <c r="D133" s="10">
        <v>50</v>
      </c>
      <c r="E133" s="13">
        <v>3</v>
      </c>
      <c r="F133" s="13">
        <v>47</v>
      </c>
      <c r="G133" s="11">
        <v>0</v>
      </c>
      <c r="H133" s="10"/>
      <c r="I133" s="10" t="s">
        <v>174</v>
      </c>
      <c r="J133" s="10" t="s">
        <v>165</v>
      </c>
      <c r="K133" s="10">
        <v>6</v>
      </c>
      <c r="L133" s="10">
        <f t="shared" si="27"/>
        <v>-3</v>
      </c>
      <c r="M133" s="10"/>
      <c r="N133" s="10"/>
      <c r="O133" s="10"/>
      <c r="P133" s="10"/>
      <c r="Q133" s="10">
        <f t="shared" si="28"/>
        <v>0.6</v>
      </c>
      <c r="R133" s="12"/>
      <c r="S133" s="10">
        <f t="shared" si="29"/>
        <v>78.333333333333343</v>
      </c>
      <c r="T133" s="10">
        <f t="shared" si="30"/>
        <v>78.333333333333343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/>
      <c r="AF133" s="10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</sheetData>
  <autoFilter ref="A3:AF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2026-08-04T12:07:11Z</dcterms:created>
  <dcterms:modified xsi:type="dcterms:W3CDTF">2026-08-04T12:42:01Z</dcterms:modified>
</cp:coreProperties>
</file>