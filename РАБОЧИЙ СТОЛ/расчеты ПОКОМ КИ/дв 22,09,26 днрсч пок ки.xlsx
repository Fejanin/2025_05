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"/>
    </mc:Choice>
  </mc:AlternateContent>
  <xr:revisionPtr revIDLastSave="0" documentId="13_ncr:1_{736C04A1-09E3-48AE-8701-DE19165C766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Sheet!$A$3:$AM$138</definedName>
  </definedNames>
  <calcPr calcId="191029"/>
</workbook>
</file>

<file path=xl/calcChain.xml><?xml version="1.0" encoding="utf-8"?>
<calcChain xmlns="http://schemas.openxmlformats.org/spreadsheetml/2006/main">
  <c r="AM118" i="1" l="1"/>
  <c r="AM117" i="1"/>
  <c r="AM72" i="1"/>
  <c r="AM69" i="1"/>
  <c r="AM47" i="1"/>
  <c r="AM46" i="1"/>
  <c r="AM13" i="1"/>
  <c r="O138" i="1"/>
  <c r="Z138" i="1" s="1"/>
  <c r="N138" i="1"/>
  <c r="H138" i="1"/>
  <c r="O137" i="1"/>
  <c r="Z137" i="1" s="1"/>
  <c r="N137" i="1"/>
  <c r="H137" i="1"/>
  <c r="AC137" i="1" s="1"/>
  <c r="O136" i="1"/>
  <c r="Z136" i="1" s="1"/>
  <c r="N136" i="1"/>
  <c r="H136" i="1"/>
  <c r="O135" i="1"/>
  <c r="Z135" i="1" s="1"/>
  <c r="AM135" i="1" s="1"/>
  <c r="N135" i="1"/>
  <c r="H135" i="1"/>
  <c r="O134" i="1"/>
  <c r="Z134" i="1" s="1"/>
  <c r="AA134" i="1" s="1"/>
  <c r="AM134" i="1" s="1"/>
  <c r="N134" i="1"/>
  <c r="H134" i="1"/>
  <c r="O133" i="1"/>
  <c r="Z133" i="1" s="1"/>
  <c r="AM133" i="1" s="1"/>
  <c r="N133" i="1"/>
  <c r="H133" i="1"/>
  <c r="O132" i="1"/>
  <c r="Z132" i="1" s="1"/>
  <c r="AM132" i="1" s="1"/>
  <c r="N132" i="1"/>
  <c r="H132" i="1"/>
  <c r="O131" i="1"/>
  <c r="Z131" i="1" s="1"/>
  <c r="N131" i="1"/>
  <c r="H131" i="1"/>
  <c r="O130" i="1"/>
  <c r="Z130" i="1" s="1"/>
  <c r="N130" i="1"/>
  <c r="F130" i="1"/>
  <c r="H130" i="1" s="1"/>
  <c r="O129" i="1"/>
  <c r="Z129" i="1" s="1"/>
  <c r="AM129" i="1" s="1"/>
  <c r="N129" i="1"/>
  <c r="H129" i="1"/>
  <c r="H128" i="1"/>
  <c r="E128" i="1"/>
  <c r="Z127" i="1"/>
  <c r="AM127" i="1" s="1"/>
  <c r="O127" i="1"/>
  <c r="N127" i="1"/>
  <c r="H127" i="1"/>
  <c r="O126" i="1"/>
  <c r="Z126" i="1" s="1"/>
  <c r="N126" i="1"/>
  <c r="H126" i="1"/>
  <c r="O125" i="1"/>
  <c r="Z125" i="1" s="1"/>
  <c r="N125" i="1"/>
  <c r="H125" i="1"/>
  <c r="O124" i="1"/>
  <c r="Z124" i="1" s="1"/>
  <c r="N124" i="1"/>
  <c r="H124" i="1"/>
  <c r="O123" i="1"/>
  <c r="Z123" i="1" s="1"/>
  <c r="AM123" i="1" s="1"/>
  <c r="N123" i="1"/>
  <c r="H123" i="1"/>
  <c r="O122" i="1"/>
  <c r="Z122" i="1" s="1"/>
  <c r="AM122" i="1" s="1"/>
  <c r="N122" i="1"/>
  <c r="H122" i="1"/>
  <c r="O121" i="1"/>
  <c r="Z121" i="1" s="1"/>
  <c r="AM121" i="1" s="1"/>
  <c r="N121" i="1"/>
  <c r="H121" i="1"/>
  <c r="O120" i="1"/>
  <c r="Z120" i="1" s="1"/>
  <c r="N120" i="1"/>
  <c r="H120" i="1"/>
  <c r="O119" i="1"/>
  <c r="Z119" i="1" s="1"/>
  <c r="N119" i="1"/>
  <c r="H119" i="1"/>
  <c r="O118" i="1"/>
  <c r="Z118" i="1" s="1"/>
  <c r="N118" i="1"/>
  <c r="H118" i="1"/>
  <c r="O117" i="1"/>
  <c r="Z117" i="1" s="1"/>
  <c r="N117" i="1"/>
  <c r="H117" i="1"/>
  <c r="AC117" i="1" s="1"/>
  <c r="O116" i="1"/>
  <c r="Z116" i="1" s="1"/>
  <c r="N116" i="1"/>
  <c r="H116" i="1"/>
  <c r="O115" i="1"/>
  <c r="Z115" i="1" s="1"/>
  <c r="N115" i="1"/>
  <c r="H115" i="1"/>
  <c r="O114" i="1"/>
  <c r="Z114" i="1" s="1"/>
  <c r="AA114" i="1" s="1"/>
  <c r="AM114" i="1" s="1"/>
  <c r="N114" i="1"/>
  <c r="H114" i="1"/>
  <c r="O113" i="1"/>
  <c r="Z113" i="1" s="1"/>
  <c r="AM113" i="1" s="1"/>
  <c r="N113" i="1"/>
  <c r="H113" i="1"/>
  <c r="O112" i="1"/>
  <c r="Z112" i="1" s="1"/>
  <c r="N112" i="1"/>
  <c r="H112" i="1"/>
  <c r="O111" i="1"/>
  <c r="Z111" i="1" s="1"/>
  <c r="N111" i="1"/>
  <c r="H111" i="1"/>
  <c r="O110" i="1"/>
  <c r="Z110" i="1" s="1"/>
  <c r="N110" i="1"/>
  <c r="H110" i="1"/>
  <c r="O109" i="1"/>
  <c r="Z109" i="1" s="1"/>
  <c r="AM109" i="1" s="1"/>
  <c r="N109" i="1"/>
  <c r="H109" i="1"/>
  <c r="O108" i="1"/>
  <c r="Z108" i="1" s="1"/>
  <c r="N108" i="1"/>
  <c r="H108" i="1"/>
  <c r="O107" i="1"/>
  <c r="Z107" i="1" s="1"/>
  <c r="N107" i="1"/>
  <c r="H107" i="1"/>
  <c r="O106" i="1"/>
  <c r="Z106" i="1" s="1"/>
  <c r="AM106" i="1" s="1"/>
  <c r="N106" i="1"/>
  <c r="H106" i="1"/>
  <c r="O105" i="1"/>
  <c r="Z105" i="1" s="1"/>
  <c r="AM105" i="1" s="1"/>
  <c r="N105" i="1"/>
  <c r="H105" i="1"/>
  <c r="O104" i="1"/>
  <c r="Z104" i="1" s="1"/>
  <c r="N104" i="1"/>
  <c r="H104" i="1"/>
  <c r="O103" i="1"/>
  <c r="Z103" i="1" s="1"/>
  <c r="N103" i="1"/>
  <c r="H103" i="1"/>
  <c r="O102" i="1"/>
  <c r="Z102" i="1" s="1"/>
  <c r="AM102" i="1" s="1"/>
  <c r="N102" i="1"/>
  <c r="H102" i="1"/>
  <c r="O101" i="1"/>
  <c r="Z101" i="1" s="1"/>
  <c r="AM101" i="1" s="1"/>
  <c r="N101" i="1"/>
  <c r="H101" i="1"/>
  <c r="O100" i="1"/>
  <c r="Z100" i="1" s="1"/>
  <c r="N100" i="1"/>
  <c r="H100" i="1"/>
  <c r="O99" i="1"/>
  <c r="Z99" i="1" s="1"/>
  <c r="N99" i="1"/>
  <c r="H99" i="1"/>
  <c r="O98" i="1"/>
  <c r="Z98" i="1" s="1"/>
  <c r="N98" i="1"/>
  <c r="H98" i="1"/>
  <c r="AM98" i="1" s="1"/>
  <c r="O97" i="1"/>
  <c r="Z97" i="1" s="1"/>
  <c r="N97" i="1"/>
  <c r="H97" i="1"/>
  <c r="O96" i="1"/>
  <c r="Z96" i="1" s="1"/>
  <c r="N96" i="1"/>
  <c r="H96" i="1"/>
  <c r="O95" i="1"/>
  <c r="Z95" i="1" s="1"/>
  <c r="N95" i="1"/>
  <c r="H95" i="1"/>
  <c r="O94" i="1"/>
  <c r="Z94" i="1" s="1"/>
  <c r="N94" i="1"/>
  <c r="G94" i="1"/>
  <c r="H94" i="1" s="1"/>
  <c r="O93" i="1"/>
  <c r="Z93" i="1" s="1"/>
  <c r="N93" i="1"/>
  <c r="H93" i="1"/>
  <c r="O92" i="1"/>
  <c r="Z92" i="1" s="1"/>
  <c r="N92" i="1"/>
  <c r="H92" i="1"/>
  <c r="O91" i="1"/>
  <c r="Z91" i="1" s="1"/>
  <c r="N91" i="1"/>
  <c r="H91" i="1"/>
  <c r="AC91" i="1" s="1"/>
  <c r="O90" i="1"/>
  <c r="Z90" i="1" s="1"/>
  <c r="N90" i="1"/>
  <c r="G90" i="1"/>
  <c r="H90" i="1" s="1"/>
  <c r="O89" i="1"/>
  <c r="Z89" i="1" s="1"/>
  <c r="N89" i="1"/>
  <c r="H89" i="1"/>
  <c r="O88" i="1"/>
  <c r="Z88" i="1" s="1"/>
  <c r="N88" i="1"/>
  <c r="H88" i="1"/>
  <c r="O87" i="1"/>
  <c r="Z87" i="1" s="1"/>
  <c r="N87" i="1"/>
  <c r="H87" i="1"/>
  <c r="O86" i="1"/>
  <c r="Z86" i="1" s="1"/>
  <c r="AM86" i="1" s="1"/>
  <c r="N86" i="1"/>
  <c r="H86" i="1"/>
  <c r="O85" i="1"/>
  <c r="Z85" i="1" s="1"/>
  <c r="AM85" i="1" s="1"/>
  <c r="N85" i="1"/>
  <c r="H85" i="1"/>
  <c r="O84" i="1"/>
  <c r="Z84" i="1" s="1"/>
  <c r="N84" i="1"/>
  <c r="H84" i="1"/>
  <c r="O83" i="1"/>
  <c r="Z83" i="1" s="1"/>
  <c r="AM83" i="1" s="1"/>
  <c r="N83" i="1"/>
  <c r="H83" i="1"/>
  <c r="O82" i="1"/>
  <c r="Z82" i="1" s="1"/>
  <c r="N82" i="1"/>
  <c r="H82" i="1"/>
  <c r="O81" i="1"/>
  <c r="Z81" i="1" s="1"/>
  <c r="N81" i="1"/>
  <c r="H81" i="1"/>
  <c r="O80" i="1"/>
  <c r="Z80" i="1" s="1"/>
  <c r="AM80" i="1" s="1"/>
  <c r="N80" i="1"/>
  <c r="H80" i="1"/>
  <c r="O79" i="1"/>
  <c r="Z79" i="1" s="1"/>
  <c r="N79" i="1"/>
  <c r="H79" i="1"/>
  <c r="O78" i="1"/>
  <c r="Z78" i="1" s="1"/>
  <c r="N78" i="1"/>
  <c r="H78" i="1"/>
  <c r="O77" i="1"/>
  <c r="Z77" i="1" s="1"/>
  <c r="N77" i="1"/>
  <c r="H77" i="1"/>
  <c r="O76" i="1"/>
  <c r="Z76" i="1" s="1"/>
  <c r="N76" i="1"/>
  <c r="H76" i="1"/>
  <c r="O75" i="1"/>
  <c r="Z75" i="1" s="1"/>
  <c r="N75" i="1"/>
  <c r="H75" i="1"/>
  <c r="O74" i="1"/>
  <c r="Z74" i="1" s="1"/>
  <c r="AM74" i="1" s="1"/>
  <c r="N74" i="1"/>
  <c r="H74" i="1"/>
  <c r="O73" i="1"/>
  <c r="Z73" i="1" s="1"/>
  <c r="N73" i="1"/>
  <c r="H73" i="1"/>
  <c r="O72" i="1"/>
  <c r="Z72" i="1" s="1"/>
  <c r="N72" i="1"/>
  <c r="H72" i="1"/>
  <c r="O71" i="1"/>
  <c r="Z71" i="1" s="1"/>
  <c r="AM71" i="1" s="1"/>
  <c r="N71" i="1"/>
  <c r="H71" i="1"/>
  <c r="O70" i="1"/>
  <c r="Z70" i="1" s="1"/>
  <c r="AM70" i="1" s="1"/>
  <c r="N70" i="1"/>
  <c r="H70" i="1"/>
  <c r="O69" i="1"/>
  <c r="Z69" i="1" s="1"/>
  <c r="N69" i="1"/>
  <c r="H69" i="1"/>
  <c r="O68" i="1"/>
  <c r="Z68" i="1" s="1"/>
  <c r="N68" i="1"/>
  <c r="H68" i="1"/>
  <c r="O67" i="1"/>
  <c r="Z67" i="1" s="1"/>
  <c r="AM67" i="1" s="1"/>
  <c r="N67" i="1"/>
  <c r="H67" i="1"/>
  <c r="O66" i="1"/>
  <c r="Z66" i="1" s="1"/>
  <c r="AM66" i="1" s="1"/>
  <c r="N66" i="1"/>
  <c r="H66" i="1"/>
  <c r="O65" i="1"/>
  <c r="Z65" i="1" s="1"/>
  <c r="AM65" i="1" s="1"/>
  <c r="N65" i="1"/>
  <c r="H65" i="1"/>
  <c r="O64" i="1"/>
  <c r="Z64" i="1" s="1"/>
  <c r="N64" i="1"/>
  <c r="H64" i="1"/>
  <c r="O63" i="1"/>
  <c r="Z63" i="1" s="1"/>
  <c r="AM63" i="1" s="1"/>
  <c r="N63" i="1"/>
  <c r="H63" i="1"/>
  <c r="O62" i="1"/>
  <c r="Z62" i="1" s="1"/>
  <c r="N62" i="1"/>
  <c r="H62" i="1"/>
  <c r="O61" i="1"/>
  <c r="Z61" i="1" s="1"/>
  <c r="AM61" i="1" s="1"/>
  <c r="N61" i="1"/>
  <c r="H61" i="1"/>
  <c r="F60" i="1"/>
  <c r="H60" i="1" s="1"/>
  <c r="E60" i="1"/>
  <c r="O60" i="1" s="1"/>
  <c r="Z60" i="1" s="1"/>
  <c r="O59" i="1"/>
  <c r="Z59" i="1" s="1"/>
  <c r="N59" i="1"/>
  <c r="H59" i="1"/>
  <c r="O58" i="1"/>
  <c r="Z58" i="1" s="1"/>
  <c r="AM58" i="1" s="1"/>
  <c r="N58" i="1"/>
  <c r="H58" i="1"/>
  <c r="O57" i="1"/>
  <c r="Z57" i="1" s="1"/>
  <c r="N57" i="1"/>
  <c r="H57" i="1"/>
  <c r="O56" i="1"/>
  <c r="Z56" i="1" s="1"/>
  <c r="N56" i="1"/>
  <c r="H56" i="1"/>
  <c r="O55" i="1"/>
  <c r="Z55" i="1" s="1"/>
  <c r="N55" i="1"/>
  <c r="H55" i="1"/>
  <c r="O54" i="1"/>
  <c r="Z54" i="1" s="1"/>
  <c r="N54" i="1"/>
  <c r="H54" i="1"/>
  <c r="O53" i="1"/>
  <c r="Z53" i="1" s="1"/>
  <c r="AM53" i="1" s="1"/>
  <c r="N53" i="1"/>
  <c r="H53" i="1"/>
  <c r="O52" i="1"/>
  <c r="Z52" i="1" s="1"/>
  <c r="N52" i="1"/>
  <c r="H52" i="1"/>
  <c r="O51" i="1"/>
  <c r="Z51" i="1" s="1"/>
  <c r="AM51" i="1" s="1"/>
  <c r="N51" i="1"/>
  <c r="H51" i="1"/>
  <c r="O50" i="1"/>
  <c r="Z50" i="1" s="1"/>
  <c r="AM50" i="1" s="1"/>
  <c r="N50" i="1"/>
  <c r="H50" i="1"/>
  <c r="O49" i="1"/>
  <c r="Z49" i="1" s="1"/>
  <c r="AM49" i="1" s="1"/>
  <c r="N49" i="1"/>
  <c r="H49" i="1"/>
  <c r="O48" i="1"/>
  <c r="Z48" i="1" s="1"/>
  <c r="N48" i="1"/>
  <c r="H48" i="1"/>
  <c r="O47" i="1"/>
  <c r="Z47" i="1" s="1"/>
  <c r="N47" i="1"/>
  <c r="H47" i="1"/>
  <c r="O46" i="1"/>
  <c r="Z46" i="1" s="1"/>
  <c r="N46" i="1"/>
  <c r="H46" i="1"/>
  <c r="O45" i="1"/>
  <c r="Z45" i="1" s="1"/>
  <c r="AM45" i="1" s="1"/>
  <c r="N45" i="1"/>
  <c r="H45" i="1"/>
  <c r="O44" i="1"/>
  <c r="Z44" i="1" s="1"/>
  <c r="N44" i="1"/>
  <c r="H44" i="1"/>
  <c r="O43" i="1"/>
  <c r="Z43" i="1" s="1"/>
  <c r="AM43" i="1" s="1"/>
  <c r="N43" i="1"/>
  <c r="H43" i="1"/>
  <c r="O42" i="1"/>
  <c r="Z42" i="1" s="1"/>
  <c r="AM42" i="1" s="1"/>
  <c r="N42" i="1"/>
  <c r="H42" i="1"/>
  <c r="O41" i="1"/>
  <c r="Z41" i="1" s="1"/>
  <c r="AM41" i="1" s="1"/>
  <c r="N41" i="1"/>
  <c r="H41" i="1"/>
  <c r="O40" i="1"/>
  <c r="Z40" i="1" s="1"/>
  <c r="N40" i="1"/>
  <c r="H40" i="1"/>
  <c r="O39" i="1"/>
  <c r="Z39" i="1" s="1"/>
  <c r="AM39" i="1" s="1"/>
  <c r="N39" i="1"/>
  <c r="H39" i="1"/>
  <c r="O38" i="1"/>
  <c r="Z38" i="1" s="1"/>
  <c r="N38" i="1"/>
  <c r="H38" i="1"/>
  <c r="O37" i="1"/>
  <c r="Z37" i="1" s="1"/>
  <c r="N37" i="1"/>
  <c r="H37" i="1"/>
  <c r="O36" i="1"/>
  <c r="Z36" i="1" s="1"/>
  <c r="N36" i="1"/>
  <c r="H36" i="1"/>
  <c r="O35" i="1"/>
  <c r="Z35" i="1" s="1"/>
  <c r="N35" i="1"/>
  <c r="H35" i="1"/>
  <c r="O34" i="1"/>
  <c r="Z34" i="1" s="1"/>
  <c r="AM34" i="1" s="1"/>
  <c r="N34" i="1"/>
  <c r="H34" i="1"/>
  <c r="O33" i="1"/>
  <c r="Z33" i="1" s="1"/>
  <c r="N33" i="1"/>
  <c r="H33" i="1"/>
  <c r="O32" i="1"/>
  <c r="Z32" i="1" s="1"/>
  <c r="AM32" i="1" s="1"/>
  <c r="N32" i="1"/>
  <c r="H32" i="1"/>
  <c r="O31" i="1"/>
  <c r="Z31" i="1" s="1"/>
  <c r="N31" i="1"/>
  <c r="H31" i="1"/>
  <c r="O30" i="1"/>
  <c r="Z30" i="1" s="1"/>
  <c r="N30" i="1"/>
  <c r="H30" i="1"/>
  <c r="O29" i="1"/>
  <c r="Z29" i="1" s="1"/>
  <c r="N29" i="1"/>
  <c r="H29" i="1"/>
  <c r="O28" i="1"/>
  <c r="Z28" i="1" s="1"/>
  <c r="N28" i="1"/>
  <c r="H28" i="1"/>
  <c r="O27" i="1"/>
  <c r="Z27" i="1" s="1"/>
  <c r="AM27" i="1" s="1"/>
  <c r="N27" i="1"/>
  <c r="H27" i="1"/>
  <c r="O26" i="1"/>
  <c r="Z26" i="1" s="1"/>
  <c r="N26" i="1"/>
  <c r="H26" i="1"/>
  <c r="O25" i="1"/>
  <c r="Z25" i="1" s="1"/>
  <c r="AM25" i="1" s="1"/>
  <c r="N25" i="1"/>
  <c r="H25" i="1"/>
  <c r="O24" i="1"/>
  <c r="Z24" i="1" s="1"/>
  <c r="N24" i="1"/>
  <c r="H24" i="1"/>
  <c r="O23" i="1"/>
  <c r="Z23" i="1" s="1"/>
  <c r="N23" i="1"/>
  <c r="H23" i="1"/>
  <c r="O22" i="1"/>
  <c r="Z22" i="1" s="1"/>
  <c r="N22" i="1"/>
  <c r="H22" i="1"/>
  <c r="O21" i="1"/>
  <c r="Z21" i="1" s="1"/>
  <c r="AM21" i="1" s="1"/>
  <c r="N21" i="1"/>
  <c r="H21" i="1"/>
  <c r="O20" i="1"/>
  <c r="Z20" i="1" s="1"/>
  <c r="N20" i="1"/>
  <c r="H20" i="1"/>
  <c r="O19" i="1"/>
  <c r="Z19" i="1" s="1"/>
  <c r="N19" i="1"/>
  <c r="H19" i="1"/>
  <c r="O18" i="1"/>
  <c r="Z18" i="1" s="1"/>
  <c r="N18" i="1"/>
  <c r="H18" i="1"/>
  <c r="O17" i="1"/>
  <c r="Z17" i="1" s="1"/>
  <c r="N17" i="1"/>
  <c r="G17" i="1"/>
  <c r="H17" i="1" s="1"/>
  <c r="O16" i="1"/>
  <c r="Z16" i="1" s="1"/>
  <c r="AM16" i="1" s="1"/>
  <c r="N16" i="1"/>
  <c r="G16" i="1"/>
  <c r="H16" i="1" s="1"/>
  <c r="O15" i="1"/>
  <c r="Z15" i="1" s="1"/>
  <c r="N15" i="1"/>
  <c r="H15" i="1"/>
  <c r="O14" i="1"/>
  <c r="Z14" i="1" s="1"/>
  <c r="N14" i="1"/>
  <c r="H14" i="1"/>
  <c r="O13" i="1"/>
  <c r="Z13" i="1" s="1"/>
  <c r="N13" i="1"/>
  <c r="H13" i="1"/>
  <c r="O12" i="1"/>
  <c r="Z12" i="1" s="1"/>
  <c r="N12" i="1"/>
  <c r="H12" i="1"/>
  <c r="O11" i="1"/>
  <c r="Z11" i="1" s="1"/>
  <c r="N11" i="1"/>
  <c r="H11" i="1"/>
  <c r="O10" i="1"/>
  <c r="Z10" i="1" s="1"/>
  <c r="N10" i="1"/>
  <c r="H10" i="1"/>
  <c r="O9" i="1"/>
  <c r="Z9" i="1" s="1"/>
  <c r="N9" i="1"/>
  <c r="H9" i="1"/>
  <c r="O8" i="1"/>
  <c r="Z8" i="1" s="1"/>
  <c r="N8" i="1"/>
  <c r="G8" i="1"/>
  <c r="O7" i="1"/>
  <c r="N7" i="1"/>
  <c r="H7" i="1"/>
  <c r="O6" i="1"/>
  <c r="Z6" i="1" s="1"/>
  <c r="N6" i="1"/>
  <c r="H6" i="1"/>
  <c r="AK5" i="1"/>
  <c r="AJ5" i="1"/>
  <c r="AI5" i="1"/>
  <c r="AH5" i="1"/>
  <c r="AG5" i="1"/>
  <c r="AF5" i="1"/>
  <c r="AE5" i="1"/>
  <c r="AD5" i="1"/>
  <c r="Y5" i="1"/>
  <c r="X5" i="1"/>
  <c r="W5" i="1"/>
  <c r="V5" i="1"/>
  <c r="U5" i="1"/>
  <c r="T5" i="1"/>
  <c r="S5" i="1"/>
  <c r="R5" i="1"/>
  <c r="Q5" i="1"/>
  <c r="P5" i="1"/>
  <c r="M5" i="1"/>
  <c r="AC131" i="1" l="1"/>
  <c r="AC62" i="1"/>
  <c r="AA116" i="1"/>
  <c r="AM116" i="1" s="1"/>
  <c r="AA136" i="1"/>
  <c r="AM136" i="1" s="1"/>
  <c r="AA10" i="1"/>
  <c r="AM10" i="1" s="1"/>
  <c r="AA126" i="1"/>
  <c r="AM126" i="1" s="1"/>
  <c r="AA93" i="1"/>
  <c r="AM93" i="1" s="1"/>
  <c r="AA28" i="1"/>
  <c r="AM28" i="1" s="1"/>
  <c r="AA82" i="1"/>
  <c r="AM82" i="1" s="1"/>
  <c r="AB23" i="1"/>
  <c r="AA6" i="1"/>
  <c r="AM6" i="1" s="1"/>
  <c r="AA68" i="1"/>
  <c r="AM68" i="1" s="1"/>
  <c r="AM108" i="1"/>
  <c r="AM55" i="1"/>
  <c r="AM62" i="1"/>
  <c r="AM9" i="1"/>
  <c r="AM110" i="1"/>
  <c r="AM11" i="1"/>
  <c r="AA77" i="1"/>
  <c r="AM77" i="1" s="1"/>
  <c r="AA24" i="1"/>
  <c r="AM24" i="1" s="1"/>
  <c r="AA18" i="1"/>
  <c r="AM18" i="1" s="1"/>
  <c r="AC85" i="1"/>
  <c r="AA12" i="1"/>
  <c r="AM12" i="1" s="1"/>
  <c r="AB33" i="1"/>
  <c r="AC86" i="1"/>
  <c r="AC73" i="1"/>
  <c r="AB79" i="1"/>
  <c r="AA99" i="1"/>
  <c r="AM99" i="1" s="1"/>
  <c r="AM119" i="1"/>
  <c r="AM60" i="1"/>
  <c r="AC127" i="1"/>
  <c r="AM94" i="1"/>
  <c r="AA14" i="1"/>
  <c r="AM14" i="1" s="1"/>
  <c r="AM87" i="1"/>
  <c r="F5" i="1"/>
  <c r="AM91" i="1"/>
  <c r="AM130" i="1"/>
  <c r="AM52" i="1"/>
  <c r="AA78" i="1"/>
  <c r="AM78" i="1" s="1"/>
  <c r="AA104" i="1"/>
  <c r="AM104" i="1" s="1"/>
  <c r="AM124" i="1"/>
  <c r="AA59" i="1"/>
  <c r="AM59" i="1" s="1"/>
  <c r="AM92" i="1"/>
  <c r="AM131" i="1"/>
  <c r="G5" i="1"/>
  <c r="AA40" i="1"/>
  <c r="AM40" i="1" s="1"/>
  <c r="AC125" i="1"/>
  <c r="AC15" i="1"/>
  <c r="AC48" i="1"/>
  <c r="AA22" i="1"/>
  <c r="AM22" i="1" s="1"/>
  <c r="AA81" i="1"/>
  <c r="AM81" i="1" s="1"/>
  <c r="AC114" i="1"/>
  <c r="AA88" i="1"/>
  <c r="AM88" i="1" s="1"/>
  <c r="AA56" i="1"/>
  <c r="AM56" i="1" s="1"/>
  <c r="AM17" i="1"/>
  <c r="AM115" i="1"/>
  <c r="AB57" i="1"/>
  <c r="AM90" i="1"/>
  <c r="AC84" i="1"/>
  <c r="AA84" i="1"/>
  <c r="AM84" i="1" s="1"/>
  <c r="AC95" i="1"/>
  <c r="AM95" i="1"/>
  <c r="AM76" i="1"/>
  <c r="AC68" i="1"/>
  <c r="AA48" i="1"/>
  <c r="AM48" i="1" s="1"/>
  <c r="AC100" i="1"/>
  <c r="AB11" i="1"/>
  <c r="AC49" i="1"/>
  <c r="AC64" i="1"/>
  <c r="AC44" i="1"/>
  <c r="AB6" i="1"/>
  <c r="AC50" i="1"/>
  <c r="AB54" i="1"/>
  <c r="AC69" i="1"/>
  <c r="AM100" i="1"/>
  <c r="AB96" i="1"/>
  <c r="AA125" i="1"/>
  <c r="AM125" i="1" s="1"/>
  <c r="AB70" i="1"/>
  <c r="AC29" i="1"/>
  <c r="AC82" i="1"/>
  <c r="AC56" i="1"/>
  <c r="AC66" i="1"/>
  <c r="AC97" i="1"/>
  <c r="AB108" i="1"/>
  <c r="AB124" i="1"/>
  <c r="AC36" i="1"/>
  <c r="AM111" i="1"/>
  <c r="AB26" i="1"/>
  <c r="AC14" i="1"/>
  <c r="AB31" i="1"/>
  <c r="AB67" i="1"/>
  <c r="AB83" i="1"/>
  <c r="AM64" i="1"/>
  <c r="AM112" i="1"/>
  <c r="AC104" i="1"/>
  <c r="AM44" i="1"/>
  <c r="AB63" i="1"/>
  <c r="AC20" i="1"/>
  <c r="AC53" i="1"/>
  <c r="AC105" i="1"/>
  <c r="AB102" i="1"/>
  <c r="AB113" i="1"/>
  <c r="AB34" i="1"/>
  <c r="AB46" i="1"/>
  <c r="AC130" i="1"/>
  <c r="AB130" i="1"/>
  <c r="AC19" i="1"/>
  <c r="AB19" i="1"/>
  <c r="AC46" i="1"/>
  <c r="AC102" i="1"/>
  <c r="AB69" i="1"/>
  <c r="AB73" i="1"/>
  <c r="AC98" i="1"/>
  <c r="AC116" i="1"/>
  <c r="AC11" i="1"/>
  <c r="AB20" i="1"/>
  <c r="AC26" i="1"/>
  <c r="AC31" i="1"/>
  <c r="AC42" i="1"/>
  <c r="AB50" i="1"/>
  <c r="N60" i="1"/>
  <c r="AC65" i="1"/>
  <c r="AC79" i="1"/>
  <c r="AC112" i="1"/>
  <c r="AC126" i="1"/>
  <c r="AC32" i="1"/>
  <c r="AB37" i="1"/>
  <c r="AC93" i="1"/>
  <c r="AB98" i="1"/>
  <c r="AC108" i="1"/>
  <c r="AB43" i="1"/>
  <c r="AC47" i="1"/>
  <c r="AC70" i="1"/>
  <c r="AC57" i="1"/>
  <c r="AB13" i="1"/>
  <c r="AC33" i="1"/>
  <c r="AC76" i="1"/>
  <c r="AB95" i="1"/>
  <c r="AC123" i="1"/>
  <c r="AC18" i="1"/>
  <c r="AC34" i="1"/>
  <c r="AB85" i="1"/>
  <c r="AC113" i="1"/>
  <c r="AB131" i="1"/>
  <c r="AC12" i="1"/>
  <c r="AB66" i="1"/>
  <c r="AB127" i="1"/>
  <c r="AC132" i="1"/>
  <c r="E5" i="1"/>
  <c r="AB49" i="1"/>
  <c r="AB53" i="1"/>
  <c r="AC96" i="1"/>
  <c r="AB10" i="1"/>
  <c r="AB29" i="1"/>
  <c r="AC45" i="1"/>
  <c r="AB82" i="1"/>
  <c r="AB114" i="1"/>
  <c r="AC54" i="1"/>
  <c r="AC87" i="1"/>
  <c r="AB92" i="1"/>
  <c r="AB105" i="1"/>
  <c r="AC133" i="1"/>
  <c r="AC83" i="1"/>
  <c r="AC101" i="1"/>
  <c r="AC106" i="1"/>
  <c r="AB106" i="1"/>
  <c r="AC16" i="1"/>
  <c r="AB16" i="1"/>
  <c r="AC60" i="1"/>
  <c r="AC88" i="1"/>
  <c r="AB93" i="1"/>
  <c r="AC134" i="1"/>
  <c r="AC74" i="1"/>
  <c r="AB74" i="1"/>
  <c r="AC107" i="1"/>
  <c r="AB107" i="1"/>
  <c r="AC21" i="1"/>
  <c r="AB21" i="1"/>
  <c r="AB94" i="1"/>
  <c r="AC94" i="1"/>
  <c r="AC55" i="1"/>
  <c r="AB55" i="1"/>
  <c r="AC51" i="1"/>
  <c r="AB51" i="1"/>
  <c r="AC121" i="1"/>
  <c r="AB121" i="1"/>
  <c r="AC80" i="1"/>
  <c r="AB80" i="1"/>
  <c r="AC89" i="1"/>
  <c r="AB89" i="1"/>
  <c r="AC103" i="1"/>
  <c r="AB103" i="1"/>
  <c r="AC122" i="1"/>
  <c r="AB122" i="1"/>
  <c r="AC135" i="1"/>
  <c r="AB135" i="1"/>
  <c r="AB17" i="1"/>
  <c r="AC17" i="1"/>
  <c r="AC61" i="1"/>
  <c r="AB61" i="1"/>
  <c r="AC75" i="1"/>
  <c r="AB75" i="1"/>
  <c r="AC90" i="1"/>
  <c r="AB90" i="1"/>
  <c r="AC27" i="1"/>
  <c r="AB27" i="1"/>
  <c r="AC22" i="1"/>
  <c r="AC38" i="1"/>
  <c r="AB38" i="1"/>
  <c r="AC41" i="1"/>
  <c r="AB41" i="1"/>
  <c r="AC52" i="1"/>
  <c r="AB52" i="1"/>
  <c r="AC39" i="1"/>
  <c r="AC9" i="1"/>
  <c r="AC23" i="1"/>
  <c r="AC28" i="1"/>
  <c r="AB28" i="1"/>
  <c r="AB44" i="1"/>
  <c r="AC81" i="1"/>
  <c r="AB100" i="1"/>
  <c r="AC136" i="1"/>
  <c r="AB136" i="1"/>
  <c r="AC109" i="1"/>
  <c r="AB109" i="1"/>
  <c r="AC118" i="1"/>
  <c r="AB118" i="1"/>
  <c r="AC71" i="1"/>
  <c r="AB71" i="1"/>
  <c r="AC58" i="1"/>
  <c r="AB58" i="1"/>
  <c r="AC24" i="1"/>
  <c r="AB35" i="1"/>
  <c r="AC40" i="1"/>
  <c r="AC59" i="1"/>
  <c r="AC77" i="1"/>
  <c r="AC110" i="1"/>
  <c r="AB110" i="1"/>
  <c r="AC119" i="1"/>
  <c r="AB119" i="1"/>
  <c r="AC78" i="1"/>
  <c r="AB68" i="1"/>
  <c r="AC72" i="1"/>
  <c r="AB72" i="1"/>
  <c r="AC115" i="1"/>
  <c r="AC25" i="1"/>
  <c r="AB25" i="1"/>
  <c r="AB15" i="1"/>
  <c r="AC30" i="1"/>
  <c r="AB30" i="1"/>
  <c r="AB97" i="1"/>
  <c r="AC111" i="1"/>
  <c r="AC120" i="1"/>
  <c r="AB125" i="1"/>
  <c r="AC129" i="1"/>
  <c r="AB129" i="1"/>
  <c r="AC138" i="1"/>
  <c r="AB138" i="1"/>
  <c r="H8" i="1"/>
  <c r="AM8" i="1" s="1"/>
  <c r="AC13" i="1"/>
  <c r="AB101" i="1"/>
  <c r="Z7" i="1"/>
  <c r="AC43" i="1"/>
  <c r="AC63" i="1"/>
  <c r="AC92" i="1"/>
  <c r="AC37" i="1"/>
  <c r="AB87" i="1"/>
  <c r="AB133" i="1"/>
  <c r="N128" i="1"/>
  <c r="AC124" i="1"/>
  <c r="O128" i="1"/>
  <c r="Z128" i="1" s="1"/>
  <c r="AB32" i="1"/>
  <c r="AB47" i="1"/>
  <c r="AC35" i="1"/>
  <c r="AC67" i="1"/>
  <c r="AC99" i="1"/>
  <c r="AC6" i="1"/>
  <c r="AB39" i="1"/>
  <c r="AB88" i="1"/>
  <c r="AB117" i="1"/>
  <c r="AB134" i="1"/>
  <c r="AB9" i="1"/>
  <c r="AB42" i="1"/>
  <c r="AB62" i="1"/>
  <c r="AB91" i="1"/>
  <c r="AB120" i="1"/>
  <c r="AB123" i="1"/>
  <c r="AB137" i="1"/>
  <c r="AC10" i="1"/>
  <c r="AB14" i="1"/>
  <c r="AB36" i="1"/>
  <c r="AB45" i="1"/>
  <c r="AB65" i="1"/>
  <c r="AB126" i="1"/>
  <c r="AB86" i="1"/>
  <c r="AB115" i="1"/>
  <c r="AB132" i="1"/>
  <c r="AB77" i="1" l="1"/>
  <c r="AB12" i="1"/>
  <c r="AB116" i="1"/>
  <c r="AB78" i="1"/>
  <c r="AB59" i="1"/>
  <c r="N5" i="1"/>
  <c r="AB24" i="1"/>
  <c r="AB18" i="1"/>
  <c r="AB40" i="1"/>
  <c r="AB104" i="1"/>
  <c r="AB81" i="1"/>
  <c r="AB48" i="1"/>
  <c r="AB99" i="1"/>
  <c r="AB60" i="1"/>
  <c r="AB22" i="1"/>
  <c r="AB84" i="1"/>
  <c r="AB56" i="1"/>
  <c r="AB111" i="1"/>
  <c r="AA128" i="1"/>
  <c r="AM128" i="1" s="1"/>
  <c r="O5" i="1"/>
  <c r="AB76" i="1"/>
  <c r="AC128" i="1"/>
  <c r="AB7" i="1"/>
  <c r="AB64" i="1"/>
  <c r="AB112" i="1"/>
  <c r="AC8" i="1"/>
  <c r="H5" i="1"/>
  <c r="AB8" i="1"/>
  <c r="AC7" i="1"/>
  <c r="Z5" i="1"/>
  <c r="AM7" i="1" l="1"/>
  <c r="AM5" i="1" s="1"/>
  <c r="AA5" i="1"/>
  <c r="AB128" i="1"/>
</calcChain>
</file>

<file path=xl/sharedStrings.xml><?xml version="1.0" encoding="utf-8"?>
<sst xmlns="http://schemas.openxmlformats.org/spreadsheetml/2006/main" count="505" uniqueCount="192">
  <si>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</si>
  <si>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</si>
  <si>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</si>
  <si>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</si>
  <si>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</si>
  <si>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</si>
  <si>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опт</t>
  </si>
  <si>
    <t>ИТОГО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</si>
  <si>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</si>
  <si>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</si>
  <si>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</si>
  <si>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</si>
  <si>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</si>
  <si>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</si>
  <si>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</si>
  <si>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</si>
  <si>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</si>
  <si>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</si>
  <si>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</si>
  <si>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</si>
  <si>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</si>
  <si>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</si>
  <si>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</si>
  <si>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Бутырин</t>
  </si>
  <si>
    <t>19,09,</t>
  </si>
  <si>
    <t>19,09,недогр</t>
  </si>
  <si>
    <t>20,09,</t>
  </si>
  <si>
    <t>20,09,недогр</t>
  </si>
  <si>
    <t>20,09,доз</t>
  </si>
  <si>
    <t>21,09,</t>
  </si>
  <si>
    <t>21,09,недогр</t>
  </si>
  <si>
    <t>21,09,доз</t>
  </si>
  <si>
    <t>22,09,</t>
  </si>
  <si>
    <t>17,09,</t>
  </si>
  <si>
    <t>15,09,</t>
  </si>
  <si>
    <t>10,09,</t>
  </si>
  <si>
    <t>08,09,</t>
  </si>
  <si>
    <t>03,09,</t>
  </si>
  <si>
    <t>01,09,</t>
  </si>
  <si>
    <t>27,08,</t>
  </si>
  <si>
    <t>25,08,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</si>
  <si>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</si>
  <si>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</si>
  <si>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</si>
  <si>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</si>
  <si>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ПРОМО сентябрь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</si>
  <si>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</si>
  <si>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</si>
  <si>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</si>
  <si>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</si>
  <si>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</si>
  <si>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</si>
  <si>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</si>
  <si>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</si>
  <si>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</si>
  <si>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103  Сосиски Классические, 0.42кг,ядрена копотьПОКОМ</t>
  </si>
  <si>
    <t>не в матрице</t>
  </si>
  <si>
    <t>Продукция для ПРС!!!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</si>
  <si>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</si>
  <si>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</si>
  <si>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</si>
  <si>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</si>
  <si>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>дубль</t>
  </si>
  <si>
    <t xml:space="preserve"> 597  Колбаса Классическая ТМ Особый рецепт в оболочке полиамид ВЕС.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</si>
  <si>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</si>
  <si>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</si>
  <si>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</si>
  <si>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>нужно увеличить продажи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</si>
  <si>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</si>
  <si>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</si>
  <si>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</si>
  <si>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</si>
  <si>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</si>
  <si>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</si>
  <si>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</si>
  <si>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</si>
  <si>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>нужно увеличить продажи!!!</t>
  </si>
  <si>
    <t xml:space="preserve"> 246  Колбаса Стародворская ТМ Стародворье ТС Старый двор,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</si>
  <si>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</si>
  <si>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</si>
  <si>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</si>
  <si>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</si>
  <si>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</si>
  <si>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</si>
  <si>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</si>
  <si>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</si>
  <si>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</si>
  <si>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</si>
  <si>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ПРОМО сентябрь / 2600шт отгрузили на ЮгТехЛогистика (28,08,26)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</si>
  <si>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</si>
  <si>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</si>
  <si>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</si>
  <si>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</si>
  <si>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</si>
  <si>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</si>
  <si>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</si>
  <si>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</si>
  <si>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</si>
  <si>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</si>
  <si>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</si>
  <si>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>1000шт под сети (Хмель 01,09,26)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</si>
  <si>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</si>
  <si>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</si>
  <si>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</si>
  <si>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</si>
  <si>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</si>
  <si>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</si>
  <si>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</si>
  <si>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</si>
  <si>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</si>
  <si>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</si>
  <si>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</si>
  <si>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</si>
  <si>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</si>
  <si>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</si>
  <si>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</si>
  <si>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</si>
  <si>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</si>
  <si>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</si>
  <si>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</si>
  <si>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</si>
  <si>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</si>
  <si>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</si>
  <si>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</si>
  <si>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</si>
  <si>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365  Колбаса Салями Филейбургская зернистая, 0,28 кг срез ТМ Баварушка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</si>
  <si>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</si>
  <si>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</si>
  <si>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</si>
  <si>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</si>
  <si>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</si>
  <si>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</si>
  <si>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</si>
  <si>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</si>
  <si>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</si>
  <si>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</si>
  <si>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</si>
  <si>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</si>
  <si>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</si>
  <si>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</si>
  <si>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</si>
  <si>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</si>
  <si>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</si>
  <si>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</si>
  <si>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</si>
  <si>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</si>
  <si>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</si>
  <si>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</si>
  <si>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</si>
  <si>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</si>
  <si>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</si>
  <si>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</si>
  <si>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</si>
  <si>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</si>
  <si>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</si>
  <si>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</si>
  <si>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</si>
  <si>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</si>
  <si>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</si>
  <si>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</si>
  <si>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</si>
  <si>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</si>
  <si>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</si>
  <si>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</si>
  <si>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</si>
  <si>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</si>
  <si>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</si>
  <si>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</si>
  <si>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</si>
  <si>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</si>
  <si>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</si>
  <si>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</si>
  <si>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</si>
  <si>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</si>
  <si>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</si>
  <si>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</si>
  <si>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</si>
  <si>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614  Буженина в пряном маринаде 0,25 кг консервы из мяса индейки ТМ Стародворье  ПОКОМ</t>
  </si>
  <si>
    <t>нужно увеличить продажи!!! / ПРОМО сентябрь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</si>
  <si>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</si>
  <si>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</si>
  <si>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</si>
  <si>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</si>
  <si>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</si>
  <si>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</si>
  <si>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</si>
  <si>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</si>
  <si>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</si>
  <si>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</si>
  <si>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t>15шт списано (19,09,26)</t>
  </si>
  <si>
    <t>18шт списано (19,09,26) / 19 шт списано (12,07,26)</t>
  </si>
  <si>
    <t>14 кг списано (19,09,26)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</si>
</sst>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5" fillId="0" borderId="1" xfId="1" applyNumberFormat="1" applyFont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6" fillId="6" borderId="1" xfId="1" applyNumberFormat="1" applyFont="1" applyFill="1"/>
    <xf numFmtId="164" fontId="1" fillId="7" borderId="1" xfId="1" applyNumberFormat="1" applyFill="1"/>
    <xf numFmtId="164" fontId="7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44;&#1086;&#1085;&#1077;&#1094;&#1082;/&#1041;&#1091;&#1090;&#1099;&#1088;&#1080;&#1085;%2022,0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Sheet"/>
    </sheetNames>
    <sheetDataSet>
      <sheetData sheetId="0">
        <row r="1">
          <cell r="A1" t="str">
            <v>Номенклатура</v>
          </cell>
          <cell r="B1" t="str">
            <v>Количество</v>
          </cell>
        </row>
        <row r="2">
          <cell r="A2" t="str">
            <v xml:space="preserve"> 017  Сосиски Вязанка Сливочные, Вязанка амицел ВЕС.ПОКОМ</v>
          </cell>
          <cell r="B2">
            <v>380.36599999999999</v>
          </cell>
        </row>
        <row r="3">
          <cell r="A3" t="str">
            <v xml:space="preserve"> 457  Колбаса Молочная ТМ Особый рецепт ВЕС большой батон  ПОКОМ</v>
          </cell>
          <cell r="B3">
            <v>359.18099999999998</v>
          </cell>
        </row>
        <row r="4">
          <cell r="A4" t="str">
            <v xml:space="preserve"> 201  Ветчина Нежная ТМ Особый рецепт, (2,5кг), ПОКОМ</v>
          </cell>
          <cell r="B4">
            <v>283.34500000000003</v>
          </cell>
        </row>
        <row r="5">
          <cell r="A5" t="str">
            <v xml:space="preserve"> 449  Колбаса Дугушка Стародворская ВЕС ТС Дугушка ПОКОМ</v>
          </cell>
          <cell r="B5">
            <v>506.06299999999999</v>
          </cell>
        </row>
        <row r="6">
          <cell r="A6" t="str">
            <v xml:space="preserve"> 200  Ветчина Дугушка ТМ Стародворье, вектор в/у    ПОКОМ</v>
          </cell>
          <cell r="B6">
            <v>380.12099999999998</v>
          </cell>
        </row>
        <row r="7">
          <cell r="A7" t="str">
            <v>Европоддон (невозвратный)</v>
          </cell>
          <cell r="B7">
            <v>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L6" sqref="AL6"/>
    </sheetView>
  </sheetViews>
  <sheetFormatPr defaultRowHeight="15" x14ac:dyDescent="0.25"/>
  <cols>
    <col min="1" max="1" width="45.140625" customWidth="1"/>
    <col min="2" max="2" width="3" customWidth="1"/>
    <col min="3" max="3" width="6" customWidth="1"/>
    <col min="4" max="4" width="6.7109375" customWidth="1"/>
    <col min="5" max="6" width="7" customWidth="1"/>
    <col min="7" max="7" width="5.85546875" customWidth="1"/>
    <col min="8" max="8" width="7" customWidth="1"/>
    <col min="9" max="9" width="5" style="6" customWidth="1"/>
    <col min="10" max="10" width="5" customWidth="1"/>
    <col min="11" max="11" width="9.140625" customWidth="1"/>
    <col min="12" max="12" width="1" customWidth="1"/>
    <col min="13" max="27" width="7" customWidth="1"/>
    <col min="28" max="29" width="5" customWidth="1"/>
    <col min="30" max="34" width="6.7109375" customWidth="1"/>
    <col min="35" max="35" width="6" customWidth="1"/>
    <col min="36" max="37" width="6.7109375" customWidth="1"/>
    <col min="38" max="38" width="29.140625" customWidth="1"/>
    <col min="39" max="39" width="7" customWidth="1"/>
    <col min="40" max="49" width="8" customWidth="1"/>
  </cols>
  <sheetData>
    <row r="1" spans="1:49" x14ac:dyDescent="0.25">
      <c r="A1" s="1"/>
      <c r="B1" s="1"/>
      <c r="C1" s="1"/>
      <c r="D1" s="1"/>
      <c r="E1" s="1"/>
      <c r="F1" s="1"/>
      <c r="G1" s="1"/>
      <c r="H1" s="1"/>
      <c r="I1" s="7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1"/>
      <c r="H2" s="1"/>
      <c r="I2" s="7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9" t="s">
        <v>7</v>
      </c>
      <c r="I3" s="8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6</v>
      </c>
      <c r="Q3" s="2" t="s">
        <v>15</v>
      </c>
      <c r="R3" s="2" t="s">
        <v>15</v>
      </c>
      <c r="S3" s="2" t="s">
        <v>15</v>
      </c>
      <c r="T3" s="2" t="s">
        <v>15</v>
      </c>
      <c r="U3" s="2" t="s">
        <v>15</v>
      </c>
      <c r="V3" s="2" t="s">
        <v>15</v>
      </c>
      <c r="W3" s="2" t="s">
        <v>15</v>
      </c>
      <c r="X3" s="2" t="s">
        <v>15</v>
      </c>
      <c r="Y3" s="2" t="s">
        <v>15</v>
      </c>
      <c r="Z3" s="2" t="s">
        <v>16</v>
      </c>
      <c r="AA3" s="3" t="s">
        <v>17</v>
      </c>
      <c r="AB3" s="2" t="s">
        <v>18</v>
      </c>
      <c r="AC3" s="2" t="s">
        <v>19</v>
      </c>
      <c r="AD3" s="2" t="s">
        <v>20</v>
      </c>
      <c r="AE3" s="2" t="s">
        <v>20</v>
      </c>
      <c r="AF3" s="2" t="s">
        <v>20</v>
      </c>
      <c r="AG3" s="2" t="s">
        <v>20</v>
      </c>
      <c r="AH3" s="2" t="s">
        <v>20</v>
      </c>
      <c r="AI3" s="2" t="s">
        <v>20</v>
      </c>
      <c r="AJ3" s="2" t="s">
        <v>20</v>
      </c>
      <c r="AK3" s="2" t="s">
        <v>20</v>
      </c>
      <c r="AL3" s="2" t="s">
        <v>21</v>
      </c>
      <c r="AM3" s="2" t="s">
        <v>22</v>
      </c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10" t="s">
        <v>23</v>
      </c>
      <c r="H4" s="10"/>
      <c r="I4" s="7"/>
      <c r="J4" s="1"/>
      <c r="K4" s="1"/>
      <c r="L4" s="1"/>
      <c r="M4" s="1"/>
      <c r="N4" s="1"/>
      <c r="O4" s="1"/>
      <c r="P4" s="1"/>
      <c r="Q4" s="1" t="s">
        <v>24</v>
      </c>
      <c r="R4" s="1" t="s">
        <v>25</v>
      </c>
      <c r="S4" s="1" t="s">
        <v>26</v>
      </c>
      <c r="T4" s="1" t="s">
        <v>27</v>
      </c>
      <c r="U4" s="1" t="s">
        <v>28</v>
      </c>
      <c r="V4" s="1" t="s">
        <v>29</v>
      </c>
      <c r="W4" s="1" t="s">
        <v>30</v>
      </c>
      <c r="X4" s="1" t="s">
        <v>31</v>
      </c>
      <c r="Y4" s="1" t="s">
        <v>32</v>
      </c>
      <c r="Z4" s="1" t="s">
        <v>32</v>
      </c>
      <c r="AA4" s="1"/>
      <c r="AB4" s="1"/>
      <c r="AC4" s="1"/>
      <c r="AD4" s="1" t="s">
        <v>33</v>
      </c>
      <c r="AE4" s="1" t="s">
        <v>34</v>
      </c>
      <c r="AF4" s="1" t="s">
        <v>35</v>
      </c>
      <c r="AG4" s="1" t="s">
        <v>36</v>
      </c>
      <c r="AH4" s="1" t="s">
        <v>37</v>
      </c>
      <c r="AI4" s="1" t="s">
        <v>38</v>
      </c>
      <c r="AJ4" s="1" t="s">
        <v>39</v>
      </c>
      <c r="AK4" s="1" t="s">
        <v>40</v>
      </c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67061.47600000001</v>
      </c>
      <c r="F5" s="4">
        <f>SUM(F6:F500)</f>
        <v>57776.379000000001</v>
      </c>
      <c r="G5" s="4">
        <f>SUM(G6:G500)</f>
        <v>1909.076</v>
      </c>
      <c r="H5" s="4">
        <f>SUM(H6:H500)</f>
        <v>55867.303</v>
      </c>
      <c r="I5" s="7"/>
      <c r="J5" s="1"/>
      <c r="K5" s="1"/>
      <c r="L5" s="1"/>
      <c r="M5" s="4">
        <f t="shared" ref="M5:AA5" si="0">SUM(M6:M500)</f>
        <v>72873.328000000009</v>
      </c>
      <c r="N5" s="4">
        <f t="shared" si="0"/>
        <v>-5811.8520000000017</v>
      </c>
      <c r="O5" s="4">
        <f t="shared" si="0"/>
        <v>63663.575999999994</v>
      </c>
      <c r="P5" s="4">
        <f t="shared" si="0"/>
        <v>3397.8999999999996</v>
      </c>
      <c r="Q5" s="4">
        <f t="shared" si="0"/>
        <v>17696.971046004477</v>
      </c>
      <c r="R5" s="4">
        <f t="shared" si="0"/>
        <v>-2963.7142857142867</v>
      </c>
      <c r="S5" s="4">
        <f t="shared" si="0"/>
        <v>20081.834976395523</v>
      </c>
      <c r="T5" s="4">
        <f t="shared" si="0"/>
        <v>-2801.8</v>
      </c>
      <c r="U5" s="4">
        <f t="shared" si="0"/>
        <v>1410</v>
      </c>
      <c r="V5" s="4">
        <f t="shared" si="0"/>
        <v>21967.918299560006</v>
      </c>
      <c r="W5" s="4">
        <f t="shared" si="0"/>
        <v>-2707.3999999999996</v>
      </c>
      <c r="X5" s="4">
        <f t="shared" si="0"/>
        <v>1905</v>
      </c>
      <c r="Y5" s="4">
        <f t="shared" si="0"/>
        <v>22442.49564844001</v>
      </c>
      <c r="Z5" s="4">
        <f t="shared" si="0"/>
        <v>12732.715199999999</v>
      </c>
      <c r="AA5" s="4">
        <f t="shared" si="0"/>
        <v>18364.7682776</v>
      </c>
      <c r="AB5" s="1"/>
      <c r="AC5" s="1"/>
      <c r="AD5" s="4">
        <f t="shared" ref="AD5:AK5" si="1">SUM(AD6:AD500)</f>
        <v>12494.580600000001</v>
      </c>
      <c r="AE5" s="4">
        <f t="shared" si="1"/>
        <v>12634.5728</v>
      </c>
      <c r="AF5" s="4">
        <f t="shared" si="1"/>
        <v>13008.235999999999</v>
      </c>
      <c r="AG5" s="4">
        <f t="shared" si="1"/>
        <v>13739.648800000001</v>
      </c>
      <c r="AH5" s="4">
        <f t="shared" si="1"/>
        <v>10910.368200000003</v>
      </c>
      <c r="AI5" s="4">
        <f t="shared" si="1"/>
        <v>9135.7952000000078</v>
      </c>
      <c r="AJ5" s="4">
        <f t="shared" si="1"/>
        <v>10198.597200000002</v>
      </c>
      <c r="AK5" s="4">
        <f t="shared" si="1"/>
        <v>11150.824600000005</v>
      </c>
      <c r="AL5" s="1"/>
      <c r="AM5" s="4">
        <f>SUM(AM6:AM500)</f>
        <v>11928.103777600003</v>
      </c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41</v>
      </c>
      <c r="B6" s="1" t="s">
        <v>42</v>
      </c>
      <c r="C6" s="1">
        <v>866.46900000000005</v>
      </c>
      <c r="D6" s="1">
        <v>5091.893</v>
      </c>
      <c r="E6" s="1">
        <v>1921.9929999999999</v>
      </c>
      <c r="F6" s="1">
        <v>661.15</v>
      </c>
      <c r="G6" s="1"/>
      <c r="H6" s="1">
        <f t="shared" ref="H6:H37" si="2">F6-G6</f>
        <v>661.15</v>
      </c>
      <c r="I6" s="7">
        <v>1</v>
      </c>
      <c r="J6" s="1">
        <v>50</v>
      </c>
      <c r="K6" s="1" t="s">
        <v>43</v>
      </c>
      <c r="L6" s="1"/>
      <c r="M6" s="1">
        <v>1937.5070000000001</v>
      </c>
      <c r="N6" s="1">
        <f t="shared" ref="N6:N37" si="3">E6-M6</f>
        <v>-15.514000000000124</v>
      </c>
      <c r="O6" s="1">
        <f t="shared" ref="O6:O37" si="4">E6-P6</f>
        <v>1535.5360000000001</v>
      </c>
      <c r="P6" s="1">
        <v>386.45699999999999</v>
      </c>
      <c r="Q6" s="1">
        <v>765.36000000000013</v>
      </c>
      <c r="R6" s="1"/>
      <c r="S6" s="1">
        <v>1034.6400000000001</v>
      </c>
      <c r="T6" s="1"/>
      <c r="U6" s="1"/>
      <c r="V6" s="1">
        <v>293.33396693999993</v>
      </c>
      <c r="W6" s="1"/>
      <c r="X6" s="1"/>
      <c r="Y6" s="1">
        <v>543.09023305999983</v>
      </c>
      <c r="Z6" s="1">
        <f t="shared" ref="Z6:Z37" si="5">O6/5</f>
        <v>307.10720000000003</v>
      </c>
      <c r="AA6" s="5">
        <f>11*Z6-Y6-X6-W6-V6-U6-T6-S6-R6-Q6-H6</f>
        <v>80.605000000000814</v>
      </c>
      <c r="AB6" s="1">
        <f t="shared" ref="AB6:AB37" si="6">(H6+Q6+R6+S6+T6+U6+V6+W6+X6+Y6+AA6)/Z6</f>
        <v>11.000000000000002</v>
      </c>
      <c r="AC6" s="1">
        <f t="shared" ref="AC6:AC37" si="7">(H6+Q6+R6+S6+T6+U6+V6+W6+X6+Y6)/Z6</f>
        <v>10.73753464588261</v>
      </c>
      <c r="AD6" s="1">
        <v>314.50659999999999</v>
      </c>
      <c r="AE6" s="1">
        <v>330.37540000000001</v>
      </c>
      <c r="AF6" s="1">
        <v>323.59899999999999</v>
      </c>
      <c r="AG6" s="1">
        <v>328.35</v>
      </c>
      <c r="AH6" s="1">
        <v>238.09880000000001</v>
      </c>
      <c r="AI6" s="1">
        <v>226.9384</v>
      </c>
      <c r="AJ6" s="1">
        <v>306.53539999999998</v>
      </c>
      <c r="AK6" s="1">
        <v>373.97739999999999</v>
      </c>
      <c r="AL6" s="1"/>
      <c r="AM6" s="1">
        <f t="shared" ref="AM6:AM14" si="8">I6*AA6</f>
        <v>80.605000000000814</v>
      </c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44</v>
      </c>
      <c r="B7" s="1" t="s">
        <v>42</v>
      </c>
      <c r="C7" s="1">
        <v>1103.1020000000001</v>
      </c>
      <c r="D7" s="1">
        <v>3712.7660000000001</v>
      </c>
      <c r="E7" s="1">
        <v>1077.684</v>
      </c>
      <c r="F7" s="1">
        <v>1128.028</v>
      </c>
      <c r="G7" s="1"/>
      <c r="H7" s="1">
        <f t="shared" si="2"/>
        <v>1128.028</v>
      </c>
      <c r="I7" s="7">
        <v>1</v>
      </c>
      <c r="J7" s="1">
        <v>45</v>
      </c>
      <c r="K7" s="1" t="s">
        <v>43</v>
      </c>
      <c r="L7" s="1"/>
      <c r="M7" s="1">
        <v>1070.058</v>
      </c>
      <c r="N7" s="1">
        <f t="shared" si="3"/>
        <v>7.6259999999999764</v>
      </c>
      <c r="O7" s="1">
        <f t="shared" si="4"/>
        <v>1077.684</v>
      </c>
      <c r="P7" s="1"/>
      <c r="Q7" s="1">
        <v>825.88722000000007</v>
      </c>
      <c r="R7" s="1"/>
      <c r="S7" s="1">
        <v>1116.4627800000001</v>
      </c>
      <c r="T7" s="1"/>
      <c r="U7" s="1"/>
      <c r="V7" s="1">
        <v>163.78531679999989</v>
      </c>
      <c r="W7" s="1"/>
      <c r="X7" s="1"/>
      <c r="Y7" s="1">
        <v>303.2386831999998</v>
      </c>
      <c r="Z7" s="1">
        <f t="shared" si="5"/>
        <v>215.5368</v>
      </c>
      <c r="AA7" s="5"/>
      <c r="AB7" s="1">
        <f t="shared" si="6"/>
        <v>16.412055853107216</v>
      </c>
      <c r="AC7" s="1">
        <f t="shared" si="7"/>
        <v>16.412055853107216</v>
      </c>
      <c r="AD7" s="1">
        <v>330.04300000000001</v>
      </c>
      <c r="AE7" s="1">
        <v>367.75</v>
      </c>
      <c r="AF7" s="1">
        <v>250.43219999999999</v>
      </c>
      <c r="AG7" s="1">
        <v>253.25299999999999</v>
      </c>
      <c r="AH7" s="1">
        <v>222.0264</v>
      </c>
      <c r="AI7" s="1">
        <v>176.40700000000001</v>
      </c>
      <c r="AJ7" s="1">
        <v>267.92</v>
      </c>
      <c r="AK7" s="1">
        <v>195.1114</v>
      </c>
      <c r="AL7" s="1" t="s">
        <v>45</v>
      </c>
      <c r="AM7" s="1">
        <f t="shared" si="8"/>
        <v>0</v>
      </c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46</v>
      </c>
      <c r="B8" s="1" t="s">
        <v>42</v>
      </c>
      <c r="C8" s="1">
        <v>2816.9960000000001</v>
      </c>
      <c r="D8" s="1">
        <v>6255.1480000000001</v>
      </c>
      <c r="E8" s="1">
        <v>3128.77</v>
      </c>
      <c r="F8" s="1">
        <v>3589.009</v>
      </c>
      <c r="G8" s="1">
        <f>VLOOKUP(A8,[1]TDSheet!$A:$B,2,0)</f>
        <v>380.36599999999999</v>
      </c>
      <c r="H8" s="1">
        <f t="shared" si="2"/>
        <v>3208.643</v>
      </c>
      <c r="I8" s="7">
        <v>1</v>
      </c>
      <c r="J8" s="1">
        <v>45</v>
      </c>
      <c r="K8" s="1" t="s">
        <v>43</v>
      </c>
      <c r="L8" s="1"/>
      <c r="M8" s="1">
        <v>3123.5990000000002</v>
      </c>
      <c r="N8" s="1">
        <f t="shared" si="3"/>
        <v>5.1709999999998217</v>
      </c>
      <c r="O8" s="1">
        <f t="shared" si="4"/>
        <v>3128.77</v>
      </c>
      <c r="P8" s="1"/>
      <c r="Q8" s="1">
        <v>1328.768878880001</v>
      </c>
      <c r="R8" s="1"/>
      <c r="S8" s="1">
        <v>1796.275521120001</v>
      </c>
      <c r="T8" s="1"/>
      <c r="U8" s="1"/>
      <c r="V8" s="1">
        <v>756.49518041999931</v>
      </c>
      <c r="W8" s="1"/>
      <c r="X8" s="1"/>
      <c r="Y8" s="1">
        <v>1400.6054195799991</v>
      </c>
      <c r="Z8" s="1">
        <f t="shared" si="5"/>
        <v>625.75400000000002</v>
      </c>
      <c r="AA8" s="5"/>
      <c r="AB8" s="1">
        <f t="shared" si="6"/>
        <v>13.56889128954829</v>
      </c>
      <c r="AC8" s="1">
        <f t="shared" si="7"/>
        <v>13.56889128954829</v>
      </c>
      <c r="AD8" s="1">
        <v>800.88400000000001</v>
      </c>
      <c r="AE8" s="1">
        <v>833.0154</v>
      </c>
      <c r="AF8" s="1">
        <v>751.53280000000007</v>
      </c>
      <c r="AG8" s="1">
        <v>847.03899999999999</v>
      </c>
      <c r="AH8" s="1">
        <v>565.60299999999995</v>
      </c>
      <c r="AI8" s="1">
        <v>418.56079999999997</v>
      </c>
      <c r="AJ8" s="1">
        <v>617.84820000000002</v>
      </c>
      <c r="AK8" s="1">
        <v>615.27340000000004</v>
      </c>
      <c r="AL8" s="1" t="s">
        <v>45</v>
      </c>
      <c r="AM8" s="1">
        <f t="shared" si="8"/>
        <v>0</v>
      </c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47</v>
      </c>
      <c r="B9" s="1" t="s">
        <v>48</v>
      </c>
      <c r="C9" s="1">
        <v>20</v>
      </c>
      <c r="D9" s="1">
        <v>20</v>
      </c>
      <c r="E9" s="1">
        <v>10</v>
      </c>
      <c r="F9" s="1">
        <v>2</v>
      </c>
      <c r="G9" s="1"/>
      <c r="H9" s="1">
        <f t="shared" si="2"/>
        <v>2</v>
      </c>
      <c r="I9" s="7">
        <v>0.4</v>
      </c>
      <c r="J9" s="1">
        <v>50</v>
      </c>
      <c r="K9" s="1" t="s">
        <v>43</v>
      </c>
      <c r="L9" s="1"/>
      <c r="M9" s="1">
        <v>17</v>
      </c>
      <c r="N9" s="1">
        <f t="shared" si="3"/>
        <v>-7</v>
      </c>
      <c r="O9" s="1">
        <f t="shared" si="4"/>
        <v>10</v>
      </c>
      <c r="P9" s="1"/>
      <c r="Q9" s="1">
        <v>0</v>
      </c>
      <c r="R9" s="1"/>
      <c r="S9" s="1"/>
      <c r="T9" s="1"/>
      <c r="U9" s="1"/>
      <c r="V9" s="1">
        <v>0</v>
      </c>
      <c r="W9" s="1"/>
      <c r="X9" s="1"/>
      <c r="Y9" s="1"/>
      <c r="Z9" s="1">
        <f t="shared" si="5"/>
        <v>2</v>
      </c>
      <c r="AA9" s="5">
        <v>15</v>
      </c>
      <c r="AB9" s="1">
        <f t="shared" si="6"/>
        <v>8.5</v>
      </c>
      <c r="AC9" s="1">
        <f t="shared" si="7"/>
        <v>1</v>
      </c>
      <c r="AD9" s="1">
        <v>0</v>
      </c>
      <c r="AE9" s="1">
        <v>0.2</v>
      </c>
      <c r="AF9" s="1">
        <v>2.4</v>
      </c>
      <c r="AG9" s="1">
        <v>1.8</v>
      </c>
      <c r="AH9" s="1">
        <v>-0.2</v>
      </c>
      <c r="AI9" s="1">
        <v>0.2</v>
      </c>
      <c r="AJ9" s="1">
        <v>1.2</v>
      </c>
      <c r="AK9" s="1">
        <v>2.8</v>
      </c>
      <c r="AL9" s="10" t="s">
        <v>190</v>
      </c>
      <c r="AM9" s="1">
        <f t="shared" si="8"/>
        <v>6</v>
      </c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49</v>
      </c>
      <c r="B10" s="1" t="s">
        <v>48</v>
      </c>
      <c r="C10" s="1">
        <v>1619.04</v>
      </c>
      <c r="D10" s="1">
        <v>17336.96</v>
      </c>
      <c r="E10" s="1">
        <v>4229</v>
      </c>
      <c r="F10" s="1">
        <v>1085</v>
      </c>
      <c r="G10" s="1"/>
      <c r="H10" s="1">
        <f t="shared" si="2"/>
        <v>1085</v>
      </c>
      <c r="I10" s="7">
        <v>0.45</v>
      </c>
      <c r="J10" s="1">
        <v>45</v>
      </c>
      <c r="K10" s="1" t="s">
        <v>43</v>
      </c>
      <c r="L10" s="1"/>
      <c r="M10" s="1">
        <v>4477</v>
      </c>
      <c r="N10" s="1">
        <f t="shared" si="3"/>
        <v>-248</v>
      </c>
      <c r="O10" s="1">
        <f t="shared" si="4"/>
        <v>4229</v>
      </c>
      <c r="P10" s="1"/>
      <c r="Q10" s="1">
        <v>299.83675327999998</v>
      </c>
      <c r="R10" s="1"/>
      <c r="S10" s="1">
        <v>405.32964672000003</v>
      </c>
      <c r="T10" s="1"/>
      <c r="U10" s="1"/>
      <c r="V10" s="1">
        <v>1148.47011552</v>
      </c>
      <c r="W10" s="1"/>
      <c r="X10" s="1"/>
      <c r="Y10" s="1">
        <v>2126.3234844799999</v>
      </c>
      <c r="Z10" s="1">
        <f t="shared" si="5"/>
        <v>845.8</v>
      </c>
      <c r="AA10" s="5">
        <f t="shared" ref="AA7:AA14" si="9">11*Z10-Y10-X10-W10-V10-U10-T10-S10-R10-Q10-H10</f>
        <v>4238.8399999999992</v>
      </c>
      <c r="AB10" s="1">
        <f t="shared" si="6"/>
        <v>11</v>
      </c>
      <c r="AC10" s="1">
        <f t="shared" si="7"/>
        <v>5.9883660439820297</v>
      </c>
      <c r="AD10" s="1">
        <v>569</v>
      </c>
      <c r="AE10" s="1">
        <v>530.86719999999991</v>
      </c>
      <c r="AF10" s="1">
        <v>514.46719999999993</v>
      </c>
      <c r="AG10" s="1">
        <v>409.86599999999999</v>
      </c>
      <c r="AH10" s="1">
        <v>437.2</v>
      </c>
      <c r="AI10" s="1">
        <v>412</v>
      </c>
      <c r="AJ10" s="1">
        <v>405</v>
      </c>
      <c r="AK10" s="1">
        <v>449</v>
      </c>
      <c r="AL10" s="1"/>
      <c r="AM10" s="1">
        <f t="shared" si="8"/>
        <v>1907.4779999999996</v>
      </c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50</v>
      </c>
      <c r="B11" s="1" t="s">
        <v>48</v>
      </c>
      <c r="C11" s="1">
        <v>3704.2739999999999</v>
      </c>
      <c r="D11" s="1">
        <v>18747.345000000001</v>
      </c>
      <c r="E11" s="1">
        <v>3342</v>
      </c>
      <c r="F11" s="1">
        <v>2606</v>
      </c>
      <c r="G11" s="1"/>
      <c r="H11" s="1">
        <f t="shared" si="2"/>
        <v>2606</v>
      </c>
      <c r="I11" s="7">
        <v>0.45</v>
      </c>
      <c r="J11" s="1">
        <v>45</v>
      </c>
      <c r="K11" s="1" t="s">
        <v>43</v>
      </c>
      <c r="L11" s="1"/>
      <c r="M11" s="1">
        <v>3512</v>
      </c>
      <c r="N11" s="1">
        <f t="shared" si="3"/>
        <v>-170</v>
      </c>
      <c r="O11" s="1">
        <f t="shared" si="4"/>
        <v>3324</v>
      </c>
      <c r="P11" s="1">
        <v>18</v>
      </c>
      <c r="Q11" s="1">
        <v>255.18981783999971</v>
      </c>
      <c r="R11" s="1"/>
      <c r="S11" s="1">
        <v>344.97438215999949</v>
      </c>
      <c r="T11" s="1"/>
      <c r="U11" s="1"/>
      <c r="V11" s="1">
        <v>1499.8603632600009</v>
      </c>
      <c r="W11" s="1"/>
      <c r="X11" s="1"/>
      <c r="Y11" s="1">
        <v>2776.9014367400009</v>
      </c>
      <c r="Z11" s="1">
        <f t="shared" si="5"/>
        <v>664.8</v>
      </c>
      <c r="AA11" s="5"/>
      <c r="AB11" s="1">
        <f t="shared" si="6"/>
        <v>11.255905535499402</v>
      </c>
      <c r="AC11" s="1">
        <f t="shared" si="7"/>
        <v>11.255905535499402</v>
      </c>
      <c r="AD11" s="1">
        <v>660.6</v>
      </c>
      <c r="AE11" s="1">
        <v>572.67619999999999</v>
      </c>
      <c r="AF11" s="1">
        <v>553.87619999999993</v>
      </c>
      <c r="AG11" s="1">
        <v>632.423</v>
      </c>
      <c r="AH11" s="1">
        <v>674.2</v>
      </c>
      <c r="AI11" s="1">
        <v>625.20000000000005</v>
      </c>
      <c r="AJ11" s="1">
        <v>641.4</v>
      </c>
      <c r="AK11" s="1">
        <v>650</v>
      </c>
      <c r="AL11" s="1"/>
      <c r="AM11" s="1">
        <f t="shared" si="8"/>
        <v>0</v>
      </c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51</v>
      </c>
      <c r="B12" s="1" t="s">
        <v>48</v>
      </c>
      <c r="C12" s="1">
        <v>25</v>
      </c>
      <c r="D12" s="1">
        <v>492</v>
      </c>
      <c r="E12" s="1">
        <v>130</v>
      </c>
      <c r="F12" s="1">
        <v>61</v>
      </c>
      <c r="G12" s="1"/>
      <c r="H12" s="1">
        <f t="shared" si="2"/>
        <v>61</v>
      </c>
      <c r="I12" s="7">
        <v>0.17</v>
      </c>
      <c r="J12" s="1">
        <v>180</v>
      </c>
      <c r="K12" s="1" t="s">
        <v>43</v>
      </c>
      <c r="L12" s="1"/>
      <c r="M12" s="1">
        <v>131</v>
      </c>
      <c r="N12" s="1">
        <f t="shared" si="3"/>
        <v>-1</v>
      </c>
      <c r="O12" s="1">
        <f t="shared" si="4"/>
        <v>130</v>
      </c>
      <c r="P12" s="1"/>
      <c r="Q12" s="1">
        <v>0</v>
      </c>
      <c r="R12" s="1"/>
      <c r="S12" s="1"/>
      <c r="T12" s="1"/>
      <c r="U12" s="1"/>
      <c r="V12" s="1">
        <v>47.975759999999987</v>
      </c>
      <c r="W12" s="1"/>
      <c r="X12" s="1"/>
      <c r="Y12" s="1">
        <v>88.824239999999989</v>
      </c>
      <c r="Z12" s="1">
        <f t="shared" si="5"/>
        <v>26</v>
      </c>
      <c r="AA12" s="5">
        <f t="shared" si="9"/>
        <v>88.200000000000045</v>
      </c>
      <c r="AB12" s="1">
        <f t="shared" si="6"/>
        <v>11</v>
      </c>
      <c r="AC12" s="1">
        <f t="shared" si="7"/>
        <v>7.6076923076923055</v>
      </c>
      <c r="AD12" s="1">
        <v>20.399999999999999</v>
      </c>
      <c r="AE12" s="1">
        <v>9.4</v>
      </c>
      <c r="AF12" s="1">
        <v>17.2</v>
      </c>
      <c r="AG12" s="1">
        <v>19.600000000000001</v>
      </c>
      <c r="AH12" s="1">
        <v>12.4</v>
      </c>
      <c r="AI12" s="1">
        <v>8.6</v>
      </c>
      <c r="AJ12" s="1">
        <v>13.8</v>
      </c>
      <c r="AK12" s="1">
        <v>19</v>
      </c>
      <c r="AL12" s="1"/>
      <c r="AM12" s="1">
        <f t="shared" si="8"/>
        <v>14.994000000000009</v>
      </c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52</v>
      </c>
      <c r="B13" s="1" t="s">
        <v>48</v>
      </c>
      <c r="C13" s="1">
        <v>60</v>
      </c>
      <c r="D13" s="1">
        <v>128</v>
      </c>
      <c r="E13" s="1">
        <v>34</v>
      </c>
      <c r="F13" s="1">
        <v>55</v>
      </c>
      <c r="G13" s="1"/>
      <c r="H13" s="1">
        <f t="shared" si="2"/>
        <v>55</v>
      </c>
      <c r="I13" s="7">
        <v>0.3</v>
      </c>
      <c r="J13" s="1">
        <v>40</v>
      </c>
      <c r="K13" s="11" t="s">
        <v>53</v>
      </c>
      <c r="L13" s="1"/>
      <c r="M13" s="1">
        <v>39</v>
      </c>
      <c r="N13" s="1">
        <f t="shared" si="3"/>
        <v>-5</v>
      </c>
      <c r="O13" s="1">
        <f t="shared" si="4"/>
        <v>34</v>
      </c>
      <c r="P13" s="1"/>
      <c r="Q13" s="1">
        <v>18.3</v>
      </c>
      <c r="R13" s="1"/>
      <c r="S13" s="1"/>
      <c r="T13" s="1"/>
      <c r="U13" s="1"/>
      <c r="V13" s="1">
        <v>0</v>
      </c>
      <c r="W13" s="1"/>
      <c r="X13" s="1"/>
      <c r="Y13" s="1"/>
      <c r="Z13" s="1">
        <f t="shared" si="5"/>
        <v>6.8</v>
      </c>
      <c r="AA13" s="5">
        <v>10</v>
      </c>
      <c r="AB13" s="1">
        <f t="shared" si="6"/>
        <v>12.25</v>
      </c>
      <c r="AC13" s="1">
        <f t="shared" si="7"/>
        <v>10.779411764705882</v>
      </c>
      <c r="AD13" s="1">
        <v>5.8</v>
      </c>
      <c r="AE13" s="1">
        <v>9.1999999999999993</v>
      </c>
      <c r="AF13" s="1">
        <v>8.6</v>
      </c>
      <c r="AG13" s="1">
        <v>7</v>
      </c>
      <c r="AH13" s="1">
        <v>4</v>
      </c>
      <c r="AI13" s="1">
        <v>3</v>
      </c>
      <c r="AJ13" s="1">
        <v>6.2</v>
      </c>
      <c r="AK13" s="1">
        <v>11.6</v>
      </c>
      <c r="AL13" s="1"/>
      <c r="AM13" s="1">
        <f t="shared" si="8"/>
        <v>3</v>
      </c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54</v>
      </c>
      <c r="B14" s="1" t="s">
        <v>48</v>
      </c>
      <c r="C14" s="1">
        <v>152</v>
      </c>
      <c r="D14" s="1">
        <v>502</v>
      </c>
      <c r="E14" s="1">
        <v>203</v>
      </c>
      <c r="F14" s="1">
        <v>104</v>
      </c>
      <c r="G14" s="1"/>
      <c r="H14" s="1">
        <f t="shared" si="2"/>
        <v>104</v>
      </c>
      <c r="I14" s="7">
        <v>0.17</v>
      </c>
      <c r="J14" s="1">
        <v>180</v>
      </c>
      <c r="K14" s="1" t="s">
        <v>43</v>
      </c>
      <c r="L14" s="1"/>
      <c r="M14" s="1">
        <v>206</v>
      </c>
      <c r="N14" s="1">
        <f t="shared" si="3"/>
        <v>-3</v>
      </c>
      <c r="O14" s="1">
        <f t="shared" si="4"/>
        <v>203</v>
      </c>
      <c r="P14" s="1"/>
      <c r="Q14" s="1">
        <v>59.039999999999743</v>
      </c>
      <c r="R14" s="1"/>
      <c r="S14" s="1"/>
      <c r="T14" s="1"/>
      <c r="U14" s="1"/>
      <c r="V14" s="1">
        <v>76.158012000000099</v>
      </c>
      <c r="W14" s="1"/>
      <c r="X14" s="1"/>
      <c r="Y14" s="1">
        <v>141.00198800000021</v>
      </c>
      <c r="Z14" s="1">
        <f t="shared" si="5"/>
        <v>40.6</v>
      </c>
      <c r="AA14" s="5">
        <f t="shared" si="9"/>
        <v>66.399999999999977</v>
      </c>
      <c r="AB14" s="1">
        <f t="shared" si="6"/>
        <v>11</v>
      </c>
      <c r="AC14" s="1">
        <f t="shared" si="7"/>
        <v>9.3645320197044342</v>
      </c>
      <c r="AD14" s="1">
        <v>38.6</v>
      </c>
      <c r="AE14" s="1">
        <v>32.799999999999997</v>
      </c>
      <c r="AF14" s="1">
        <v>33.200000000000003</v>
      </c>
      <c r="AG14" s="1">
        <v>32.799999999999997</v>
      </c>
      <c r="AH14" s="1">
        <v>30.2</v>
      </c>
      <c r="AI14" s="1">
        <v>29.8</v>
      </c>
      <c r="AJ14" s="1">
        <v>18.600000000000001</v>
      </c>
      <c r="AK14" s="1">
        <v>19.600000000000001</v>
      </c>
      <c r="AL14" s="1"/>
      <c r="AM14" s="1">
        <f t="shared" si="8"/>
        <v>11.287999999999997</v>
      </c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2" t="s">
        <v>55</v>
      </c>
      <c r="B15" s="12" t="s">
        <v>48</v>
      </c>
      <c r="C15" s="12">
        <v>-7</v>
      </c>
      <c r="D15" s="12">
        <v>7</v>
      </c>
      <c r="E15" s="12">
        <v>-2</v>
      </c>
      <c r="F15" s="12"/>
      <c r="G15" s="12"/>
      <c r="H15" s="12">
        <f t="shared" si="2"/>
        <v>0</v>
      </c>
      <c r="I15" s="13">
        <v>0</v>
      </c>
      <c r="J15" s="12"/>
      <c r="K15" s="12" t="s">
        <v>56</v>
      </c>
      <c r="L15" s="12"/>
      <c r="M15" s="12"/>
      <c r="N15" s="12">
        <f t="shared" si="3"/>
        <v>-2</v>
      </c>
      <c r="O15" s="12">
        <f t="shared" si="4"/>
        <v>-2</v>
      </c>
      <c r="P15" s="12"/>
      <c r="Q15" s="12">
        <v>0</v>
      </c>
      <c r="R15" s="12"/>
      <c r="S15" s="12"/>
      <c r="T15" s="12"/>
      <c r="U15" s="12"/>
      <c r="V15" s="12">
        <v>0</v>
      </c>
      <c r="W15" s="12"/>
      <c r="X15" s="12"/>
      <c r="Y15" s="12"/>
      <c r="Z15" s="12">
        <f t="shared" si="5"/>
        <v>-0.4</v>
      </c>
      <c r="AA15" s="14"/>
      <c r="AB15" s="12">
        <f t="shared" si="6"/>
        <v>0</v>
      </c>
      <c r="AC15" s="12">
        <f t="shared" si="7"/>
        <v>0</v>
      </c>
      <c r="AD15" s="12">
        <v>-0.2</v>
      </c>
      <c r="AE15" s="12">
        <v>0</v>
      </c>
      <c r="AF15" s="12">
        <v>0.4</v>
      </c>
      <c r="AG15" s="12">
        <v>0</v>
      </c>
      <c r="AH15" s="12">
        <v>0.4</v>
      </c>
      <c r="AI15" s="12">
        <v>1.8</v>
      </c>
      <c r="AJ15" s="12">
        <v>7.8</v>
      </c>
      <c r="AK15" s="12">
        <v>16</v>
      </c>
      <c r="AL15" s="12" t="s">
        <v>57</v>
      </c>
      <c r="AM15" s="12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58</v>
      </c>
      <c r="B16" s="1" t="s">
        <v>42</v>
      </c>
      <c r="C16" s="1">
        <v>3221.0439999999999</v>
      </c>
      <c r="D16" s="1">
        <v>11660.918</v>
      </c>
      <c r="E16" s="1">
        <v>3244.0619999999999</v>
      </c>
      <c r="F16" s="1">
        <v>4590.4049999999997</v>
      </c>
      <c r="G16" s="1">
        <f>VLOOKUP(A16,[1]TDSheet!$A:$B,2,0)</f>
        <v>380.12099999999998</v>
      </c>
      <c r="H16" s="1">
        <f t="shared" si="2"/>
        <v>4210.2839999999997</v>
      </c>
      <c r="I16" s="7">
        <v>1</v>
      </c>
      <c r="J16" s="1">
        <v>70</v>
      </c>
      <c r="K16" s="11" t="s">
        <v>53</v>
      </c>
      <c r="L16" s="1"/>
      <c r="M16" s="1">
        <v>3245.2979999999998</v>
      </c>
      <c r="N16" s="1">
        <f t="shared" si="3"/>
        <v>-1.2359999999998763</v>
      </c>
      <c r="O16" s="1">
        <f t="shared" si="4"/>
        <v>3244.0619999999999</v>
      </c>
      <c r="P16" s="1"/>
      <c r="Q16" s="1">
        <v>1538.8022016</v>
      </c>
      <c r="R16" s="1"/>
      <c r="S16" s="1">
        <v>2080.2057983999989</v>
      </c>
      <c r="T16" s="1"/>
      <c r="U16" s="1"/>
      <c r="V16" s="1">
        <v>1809.843800000001</v>
      </c>
      <c r="W16" s="1"/>
      <c r="X16" s="1"/>
      <c r="Y16" s="1">
        <v>832.52814800000067</v>
      </c>
      <c r="Z16" s="1">
        <f t="shared" si="5"/>
        <v>648.81240000000003</v>
      </c>
      <c r="AA16" s="5"/>
      <c r="AB16" s="1">
        <f t="shared" si="6"/>
        <v>16.139740775607862</v>
      </c>
      <c r="AC16" s="1">
        <f t="shared" si="7"/>
        <v>16.139740775607862</v>
      </c>
      <c r="AD16" s="1">
        <v>873.28039999999999</v>
      </c>
      <c r="AE16" s="1">
        <v>934.93299999999999</v>
      </c>
      <c r="AF16" s="1">
        <v>830.74639999999999</v>
      </c>
      <c r="AG16" s="1">
        <v>811.17699999999991</v>
      </c>
      <c r="AH16" s="1">
        <v>526.53639999999996</v>
      </c>
      <c r="AI16" s="1">
        <v>424.87459999999999</v>
      </c>
      <c r="AJ16" s="1">
        <v>573.029</v>
      </c>
      <c r="AK16" s="1">
        <v>558.35879999999997</v>
      </c>
      <c r="AL16" s="1" t="s">
        <v>45</v>
      </c>
      <c r="AM16" s="1">
        <f>I16*AA16</f>
        <v>0</v>
      </c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59</v>
      </c>
      <c r="B17" s="1" t="s">
        <v>42</v>
      </c>
      <c r="C17" s="1">
        <v>1857.48</v>
      </c>
      <c r="D17" s="1">
        <v>11595.263999999999</v>
      </c>
      <c r="E17" s="1">
        <v>3043.3530000000001</v>
      </c>
      <c r="F17" s="1">
        <v>4035.1559999999999</v>
      </c>
      <c r="G17" s="1">
        <f>VLOOKUP(A17,[1]TDSheet!$A:$B,2,0)</f>
        <v>283.34500000000003</v>
      </c>
      <c r="H17" s="1">
        <f t="shared" si="2"/>
        <v>3751.8109999999997</v>
      </c>
      <c r="I17" s="7">
        <v>1</v>
      </c>
      <c r="J17" s="1">
        <v>50</v>
      </c>
      <c r="K17" s="1" t="s">
        <v>43</v>
      </c>
      <c r="L17" s="1"/>
      <c r="M17" s="1">
        <v>3133.145</v>
      </c>
      <c r="N17" s="1">
        <f t="shared" si="3"/>
        <v>-89.791999999999916</v>
      </c>
      <c r="O17" s="1">
        <f t="shared" si="4"/>
        <v>3043.3530000000001</v>
      </c>
      <c r="P17" s="1"/>
      <c r="Q17" s="1">
        <v>595.28000000000009</v>
      </c>
      <c r="R17" s="1"/>
      <c r="S17" s="1">
        <v>804.71999999999991</v>
      </c>
      <c r="T17" s="1"/>
      <c r="U17" s="1">
        <v>270</v>
      </c>
      <c r="V17" s="1">
        <v>1282.9363512</v>
      </c>
      <c r="W17" s="1"/>
      <c r="X17" s="1"/>
      <c r="Y17" s="1">
        <v>2375.2796488000008</v>
      </c>
      <c r="Z17" s="1">
        <f t="shared" si="5"/>
        <v>608.67060000000004</v>
      </c>
      <c r="AA17" s="5"/>
      <c r="AB17" s="1">
        <f t="shared" si="6"/>
        <v>14.917801188360338</v>
      </c>
      <c r="AC17" s="1">
        <f t="shared" si="7"/>
        <v>14.917801188360338</v>
      </c>
      <c r="AD17" s="1">
        <v>760.83500000000004</v>
      </c>
      <c r="AE17" s="1">
        <v>778.13599999999997</v>
      </c>
      <c r="AF17" s="1">
        <v>651.7174</v>
      </c>
      <c r="AG17" s="1">
        <v>634.69460000000004</v>
      </c>
      <c r="AH17" s="1">
        <v>404.84399999999988</v>
      </c>
      <c r="AI17" s="1">
        <v>323.94799999999998</v>
      </c>
      <c r="AJ17" s="1">
        <v>431.13780000000008</v>
      </c>
      <c r="AK17" s="1">
        <v>436.02780000000001</v>
      </c>
      <c r="AL17" s="1" t="s">
        <v>45</v>
      </c>
      <c r="AM17" s="1">
        <f>I17*AA17</f>
        <v>0</v>
      </c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60</v>
      </c>
      <c r="B18" s="1" t="s">
        <v>42</v>
      </c>
      <c r="C18" s="1">
        <v>665.98900000000003</v>
      </c>
      <c r="D18" s="1">
        <v>349.07299999999998</v>
      </c>
      <c r="E18" s="1">
        <v>244.76400000000001</v>
      </c>
      <c r="F18" s="1">
        <v>466.63799999999998</v>
      </c>
      <c r="G18" s="1"/>
      <c r="H18" s="1">
        <f t="shared" si="2"/>
        <v>466.63799999999998</v>
      </c>
      <c r="I18" s="7">
        <v>1</v>
      </c>
      <c r="J18" s="1">
        <v>60</v>
      </c>
      <c r="K18" s="1" t="s">
        <v>43</v>
      </c>
      <c r="L18" s="1"/>
      <c r="M18" s="1">
        <v>266.23099999999999</v>
      </c>
      <c r="N18" s="1">
        <f t="shared" si="3"/>
        <v>-21.466999999999985</v>
      </c>
      <c r="O18" s="1">
        <f t="shared" si="4"/>
        <v>244.76400000000001</v>
      </c>
      <c r="P18" s="1"/>
      <c r="Q18" s="1">
        <v>0</v>
      </c>
      <c r="R18" s="1"/>
      <c r="S18" s="1"/>
      <c r="T18" s="1"/>
      <c r="U18" s="1"/>
      <c r="V18" s="1">
        <v>19.606599999999961</v>
      </c>
      <c r="W18" s="1"/>
      <c r="X18" s="1"/>
      <c r="Y18" s="1"/>
      <c r="Z18" s="1">
        <f t="shared" si="5"/>
        <v>48.952800000000003</v>
      </c>
      <c r="AA18" s="5">
        <f t="shared" ref="AA16:AA18" si="10">11*Z18-Y18-X18-W18-V18-U18-T18-S18-R18-Q18-H18</f>
        <v>52.23620000000011</v>
      </c>
      <c r="AB18" s="1">
        <f t="shared" si="6"/>
        <v>11</v>
      </c>
      <c r="AC18" s="1">
        <f t="shared" si="7"/>
        <v>9.9329272278603042</v>
      </c>
      <c r="AD18" s="1">
        <v>44.703800000000001</v>
      </c>
      <c r="AE18" s="1">
        <v>25.674399999999999</v>
      </c>
      <c r="AF18" s="1">
        <v>21.1402</v>
      </c>
      <c r="AG18" s="1">
        <v>46.889800000000001</v>
      </c>
      <c r="AH18" s="1">
        <v>48.151600000000002</v>
      </c>
      <c r="AI18" s="1">
        <v>42.8626</v>
      </c>
      <c r="AJ18" s="1">
        <v>21.7056</v>
      </c>
      <c r="AK18" s="1">
        <v>0.70620000000000005</v>
      </c>
      <c r="AL18" s="1"/>
      <c r="AM18" s="1">
        <f>I18*AA18</f>
        <v>52.23620000000011</v>
      </c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2" t="s">
        <v>61</v>
      </c>
      <c r="B19" s="12" t="s">
        <v>42</v>
      </c>
      <c r="C19" s="12">
        <v>-2.4849999999999999</v>
      </c>
      <c r="D19" s="12">
        <v>2.4849999999999999</v>
      </c>
      <c r="E19" s="15">
        <v>-0.52</v>
      </c>
      <c r="F19" s="12"/>
      <c r="G19" s="12"/>
      <c r="H19" s="12">
        <f t="shared" si="2"/>
        <v>0</v>
      </c>
      <c r="I19" s="13">
        <v>0</v>
      </c>
      <c r="J19" s="12"/>
      <c r="K19" s="12" t="s">
        <v>62</v>
      </c>
      <c r="L19" s="12" t="s">
        <v>63</v>
      </c>
      <c r="M19" s="12"/>
      <c r="N19" s="12">
        <f t="shared" si="3"/>
        <v>-0.52</v>
      </c>
      <c r="O19" s="12">
        <f t="shared" si="4"/>
        <v>-0.52</v>
      </c>
      <c r="P19" s="12"/>
      <c r="Q19" s="12">
        <v>0</v>
      </c>
      <c r="R19" s="12"/>
      <c r="S19" s="12"/>
      <c r="T19" s="12"/>
      <c r="U19" s="12"/>
      <c r="V19" s="12">
        <v>0</v>
      </c>
      <c r="W19" s="12"/>
      <c r="X19" s="12"/>
      <c r="Y19" s="12"/>
      <c r="Z19" s="12">
        <f t="shared" si="5"/>
        <v>-0.10400000000000001</v>
      </c>
      <c r="AA19" s="14"/>
      <c r="AB19" s="12">
        <f t="shared" si="6"/>
        <v>0</v>
      </c>
      <c r="AC19" s="12">
        <f t="shared" si="7"/>
        <v>0</v>
      </c>
      <c r="AD19" s="12">
        <v>0.42499999999999999</v>
      </c>
      <c r="AE19" s="12">
        <v>0.42499999999999999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/>
      <c r="AM19" s="12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2" t="s">
        <v>64</v>
      </c>
      <c r="B20" s="12" t="s">
        <v>42</v>
      </c>
      <c r="C20" s="12"/>
      <c r="D20" s="12"/>
      <c r="E20" s="12"/>
      <c r="F20" s="12"/>
      <c r="G20" s="12"/>
      <c r="H20" s="12">
        <f t="shared" si="2"/>
        <v>0</v>
      </c>
      <c r="I20" s="13">
        <v>0</v>
      </c>
      <c r="J20" s="12"/>
      <c r="K20" s="12" t="s">
        <v>43</v>
      </c>
      <c r="L20" s="12"/>
      <c r="M20" s="12"/>
      <c r="N20" s="12">
        <f t="shared" si="3"/>
        <v>0</v>
      </c>
      <c r="O20" s="12">
        <f t="shared" si="4"/>
        <v>0</v>
      </c>
      <c r="P20" s="12"/>
      <c r="Q20" s="12">
        <v>0</v>
      </c>
      <c r="R20" s="12"/>
      <c r="S20" s="12"/>
      <c r="T20" s="12"/>
      <c r="U20" s="12"/>
      <c r="V20" s="12">
        <v>0</v>
      </c>
      <c r="W20" s="12"/>
      <c r="X20" s="12"/>
      <c r="Y20" s="12"/>
      <c r="Z20" s="12">
        <f t="shared" si="5"/>
        <v>0</v>
      </c>
      <c r="AA20" s="14"/>
      <c r="AB20" s="12" t="e">
        <f t="shared" si="6"/>
        <v>#DIV/0!</v>
      </c>
      <c r="AC20" s="12" t="e">
        <f t="shared" si="7"/>
        <v>#DIV/0!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 t="s">
        <v>65</v>
      </c>
      <c r="AM20" s="12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66</v>
      </c>
      <c r="B21" s="1" t="s">
        <v>42</v>
      </c>
      <c r="C21" s="1">
        <v>6.5490000000000004</v>
      </c>
      <c r="D21" s="1">
        <v>15.769</v>
      </c>
      <c r="E21" s="1">
        <v>3.45</v>
      </c>
      <c r="F21" s="1">
        <v>15.747999999999999</v>
      </c>
      <c r="G21" s="1"/>
      <c r="H21" s="1">
        <f t="shared" si="2"/>
        <v>15.747999999999999</v>
      </c>
      <c r="I21" s="7">
        <v>1</v>
      </c>
      <c r="J21" s="1">
        <v>180</v>
      </c>
      <c r="K21" s="1" t="s">
        <v>43</v>
      </c>
      <c r="L21" s="1"/>
      <c r="M21" s="1">
        <v>5.23</v>
      </c>
      <c r="N21" s="1">
        <f t="shared" si="3"/>
        <v>-1.7800000000000002</v>
      </c>
      <c r="O21" s="1">
        <f t="shared" si="4"/>
        <v>3.45</v>
      </c>
      <c r="P21" s="1"/>
      <c r="Q21" s="1">
        <v>0</v>
      </c>
      <c r="R21" s="1"/>
      <c r="S21" s="1"/>
      <c r="T21" s="1"/>
      <c r="U21" s="1"/>
      <c r="V21" s="1">
        <v>0</v>
      </c>
      <c r="W21" s="1"/>
      <c r="X21" s="1"/>
      <c r="Y21" s="1"/>
      <c r="Z21" s="1">
        <f t="shared" si="5"/>
        <v>0.69000000000000006</v>
      </c>
      <c r="AA21" s="5"/>
      <c r="AB21" s="1">
        <f t="shared" si="6"/>
        <v>22.823188405797097</v>
      </c>
      <c r="AC21" s="1">
        <f t="shared" si="7"/>
        <v>22.823188405797097</v>
      </c>
      <c r="AD21" s="1">
        <v>0.41899999999999998</v>
      </c>
      <c r="AE21" s="1">
        <v>0.92219999999999991</v>
      </c>
      <c r="AF21" s="1">
        <v>1.4359999999999999</v>
      </c>
      <c r="AG21" s="1">
        <v>1.0902000000000001</v>
      </c>
      <c r="AH21" s="1">
        <v>0.64900000000000002</v>
      </c>
      <c r="AI21" s="1">
        <v>0.70140000000000002</v>
      </c>
      <c r="AJ21" s="1">
        <v>0.75480000000000003</v>
      </c>
      <c r="AK21" s="1">
        <v>0.4748</v>
      </c>
      <c r="AL21" s="16" t="s">
        <v>67</v>
      </c>
      <c r="AM21" s="1">
        <f>I21*AA21</f>
        <v>0</v>
      </c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68</v>
      </c>
      <c r="B22" s="1" t="s">
        <v>42</v>
      </c>
      <c r="C22" s="1">
        <v>3430.8</v>
      </c>
      <c r="D22" s="1">
        <v>14363.371999999999</v>
      </c>
      <c r="E22" s="1">
        <v>4102.6980000000003</v>
      </c>
      <c r="F22" s="1">
        <v>4305.3919999999998</v>
      </c>
      <c r="G22" s="1"/>
      <c r="H22" s="1">
        <f t="shared" si="2"/>
        <v>4305.3919999999998</v>
      </c>
      <c r="I22" s="7">
        <v>1</v>
      </c>
      <c r="J22" s="1">
        <v>60</v>
      </c>
      <c r="K22" s="1" t="s">
        <v>43</v>
      </c>
      <c r="L22" s="1"/>
      <c r="M22" s="1">
        <v>4094.5059999999999</v>
      </c>
      <c r="N22" s="1">
        <f t="shared" si="3"/>
        <v>8.192000000000462</v>
      </c>
      <c r="O22" s="1">
        <f t="shared" si="4"/>
        <v>3867.4420000000005</v>
      </c>
      <c r="P22" s="1">
        <v>235.256</v>
      </c>
      <c r="Q22" s="1">
        <v>850.40000000000009</v>
      </c>
      <c r="R22" s="1"/>
      <c r="S22" s="1">
        <v>1149.5999999999999</v>
      </c>
      <c r="T22" s="1"/>
      <c r="U22" s="1"/>
      <c r="V22" s="1">
        <v>561.38751396000021</v>
      </c>
      <c r="W22" s="1"/>
      <c r="X22" s="1"/>
      <c r="Y22" s="1">
        <v>1039.37528604</v>
      </c>
      <c r="Z22" s="1">
        <f t="shared" si="5"/>
        <v>773.48840000000007</v>
      </c>
      <c r="AA22" s="5">
        <f t="shared" ref="AA21:AA22" si="11">11*Z22-Y22-X22-W22-V22-U22-T22-S22-R22-Q22-H22</f>
        <v>602.21759999999995</v>
      </c>
      <c r="AB22" s="1">
        <f t="shared" si="6"/>
        <v>11</v>
      </c>
      <c r="AC22" s="1">
        <f t="shared" si="7"/>
        <v>10.221426462245587</v>
      </c>
      <c r="AD22" s="1">
        <v>732.97140000000002</v>
      </c>
      <c r="AE22" s="1">
        <v>804.43240000000003</v>
      </c>
      <c r="AF22" s="1">
        <v>875.02719999999988</v>
      </c>
      <c r="AG22" s="1">
        <v>948.69040000000007</v>
      </c>
      <c r="AH22" s="1">
        <v>609.16740000000004</v>
      </c>
      <c r="AI22" s="1">
        <v>570.25739999999996</v>
      </c>
      <c r="AJ22" s="1">
        <v>752.91139999999996</v>
      </c>
      <c r="AK22" s="1">
        <v>757.01940000000002</v>
      </c>
      <c r="AL22" s="1"/>
      <c r="AM22" s="1">
        <f>I22*AA22</f>
        <v>602.21759999999995</v>
      </c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2" t="s">
        <v>69</v>
      </c>
      <c r="B23" s="12" t="s">
        <v>42</v>
      </c>
      <c r="C23" s="12">
        <v>-14.984</v>
      </c>
      <c r="D23" s="12">
        <v>14.984</v>
      </c>
      <c r="E23" s="12"/>
      <c r="F23" s="12"/>
      <c r="G23" s="12"/>
      <c r="H23" s="12">
        <f t="shared" si="2"/>
        <v>0</v>
      </c>
      <c r="I23" s="13">
        <v>0</v>
      </c>
      <c r="J23" s="12"/>
      <c r="K23" s="12" t="s">
        <v>56</v>
      </c>
      <c r="L23" s="12" t="s">
        <v>70</v>
      </c>
      <c r="M23" s="12"/>
      <c r="N23" s="12">
        <f t="shared" si="3"/>
        <v>0</v>
      </c>
      <c r="O23" s="12">
        <f t="shared" si="4"/>
        <v>0</v>
      </c>
      <c r="P23" s="12"/>
      <c r="Q23" s="12">
        <v>0</v>
      </c>
      <c r="R23" s="12"/>
      <c r="S23" s="12"/>
      <c r="T23" s="12"/>
      <c r="U23" s="12"/>
      <c r="V23" s="12">
        <v>0</v>
      </c>
      <c r="W23" s="12"/>
      <c r="X23" s="12"/>
      <c r="Y23" s="12"/>
      <c r="Z23" s="12">
        <f t="shared" si="5"/>
        <v>0</v>
      </c>
      <c r="AA23" s="14"/>
      <c r="AB23" s="12" t="e">
        <f t="shared" si="6"/>
        <v>#DIV/0!</v>
      </c>
      <c r="AC23" s="12" t="e">
        <f t="shared" si="7"/>
        <v>#DIV/0!</v>
      </c>
      <c r="AD23" s="12">
        <v>0</v>
      </c>
      <c r="AE23" s="12">
        <v>0</v>
      </c>
      <c r="AF23" s="12">
        <v>0.50419999999999998</v>
      </c>
      <c r="AG23" s="12">
        <v>0.50419999999999998</v>
      </c>
      <c r="AH23" s="12">
        <v>0</v>
      </c>
      <c r="AI23" s="12">
        <v>0</v>
      </c>
      <c r="AJ23" s="12">
        <v>0</v>
      </c>
      <c r="AK23" s="12">
        <v>0</v>
      </c>
      <c r="AL23" s="12"/>
      <c r="AM23" s="12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71</v>
      </c>
      <c r="B24" s="1" t="s">
        <v>42</v>
      </c>
      <c r="C24" s="1">
        <v>329.42500000000001</v>
      </c>
      <c r="D24" s="1">
        <v>1639.7570000000001</v>
      </c>
      <c r="E24" s="1">
        <v>321.11599999999999</v>
      </c>
      <c r="F24" s="1">
        <v>375.03199999999998</v>
      </c>
      <c r="G24" s="1"/>
      <c r="H24" s="1">
        <f t="shared" si="2"/>
        <v>375.03199999999998</v>
      </c>
      <c r="I24" s="7">
        <v>1</v>
      </c>
      <c r="J24" s="1">
        <v>70</v>
      </c>
      <c r="K24" s="1" t="s">
        <v>43</v>
      </c>
      <c r="L24" s="1"/>
      <c r="M24" s="1">
        <v>395.80900000000003</v>
      </c>
      <c r="N24" s="1">
        <f t="shared" si="3"/>
        <v>-74.69300000000004</v>
      </c>
      <c r="O24" s="1">
        <f t="shared" si="4"/>
        <v>284.13099999999997</v>
      </c>
      <c r="P24" s="1">
        <v>36.984999999999999</v>
      </c>
      <c r="Q24" s="1">
        <v>0</v>
      </c>
      <c r="R24" s="1"/>
      <c r="S24" s="1"/>
      <c r="T24" s="1"/>
      <c r="U24" s="1"/>
      <c r="V24" s="1">
        <v>0</v>
      </c>
      <c r="W24" s="1"/>
      <c r="X24" s="1"/>
      <c r="Y24" s="1"/>
      <c r="Z24" s="1">
        <f t="shared" si="5"/>
        <v>56.826199999999993</v>
      </c>
      <c r="AA24" s="5">
        <f t="shared" ref="AA24:AA25" si="12">11*Z24-Y24-X24-W24-V24-U24-T24-S24-R24-Q24-H24</f>
        <v>250.05619999999993</v>
      </c>
      <c r="AB24" s="1">
        <f t="shared" si="6"/>
        <v>11</v>
      </c>
      <c r="AC24" s="1">
        <f t="shared" si="7"/>
        <v>6.5996318599519244</v>
      </c>
      <c r="AD24" s="1">
        <v>33.156399999999998</v>
      </c>
      <c r="AE24" s="1">
        <v>51.611800000000002</v>
      </c>
      <c r="AF24" s="1">
        <v>86.94680000000001</v>
      </c>
      <c r="AG24" s="1">
        <v>92.600200000000001</v>
      </c>
      <c r="AH24" s="1">
        <v>51.805600000000013</v>
      </c>
      <c r="AI24" s="1">
        <v>47.665999999999997</v>
      </c>
      <c r="AJ24" s="1">
        <v>84.481799999999993</v>
      </c>
      <c r="AK24" s="1">
        <v>134.7364</v>
      </c>
      <c r="AL24" s="1" t="s">
        <v>67</v>
      </c>
      <c r="AM24" s="1">
        <f>I24*AA24</f>
        <v>250.05619999999993</v>
      </c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72</v>
      </c>
      <c r="B25" s="1" t="s">
        <v>42</v>
      </c>
      <c r="C25" s="1">
        <v>951.01800000000003</v>
      </c>
      <c r="D25" s="1">
        <v>4226.1620000000003</v>
      </c>
      <c r="E25" s="1">
        <v>1146.001</v>
      </c>
      <c r="F25" s="1">
        <v>1249.115</v>
      </c>
      <c r="G25" s="1"/>
      <c r="H25" s="1">
        <f t="shared" si="2"/>
        <v>1249.115</v>
      </c>
      <c r="I25" s="7">
        <v>1</v>
      </c>
      <c r="J25" s="1">
        <v>70</v>
      </c>
      <c r="K25" s="11" t="s">
        <v>53</v>
      </c>
      <c r="L25" s="1"/>
      <c r="M25" s="1">
        <v>1161.7629999999999</v>
      </c>
      <c r="N25" s="1">
        <f t="shared" si="3"/>
        <v>-15.761999999999944</v>
      </c>
      <c r="O25" s="1">
        <f t="shared" si="4"/>
        <v>1146.001</v>
      </c>
      <c r="P25" s="1"/>
      <c r="Q25" s="1">
        <v>403.62101495999991</v>
      </c>
      <c r="R25" s="1"/>
      <c r="S25" s="1">
        <v>545.62878503999991</v>
      </c>
      <c r="T25" s="1"/>
      <c r="U25" s="1"/>
      <c r="V25" s="1">
        <v>601.12380000000007</v>
      </c>
      <c r="W25" s="1"/>
      <c r="X25" s="1"/>
      <c r="Y25" s="1">
        <v>276.51694800000013</v>
      </c>
      <c r="Z25" s="1">
        <f t="shared" si="5"/>
        <v>229.2002</v>
      </c>
      <c r="AA25" s="5"/>
      <c r="AB25" s="1">
        <f t="shared" si="6"/>
        <v>13.420605863345667</v>
      </c>
      <c r="AC25" s="1">
        <f t="shared" si="7"/>
        <v>13.420605863345667</v>
      </c>
      <c r="AD25" s="1">
        <v>266.73680000000002</v>
      </c>
      <c r="AE25" s="1">
        <v>285.91019999999997</v>
      </c>
      <c r="AF25" s="1">
        <v>266.63159999999999</v>
      </c>
      <c r="AG25" s="1">
        <v>281.76</v>
      </c>
      <c r="AH25" s="1">
        <v>176.75880000000001</v>
      </c>
      <c r="AI25" s="1">
        <v>148.90860000000001</v>
      </c>
      <c r="AJ25" s="1">
        <v>205.9836</v>
      </c>
      <c r="AK25" s="1">
        <v>205.86320000000001</v>
      </c>
      <c r="AL25" s="1" t="s">
        <v>45</v>
      </c>
      <c r="AM25" s="1">
        <f>I25*AA25</f>
        <v>0</v>
      </c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2" t="s">
        <v>73</v>
      </c>
      <c r="B26" s="12" t="s">
        <v>42</v>
      </c>
      <c r="C26" s="12"/>
      <c r="D26" s="12"/>
      <c r="E26" s="12"/>
      <c r="F26" s="12"/>
      <c r="G26" s="12"/>
      <c r="H26" s="12">
        <f t="shared" si="2"/>
        <v>0</v>
      </c>
      <c r="I26" s="13">
        <v>0</v>
      </c>
      <c r="J26" s="12"/>
      <c r="K26" s="12" t="s">
        <v>43</v>
      </c>
      <c r="L26" s="12"/>
      <c r="M26" s="12"/>
      <c r="N26" s="12">
        <f t="shared" si="3"/>
        <v>0</v>
      </c>
      <c r="O26" s="12">
        <f t="shared" si="4"/>
        <v>0</v>
      </c>
      <c r="P26" s="12"/>
      <c r="Q26" s="12">
        <v>0</v>
      </c>
      <c r="R26" s="12"/>
      <c r="S26" s="12"/>
      <c r="T26" s="12"/>
      <c r="U26" s="12"/>
      <c r="V26" s="12">
        <v>0</v>
      </c>
      <c r="W26" s="12"/>
      <c r="X26" s="12"/>
      <c r="Y26" s="12"/>
      <c r="Z26" s="12">
        <f t="shared" si="5"/>
        <v>0</v>
      </c>
      <c r="AA26" s="14"/>
      <c r="AB26" s="12" t="e">
        <f t="shared" si="6"/>
        <v>#DIV/0!</v>
      </c>
      <c r="AC26" s="12" t="e">
        <f t="shared" si="7"/>
        <v>#DIV/0!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 t="s">
        <v>65</v>
      </c>
      <c r="AM26" s="12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74</v>
      </c>
      <c r="B27" s="1" t="s">
        <v>42</v>
      </c>
      <c r="C27" s="1">
        <v>1233.5050000000001</v>
      </c>
      <c r="D27" s="1">
        <v>6723.3209999999999</v>
      </c>
      <c r="E27" s="1">
        <v>1982.6559999999999</v>
      </c>
      <c r="F27" s="1">
        <v>1956.9259999999999</v>
      </c>
      <c r="G27" s="1"/>
      <c r="H27" s="1">
        <f t="shared" si="2"/>
        <v>1956.9259999999999</v>
      </c>
      <c r="I27" s="7">
        <v>1</v>
      </c>
      <c r="J27" s="1">
        <v>70</v>
      </c>
      <c r="K27" s="11" t="s">
        <v>53</v>
      </c>
      <c r="L27" s="1"/>
      <c r="M27" s="1">
        <v>2002.4459999999999</v>
      </c>
      <c r="N27" s="1">
        <f t="shared" si="3"/>
        <v>-19.789999999999964</v>
      </c>
      <c r="O27" s="1">
        <f t="shared" si="4"/>
        <v>1982.6559999999999</v>
      </c>
      <c r="P27" s="1"/>
      <c r="Q27" s="1">
        <v>973.36911559999976</v>
      </c>
      <c r="R27" s="1"/>
      <c r="S27" s="1">
        <v>1315.8338843999991</v>
      </c>
      <c r="T27" s="1"/>
      <c r="U27" s="1"/>
      <c r="V27" s="1">
        <v>1395.850600000002</v>
      </c>
      <c r="W27" s="1"/>
      <c r="X27" s="1"/>
      <c r="Y27" s="1">
        <v>642.09127600000102</v>
      </c>
      <c r="Z27" s="1">
        <f t="shared" si="5"/>
        <v>396.53120000000001</v>
      </c>
      <c r="AA27" s="5"/>
      <c r="AB27" s="1">
        <f t="shared" si="6"/>
        <v>15.847607643484299</v>
      </c>
      <c r="AC27" s="1">
        <f t="shared" si="7"/>
        <v>15.847607643484299</v>
      </c>
      <c r="AD27" s="1">
        <v>524.30680000000007</v>
      </c>
      <c r="AE27" s="1">
        <v>537.15940000000001</v>
      </c>
      <c r="AF27" s="1">
        <v>473.22160000000002</v>
      </c>
      <c r="AG27" s="1">
        <v>516.05320000000006</v>
      </c>
      <c r="AH27" s="1">
        <v>310.26479999999998</v>
      </c>
      <c r="AI27" s="1">
        <v>281.95979999999997</v>
      </c>
      <c r="AJ27" s="1">
        <v>381.11340000000001</v>
      </c>
      <c r="AK27" s="1">
        <v>357.56240000000003</v>
      </c>
      <c r="AL27" s="1" t="s">
        <v>45</v>
      </c>
      <c r="AM27" s="1">
        <f>I27*AA27</f>
        <v>0</v>
      </c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75</v>
      </c>
      <c r="B28" s="1" t="s">
        <v>42</v>
      </c>
      <c r="C28" s="1">
        <v>32.738999999999997</v>
      </c>
      <c r="D28" s="1">
        <v>116.143</v>
      </c>
      <c r="E28" s="1">
        <v>18.923999999999999</v>
      </c>
      <c r="F28" s="1">
        <v>27.55</v>
      </c>
      <c r="G28" s="1"/>
      <c r="H28" s="1">
        <f t="shared" si="2"/>
        <v>27.55</v>
      </c>
      <c r="I28" s="7">
        <v>1</v>
      </c>
      <c r="J28" s="1">
        <v>40</v>
      </c>
      <c r="K28" s="11" t="s">
        <v>53</v>
      </c>
      <c r="L28" s="1"/>
      <c r="M28" s="1">
        <v>85.24</v>
      </c>
      <c r="N28" s="1">
        <f t="shared" si="3"/>
        <v>-66.316000000000003</v>
      </c>
      <c r="O28" s="1">
        <f t="shared" si="4"/>
        <v>18.923999999999999</v>
      </c>
      <c r="P28" s="1"/>
      <c r="Q28" s="1">
        <v>0</v>
      </c>
      <c r="R28" s="1"/>
      <c r="S28" s="1"/>
      <c r="T28" s="1"/>
      <c r="U28" s="1"/>
      <c r="V28" s="1">
        <v>0</v>
      </c>
      <c r="W28" s="1"/>
      <c r="X28" s="1"/>
      <c r="Y28" s="1"/>
      <c r="Z28" s="1">
        <f t="shared" si="5"/>
        <v>3.7847999999999997</v>
      </c>
      <c r="AA28" s="5">
        <f t="shared" ref="AA27:AA28" si="13">11*Z28-Y28-X28-W28-V28-U28-T28-S28-R28-Q28-H28</f>
        <v>14.082799999999995</v>
      </c>
      <c r="AB28" s="1">
        <f t="shared" si="6"/>
        <v>11</v>
      </c>
      <c r="AC28" s="1">
        <f t="shared" si="7"/>
        <v>7.2791164658634546</v>
      </c>
      <c r="AD28" s="1">
        <v>-0.29299999999999998</v>
      </c>
      <c r="AE28" s="1">
        <v>1.601</v>
      </c>
      <c r="AF28" s="1">
        <v>4.3630000000000004</v>
      </c>
      <c r="AG28" s="1">
        <v>3.4885999999999999</v>
      </c>
      <c r="AH28" s="1">
        <v>2.0396000000000001</v>
      </c>
      <c r="AI28" s="1">
        <v>1.6052</v>
      </c>
      <c r="AJ28" s="1">
        <v>2.1873999999999998</v>
      </c>
      <c r="AK28" s="1">
        <v>2.1844000000000001</v>
      </c>
      <c r="AL28" s="1"/>
      <c r="AM28" s="1">
        <f>I28*AA28</f>
        <v>14.082799999999995</v>
      </c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2" t="s">
        <v>77</v>
      </c>
      <c r="B29" s="12" t="s">
        <v>42</v>
      </c>
      <c r="C29" s="12">
        <v>-1.6950000000000001</v>
      </c>
      <c r="D29" s="12">
        <v>1.6950000000000001</v>
      </c>
      <c r="E29" s="12"/>
      <c r="F29" s="12"/>
      <c r="G29" s="12"/>
      <c r="H29" s="12">
        <f t="shared" si="2"/>
        <v>0</v>
      </c>
      <c r="I29" s="13">
        <v>0</v>
      </c>
      <c r="J29" s="12"/>
      <c r="K29" s="12" t="s">
        <v>56</v>
      </c>
      <c r="L29" s="12"/>
      <c r="M29" s="12"/>
      <c r="N29" s="12">
        <f t="shared" si="3"/>
        <v>0</v>
      </c>
      <c r="O29" s="12">
        <f t="shared" si="4"/>
        <v>0</v>
      </c>
      <c r="P29" s="12"/>
      <c r="Q29" s="12">
        <v>0</v>
      </c>
      <c r="R29" s="12"/>
      <c r="S29" s="12"/>
      <c r="T29" s="12"/>
      <c r="U29" s="12"/>
      <c r="V29" s="12">
        <v>0</v>
      </c>
      <c r="W29" s="12"/>
      <c r="X29" s="12"/>
      <c r="Y29" s="12"/>
      <c r="Z29" s="12">
        <f t="shared" si="5"/>
        <v>0</v>
      </c>
      <c r="AA29" s="14"/>
      <c r="AB29" s="12" t="e">
        <f t="shared" si="6"/>
        <v>#DIV/0!</v>
      </c>
      <c r="AC29" s="12" t="e">
        <f t="shared" si="7"/>
        <v>#DIV/0!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0.33900000000000002</v>
      </c>
      <c r="AL29" s="12"/>
      <c r="AM29" s="12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2" t="s">
        <v>78</v>
      </c>
      <c r="B30" s="12" t="s">
        <v>42</v>
      </c>
      <c r="C30" s="12"/>
      <c r="D30" s="12"/>
      <c r="E30" s="12"/>
      <c r="F30" s="12"/>
      <c r="G30" s="12"/>
      <c r="H30" s="12">
        <f t="shared" si="2"/>
        <v>0</v>
      </c>
      <c r="I30" s="13">
        <v>0</v>
      </c>
      <c r="J30" s="12"/>
      <c r="K30" s="12" t="s">
        <v>43</v>
      </c>
      <c r="L30" s="12"/>
      <c r="M30" s="12"/>
      <c r="N30" s="12">
        <f t="shared" si="3"/>
        <v>0</v>
      </c>
      <c r="O30" s="12">
        <f t="shared" si="4"/>
        <v>0</v>
      </c>
      <c r="P30" s="12"/>
      <c r="Q30" s="12">
        <v>0</v>
      </c>
      <c r="R30" s="12"/>
      <c r="S30" s="12"/>
      <c r="T30" s="12"/>
      <c r="U30" s="12"/>
      <c r="V30" s="12">
        <v>0</v>
      </c>
      <c r="W30" s="12"/>
      <c r="X30" s="12"/>
      <c r="Y30" s="12"/>
      <c r="Z30" s="12">
        <f t="shared" si="5"/>
        <v>0</v>
      </c>
      <c r="AA30" s="14"/>
      <c r="AB30" s="12" t="e">
        <f t="shared" si="6"/>
        <v>#DIV/0!</v>
      </c>
      <c r="AC30" s="12" t="e">
        <f t="shared" si="7"/>
        <v>#DIV/0!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 t="s">
        <v>65</v>
      </c>
      <c r="AM30" s="12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2" t="s">
        <v>79</v>
      </c>
      <c r="B31" s="12" t="s">
        <v>42</v>
      </c>
      <c r="C31" s="12"/>
      <c r="D31" s="12"/>
      <c r="E31" s="12"/>
      <c r="F31" s="12"/>
      <c r="G31" s="12"/>
      <c r="H31" s="12">
        <f t="shared" si="2"/>
        <v>0</v>
      </c>
      <c r="I31" s="13">
        <v>0</v>
      </c>
      <c r="J31" s="12"/>
      <c r="K31" s="12" t="s">
        <v>43</v>
      </c>
      <c r="L31" s="12"/>
      <c r="M31" s="12"/>
      <c r="N31" s="12">
        <f t="shared" si="3"/>
        <v>0</v>
      </c>
      <c r="O31" s="12">
        <f t="shared" si="4"/>
        <v>0</v>
      </c>
      <c r="P31" s="12"/>
      <c r="Q31" s="12">
        <v>0</v>
      </c>
      <c r="R31" s="12"/>
      <c r="S31" s="12"/>
      <c r="T31" s="12"/>
      <c r="U31" s="12"/>
      <c r="V31" s="12">
        <v>0</v>
      </c>
      <c r="W31" s="12"/>
      <c r="X31" s="12"/>
      <c r="Y31" s="12"/>
      <c r="Z31" s="12">
        <f t="shared" si="5"/>
        <v>0</v>
      </c>
      <c r="AA31" s="14"/>
      <c r="AB31" s="12" t="e">
        <f t="shared" si="6"/>
        <v>#DIV/0!</v>
      </c>
      <c r="AC31" s="12" t="e">
        <f t="shared" si="7"/>
        <v>#DIV/0!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 t="s">
        <v>65</v>
      </c>
      <c r="AM31" s="12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80</v>
      </c>
      <c r="B32" s="1" t="s">
        <v>42</v>
      </c>
      <c r="C32" s="1">
        <v>541.30600000000004</v>
      </c>
      <c r="D32" s="1">
        <v>3483.9389999999999</v>
      </c>
      <c r="E32" s="1">
        <v>1108.712</v>
      </c>
      <c r="F32" s="1">
        <v>859.17600000000004</v>
      </c>
      <c r="G32" s="1"/>
      <c r="H32" s="1">
        <f t="shared" si="2"/>
        <v>859.17600000000004</v>
      </c>
      <c r="I32" s="7">
        <v>1</v>
      </c>
      <c r="J32" s="1">
        <v>30</v>
      </c>
      <c r="K32" s="11" t="s">
        <v>53</v>
      </c>
      <c r="L32" s="1"/>
      <c r="M32" s="1">
        <v>1285.9100000000001</v>
      </c>
      <c r="N32" s="1">
        <f t="shared" si="3"/>
        <v>-177.19800000000009</v>
      </c>
      <c r="O32" s="1">
        <f t="shared" si="4"/>
        <v>1105.856</v>
      </c>
      <c r="P32" s="1">
        <v>2.8559999999999999</v>
      </c>
      <c r="Q32" s="1">
        <v>552.76</v>
      </c>
      <c r="R32" s="1"/>
      <c r="S32" s="1">
        <v>747.24</v>
      </c>
      <c r="T32" s="1"/>
      <c r="U32" s="1"/>
      <c r="V32" s="1">
        <v>538.94979999999964</v>
      </c>
      <c r="W32" s="1"/>
      <c r="X32" s="1"/>
      <c r="Y32" s="1">
        <v>247.91690799999981</v>
      </c>
      <c r="Z32" s="1">
        <f t="shared" si="5"/>
        <v>221.1712</v>
      </c>
      <c r="AA32" s="5"/>
      <c r="AB32" s="1">
        <f t="shared" si="6"/>
        <v>13.320191363070776</v>
      </c>
      <c r="AC32" s="1">
        <f t="shared" si="7"/>
        <v>13.320191363070776</v>
      </c>
      <c r="AD32" s="1">
        <v>225.0454</v>
      </c>
      <c r="AE32" s="1">
        <v>231.65860000000001</v>
      </c>
      <c r="AF32" s="1">
        <v>235.7996</v>
      </c>
      <c r="AG32" s="1">
        <v>278.0154</v>
      </c>
      <c r="AH32" s="1">
        <v>227.65520000000001</v>
      </c>
      <c r="AI32" s="1">
        <v>207.39060000000001</v>
      </c>
      <c r="AJ32" s="1">
        <v>290.8818</v>
      </c>
      <c r="AK32" s="1">
        <v>248.68559999999999</v>
      </c>
      <c r="AL32" s="1"/>
      <c r="AM32" s="1">
        <f>I32*AA32</f>
        <v>0</v>
      </c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2" t="s">
        <v>81</v>
      </c>
      <c r="B33" s="12" t="s">
        <v>42</v>
      </c>
      <c r="C33" s="12">
        <v>-0.23</v>
      </c>
      <c r="D33" s="12">
        <v>44.381</v>
      </c>
      <c r="E33" s="12"/>
      <c r="F33" s="12"/>
      <c r="G33" s="12"/>
      <c r="H33" s="12">
        <f t="shared" si="2"/>
        <v>0</v>
      </c>
      <c r="I33" s="13">
        <v>0</v>
      </c>
      <c r="J33" s="12">
        <v>40</v>
      </c>
      <c r="K33" s="12" t="s">
        <v>56</v>
      </c>
      <c r="L33" s="12"/>
      <c r="M33" s="12"/>
      <c r="N33" s="12">
        <f t="shared" si="3"/>
        <v>0</v>
      </c>
      <c r="O33" s="12">
        <f t="shared" si="4"/>
        <v>0</v>
      </c>
      <c r="P33" s="12"/>
      <c r="Q33" s="12">
        <v>0</v>
      </c>
      <c r="R33" s="12"/>
      <c r="S33" s="12"/>
      <c r="T33" s="12"/>
      <c r="U33" s="12"/>
      <c r="V33" s="12">
        <v>0</v>
      </c>
      <c r="W33" s="12"/>
      <c r="X33" s="12"/>
      <c r="Y33" s="12"/>
      <c r="Z33" s="12">
        <f t="shared" si="5"/>
        <v>0</v>
      </c>
      <c r="AA33" s="14"/>
      <c r="AB33" s="12" t="e">
        <f t="shared" si="6"/>
        <v>#DIV/0!</v>
      </c>
      <c r="AC33" s="12" t="e">
        <f t="shared" si="7"/>
        <v>#DIV/0!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/>
      <c r="AM33" s="12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82</v>
      </c>
      <c r="B34" s="1" t="s">
        <v>42</v>
      </c>
      <c r="C34" s="1">
        <v>57.713000000000001</v>
      </c>
      <c r="D34" s="1">
        <v>10824.477999999999</v>
      </c>
      <c r="E34" s="1">
        <v>3972.7469999999998</v>
      </c>
      <c r="F34" s="1">
        <v>-32.064</v>
      </c>
      <c r="G34" s="1"/>
      <c r="H34" s="1">
        <f t="shared" si="2"/>
        <v>-32.064</v>
      </c>
      <c r="I34" s="7">
        <v>1</v>
      </c>
      <c r="J34" s="1">
        <v>40</v>
      </c>
      <c r="K34" s="11" t="s">
        <v>53</v>
      </c>
      <c r="L34" s="1"/>
      <c r="M34" s="1">
        <v>4111.0339999999997</v>
      </c>
      <c r="N34" s="1">
        <f t="shared" si="3"/>
        <v>-138.28699999999981</v>
      </c>
      <c r="O34" s="1">
        <f t="shared" si="4"/>
        <v>3550.6469999999999</v>
      </c>
      <c r="P34" s="1">
        <v>422.1</v>
      </c>
      <c r="Q34" s="1">
        <v>850.40000000000009</v>
      </c>
      <c r="R34" s="1"/>
      <c r="S34" s="1">
        <v>1149.5999999999999</v>
      </c>
      <c r="T34" s="1"/>
      <c r="U34" s="1"/>
      <c r="V34" s="1">
        <v>1063.2557999999999</v>
      </c>
      <c r="W34" s="1"/>
      <c r="X34" s="1"/>
      <c r="Y34" s="1">
        <v>489.09766800000023</v>
      </c>
      <c r="Z34" s="1">
        <f t="shared" si="5"/>
        <v>710.12940000000003</v>
      </c>
      <c r="AA34" s="5">
        <v>3700</v>
      </c>
      <c r="AB34" s="1">
        <f t="shared" si="6"/>
        <v>10.167568710716667</v>
      </c>
      <c r="AC34" s="1">
        <f t="shared" si="7"/>
        <v>4.9572507038857996</v>
      </c>
      <c r="AD34" s="1">
        <v>412.98540000000003</v>
      </c>
      <c r="AE34" s="1">
        <v>192.2834</v>
      </c>
      <c r="AF34" s="1">
        <v>374.25259999999997</v>
      </c>
      <c r="AG34" s="1">
        <v>576.91759999999999</v>
      </c>
      <c r="AH34" s="1">
        <v>427.83499999999998</v>
      </c>
      <c r="AI34" s="1">
        <v>330.09280000000001</v>
      </c>
      <c r="AJ34" s="1">
        <v>221.54920000000001</v>
      </c>
      <c r="AK34" s="1">
        <v>91.550399999999996</v>
      </c>
      <c r="AL34" s="1"/>
      <c r="AM34" s="1">
        <f>I34*AA34</f>
        <v>3700</v>
      </c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2" t="s">
        <v>83</v>
      </c>
      <c r="B35" s="12" t="s">
        <v>42</v>
      </c>
      <c r="C35" s="12"/>
      <c r="D35" s="12"/>
      <c r="E35" s="12"/>
      <c r="F35" s="12"/>
      <c r="G35" s="12"/>
      <c r="H35" s="12">
        <f t="shared" si="2"/>
        <v>0</v>
      </c>
      <c r="I35" s="13">
        <v>0</v>
      </c>
      <c r="J35" s="12"/>
      <c r="K35" s="12" t="s">
        <v>43</v>
      </c>
      <c r="L35" s="12"/>
      <c r="M35" s="12"/>
      <c r="N35" s="12">
        <f t="shared" si="3"/>
        <v>0</v>
      </c>
      <c r="O35" s="12">
        <f t="shared" si="4"/>
        <v>0</v>
      </c>
      <c r="P35" s="12"/>
      <c r="Q35" s="12">
        <v>0</v>
      </c>
      <c r="R35" s="12"/>
      <c r="S35" s="12"/>
      <c r="T35" s="12"/>
      <c r="U35" s="12"/>
      <c r="V35" s="12">
        <v>0</v>
      </c>
      <c r="W35" s="12"/>
      <c r="X35" s="12"/>
      <c r="Y35" s="12"/>
      <c r="Z35" s="12">
        <f t="shared" si="5"/>
        <v>0</v>
      </c>
      <c r="AA35" s="14"/>
      <c r="AB35" s="12" t="e">
        <f t="shared" si="6"/>
        <v>#DIV/0!</v>
      </c>
      <c r="AC35" s="12" t="e">
        <f t="shared" si="7"/>
        <v>#DIV/0!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 t="s">
        <v>65</v>
      </c>
      <c r="AM35" s="12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2" t="s">
        <v>84</v>
      </c>
      <c r="B36" s="12" t="s">
        <v>42</v>
      </c>
      <c r="C36" s="12"/>
      <c r="D36" s="12"/>
      <c r="E36" s="12"/>
      <c r="F36" s="12"/>
      <c r="G36" s="12"/>
      <c r="H36" s="12">
        <f t="shared" si="2"/>
        <v>0</v>
      </c>
      <c r="I36" s="13">
        <v>0</v>
      </c>
      <c r="J36" s="12"/>
      <c r="K36" s="12" t="s">
        <v>43</v>
      </c>
      <c r="L36" s="12"/>
      <c r="M36" s="12"/>
      <c r="N36" s="12">
        <f t="shared" si="3"/>
        <v>0</v>
      </c>
      <c r="O36" s="12">
        <f t="shared" si="4"/>
        <v>0</v>
      </c>
      <c r="P36" s="12"/>
      <c r="Q36" s="12">
        <v>0</v>
      </c>
      <c r="R36" s="12"/>
      <c r="S36" s="12"/>
      <c r="T36" s="12"/>
      <c r="U36" s="12"/>
      <c r="V36" s="12">
        <v>0</v>
      </c>
      <c r="W36" s="12"/>
      <c r="X36" s="12"/>
      <c r="Y36" s="12"/>
      <c r="Z36" s="12">
        <f t="shared" si="5"/>
        <v>0</v>
      </c>
      <c r="AA36" s="14"/>
      <c r="AB36" s="12" t="e">
        <f t="shared" si="6"/>
        <v>#DIV/0!</v>
      </c>
      <c r="AC36" s="12" t="e">
        <f t="shared" si="7"/>
        <v>#DIV/0!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 t="s">
        <v>65</v>
      </c>
      <c r="AM36" s="12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2" t="s">
        <v>85</v>
      </c>
      <c r="B37" s="12" t="s">
        <v>42</v>
      </c>
      <c r="C37" s="12"/>
      <c r="D37" s="12"/>
      <c r="E37" s="12"/>
      <c r="F37" s="12"/>
      <c r="G37" s="12"/>
      <c r="H37" s="12">
        <f t="shared" si="2"/>
        <v>0</v>
      </c>
      <c r="I37" s="13">
        <v>0</v>
      </c>
      <c r="J37" s="12"/>
      <c r="K37" s="12" t="s">
        <v>43</v>
      </c>
      <c r="L37" s="12"/>
      <c r="M37" s="12"/>
      <c r="N37" s="12">
        <f t="shared" si="3"/>
        <v>0</v>
      </c>
      <c r="O37" s="12">
        <f t="shared" si="4"/>
        <v>0</v>
      </c>
      <c r="P37" s="12"/>
      <c r="Q37" s="12">
        <v>0</v>
      </c>
      <c r="R37" s="12"/>
      <c r="S37" s="12"/>
      <c r="T37" s="12"/>
      <c r="U37" s="12"/>
      <c r="V37" s="12">
        <v>0</v>
      </c>
      <c r="W37" s="12"/>
      <c r="X37" s="12"/>
      <c r="Y37" s="12"/>
      <c r="Z37" s="12">
        <f t="shared" si="5"/>
        <v>0</v>
      </c>
      <c r="AA37" s="14"/>
      <c r="AB37" s="12" t="e">
        <f t="shared" si="6"/>
        <v>#DIV/0!</v>
      </c>
      <c r="AC37" s="12" t="e">
        <f t="shared" si="7"/>
        <v>#DIV/0!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 t="s">
        <v>65</v>
      </c>
      <c r="AM37" s="12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2" t="s">
        <v>86</v>
      </c>
      <c r="B38" s="12" t="s">
        <v>42</v>
      </c>
      <c r="C38" s="12"/>
      <c r="D38" s="12"/>
      <c r="E38" s="12"/>
      <c r="F38" s="12"/>
      <c r="G38" s="12"/>
      <c r="H38" s="12">
        <f t="shared" ref="H38:H69" si="14">F38-G38</f>
        <v>0</v>
      </c>
      <c r="I38" s="13">
        <v>0</v>
      </c>
      <c r="J38" s="12"/>
      <c r="K38" s="12" t="s">
        <v>43</v>
      </c>
      <c r="L38" s="12"/>
      <c r="M38" s="12"/>
      <c r="N38" s="12">
        <f t="shared" ref="N38:N69" si="15">E38-M38</f>
        <v>0</v>
      </c>
      <c r="O38" s="12">
        <f t="shared" ref="O38:O69" si="16">E38-P38</f>
        <v>0</v>
      </c>
      <c r="P38" s="12"/>
      <c r="Q38" s="12">
        <v>0</v>
      </c>
      <c r="R38" s="12"/>
      <c r="S38" s="12"/>
      <c r="T38" s="12"/>
      <c r="U38" s="12"/>
      <c r="V38" s="12">
        <v>0</v>
      </c>
      <c r="W38" s="12"/>
      <c r="X38" s="12"/>
      <c r="Y38" s="12"/>
      <c r="Z38" s="12">
        <f t="shared" ref="Z38:Z69" si="17">O38/5</f>
        <v>0</v>
      </c>
      <c r="AA38" s="14"/>
      <c r="AB38" s="12" t="e">
        <f t="shared" ref="AB38:AB69" si="18">(H38+Q38+R38+S38+T38+U38+V38+W38+X38+Y38+AA38)/Z38</f>
        <v>#DIV/0!</v>
      </c>
      <c r="AC38" s="12" t="e">
        <f t="shared" ref="AC38:AC69" si="19">(H38+Q38+R38+S38+T38+U38+V38+W38+X38+Y38)/Z38</f>
        <v>#DIV/0!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 t="s">
        <v>65</v>
      </c>
      <c r="AM38" s="12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87</v>
      </c>
      <c r="B39" s="1" t="s">
        <v>48</v>
      </c>
      <c r="C39" s="1">
        <v>467</v>
      </c>
      <c r="D39" s="1">
        <v>23946</v>
      </c>
      <c r="E39" s="1">
        <v>3983</v>
      </c>
      <c r="F39" s="1">
        <v>2193</v>
      </c>
      <c r="G39" s="1"/>
      <c r="H39" s="1">
        <f t="shared" si="14"/>
        <v>2193</v>
      </c>
      <c r="I39" s="7">
        <v>0.4</v>
      </c>
      <c r="J39" s="1">
        <v>45</v>
      </c>
      <c r="K39" s="11" t="s">
        <v>53</v>
      </c>
      <c r="L39" s="1"/>
      <c r="M39" s="1">
        <v>4285</v>
      </c>
      <c r="N39" s="1">
        <f t="shared" si="15"/>
        <v>-302</v>
      </c>
      <c r="O39" s="1">
        <f t="shared" si="16"/>
        <v>3773</v>
      </c>
      <c r="P39" s="1">
        <v>210</v>
      </c>
      <c r="Q39" s="1">
        <v>1275.5999999999999</v>
      </c>
      <c r="R39" s="1">
        <v>-1230</v>
      </c>
      <c r="S39" s="1">
        <v>1724.4</v>
      </c>
      <c r="T39" s="1">
        <v>-1728</v>
      </c>
      <c r="U39" s="1"/>
      <c r="V39" s="1">
        <v>1375.599999999999</v>
      </c>
      <c r="W39" s="1"/>
      <c r="X39" s="1"/>
      <c r="Y39" s="1">
        <v>632.77599999999939</v>
      </c>
      <c r="Z39" s="1">
        <f t="shared" si="17"/>
        <v>754.6</v>
      </c>
      <c r="AA39" s="5">
        <v>2000</v>
      </c>
      <c r="AB39" s="1">
        <f t="shared" si="18"/>
        <v>8.2737556321229775</v>
      </c>
      <c r="AC39" s="1">
        <f t="shared" si="19"/>
        <v>5.6233448184468573</v>
      </c>
      <c r="AD39" s="1">
        <v>654.79999999999995</v>
      </c>
      <c r="AE39" s="1">
        <v>869.4</v>
      </c>
      <c r="AF39" s="1">
        <v>631</v>
      </c>
      <c r="AG39" s="1">
        <v>648.4</v>
      </c>
      <c r="AH39" s="1">
        <v>1337.6</v>
      </c>
      <c r="AI39" s="1">
        <v>1183.5999999999999</v>
      </c>
      <c r="AJ39" s="1">
        <v>579.79999999999995</v>
      </c>
      <c r="AK39" s="1">
        <v>402.6</v>
      </c>
      <c r="AL39" s="1" t="s">
        <v>88</v>
      </c>
      <c r="AM39" s="1">
        <f t="shared" ref="AM39:AM53" si="20">I39*AA39</f>
        <v>800</v>
      </c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89</v>
      </c>
      <c r="B40" s="1" t="s">
        <v>48</v>
      </c>
      <c r="C40" s="1">
        <v>392.75</v>
      </c>
      <c r="D40" s="1">
        <v>4839.25</v>
      </c>
      <c r="E40" s="1">
        <v>621</v>
      </c>
      <c r="F40" s="1">
        <v>338</v>
      </c>
      <c r="G40" s="1"/>
      <c r="H40" s="1">
        <f t="shared" si="14"/>
        <v>338</v>
      </c>
      <c r="I40" s="7">
        <v>0.45</v>
      </c>
      <c r="J40" s="1">
        <v>50</v>
      </c>
      <c r="K40" s="1" t="s">
        <v>43</v>
      </c>
      <c r="L40" s="1"/>
      <c r="M40" s="1">
        <v>675</v>
      </c>
      <c r="N40" s="1">
        <f t="shared" si="15"/>
        <v>-54</v>
      </c>
      <c r="O40" s="1">
        <f t="shared" si="16"/>
        <v>621</v>
      </c>
      <c r="P40" s="1"/>
      <c r="Q40" s="1">
        <v>0</v>
      </c>
      <c r="R40" s="1"/>
      <c r="S40" s="1"/>
      <c r="T40" s="1"/>
      <c r="U40" s="1"/>
      <c r="V40" s="1">
        <v>309.75577500000003</v>
      </c>
      <c r="W40" s="1"/>
      <c r="X40" s="1"/>
      <c r="Y40" s="1">
        <v>573.49422500000003</v>
      </c>
      <c r="Z40" s="1">
        <f t="shared" si="17"/>
        <v>124.2</v>
      </c>
      <c r="AA40" s="5">
        <f t="shared" ref="AA39:AA53" si="21">11*Z40-Y40-X40-W40-V40-U40-T40-S40-R40-Q40-H40</f>
        <v>144.94999999999999</v>
      </c>
      <c r="AB40" s="1">
        <f t="shared" si="18"/>
        <v>11</v>
      </c>
      <c r="AC40" s="1">
        <f t="shared" si="19"/>
        <v>9.8329307568437994</v>
      </c>
      <c r="AD40" s="1">
        <v>129</v>
      </c>
      <c r="AE40" s="1">
        <v>84</v>
      </c>
      <c r="AF40" s="1">
        <v>83.2</v>
      </c>
      <c r="AG40" s="1">
        <v>183.328</v>
      </c>
      <c r="AH40" s="1">
        <v>310.8</v>
      </c>
      <c r="AI40" s="1">
        <v>224.2</v>
      </c>
      <c r="AJ40" s="1">
        <v>94</v>
      </c>
      <c r="AK40" s="1">
        <v>102.6</v>
      </c>
      <c r="AL40" s="1"/>
      <c r="AM40" s="1">
        <f t="shared" si="20"/>
        <v>65.227499999999992</v>
      </c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90</v>
      </c>
      <c r="B41" s="1" t="s">
        <v>48</v>
      </c>
      <c r="C41" s="1">
        <v>29</v>
      </c>
      <c r="D41" s="1">
        <v>4502</v>
      </c>
      <c r="E41" s="1">
        <v>1052</v>
      </c>
      <c r="F41" s="1">
        <v>218</v>
      </c>
      <c r="G41" s="1"/>
      <c r="H41" s="1">
        <f t="shared" si="14"/>
        <v>218</v>
      </c>
      <c r="I41" s="7">
        <v>0.4</v>
      </c>
      <c r="J41" s="1">
        <v>45</v>
      </c>
      <c r="K41" s="11" t="s">
        <v>53</v>
      </c>
      <c r="L41" s="1"/>
      <c r="M41" s="1">
        <v>1108</v>
      </c>
      <c r="N41" s="1">
        <f t="shared" si="15"/>
        <v>-56</v>
      </c>
      <c r="O41" s="1">
        <f t="shared" si="16"/>
        <v>1052</v>
      </c>
      <c r="P41" s="1"/>
      <c r="Q41" s="1">
        <v>108.85120000000011</v>
      </c>
      <c r="R41" s="1"/>
      <c r="S41" s="1">
        <v>147.14880000000011</v>
      </c>
      <c r="T41" s="1"/>
      <c r="U41" s="1"/>
      <c r="V41" s="1">
        <v>1395</v>
      </c>
      <c r="W41" s="1"/>
      <c r="X41" s="1"/>
      <c r="Y41" s="1">
        <v>641.70000000000005</v>
      </c>
      <c r="Z41" s="1">
        <f t="shared" si="17"/>
        <v>210.4</v>
      </c>
      <c r="AA41" s="5"/>
      <c r="AB41" s="1">
        <f t="shared" si="18"/>
        <v>11.932984790874526</v>
      </c>
      <c r="AC41" s="1">
        <f t="shared" si="19"/>
        <v>11.932984790874526</v>
      </c>
      <c r="AD41" s="1">
        <v>192</v>
      </c>
      <c r="AE41" s="1">
        <v>152.4</v>
      </c>
      <c r="AF41" s="1">
        <v>151.6</v>
      </c>
      <c r="AG41" s="1">
        <v>137</v>
      </c>
      <c r="AH41" s="1">
        <v>55.2</v>
      </c>
      <c r="AI41" s="1">
        <v>16.600000000000001</v>
      </c>
      <c r="AJ41" s="1">
        <v>46.2</v>
      </c>
      <c r="AK41" s="1">
        <v>45.4</v>
      </c>
      <c r="AL41" s="1"/>
      <c r="AM41" s="1">
        <f t="shared" si="20"/>
        <v>0</v>
      </c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91</v>
      </c>
      <c r="B42" s="1" t="s">
        <v>48</v>
      </c>
      <c r="C42" s="1">
        <v>-16</v>
      </c>
      <c r="D42" s="1">
        <v>1087</v>
      </c>
      <c r="E42" s="1"/>
      <c r="F42" s="1"/>
      <c r="G42" s="1"/>
      <c r="H42" s="1">
        <f t="shared" si="14"/>
        <v>0</v>
      </c>
      <c r="I42" s="7">
        <v>0.4</v>
      </c>
      <c r="J42" s="1">
        <v>40</v>
      </c>
      <c r="K42" s="11" t="s">
        <v>53</v>
      </c>
      <c r="L42" s="1"/>
      <c r="M42" s="1">
        <v>435</v>
      </c>
      <c r="N42" s="1">
        <f t="shared" si="15"/>
        <v>-435</v>
      </c>
      <c r="O42" s="1">
        <f t="shared" si="16"/>
        <v>0</v>
      </c>
      <c r="P42" s="1"/>
      <c r="Q42" s="1">
        <v>100</v>
      </c>
      <c r="R42" s="1"/>
      <c r="S42" s="1"/>
      <c r="T42" s="1"/>
      <c r="U42" s="1"/>
      <c r="V42" s="1">
        <v>100</v>
      </c>
      <c r="W42" s="1"/>
      <c r="X42" s="1"/>
      <c r="Y42" s="1">
        <v>50</v>
      </c>
      <c r="Z42" s="1">
        <f t="shared" si="17"/>
        <v>0</v>
      </c>
      <c r="AA42" s="5">
        <v>50</v>
      </c>
      <c r="AB42" s="1" t="e">
        <f t="shared" si="18"/>
        <v>#DIV/0!</v>
      </c>
      <c r="AC42" s="1" t="e">
        <f t="shared" si="19"/>
        <v>#DIV/0!</v>
      </c>
      <c r="AD42" s="1">
        <v>1.8</v>
      </c>
      <c r="AE42" s="1">
        <v>13.6</v>
      </c>
      <c r="AF42" s="1">
        <v>18.8</v>
      </c>
      <c r="AG42" s="1">
        <v>7.4</v>
      </c>
      <c r="AH42" s="1">
        <v>-0.2</v>
      </c>
      <c r="AI42" s="1">
        <v>-0.2</v>
      </c>
      <c r="AJ42" s="1">
        <v>0</v>
      </c>
      <c r="AK42" s="1">
        <v>-0.4</v>
      </c>
      <c r="AL42" s="1"/>
      <c r="AM42" s="1">
        <f t="shared" si="20"/>
        <v>20</v>
      </c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92</v>
      </c>
      <c r="B43" s="1" t="s">
        <v>42</v>
      </c>
      <c r="C43" s="1">
        <v>74.158000000000001</v>
      </c>
      <c r="D43" s="1">
        <v>159.346</v>
      </c>
      <c r="E43" s="1">
        <v>11.406000000000001</v>
      </c>
      <c r="F43" s="1">
        <v>167.244</v>
      </c>
      <c r="G43" s="1"/>
      <c r="H43" s="1">
        <f t="shared" si="14"/>
        <v>167.244</v>
      </c>
      <c r="I43" s="7">
        <v>1</v>
      </c>
      <c r="J43" s="1"/>
      <c r="K43" s="11" t="s">
        <v>53</v>
      </c>
      <c r="L43" s="1"/>
      <c r="M43" s="1">
        <v>13</v>
      </c>
      <c r="N43" s="1">
        <f t="shared" si="15"/>
        <v>-1.5939999999999994</v>
      </c>
      <c r="O43" s="1">
        <f t="shared" si="16"/>
        <v>11.406000000000001</v>
      </c>
      <c r="P43" s="1"/>
      <c r="Q43" s="1">
        <v>0</v>
      </c>
      <c r="R43" s="1"/>
      <c r="S43" s="1"/>
      <c r="T43" s="1"/>
      <c r="U43" s="1"/>
      <c r="V43" s="1">
        <v>0</v>
      </c>
      <c r="W43" s="1"/>
      <c r="X43" s="1"/>
      <c r="Y43" s="1"/>
      <c r="Z43" s="1">
        <f t="shared" si="17"/>
        <v>2.2812000000000001</v>
      </c>
      <c r="AA43" s="5"/>
      <c r="AB43" s="1">
        <f t="shared" si="18"/>
        <v>73.314045239347706</v>
      </c>
      <c r="AC43" s="1">
        <f t="shared" si="19"/>
        <v>73.314045239347706</v>
      </c>
      <c r="AD43" s="1">
        <v>4.6482000000000001</v>
      </c>
      <c r="AE43" s="1">
        <v>6.3221999999999996</v>
      </c>
      <c r="AF43" s="1">
        <v>11.244199999999999</v>
      </c>
      <c r="AG43" s="1">
        <v>18.956</v>
      </c>
      <c r="AH43" s="1">
        <v>4.8393999999999986</v>
      </c>
      <c r="AI43" s="1">
        <v>5.6033999999999997</v>
      </c>
      <c r="AJ43" s="1">
        <v>14.360799999999999</v>
      </c>
      <c r="AK43" s="1">
        <v>9.3544</v>
      </c>
      <c r="AL43" s="17" t="s">
        <v>76</v>
      </c>
      <c r="AM43" s="1">
        <f t="shared" si="20"/>
        <v>0</v>
      </c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93</v>
      </c>
      <c r="B44" s="1" t="s">
        <v>48</v>
      </c>
      <c r="C44" s="1">
        <v>231</v>
      </c>
      <c r="D44" s="1">
        <v>830</v>
      </c>
      <c r="E44" s="1">
        <v>331</v>
      </c>
      <c r="F44" s="1">
        <v>533</v>
      </c>
      <c r="G44" s="1"/>
      <c r="H44" s="1">
        <f t="shared" si="14"/>
        <v>533</v>
      </c>
      <c r="I44" s="7">
        <v>0.1</v>
      </c>
      <c r="J44" s="1">
        <v>731</v>
      </c>
      <c r="K44" s="1" t="s">
        <v>43</v>
      </c>
      <c r="L44" s="1"/>
      <c r="M44" s="1">
        <v>364</v>
      </c>
      <c r="N44" s="1">
        <f t="shared" si="15"/>
        <v>-33</v>
      </c>
      <c r="O44" s="1">
        <f t="shared" si="16"/>
        <v>331</v>
      </c>
      <c r="P44" s="1"/>
      <c r="Q44" s="1">
        <v>200</v>
      </c>
      <c r="R44" s="1"/>
      <c r="S44" s="1"/>
      <c r="T44" s="1"/>
      <c r="U44" s="1"/>
      <c r="V44" s="1">
        <v>0</v>
      </c>
      <c r="W44" s="1"/>
      <c r="X44" s="1"/>
      <c r="Y44" s="1"/>
      <c r="Z44" s="1">
        <f t="shared" si="17"/>
        <v>66.2</v>
      </c>
      <c r="AA44" s="5"/>
      <c r="AB44" s="1">
        <f t="shared" si="18"/>
        <v>11.072507552870091</v>
      </c>
      <c r="AC44" s="1">
        <f t="shared" si="19"/>
        <v>11.072507552870091</v>
      </c>
      <c r="AD44" s="1">
        <v>60.8</v>
      </c>
      <c r="AE44" s="1">
        <v>56</v>
      </c>
      <c r="AF44" s="1">
        <v>60</v>
      </c>
      <c r="AG44" s="1">
        <v>69.400000000000006</v>
      </c>
      <c r="AH44" s="1">
        <v>43</v>
      </c>
      <c r="AI44" s="1">
        <v>24</v>
      </c>
      <c r="AJ44" s="1">
        <v>35.6</v>
      </c>
      <c r="AK44" s="1">
        <v>42.4</v>
      </c>
      <c r="AL44" s="1"/>
      <c r="AM44" s="1">
        <f t="shared" si="20"/>
        <v>0</v>
      </c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94</v>
      </c>
      <c r="B45" s="1" t="s">
        <v>48</v>
      </c>
      <c r="C45" s="1">
        <v>-3</v>
      </c>
      <c r="D45" s="1">
        <v>101</v>
      </c>
      <c r="E45" s="1">
        <v>-2</v>
      </c>
      <c r="F45" s="1">
        <v>7</v>
      </c>
      <c r="G45" s="1"/>
      <c r="H45" s="1">
        <f t="shared" si="14"/>
        <v>7</v>
      </c>
      <c r="I45" s="7">
        <v>0.35</v>
      </c>
      <c r="J45" s="1">
        <v>40</v>
      </c>
      <c r="K45" s="11" t="s">
        <v>53</v>
      </c>
      <c r="L45" s="1"/>
      <c r="M45" s="1">
        <v>24</v>
      </c>
      <c r="N45" s="1">
        <f t="shared" si="15"/>
        <v>-26</v>
      </c>
      <c r="O45" s="1">
        <f t="shared" si="16"/>
        <v>-2</v>
      </c>
      <c r="P45" s="1"/>
      <c r="Q45" s="1">
        <v>120</v>
      </c>
      <c r="R45" s="1">
        <v>-120</v>
      </c>
      <c r="S45" s="1"/>
      <c r="T45" s="1"/>
      <c r="U45" s="1"/>
      <c r="V45" s="1">
        <v>90.799999999999983</v>
      </c>
      <c r="W45" s="1">
        <v>-96.000000000000014</v>
      </c>
      <c r="X45" s="1"/>
      <c r="Y45" s="1"/>
      <c r="Z45" s="1">
        <f t="shared" si="17"/>
        <v>-0.4</v>
      </c>
      <c r="AA45" s="5">
        <v>40</v>
      </c>
      <c r="AB45" s="1">
        <f t="shared" si="18"/>
        <v>-104.49999999999991</v>
      </c>
      <c r="AC45" s="1">
        <f t="shared" si="19"/>
        <v>-4.4999999999999218</v>
      </c>
      <c r="AD45" s="1">
        <v>17.399999999999999</v>
      </c>
      <c r="AE45" s="1">
        <v>18.2</v>
      </c>
      <c r="AF45" s="1">
        <v>0.4</v>
      </c>
      <c r="AG45" s="1">
        <v>0.6</v>
      </c>
      <c r="AH45" s="1">
        <v>-0.8</v>
      </c>
      <c r="AI45" s="1">
        <v>-1.8</v>
      </c>
      <c r="AJ45" s="1">
        <v>-2.4</v>
      </c>
      <c r="AK45" s="1">
        <v>-1.2</v>
      </c>
      <c r="AL45" s="1"/>
      <c r="AM45" s="1">
        <f t="shared" si="20"/>
        <v>14</v>
      </c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95</v>
      </c>
      <c r="B46" s="1" t="s">
        <v>42</v>
      </c>
      <c r="C46" s="1">
        <v>16.597999999999999</v>
      </c>
      <c r="D46" s="1">
        <v>43.508000000000003</v>
      </c>
      <c r="E46" s="1">
        <v>7.6879999999999997</v>
      </c>
      <c r="F46" s="1">
        <v>0.72799999999999998</v>
      </c>
      <c r="G46" s="1"/>
      <c r="H46" s="1">
        <f t="shared" si="14"/>
        <v>0.72799999999999998</v>
      </c>
      <c r="I46" s="7">
        <v>1</v>
      </c>
      <c r="J46" s="1">
        <v>40</v>
      </c>
      <c r="K46" s="11" t="s">
        <v>53</v>
      </c>
      <c r="L46" s="1"/>
      <c r="M46" s="1">
        <v>40.200000000000003</v>
      </c>
      <c r="N46" s="1">
        <f t="shared" si="15"/>
        <v>-32.512</v>
      </c>
      <c r="O46" s="1">
        <f t="shared" si="16"/>
        <v>7.6879999999999997</v>
      </c>
      <c r="P46" s="1"/>
      <c r="Q46" s="1">
        <v>26.244399999999999</v>
      </c>
      <c r="R46" s="1"/>
      <c r="S46" s="1"/>
      <c r="T46" s="1"/>
      <c r="U46" s="1"/>
      <c r="V46" s="1">
        <v>22.260799999999989</v>
      </c>
      <c r="W46" s="1"/>
      <c r="X46" s="1"/>
      <c r="Y46" s="1"/>
      <c r="Z46" s="1">
        <f t="shared" si="17"/>
        <v>1.5375999999999999</v>
      </c>
      <c r="AA46" s="5">
        <v>40</v>
      </c>
      <c r="AB46" s="1">
        <f t="shared" si="18"/>
        <v>58.034079084287193</v>
      </c>
      <c r="AC46" s="1">
        <f t="shared" si="19"/>
        <v>32.01951092611862</v>
      </c>
      <c r="AD46" s="1">
        <v>4.7845999999999993</v>
      </c>
      <c r="AE46" s="1">
        <v>3.8283999999999998</v>
      </c>
      <c r="AF46" s="1">
        <v>1.671</v>
      </c>
      <c r="AG46" s="1">
        <v>2.0398000000000001</v>
      </c>
      <c r="AH46" s="1">
        <v>3.0230000000000001</v>
      </c>
      <c r="AI46" s="1">
        <v>3.0924</v>
      </c>
      <c r="AJ46" s="1">
        <v>2.1831999999999998</v>
      </c>
      <c r="AK46" s="1">
        <v>2.4698000000000002</v>
      </c>
      <c r="AL46" s="1"/>
      <c r="AM46" s="1">
        <f t="shared" si="20"/>
        <v>40</v>
      </c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96</v>
      </c>
      <c r="B47" s="1" t="s">
        <v>48</v>
      </c>
      <c r="C47" s="1">
        <v>-31</v>
      </c>
      <c r="D47" s="1">
        <v>1394</v>
      </c>
      <c r="E47" s="1">
        <v>366</v>
      </c>
      <c r="F47" s="1">
        <v>41</v>
      </c>
      <c r="G47" s="1"/>
      <c r="H47" s="1">
        <f t="shared" si="14"/>
        <v>41</v>
      </c>
      <c r="I47" s="7">
        <v>0.4</v>
      </c>
      <c r="J47" s="1">
        <v>40</v>
      </c>
      <c r="K47" s="11" t="s">
        <v>53</v>
      </c>
      <c r="L47" s="1"/>
      <c r="M47" s="1">
        <v>402</v>
      </c>
      <c r="N47" s="1">
        <f t="shared" si="15"/>
        <v>-36</v>
      </c>
      <c r="O47" s="1">
        <f t="shared" si="16"/>
        <v>366</v>
      </c>
      <c r="P47" s="1"/>
      <c r="Q47" s="1">
        <v>95.499920000000003</v>
      </c>
      <c r="R47" s="1"/>
      <c r="S47" s="1">
        <v>129.10007999999999</v>
      </c>
      <c r="T47" s="1"/>
      <c r="U47" s="1"/>
      <c r="V47" s="1">
        <v>378.40000000000009</v>
      </c>
      <c r="W47" s="1">
        <v>-377.99999999999989</v>
      </c>
      <c r="X47" s="1"/>
      <c r="Y47" s="1"/>
      <c r="Z47" s="1">
        <f t="shared" si="17"/>
        <v>73.2</v>
      </c>
      <c r="AA47" s="5">
        <v>300</v>
      </c>
      <c r="AB47" s="1">
        <f t="shared" si="18"/>
        <v>7.732240437158473</v>
      </c>
      <c r="AC47" s="1">
        <f t="shared" si="19"/>
        <v>3.633879781420768</v>
      </c>
      <c r="AD47" s="1">
        <v>57</v>
      </c>
      <c r="AE47" s="1">
        <v>51.2</v>
      </c>
      <c r="AF47" s="1">
        <v>38.4</v>
      </c>
      <c r="AG47" s="1">
        <v>34.6</v>
      </c>
      <c r="AH47" s="1">
        <v>39.4</v>
      </c>
      <c r="AI47" s="1">
        <v>36.6</v>
      </c>
      <c r="AJ47" s="1">
        <v>26.8</v>
      </c>
      <c r="AK47" s="1">
        <v>24.8</v>
      </c>
      <c r="AL47" s="1"/>
      <c r="AM47" s="1">
        <f t="shared" si="20"/>
        <v>120</v>
      </c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97</v>
      </c>
      <c r="B48" s="1" t="s">
        <v>48</v>
      </c>
      <c r="C48" s="1">
        <v>32</v>
      </c>
      <c r="D48" s="1">
        <v>1766</v>
      </c>
      <c r="E48" s="1">
        <v>420</v>
      </c>
      <c r="F48" s="1">
        <v>72</v>
      </c>
      <c r="G48" s="1"/>
      <c r="H48" s="1">
        <f t="shared" si="14"/>
        <v>72</v>
      </c>
      <c r="I48" s="7">
        <v>0.4</v>
      </c>
      <c r="J48" s="1">
        <v>45</v>
      </c>
      <c r="K48" s="11" t="s">
        <v>53</v>
      </c>
      <c r="L48" s="1"/>
      <c r="M48" s="1">
        <v>476</v>
      </c>
      <c r="N48" s="1">
        <f t="shared" si="15"/>
        <v>-56</v>
      </c>
      <c r="O48" s="1">
        <f t="shared" si="16"/>
        <v>420</v>
      </c>
      <c r="P48" s="1"/>
      <c r="Q48" s="1">
        <v>127.56</v>
      </c>
      <c r="R48" s="1"/>
      <c r="S48" s="1">
        <v>172.44</v>
      </c>
      <c r="T48" s="1"/>
      <c r="U48" s="1"/>
      <c r="V48" s="1">
        <v>100</v>
      </c>
      <c r="W48" s="1"/>
      <c r="X48" s="1"/>
      <c r="Y48" s="1">
        <v>50</v>
      </c>
      <c r="Z48" s="1">
        <f t="shared" si="17"/>
        <v>84</v>
      </c>
      <c r="AA48" s="5">
        <f t="shared" si="21"/>
        <v>401.99999999999994</v>
      </c>
      <c r="AB48" s="1">
        <f t="shared" si="18"/>
        <v>11</v>
      </c>
      <c r="AC48" s="1">
        <f t="shared" si="19"/>
        <v>6.2142857142857144</v>
      </c>
      <c r="AD48" s="1">
        <v>41.2</v>
      </c>
      <c r="AE48" s="1">
        <v>60.8</v>
      </c>
      <c r="AF48" s="1">
        <v>91.6</v>
      </c>
      <c r="AG48" s="1">
        <v>61.8</v>
      </c>
      <c r="AH48" s="1">
        <v>53.8</v>
      </c>
      <c r="AI48" s="1">
        <v>28.6</v>
      </c>
      <c r="AJ48" s="1">
        <v>35.200000000000003</v>
      </c>
      <c r="AK48" s="1">
        <v>45.6</v>
      </c>
      <c r="AL48" s="1"/>
      <c r="AM48" s="1">
        <f t="shared" si="20"/>
        <v>160.79999999999998</v>
      </c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98</v>
      </c>
      <c r="B49" s="1" t="s">
        <v>42</v>
      </c>
      <c r="C49" s="1">
        <v>9.0289999999999999</v>
      </c>
      <c r="D49" s="1">
        <v>188.709</v>
      </c>
      <c r="E49" s="1">
        <v>91.179000000000002</v>
      </c>
      <c r="F49" s="1">
        <v>-0.72699999999999998</v>
      </c>
      <c r="G49" s="1"/>
      <c r="H49" s="1">
        <f t="shared" si="14"/>
        <v>-0.72699999999999998</v>
      </c>
      <c r="I49" s="7">
        <v>1</v>
      </c>
      <c r="J49" s="1">
        <v>40</v>
      </c>
      <c r="K49" s="11" t="s">
        <v>53</v>
      </c>
      <c r="L49" s="1"/>
      <c r="M49" s="1">
        <v>141.69999999999999</v>
      </c>
      <c r="N49" s="1">
        <f t="shared" si="15"/>
        <v>-50.520999999999987</v>
      </c>
      <c r="O49" s="1">
        <f t="shared" si="16"/>
        <v>91.179000000000002</v>
      </c>
      <c r="P49" s="1"/>
      <c r="Q49" s="1">
        <v>40.441199999999988</v>
      </c>
      <c r="R49" s="1">
        <v>-42</v>
      </c>
      <c r="S49" s="1"/>
      <c r="T49" s="1"/>
      <c r="U49" s="1"/>
      <c r="V49" s="1">
        <v>121.2248</v>
      </c>
      <c r="W49" s="1">
        <v>-121.8</v>
      </c>
      <c r="X49" s="1"/>
      <c r="Y49" s="1"/>
      <c r="Z49" s="1">
        <f t="shared" si="17"/>
        <v>18.235800000000001</v>
      </c>
      <c r="AA49" s="5">
        <v>100</v>
      </c>
      <c r="AB49" s="1">
        <f t="shared" si="18"/>
        <v>5.3268296427905542</v>
      </c>
      <c r="AC49" s="1">
        <f t="shared" si="19"/>
        <v>-0.15688919597714407</v>
      </c>
      <c r="AD49" s="1">
        <v>15.523999999999999</v>
      </c>
      <c r="AE49" s="1">
        <v>12.8612</v>
      </c>
      <c r="AF49" s="1">
        <v>9.6170000000000009</v>
      </c>
      <c r="AG49" s="1">
        <v>3.972</v>
      </c>
      <c r="AH49" s="1">
        <v>4.1012000000000004</v>
      </c>
      <c r="AI49" s="1">
        <v>4.9813999999999998</v>
      </c>
      <c r="AJ49" s="1">
        <v>0.87859999999999994</v>
      </c>
      <c r="AK49" s="1">
        <v>0</v>
      </c>
      <c r="AL49" s="1" t="s">
        <v>45</v>
      </c>
      <c r="AM49" s="1">
        <f t="shared" si="20"/>
        <v>100</v>
      </c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99</v>
      </c>
      <c r="B50" s="1" t="s">
        <v>48</v>
      </c>
      <c r="C50" s="1">
        <v>-13.15</v>
      </c>
      <c r="D50" s="1">
        <v>2286.15</v>
      </c>
      <c r="E50" s="1">
        <v>304</v>
      </c>
      <c r="F50" s="1">
        <v>2</v>
      </c>
      <c r="G50" s="1"/>
      <c r="H50" s="1">
        <f t="shared" si="14"/>
        <v>2</v>
      </c>
      <c r="I50" s="7">
        <v>0.35</v>
      </c>
      <c r="J50" s="1">
        <v>40</v>
      </c>
      <c r="K50" s="11" t="s">
        <v>53</v>
      </c>
      <c r="L50" s="1"/>
      <c r="M50" s="1">
        <v>373</v>
      </c>
      <c r="N50" s="1">
        <f t="shared" si="15"/>
        <v>-69</v>
      </c>
      <c r="O50" s="1">
        <f t="shared" si="16"/>
        <v>304</v>
      </c>
      <c r="P50" s="1"/>
      <c r="Q50" s="1">
        <v>382.68000000000012</v>
      </c>
      <c r="R50" s="1">
        <v>-382.85714285714289</v>
      </c>
      <c r="S50" s="1">
        <v>517.31999999999994</v>
      </c>
      <c r="T50" s="1">
        <v>-522</v>
      </c>
      <c r="U50" s="1"/>
      <c r="V50" s="1">
        <v>48.95000000000001</v>
      </c>
      <c r="W50" s="1">
        <v>-54</v>
      </c>
      <c r="X50" s="1"/>
      <c r="Y50" s="1"/>
      <c r="Z50" s="1">
        <f t="shared" si="17"/>
        <v>60.8</v>
      </c>
      <c r="AA50" s="5">
        <v>200</v>
      </c>
      <c r="AB50" s="1">
        <f t="shared" si="18"/>
        <v>3.159421992481203</v>
      </c>
      <c r="AC50" s="1">
        <f t="shared" si="19"/>
        <v>-0.13005169172932368</v>
      </c>
      <c r="AD50" s="1">
        <v>78.400000000000006</v>
      </c>
      <c r="AE50" s="1">
        <v>297.39999999999998</v>
      </c>
      <c r="AF50" s="1">
        <v>286.60000000000002</v>
      </c>
      <c r="AG50" s="1">
        <v>77.599999999999994</v>
      </c>
      <c r="AH50" s="1">
        <v>42.2</v>
      </c>
      <c r="AI50" s="1">
        <v>3.4</v>
      </c>
      <c r="AJ50" s="1">
        <v>3.8</v>
      </c>
      <c r="AK50" s="1">
        <v>49.6</v>
      </c>
      <c r="AL50" s="1" t="s">
        <v>100</v>
      </c>
      <c r="AM50" s="1">
        <f t="shared" si="20"/>
        <v>70</v>
      </c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101</v>
      </c>
      <c r="B51" s="1" t="s">
        <v>48</v>
      </c>
      <c r="C51" s="1">
        <v>51</v>
      </c>
      <c r="D51" s="1">
        <v>2148</v>
      </c>
      <c r="E51" s="1">
        <v>397</v>
      </c>
      <c r="F51" s="1">
        <v>512</v>
      </c>
      <c r="G51" s="1"/>
      <c r="H51" s="1">
        <f t="shared" si="14"/>
        <v>512</v>
      </c>
      <c r="I51" s="7">
        <v>0.4</v>
      </c>
      <c r="J51" s="1">
        <v>40</v>
      </c>
      <c r="K51" s="11" t="s">
        <v>53</v>
      </c>
      <c r="L51" s="1"/>
      <c r="M51" s="1">
        <v>445</v>
      </c>
      <c r="N51" s="1">
        <f t="shared" si="15"/>
        <v>-48</v>
      </c>
      <c r="O51" s="1">
        <f t="shared" si="16"/>
        <v>337</v>
      </c>
      <c r="P51" s="1">
        <v>60</v>
      </c>
      <c r="Q51" s="1">
        <v>50</v>
      </c>
      <c r="R51" s="1">
        <v>-55</v>
      </c>
      <c r="S51" s="1"/>
      <c r="T51" s="1"/>
      <c r="U51" s="1"/>
      <c r="V51" s="1">
        <v>15.80000000000007</v>
      </c>
      <c r="W51" s="1">
        <v>-18</v>
      </c>
      <c r="X51" s="1"/>
      <c r="Y51" s="1"/>
      <c r="Z51" s="1">
        <f t="shared" si="17"/>
        <v>67.400000000000006</v>
      </c>
      <c r="AA51" s="5">
        <v>200</v>
      </c>
      <c r="AB51" s="1">
        <f t="shared" si="18"/>
        <v>10.456973293768547</v>
      </c>
      <c r="AC51" s="1">
        <f t="shared" si="19"/>
        <v>7.4896142433234427</v>
      </c>
      <c r="AD51" s="1">
        <v>75.400000000000006</v>
      </c>
      <c r="AE51" s="1">
        <v>92</v>
      </c>
      <c r="AF51" s="1">
        <v>107</v>
      </c>
      <c r="AG51" s="1">
        <v>103</v>
      </c>
      <c r="AH51" s="1">
        <v>65.599999999999994</v>
      </c>
      <c r="AI51" s="1">
        <v>59</v>
      </c>
      <c r="AJ51" s="1">
        <v>80.2</v>
      </c>
      <c r="AK51" s="1">
        <v>84.2</v>
      </c>
      <c r="AL51" s="1"/>
      <c r="AM51" s="1">
        <f t="shared" si="20"/>
        <v>80</v>
      </c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102</v>
      </c>
      <c r="B52" s="1" t="s">
        <v>42</v>
      </c>
      <c r="C52" s="1">
        <v>51.984000000000002</v>
      </c>
      <c r="D52" s="1">
        <v>305.20499999999998</v>
      </c>
      <c r="E52" s="1">
        <v>104.358</v>
      </c>
      <c r="F52" s="1">
        <v>33.92</v>
      </c>
      <c r="G52" s="1"/>
      <c r="H52" s="1">
        <f t="shared" si="14"/>
        <v>33.92</v>
      </c>
      <c r="I52" s="7">
        <v>1</v>
      </c>
      <c r="J52" s="1">
        <v>50</v>
      </c>
      <c r="K52" s="1" t="s">
        <v>43</v>
      </c>
      <c r="L52" s="1"/>
      <c r="M52" s="1">
        <v>107</v>
      </c>
      <c r="N52" s="1">
        <f t="shared" si="15"/>
        <v>-2.6419999999999959</v>
      </c>
      <c r="O52" s="1">
        <f t="shared" si="16"/>
        <v>104.358</v>
      </c>
      <c r="P52" s="1"/>
      <c r="Q52" s="1">
        <v>175.0985</v>
      </c>
      <c r="R52" s="1"/>
      <c r="S52" s="1"/>
      <c r="T52" s="1"/>
      <c r="U52" s="1"/>
      <c r="V52" s="1">
        <v>41.567173410000002</v>
      </c>
      <c r="W52" s="1"/>
      <c r="X52" s="1"/>
      <c r="Y52" s="1">
        <v>76.959126589999983</v>
      </c>
      <c r="Z52" s="1">
        <f t="shared" si="17"/>
        <v>20.871600000000001</v>
      </c>
      <c r="AA52" s="5"/>
      <c r="AB52" s="1">
        <f t="shared" si="18"/>
        <v>15.693324900822169</v>
      </c>
      <c r="AC52" s="1">
        <f t="shared" si="19"/>
        <v>15.693324900822169</v>
      </c>
      <c r="AD52" s="1">
        <v>29.981400000000001</v>
      </c>
      <c r="AE52" s="1">
        <v>29.677399999999999</v>
      </c>
      <c r="AF52" s="1">
        <v>19.035</v>
      </c>
      <c r="AG52" s="1">
        <v>16.658200000000001</v>
      </c>
      <c r="AH52" s="1">
        <v>12.968</v>
      </c>
      <c r="AI52" s="1">
        <v>15.1008</v>
      </c>
      <c r="AJ52" s="1">
        <v>23.822600000000001</v>
      </c>
      <c r="AK52" s="1">
        <v>13.5672</v>
      </c>
      <c r="AL52" s="1"/>
      <c r="AM52" s="1">
        <f t="shared" si="20"/>
        <v>0</v>
      </c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103</v>
      </c>
      <c r="B53" s="1" t="s">
        <v>42</v>
      </c>
      <c r="C53" s="1">
        <v>-145.50899999999999</v>
      </c>
      <c r="D53" s="1">
        <v>2949.799</v>
      </c>
      <c r="E53" s="1">
        <v>792.02800000000002</v>
      </c>
      <c r="F53" s="1">
        <v>642.00400000000002</v>
      </c>
      <c r="G53" s="1"/>
      <c r="H53" s="1">
        <f t="shared" si="14"/>
        <v>642.00400000000002</v>
      </c>
      <c r="I53" s="7">
        <v>1</v>
      </c>
      <c r="J53" s="1">
        <v>50</v>
      </c>
      <c r="K53" s="1" t="s">
        <v>43</v>
      </c>
      <c r="L53" s="1"/>
      <c r="M53" s="1">
        <v>949.02800000000002</v>
      </c>
      <c r="N53" s="1">
        <f t="shared" si="15"/>
        <v>-157</v>
      </c>
      <c r="O53" s="1">
        <f t="shared" si="16"/>
        <v>413.3</v>
      </c>
      <c r="P53" s="1">
        <v>378.72800000000001</v>
      </c>
      <c r="Q53" s="1">
        <v>191.34</v>
      </c>
      <c r="R53" s="1"/>
      <c r="S53" s="1">
        <v>258.66000000000003</v>
      </c>
      <c r="T53" s="1"/>
      <c r="U53" s="1"/>
      <c r="V53" s="1">
        <v>0</v>
      </c>
      <c r="W53" s="1"/>
      <c r="X53" s="1"/>
      <c r="Y53" s="1"/>
      <c r="Z53" s="1">
        <f t="shared" si="17"/>
        <v>82.66</v>
      </c>
      <c r="AA53" s="5"/>
      <c r="AB53" s="1">
        <f t="shared" si="18"/>
        <v>13.210791192838133</v>
      </c>
      <c r="AC53" s="1">
        <f t="shared" si="19"/>
        <v>13.210791192838133</v>
      </c>
      <c r="AD53" s="1">
        <v>80.614800000000002</v>
      </c>
      <c r="AE53" s="1">
        <v>94.964200000000005</v>
      </c>
      <c r="AF53" s="1">
        <v>153.36920000000001</v>
      </c>
      <c r="AG53" s="1">
        <v>161.00640000000001</v>
      </c>
      <c r="AH53" s="1">
        <v>71.831199999999995</v>
      </c>
      <c r="AI53" s="1">
        <v>69.209599999999995</v>
      </c>
      <c r="AJ53" s="1">
        <v>101.32680000000001</v>
      </c>
      <c r="AK53" s="1">
        <v>163.22460000000001</v>
      </c>
      <c r="AL53" s="1" t="s">
        <v>45</v>
      </c>
      <c r="AM53" s="1">
        <f t="shared" si="20"/>
        <v>0</v>
      </c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2" t="s">
        <v>104</v>
      </c>
      <c r="B54" s="12" t="s">
        <v>42</v>
      </c>
      <c r="C54" s="12"/>
      <c r="D54" s="12"/>
      <c r="E54" s="12"/>
      <c r="F54" s="12"/>
      <c r="G54" s="12"/>
      <c r="H54" s="12">
        <f t="shared" si="14"/>
        <v>0</v>
      </c>
      <c r="I54" s="13">
        <v>0</v>
      </c>
      <c r="J54" s="12"/>
      <c r="K54" s="12" t="s">
        <v>43</v>
      </c>
      <c r="L54" s="12"/>
      <c r="M54" s="12"/>
      <c r="N54" s="12">
        <f t="shared" si="15"/>
        <v>0</v>
      </c>
      <c r="O54" s="12">
        <f t="shared" si="16"/>
        <v>0</v>
      </c>
      <c r="P54" s="12"/>
      <c r="Q54" s="12">
        <v>0</v>
      </c>
      <c r="R54" s="12"/>
      <c r="S54" s="12"/>
      <c r="T54" s="12"/>
      <c r="U54" s="12"/>
      <c r="V54" s="12">
        <v>0</v>
      </c>
      <c r="W54" s="12"/>
      <c r="X54" s="12"/>
      <c r="Y54" s="12"/>
      <c r="Z54" s="12">
        <f t="shared" si="17"/>
        <v>0</v>
      </c>
      <c r="AA54" s="14"/>
      <c r="AB54" s="12" t="e">
        <f t="shared" si="18"/>
        <v>#DIV/0!</v>
      </c>
      <c r="AC54" s="12" t="e">
        <f t="shared" si="19"/>
        <v>#DIV/0!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 t="s">
        <v>65</v>
      </c>
      <c r="AM54" s="12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105</v>
      </c>
      <c r="B55" s="1" t="s">
        <v>48</v>
      </c>
      <c r="C55" s="1">
        <v>779</v>
      </c>
      <c r="D55" s="1">
        <v>1781</v>
      </c>
      <c r="E55" s="1">
        <v>311</v>
      </c>
      <c r="F55" s="1">
        <v>509</v>
      </c>
      <c r="G55" s="1"/>
      <c r="H55" s="1">
        <f t="shared" si="14"/>
        <v>509</v>
      </c>
      <c r="I55" s="7">
        <v>0.45</v>
      </c>
      <c r="J55" s="1">
        <v>50</v>
      </c>
      <c r="K55" s="1" t="s">
        <v>43</v>
      </c>
      <c r="L55" s="1"/>
      <c r="M55" s="1">
        <v>361</v>
      </c>
      <c r="N55" s="1">
        <f t="shared" si="15"/>
        <v>-50</v>
      </c>
      <c r="O55" s="1">
        <f t="shared" si="16"/>
        <v>311</v>
      </c>
      <c r="P55" s="1"/>
      <c r="Q55" s="1">
        <v>0</v>
      </c>
      <c r="R55" s="1"/>
      <c r="S55" s="1"/>
      <c r="T55" s="1"/>
      <c r="U55" s="1"/>
      <c r="V55" s="1">
        <v>103.03565999999999</v>
      </c>
      <c r="W55" s="1"/>
      <c r="X55" s="1"/>
      <c r="Y55" s="1">
        <v>190.76434</v>
      </c>
      <c r="Z55" s="1">
        <f t="shared" si="17"/>
        <v>62.2</v>
      </c>
      <c r="AA55" s="5"/>
      <c r="AB55" s="1">
        <f t="shared" si="18"/>
        <v>12.906752411575562</v>
      </c>
      <c r="AC55" s="1">
        <f t="shared" si="19"/>
        <v>12.906752411575562</v>
      </c>
      <c r="AD55" s="1">
        <v>72.400000000000006</v>
      </c>
      <c r="AE55" s="1">
        <v>68</v>
      </c>
      <c r="AF55" s="1">
        <v>63</v>
      </c>
      <c r="AG55" s="1">
        <v>61</v>
      </c>
      <c r="AH55" s="1">
        <v>62.8</v>
      </c>
      <c r="AI55" s="1">
        <v>62.4</v>
      </c>
      <c r="AJ55" s="1">
        <v>49.2</v>
      </c>
      <c r="AK55" s="1">
        <v>43.6</v>
      </c>
      <c r="AL55" s="1"/>
      <c r="AM55" s="1">
        <f>I55*AA55</f>
        <v>0</v>
      </c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106</v>
      </c>
      <c r="B56" s="1" t="s">
        <v>48</v>
      </c>
      <c r="C56" s="1">
        <v>561</v>
      </c>
      <c r="D56" s="1">
        <v>3762</v>
      </c>
      <c r="E56" s="1">
        <v>558</v>
      </c>
      <c r="F56" s="1">
        <v>493</v>
      </c>
      <c r="G56" s="1"/>
      <c r="H56" s="1">
        <f t="shared" si="14"/>
        <v>493</v>
      </c>
      <c r="I56" s="7">
        <v>0.45</v>
      </c>
      <c r="J56" s="1">
        <v>50</v>
      </c>
      <c r="K56" s="1" t="s">
        <v>43</v>
      </c>
      <c r="L56" s="1"/>
      <c r="M56" s="1">
        <v>575</v>
      </c>
      <c r="N56" s="1">
        <f t="shared" si="15"/>
        <v>-17</v>
      </c>
      <c r="O56" s="1">
        <f t="shared" si="16"/>
        <v>558</v>
      </c>
      <c r="P56" s="1"/>
      <c r="Q56" s="1">
        <v>0</v>
      </c>
      <c r="R56" s="1"/>
      <c r="S56" s="1"/>
      <c r="T56" s="1"/>
      <c r="U56" s="1"/>
      <c r="V56" s="1">
        <v>111.8031600000001</v>
      </c>
      <c r="W56" s="1"/>
      <c r="X56" s="1"/>
      <c r="Y56" s="1">
        <v>206.99684000000011</v>
      </c>
      <c r="Z56" s="1">
        <f t="shared" si="17"/>
        <v>111.6</v>
      </c>
      <c r="AA56" s="5">
        <f t="shared" ref="AA55:AA56" si="22">11*Z56-Y56-X56-W56-V56-U56-T56-S56-R56-Q56-H56</f>
        <v>415.79999999999973</v>
      </c>
      <c r="AB56" s="1">
        <f t="shared" si="18"/>
        <v>11</v>
      </c>
      <c r="AC56" s="1">
        <f t="shared" si="19"/>
        <v>7.2741935483870996</v>
      </c>
      <c r="AD56" s="1">
        <v>97.4</v>
      </c>
      <c r="AE56" s="1">
        <v>85.4</v>
      </c>
      <c r="AF56" s="1">
        <v>118.6</v>
      </c>
      <c r="AG56" s="1">
        <v>121</v>
      </c>
      <c r="AH56" s="1">
        <v>89.2</v>
      </c>
      <c r="AI56" s="1">
        <v>85.2</v>
      </c>
      <c r="AJ56" s="1">
        <v>83.8</v>
      </c>
      <c r="AK56" s="1">
        <v>97.4</v>
      </c>
      <c r="AL56" s="1"/>
      <c r="AM56" s="1">
        <f>I56*AA56</f>
        <v>187.10999999999987</v>
      </c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2" t="s">
        <v>107</v>
      </c>
      <c r="B57" s="12" t="s">
        <v>48</v>
      </c>
      <c r="C57" s="12"/>
      <c r="D57" s="12"/>
      <c r="E57" s="12"/>
      <c r="F57" s="12"/>
      <c r="G57" s="12"/>
      <c r="H57" s="12">
        <f t="shared" si="14"/>
        <v>0</v>
      </c>
      <c r="I57" s="13">
        <v>0</v>
      </c>
      <c r="J57" s="12"/>
      <c r="K57" s="12" t="s">
        <v>43</v>
      </c>
      <c r="L57" s="12"/>
      <c r="M57" s="12"/>
      <c r="N57" s="12">
        <f t="shared" si="15"/>
        <v>0</v>
      </c>
      <c r="O57" s="12">
        <f t="shared" si="16"/>
        <v>0</v>
      </c>
      <c r="P57" s="12"/>
      <c r="Q57" s="12">
        <v>0</v>
      </c>
      <c r="R57" s="12"/>
      <c r="S57" s="12"/>
      <c r="T57" s="12"/>
      <c r="U57" s="12"/>
      <c r="V57" s="12">
        <v>0</v>
      </c>
      <c r="W57" s="12"/>
      <c r="X57" s="12"/>
      <c r="Y57" s="12"/>
      <c r="Z57" s="12">
        <f t="shared" si="17"/>
        <v>0</v>
      </c>
      <c r="AA57" s="14"/>
      <c r="AB57" s="12" t="e">
        <f t="shared" si="18"/>
        <v>#DIV/0!</v>
      </c>
      <c r="AC57" s="12" t="e">
        <f t="shared" si="19"/>
        <v>#DIV/0!</v>
      </c>
      <c r="AD57" s="12">
        <v>0</v>
      </c>
      <c r="AE57" s="12">
        <v>0</v>
      </c>
      <c r="AF57" s="12">
        <v>0</v>
      </c>
      <c r="AG57" s="12">
        <v>0</v>
      </c>
      <c r="AH57" s="12">
        <v>0</v>
      </c>
      <c r="AI57" s="12">
        <v>0</v>
      </c>
      <c r="AJ57" s="12">
        <v>0</v>
      </c>
      <c r="AK57" s="12">
        <v>0</v>
      </c>
      <c r="AL57" s="12" t="s">
        <v>65</v>
      </c>
      <c r="AM57" s="12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108</v>
      </c>
      <c r="B58" s="1" t="s">
        <v>48</v>
      </c>
      <c r="C58" s="1">
        <v>106</v>
      </c>
      <c r="D58" s="1">
        <v>55</v>
      </c>
      <c r="E58" s="1">
        <v>37</v>
      </c>
      <c r="F58" s="1">
        <v>89</v>
      </c>
      <c r="G58" s="1"/>
      <c r="H58" s="1">
        <f t="shared" si="14"/>
        <v>89</v>
      </c>
      <c r="I58" s="7">
        <v>0.4</v>
      </c>
      <c r="J58" s="1">
        <v>40</v>
      </c>
      <c r="K58" s="11" t="s">
        <v>53</v>
      </c>
      <c r="L58" s="1"/>
      <c r="M58" s="1">
        <v>52</v>
      </c>
      <c r="N58" s="1">
        <f t="shared" si="15"/>
        <v>-15</v>
      </c>
      <c r="O58" s="1">
        <f t="shared" si="16"/>
        <v>37</v>
      </c>
      <c r="P58" s="1"/>
      <c r="Q58" s="1">
        <v>0</v>
      </c>
      <c r="R58" s="1"/>
      <c r="S58" s="1"/>
      <c r="T58" s="1"/>
      <c r="U58" s="1"/>
      <c r="V58" s="1">
        <v>0</v>
      </c>
      <c r="W58" s="1"/>
      <c r="X58" s="1"/>
      <c r="Y58" s="1"/>
      <c r="Z58" s="1">
        <f t="shared" si="17"/>
        <v>7.4</v>
      </c>
      <c r="AA58" s="5"/>
      <c r="AB58" s="1">
        <f t="shared" si="18"/>
        <v>12.027027027027026</v>
      </c>
      <c r="AC58" s="1">
        <f t="shared" si="19"/>
        <v>12.027027027027026</v>
      </c>
      <c r="AD58" s="1">
        <v>5.4</v>
      </c>
      <c r="AE58" s="1">
        <v>6</v>
      </c>
      <c r="AF58" s="1">
        <v>5.2</v>
      </c>
      <c r="AG58" s="1">
        <v>6.6</v>
      </c>
      <c r="AH58" s="1">
        <v>2.6</v>
      </c>
      <c r="AI58" s="1">
        <v>2.8</v>
      </c>
      <c r="AJ58" s="1">
        <v>8.1999999999999993</v>
      </c>
      <c r="AK58" s="1">
        <v>6.6</v>
      </c>
      <c r="AL58" s="16" t="s">
        <v>67</v>
      </c>
      <c r="AM58" s="1">
        <f t="shared" ref="AM58:AM72" si="23">I58*AA58</f>
        <v>0</v>
      </c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109</v>
      </c>
      <c r="B59" s="1" t="s">
        <v>42</v>
      </c>
      <c r="C59" s="1">
        <v>-210.947</v>
      </c>
      <c r="D59" s="1">
        <v>2806.7089999999998</v>
      </c>
      <c r="E59" s="1">
        <v>869.43200000000002</v>
      </c>
      <c r="F59" s="1">
        <v>514.78599999999994</v>
      </c>
      <c r="G59" s="1"/>
      <c r="H59" s="1">
        <f t="shared" si="14"/>
        <v>514.78599999999994</v>
      </c>
      <c r="I59" s="7">
        <v>1</v>
      </c>
      <c r="J59" s="1">
        <v>50</v>
      </c>
      <c r="K59" s="1" t="s">
        <v>43</v>
      </c>
      <c r="L59" s="1"/>
      <c r="M59" s="1">
        <v>936.61300000000006</v>
      </c>
      <c r="N59" s="1">
        <f t="shared" si="15"/>
        <v>-67.18100000000004</v>
      </c>
      <c r="O59" s="1">
        <f t="shared" si="16"/>
        <v>869.43200000000002</v>
      </c>
      <c r="P59" s="1"/>
      <c r="Q59" s="1">
        <v>140.64779308448001</v>
      </c>
      <c r="R59" s="1"/>
      <c r="S59" s="1">
        <v>190.13252931552009</v>
      </c>
      <c r="T59" s="1"/>
      <c r="U59" s="1"/>
      <c r="V59" s="1">
        <v>70.140000000000015</v>
      </c>
      <c r="W59" s="1"/>
      <c r="X59" s="1"/>
      <c r="Y59" s="1">
        <v>129.86000000000001</v>
      </c>
      <c r="Z59" s="1">
        <f t="shared" si="17"/>
        <v>173.88640000000001</v>
      </c>
      <c r="AA59" s="5">
        <f t="shared" ref="AA58:AA72" si="24">11*Z59-Y59-X59-W59-V59-U59-T59-S59-R59-Q59-H59</f>
        <v>867.18407760000002</v>
      </c>
      <c r="AB59" s="1">
        <f t="shared" si="18"/>
        <v>10.999999999999998</v>
      </c>
      <c r="AC59" s="1">
        <f t="shared" si="19"/>
        <v>6.012927534298254</v>
      </c>
      <c r="AD59" s="1">
        <v>123.2016</v>
      </c>
      <c r="AE59" s="1">
        <v>136.36320000000001</v>
      </c>
      <c r="AF59" s="1">
        <v>140.7388</v>
      </c>
      <c r="AG59" s="1">
        <v>154.60720000000001</v>
      </c>
      <c r="AH59" s="1">
        <v>64.628200000000007</v>
      </c>
      <c r="AI59" s="1">
        <v>46.284599999999998</v>
      </c>
      <c r="AJ59" s="1">
        <v>73.507800000000003</v>
      </c>
      <c r="AK59" s="1">
        <v>80.846599999999995</v>
      </c>
      <c r="AL59" s="1"/>
      <c r="AM59" s="1">
        <f t="shared" si="23"/>
        <v>867.18407760000002</v>
      </c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110</v>
      </c>
      <c r="B60" s="1" t="s">
        <v>48</v>
      </c>
      <c r="C60" s="1">
        <v>102</v>
      </c>
      <c r="D60" s="1">
        <v>1044</v>
      </c>
      <c r="E60" s="15">
        <f>207+E137</f>
        <v>315</v>
      </c>
      <c r="F60" s="15">
        <f>814+F137</f>
        <v>824</v>
      </c>
      <c r="G60" s="1"/>
      <c r="H60" s="1">
        <f t="shared" si="14"/>
        <v>824</v>
      </c>
      <c r="I60" s="7">
        <v>0.1</v>
      </c>
      <c r="J60" s="1">
        <v>731</v>
      </c>
      <c r="K60" s="1" t="s">
        <v>43</v>
      </c>
      <c r="L60" s="1"/>
      <c r="M60" s="1">
        <v>222</v>
      </c>
      <c r="N60" s="1">
        <f t="shared" si="15"/>
        <v>93</v>
      </c>
      <c r="O60" s="1">
        <f t="shared" si="16"/>
        <v>315</v>
      </c>
      <c r="P60" s="1"/>
      <c r="Q60" s="1">
        <v>50</v>
      </c>
      <c r="R60" s="1"/>
      <c r="S60" s="1"/>
      <c r="T60" s="1"/>
      <c r="U60" s="1"/>
      <c r="V60" s="1">
        <v>0</v>
      </c>
      <c r="W60" s="1"/>
      <c r="X60" s="1"/>
      <c r="Y60" s="1"/>
      <c r="Z60" s="1">
        <f t="shared" si="17"/>
        <v>63</v>
      </c>
      <c r="AA60" s="5"/>
      <c r="AB60" s="1">
        <f t="shared" si="18"/>
        <v>13.873015873015873</v>
      </c>
      <c r="AC60" s="1">
        <f t="shared" si="19"/>
        <v>13.873015873015873</v>
      </c>
      <c r="AD60" s="1">
        <v>65.400000000000006</v>
      </c>
      <c r="AE60" s="1">
        <v>33.4</v>
      </c>
      <c r="AF60" s="1">
        <v>37</v>
      </c>
      <c r="AG60" s="1">
        <v>62.6</v>
      </c>
      <c r="AH60" s="1">
        <v>35.200000000000003</v>
      </c>
      <c r="AI60" s="1">
        <v>18.2</v>
      </c>
      <c r="AJ60" s="1">
        <v>21.2</v>
      </c>
      <c r="AK60" s="1">
        <v>26.6</v>
      </c>
      <c r="AL60" s="1"/>
      <c r="AM60" s="1">
        <f t="shared" si="23"/>
        <v>0</v>
      </c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111</v>
      </c>
      <c r="B61" s="1" t="s">
        <v>42</v>
      </c>
      <c r="C61" s="1">
        <v>392.142</v>
      </c>
      <c r="D61" s="1">
        <v>1340.6790000000001</v>
      </c>
      <c r="E61" s="1">
        <v>604.67999999999995</v>
      </c>
      <c r="F61" s="1">
        <v>55.747999999999998</v>
      </c>
      <c r="G61" s="1"/>
      <c r="H61" s="1">
        <f t="shared" si="14"/>
        <v>55.747999999999998</v>
      </c>
      <c r="I61" s="7">
        <v>1</v>
      </c>
      <c r="J61" s="1">
        <v>50</v>
      </c>
      <c r="K61" s="1" t="s">
        <v>43</v>
      </c>
      <c r="L61" s="1"/>
      <c r="M61" s="1">
        <v>760.30499999999995</v>
      </c>
      <c r="N61" s="1">
        <f t="shared" si="15"/>
        <v>-155.625</v>
      </c>
      <c r="O61" s="1">
        <f t="shared" si="16"/>
        <v>497.77499999999998</v>
      </c>
      <c r="P61" s="1">
        <v>106.905</v>
      </c>
      <c r="Q61" s="1">
        <v>152.58144676000001</v>
      </c>
      <c r="R61" s="1"/>
      <c r="S61" s="1">
        <v>206.26485324000001</v>
      </c>
      <c r="T61" s="1"/>
      <c r="U61" s="1"/>
      <c r="V61" s="1">
        <v>260.85595556999988</v>
      </c>
      <c r="W61" s="1"/>
      <c r="X61" s="1"/>
      <c r="Y61" s="1">
        <v>482.9591444299997</v>
      </c>
      <c r="Z61" s="1">
        <f t="shared" si="17"/>
        <v>99.554999999999993</v>
      </c>
      <c r="AA61" s="5"/>
      <c r="AB61" s="1">
        <f t="shared" si="18"/>
        <v>11.635873637687707</v>
      </c>
      <c r="AC61" s="1">
        <f t="shared" si="19"/>
        <v>11.635873637687707</v>
      </c>
      <c r="AD61" s="1">
        <v>115.2872</v>
      </c>
      <c r="AE61" s="1">
        <v>98.024599999999992</v>
      </c>
      <c r="AF61" s="1">
        <v>102.12820000000001</v>
      </c>
      <c r="AG61" s="1">
        <v>92.134600000000006</v>
      </c>
      <c r="AH61" s="1">
        <v>28.6614</v>
      </c>
      <c r="AI61" s="1">
        <v>42.103200000000001</v>
      </c>
      <c r="AJ61" s="1">
        <v>122.72580000000001</v>
      </c>
      <c r="AK61" s="1">
        <v>148.85560000000001</v>
      </c>
      <c r="AL61" s="1"/>
      <c r="AM61" s="1">
        <f t="shared" si="23"/>
        <v>0</v>
      </c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112</v>
      </c>
      <c r="B62" s="1" t="s">
        <v>42</v>
      </c>
      <c r="C62" s="1">
        <v>32.741</v>
      </c>
      <c r="D62" s="1">
        <v>70.808999999999997</v>
      </c>
      <c r="E62" s="1">
        <v>20.452000000000002</v>
      </c>
      <c r="F62" s="1"/>
      <c r="G62" s="1"/>
      <c r="H62" s="1">
        <f t="shared" si="14"/>
        <v>0</v>
      </c>
      <c r="I62" s="7">
        <v>1</v>
      </c>
      <c r="J62" s="1">
        <v>55</v>
      </c>
      <c r="K62" s="1" t="s">
        <v>43</v>
      </c>
      <c r="L62" s="1"/>
      <c r="M62" s="1">
        <v>41.936</v>
      </c>
      <c r="N62" s="1">
        <f t="shared" si="15"/>
        <v>-21.483999999999998</v>
      </c>
      <c r="O62" s="1">
        <f t="shared" si="16"/>
        <v>20.452000000000002</v>
      </c>
      <c r="P62" s="1"/>
      <c r="Q62" s="1">
        <v>109.2462</v>
      </c>
      <c r="R62" s="1"/>
      <c r="S62" s="1"/>
      <c r="T62" s="1"/>
      <c r="U62" s="1"/>
      <c r="V62" s="1">
        <v>44.739780959999997</v>
      </c>
      <c r="W62" s="1"/>
      <c r="X62" s="1"/>
      <c r="Y62" s="1">
        <v>82.833019040000011</v>
      </c>
      <c r="Z62" s="1">
        <f t="shared" si="17"/>
        <v>4.0904000000000007</v>
      </c>
      <c r="AA62" s="5"/>
      <c r="AB62" s="1">
        <f t="shared" si="18"/>
        <v>57.89629376100136</v>
      </c>
      <c r="AC62" s="1">
        <f t="shared" si="19"/>
        <v>57.89629376100136</v>
      </c>
      <c r="AD62" s="1">
        <v>20.759</v>
      </c>
      <c r="AE62" s="1">
        <v>17.7484</v>
      </c>
      <c r="AF62" s="1">
        <v>2.9815999999999998</v>
      </c>
      <c r="AG62" s="1">
        <v>5.4039999999999999</v>
      </c>
      <c r="AH62" s="1">
        <v>9.4480000000000004</v>
      </c>
      <c r="AI62" s="1">
        <v>7.5763999999999996</v>
      </c>
      <c r="AJ62" s="1">
        <v>5.4626000000000001</v>
      </c>
      <c r="AK62" s="1">
        <v>6.831999999999999</v>
      </c>
      <c r="AL62" s="1"/>
      <c r="AM62" s="1">
        <f t="shared" si="23"/>
        <v>0</v>
      </c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113</v>
      </c>
      <c r="B63" s="1" t="s">
        <v>48</v>
      </c>
      <c r="C63" s="1">
        <v>189</v>
      </c>
      <c r="D63" s="1">
        <v>715</v>
      </c>
      <c r="E63" s="1">
        <v>175</v>
      </c>
      <c r="F63" s="1">
        <v>630</v>
      </c>
      <c r="G63" s="1"/>
      <c r="H63" s="1">
        <f t="shared" si="14"/>
        <v>630</v>
      </c>
      <c r="I63" s="7">
        <v>0.1</v>
      </c>
      <c r="J63" s="1">
        <v>731</v>
      </c>
      <c r="K63" s="1" t="s">
        <v>43</v>
      </c>
      <c r="L63" s="1"/>
      <c r="M63" s="1">
        <v>188</v>
      </c>
      <c r="N63" s="1">
        <f t="shared" si="15"/>
        <v>-13</v>
      </c>
      <c r="O63" s="1">
        <f t="shared" si="16"/>
        <v>175</v>
      </c>
      <c r="P63" s="1"/>
      <c r="Q63" s="1">
        <v>50</v>
      </c>
      <c r="R63" s="1"/>
      <c r="S63" s="1"/>
      <c r="T63" s="1"/>
      <c r="U63" s="1"/>
      <c r="V63" s="1">
        <v>0</v>
      </c>
      <c r="W63" s="1"/>
      <c r="X63" s="1"/>
      <c r="Y63" s="1"/>
      <c r="Z63" s="1">
        <f t="shared" si="17"/>
        <v>35</v>
      </c>
      <c r="AA63" s="5"/>
      <c r="AB63" s="1">
        <f t="shared" si="18"/>
        <v>19.428571428571427</v>
      </c>
      <c r="AC63" s="1">
        <f t="shared" si="19"/>
        <v>19.428571428571427</v>
      </c>
      <c r="AD63" s="1">
        <v>40.200000000000003</v>
      </c>
      <c r="AE63" s="1">
        <v>25.8</v>
      </c>
      <c r="AF63" s="1">
        <v>29</v>
      </c>
      <c r="AG63" s="1">
        <v>47</v>
      </c>
      <c r="AH63" s="1">
        <v>28.2</v>
      </c>
      <c r="AI63" s="1">
        <v>12</v>
      </c>
      <c r="AJ63" s="1">
        <v>17.2</v>
      </c>
      <c r="AK63" s="1">
        <v>18.600000000000001</v>
      </c>
      <c r="AL63" s="1"/>
      <c r="AM63" s="1">
        <f t="shared" si="23"/>
        <v>0</v>
      </c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114</v>
      </c>
      <c r="B64" s="1" t="s">
        <v>48</v>
      </c>
      <c r="C64" s="1">
        <v>22</v>
      </c>
      <c r="D64" s="1">
        <v>8</v>
      </c>
      <c r="E64" s="1">
        <v>7</v>
      </c>
      <c r="F64" s="1"/>
      <c r="G64" s="1"/>
      <c r="H64" s="1">
        <f t="shared" si="14"/>
        <v>0</v>
      </c>
      <c r="I64" s="7">
        <v>0.4</v>
      </c>
      <c r="J64" s="1">
        <v>50</v>
      </c>
      <c r="K64" s="1" t="s">
        <v>43</v>
      </c>
      <c r="L64" s="1"/>
      <c r="M64" s="1">
        <v>9</v>
      </c>
      <c r="N64" s="1">
        <f t="shared" si="15"/>
        <v>-2</v>
      </c>
      <c r="O64" s="1">
        <f t="shared" si="16"/>
        <v>7</v>
      </c>
      <c r="P64" s="1"/>
      <c r="Q64" s="1">
        <v>0</v>
      </c>
      <c r="R64" s="1"/>
      <c r="S64" s="1"/>
      <c r="T64" s="1"/>
      <c r="U64" s="1"/>
      <c r="V64" s="1">
        <v>0</v>
      </c>
      <c r="W64" s="1"/>
      <c r="X64" s="1"/>
      <c r="Y64" s="1"/>
      <c r="Z64" s="1">
        <f t="shared" si="17"/>
        <v>1.4</v>
      </c>
      <c r="AA64" s="5">
        <v>10</v>
      </c>
      <c r="AB64" s="1">
        <f t="shared" si="18"/>
        <v>7.1428571428571432</v>
      </c>
      <c r="AC64" s="1">
        <f t="shared" si="19"/>
        <v>0</v>
      </c>
      <c r="AD64" s="1">
        <v>1</v>
      </c>
      <c r="AE64" s="1">
        <v>0.6</v>
      </c>
      <c r="AF64" s="1">
        <v>0.2</v>
      </c>
      <c r="AG64" s="1">
        <v>0.2</v>
      </c>
      <c r="AH64" s="1">
        <v>0.2</v>
      </c>
      <c r="AI64" s="1">
        <v>0.2</v>
      </c>
      <c r="AJ64" s="1">
        <v>0.2</v>
      </c>
      <c r="AK64" s="1">
        <v>0</v>
      </c>
      <c r="AL64" s="10" t="s">
        <v>189</v>
      </c>
      <c r="AM64" s="1">
        <f t="shared" si="23"/>
        <v>4</v>
      </c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115</v>
      </c>
      <c r="B65" s="1" t="s">
        <v>42</v>
      </c>
      <c r="C65" s="1">
        <v>-41.265999999999998</v>
      </c>
      <c r="D65" s="1">
        <v>1367.1110000000001</v>
      </c>
      <c r="E65" s="1">
        <v>389.38900000000001</v>
      </c>
      <c r="F65" s="1">
        <v>399.404</v>
      </c>
      <c r="G65" s="1"/>
      <c r="H65" s="1">
        <f t="shared" si="14"/>
        <v>399.404</v>
      </c>
      <c r="I65" s="7">
        <v>1</v>
      </c>
      <c r="J65" s="1">
        <v>40</v>
      </c>
      <c r="K65" s="11" t="s">
        <v>53</v>
      </c>
      <c r="L65" s="1"/>
      <c r="M65" s="1">
        <v>424.23700000000002</v>
      </c>
      <c r="N65" s="1">
        <f t="shared" si="15"/>
        <v>-34.848000000000013</v>
      </c>
      <c r="O65" s="1">
        <f t="shared" si="16"/>
        <v>254.352</v>
      </c>
      <c r="P65" s="1">
        <v>135.03700000000001</v>
      </c>
      <c r="Q65" s="1">
        <v>200</v>
      </c>
      <c r="R65" s="1"/>
      <c r="S65" s="1"/>
      <c r="T65" s="1"/>
      <c r="U65" s="1"/>
      <c r="V65" s="1">
        <v>0</v>
      </c>
      <c r="W65" s="1"/>
      <c r="X65" s="1"/>
      <c r="Y65" s="1"/>
      <c r="Z65" s="1">
        <f t="shared" si="17"/>
        <v>50.870400000000004</v>
      </c>
      <c r="AA65" s="5">
        <v>50</v>
      </c>
      <c r="AB65" s="1">
        <f t="shared" si="18"/>
        <v>12.765852047556141</v>
      </c>
      <c r="AC65" s="1">
        <f t="shared" si="19"/>
        <v>11.782962194124677</v>
      </c>
      <c r="AD65" s="1">
        <v>19.090599999999998</v>
      </c>
      <c r="AE65" s="1">
        <v>23.803599999999999</v>
      </c>
      <c r="AF65" s="1">
        <v>71.302800000000005</v>
      </c>
      <c r="AG65" s="1">
        <v>74.102599999999995</v>
      </c>
      <c r="AH65" s="1">
        <v>40.983999999999988</v>
      </c>
      <c r="AI65" s="1">
        <v>8.3099999999999987</v>
      </c>
      <c r="AJ65" s="1">
        <v>26.265000000000001</v>
      </c>
      <c r="AK65" s="1">
        <v>55.605400000000003</v>
      </c>
      <c r="AL65" s="1" t="s">
        <v>45</v>
      </c>
      <c r="AM65" s="1">
        <f t="shared" si="23"/>
        <v>50</v>
      </c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116</v>
      </c>
      <c r="B66" s="1" t="s">
        <v>42</v>
      </c>
      <c r="C66" s="1">
        <v>-94.335999999999999</v>
      </c>
      <c r="D66" s="1">
        <v>761.11400000000003</v>
      </c>
      <c r="E66" s="1">
        <v>306.61399999999998</v>
      </c>
      <c r="F66" s="1">
        <v>15.821999999999999</v>
      </c>
      <c r="G66" s="1"/>
      <c r="H66" s="1">
        <f t="shared" si="14"/>
        <v>15.821999999999999</v>
      </c>
      <c r="I66" s="7">
        <v>1</v>
      </c>
      <c r="J66" s="1">
        <v>40</v>
      </c>
      <c r="K66" s="11" t="s">
        <v>53</v>
      </c>
      <c r="L66" s="1"/>
      <c r="M66" s="1">
        <v>548.88499999999999</v>
      </c>
      <c r="N66" s="1">
        <f t="shared" si="15"/>
        <v>-242.27100000000002</v>
      </c>
      <c r="O66" s="1">
        <f t="shared" si="16"/>
        <v>164.22899999999998</v>
      </c>
      <c r="P66" s="1">
        <v>142.38499999999999</v>
      </c>
      <c r="Q66" s="1">
        <v>100</v>
      </c>
      <c r="R66" s="1">
        <v>-105</v>
      </c>
      <c r="S66" s="1"/>
      <c r="T66" s="1"/>
      <c r="U66" s="1"/>
      <c r="V66" s="1">
        <v>400</v>
      </c>
      <c r="W66" s="1">
        <v>-405</v>
      </c>
      <c r="X66" s="1"/>
      <c r="Y66" s="1">
        <v>200</v>
      </c>
      <c r="Z66" s="1">
        <f t="shared" si="17"/>
        <v>32.845799999999997</v>
      </c>
      <c r="AA66" s="5">
        <v>200</v>
      </c>
      <c r="AB66" s="1">
        <f t="shared" si="18"/>
        <v>12.355369636300534</v>
      </c>
      <c r="AC66" s="1">
        <f t="shared" si="19"/>
        <v>6.2663110656461409</v>
      </c>
      <c r="AD66" s="1">
        <v>64.912599999999998</v>
      </c>
      <c r="AE66" s="1">
        <v>19.1128</v>
      </c>
      <c r="AF66" s="1">
        <v>32.8048</v>
      </c>
      <c r="AG66" s="1">
        <v>35.227999999999987</v>
      </c>
      <c r="AH66" s="1">
        <v>10.414</v>
      </c>
      <c r="AI66" s="1">
        <v>0.26600000000000001</v>
      </c>
      <c r="AJ66" s="1">
        <v>12.8588</v>
      </c>
      <c r="AK66" s="1">
        <v>32.803199999999997</v>
      </c>
      <c r="AL66" s="1" t="s">
        <v>45</v>
      </c>
      <c r="AM66" s="1">
        <f t="shared" si="23"/>
        <v>200</v>
      </c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117</v>
      </c>
      <c r="B67" s="1" t="s">
        <v>48</v>
      </c>
      <c r="C67" s="1">
        <v>-5</v>
      </c>
      <c r="D67" s="1">
        <v>4057</v>
      </c>
      <c r="E67" s="1">
        <v>679</v>
      </c>
      <c r="F67" s="1">
        <v>1437</v>
      </c>
      <c r="G67" s="1"/>
      <c r="H67" s="1">
        <f t="shared" si="14"/>
        <v>1437</v>
      </c>
      <c r="I67" s="7">
        <v>0.4</v>
      </c>
      <c r="J67" s="1">
        <v>40</v>
      </c>
      <c r="K67" s="11" t="s">
        <v>53</v>
      </c>
      <c r="L67" s="1"/>
      <c r="M67" s="1">
        <v>703</v>
      </c>
      <c r="N67" s="1">
        <f t="shared" si="15"/>
        <v>-24</v>
      </c>
      <c r="O67" s="1">
        <f t="shared" si="16"/>
        <v>619</v>
      </c>
      <c r="P67" s="1">
        <v>60</v>
      </c>
      <c r="Q67" s="1">
        <v>150</v>
      </c>
      <c r="R67" s="1">
        <v>-150</v>
      </c>
      <c r="S67" s="1"/>
      <c r="T67" s="1"/>
      <c r="U67" s="1"/>
      <c r="V67" s="1">
        <v>0</v>
      </c>
      <c r="W67" s="1"/>
      <c r="X67" s="1"/>
      <c r="Y67" s="1"/>
      <c r="Z67" s="1">
        <f t="shared" si="17"/>
        <v>123.8</v>
      </c>
      <c r="AA67" s="5"/>
      <c r="AB67" s="1">
        <f t="shared" si="18"/>
        <v>11.607431340872376</v>
      </c>
      <c r="AC67" s="1">
        <f t="shared" si="19"/>
        <v>11.607431340872376</v>
      </c>
      <c r="AD67" s="1">
        <v>114.2</v>
      </c>
      <c r="AE67" s="1">
        <v>94.8</v>
      </c>
      <c r="AF67" s="1">
        <v>209</v>
      </c>
      <c r="AG67" s="1">
        <v>283.39999999999998</v>
      </c>
      <c r="AH67" s="1">
        <v>167</v>
      </c>
      <c r="AI67" s="1">
        <v>155.6</v>
      </c>
      <c r="AJ67" s="1">
        <v>157.4</v>
      </c>
      <c r="AK67" s="1">
        <v>200.4</v>
      </c>
      <c r="AL67" s="1"/>
      <c r="AM67" s="1">
        <f t="shared" si="23"/>
        <v>0</v>
      </c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118</v>
      </c>
      <c r="B68" s="1" t="s">
        <v>48</v>
      </c>
      <c r="C68" s="1">
        <v>17</v>
      </c>
      <c r="D68" s="1">
        <v>1285</v>
      </c>
      <c r="E68" s="1">
        <v>360</v>
      </c>
      <c r="F68" s="1">
        <v>224</v>
      </c>
      <c r="G68" s="1"/>
      <c r="H68" s="1">
        <f t="shared" si="14"/>
        <v>224</v>
      </c>
      <c r="I68" s="7">
        <v>0.4</v>
      </c>
      <c r="J68" s="1">
        <v>40</v>
      </c>
      <c r="K68" s="11" t="s">
        <v>53</v>
      </c>
      <c r="L68" s="1"/>
      <c r="M68" s="1">
        <v>392</v>
      </c>
      <c r="N68" s="1">
        <f t="shared" si="15"/>
        <v>-32</v>
      </c>
      <c r="O68" s="1">
        <f t="shared" si="16"/>
        <v>360</v>
      </c>
      <c r="P68" s="1"/>
      <c r="Q68" s="1">
        <v>106.3</v>
      </c>
      <c r="R68" s="1"/>
      <c r="S68" s="1">
        <v>143.69999999999999</v>
      </c>
      <c r="T68" s="1"/>
      <c r="U68" s="1"/>
      <c r="V68" s="1">
        <v>0</v>
      </c>
      <c r="W68" s="1"/>
      <c r="X68" s="1"/>
      <c r="Y68" s="1"/>
      <c r="Z68" s="1">
        <f t="shared" si="17"/>
        <v>72</v>
      </c>
      <c r="AA68" s="5">
        <f t="shared" si="24"/>
        <v>318</v>
      </c>
      <c r="AB68" s="1">
        <f t="shared" si="18"/>
        <v>11</v>
      </c>
      <c r="AC68" s="1">
        <f t="shared" si="19"/>
        <v>6.583333333333333</v>
      </c>
      <c r="AD68" s="1">
        <v>53.8</v>
      </c>
      <c r="AE68" s="1">
        <v>26.4</v>
      </c>
      <c r="AF68" s="1">
        <v>52.6</v>
      </c>
      <c r="AG68" s="1">
        <v>97</v>
      </c>
      <c r="AH68" s="1">
        <v>65.8</v>
      </c>
      <c r="AI68" s="1">
        <v>20</v>
      </c>
      <c r="AJ68" s="1">
        <v>15.6</v>
      </c>
      <c r="AK68" s="1">
        <v>37.799999999999997</v>
      </c>
      <c r="AL68" s="1"/>
      <c r="AM68" s="1">
        <f t="shared" si="23"/>
        <v>127.2</v>
      </c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119</v>
      </c>
      <c r="B69" s="1" t="s">
        <v>42</v>
      </c>
      <c r="C69" s="1">
        <v>40.313000000000002</v>
      </c>
      <c r="D69" s="1">
        <v>146.631</v>
      </c>
      <c r="E69" s="1">
        <v>63.137</v>
      </c>
      <c r="F69" s="1"/>
      <c r="G69" s="1"/>
      <c r="H69" s="1">
        <f t="shared" si="14"/>
        <v>0</v>
      </c>
      <c r="I69" s="7">
        <v>1</v>
      </c>
      <c r="J69" s="1">
        <v>40</v>
      </c>
      <c r="K69" s="11" t="s">
        <v>53</v>
      </c>
      <c r="L69" s="1"/>
      <c r="M69" s="1">
        <v>123.86799999999999</v>
      </c>
      <c r="N69" s="1">
        <f t="shared" si="15"/>
        <v>-60.730999999999995</v>
      </c>
      <c r="O69" s="1">
        <f t="shared" si="16"/>
        <v>63.137</v>
      </c>
      <c r="P69" s="1"/>
      <c r="Q69" s="1">
        <v>200</v>
      </c>
      <c r="R69" s="1"/>
      <c r="S69" s="1"/>
      <c r="T69" s="1"/>
      <c r="U69" s="1"/>
      <c r="V69" s="1">
        <v>192.10180000000011</v>
      </c>
      <c r="W69" s="1"/>
      <c r="X69" s="1"/>
      <c r="Y69" s="1"/>
      <c r="Z69" s="1">
        <f t="shared" si="17"/>
        <v>12.6274</v>
      </c>
      <c r="AA69" s="5"/>
      <c r="AB69" s="1">
        <f t="shared" si="18"/>
        <v>31.051665425978438</v>
      </c>
      <c r="AC69" s="1">
        <f t="shared" si="19"/>
        <v>31.051665425978438</v>
      </c>
      <c r="AD69" s="1">
        <v>29.1814</v>
      </c>
      <c r="AE69" s="1">
        <v>13.0938</v>
      </c>
      <c r="AF69" s="1">
        <v>1.0998000000000001</v>
      </c>
      <c r="AG69" s="1">
        <v>6.0128000000000004</v>
      </c>
      <c r="AH69" s="1">
        <v>19.421600000000002</v>
      </c>
      <c r="AI69" s="1">
        <v>9.282</v>
      </c>
      <c r="AJ69" s="1">
        <v>10.1296</v>
      </c>
      <c r="AK69" s="1">
        <v>11.0182</v>
      </c>
      <c r="AL69" s="1"/>
      <c r="AM69" s="1">
        <f t="shared" si="23"/>
        <v>0</v>
      </c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 t="s">
        <v>120</v>
      </c>
      <c r="B70" s="1" t="s">
        <v>42</v>
      </c>
      <c r="C70" s="1">
        <v>-3.6509999999999998</v>
      </c>
      <c r="D70" s="1">
        <v>335.81599999999997</v>
      </c>
      <c r="E70" s="1">
        <v>64.218999999999994</v>
      </c>
      <c r="F70" s="1"/>
      <c r="G70" s="1"/>
      <c r="H70" s="1">
        <f t="shared" ref="H70:H101" si="25">F70-G70</f>
        <v>0</v>
      </c>
      <c r="I70" s="7">
        <v>1</v>
      </c>
      <c r="J70" s="1">
        <v>40</v>
      </c>
      <c r="K70" s="11" t="s">
        <v>53</v>
      </c>
      <c r="L70" s="1"/>
      <c r="M70" s="1">
        <v>147.81100000000001</v>
      </c>
      <c r="N70" s="1">
        <f t="shared" ref="N70:N101" si="26">E70-M70</f>
        <v>-83.592000000000013</v>
      </c>
      <c r="O70" s="1">
        <f t="shared" ref="O70:O101" si="27">E70-P70</f>
        <v>60.607999999999997</v>
      </c>
      <c r="P70" s="1">
        <v>3.6110000000000002</v>
      </c>
      <c r="Q70" s="1">
        <v>100</v>
      </c>
      <c r="R70" s="1"/>
      <c r="S70" s="1"/>
      <c r="T70" s="1"/>
      <c r="U70" s="1"/>
      <c r="V70" s="1">
        <v>60</v>
      </c>
      <c r="W70" s="1">
        <v>-64.8</v>
      </c>
      <c r="X70" s="1"/>
      <c r="Y70" s="1">
        <v>30</v>
      </c>
      <c r="Z70" s="1">
        <f t="shared" ref="Z70:Z101" si="28">O70/5</f>
        <v>12.121599999999999</v>
      </c>
      <c r="AA70" s="5">
        <v>40</v>
      </c>
      <c r="AB70" s="1">
        <f t="shared" ref="AB70:AB101" si="29">(H70+Q70+R70+S70+T70+U70+V70+W70+X70+Y70+AA70)/Z70</f>
        <v>13.62856388595565</v>
      </c>
      <c r="AC70" s="1">
        <f t="shared" ref="AC70:AC101" si="30">(H70+Q70+R70+S70+T70+U70+V70+W70+X70+Y70)/Z70</f>
        <v>10.328669482576558</v>
      </c>
      <c r="AD70" s="1">
        <v>9.0609999999999982</v>
      </c>
      <c r="AE70" s="1">
        <v>10.6732</v>
      </c>
      <c r="AF70" s="1">
        <v>19.827200000000001</v>
      </c>
      <c r="AG70" s="1">
        <v>18.578600000000002</v>
      </c>
      <c r="AH70" s="1">
        <v>13.1068</v>
      </c>
      <c r="AI70" s="1">
        <v>10.066800000000001</v>
      </c>
      <c r="AJ70" s="1">
        <v>14.335800000000001</v>
      </c>
      <c r="AK70" s="1">
        <v>32.4208</v>
      </c>
      <c r="AL70" s="1"/>
      <c r="AM70" s="1">
        <f t="shared" si="23"/>
        <v>40</v>
      </c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121</v>
      </c>
      <c r="B71" s="1" t="s">
        <v>42</v>
      </c>
      <c r="C71" s="1">
        <v>-85.762</v>
      </c>
      <c r="D71" s="1">
        <v>2654.8090000000002</v>
      </c>
      <c r="E71" s="1">
        <v>1001.924</v>
      </c>
      <c r="F71" s="1">
        <v>0.85</v>
      </c>
      <c r="G71" s="1"/>
      <c r="H71" s="1">
        <f t="shared" si="25"/>
        <v>0.85</v>
      </c>
      <c r="I71" s="7">
        <v>1</v>
      </c>
      <c r="J71" s="1">
        <v>40</v>
      </c>
      <c r="K71" s="11" t="s">
        <v>53</v>
      </c>
      <c r="L71" s="1"/>
      <c r="M71" s="1">
        <v>1265.1369999999999</v>
      </c>
      <c r="N71" s="1">
        <f t="shared" si="26"/>
        <v>-263.21299999999997</v>
      </c>
      <c r="O71" s="1">
        <f t="shared" si="27"/>
        <v>1001.924</v>
      </c>
      <c r="P71" s="1"/>
      <c r="Q71" s="1">
        <v>106.3</v>
      </c>
      <c r="R71" s="1">
        <v>-108</v>
      </c>
      <c r="S71" s="1">
        <v>143.69999999999999</v>
      </c>
      <c r="T71" s="1">
        <v>-145.80000000000001</v>
      </c>
      <c r="U71" s="1"/>
      <c r="V71" s="1">
        <v>900</v>
      </c>
      <c r="W71" s="1">
        <v>-901.8</v>
      </c>
      <c r="X71" s="1"/>
      <c r="Y71" s="1">
        <v>414</v>
      </c>
      <c r="Z71" s="1">
        <f t="shared" si="28"/>
        <v>200.38479999999998</v>
      </c>
      <c r="AA71" s="5">
        <v>300</v>
      </c>
      <c r="AB71" s="1">
        <f t="shared" si="29"/>
        <v>3.5394401172144798</v>
      </c>
      <c r="AC71" s="1">
        <f t="shared" si="30"/>
        <v>2.0423205752132896</v>
      </c>
      <c r="AD71" s="1">
        <v>150.6652</v>
      </c>
      <c r="AE71" s="1">
        <v>10.826000000000001</v>
      </c>
      <c r="AF71" s="1">
        <v>108.81619999999999</v>
      </c>
      <c r="AG71" s="1">
        <v>142.37799999999999</v>
      </c>
      <c r="AH71" s="1">
        <v>60.96</v>
      </c>
      <c r="AI71" s="1">
        <v>40.290599999999998</v>
      </c>
      <c r="AJ71" s="1">
        <v>85.263000000000005</v>
      </c>
      <c r="AK71" s="1">
        <v>100.748</v>
      </c>
      <c r="AL71" s="1" t="s">
        <v>45</v>
      </c>
      <c r="AM71" s="1">
        <f t="shared" si="23"/>
        <v>300</v>
      </c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122</v>
      </c>
      <c r="B72" s="1" t="s">
        <v>42</v>
      </c>
      <c r="C72" s="1">
        <v>-21.93</v>
      </c>
      <c r="D72" s="1">
        <v>108.92</v>
      </c>
      <c r="E72" s="1">
        <v>18.148</v>
      </c>
      <c r="F72" s="1">
        <v>0.92400000000000004</v>
      </c>
      <c r="G72" s="1"/>
      <c r="H72" s="1">
        <f t="shared" si="25"/>
        <v>0.92400000000000004</v>
      </c>
      <c r="I72" s="7">
        <v>1</v>
      </c>
      <c r="J72" s="1">
        <v>40</v>
      </c>
      <c r="K72" s="11" t="s">
        <v>53</v>
      </c>
      <c r="L72" s="1"/>
      <c r="M72" s="1">
        <v>83.33</v>
      </c>
      <c r="N72" s="1">
        <f t="shared" si="26"/>
        <v>-65.182000000000002</v>
      </c>
      <c r="O72" s="1">
        <f t="shared" si="27"/>
        <v>1.8180000000000014</v>
      </c>
      <c r="P72" s="1">
        <v>16.329999999999998</v>
      </c>
      <c r="Q72" s="1">
        <v>100</v>
      </c>
      <c r="R72" s="1">
        <v>-103</v>
      </c>
      <c r="S72" s="1"/>
      <c r="T72" s="1"/>
      <c r="U72" s="1"/>
      <c r="V72" s="1">
        <v>50</v>
      </c>
      <c r="W72" s="1">
        <v>-54</v>
      </c>
      <c r="X72" s="1"/>
      <c r="Y72" s="1"/>
      <c r="Z72" s="1">
        <f t="shared" si="28"/>
        <v>0.36360000000000026</v>
      </c>
      <c r="AA72" s="5">
        <v>30</v>
      </c>
      <c r="AB72" s="1">
        <f t="shared" si="29"/>
        <v>65.797579757975768</v>
      </c>
      <c r="AC72" s="1">
        <f t="shared" si="30"/>
        <v>-16.710671067106681</v>
      </c>
      <c r="AD72" s="1">
        <v>3.6232000000000002</v>
      </c>
      <c r="AE72" s="1">
        <v>4.3747999999999996</v>
      </c>
      <c r="AF72" s="1">
        <v>13.090400000000001</v>
      </c>
      <c r="AG72" s="1">
        <v>12.855399999999999</v>
      </c>
      <c r="AH72" s="1">
        <v>3.5981999999999998</v>
      </c>
      <c r="AI72" s="1">
        <v>1.6362000000000001</v>
      </c>
      <c r="AJ72" s="1">
        <v>3.9883999999999999</v>
      </c>
      <c r="AK72" s="1">
        <v>20.392199999999999</v>
      </c>
      <c r="AL72" s="1"/>
      <c r="AM72" s="1">
        <f t="shared" si="23"/>
        <v>30</v>
      </c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2" t="s">
        <v>123</v>
      </c>
      <c r="B73" s="12" t="s">
        <v>48</v>
      </c>
      <c r="C73" s="12"/>
      <c r="D73" s="12"/>
      <c r="E73" s="12"/>
      <c r="F73" s="12"/>
      <c r="G73" s="12"/>
      <c r="H73" s="12">
        <f t="shared" si="25"/>
        <v>0</v>
      </c>
      <c r="I73" s="13">
        <v>0</v>
      </c>
      <c r="J73" s="12"/>
      <c r="K73" s="12" t="s">
        <v>43</v>
      </c>
      <c r="L73" s="12"/>
      <c r="M73" s="12"/>
      <c r="N73" s="12">
        <f t="shared" si="26"/>
        <v>0</v>
      </c>
      <c r="O73" s="12">
        <f t="shared" si="27"/>
        <v>0</v>
      </c>
      <c r="P73" s="12"/>
      <c r="Q73" s="12">
        <v>0</v>
      </c>
      <c r="R73" s="12"/>
      <c r="S73" s="12"/>
      <c r="T73" s="12"/>
      <c r="U73" s="12"/>
      <c r="V73" s="12">
        <v>0</v>
      </c>
      <c r="W73" s="12"/>
      <c r="X73" s="12"/>
      <c r="Y73" s="12"/>
      <c r="Z73" s="12">
        <f t="shared" si="28"/>
        <v>0</v>
      </c>
      <c r="AA73" s="14"/>
      <c r="AB73" s="12" t="e">
        <f t="shared" si="29"/>
        <v>#DIV/0!</v>
      </c>
      <c r="AC73" s="12" t="e">
        <f t="shared" si="30"/>
        <v>#DIV/0!</v>
      </c>
      <c r="AD73" s="12">
        <v>0</v>
      </c>
      <c r="AE73" s="12">
        <v>0</v>
      </c>
      <c r="AF73" s="12">
        <v>0</v>
      </c>
      <c r="AG73" s="12">
        <v>0</v>
      </c>
      <c r="AH73" s="12">
        <v>0</v>
      </c>
      <c r="AI73" s="12">
        <v>0</v>
      </c>
      <c r="AJ73" s="12">
        <v>0</v>
      </c>
      <c r="AK73" s="12">
        <v>0</v>
      </c>
      <c r="AL73" s="12" t="s">
        <v>65</v>
      </c>
      <c r="AM73" s="12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124</v>
      </c>
      <c r="B74" s="1" t="s">
        <v>42</v>
      </c>
      <c r="C74" s="1">
        <v>349.16199999999998</v>
      </c>
      <c r="D74" s="1">
        <v>575.96799999999996</v>
      </c>
      <c r="E74" s="1">
        <v>150.97399999999999</v>
      </c>
      <c r="F74" s="1">
        <v>148.946</v>
      </c>
      <c r="G74" s="1"/>
      <c r="H74" s="1">
        <f t="shared" si="25"/>
        <v>148.946</v>
      </c>
      <c r="I74" s="7">
        <v>1</v>
      </c>
      <c r="J74" s="1">
        <v>30</v>
      </c>
      <c r="K74" s="11" t="s">
        <v>53</v>
      </c>
      <c r="L74" s="1"/>
      <c r="M74" s="1">
        <v>205.416</v>
      </c>
      <c r="N74" s="1">
        <f t="shared" si="26"/>
        <v>-54.442000000000007</v>
      </c>
      <c r="O74" s="1">
        <f t="shared" si="27"/>
        <v>148.50799999999998</v>
      </c>
      <c r="P74" s="1">
        <v>2.4660000000000002</v>
      </c>
      <c r="Q74" s="1">
        <v>57.487799999999993</v>
      </c>
      <c r="R74" s="1"/>
      <c r="S74" s="1"/>
      <c r="T74" s="1"/>
      <c r="U74" s="1"/>
      <c r="V74" s="1">
        <v>187.63720000000001</v>
      </c>
      <c r="W74" s="1"/>
      <c r="X74" s="1"/>
      <c r="Y74" s="1"/>
      <c r="Z74" s="1">
        <f t="shared" si="28"/>
        <v>29.701599999999996</v>
      </c>
      <c r="AA74" s="5">
        <v>50</v>
      </c>
      <c r="AB74" s="1">
        <f t="shared" si="29"/>
        <v>14.951080076494199</v>
      </c>
      <c r="AC74" s="1">
        <f t="shared" si="30"/>
        <v>13.26766908180031</v>
      </c>
      <c r="AD74" s="1">
        <v>39.893999999999998</v>
      </c>
      <c r="AE74" s="1">
        <v>36.8568</v>
      </c>
      <c r="AF74" s="1">
        <v>31.719799999999999</v>
      </c>
      <c r="AG74" s="1">
        <v>39.7896</v>
      </c>
      <c r="AH74" s="1">
        <v>33.502800000000001</v>
      </c>
      <c r="AI74" s="1">
        <v>31.885400000000001</v>
      </c>
      <c r="AJ74" s="1">
        <v>80.1066</v>
      </c>
      <c r="AK74" s="1">
        <v>96.989400000000003</v>
      </c>
      <c r="AL74" s="1"/>
      <c r="AM74" s="1">
        <f>I74*AA74</f>
        <v>50</v>
      </c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2" t="s">
        <v>125</v>
      </c>
      <c r="B75" s="12" t="s">
        <v>48</v>
      </c>
      <c r="C75" s="12">
        <v>-1</v>
      </c>
      <c r="D75" s="12">
        <v>1</v>
      </c>
      <c r="E75" s="12"/>
      <c r="F75" s="12"/>
      <c r="G75" s="12"/>
      <c r="H75" s="12">
        <f t="shared" si="25"/>
        <v>0</v>
      </c>
      <c r="I75" s="13">
        <v>0</v>
      </c>
      <c r="J75" s="12"/>
      <c r="K75" s="12" t="s">
        <v>56</v>
      </c>
      <c r="L75" s="12"/>
      <c r="M75" s="12"/>
      <c r="N75" s="12">
        <f t="shared" si="26"/>
        <v>0</v>
      </c>
      <c r="O75" s="12">
        <f t="shared" si="27"/>
        <v>0</v>
      </c>
      <c r="P75" s="12"/>
      <c r="Q75" s="12">
        <v>0</v>
      </c>
      <c r="R75" s="12"/>
      <c r="S75" s="12"/>
      <c r="T75" s="12"/>
      <c r="U75" s="12"/>
      <c r="V75" s="12">
        <v>0</v>
      </c>
      <c r="W75" s="12"/>
      <c r="X75" s="12"/>
      <c r="Y75" s="12"/>
      <c r="Z75" s="12">
        <f t="shared" si="28"/>
        <v>0</v>
      </c>
      <c r="AA75" s="14"/>
      <c r="AB75" s="12" t="e">
        <f t="shared" si="29"/>
        <v>#DIV/0!</v>
      </c>
      <c r="AC75" s="12" t="e">
        <f t="shared" si="30"/>
        <v>#DIV/0!</v>
      </c>
      <c r="AD75" s="12">
        <v>0</v>
      </c>
      <c r="AE75" s="12">
        <v>0</v>
      </c>
      <c r="AF75" s="12">
        <v>0</v>
      </c>
      <c r="AG75" s="12">
        <v>0</v>
      </c>
      <c r="AH75" s="12">
        <v>0</v>
      </c>
      <c r="AI75" s="12">
        <v>0</v>
      </c>
      <c r="AJ75" s="12">
        <v>0</v>
      </c>
      <c r="AK75" s="12">
        <v>0</v>
      </c>
      <c r="AL75" s="12"/>
      <c r="AM75" s="12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 t="s">
        <v>126</v>
      </c>
      <c r="B76" s="1" t="s">
        <v>48</v>
      </c>
      <c r="C76" s="1">
        <v>776</v>
      </c>
      <c r="D76" s="1">
        <v>8998</v>
      </c>
      <c r="E76" s="1">
        <v>879</v>
      </c>
      <c r="F76" s="1">
        <v>2453</v>
      </c>
      <c r="G76" s="1"/>
      <c r="H76" s="1">
        <f t="shared" si="25"/>
        <v>2453</v>
      </c>
      <c r="I76" s="7">
        <v>0.6</v>
      </c>
      <c r="J76" s="1">
        <v>60</v>
      </c>
      <c r="K76" s="1" t="s">
        <v>43</v>
      </c>
      <c r="L76" s="1"/>
      <c r="M76" s="1">
        <v>945</v>
      </c>
      <c r="N76" s="1">
        <f t="shared" si="26"/>
        <v>-66</v>
      </c>
      <c r="O76" s="1">
        <f t="shared" si="27"/>
        <v>879</v>
      </c>
      <c r="P76" s="1"/>
      <c r="Q76" s="1">
        <v>0</v>
      </c>
      <c r="R76" s="1"/>
      <c r="S76" s="1"/>
      <c r="T76" s="1"/>
      <c r="U76" s="1"/>
      <c r="V76" s="1">
        <v>0</v>
      </c>
      <c r="W76" s="1"/>
      <c r="X76" s="1"/>
      <c r="Y76" s="1"/>
      <c r="Z76" s="1">
        <f t="shared" si="28"/>
        <v>175.8</v>
      </c>
      <c r="AA76" s="5"/>
      <c r="AB76" s="1">
        <f t="shared" si="29"/>
        <v>13.953356086461888</v>
      </c>
      <c r="AC76" s="1">
        <f t="shared" si="30"/>
        <v>13.953356086461888</v>
      </c>
      <c r="AD76" s="1">
        <v>177.8</v>
      </c>
      <c r="AE76" s="1">
        <v>262.60000000000002</v>
      </c>
      <c r="AF76" s="1">
        <v>297.60000000000002</v>
      </c>
      <c r="AG76" s="1">
        <v>160.4</v>
      </c>
      <c r="AH76" s="1">
        <v>152</v>
      </c>
      <c r="AI76" s="1">
        <v>139</v>
      </c>
      <c r="AJ76" s="1">
        <v>114.6</v>
      </c>
      <c r="AK76" s="1">
        <v>82</v>
      </c>
      <c r="AL76" s="1"/>
      <c r="AM76" s="1">
        <f>I76*AA76</f>
        <v>0</v>
      </c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 t="s">
        <v>127</v>
      </c>
      <c r="B77" s="1" t="s">
        <v>48</v>
      </c>
      <c r="C77" s="1">
        <v>1536</v>
      </c>
      <c r="D77" s="1">
        <v>5278</v>
      </c>
      <c r="E77" s="1">
        <v>762</v>
      </c>
      <c r="F77" s="1">
        <v>880</v>
      </c>
      <c r="G77" s="1"/>
      <c r="H77" s="1">
        <f t="shared" si="25"/>
        <v>880</v>
      </c>
      <c r="I77" s="7">
        <v>0.6</v>
      </c>
      <c r="J77" s="1">
        <v>60</v>
      </c>
      <c r="K77" s="1" t="s">
        <v>43</v>
      </c>
      <c r="L77" s="1"/>
      <c r="M77" s="1">
        <v>775</v>
      </c>
      <c r="N77" s="1">
        <f t="shared" si="26"/>
        <v>-13</v>
      </c>
      <c r="O77" s="1">
        <f t="shared" si="27"/>
        <v>762</v>
      </c>
      <c r="P77" s="1"/>
      <c r="Q77" s="1">
        <v>0</v>
      </c>
      <c r="R77" s="1"/>
      <c r="S77" s="1"/>
      <c r="T77" s="1"/>
      <c r="U77" s="1"/>
      <c r="V77" s="1">
        <v>202.56432000000009</v>
      </c>
      <c r="W77" s="1"/>
      <c r="X77" s="1"/>
      <c r="Y77" s="1">
        <v>375.03568000000013</v>
      </c>
      <c r="Z77" s="1">
        <f t="shared" si="28"/>
        <v>152.4</v>
      </c>
      <c r="AA77" s="5">
        <f t="shared" ref="AA76:AA78" si="31">11*Z77-Y77-X77-W77-V77-U77-T77-S77-R77-Q77-H77</f>
        <v>218.79999999999973</v>
      </c>
      <c r="AB77" s="1">
        <f t="shared" si="29"/>
        <v>11</v>
      </c>
      <c r="AC77" s="1">
        <f t="shared" si="30"/>
        <v>9.5643044619422586</v>
      </c>
      <c r="AD77" s="1">
        <v>131.80000000000001</v>
      </c>
      <c r="AE77" s="1">
        <v>116.8</v>
      </c>
      <c r="AF77" s="1">
        <v>156.80000000000001</v>
      </c>
      <c r="AG77" s="1">
        <v>202.8</v>
      </c>
      <c r="AH77" s="1">
        <v>171.6</v>
      </c>
      <c r="AI77" s="1">
        <v>133.80000000000001</v>
      </c>
      <c r="AJ77" s="1">
        <v>123.8</v>
      </c>
      <c r="AK77" s="1">
        <v>92.2</v>
      </c>
      <c r="AL77" s="1"/>
      <c r="AM77" s="1">
        <f>I77*AA77</f>
        <v>131.27999999999983</v>
      </c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 t="s">
        <v>128</v>
      </c>
      <c r="B78" s="1" t="s">
        <v>48</v>
      </c>
      <c r="C78" s="1">
        <v>33</v>
      </c>
      <c r="D78" s="1">
        <v>51</v>
      </c>
      <c r="E78" s="1">
        <v>50</v>
      </c>
      <c r="F78" s="1">
        <v>16</v>
      </c>
      <c r="G78" s="1"/>
      <c r="H78" s="1">
        <f t="shared" si="25"/>
        <v>16</v>
      </c>
      <c r="I78" s="7">
        <v>0.4</v>
      </c>
      <c r="J78" s="1"/>
      <c r="K78" s="1" t="s">
        <v>43</v>
      </c>
      <c r="L78" s="1"/>
      <c r="M78" s="1">
        <v>58</v>
      </c>
      <c r="N78" s="1">
        <f t="shared" si="26"/>
        <v>-8</v>
      </c>
      <c r="O78" s="1">
        <f t="shared" si="27"/>
        <v>50</v>
      </c>
      <c r="P78" s="1"/>
      <c r="Q78" s="1">
        <v>0</v>
      </c>
      <c r="R78" s="1"/>
      <c r="S78" s="1"/>
      <c r="T78" s="1"/>
      <c r="U78" s="1"/>
      <c r="V78" s="1">
        <v>48.199999999999989</v>
      </c>
      <c r="W78" s="1"/>
      <c r="X78" s="1"/>
      <c r="Y78" s="1"/>
      <c r="Z78" s="1">
        <f t="shared" si="28"/>
        <v>10</v>
      </c>
      <c r="AA78" s="5">
        <f t="shared" si="31"/>
        <v>45.800000000000011</v>
      </c>
      <c r="AB78" s="1">
        <f t="shared" si="29"/>
        <v>11</v>
      </c>
      <c r="AC78" s="1">
        <f t="shared" si="30"/>
        <v>6.419999999999999</v>
      </c>
      <c r="AD78" s="1">
        <v>6.6</v>
      </c>
      <c r="AE78" s="1">
        <v>5</v>
      </c>
      <c r="AF78" s="1">
        <v>4</v>
      </c>
      <c r="AG78" s="1">
        <v>7.6</v>
      </c>
      <c r="AH78" s="1">
        <v>6.6</v>
      </c>
      <c r="AI78" s="1">
        <v>3.8</v>
      </c>
      <c r="AJ78" s="1">
        <v>4</v>
      </c>
      <c r="AK78" s="1">
        <v>1</v>
      </c>
      <c r="AL78" s="1"/>
      <c r="AM78" s="1">
        <f>I78*AA78</f>
        <v>18.320000000000004</v>
      </c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2" t="s">
        <v>129</v>
      </c>
      <c r="B79" s="12" t="s">
        <v>48</v>
      </c>
      <c r="C79" s="12">
        <v>1</v>
      </c>
      <c r="D79" s="12"/>
      <c r="E79" s="12"/>
      <c r="F79" s="12"/>
      <c r="G79" s="12"/>
      <c r="H79" s="12">
        <f t="shared" si="25"/>
        <v>0</v>
      </c>
      <c r="I79" s="13">
        <v>0</v>
      </c>
      <c r="J79" s="12"/>
      <c r="K79" s="12" t="s">
        <v>43</v>
      </c>
      <c r="L79" s="12"/>
      <c r="M79" s="12"/>
      <c r="N79" s="12">
        <f t="shared" si="26"/>
        <v>0</v>
      </c>
      <c r="O79" s="12">
        <f t="shared" si="27"/>
        <v>0</v>
      </c>
      <c r="P79" s="12"/>
      <c r="Q79" s="12">
        <v>0</v>
      </c>
      <c r="R79" s="12"/>
      <c r="S79" s="12"/>
      <c r="T79" s="12"/>
      <c r="U79" s="12"/>
      <c r="V79" s="12">
        <v>0</v>
      </c>
      <c r="W79" s="12"/>
      <c r="X79" s="12"/>
      <c r="Y79" s="12"/>
      <c r="Z79" s="12">
        <f t="shared" si="28"/>
        <v>0</v>
      </c>
      <c r="AA79" s="14"/>
      <c r="AB79" s="12" t="e">
        <f t="shared" si="29"/>
        <v>#DIV/0!</v>
      </c>
      <c r="AC79" s="12" t="e">
        <f t="shared" si="30"/>
        <v>#DIV/0!</v>
      </c>
      <c r="AD79" s="12">
        <v>0</v>
      </c>
      <c r="AE79" s="12">
        <v>0</v>
      </c>
      <c r="AF79" s="12">
        <v>0</v>
      </c>
      <c r="AG79" s="12">
        <v>0</v>
      </c>
      <c r="AH79" s="12">
        <v>0</v>
      </c>
      <c r="AI79" s="12">
        <v>0</v>
      </c>
      <c r="AJ79" s="12">
        <v>0</v>
      </c>
      <c r="AK79" s="12">
        <v>0</v>
      </c>
      <c r="AL79" s="12" t="s">
        <v>65</v>
      </c>
      <c r="AM79" s="12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 t="s">
        <v>130</v>
      </c>
      <c r="B80" s="1" t="s">
        <v>48</v>
      </c>
      <c r="C80" s="1">
        <v>19</v>
      </c>
      <c r="D80" s="1">
        <v>57</v>
      </c>
      <c r="E80" s="1"/>
      <c r="F80" s="1"/>
      <c r="G80" s="1"/>
      <c r="H80" s="1">
        <f t="shared" si="25"/>
        <v>0</v>
      </c>
      <c r="I80" s="7">
        <v>0.35</v>
      </c>
      <c r="J80" s="1">
        <v>90</v>
      </c>
      <c r="K80" s="11" t="s">
        <v>53</v>
      </c>
      <c r="L80" s="1"/>
      <c r="M80" s="1">
        <v>59</v>
      </c>
      <c r="N80" s="1">
        <f t="shared" si="26"/>
        <v>-59</v>
      </c>
      <c r="O80" s="1">
        <f t="shared" si="27"/>
        <v>0</v>
      </c>
      <c r="P80" s="1"/>
      <c r="Q80" s="1">
        <v>40</v>
      </c>
      <c r="R80" s="1"/>
      <c r="S80" s="1"/>
      <c r="T80" s="1"/>
      <c r="U80" s="1"/>
      <c r="V80" s="1">
        <v>0</v>
      </c>
      <c r="W80" s="1"/>
      <c r="X80" s="1"/>
      <c r="Y80" s="1"/>
      <c r="Z80" s="1">
        <f t="shared" si="28"/>
        <v>0</v>
      </c>
      <c r="AA80" s="5">
        <v>30</v>
      </c>
      <c r="AB80" s="1" t="e">
        <f t="shared" si="29"/>
        <v>#DIV/0!</v>
      </c>
      <c r="AC80" s="1" t="e">
        <f t="shared" si="30"/>
        <v>#DIV/0!</v>
      </c>
      <c r="AD80" s="1">
        <v>4.5999999999999996</v>
      </c>
      <c r="AE80" s="1">
        <v>8.6</v>
      </c>
      <c r="AF80" s="1">
        <v>6.4</v>
      </c>
      <c r="AG80" s="1">
        <v>3.4</v>
      </c>
      <c r="AH80" s="1">
        <v>2</v>
      </c>
      <c r="AI80" s="1">
        <v>5.6</v>
      </c>
      <c r="AJ80" s="1">
        <v>7.2</v>
      </c>
      <c r="AK80" s="1">
        <v>5.2</v>
      </c>
      <c r="AL80" s="1"/>
      <c r="AM80" s="1">
        <f t="shared" ref="AM80:AM88" si="32">I80*AA80</f>
        <v>10.5</v>
      </c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 t="s">
        <v>131</v>
      </c>
      <c r="B81" s="1" t="s">
        <v>48</v>
      </c>
      <c r="C81" s="1">
        <v>324</v>
      </c>
      <c r="D81" s="1">
        <v>447</v>
      </c>
      <c r="E81" s="1">
        <v>123</v>
      </c>
      <c r="F81" s="1">
        <v>213</v>
      </c>
      <c r="G81" s="1"/>
      <c r="H81" s="1">
        <f t="shared" si="25"/>
        <v>213</v>
      </c>
      <c r="I81" s="7">
        <v>0.37</v>
      </c>
      <c r="J81" s="1">
        <v>50</v>
      </c>
      <c r="K81" s="1" t="s">
        <v>43</v>
      </c>
      <c r="L81" s="1"/>
      <c r="M81" s="1">
        <v>134</v>
      </c>
      <c r="N81" s="1">
        <f t="shared" si="26"/>
        <v>-11</v>
      </c>
      <c r="O81" s="1">
        <f t="shared" si="27"/>
        <v>123</v>
      </c>
      <c r="P81" s="1"/>
      <c r="Q81" s="1">
        <v>0</v>
      </c>
      <c r="R81" s="1"/>
      <c r="S81" s="1"/>
      <c r="T81" s="1"/>
      <c r="U81" s="1"/>
      <c r="V81" s="1">
        <v>34.399999999999977</v>
      </c>
      <c r="W81" s="1"/>
      <c r="X81" s="1"/>
      <c r="Y81" s="1"/>
      <c r="Z81" s="1">
        <f t="shared" si="28"/>
        <v>24.6</v>
      </c>
      <c r="AA81" s="5">
        <f t="shared" ref="AA80:AA88" si="33">11*Z81-Y81-X81-W81-V81-U81-T81-S81-R81-Q81-H81</f>
        <v>23.200000000000045</v>
      </c>
      <c r="AB81" s="1">
        <f t="shared" si="29"/>
        <v>11</v>
      </c>
      <c r="AC81" s="1">
        <f t="shared" si="30"/>
        <v>10.056910569105689</v>
      </c>
      <c r="AD81" s="1">
        <v>23.2</v>
      </c>
      <c r="AE81" s="1">
        <v>23.8</v>
      </c>
      <c r="AF81" s="1">
        <v>28.6</v>
      </c>
      <c r="AG81" s="1">
        <v>31.4</v>
      </c>
      <c r="AH81" s="1">
        <v>34.200000000000003</v>
      </c>
      <c r="AI81" s="1">
        <v>25.6</v>
      </c>
      <c r="AJ81" s="1">
        <v>18.2</v>
      </c>
      <c r="AK81" s="1">
        <v>21.2</v>
      </c>
      <c r="AL81" s="1"/>
      <c r="AM81" s="1">
        <f t="shared" si="32"/>
        <v>8.5840000000000174</v>
      </c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 t="s">
        <v>132</v>
      </c>
      <c r="B82" s="1" t="s">
        <v>48</v>
      </c>
      <c r="C82" s="1">
        <v>356</v>
      </c>
      <c r="D82" s="1">
        <v>3425</v>
      </c>
      <c r="E82" s="1">
        <v>296</v>
      </c>
      <c r="F82" s="1">
        <v>193</v>
      </c>
      <c r="G82" s="1"/>
      <c r="H82" s="1">
        <f t="shared" si="25"/>
        <v>193</v>
      </c>
      <c r="I82" s="7">
        <v>0.6</v>
      </c>
      <c r="J82" s="1">
        <v>70</v>
      </c>
      <c r="K82" s="1" t="s">
        <v>43</v>
      </c>
      <c r="L82" s="1"/>
      <c r="M82" s="1">
        <v>298</v>
      </c>
      <c r="N82" s="1">
        <f t="shared" si="26"/>
        <v>-2</v>
      </c>
      <c r="O82" s="1">
        <f t="shared" si="27"/>
        <v>296</v>
      </c>
      <c r="P82" s="1"/>
      <c r="Q82" s="1">
        <v>0</v>
      </c>
      <c r="R82" s="1"/>
      <c r="S82" s="1"/>
      <c r="T82" s="1"/>
      <c r="U82" s="1"/>
      <c r="V82" s="1">
        <v>102.26412000000001</v>
      </c>
      <c r="W82" s="1"/>
      <c r="X82" s="1"/>
      <c r="Y82" s="1">
        <v>189.33587999999989</v>
      </c>
      <c r="Z82" s="1">
        <f t="shared" si="28"/>
        <v>59.2</v>
      </c>
      <c r="AA82" s="5">
        <f t="shared" si="33"/>
        <v>166.60000000000019</v>
      </c>
      <c r="AB82" s="1">
        <f t="shared" si="29"/>
        <v>11</v>
      </c>
      <c r="AC82" s="1">
        <f t="shared" si="30"/>
        <v>8.1858108108108087</v>
      </c>
      <c r="AD82" s="1">
        <v>51.8</v>
      </c>
      <c r="AE82" s="1">
        <v>45.2</v>
      </c>
      <c r="AF82" s="1">
        <v>52</v>
      </c>
      <c r="AG82" s="1">
        <v>67.8</v>
      </c>
      <c r="AH82" s="1">
        <v>63.6</v>
      </c>
      <c r="AI82" s="1">
        <v>44.6</v>
      </c>
      <c r="AJ82" s="1">
        <v>41.8</v>
      </c>
      <c r="AK82" s="1">
        <v>40.799999999999997</v>
      </c>
      <c r="AL82" s="1"/>
      <c r="AM82" s="1">
        <f t="shared" si="32"/>
        <v>99.960000000000107</v>
      </c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 t="s">
        <v>133</v>
      </c>
      <c r="B83" s="1" t="s">
        <v>48</v>
      </c>
      <c r="C83" s="1">
        <v>611</v>
      </c>
      <c r="D83" s="1">
        <v>1753</v>
      </c>
      <c r="E83" s="1">
        <v>381</v>
      </c>
      <c r="F83" s="1">
        <v>226</v>
      </c>
      <c r="G83" s="1"/>
      <c r="H83" s="1">
        <f t="shared" si="25"/>
        <v>226</v>
      </c>
      <c r="I83" s="7">
        <v>0.33</v>
      </c>
      <c r="J83" s="1">
        <v>40</v>
      </c>
      <c r="K83" s="1" t="s">
        <v>43</v>
      </c>
      <c r="L83" s="1"/>
      <c r="M83" s="1">
        <v>407</v>
      </c>
      <c r="N83" s="1">
        <f t="shared" si="26"/>
        <v>-26</v>
      </c>
      <c r="O83" s="1">
        <f t="shared" si="27"/>
        <v>381</v>
      </c>
      <c r="P83" s="1"/>
      <c r="Q83" s="1">
        <v>107.83072</v>
      </c>
      <c r="R83" s="1"/>
      <c r="S83" s="1">
        <v>145.76928000000001</v>
      </c>
      <c r="T83" s="1"/>
      <c r="U83" s="1"/>
      <c r="V83" s="1">
        <v>152.27394000000001</v>
      </c>
      <c r="W83" s="1"/>
      <c r="X83" s="1"/>
      <c r="Y83" s="1">
        <v>281.92606000000001</v>
      </c>
      <c r="Z83" s="1">
        <f t="shared" si="28"/>
        <v>76.2</v>
      </c>
      <c r="AA83" s="5"/>
      <c r="AB83" s="1">
        <f t="shared" si="29"/>
        <v>11.992125984251969</v>
      </c>
      <c r="AC83" s="1">
        <f t="shared" si="30"/>
        <v>11.992125984251969</v>
      </c>
      <c r="AD83" s="1">
        <v>80.400000000000006</v>
      </c>
      <c r="AE83" s="1">
        <v>78.599999999999994</v>
      </c>
      <c r="AF83" s="1">
        <v>60.2</v>
      </c>
      <c r="AG83" s="1">
        <v>23.2</v>
      </c>
      <c r="AH83" s="1">
        <v>35.4</v>
      </c>
      <c r="AI83" s="1">
        <v>69.599999999999994</v>
      </c>
      <c r="AJ83" s="1">
        <v>62</v>
      </c>
      <c r="AK83" s="1">
        <v>50.8</v>
      </c>
      <c r="AL83" s="1"/>
      <c r="AM83" s="1">
        <f t="shared" si="32"/>
        <v>0</v>
      </c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 t="s">
        <v>134</v>
      </c>
      <c r="B84" s="1" t="s">
        <v>48</v>
      </c>
      <c r="C84" s="1">
        <v>42</v>
      </c>
      <c r="D84" s="1">
        <v>129</v>
      </c>
      <c r="E84" s="1">
        <v>52</v>
      </c>
      <c r="F84" s="1">
        <v>23</v>
      </c>
      <c r="G84" s="1"/>
      <c r="H84" s="1">
        <f t="shared" si="25"/>
        <v>23</v>
      </c>
      <c r="I84" s="7">
        <v>0.4</v>
      </c>
      <c r="J84" s="1">
        <v>55</v>
      </c>
      <c r="K84" s="1" t="s">
        <v>43</v>
      </c>
      <c r="L84" s="1"/>
      <c r="M84" s="1">
        <v>60</v>
      </c>
      <c r="N84" s="1">
        <f t="shared" si="26"/>
        <v>-8</v>
      </c>
      <c r="O84" s="1">
        <f t="shared" si="27"/>
        <v>52</v>
      </c>
      <c r="P84" s="1"/>
      <c r="Q84" s="1">
        <v>0</v>
      </c>
      <c r="R84" s="1"/>
      <c r="S84" s="1"/>
      <c r="T84" s="1"/>
      <c r="U84" s="1"/>
      <c r="V84" s="1">
        <v>14.19999999999999</v>
      </c>
      <c r="W84" s="1"/>
      <c r="X84" s="1"/>
      <c r="Y84" s="1"/>
      <c r="Z84" s="1">
        <f t="shared" si="28"/>
        <v>10.4</v>
      </c>
      <c r="AA84" s="5">
        <f t="shared" si="33"/>
        <v>77.200000000000017</v>
      </c>
      <c r="AB84" s="1">
        <f t="shared" si="29"/>
        <v>11</v>
      </c>
      <c r="AC84" s="1">
        <f t="shared" si="30"/>
        <v>3.5769230769230758</v>
      </c>
      <c r="AD84" s="1">
        <v>7.6</v>
      </c>
      <c r="AE84" s="1">
        <v>7.6</v>
      </c>
      <c r="AF84" s="1">
        <v>10.199999999999999</v>
      </c>
      <c r="AG84" s="1">
        <v>12.6</v>
      </c>
      <c r="AH84" s="1">
        <v>9.4</v>
      </c>
      <c r="AI84" s="1">
        <v>11</v>
      </c>
      <c r="AJ84" s="1">
        <v>11.2</v>
      </c>
      <c r="AK84" s="1">
        <v>5.8</v>
      </c>
      <c r="AL84" s="1"/>
      <c r="AM84" s="1">
        <f t="shared" si="32"/>
        <v>30.88000000000001</v>
      </c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 t="s">
        <v>135</v>
      </c>
      <c r="B85" s="1" t="s">
        <v>48</v>
      </c>
      <c r="C85" s="1">
        <v>-9</v>
      </c>
      <c r="D85" s="1">
        <v>256</v>
      </c>
      <c r="E85" s="1">
        <v>79</v>
      </c>
      <c r="F85" s="1"/>
      <c r="G85" s="1"/>
      <c r="H85" s="1">
        <f t="shared" si="25"/>
        <v>0</v>
      </c>
      <c r="I85" s="7">
        <v>0.35</v>
      </c>
      <c r="J85" s="1">
        <v>40</v>
      </c>
      <c r="K85" s="11" t="s">
        <v>53</v>
      </c>
      <c r="L85" s="1"/>
      <c r="M85" s="1">
        <v>135</v>
      </c>
      <c r="N85" s="1">
        <f t="shared" si="26"/>
        <v>-56</v>
      </c>
      <c r="O85" s="1">
        <f t="shared" si="27"/>
        <v>79</v>
      </c>
      <c r="P85" s="1"/>
      <c r="Q85" s="1">
        <v>100</v>
      </c>
      <c r="R85" s="1">
        <v>-102.8571428571429</v>
      </c>
      <c r="S85" s="1"/>
      <c r="T85" s="1"/>
      <c r="U85" s="1"/>
      <c r="V85" s="1">
        <v>50</v>
      </c>
      <c r="W85" s="1"/>
      <c r="X85" s="1"/>
      <c r="Y85" s="1">
        <v>50</v>
      </c>
      <c r="Z85" s="1">
        <f t="shared" si="28"/>
        <v>15.8</v>
      </c>
      <c r="AA85" s="5">
        <v>50</v>
      </c>
      <c r="AB85" s="1">
        <f t="shared" si="29"/>
        <v>9.3128390596745003</v>
      </c>
      <c r="AC85" s="1">
        <f t="shared" si="30"/>
        <v>6.148282097649183</v>
      </c>
      <c r="AD85" s="1">
        <v>8.4</v>
      </c>
      <c r="AE85" s="1">
        <v>-0.6</v>
      </c>
      <c r="AF85" s="1">
        <v>-1.2</v>
      </c>
      <c r="AG85" s="1">
        <v>-0.4</v>
      </c>
      <c r="AH85" s="1">
        <v>14</v>
      </c>
      <c r="AI85" s="1">
        <v>31.6</v>
      </c>
      <c r="AJ85" s="1">
        <v>57.2</v>
      </c>
      <c r="AK85" s="1">
        <v>52.2</v>
      </c>
      <c r="AL85" s="1"/>
      <c r="AM85" s="1">
        <f t="shared" si="32"/>
        <v>17.5</v>
      </c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 t="s">
        <v>136</v>
      </c>
      <c r="B86" s="1" t="s">
        <v>48</v>
      </c>
      <c r="C86" s="1">
        <v>-11</v>
      </c>
      <c r="D86" s="1">
        <v>743</v>
      </c>
      <c r="E86" s="1">
        <v>301</v>
      </c>
      <c r="F86" s="1">
        <v>148</v>
      </c>
      <c r="G86" s="1"/>
      <c r="H86" s="1">
        <f t="shared" si="25"/>
        <v>148</v>
      </c>
      <c r="I86" s="7">
        <v>0.35</v>
      </c>
      <c r="J86" s="1">
        <v>45</v>
      </c>
      <c r="K86" s="11" t="s">
        <v>53</v>
      </c>
      <c r="L86" s="1"/>
      <c r="M86" s="1">
        <v>315</v>
      </c>
      <c r="N86" s="1">
        <f t="shared" si="26"/>
        <v>-14</v>
      </c>
      <c r="O86" s="1">
        <f t="shared" si="27"/>
        <v>301</v>
      </c>
      <c r="P86" s="1"/>
      <c r="Q86" s="1">
        <v>0</v>
      </c>
      <c r="R86" s="1"/>
      <c r="S86" s="1"/>
      <c r="T86" s="1"/>
      <c r="U86" s="1"/>
      <c r="V86" s="1">
        <v>40</v>
      </c>
      <c r="W86" s="1"/>
      <c r="X86" s="1"/>
      <c r="Y86" s="1">
        <v>20</v>
      </c>
      <c r="Z86" s="1">
        <f t="shared" si="28"/>
        <v>60.2</v>
      </c>
      <c r="AA86" s="5">
        <v>350</v>
      </c>
      <c r="AB86" s="1">
        <f t="shared" si="29"/>
        <v>9.2691029900332218</v>
      </c>
      <c r="AC86" s="1">
        <f t="shared" si="30"/>
        <v>3.4551495016611296</v>
      </c>
      <c r="AD86" s="1">
        <v>18.600000000000001</v>
      </c>
      <c r="AE86" s="1">
        <v>1.2</v>
      </c>
      <c r="AF86" s="1">
        <v>24.8</v>
      </c>
      <c r="AG86" s="1">
        <v>57.2</v>
      </c>
      <c r="AH86" s="1">
        <v>41.6</v>
      </c>
      <c r="AI86" s="1">
        <v>37.4</v>
      </c>
      <c r="AJ86" s="1">
        <v>49.2</v>
      </c>
      <c r="AK86" s="1">
        <v>41</v>
      </c>
      <c r="AL86" s="1"/>
      <c r="AM86" s="1">
        <f t="shared" si="32"/>
        <v>122.49999999999999</v>
      </c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 t="s">
        <v>137</v>
      </c>
      <c r="B87" s="1" t="s">
        <v>48</v>
      </c>
      <c r="C87" s="1">
        <v>50</v>
      </c>
      <c r="D87" s="1">
        <v>68</v>
      </c>
      <c r="E87" s="1">
        <v>10</v>
      </c>
      <c r="F87" s="1">
        <v>40</v>
      </c>
      <c r="G87" s="1"/>
      <c r="H87" s="1">
        <f t="shared" si="25"/>
        <v>40</v>
      </c>
      <c r="I87" s="7">
        <v>0.4</v>
      </c>
      <c r="J87" s="1">
        <v>55</v>
      </c>
      <c r="K87" s="1" t="s">
        <v>43</v>
      </c>
      <c r="L87" s="1"/>
      <c r="M87" s="1">
        <v>10</v>
      </c>
      <c r="N87" s="1">
        <f t="shared" si="26"/>
        <v>0</v>
      </c>
      <c r="O87" s="1">
        <f t="shared" si="27"/>
        <v>10</v>
      </c>
      <c r="P87" s="1"/>
      <c r="Q87" s="1">
        <v>12</v>
      </c>
      <c r="R87" s="1"/>
      <c r="S87" s="1"/>
      <c r="T87" s="1"/>
      <c r="U87" s="1"/>
      <c r="V87" s="1">
        <v>0</v>
      </c>
      <c r="W87" s="1"/>
      <c r="X87" s="1"/>
      <c r="Y87" s="1"/>
      <c r="Z87" s="1">
        <f t="shared" si="28"/>
        <v>2</v>
      </c>
      <c r="AA87" s="5"/>
      <c r="AB87" s="1">
        <f t="shared" si="29"/>
        <v>26</v>
      </c>
      <c r="AC87" s="1">
        <f t="shared" si="30"/>
        <v>26</v>
      </c>
      <c r="AD87" s="1">
        <v>2</v>
      </c>
      <c r="AE87" s="1">
        <v>6.2</v>
      </c>
      <c r="AF87" s="1">
        <v>4.4000000000000004</v>
      </c>
      <c r="AG87" s="1">
        <v>0.2</v>
      </c>
      <c r="AH87" s="1">
        <v>4.2</v>
      </c>
      <c r="AI87" s="1">
        <v>4.2</v>
      </c>
      <c r="AJ87" s="1">
        <v>0</v>
      </c>
      <c r="AK87" s="1">
        <v>0</v>
      </c>
      <c r="AL87" s="17" t="s">
        <v>76</v>
      </c>
      <c r="AM87" s="1">
        <f t="shared" si="32"/>
        <v>0</v>
      </c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 t="s">
        <v>138</v>
      </c>
      <c r="B88" s="1" t="s">
        <v>42</v>
      </c>
      <c r="C88" s="1">
        <v>20.971</v>
      </c>
      <c r="D88" s="1">
        <v>6.7240000000000002</v>
      </c>
      <c r="E88" s="1">
        <v>3.7170000000000001</v>
      </c>
      <c r="F88" s="1">
        <v>2.56</v>
      </c>
      <c r="G88" s="1"/>
      <c r="H88" s="1">
        <f t="shared" si="25"/>
        <v>2.56</v>
      </c>
      <c r="I88" s="7">
        <v>1</v>
      </c>
      <c r="J88" s="1">
        <v>55</v>
      </c>
      <c r="K88" s="1" t="s">
        <v>43</v>
      </c>
      <c r="L88" s="1"/>
      <c r="M88" s="1">
        <v>7.8</v>
      </c>
      <c r="N88" s="1">
        <f t="shared" si="26"/>
        <v>-4.0830000000000002</v>
      </c>
      <c r="O88" s="1">
        <f t="shared" si="27"/>
        <v>3.7170000000000001</v>
      </c>
      <c r="P88" s="1"/>
      <c r="Q88" s="1">
        <v>0</v>
      </c>
      <c r="R88" s="1"/>
      <c r="S88" s="1"/>
      <c r="T88" s="1"/>
      <c r="U88" s="1"/>
      <c r="V88" s="1">
        <v>0</v>
      </c>
      <c r="W88" s="1"/>
      <c r="X88" s="1"/>
      <c r="Y88" s="1"/>
      <c r="Z88" s="1">
        <f t="shared" si="28"/>
        <v>0.74340000000000006</v>
      </c>
      <c r="AA88" s="5">
        <f t="shared" si="33"/>
        <v>5.6173999999999999</v>
      </c>
      <c r="AB88" s="1">
        <f t="shared" si="29"/>
        <v>11</v>
      </c>
      <c r="AC88" s="1">
        <f t="shared" si="30"/>
        <v>3.4436373419424267</v>
      </c>
      <c r="AD88" s="1">
        <v>0.26700000000000002</v>
      </c>
      <c r="AE88" s="1">
        <v>0.26700000000000002</v>
      </c>
      <c r="AF88" s="1">
        <v>0.29099999999999998</v>
      </c>
      <c r="AG88" s="1">
        <v>0.59099999999999997</v>
      </c>
      <c r="AH88" s="1">
        <v>0.3</v>
      </c>
      <c r="AI88" s="1">
        <v>0.56580000000000008</v>
      </c>
      <c r="AJ88" s="1">
        <v>0.85500000000000009</v>
      </c>
      <c r="AK88" s="1">
        <v>0.5796</v>
      </c>
      <c r="AL88" s="10" t="s">
        <v>191</v>
      </c>
      <c r="AM88" s="1">
        <f t="shared" si="32"/>
        <v>5.6173999999999999</v>
      </c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2" t="s">
        <v>139</v>
      </c>
      <c r="B89" s="12" t="s">
        <v>42</v>
      </c>
      <c r="C89" s="12"/>
      <c r="D89" s="12"/>
      <c r="E89" s="12"/>
      <c r="F89" s="12"/>
      <c r="G89" s="12"/>
      <c r="H89" s="12">
        <f t="shared" si="25"/>
        <v>0</v>
      </c>
      <c r="I89" s="13">
        <v>0</v>
      </c>
      <c r="J89" s="12"/>
      <c r="K89" s="12" t="s">
        <v>43</v>
      </c>
      <c r="L89" s="12"/>
      <c r="M89" s="12"/>
      <c r="N89" s="12">
        <f t="shared" si="26"/>
        <v>0</v>
      </c>
      <c r="O89" s="12">
        <f t="shared" si="27"/>
        <v>0</v>
      </c>
      <c r="P89" s="12"/>
      <c r="Q89" s="12">
        <v>0</v>
      </c>
      <c r="R89" s="12"/>
      <c r="S89" s="12"/>
      <c r="T89" s="12"/>
      <c r="U89" s="12"/>
      <c r="V89" s="12">
        <v>0</v>
      </c>
      <c r="W89" s="12"/>
      <c r="X89" s="12"/>
      <c r="Y89" s="12"/>
      <c r="Z89" s="12">
        <f t="shared" si="28"/>
        <v>0</v>
      </c>
      <c r="AA89" s="14"/>
      <c r="AB89" s="12" t="e">
        <f t="shared" si="29"/>
        <v>#DIV/0!</v>
      </c>
      <c r="AC89" s="12" t="e">
        <f t="shared" si="30"/>
        <v>#DIV/0!</v>
      </c>
      <c r="AD89" s="12">
        <v>0</v>
      </c>
      <c r="AE89" s="12">
        <v>0</v>
      </c>
      <c r="AF89" s="12">
        <v>0</v>
      </c>
      <c r="AG89" s="12">
        <v>0</v>
      </c>
      <c r="AH89" s="12">
        <v>0</v>
      </c>
      <c r="AI89" s="12">
        <v>0</v>
      </c>
      <c r="AJ89" s="12">
        <v>0</v>
      </c>
      <c r="AK89" s="12">
        <v>0</v>
      </c>
      <c r="AL89" s="12" t="s">
        <v>65</v>
      </c>
      <c r="AM89" s="12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 t="s">
        <v>140</v>
      </c>
      <c r="B90" s="1" t="s">
        <v>42</v>
      </c>
      <c r="C90" s="1">
        <v>2492.0329999999999</v>
      </c>
      <c r="D90" s="1">
        <v>12296.638999999999</v>
      </c>
      <c r="E90" s="1">
        <v>2655.576</v>
      </c>
      <c r="F90" s="1">
        <v>3863.9169999999999</v>
      </c>
      <c r="G90" s="1">
        <f>VLOOKUP(A90,[1]TDSheet!$A:$B,2,0)</f>
        <v>506.06299999999999</v>
      </c>
      <c r="H90" s="1">
        <f t="shared" si="25"/>
        <v>3357.8539999999998</v>
      </c>
      <c r="I90" s="7">
        <v>1</v>
      </c>
      <c r="J90" s="1">
        <v>60</v>
      </c>
      <c r="K90" s="1" t="s">
        <v>43</v>
      </c>
      <c r="L90" s="1"/>
      <c r="M90" s="1">
        <v>2725.2950000000001</v>
      </c>
      <c r="N90" s="1">
        <f t="shared" si="26"/>
        <v>-69.719000000000051</v>
      </c>
      <c r="O90" s="1">
        <f t="shared" si="27"/>
        <v>2614.7809999999999</v>
      </c>
      <c r="P90" s="1">
        <v>40.795000000000002</v>
      </c>
      <c r="Q90" s="1">
        <v>348.8982426799999</v>
      </c>
      <c r="R90" s="1"/>
      <c r="S90" s="1">
        <v>471.65265731999978</v>
      </c>
      <c r="T90" s="1"/>
      <c r="U90" s="1"/>
      <c r="V90" s="1">
        <v>559.06353026999955</v>
      </c>
      <c r="W90" s="1"/>
      <c r="X90" s="1"/>
      <c r="Y90" s="1">
        <v>1035.072569729999</v>
      </c>
      <c r="Z90" s="1">
        <f t="shared" si="28"/>
        <v>522.95619999999997</v>
      </c>
      <c r="AA90" s="5"/>
      <c r="AB90" s="1">
        <f t="shared" si="29"/>
        <v>11.038287718933244</v>
      </c>
      <c r="AC90" s="1">
        <f t="shared" si="30"/>
        <v>11.038287718933244</v>
      </c>
      <c r="AD90" s="1">
        <v>517.02299999999991</v>
      </c>
      <c r="AE90" s="1">
        <v>538.73500000000001</v>
      </c>
      <c r="AF90" s="1">
        <v>591.0634</v>
      </c>
      <c r="AG90" s="1">
        <v>673.63120000000004</v>
      </c>
      <c r="AH90" s="1">
        <v>428.86399999999998</v>
      </c>
      <c r="AI90" s="1">
        <v>368.13479999999998</v>
      </c>
      <c r="AJ90" s="1">
        <v>482.79840000000002</v>
      </c>
      <c r="AK90" s="1">
        <v>547.7278</v>
      </c>
      <c r="AL90" s="1" t="s">
        <v>45</v>
      </c>
      <c r="AM90" s="1">
        <f t="shared" ref="AM90:AM95" si="34">I90*AA90</f>
        <v>0</v>
      </c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 t="s">
        <v>141</v>
      </c>
      <c r="B91" s="1" t="s">
        <v>48</v>
      </c>
      <c r="C91" s="1">
        <v>782</v>
      </c>
      <c r="D91" s="1">
        <v>1648</v>
      </c>
      <c r="E91" s="1">
        <v>194</v>
      </c>
      <c r="F91" s="1">
        <v>621</v>
      </c>
      <c r="G91" s="1"/>
      <c r="H91" s="1">
        <f t="shared" si="25"/>
        <v>621</v>
      </c>
      <c r="I91" s="7">
        <v>0.3</v>
      </c>
      <c r="J91" s="1">
        <v>40</v>
      </c>
      <c r="K91" s="1" t="s">
        <v>43</v>
      </c>
      <c r="L91" s="1"/>
      <c r="M91" s="1">
        <v>207</v>
      </c>
      <c r="N91" s="1">
        <f t="shared" si="26"/>
        <v>-13</v>
      </c>
      <c r="O91" s="1">
        <f t="shared" si="27"/>
        <v>194</v>
      </c>
      <c r="P91" s="1"/>
      <c r="Q91" s="1">
        <v>0</v>
      </c>
      <c r="R91" s="1"/>
      <c r="S91" s="1"/>
      <c r="T91" s="1"/>
      <c r="U91" s="1"/>
      <c r="V91" s="1">
        <v>0</v>
      </c>
      <c r="W91" s="1"/>
      <c r="X91" s="1"/>
      <c r="Y91" s="1"/>
      <c r="Z91" s="1">
        <f t="shared" si="28"/>
        <v>38.799999999999997</v>
      </c>
      <c r="AA91" s="5"/>
      <c r="AB91" s="1">
        <f t="shared" si="29"/>
        <v>16.005154639175259</v>
      </c>
      <c r="AC91" s="1">
        <f t="shared" si="30"/>
        <v>16.005154639175259</v>
      </c>
      <c r="AD91" s="1">
        <v>47.6</v>
      </c>
      <c r="AE91" s="1">
        <v>64.8</v>
      </c>
      <c r="AF91" s="1">
        <v>54.6</v>
      </c>
      <c r="AG91" s="1">
        <v>43.4</v>
      </c>
      <c r="AH91" s="1">
        <v>52.8</v>
      </c>
      <c r="AI91" s="1">
        <v>49.8</v>
      </c>
      <c r="AJ91" s="1">
        <v>36.200000000000003</v>
      </c>
      <c r="AK91" s="1">
        <v>35.799999999999997</v>
      </c>
      <c r="AL91" s="1"/>
      <c r="AM91" s="1">
        <f t="shared" si="34"/>
        <v>0</v>
      </c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 t="s">
        <v>142</v>
      </c>
      <c r="B92" s="1" t="s">
        <v>42</v>
      </c>
      <c r="C92" s="1">
        <v>1425.6410000000001</v>
      </c>
      <c r="D92" s="1">
        <v>3470.5819999999999</v>
      </c>
      <c r="E92" s="1">
        <v>1585.105</v>
      </c>
      <c r="F92" s="1">
        <v>1256.9169999999999</v>
      </c>
      <c r="G92" s="1"/>
      <c r="H92" s="1">
        <f t="shared" si="25"/>
        <v>1256.9169999999999</v>
      </c>
      <c r="I92" s="7">
        <v>1</v>
      </c>
      <c r="J92" s="1">
        <v>60</v>
      </c>
      <c r="K92" s="1" t="s">
        <v>43</v>
      </c>
      <c r="L92" s="1"/>
      <c r="M92" s="1">
        <v>1750.2719999999999</v>
      </c>
      <c r="N92" s="1">
        <f t="shared" si="26"/>
        <v>-165.16699999999992</v>
      </c>
      <c r="O92" s="1">
        <f t="shared" si="27"/>
        <v>1449.923</v>
      </c>
      <c r="P92" s="1">
        <v>135.18199999999999</v>
      </c>
      <c r="Q92" s="1">
        <v>297.64</v>
      </c>
      <c r="R92" s="1"/>
      <c r="S92" s="1">
        <v>402.36</v>
      </c>
      <c r="T92" s="1"/>
      <c r="U92" s="1">
        <v>390</v>
      </c>
      <c r="V92" s="1">
        <v>246.04803384000019</v>
      </c>
      <c r="W92" s="1"/>
      <c r="X92" s="1">
        <v>300</v>
      </c>
      <c r="Y92" s="1">
        <v>455.54316616000028</v>
      </c>
      <c r="Z92" s="1">
        <f t="shared" si="28"/>
        <v>289.9846</v>
      </c>
      <c r="AA92" s="5"/>
      <c r="AB92" s="1">
        <f t="shared" si="29"/>
        <v>11.547193195776604</v>
      </c>
      <c r="AC92" s="1">
        <f t="shared" si="30"/>
        <v>11.547193195776604</v>
      </c>
      <c r="AD92" s="1">
        <v>263.73020000000002</v>
      </c>
      <c r="AE92" s="1">
        <v>277.47519999999997</v>
      </c>
      <c r="AF92" s="1">
        <v>257.95119999999997</v>
      </c>
      <c r="AG92" s="1">
        <v>283.8922</v>
      </c>
      <c r="AH92" s="1">
        <v>197.21299999999999</v>
      </c>
      <c r="AI92" s="1">
        <v>160.90700000000001</v>
      </c>
      <c r="AJ92" s="1">
        <v>215.4</v>
      </c>
      <c r="AK92" s="1">
        <v>379.45499999999998</v>
      </c>
      <c r="AL92" s="1"/>
      <c r="AM92" s="1">
        <f t="shared" si="34"/>
        <v>0</v>
      </c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 t="s">
        <v>143</v>
      </c>
      <c r="B93" s="1" t="s">
        <v>42</v>
      </c>
      <c r="C93" s="1">
        <v>2828.6</v>
      </c>
      <c r="D93" s="1">
        <v>8229.9030000000002</v>
      </c>
      <c r="E93" s="1">
        <v>2972.5169999999998</v>
      </c>
      <c r="F93" s="1">
        <v>1299.5999999999999</v>
      </c>
      <c r="G93" s="1"/>
      <c r="H93" s="1">
        <f t="shared" si="25"/>
        <v>1299.5999999999999</v>
      </c>
      <c r="I93" s="7">
        <v>1</v>
      </c>
      <c r="J93" s="1">
        <v>60</v>
      </c>
      <c r="K93" s="1" t="s">
        <v>43</v>
      </c>
      <c r="L93" s="1"/>
      <c r="M93" s="1">
        <v>3132.7150000000001</v>
      </c>
      <c r="N93" s="1">
        <f t="shared" si="26"/>
        <v>-160.19800000000032</v>
      </c>
      <c r="O93" s="1">
        <f t="shared" si="27"/>
        <v>2503.402</v>
      </c>
      <c r="P93" s="1">
        <v>469.11500000000001</v>
      </c>
      <c r="Q93" s="1">
        <v>765.36000000000013</v>
      </c>
      <c r="R93" s="1"/>
      <c r="S93" s="1">
        <v>1034.6400000000001</v>
      </c>
      <c r="T93" s="1"/>
      <c r="U93" s="1">
        <v>390</v>
      </c>
      <c r="V93" s="1">
        <v>507.39100650000017</v>
      </c>
      <c r="W93" s="1"/>
      <c r="X93" s="1">
        <v>510</v>
      </c>
      <c r="Y93" s="1">
        <v>939.4039935000003</v>
      </c>
      <c r="Z93" s="1">
        <f t="shared" si="28"/>
        <v>500.68040000000002</v>
      </c>
      <c r="AA93" s="5">
        <f t="shared" ref="AA90:AA95" si="35">11*Z93-Y93-X93-W93-V93-U93-T93-S93-R93-Q93-H93</f>
        <v>61.089399999999841</v>
      </c>
      <c r="AB93" s="1">
        <f t="shared" si="29"/>
        <v>11</v>
      </c>
      <c r="AC93" s="1">
        <f t="shared" si="30"/>
        <v>10.877987234970652</v>
      </c>
      <c r="AD93" s="1">
        <v>462.61800000000011</v>
      </c>
      <c r="AE93" s="1">
        <v>495.69220000000001</v>
      </c>
      <c r="AF93" s="1">
        <v>523.89400000000001</v>
      </c>
      <c r="AG93" s="1">
        <v>507.10120000000012</v>
      </c>
      <c r="AH93" s="1">
        <v>403.74220000000003</v>
      </c>
      <c r="AI93" s="1">
        <v>422.80460000000011</v>
      </c>
      <c r="AJ93" s="1">
        <v>423.51899999999989</v>
      </c>
      <c r="AK93" s="1">
        <v>694.55039999999997</v>
      </c>
      <c r="AL93" s="1"/>
      <c r="AM93" s="1">
        <f t="shared" si="34"/>
        <v>61.089399999999841</v>
      </c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 t="s">
        <v>70</v>
      </c>
      <c r="B94" s="1" t="s">
        <v>42</v>
      </c>
      <c r="C94" s="1">
        <v>3985.8409999999999</v>
      </c>
      <c r="D94" s="1">
        <v>10980.736000000001</v>
      </c>
      <c r="E94" s="1">
        <v>3362.643</v>
      </c>
      <c r="F94" s="1">
        <v>1704.5830000000001</v>
      </c>
      <c r="G94" s="1">
        <f>VLOOKUP(A94,[1]TDSheet!$A:$B,2,0)</f>
        <v>359.18099999999998</v>
      </c>
      <c r="H94" s="1">
        <f t="shared" si="25"/>
        <v>1345.402</v>
      </c>
      <c r="I94" s="7">
        <v>1</v>
      </c>
      <c r="J94" s="1">
        <v>60</v>
      </c>
      <c r="K94" s="1" t="s">
        <v>43</v>
      </c>
      <c r="L94" s="1"/>
      <c r="M94" s="1">
        <v>3425.6979999999999</v>
      </c>
      <c r="N94" s="1">
        <f t="shared" si="26"/>
        <v>-63.054999999999836</v>
      </c>
      <c r="O94" s="1">
        <f t="shared" si="27"/>
        <v>2852.4650000000001</v>
      </c>
      <c r="P94" s="1">
        <v>510.178</v>
      </c>
      <c r="Q94" s="1">
        <v>765.36000000000013</v>
      </c>
      <c r="R94" s="1"/>
      <c r="S94" s="1">
        <v>1034.6400000000001</v>
      </c>
      <c r="T94" s="1"/>
      <c r="U94" s="1">
        <v>360</v>
      </c>
      <c r="V94" s="1">
        <v>659.92635828000016</v>
      </c>
      <c r="W94" s="1"/>
      <c r="X94" s="1">
        <v>1095</v>
      </c>
      <c r="Y94" s="1">
        <v>1221.81404172</v>
      </c>
      <c r="Z94" s="1">
        <f t="shared" si="28"/>
        <v>570.49300000000005</v>
      </c>
      <c r="AA94" s="5"/>
      <c r="AB94" s="1">
        <f t="shared" si="29"/>
        <v>11.362352211157718</v>
      </c>
      <c r="AC94" s="1">
        <f t="shared" si="30"/>
        <v>11.362352211157718</v>
      </c>
      <c r="AD94" s="1">
        <v>578.13740000000007</v>
      </c>
      <c r="AE94" s="1">
        <v>589.31639999999993</v>
      </c>
      <c r="AF94" s="1">
        <v>576.82039999999995</v>
      </c>
      <c r="AG94" s="1">
        <v>637.09520000000009</v>
      </c>
      <c r="AH94" s="1">
        <v>500.93239999999997</v>
      </c>
      <c r="AI94" s="1">
        <v>455.24059999999997</v>
      </c>
      <c r="AJ94" s="1">
        <v>581.56139999999994</v>
      </c>
      <c r="AK94" s="1">
        <v>903.69920000000002</v>
      </c>
      <c r="AL94" s="1"/>
      <c r="AM94" s="1">
        <f t="shared" si="34"/>
        <v>0</v>
      </c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 t="s">
        <v>144</v>
      </c>
      <c r="B95" s="1" t="s">
        <v>42</v>
      </c>
      <c r="C95" s="1">
        <v>17.547999999999998</v>
      </c>
      <c r="D95" s="1">
        <v>73.573999999999998</v>
      </c>
      <c r="E95" s="1">
        <v>16.13</v>
      </c>
      <c r="F95" s="1">
        <v>19.978999999999999</v>
      </c>
      <c r="G95" s="1"/>
      <c r="H95" s="1">
        <f t="shared" si="25"/>
        <v>19.978999999999999</v>
      </c>
      <c r="I95" s="7">
        <v>1</v>
      </c>
      <c r="J95" s="1">
        <v>55</v>
      </c>
      <c r="K95" s="1" t="s">
        <v>43</v>
      </c>
      <c r="L95" s="1"/>
      <c r="M95" s="1">
        <v>16.899999999999999</v>
      </c>
      <c r="N95" s="1">
        <f t="shared" si="26"/>
        <v>-0.76999999999999957</v>
      </c>
      <c r="O95" s="1">
        <f t="shared" si="27"/>
        <v>16.13</v>
      </c>
      <c r="P95" s="1"/>
      <c r="Q95" s="1">
        <v>13.0763</v>
      </c>
      <c r="R95" s="1"/>
      <c r="S95" s="1"/>
      <c r="T95" s="1"/>
      <c r="U95" s="1"/>
      <c r="V95" s="1">
        <v>4</v>
      </c>
      <c r="W95" s="1"/>
      <c r="X95" s="1"/>
      <c r="Y95" s="1"/>
      <c r="Z95" s="1">
        <f t="shared" si="28"/>
        <v>3.226</v>
      </c>
      <c r="AA95" s="5"/>
      <c r="AB95" s="1">
        <f t="shared" si="29"/>
        <v>11.486453812771234</v>
      </c>
      <c r="AC95" s="1">
        <f t="shared" si="30"/>
        <v>11.486453812771234</v>
      </c>
      <c r="AD95" s="1">
        <v>3.7902</v>
      </c>
      <c r="AE95" s="1">
        <v>4.0486000000000004</v>
      </c>
      <c r="AF95" s="1">
        <v>4.0282</v>
      </c>
      <c r="AG95" s="1">
        <v>3.492</v>
      </c>
      <c r="AH95" s="1">
        <v>1.6095999999999999</v>
      </c>
      <c r="AI95" s="1">
        <v>2.2846000000000002</v>
      </c>
      <c r="AJ95" s="1">
        <v>4.4762000000000004</v>
      </c>
      <c r="AK95" s="1">
        <v>4.0706000000000007</v>
      </c>
      <c r="AL95" s="1"/>
      <c r="AM95" s="1">
        <f t="shared" si="34"/>
        <v>0</v>
      </c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2" t="s">
        <v>145</v>
      </c>
      <c r="B96" s="12" t="s">
        <v>42</v>
      </c>
      <c r="C96" s="12">
        <v>-1.36</v>
      </c>
      <c r="D96" s="12">
        <v>1.36</v>
      </c>
      <c r="E96" s="12"/>
      <c r="F96" s="12"/>
      <c r="G96" s="12"/>
      <c r="H96" s="12">
        <f t="shared" si="25"/>
        <v>0</v>
      </c>
      <c r="I96" s="13">
        <v>0</v>
      </c>
      <c r="J96" s="12"/>
      <c r="K96" s="12" t="s">
        <v>56</v>
      </c>
      <c r="L96" s="12"/>
      <c r="M96" s="12"/>
      <c r="N96" s="12">
        <f t="shared" si="26"/>
        <v>0</v>
      </c>
      <c r="O96" s="12">
        <f t="shared" si="27"/>
        <v>0</v>
      </c>
      <c r="P96" s="12"/>
      <c r="Q96" s="12">
        <v>0</v>
      </c>
      <c r="R96" s="12"/>
      <c r="S96" s="12"/>
      <c r="T96" s="12"/>
      <c r="U96" s="12"/>
      <c r="V96" s="12">
        <v>0</v>
      </c>
      <c r="W96" s="12"/>
      <c r="X96" s="12"/>
      <c r="Y96" s="12"/>
      <c r="Z96" s="12">
        <f t="shared" si="28"/>
        <v>0</v>
      </c>
      <c r="AA96" s="14"/>
      <c r="AB96" s="12" t="e">
        <f t="shared" si="29"/>
        <v>#DIV/0!</v>
      </c>
      <c r="AC96" s="12" t="e">
        <f t="shared" si="30"/>
        <v>#DIV/0!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2">
        <v>0</v>
      </c>
      <c r="AK96" s="12">
        <v>0</v>
      </c>
      <c r="AL96" s="12"/>
      <c r="AM96" s="12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2" t="s">
        <v>146</v>
      </c>
      <c r="B97" s="12" t="s">
        <v>42</v>
      </c>
      <c r="C97" s="12">
        <v>-3.9460000000000002</v>
      </c>
      <c r="D97" s="12">
        <v>112.032</v>
      </c>
      <c r="E97" s="12"/>
      <c r="F97" s="12"/>
      <c r="G97" s="12"/>
      <c r="H97" s="12">
        <f t="shared" si="25"/>
        <v>0</v>
      </c>
      <c r="I97" s="13">
        <v>0</v>
      </c>
      <c r="J97" s="12"/>
      <c r="K97" s="12" t="s">
        <v>56</v>
      </c>
      <c r="L97" s="12"/>
      <c r="M97" s="12"/>
      <c r="N97" s="12">
        <f t="shared" si="26"/>
        <v>0</v>
      </c>
      <c r="O97" s="12">
        <f t="shared" si="27"/>
        <v>0</v>
      </c>
      <c r="P97" s="12"/>
      <c r="Q97" s="12">
        <v>0</v>
      </c>
      <c r="R97" s="12"/>
      <c r="S97" s="12"/>
      <c r="T97" s="12"/>
      <c r="U97" s="12"/>
      <c r="V97" s="12">
        <v>0</v>
      </c>
      <c r="W97" s="12"/>
      <c r="X97" s="12"/>
      <c r="Y97" s="12"/>
      <c r="Z97" s="12">
        <f t="shared" si="28"/>
        <v>0</v>
      </c>
      <c r="AA97" s="14"/>
      <c r="AB97" s="12" t="e">
        <f t="shared" si="29"/>
        <v>#DIV/0!</v>
      </c>
      <c r="AC97" s="12" t="e">
        <f t="shared" si="30"/>
        <v>#DIV/0!</v>
      </c>
      <c r="AD97" s="12">
        <v>0</v>
      </c>
      <c r="AE97" s="12">
        <v>0</v>
      </c>
      <c r="AF97" s="12">
        <v>-8.5999999999999993E-2</v>
      </c>
      <c r="AG97" s="12">
        <v>-8.5999999999999993E-2</v>
      </c>
      <c r="AH97" s="12">
        <v>0</v>
      </c>
      <c r="AI97" s="12">
        <v>-0.26900000000000002</v>
      </c>
      <c r="AJ97" s="12">
        <v>-0.47220000000000012</v>
      </c>
      <c r="AK97" s="12">
        <v>-0.20319999999999999</v>
      </c>
      <c r="AL97" s="12"/>
      <c r="AM97" s="12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 t="s">
        <v>147</v>
      </c>
      <c r="B98" s="1" t="s">
        <v>48</v>
      </c>
      <c r="C98" s="1">
        <v>-5</v>
      </c>
      <c r="D98" s="1">
        <v>91</v>
      </c>
      <c r="E98" s="1"/>
      <c r="F98" s="1"/>
      <c r="G98" s="1"/>
      <c r="H98" s="1">
        <f t="shared" si="25"/>
        <v>0</v>
      </c>
      <c r="I98" s="7">
        <v>0.3</v>
      </c>
      <c r="J98" s="1">
        <v>40</v>
      </c>
      <c r="K98" s="11" t="s">
        <v>53</v>
      </c>
      <c r="L98" s="1"/>
      <c r="M98" s="1">
        <v>89</v>
      </c>
      <c r="N98" s="1">
        <f t="shared" si="26"/>
        <v>-89</v>
      </c>
      <c r="O98" s="1">
        <f t="shared" si="27"/>
        <v>0</v>
      </c>
      <c r="P98" s="1"/>
      <c r="Q98" s="1">
        <v>100</v>
      </c>
      <c r="R98" s="1">
        <v>-103.3333333333333</v>
      </c>
      <c r="S98" s="1"/>
      <c r="T98" s="1"/>
      <c r="U98" s="1"/>
      <c r="V98" s="1">
        <v>80</v>
      </c>
      <c r="W98" s="1">
        <v>-84</v>
      </c>
      <c r="X98" s="1"/>
      <c r="Y98" s="1">
        <v>40</v>
      </c>
      <c r="Z98" s="1">
        <f t="shared" si="28"/>
        <v>0</v>
      </c>
      <c r="AA98" s="5">
        <v>80</v>
      </c>
      <c r="AB98" s="1" t="e">
        <f t="shared" si="29"/>
        <v>#DIV/0!</v>
      </c>
      <c r="AC98" s="1" t="e">
        <f t="shared" si="30"/>
        <v>#DIV/0!</v>
      </c>
      <c r="AD98" s="1">
        <v>0</v>
      </c>
      <c r="AE98" s="1">
        <v>-0.4</v>
      </c>
      <c r="AF98" s="1">
        <v>-0.4</v>
      </c>
      <c r="AG98" s="1">
        <v>0</v>
      </c>
      <c r="AH98" s="1">
        <v>-0.2</v>
      </c>
      <c r="AI98" s="1">
        <v>-0.6</v>
      </c>
      <c r="AJ98" s="1">
        <v>-0.4</v>
      </c>
      <c r="AK98" s="1">
        <v>-0.8</v>
      </c>
      <c r="AL98" s="1"/>
      <c r="AM98" s="1">
        <f>I98*AA98</f>
        <v>24</v>
      </c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 t="s">
        <v>148</v>
      </c>
      <c r="B99" s="1" t="s">
        <v>48</v>
      </c>
      <c r="C99" s="1">
        <v>61</v>
      </c>
      <c r="D99" s="1">
        <v>182</v>
      </c>
      <c r="E99" s="1">
        <v>28</v>
      </c>
      <c r="F99" s="1">
        <v>51</v>
      </c>
      <c r="G99" s="1"/>
      <c r="H99" s="1">
        <f t="shared" si="25"/>
        <v>51</v>
      </c>
      <c r="I99" s="7">
        <v>0.3</v>
      </c>
      <c r="J99" s="1">
        <v>40</v>
      </c>
      <c r="K99" s="1" t="s">
        <v>43</v>
      </c>
      <c r="L99" s="1"/>
      <c r="M99" s="1">
        <v>37</v>
      </c>
      <c r="N99" s="1">
        <f t="shared" si="26"/>
        <v>-9</v>
      </c>
      <c r="O99" s="1">
        <f t="shared" si="27"/>
        <v>28</v>
      </c>
      <c r="P99" s="1"/>
      <c r="Q99" s="1">
        <v>0</v>
      </c>
      <c r="R99" s="1"/>
      <c r="S99" s="1"/>
      <c r="T99" s="1"/>
      <c r="U99" s="1"/>
      <c r="V99" s="1">
        <v>0</v>
      </c>
      <c r="W99" s="1"/>
      <c r="X99" s="1"/>
      <c r="Y99" s="1"/>
      <c r="Z99" s="1">
        <f t="shared" si="28"/>
        <v>5.6</v>
      </c>
      <c r="AA99" s="5">
        <f t="shared" ref="AA98:AA102" si="36">11*Z99-Y99-X99-W99-V99-U99-T99-S99-R99-Q99-H99</f>
        <v>10.599999999999994</v>
      </c>
      <c r="AB99" s="1">
        <f t="shared" si="29"/>
        <v>11</v>
      </c>
      <c r="AC99" s="1">
        <f t="shared" si="30"/>
        <v>9.1071428571428577</v>
      </c>
      <c r="AD99" s="1">
        <v>4.2</v>
      </c>
      <c r="AE99" s="1">
        <v>6.4</v>
      </c>
      <c r="AF99" s="1">
        <v>8.8000000000000007</v>
      </c>
      <c r="AG99" s="1">
        <v>6</v>
      </c>
      <c r="AH99" s="1">
        <v>1.6</v>
      </c>
      <c r="AI99" s="1">
        <v>2.2000000000000002</v>
      </c>
      <c r="AJ99" s="1">
        <v>6.8</v>
      </c>
      <c r="AK99" s="1">
        <v>8.1999999999999993</v>
      </c>
      <c r="AL99" s="1"/>
      <c r="AM99" s="1">
        <f>I99*AA99</f>
        <v>3.1799999999999984</v>
      </c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 t="s">
        <v>149</v>
      </c>
      <c r="B100" s="1" t="s">
        <v>48</v>
      </c>
      <c r="C100" s="1">
        <v>15</v>
      </c>
      <c r="D100" s="1">
        <v>479</v>
      </c>
      <c r="E100" s="1">
        <v>102</v>
      </c>
      <c r="F100" s="1">
        <v>18</v>
      </c>
      <c r="G100" s="1"/>
      <c r="H100" s="1">
        <f t="shared" si="25"/>
        <v>18</v>
      </c>
      <c r="I100" s="7">
        <v>7.0000000000000007E-2</v>
      </c>
      <c r="J100" s="1">
        <v>90</v>
      </c>
      <c r="K100" s="11" t="s">
        <v>53</v>
      </c>
      <c r="L100" s="1"/>
      <c r="M100" s="1">
        <v>242</v>
      </c>
      <c r="N100" s="1">
        <f t="shared" si="26"/>
        <v>-140</v>
      </c>
      <c r="O100" s="1">
        <f t="shared" si="27"/>
        <v>102</v>
      </c>
      <c r="P100" s="1"/>
      <c r="Q100" s="1">
        <v>0</v>
      </c>
      <c r="R100" s="1"/>
      <c r="S100" s="1"/>
      <c r="T100" s="1"/>
      <c r="U100" s="1"/>
      <c r="V100" s="1">
        <v>90.199999999999989</v>
      </c>
      <c r="W100" s="1">
        <v>-89.999999999999986</v>
      </c>
      <c r="X100" s="1"/>
      <c r="Y100" s="1">
        <v>50</v>
      </c>
      <c r="Z100" s="1">
        <f t="shared" si="28"/>
        <v>20.399999999999999</v>
      </c>
      <c r="AA100" s="5">
        <v>100</v>
      </c>
      <c r="AB100" s="1">
        <f t="shared" si="29"/>
        <v>8.2450980392156854</v>
      </c>
      <c r="AC100" s="1">
        <f t="shared" si="30"/>
        <v>3.3431372549019613</v>
      </c>
      <c r="AD100" s="1">
        <v>12.6</v>
      </c>
      <c r="AE100" s="1">
        <v>0.4</v>
      </c>
      <c r="AF100" s="1">
        <v>3</v>
      </c>
      <c r="AG100" s="1">
        <v>4.8</v>
      </c>
      <c r="AH100" s="1">
        <v>17.399999999999999</v>
      </c>
      <c r="AI100" s="1">
        <v>32</v>
      </c>
      <c r="AJ100" s="1">
        <v>45.8</v>
      </c>
      <c r="AK100" s="1">
        <v>47.2</v>
      </c>
      <c r="AL100" s="1"/>
      <c r="AM100" s="1">
        <f>I100*AA100</f>
        <v>7.0000000000000009</v>
      </c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 t="s">
        <v>150</v>
      </c>
      <c r="B101" s="1" t="s">
        <v>48</v>
      </c>
      <c r="C101" s="1">
        <v>-12</v>
      </c>
      <c r="D101" s="1">
        <v>812</v>
      </c>
      <c r="E101" s="1">
        <v>138</v>
      </c>
      <c r="F101" s="1">
        <v>96</v>
      </c>
      <c r="G101" s="1"/>
      <c r="H101" s="1">
        <f t="shared" si="25"/>
        <v>96</v>
      </c>
      <c r="I101" s="7">
        <v>7.0000000000000007E-2</v>
      </c>
      <c r="J101" s="1">
        <v>90</v>
      </c>
      <c r="K101" s="11" t="s">
        <v>53</v>
      </c>
      <c r="L101" s="1"/>
      <c r="M101" s="1">
        <v>169</v>
      </c>
      <c r="N101" s="1">
        <f t="shared" si="26"/>
        <v>-31</v>
      </c>
      <c r="O101" s="1">
        <f t="shared" si="27"/>
        <v>138</v>
      </c>
      <c r="P101" s="1"/>
      <c r="Q101" s="1">
        <v>154.3000000000001</v>
      </c>
      <c r="R101" s="1"/>
      <c r="S101" s="1"/>
      <c r="T101" s="1"/>
      <c r="U101" s="1"/>
      <c r="V101" s="1">
        <v>145.09999999999991</v>
      </c>
      <c r="W101" s="1">
        <v>-144</v>
      </c>
      <c r="X101" s="1"/>
      <c r="Y101" s="1"/>
      <c r="Z101" s="1">
        <f t="shared" si="28"/>
        <v>27.6</v>
      </c>
      <c r="AA101" s="5">
        <v>100</v>
      </c>
      <c r="AB101" s="1">
        <f t="shared" si="29"/>
        <v>12.731884057971014</v>
      </c>
      <c r="AC101" s="1">
        <f t="shared" si="30"/>
        <v>9.1086956521739122</v>
      </c>
      <c r="AD101" s="1">
        <v>35.200000000000003</v>
      </c>
      <c r="AE101" s="1">
        <v>34.200000000000003</v>
      </c>
      <c r="AF101" s="1">
        <v>44.6</v>
      </c>
      <c r="AG101" s="1">
        <v>28.2</v>
      </c>
      <c r="AH101" s="1">
        <v>6.6</v>
      </c>
      <c r="AI101" s="1">
        <v>30</v>
      </c>
      <c r="AJ101" s="1">
        <v>51.8</v>
      </c>
      <c r="AK101" s="1">
        <v>48</v>
      </c>
      <c r="AL101" s="1"/>
      <c r="AM101" s="1">
        <f>I101*AA101</f>
        <v>7.0000000000000009</v>
      </c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 t="s">
        <v>151</v>
      </c>
      <c r="B102" s="1" t="s">
        <v>48</v>
      </c>
      <c r="C102" s="1">
        <v>135</v>
      </c>
      <c r="D102" s="1">
        <v>761</v>
      </c>
      <c r="E102" s="1">
        <v>190</v>
      </c>
      <c r="F102" s="1">
        <v>66</v>
      </c>
      <c r="G102" s="1"/>
      <c r="H102" s="1">
        <f t="shared" ref="H102:H133" si="37">F102-G102</f>
        <v>66</v>
      </c>
      <c r="I102" s="7">
        <v>7.0000000000000007E-2</v>
      </c>
      <c r="J102" s="1">
        <v>90</v>
      </c>
      <c r="K102" s="11" t="s">
        <v>53</v>
      </c>
      <c r="L102" s="1"/>
      <c r="M102" s="1">
        <v>233</v>
      </c>
      <c r="N102" s="1">
        <f t="shared" ref="N102:N133" si="38">E102-M102</f>
        <v>-43</v>
      </c>
      <c r="O102" s="1">
        <f t="shared" ref="O102:O133" si="39">E102-P102</f>
        <v>190</v>
      </c>
      <c r="P102" s="1"/>
      <c r="Q102" s="1">
        <v>50</v>
      </c>
      <c r="R102" s="1"/>
      <c r="S102" s="1"/>
      <c r="T102" s="1"/>
      <c r="U102" s="1"/>
      <c r="V102" s="1">
        <v>383.2</v>
      </c>
      <c r="W102" s="1"/>
      <c r="X102" s="1"/>
      <c r="Y102" s="1"/>
      <c r="Z102" s="1">
        <f t="shared" ref="Z102:Z138" si="40">O102/5</f>
        <v>38</v>
      </c>
      <c r="AA102" s="5">
        <v>50</v>
      </c>
      <c r="AB102" s="1">
        <f t="shared" ref="AB102:AB133" si="41">(H102+Q102+R102+S102+T102+U102+V102+W102+X102+Y102+AA102)/Z102</f>
        <v>14.45263157894737</v>
      </c>
      <c r="AC102" s="1">
        <f t="shared" ref="AC102:AC138" si="42">(H102+Q102+R102+S102+T102+U102+V102+W102+X102+Y102)/Z102</f>
        <v>13.136842105263158</v>
      </c>
      <c r="AD102" s="1">
        <v>42.6</v>
      </c>
      <c r="AE102" s="1">
        <v>11.4</v>
      </c>
      <c r="AF102" s="1">
        <v>17.8</v>
      </c>
      <c r="AG102" s="1">
        <v>18.2</v>
      </c>
      <c r="AH102" s="1">
        <v>23</v>
      </c>
      <c r="AI102" s="1">
        <v>39.200000000000003</v>
      </c>
      <c r="AJ102" s="1">
        <v>42</v>
      </c>
      <c r="AK102" s="1">
        <v>40.799999999999997</v>
      </c>
      <c r="AL102" s="1"/>
      <c r="AM102" s="1">
        <f>I102*AA102</f>
        <v>3.5000000000000004</v>
      </c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2" t="s">
        <v>152</v>
      </c>
      <c r="B103" s="12" t="s">
        <v>48</v>
      </c>
      <c r="C103" s="12">
        <v>4</v>
      </c>
      <c r="D103" s="12">
        <v>17</v>
      </c>
      <c r="E103" s="12">
        <v>-2</v>
      </c>
      <c r="F103" s="12"/>
      <c r="G103" s="12"/>
      <c r="H103" s="12">
        <f t="shared" si="37"/>
        <v>0</v>
      </c>
      <c r="I103" s="13">
        <v>0</v>
      </c>
      <c r="J103" s="12">
        <v>90</v>
      </c>
      <c r="K103" s="12" t="s">
        <v>56</v>
      </c>
      <c r="L103" s="12"/>
      <c r="M103" s="12">
        <v>40</v>
      </c>
      <c r="N103" s="12">
        <f t="shared" si="38"/>
        <v>-42</v>
      </c>
      <c r="O103" s="12">
        <f t="shared" si="39"/>
        <v>-2</v>
      </c>
      <c r="P103" s="12"/>
      <c r="Q103" s="12">
        <v>0</v>
      </c>
      <c r="R103" s="12"/>
      <c r="S103" s="12"/>
      <c r="T103" s="12"/>
      <c r="U103" s="12"/>
      <c r="V103" s="12">
        <v>0</v>
      </c>
      <c r="W103" s="12"/>
      <c r="X103" s="12"/>
      <c r="Y103" s="12"/>
      <c r="Z103" s="12">
        <f t="shared" si="40"/>
        <v>-0.4</v>
      </c>
      <c r="AA103" s="14"/>
      <c r="AB103" s="12">
        <f t="shared" si="41"/>
        <v>0</v>
      </c>
      <c r="AC103" s="12">
        <f t="shared" si="42"/>
        <v>0</v>
      </c>
      <c r="AD103" s="12">
        <v>-0.4</v>
      </c>
      <c r="AE103" s="12">
        <v>-0.4</v>
      </c>
      <c r="AF103" s="12">
        <v>-0.6</v>
      </c>
      <c r="AG103" s="12">
        <v>-0.2</v>
      </c>
      <c r="AH103" s="12">
        <v>0</v>
      </c>
      <c r="AI103" s="12">
        <v>-0.2</v>
      </c>
      <c r="AJ103" s="12">
        <v>-0.2</v>
      </c>
      <c r="AK103" s="12">
        <v>0</v>
      </c>
      <c r="AL103" s="12"/>
      <c r="AM103" s="12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 t="s">
        <v>153</v>
      </c>
      <c r="B104" s="1" t="s">
        <v>48</v>
      </c>
      <c r="C104" s="1">
        <v>52</v>
      </c>
      <c r="D104" s="1">
        <v>62</v>
      </c>
      <c r="E104" s="1">
        <v>32</v>
      </c>
      <c r="F104" s="1">
        <v>22</v>
      </c>
      <c r="G104" s="1"/>
      <c r="H104" s="1">
        <f t="shared" si="37"/>
        <v>22</v>
      </c>
      <c r="I104" s="7">
        <v>0.3</v>
      </c>
      <c r="J104" s="1">
        <v>40</v>
      </c>
      <c r="K104" s="1" t="s">
        <v>43</v>
      </c>
      <c r="L104" s="1"/>
      <c r="M104" s="1">
        <v>33</v>
      </c>
      <c r="N104" s="1">
        <f t="shared" si="38"/>
        <v>-1</v>
      </c>
      <c r="O104" s="1">
        <f t="shared" si="39"/>
        <v>32</v>
      </c>
      <c r="P104" s="1"/>
      <c r="Q104" s="1">
        <v>0</v>
      </c>
      <c r="R104" s="1"/>
      <c r="S104" s="1"/>
      <c r="T104" s="1"/>
      <c r="U104" s="1"/>
      <c r="V104" s="1">
        <v>4.4000000000000057</v>
      </c>
      <c r="W104" s="1"/>
      <c r="X104" s="1"/>
      <c r="Y104" s="1"/>
      <c r="Z104" s="1">
        <f t="shared" si="40"/>
        <v>6.4</v>
      </c>
      <c r="AA104" s="5">
        <f t="shared" ref="AA104:AA106" si="43">11*Z104-Y104-X104-W104-V104-U104-T104-S104-R104-Q104-H104</f>
        <v>44</v>
      </c>
      <c r="AB104" s="1">
        <f t="shared" si="41"/>
        <v>11</v>
      </c>
      <c r="AC104" s="1">
        <f t="shared" si="42"/>
        <v>4.1250000000000009</v>
      </c>
      <c r="AD104" s="1">
        <v>4.2</v>
      </c>
      <c r="AE104" s="1">
        <v>4</v>
      </c>
      <c r="AF104" s="1">
        <v>2.4</v>
      </c>
      <c r="AG104" s="1">
        <v>2.4</v>
      </c>
      <c r="AH104" s="1">
        <v>6.8</v>
      </c>
      <c r="AI104" s="1">
        <v>4.2</v>
      </c>
      <c r="AJ104" s="1">
        <v>1.2</v>
      </c>
      <c r="AK104" s="1">
        <v>3.4</v>
      </c>
      <c r="AL104" s="1"/>
      <c r="AM104" s="1">
        <f>I104*AA104</f>
        <v>13.2</v>
      </c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 t="s">
        <v>154</v>
      </c>
      <c r="B105" s="1" t="s">
        <v>42</v>
      </c>
      <c r="C105" s="1">
        <v>-2.5</v>
      </c>
      <c r="D105" s="1">
        <v>58.109000000000002</v>
      </c>
      <c r="E105" s="1">
        <v>12.78</v>
      </c>
      <c r="F105" s="1">
        <v>33.872999999999998</v>
      </c>
      <c r="G105" s="1"/>
      <c r="H105" s="1">
        <f t="shared" si="37"/>
        <v>33.872999999999998</v>
      </c>
      <c r="I105" s="7">
        <v>1</v>
      </c>
      <c r="J105" s="1">
        <v>55</v>
      </c>
      <c r="K105" s="11" t="s">
        <v>53</v>
      </c>
      <c r="L105" s="1"/>
      <c r="M105" s="1">
        <v>14.5</v>
      </c>
      <c r="N105" s="1">
        <f t="shared" si="38"/>
        <v>-1.7200000000000006</v>
      </c>
      <c r="O105" s="1">
        <f t="shared" si="39"/>
        <v>12.78</v>
      </c>
      <c r="P105" s="1"/>
      <c r="Q105" s="1">
        <v>5</v>
      </c>
      <c r="R105" s="1"/>
      <c r="S105" s="1"/>
      <c r="T105" s="1"/>
      <c r="U105" s="1"/>
      <c r="V105" s="1">
        <v>0</v>
      </c>
      <c r="W105" s="1"/>
      <c r="X105" s="1"/>
      <c r="Y105" s="1"/>
      <c r="Z105" s="1">
        <f t="shared" si="40"/>
        <v>2.556</v>
      </c>
      <c r="AA105" s="5"/>
      <c r="AB105" s="1">
        <f t="shared" si="41"/>
        <v>15.208528951486697</v>
      </c>
      <c r="AC105" s="1">
        <f t="shared" si="42"/>
        <v>15.208528951486697</v>
      </c>
      <c r="AD105" s="1">
        <v>2.0268000000000002</v>
      </c>
      <c r="AE105" s="1">
        <v>3.2402000000000002</v>
      </c>
      <c r="AF105" s="1">
        <v>3.1644000000000001</v>
      </c>
      <c r="AG105" s="1">
        <v>1.3438000000000001</v>
      </c>
      <c r="AH105" s="1">
        <v>1.5089999999999999</v>
      </c>
      <c r="AI105" s="1">
        <v>4.0606</v>
      </c>
      <c r="AJ105" s="1">
        <v>3.5045999999999999</v>
      </c>
      <c r="AK105" s="1">
        <v>1.7738</v>
      </c>
      <c r="AL105" s="1"/>
      <c r="AM105" s="1">
        <f>I105*AA105</f>
        <v>0</v>
      </c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 t="s">
        <v>155</v>
      </c>
      <c r="B106" s="1" t="s">
        <v>48</v>
      </c>
      <c r="C106" s="1">
        <v>330</v>
      </c>
      <c r="D106" s="1">
        <v>880</v>
      </c>
      <c r="E106" s="1">
        <v>163</v>
      </c>
      <c r="F106" s="1">
        <v>412</v>
      </c>
      <c r="G106" s="1"/>
      <c r="H106" s="1">
        <f t="shared" si="37"/>
        <v>412</v>
      </c>
      <c r="I106" s="7">
        <v>0.11</v>
      </c>
      <c r="J106" s="1">
        <v>30</v>
      </c>
      <c r="K106" s="1" t="s">
        <v>43</v>
      </c>
      <c r="L106" s="1"/>
      <c r="M106" s="1">
        <v>285</v>
      </c>
      <c r="N106" s="1">
        <f t="shared" si="38"/>
        <v>-122</v>
      </c>
      <c r="O106" s="1">
        <f t="shared" si="39"/>
        <v>163</v>
      </c>
      <c r="P106" s="1"/>
      <c r="Q106" s="1">
        <v>0</v>
      </c>
      <c r="R106" s="1"/>
      <c r="S106" s="1"/>
      <c r="T106" s="1"/>
      <c r="U106" s="1"/>
      <c r="V106" s="1">
        <v>39</v>
      </c>
      <c r="W106" s="1"/>
      <c r="X106" s="1"/>
      <c r="Y106" s="1"/>
      <c r="Z106" s="1">
        <f t="shared" si="40"/>
        <v>32.6</v>
      </c>
      <c r="AA106" s="5"/>
      <c r="AB106" s="1">
        <f t="shared" si="41"/>
        <v>13.834355828220858</v>
      </c>
      <c r="AC106" s="1">
        <f t="shared" si="42"/>
        <v>13.834355828220858</v>
      </c>
      <c r="AD106" s="1">
        <v>33</v>
      </c>
      <c r="AE106" s="1">
        <v>11.2</v>
      </c>
      <c r="AF106" s="1">
        <v>28.2</v>
      </c>
      <c r="AG106" s="1">
        <v>51.2</v>
      </c>
      <c r="AH106" s="1">
        <v>43.4</v>
      </c>
      <c r="AI106" s="1">
        <v>17</v>
      </c>
      <c r="AJ106" s="1">
        <v>11.6</v>
      </c>
      <c r="AK106" s="1">
        <v>20.399999999999999</v>
      </c>
      <c r="AL106" s="1"/>
      <c r="AM106" s="1">
        <f>I106*AA106</f>
        <v>0</v>
      </c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2" t="s">
        <v>156</v>
      </c>
      <c r="B107" s="12" t="s">
        <v>48</v>
      </c>
      <c r="C107" s="12"/>
      <c r="D107" s="12"/>
      <c r="E107" s="12"/>
      <c r="F107" s="12"/>
      <c r="G107" s="12"/>
      <c r="H107" s="12">
        <f t="shared" si="37"/>
        <v>0</v>
      </c>
      <c r="I107" s="13">
        <v>0</v>
      </c>
      <c r="J107" s="12"/>
      <c r="K107" s="12" t="s">
        <v>43</v>
      </c>
      <c r="L107" s="12"/>
      <c r="M107" s="12"/>
      <c r="N107" s="12">
        <f t="shared" si="38"/>
        <v>0</v>
      </c>
      <c r="O107" s="12">
        <f t="shared" si="39"/>
        <v>0</v>
      </c>
      <c r="P107" s="12"/>
      <c r="Q107" s="12">
        <v>0</v>
      </c>
      <c r="R107" s="12"/>
      <c r="S107" s="12"/>
      <c r="T107" s="12"/>
      <c r="U107" s="12"/>
      <c r="V107" s="12">
        <v>0</v>
      </c>
      <c r="W107" s="12"/>
      <c r="X107" s="12"/>
      <c r="Y107" s="12"/>
      <c r="Z107" s="12">
        <f t="shared" si="40"/>
        <v>0</v>
      </c>
      <c r="AA107" s="14"/>
      <c r="AB107" s="12" t="e">
        <f t="shared" si="41"/>
        <v>#DIV/0!</v>
      </c>
      <c r="AC107" s="12" t="e">
        <f t="shared" si="42"/>
        <v>#DIV/0!</v>
      </c>
      <c r="AD107" s="12">
        <v>0</v>
      </c>
      <c r="AE107" s="12">
        <v>0</v>
      </c>
      <c r="AF107" s="12">
        <v>0</v>
      </c>
      <c r="AG107" s="12">
        <v>0</v>
      </c>
      <c r="AH107" s="12">
        <v>0</v>
      </c>
      <c r="AI107" s="12">
        <v>0</v>
      </c>
      <c r="AJ107" s="12">
        <v>0</v>
      </c>
      <c r="AK107" s="12">
        <v>0</v>
      </c>
      <c r="AL107" s="12" t="s">
        <v>65</v>
      </c>
      <c r="AM107" s="12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 t="s">
        <v>157</v>
      </c>
      <c r="B108" s="1" t="s">
        <v>48</v>
      </c>
      <c r="C108" s="1">
        <v>419</v>
      </c>
      <c r="D108" s="1">
        <v>1761</v>
      </c>
      <c r="E108" s="1">
        <v>275</v>
      </c>
      <c r="F108" s="1">
        <v>641</v>
      </c>
      <c r="G108" s="1"/>
      <c r="H108" s="1">
        <f t="shared" si="37"/>
        <v>641</v>
      </c>
      <c r="I108" s="7">
        <v>0.08</v>
      </c>
      <c r="J108" s="1">
        <v>45</v>
      </c>
      <c r="K108" s="1" t="s">
        <v>43</v>
      </c>
      <c r="L108" s="1"/>
      <c r="M108" s="1">
        <v>327</v>
      </c>
      <c r="N108" s="1">
        <f t="shared" si="38"/>
        <v>-52</v>
      </c>
      <c r="O108" s="1">
        <f t="shared" si="39"/>
        <v>275</v>
      </c>
      <c r="P108" s="1"/>
      <c r="Q108" s="1">
        <v>0</v>
      </c>
      <c r="R108" s="1"/>
      <c r="S108" s="1"/>
      <c r="T108" s="1"/>
      <c r="U108" s="1"/>
      <c r="V108" s="1">
        <v>88.400000000000091</v>
      </c>
      <c r="W108" s="1"/>
      <c r="X108" s="1"/>
      <c r="Y108" s="1"/>
      <c r="Z108" s="1">
        <f t="shared" si="40"/>
        <v>55</v>
      </c>
      <c r="AA108" s="5"/>
      <c r="AB108" s="1">
        <f t="shared" si="41"/>
        <v>13.261818181818184</v>
      </c>
      <c r="AC108" s="1">
        <f t="shared" si="42"/>
        <v>13.261818181818184</v>
      </c>
      <c r="AD108" s="1">
        <v>67.2</v>
      </c>
      <c r="AE108" s="1">
        <v>78.400000000000006</v>
      </c>
      <c r="AF108" s="1">
        <v>93.4</v>
      </c>
      <c r="AG108" s="1">
        <v>89.4</v>
      </c>
      <c r="AH108" s="1">
        <v>91.2</v>
      </c>
      <c r="AI108" s="1">
        <v>65.8</v>
      </c>
      <c r="AJ108" s="1">
        <v>55.2</v>
      </c>
      <c r="AK108" s="1">
        <v>52</v>
      </c>
      <c r="AL108" s="1"/>
      <c r="AM108" s="1">
        <f t="shared" ref="AM108:AM119" si="44">I108*AA108</f>
        <v>0</v>
      </c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 t="s">
        <v>158</v>
      </c>
      <c r="B109" s="1" t="s">
        <v>48</v>
      </c>
      <c r="C109" s="1">
        <v>423</v>
      </c>
      <c r="D109" s="1">
        <v>1858</v>
      </c>
      <c r="E109" s="1">
        <v>205</v>
      </c>
      <c r="F109" s="1">
        <v>723</v>
      </c>
      <c r="G109" s="1"/>
      <c r="H109" s="1">
        <f t="shared" si="37"/>
        <v>723</v>
      </c>
      <c r="I109" s="7">
        <v>0.08</v>
      </c>
      <c r="J109" s="1">
        <v>45</v>
      </c>
      <c r="K109" s="1" t="s">
        <v>43</v>
      </c>
      <c r="L109" s="1"/>
      <c r="M109" s="1">
        <v>253</v>
      </c>
      <c r="N109" s="1">
        <f t="shared" si="38"/>
        <v>-48</v>
      </c>
      <c r="O109" s="1">
        <f t="shared" si="39"/>
        <v>205</v>
      </c>
      <c r="P109" s="1"/>
      <c r="Q109" s="1">
        <v>0</v>
      </c>
      <c r="R109" s="1"/>
      <c r="S109" s="1"/>
      <c r="T109" s="1"/>
      <c r="U109" s="1"/>
      <c r="V109" s="1">
        <v>0</v>
      </c>
      <c r="W109" s="1"/>
      <c r="X109" s="1"/>
      <c r="Y109" s="1"/>
      <c r="Z109" s="1">
        <f t="shared" si="40"/>
        <v>41</v>
      </c>
      <c r="AA109" s="5"/>
      <c r="AB109" s="1">
        <f t="shared" si="41"/>
        <v>17.634146341463413</v>
      </c>
      <c r="AC109" s="1">
        <f t="shared" si="42"/>
        <v>17.634146341463413</v>
      </c>
      <c r="AD109" s="1">
        <v>50.6</v>
      </c>
      <c r="AE109" s="1">
        <v>60.4</v>
      </c>
      <c r="AF109" s="1">
        <v>86.8</v>
      </c>
      <c r="AG109" s="1">
        <v>88.8</v>
      </c>
      <c r="AH109" s="1">
        <v>80</v>
      </c>
      <c r="AI109" s="1">
        <v>44.6</v>
      </c>
      <c r="AJ109" s="1">
        <v>42</v>
      </c>
      <c r="AK109" s="1">
        <v>44.6</v>
      </c>
      <c r="AL109" s="1"/>
      <c r="AM109" s="1">
        <f t="shared" si="44"/>
        <v>0</v>
      </c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 t="s">
        <v>159</v>
      </c>
      <c r="B110" s="1" t="s">
        <v>48</v>
      </c>
      <c r="C110" s="1">
        <v>380</v>
      </c>
      <c r="D110" s="1">
        <v>925</v>
      </c>
      <c r="E110" s="1">
        <v>139</v>
      </c>
      <c r="F110" s="1">
        <v>381</v>
      </c>
      <c r="G110" s="1"/>
      <c r="H110" s="1">
        <f t="shared" si="37"/>
        <v>381</v>
      </c>
      <c r="I110" s="7">
        <v>0.17</v>
      </c>
      <c r="J110" s="1">
        <v>30</v>
      </c>
      <c r="K110" s="1" t="s">
        <v>43</v>
      </c>
      <c r="L110" s="1"/>
      <c r="M110" s="1">
        <v>225</v>
      </c>
      <c r="N110" s="1">
        <f t="shared" si="38"/>
        <v>-86</v>
      </c>
      <c r="O110" s="1">
        <f t="shared" si="39"/>
        <v>139</v>
      </c>
      <c r="P110" s="1"/>
      <c r="Q110" s="1">
        <v>0</v>
      </c>
      <c r="R110" s="1"/>
      <c r="S110" s="1"/>
      <c r="T110" s="1"/>
      <c r="U110" s="1"/>
      <c r="V110" s="1">
        <v>40.681199999999997</v>
      </c>
      <c r="W110" s="1">
        <v>-2</v>
      </c>
      <c r="X110" s="1"/>
      <c r="Y110" s="1">
        <v>75.318799999999996</v>
      </c>
      <c r="Z110" s="1">
        <f t="shared" si="40"/>
        <v>27.8</v>
      </c>
      <c r="AA110" s="5"/>
      <c r="AB110" s="1">
        <f t="shared" si="41"/>
        <v>17.805755395683452</v>
      </c>
      <c r="AC110" s="1">
        <f t="shared" si="42"/>
        <v>17.805755395683452</v>
      </c>
      <c r="AD110" s="1">
        <v>35</v>
      </c>
      <c r="AE110" s="1">
        <v>11.4</v>
      </c>
      <c r="AF110" s="1">
        <v>28</v>
      </c>
      <c r="AG110" s="1">
        <v>48.4</v>
      </c>
      <c r="AH110" s="1">
        <v>49.4</v>
      </c>
      <c r="AI110" s="1">
        <v>25.6</v>
      </c>
      <c r="AJ110" s="1">
        <v>19.2</v>
      </c>
      <c r="AK110" s="1">
        <v>25.8</v>
      </c>
      <c r="AL110" s="1"/>
      <c r="AM110" s="1">
        <f t="shared" si="44"/>
        <v>0</v>
      </c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 t="s">
        <v>160</v>
      </c>
      <c r="B111" s="1" t="s">
        <v>42</v>
      </c>
      <c r="C111" s="1">
        <v>-15.329000000000001</v>
      </c>
      <c r="D111" s="1">
        <v>857.26</v>
      </c>
      <c r="E111" s="1">
        <v>269.13299999999998</v>
      </c>
      <c r="F111" s="1">
        <v>38.948999999999998</v>
      </c>
      <c r="G111" s="1"/>
      <c r="H111" s="1">
        <f t="shared" si="37"/>
        <v>38.948999999999998</v>
      </c>
      <c r="I111" s="7">
        <v>1</v>
      </c>
      <c r="J111" s="1">
        <v>40</v>
      </c>
      <c r="K111" s="11" t="s">
        <v>53</v>
      </c>
      <c r="L111" s="1"/>
      <c r="M111" s="1">
        <v>385.06099999999998</v>
      </c>
      <c r="N111" s="1">
        <f t="shared" si="38"/>
        <v>-115.928</v>
      </c>
      <c r="O111" s="1">
        <f t="shared" si="39"/>
        <v>269.13299999999998</v>
      </c>
      <c r="P111" s="1"/>
      <c r="Q111" s="1">
        <v>106.3</v>
      </c>
      <c r="R111" s="1">
        <v>-109</v>
      </c>
      <c r="S111" s="1">
        <v>143.69999999999999</v>
      </c>
      <c r="T111" s="1">
        <v>-147</v>
      </c>
      <c r="U111" s="1"/>
      <c r="V111" s="1">
        <v>0</v>
      </c>
      <c r="W111" s="1"/>
      <c r="X111" s="1"/>
      <c r="Y111" s="1"/>
      <c r="Z111" s="1">
        <f t="shared" si="40"/>
        <v>53.826599999999999</v>
      </c>
      <c r="AA111" s="5">
        <v>250</v>
      </c>
      <c r="AB111" s="1">
        <f t="shared" si="41"/>
        <v>5.2566760672232684</v>
      </c>
      <c r="AC111" s="1">
        <f t="shared" si="42"/>
        <v>0.61213229146927328</v>
      </c>
      <c r="AD111" s="1">
        <v>11.5198</v>
      </c>
      <c r="AE111" s="1">
        <v>44.968600000000002</v>
      </c>
      <c r="AF111" s="1">
        <v>78.888000000000005</v>
      </c>
      <c r="AG111" s="1">
        <v>74.961399999999998</v>
      </c>
      <c r="AH111" s="1">
        <v>27.752199999999998</v>
      </c>
      <c r="AI111" s="1">
        <v>9.1273999999999997</v>
      </c>
      <c r="AJ111" s="1">
        <v>22.7928</v>
      </c>
      <c r="AK111" s="1">
        <v>34.8264</v>
      </c>
      <c r="AL111" s="1"/>
      <c r="AM111" s="1">
        <f t="shared" si="44"/>
        <v>250</v>
      </c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 t="s">
        <v>161</v>
      </c>
      <c r="B112" s="1" t="s">
        <v>42</v>
      </c>
      <c r="C112" s="1">
        <v>-7.5039999999999996</v>
      </c>
      <c r="D112" s="1">
        <v>409.84800000000001</v>
      </c>
      <c r="E112" s="1">
        <v>191.65</v>
      </c>
      <c r="F112" s="1">
        <v>-0.26700000000000002</v>
      </c>
      <c r="G112" s="1"/>
      <c r="H112" s="1">
        <f t="shared" si="37"/>
        <v>-0.26700000000000002</v>
      </c>
      <c r="I112" s="7">
        <v>1</v>
      </c>
      <c r="J112" s="1">
        <v>40</v>
      </c>
      <c r="K112" s="11" t="s">
        <v>53</v>
      </c>
      <c r="L112" s="1"/>
      <c r="M112" s="1">
        <v>264.75900000000001</v>
      </c>
      <c r="N112" s="1">
        <f t="shared" si="38"/>
        <v>-73.109000000000009</v>
      </c>
      <c r="O112" s="1">
        <f t="shared" si="39"/>
        <v>166.136</v>
      </c>
      <c r="P112" s="1">
        <v>25.513999999999999</v>
      </c>
      <c r="Q112" s="1">
        <v>191.34</v>
      </c>
      <c r="R112" s="1">
        <v>-193</v>
      </c>
      <c r="S112" s="1">
        <v>258.66000000000003</v>
      </c>
      <c r="T112" s="1">
        <v>-259</v>
      </c>
      <c r="U112" s="1"/>
      <c r="V112" s="1">
        <v>0</v>
      </c>
      <c r="W112" s="1"/>
      <c r="X112" s="1"/>
      <c r="Y112" s="1"/>
      <c r="Z112" s="1">
        <f t="shared" si="40"/>
        <v>33.227199999999996</v>
      </c>
      <c r="AA112" s="5">
        <v>150</v>
      </c>
      <c r="AB112" s="1">
        <f t="shared" si="41"/>
        <v>4.4461465305532837</v>
      </c>
      <c r="AC112" s="1">
        <f t="shared" si="42"/>
        <v>-6.8227235517887133E-2</v>
      </c>
      <c r="AD112" s="1">
        <v>28.0884</v>
      </c>
      <c r="AE112" s="1">
        <v>45.462800000000001</v>
      </c>
      <c r="AF112" s="1">
        <v>36.320399999999999</v>
      </c>
      <c r="AG112" s="1">
        <v>32.119199999999999</v>
      </c>
      <c r="AH112" s="1">
        <v>27.328199999999999</v>
      </c>
      <c r="AI112" s="1">
        <v>22.582599999999999</v>
      </c>
      <c r="AJ112" s="1">
        <v>18.3916</v>
      </c>
      <c r="AK112" s="1">
        <v>16.235600000000002</v>
      </c>
      <c r="AL112" s="1"/>
      <c r="AM112" s="1">
        <f t="shared" si="44"/>
        <v>150</v>
      </c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 t="s">
        <v>162</v>
      </c>
      <c r="B113" s="1" t="s">
        <v>42</v>
      </c>
      <c r="C113" s="1">
        <v>-8.6039999999999992</v>
      </c>
      <c r="D113" s="1">
        <v>241.61799999999999</v>
      </c>
      <c r="E113" s="1">
        <v>-0.71599999999999997</v>
      </c>
      <c r="F113" s="1"/>
      <c r="G113" s="1"/>
      <c r="H113" s="1">
        <f t="shared" si="37"/>
        <v>0</v>
      </c>
      <c r="I113" s="7">
        <v>1</v>
      </c>
      <c r="J113" s="1">
        <v>40</v>
      </c>
      <c r="K113" s="11" t="s">
        <v>53</v>
      </c>
      <c r="L113" s="1"/>
      <c r="M113" s="1">
        <v>20.8</v>
      </c>
      <c r="N113" s="1">
        <f t="shared" si="38"/>
        <v>-21.516000000000002</v>
      </c>
      <c r="O113" s="1">
        <f t="shared" si="39"/>
        <v>-0.71599999999999997</v>
      </c>
      <c r="P113" s="1"/>
      <c r="Q113" s="1">
        <v>50</v>
      </c>
      <c r="R113" s="1">
        <v>-53</v>
      </c>
      <c r="S113" s="1"/>
      <c r="T113" s="1"/>
      <c r="U113" s="1"/>
      <c r="V113" s="1">
        <v>40</v>
      </c>
      <c r="W113" s="1">
        <v>-42</v>
      </c>
      <c r="X113" s="1"/>
      <c r="Y113" s="1">
        <v>20</v>
      </c>
      <c r="Z113" s="1">
        <f t="shared" si="40"/>
        <v>-0.14319999999999999</v>
      </c>
      <c r="AA113" s="5">
        <v>20</v>
      </c>
      <c r="AB113" s="1">
        <f t="shared" si="41"/>
        <v>-244.41340782122907</v>
      </c>
      <c r="AC113" s="1">
        <f t="shared" si="42"/>
        <v>-104.74860335195531</v>
      </c>
      <c r="AD113" s="1">
        <v>-0.58819999999999995</v>
      </c>
      <c r="AE113" s="1">
        <v>-0.72819999999999996</v>
      </c>
      <c r="AF113" s="1">
        <v>-0.84860000000000002</v>
      </c>
      <c r="AG113" s="1">
        <v>-0.99199999999999999</v>
      </c>
      <c r="AH113" s="1">
        <v>-0.2918</v>
      </c>
      <c r="AI113" s="1">
        <v>0.2772</v>
      </c>
      <c r="AJ113" s="1">
        <v>6.3255999999999997</v>
      </c>
      <c r="AK113" s="1">
        <v>28.129000000000001</v>
      </c>
      <c r="AL113" s="1"/>
      <c r="AM113" s="1">
        <f t="shared" si="44"/>
        <v>20</v>
      </c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 t="s">
        <v>163</v>
      </c>
      <c r="B114" s="1" t="s">
        <v>48</v>
      </c>
      <c r="C114" s="1">
        <v>9</v>
      </c>
      <c r="D114" s="1">
        <v>209</v>
      </c>
      <c r="E114" s="1">
        <v>57</v>
      </c>
      <c r="F114" s="1"/>
      <c r="G114" s="1"/>
      <c r="H114" s="1">
        <f t="shared" si="37"/>
        <v>0</v>
      </c>
      <c r="I114" s="7">
        <v>0.3</v>
      </c>
      <c r="J114" s="1">
        <v>45</v>
      </c>
      <c r="K114" s="1" t="s">
        <v>43</v>
      </c>
      <c r="L114" s="1"/>
      <c r="M114" s="1">
        <v>74</v>
      </c>
      <c r="N114" s="1">
        <f t="shared" si="38"/>
        <v>-17</v>
      </c>
      <c r="O114" s="1">
        <f t="shared" si="39"/>
        <v>57</v>
      </c>
      <c r="P114" s="1"/>
      <c r="Q114" s="1">
        <v>0</v>
      </c>
      <c r="R114" s="1"/>
      <c r="S114" s="1"/>
      <c r="T114" s="1"/>
      <c r="U114" s="1"/>
      <c r="V114" s="1">
        <v>53.8</v>
      </c>
      <c r="W114" s="1"/>
      <c r="X114" s="1"/>
      <c r="Y114" s="1"/>
      <c r="Z114" s="1">
        <f t="shared" si="40"/>
        <v>11.4</v>
      </c>
      <c r="AA114" s="5">
        <f t="shared" ref="AA108:AA119" si="45">11*Z114-Y114-X114-W114-V114-U114-T114-S114-R114-Q114-H114</f>
        <v>71.600000000000009</v>
      </c>
      <c r="AB114" s="1">
        <f t="shared" si="41"/>
        <v>11</v>
      </c>
      <c r="AC114" s="1">
        <f t="shared" si="42"/>
        <v>4.7192982456140351</v>
      </c>
      <c r="AD114" s="1">
        <v>7.2</v>
      </c>
      <c r="AE114" s="1">
        <v>2.2000000000000002</v>
      </c>
      <c r="AF114" s="1">
        <v>5</v>
      </c>
      <c r="AG114" s="1">
        <v>11.4</v>
      </c>
      <c r="AH114" s="1">
        <v>8.1999999999999993</v>
      </c>
      <c r="AI114" s="1">
        <v>0.4</v>
      </c>
      <c r="AJ114" s="1">
        <v>1.2</v>
      </c>
      <c r="AK114" s="1">
        <v>8.4</v>
      </c>
      <c r="AL114" s="1"/>
      <c r="AM114" s="1">
        <f t="shared" si="44"/>
        <v>21.48</v>
      </c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 t="s">
        <v>164</v>
      </c>
      <c r="B115" s="1" t="s">
        <v>42</v>
      </c>
      <c r="C115" s="1">
        <v>15.365</v>
      </c>
      <c r="D115" s="1">
        <v>3.6640000000000001</v>
      </c>
      <c r="E115" s="1">
        <v>2.74</v>
      </c>
      <c r="F115" s="1">
        <v>12.16</v>
      </c>
      <c r="G115" s="1"/>
      <c r="H115" s="1">
        <f t="shared" si="37"/>
        <v>12.16</v>
      </c>
      <c r="I115" s="7">
        <v>1</v>
      </c>
      <c r="J115" s="1">
        <v>55</v>
      </c>
      <c r="K115" s="1" t="s">
        <v>43</v>
      </c>
      <c r="L115" s="1"/>
      <c r="M115" s="1">
        <v>2.8</v>
      </c>
      <c r="N115" s="1">
        <f t="shared" si="38"/>
        <v>-5.9999999999999609E-2</v>
      </c>
      <c r="O115" s="1">
        <f t="shared" si="39"/>
        <v>2.74</v>
      </c>
      <c r="P115" s="1"/>
      <c r="Q115" s="1">
        <v>0</v>
      </c>
      <c r="R115" s="1"/>
      <c r="S115" s="1"/>
      <c r="T115" s="1"/>
      <c r="U115" s="1"/>
      <c r="V115" s="1">
        <v>0</v>
      </c>
      <c r="W115" s="1"/>
      <c r="X115" s="1"/>
      <c r="Y115" s="1"/>
      <c r="Z115" s="1">
        <f t="shared" si="40"/>
        <v>0.54800000000000004</v>
      </c>
      <c r="AA115" s="5"/>
      <c r="AB115" s="1">
        <f t="shared" si="41"/>
        <v>22.189781021897808</v>
      </c>
      <c r="AC115" s="1">
        <f t="shared" si="42"/>
        <v>22.189781021897808</v>
      </c>
      <c r="AD115" s="1">
        <v>0.53959999999999997</v>
      </c>
      <c r="AE115" s="1">
        <v>0.53959999999999997</v>
      </c>
      <c r="AF115" s="1">
        <v>0.54379999999999995</v>
      </c>
      <c r="AG115" s="1">
        <v>0.54379999999999995</v>
      </c>
      <c r="AH115" s="1">
        <v>1.0960000000000001</v>
      </c>
      <c r="AI115" s="1">
        <v>1.0960000000000001</v>
      </c>
      <c r="AJ115" s="1">
        <v>0.27679999999999999</v>
      </c>
      <c r="AK115" s="1">
        <v>0.27679999999999999</v>
      </c>
      <c r="AL115" s="17" t="s">
        <v>76</v>
      </c>
      <c r="AM115" s="1">
        <f t="shared" si="44"/>
        <v>0</v>
      </c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 t="s">
        <v>165</v>
      </c>
      <c r="B116" s="1" t="s">
        <v>48</v>
      </c>
      <c r="C116" s="1">
        <v>63</v>
      </c>
      <c r="D116" s="1">
        <v>1955</v>
      </c>
      <c r="E116" s="1">
        <v>463</v>
      </c>
      <c r="F116" s="1">
        <v>640</v>
      </c>
      <c r="G116" s="1"/>
      <c r="H116" s="1">
        <f t="shared" si="37"/>
        <v>640</v>
      </c>
      <c r="I116" s="7">
        <v>0.28000000000000003</v>
      </c>
      <c r="J116" s="1">
        <v>40</v>
      </c>
      <c r="K116" s="11" t="s">
        <v>53</v>
      </c>
      <c r="L116" s="1"/>
      <c r="M116" s="1">
        <v>531</v>
      </c>
      <c r="N116" s="1">
        <f t="shared" si="38"/>
        <v>-68</v>
      </c>
      <c r="O116" s="1">
        <f t="shared" si="39"/>
        <v>463</v>
      </c>
      <c r="P116" s="1"/>
      <c r="Q116" s="1">
        <v>0</v>
      </c>
      <c r="R116" s="1"/>
      <c r="S116" s="1"/>
      <c r="T116" s="1"/>
      <c r="U116" s="1"/>
      <c r="V116" s="1">
        <v>0</v>
      </c>
      <c r="W116" s="1"/>
      <c r="X116" s="1"/>
      <c r="Y116" s="1"/>
      <c r="Z116" s="1">
        <f t="shared" si="40"/>
        <v>92.6</v>
      </c>
      <c r="AA116" s="5">
        <f t="shared" si="45"/>
        <v>378.59999999999991</v>
      </c>
      <c r="AB116" s="1">
        <f t="shared" si="41"/>
        <v>11</v>
      </c>
      <c r="AC116" s="1">
        <f t="shared" si="42"/>
        <v>6.911447084233262</v>
      </c>
      <c r="AD116" s="1">
        <v>36.799999999999997</v>
      </c>
      <c r="AE116" s="1">
        <v>29.6</v>
      </c>
      <c r="AF116" s="1">
        <v>101</v>
      </c>
      <c r="AG116" s="1">
        <v>125.4</v>
      </c>
      <c r="AH116" s="1">
        <v>60.4</v>
      </c>
      <c r="AI116" s="1">
        <v>3.4</v>
      </c>
      <c r="AJ116" s="1">
        <v>27.6</v>
      </c>
      <c r="AK116" s="1">
        <v>72.8</v>
      </c>
      <c r="AL116" s="1"/>
      <c r="AM116" s="1">
        <f t="shared" si="44"/>
        <v>106.00799999999998</v>
      </c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 t="s">
        <v>166</v>
      </c>
      <c r="B117" s="1" t="s">
        <v>48</v>
      </c>
      <c r="C117" s="1">
        <v>5.726</v>
      </c>
      <c r="D117" s="1">
        <v>1077.2739999999999</v>
      </c>
      <c r="E117" s="1">
        <v>106</v>
      </c>
      <c r="F117" s="1">
        <v>-2</v>
      </c>
      <c r="G117" s="1"/>
      <c r="H117" s="1">
        <f t="shared" si="37"/>
        <v>-2</v>
      </c>
      <c r="I117" s="7">
        <v>0.28000000000000003</v>
      </c>
      <c r="J117" s="1">
        <v>40</v>
      </c>
      <c r="K117" s="11" t="s">
        <v>53</v>
      </c>
      <c r="L117" s="1"/>
      <c r="M117" s="1">
        <v>312</v>
      </c>
      <c r="N117" s="1">
        <f t="shared" si="38"/>
        <v>-206</v>
      </c>
      <c r="O117" s="1">
        <f t="shared" si="39"/>
        <v>106</v>
      </c>
      <c r="P117" s="1"/>
      <c r="Q117" s="1">
        <v>255.12</v>
      </c>
      <c r="R117" s="1"/>
      <c r="S117" s="1">
        <v>344.88</v>
      </c>
      <c r="T117" s="1"/>
      <c r="U117" s="1"/>
      <c r="V117" s="1">
        <v>0</v>
      </c>
      <c r="W117" s="1"/>
      <c r="X117" s="1"/>
      <c r="Y117" s="1"/>
      <c r="Z117" s="1">
        <f t="shared" si="40"/>
        <v>21.2</v>
      </c>
      <c r="AA117" s="5">
        <v>50</v>
      </c>
      <c r="AB117" s="1">
        <f t="shared" si="41"/>
        <v>30.566037735849058</v>
      </c>
      <c r="AC117" s="1">
        <f t="shared" si="42"/>
        <v>28.20754716981132</v>
      </c>
      <c r="AD117" s="1">
        <v>42.8</v>
      </c>
      <c r="AE117" s="1">
        <v>71.2</v>
      </c>
      <c r="AF117" s="1">
        <v>36.799999999999997</v>
      </c>
      <c r="AG117" s="1">
        <v>31.8</v>
      </c>
      <c r="AH117" s="1">
        <v>27.2</v>
      </c>
      <c r="AI117" s="1">
        <v>0.6</v>
      </c>
      <c r="AJ117" s="1">
        <v>0</v>
      </c>
      <c r="AK117" s="1">
        <v>-0.8</v>
      </c>
      <c r="AL117" s="1"/>
      <c r="AM117" s="1">
        <f t="shared" si="44"/>
        <v>14.000000000000002</v>
      </c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 t="s">
        <v>167</v>
      </c>
      <c r="B118" s="1" t="s">
        <v>48</v>
      </c>
      <c r="C118" s="1">
        <v>-3.5</v>
      </c>
      <c r="D118" s="1">
        <v>3112.5</v>
      </c>
      <c r="E118" s="1">
        <v>575</v>
      </c>
      <c r="F118" s="1">
        <v>44</v>
      </c>
      <c r="G118" s="1"/>
      <c r="H118" s="1">
        <f t="shared" si="37"/>
        <v>44</v>
      </c>
      <c r="I118" s="7">
        <v>0.28000000000000003</v>
      </c>
      <c r="J118" s="1">
        <v>40</v>
      </c>
      <c r="K118" s="11" t="s">
        <v>53</v>
      </c>
      <c r="L118" s="1"/>
      <c r="M118" s="1">
        <v>628</v>
      </c>
      <c r="N118" s="1">
        <f t="shared" si="38"/>
        <v>-53</v>
      </c>
      <c r="O118" s="1">
        <f t="shared" si="39"/>
        <v>575</v>
      </c>
      <c r="P118" s="1"/>
      <c r="Q118" s="1">
        <v>0</v>
      </c>
      <c r="R118" s="1"/>
      <c r="S118" s="1"/>
      <c r="T118" s="1"/>
      <c r="U118" s="1"/>
      <c r="V118" s="1">
        <v>137.69999999999999</v>
      </c>
      <c r="W118" s="1">
        <v>-144</v>
      </c>
      <c r="X118" s="1"/>
      <c r="Y118" s="1"/>
      <c r="Z118" s="1">
        <f t="shared" si="40"/>
        <v>115</v>
      </c>
      <c r="AA118" s="5">
        <v>300</v>
      </c>
      <c r="AB118" s="1">
        <f t="shared" si="41"/>
        <v>2.9365217391304346</v>
      </c>
      <c r="AC118" s="1">
        <f t="shared" si="42"/>
        <v>0.32782608695652166</v>
      </c>
      <c r="AD118" s="1">
        <v>61.6</v>
      </c>
      <c r="AE118" s="1">
        <v>65.400000000000006</v>
      </c>
      <c r="AF118" s="1">
        <v>102</v>
      </c>
      <c r="AG118" s="1">
        <v>112.2</v>
      </c>
      <c r="AH118" s="1">
        <v>55.2</v>
      </c>
      <c r="AI118" s="1">
        <v>0.2</v>
      </c>
      <c r="AJ118" s="1">
        <v>26</v>
      </c>
      <c r="AK118" s="1">
        <v>100.4</v>
      </c>
      <c r="AL118" s="1"/>
      <c r="AM118" s="1">
        <f t="shared" si="44"/>
        <v>84.000000000000014</v>
      </c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 t="s">
        <v>168</v>
      </c>
      <c r="B119" s="1" t="s">
        <v>48</v>
      </c>
      <c r="C119" s="1">
        <v>180</v>
      </c>
      <c r="D119" s="1">
        <v>1656</v>
      </c>
      <c r="E119" s="1">
        <v>186</v>
      </c>
      <c r="F119" s="1">
        <v>651</v>
      </c>
      <c r="G119" s="1"/>
      <c r="H119" s="1">
        <f t="shared" si="37"/>
        <v>651</v>
      </c>
      <c r="I119" s="7">
        <v>0.09</v>
      </c>
      <c r="J119" s="1">
        <v>45</v>
      </c>
      <c r="K119" s="1" t="s">
        <v>43</v>
      </c>
      <c r="L119" s="1"/>
      <c r="M119" s="1">
        <v>256</v>
      </c>
      <c r="N119" s="1">
        <f t="shared" si="38"/>
        <v>-70</v>
      </c>
      <c r="O119" s="1">
        <f t="shared" si="39"/>
        <v>186</v>
      </c>
      <c r="P119" s="1"/>
      <c r="Q119" s="1">
        <v>0</v>
      </c>
      <c r="R119" s="1"/>
      <c r="S119" s="1"/>
      <c r="T119" s="1"/>
      <c r="U119" s="1"/>
      <c r="V119" s="1">
        <v>0</v>
      </c>
      <c r="W119" s="1"/>
      <c r="X119" s="1"/>
      <c r="Y119" s="1"/>
      <c r="Z119" s="1">
        <f t="shared" si="40"/>
        <v>37.200000000000003</v>
      </c>
      <c r="AA119" s="5"/>
      <c r="AB119" s="1">
        <f t="shared" si="41"/>
        <v>17.5</v>
      </c>
      <c r="AC119" s="1">
        <f t="shared" si="42"/>
        <v>17.5</v>
      </c>
      <c r="AD119" s="1">
        <v>45.6</v>
      </c>
      <c r="AE119" s="1">
        <v>44.2</v>
      </c>
      <c r="AF119" s="1">
        <v>73.2</v>
      </c>
      <c r="AG119" s="1">
        <v>85.6</v>
      </c>
      <c r="AH119" s="1">
        <v>59.6</v>
      </c>
      <c r="AI119" s="1">
        <v>28.2</v>
      </c>
      <c r="AJ119" s="1">
        <v>32.6</v>
      </c>
      <c r="AK119" s="1">
        <v>32.799999999999997</v>
      </c>
      <c r="AL119" s="1"/>
      <c r="AM119" s="1">
        <f t="shared" si="44"/>
        <v>0</v>
      </c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2" t="s">
        <v>169</v>
      </c>
      <c r="B120" s="12" t="s">
        <v>42</v>
      </c>
      <c r="C120" s="12">
        <v>-2.8069999999999999</v>
      </c>
      <c r="D120" s="12">
        <v>12.41</v>
      </c>
      <c r="E120" s="12">
        <v>-0.02</v>
      </c>
      <c r="F120" s="12">
        <v>8.2780000000000005</v>
      </c>
      <c r="G120" s="12"/>
      <c r="H120" s="12">
        <f t="shared" si="37"/>
        <v>8.2780000000000005</v>
      </c>
      <c r="I120" s="13">
        <v>0</v>
      </c>
      <c r="J120" s="12">
        <v>55</v>
      </c>
      <c r="K120" s="12" t="s">
        <v>56</v>
      </c>
      <c r="L120" s="12"/>
      <c r="M120" s="12">
        <v>1.4</v>
      </c>
      <c r="N120" s="12">
        <f t="shared" si="38"/>
        <v>-1.42</v>
      </c>
      <c r="O120" s="12">
        <f t="shared" si="39"/>
        <v>-0.02</v>
      </c>
      <c r="P120" s="12"/>
      <c r="Q120" s="12">
        <v>0</v>
      </c>
      <c r="R120" s="12"/>
      <c r="S120" s="12"/>
      <c r="T120" s="12"/>
      <c r="U120" s="12"/>
      <c r="V120" s="12">
        <v>0</v>
      </c>
      <c r="W120" s="12"/>
      <c r="X120" s="12"/>
      <c r="Y120" s="12"/>
      <c r="Z120" s="12">
        <f t="shared" si="40"/>
        <v>-4.0000000000000001E-3</v>
      </c>
      <c r="AA120" s="14"/>
      <c r="AB120" s="12">
        <f t="shared" si="41"/>
        <v>-2069.5</v>
      </c>
      <c r="AC120" s="12">
        <f t="shared" si="42"/>
        <v>-2069.5</v>
      </c>
      <c r="AD120" s="12">
        <v>-0.26900000000000002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2">
        <v>0</v>
      </c>
      <c r="AK120" s="12">
        <v>0</v>
      </c>
      <c r="AL120" s="12"/>
      <c r="AM120" s="12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 t="s">
        <v>170</v>
      </c>
      <c r="B121" s="1" t="s">
        <v>42</v>
      </c>
      <c r="C121" s="1">
        <v>24.992000000000001</v>
      </c>
      <c r="D121" s="1">
        <v>63.09</v>
      </c>
      <c r="E121" s="1">
        <v>21.954000000000001</v>
      </c>
      <c r="F121" s="1">
        <v>22.635000000000002</v>
      </c>
      <c r="G121" s="1"/>
      <c r="H121" s="1">
        <f t="shared" si="37"/>
        <v>22.635000000000002</v>
      </c>
      <c r="I121" s="7">
        <v>1</v>
      </c>
      <c r="J121" s="1">
        <v>60</v>
      </c>
      <c r="K121" s="1" t="s">
        <v>43</v>
      </c>
      <c r="L121" s="1"/>
      <c r="M121" s="1">
        <v>22.5</v>
      </c>
      <c r="N121" s="1">
        <f t="shared" si="38"/>
        <v>-0.54599999999999937</v>
      </c>
      <c r="O121" s="1">
        <f t="shared" si="39"/>
        <v>21.954000000000001</v>
      </c>
      <c r="P121" s="1"/>
      <c r="Q121" s="1">
        <v>42.582399999999993</v>
      </c>
      <c r="R121" s="1"/>
      <c r="S121" s="1"/>
      <c r="T121" s="1"/>
      <c r="U121" s="1"/>
      <c r="V121" s="1">
        <v>0</v>
      </c>
      <c r="W121" s="1"/>
      <c r="X121" s="1"/>
      <c r="Y121" s="1"/>
      <c r="Z121" s="1">
        <f t="shared" si="40"/>
        <v>4.3908000000000005</v>
      </c>
      <c r="AA121" s="5"/>
      <c r="AB121" s="1">
        <f t="shared" si="41"/>
        <v>14.853193039992711</v>
      </c>
      <c r="AC121" s="1">
        <f t="shared" si="42"/>
        <v>14.853193039992711</v>
      </c>
      <c r="AD121" s="1">
        <v>7.3688000000000002</v>
      </c>
      <c r="AE121" s="1">
        <v>7.8537999999999997</v>
      </c>
      <c r="AF121" s="1">
        <v>6.3715999999999999</v>
      </c>
      <c r="AG121" s="1">
        <v>5.3945999999999996</v>
      </c>
      <c r="AH121" s="1">
        <v>5.0279999999999996</v>
      </c>
      <c r="AI121" s="1">
        <v>5.5289999999999999</v>
      </c>
      <c r="AJ121" s="1">
        <v>6.0906000000000002</v>
      </c>
      <c r="AK121" s="1">
        <v>9.970600000000001</v>
      </c>
      <c r="AL121" s="1"/>
      <c r="AM121" s="1">
        <f t="shared" ref="AM121:AM136" si="46">I121*AA121</f>
        <v>0</v>
      </c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 t="s">
        <v>171</v>
      </c>
      <c r="B122" s="1" t="s">
        <v>42</v>
      </c>
      <c r="C122" s="1">
        <v>24.329000000000001</v>
      </c>
      <c r="D122" s="1">
        <v>155.85300000000001</v>
      </c>
      <c r="E122" s="1">
        <v>14.816000000000001</v>
      </c>
      <c r="F122" s="1">
        <v>42.5</v>
      </c>
      <c r="G122" s="1"/>
      <c r="H122" s="1">
        <f t="shared" si="37"/>
        <v>42.5</v>
      </c>
      <c r="I122" s="7">
        <v>1</v>
      </c>
      <c r="J122" s="1">
        <v>50</v>
      </c>
      <c r="K122" s="1" t="s">
        <v>43</v>
      </c>
      <c r="L122" s="1"/>
      <c r="M122" s="1">
        <v>17.5</v>
      </c>
      <c r="N122" s="1">
        <f t="shared" si="38"/>
        <v>-2.6839999999999993</v>
      </c>
      <c r="O122" s="1">
        <f t="shared" si="39"/>
        <v>14.816000000000001</v>
      </c>
      <c r="P122" s="1"/>
      <c r="Q122" s="1">
        <v>29.239000000000001</v>
      </c>
      <c r="R122" s="1"/>
      <c r="S122" s="1"/>
      <c r="T122" s="1"/>
      <c r="U122" s="1"/>
      <c r="V122" s="1">
        <v>27.3612</v>
      </c>
      <c r="W122" s="1"/>
      <c r="X122" s="1"/>
      <c r="Y122" s="1"/>
      <c r="Z122" s="1">
        <f t="shared" si="40"/>
        <v>2.9632000000000001</v>
      </c>
      <c r="AA122" s="5"/>
      <c r="AB122" s="1">
        <f t="shared" si="41"/>
        <v>33.443642008639308</v>
      </c>
      <c r="AC122" s="1">
        <f t="shared" si="42"/>
        <v>33.443642008639308</v>
      </c>
      <c r="AD122" s="1">
        <v>5.9215999999999998</v>
      </c>
      <c r="AE122" s="1">
        <v>5.3567999999999998</v>
      </c>
      <c r="AF122" s="1">
        <v>2.4121999999999999</v>
      </c>
      <c r="AG122" s="1">
        <v>1.9867999999999999</v>
      </c>
      <c r="AH122" s="1">
        <v>1.4796</v>
      </c>
      <c r="AI122" s="1">
        <v>0.99480000000000002</v>
      </c>
      <c r="AJ122" s="1">
        <v>3.9885999999999999</v>
      </c>
      <c r="AK122" s="1">
        <v>3.4885999999999999</v>
      </c>
      <c r="AL122" s="16" t="s">
        <v>67</v>
      </c>
      <c r="AM122" s="1">
        <f t="shared" si="46"/>
        <v>0</v>
      </c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 t="s">
        <v>172</v>
      </c>
      <c r="B123" s="1" t="s">
        <v>48</v>
      </c>
      <c r="C123" s="1">
        <v>216</v>
      </c>
      <c r="D123" s="1">
        <v>1427</v>
      </c>
      <c r="E123" s="1">
        <v>150</v>
      </c>
      <c r="F123" s="1">
        <v>491</v>
      </c>
      <c r="G123" s="1"/>
      <c r="H123" s="1">
        <f t="shared" si="37"/>
        <v>491</v>
      </c>
      <c r="I123" s="7">
        <v>0.09</v>
      </c>
      <c r="J123" s="1">
        <v>45</v>
      </c>
      <c r="K123" s="1" t="s">
        <v>43</v>
      </c>
      <c r="L123" s="1"/>
      <c r="M123" s="1">
        <v>210</v>
      </c>
      <c r="N123" s="1">
        <f t="shared" si="38"/>
        <v>-60</v>
      </c>
      <c r="O123" s="1">
        <f t="shared" si="39"/>
        <v>150</v>
      </c>
      <c r="P123" s="1"/>
      <c r="Q123" s="1">
        <v>0</v>
      </c>
      <c r="R123" s="1"/>
      <c r="S123" s="1"/>
      <c r="T123" s="1"/>
      <c r="U123" s="1"/>
      <c r="V123" s="1">
        <v>0</v>
      </c>
      <c r="W123" s="1"/>
      <c r="X123" s="1"/>
      <c r="Y123" s="1"/>
      <c r="Z123" s="1">
        <f t="shared" si="40"/>
        <v>30</v>
      </c>
      <c r="AA123" s="5"/>
      <c r="AB123" s="1">
        <f t="shared" si="41"/>
        <v>16.366666666666667</v>
      </c>
      <c r="AC123" s="1">
        <f t="shared" si="42"/>
        <v>16.366666666666667</v>
      </c>
      <c r="AD123" s="1">
        <v>40</v>
      </c>
      <c r="AE123" s="1">
        <v>17.2</v>
      </c>
      <c r="AF123" s="1">
        <v>42.6</v>
      </c>
      <c r="AG123" s="1">
        <v>84.4</v>
      </c>
      <c r="AH123" s="1">
        <v>65.2</v>
      </c>
      <c r="AI123" s="1">
        <v>29</v>
      </c>
      <c r="AJ123" s="1">
        <v>42.4</v>
      </c>
      <c r="AK123" s="1">
        <v>38.6</v>
      </c>
      <c r="AL123" s="1"/>
      <c r="AM123" s="1">
        <f t="shared" si="46"/>
        <v>0</v>
      </c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 t="s">
        <v>173</v>
      </c>
      <c r="B124" s="1" t="s">
        <v>48</v>
      </c>
      <c r="C124" s="1">
        <v>198</v>
      </c>
      <c r="D124" s="1">
        <v>1357</v>
      </c>
      <c r="E124" s="1">
        <v>150</v>
      </c>
      <c r="F124" s="1">
        <v>451</v>
      </c>
      <c r="G124" s="1"/>
      <c r="H124" s="1">
        <f t="shared" si="37"/>
        <v>451</v>
      </c>
      <c r="I124" s="7">
        <v>0.09</v>
      </c>
      <c r="J124" s="1">
        <v>45</v>
      </c>
      <c r="K124" s="1" t="s">
        <v>43</v>
      </c>
      <c r="L124" s="1"/>
      <c r="M124" s="1">
        <v>187</v>
      </c>
      <c r="N124" s="1">
        <f t="shared" si="38"/>
        <v>-37</v>
      </c>
      <c r="O124" s="1">
        <f t="shared" si="39"/>
        <v>150</v>
      </c>
      <c r="P124" s="1"/>
      <c r="Q124" s="1">
        <v>0</v>
      </c>
      <c r="R124" s="1"/>
      <c r="S124" s="1"/>
      <c r="T124" s="1"/>
      <c r="U124" s="1"/>
      <c r="V124" s="1">
        <v>24.799999999999951</v>
      </c>
      <c r="W124" s="1"/>
      <c r="X124" s="1"/>
      <c r="Y124" s="1"/>
      <c r="Z124" s="1">
        <f t="shared" si="40"/>
        <v>30</v>
      </c>
      <c r="AA124" s="5"/>
      <c r="AB124" s="1">
        <f t="shared" si="41"/>
        <v>15.859999999999998</v>
      </c>
      <c r="AC124" s="1">
        <f t="shared" si="42"/>
        <v>15.859999999999998</v>
      </c>
      <c r="AD124" s="1">
        <v>39.4</v>
      </c>
      <c r="AE124" s="1">
        <v>27.8</v>
      </c>
      <c r="AF124" s="1">
        <v>52.8</v>
      </c>
      <c r="AG124" s="1">
        <v>83</v>
      </c>
      <c r="AH124" s="1">
        <v>59</v>
      </c>
      <c r="AI124" s="1">
        <v>24</v>
      </c>
      <c r="AJ124" s="1">
        <v>39.799999999999997</v>
      </c>
      <c r="AK124" s="1">
        <v>38.200000000000003</v>
      </c>
      <c r="AL124" s="1"/>
      <c r="AM124" s="1">
        <f t="shared" si="46"/>
        <v>0</v>
      </c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 t="s">
        <v>174</v>
      </c>
      <c r="B125" s="1" t="s">
        <v>42</v>
      </c>
      <c r="C125" s="1">
        <v>68.103999999999999</v>
      </c>
      <c r="D125" s="1">
        <v>652.36599999999999</v>
      </c>
      <c r="E125" s="1">
        <v>102.61499999999999</v>
      </c>
      <c r="F125" s="1">
        <v>198.28</v>
      </c>
      <c r="G125" s="1"/>
      <c r="H125" s="1">
        <f t="shared" si="37"/>
        <v>198.28</v>
      </c>
      <c r="I125" s="7">
        <v>1</v>
      </c>
      <c r="J125" s="1">
        <v>60</v>
      </c>
      <c r="K125" s="1" t="s">
        <v>43</v>
      </c>
      <c r="L125" s="1"/>
      <c r="M125" s="1">
        <v>103.8</v>
      </c>
      <c r="N125" s="1">
        <f t="shared" si="38"/>
        <v>-1.1850000000000023</v>
      </c>
      <c r="O125" s="1">
        <f t="shared" si="39"/>
        <v>102.61499999999999</v>
      </c>
      <c r="P125" s="1"/>
      <c r="Q125" s="1">
        <v>0</v>
      </c>
      <c r="R125" s="1"/>
      <c r="S125" s="1"/>
      <c r="T125" s="1"/>
      <c r="U125" s="1"/>
      <c r="V125" s="1">
        <v>0</v>
      </c>
      <c r="W125" s="1"/>
      <c r="X125" s="1"/>
      <c r="Y125" s="1"/>
      <c r="Z125" s="1">
        <f t="shared" si="40"/>
        <v>20.523</v>
      </c>
      <c r="AA125" s="5">
        <f t="shared" ref="AA121:AA136" si="47">11*Z125-Y125-X125-W125-V125-U125-T125-S125-R125-Q125-H125</f>
        <v>27.472999999999985</v>
      </c>
      <c r="AB125" s="1">
        <f t="shared" si="41"/>
        <v>11</v>
      </c>
      <c r="AC125" s="1">
        <f t="shared" si="42"/>
        <v>9.6613555523071675</v>
      </c>
      <c r="AD125" s="1">
        <v>19.683800000000002</v>
      </c>
      <c r="AE125" s="1">
        <v>23.858799999999999</v>
      </c>
      <c r="AF125" s="1">
        <v>30.072199999999999</v>
      </c>
      <c r="AG125" s="1">
        <v>28.821999999999999</v>
      </c>
      <c r="AH125" s="1">
        <v>19.371600000000001</v>
      </c>
      <c r="AI125" s="1">
        <v>16.9956</v>
      </c>
      <c r="AJ125" s="1">
        <v>23.003799999999998</v>
      </c>
      <c r="AK125" s="1">
        <v>24.015000000000001</v>
      </c>
      <c r="AL125" s="1" t="s">
        <v>45</v>
      </c>
      <c r="AM125" s="1">
        <f t="shared" si="46"/>
        <v>27.472999999999985</v>
      </c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 t="s">
        <v>175</v>
      </c>
      <c r="B126" s="1" t="s">
        <v>42</v>
      </c>
      <c r="C126" s="1">
        <v>413.68200000000002</v>
      </c>
      <c r="D126" s="1">
        <v>2099.79</v>
      </c>
      <c r="E126" s="1">
        <v>734.10699999999997</v>
      </c>
      <c r="F126" s="1">
        <v>935.08600000000001</v>
      </c>
      <c r="G126" s="1"/>
      <c r="H126" s="1">
        <f t="shared" si="37"/>
        <v>935.08600000000001</v>
      </c>
      <c r="I126" s="7">
        <v>1</v>
      </c>
      <c r="J126" s="1">
        <v>60</v>
      </c>
      <c r="K126" s="1" t="s">
        <v>43</v>
      </c>
      <c r="L126" s="1"/>
      <c r="M126" s="1">
        <v>736.76099999999997</v>
      </c>
      <c r="N126" s="1">
        <f t="shared" si="38"/>
        <v>-2.6539999999999964</v>
      </c>
      <c r="O126" s="1">
        <f t="shared" si="39"/>
        <v>734.10699999999997</v>
      </c>
      <c r="P126" s="1"/>
      <c r="Q126" s="1">
        <v>200</v>
      </c>
      <c r="R126" s="1"/>
      <c r="S126" s="1"/>
      <c r="T126" s="1"/>
      <c r="U126" s="1"/>
      <c r="V126" s="1">
        <v>77.649749519999887</v>
      </c>
      <c r="W126" s="1"/>
      <c r="X126" s="1"/>
      <c r="Y126" s="1">
        <v>143.76385047999969</v>
      </c>
      <c r="Z126" s="1">
        <f t="shared" si="40"/>
        <v>146.82139999999998</v>
      </c>
      <c r="AA126" s="5">
        <f t="shared" si="47"/>
        <v>258.53580000000011</v>
      </c>
      <c r="AB126" s="1">
        <f t="shared" si="41"/>
        <v>11</v>
      </c>
      <c r="AC126" s="1">
        <f t="shared" si="42"/>
        <v>9.23911364419628</v>
      </c>
      <c r="AD126" s="1">
        <v>140.74080000000001</v>
      </c>
      <c r="AE126" s="1">
        <v>154.98939999999999</v>
      </c>
      <c r="AF126" s="1">
        <v>181.70920000000001</v>
      </c>
      <c r="AG126" s="1">
        <v>175.9854</v>
      </c>
      <c r="AH126" s="1">
        <v>98.486199999999997</v>
      </c>
      <c r="AI126" s="1">
        <v>89.586800000000011</v>
      </c>
      <c r="AJ126" s="1">
        <v>117.7424</v>
      </c>
      <c r="AK126" s="1">
        <v>113.4314</v>
      </c>
      <c r="AL126" s="1" t="s">
        <v>45</v>
      </c>
      <c r="AM126" s="1">
        <f t="shared" si="46"/>
        <v>258.53580000000011</v>
      </c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 t="s">
        <v>176</v>
      </c>
      <c r="B127" s="1" t="s">
        <v>42</v>
      </c>
      <c r="C127" s="1">
        <v>54.177999999999997</v>
      </c>
      <c r="D127" s="1">
        <v>154.09100000000001</v>
      </c>
      <c r="E127" s="1">
        <v>57.816000000000003</v>
      </c>
      <c r="F127" s="1">
        <v>81.203000000000003</v>
      </c>
      <c r="G127" s="1"/>
      <c r="H127" s="1">
        <f t="shared" si="37"/>
        <v>81.203000000000003</v>
      </c>
      <c r="I127" s="7">
        <v>1</v>
      </c>
      <c r="J127" s="1">
        <v>60</v>
      </c>
      <c r="K127" s="1" t="s">
        <v>43</v>
      </c>
      <c r="L127" s="1"/>
      <c r="M127" s="1">
        <v>75.7</v>
      </c>
      <c r="N127" s="1">
        <f t="shared" si="38"/>
        <v>-17.884</v>
      </c>
      <c r="O127" s="1">
        <f t="shared" si="39"/>
        <v>57.816000000000003</v>
      </c>
      <c r="P127" s="1"/>
      <c r="Q127" s="1">
        <v>10.690400000000009</v>
      </c>
      <c r="R127" s="1"/>
      <c r="S127" s="1"/>
      <c r="T127" s="1"/>
      <c r="U127" s="1"/>
      <c r="V127" s="1">
        <v>37.005600000000001</v>
      </c>
      <c r="W127" s="1"/>
      <c r="X127" s="1"/>
      <c r="Y127" s="1"/>
      <c r="Z127" s="1">
        <f t="shared" si="40"/>
        <v>11.5632</v>
      </c>
      <c r="AA127" s="5"/>
      <c r="AB127" s="1">
        <f t="shared" si="41"/>
        <v>11.147346755223467</v>
      </c>
      <c r="AC127" s="1">
        <f t="shared" si="42"/>
        <v>11.147346755223467</v>
      </c>
      <c r="AD127" s="1">
        <v>12.903</v>
      </c>
      <c r="AE127" s="1">
        <v>13.724600000000001</v>
      </c>
      <c r="AF127" s="1">
        <v>13.781000000000001</v>
      </c>
      <c r="AG127" s="1">
        <v>13.204599999999999</v>
      </c>
      <c r="AH127" s="1">
        <v>10.835599999999999</v>
      </c>
      <c r="AI127" s="1">
        <v>10.377000000000001</v>
      </c>
      <c r="AJ127" s="1">
        <v>15.2936</v>
      </c>
      <c r="AK127" s="1">
        <v>14.958</v>
      </c>
      <c r="AL127" s="1"/>
      <c r="AM127" s="1">
        <f t="shared" si="46"/>
        <v>0</v>
      </c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 t="s">
        <v>63</v>
      </c>
      <c r="B128" s="1" t="s">
        <v>42</v>
      </c>
      <c r="C128" s="1">
        <v>886.44600000000003</v>
      </c>
      <c r="D128" s="1">
        <v>1570.6289999999999</v>
      </c>
      <c r="E128" s="15">
        <f>1019.851+E19</f>
        <v>1019.331</v>
      </c>
      <c r="F128" s="1">
        <v>891.32500000000005</v>
      </c>
      <c r="G128" s="1"/>
      <c r="H128" s="1">
        <f t="shared" si="37"/>
        <v>891.32500000000005</v>
      </c>
      <c r="I128" s="7">
        <v>1</v>
      </c>
      <c r="J128" s="1">
        <v>60</v>
      </c>
      <c r="K128" s="1" t="s">
        <v>43</v>
      </c>
      <c r="L128" s="1"/>
      <c r="M128" s="1">
        <v>1021.475</v>
      </c>
      <c r="N128" s="1">
        <f t="shared" si="38"/>
        <v>-2.1440000000000055</v>
      </c>
      <c r="O128" s="1">
        <f t="shared" si="39"/>
        <v>1019.331</v>
      </c>
      <c r="P128" s="1"/>
      <c r="Q128" s="1">
        <v>90.363121320000047</v>
      </c>
      <c r="R128" s="1"/>
      <c r="S128" s="1">
        <v>122.15597868</v>
      </c>
      <c r="T128" s="1"/>
      <c r="U128" s="1"/>
      <c r="V128" s="1">
        <v>270.13975611000001</v>
      </c>
      <c r="W128" s="1"/>
      <c r="X128" s="1"/>
      <c r="Y128" s="1">
        <v>500.14754389000001</v>
      </c>
      <c r="Z128" s="1">
        <f t="shared" si="40"/>
        <v>203.86619999999999</v>
      </c>
      <c r="AA128" s="5">
        <f t="shared" si="47"/>
        <v>368.39679999999953</v>
      </c>
      <c r="AB128" s="1">
        <f t="shared" si="41"/>
        <v>11</v>
      </c>
      <c r="AC128" s="1">
        <f t="shared" si="42"/>
        <v>9.1929481198943233</v>
      </c>
      <c r="AD128" s="1">
        <v>195.4562</v>
      </c>
      <c r="AE128" s="1">
        <v>194.12459999999999</v>
      </c>
      <c r="AF128" s="1">
        <v>210.81899999999999</v>
      </c>
      <c r="AG128" s="1">
        <v>218.63480000000001</v>
      </c>
      <c r="AH128" s="1">
        <v>145.69720000000001</v>
      </c>
      <c r="AI128" s="1">
        <v>131.56319999999999</v>
      </c>
      <c r="AJ128" s="1">
        <v>184.21879999999999</v>
      </c>
      <c r="AK128" s="1">
        <v>182.80520000000001</v>
      </c>
      <c r="AL128" s="1"/>
      <c r="AM128" s="1">
        <f t="shared" si="46"/>
        <v>368.39679999999953</v>
      </c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 t="s">
        <v>177</v>
      </c>
      <c r="B129" s="1" t="s">
        <v>48</v>
      </c>
      <c r="C129" s="1">
        <v>38</v>
      </c>
      <c r="D129" s="1">
        <v>166</v>
      </c>
      <c r="E129" s="1">
        <v>4</v>
      </c>
      <c r="F129" s="1">
        <v>200</v>
      </c>
      <c r="G129" s="1"/>
      <c r="H129" s="1">
        <f t="shared" si="37"/>
        <v>200</v>
      </c>
      <c r="I129" s="7">
        <v>0.25</v>
      </c>
      <c r="J129" s="1">
        <v>1096</v>
      </c>
      <c r="K129" s="1" t="s">
        <v>43</v>
      </c>
      <c r="L129" s="1"/>
      <c r="M129" s="1">
        <v>4</v>
      </c>
      <c r="N129" s="1">
        <f t="shared" si="38"/>
        <v>0</v>
      </c>
      <c r="O129" s="1">
        <f t="shared" si="39"/>
        <v>4</v>
      </c>
      <c r="P129" s="1"/>
      <c r="Q129" s="1">
        <v>0</v>
      </c>
      <c r="R129" s="1"/>
      <c r="S129" s="1"/>
      <c r="T129" s="1"/>
      <c r="U129" s="1"/>
      <c r="V129" s="1">
        <v>0</v>
      </c>
      <c r="W129" s="1"/>
      <c r="X129" s="1"/>
      <c r="Y129" s="1"/>
      <c r="Z129" s="1">
        <f t="shared" si="40"/>
        <v>0.8</v>
      </c>
      <c r="AA129" s="5"/>
      <c r="AB129" s="1">
        <f t="shared" si="41"/>
        <v>250</v>
      </c>
      <c r="AC129" s="1">
        <f t="shared" si="42"/>
        <v>250</v>
      </c>
      <c r="AD129" s="1">
        <v>0.8</v>
      </c>
      <c r="AE129" s="1">
        <v>1</v>
      </c>
      <c r="AF129" s="1">
        <v>5.6</v>
      </c>
      <c r="AG129" s="1">
        <v>10</v>
      </c>
      <c r="AH129" s="1">
        <v>6</v>
      </c>
      <c r="AI129" s="1">
        <v>1.2</v>
      </c>
      <c r="AJ129" s="1">
        <v>3.6</v>
      </c>
      <c r="AK129" s="1">
        <v>4.2</v>
      </c>
      <c r="AL129" s="17" t="s">
        <v>178</v>
      </c>
      <c r="AM129" s="1">
        <f t="shared" si="46"/>
        <v>0</v>
      </c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 t="s">
        <v>179</v>
      </c>
      <c r="B130" s="1" t="s">
        <v>48</v>
      </c>
      <c r="C130" s="1">
        <v>9</v>
      </c>
      <c r="D130" s="1">
        <v>118</v>
      </c>
      <c r="E130" s="1">
        <v>5</v>
      </c>
      <c r="F130" s="15">
        <f>115+F138</f>
        <v>145</v>
      </c>
      <c r="G130" s="1"/>
      <c r="H130" s="1">
        <f t="shared" si="37"/>
        <v>145</v>
      </c>
      <c r="I130" s="7">
        <v>0.32500000000000001</v>
      </c>
      <c r="J130" s="1">
        <v>1096</v>
      </c>
      <c r="K130" s="1" t="s">
        <v>43</v>
      </c>
      <c r="L130" s="1"/>
      <c r="M130" s="1">
        <v>5</v>
      </c>
      <c r="N130" s="1">
        <f t="shared" si="38"/>
        <v>0</v>
      </c>
      <c r="O130" s="1">
        <f t="shared" si="39"/>
        <v>5</v>
      </c>
      <c r="P130" s="1"/>
      <c r="Q130" s="1">
        <v>0</v>
      </c>
      <c r="R130" s="1"/>
      <c r="S130" s="1"/>
      <c r="T130" s="1"/>
      <c r="U130" s="1"/>
      <c r="V130" s="1">
        <v>0</v>
      </c>
      <c r="W130" s="1"/>
      <c r="X130" s="1"/>
      <c r="Y130" s="1"/>
      <c r="Z130" s="1">
        <f t="shared" si="40"/>
        <v>1</v>
      </c>
      <c r="AA130" s="5"/>
      <c r="AB130" s="1">
        <f t="shared" si="41"/>
        <v>145</v>
      </c>
      <c r="AC130" s="1">
        <f t="shared" si="42"/>
        <v>145</v>
      </c>
      <c r="AD130" s="1">
        <v>1</v>
      </c>
      <c r="AE130" s="1">
        <v>1</v>
      </c>
      <c r="AF130" s="1">
        <v>5.2</v>
      </c>
      <c r="AG130" s="1">
        <v>7.2</v>
      </c>
      <c r="AH130" s="1">
        <v>3.8</v>
      </c>
      <c r="AI130" s="1">
        <v>1</v>
      </c>
      <c r="AJ130" s="1">
        <v>2.8</v>
      </c>
      <c r="AK130" s="1">
        <v>3.6</v>
      </c>
      <c r="AL130" s="17" t="s">
        <v>178</v>
      </c>
      <c r="AM130" s="1">
        <f t="shared" si="46"/>
        <v>0</v>
      </c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 t="s">
        <v>180</v>
      </c>
      <c r="B131" s="1" t="s">
        <v>48</v>
      </c>
      <c r="C131" s="1">
        <v>63</v>
      </c>
      <c r="D131" s="1">
        <v>163</v>
      </c>
      <c r="E131" s="1">
        <v>29</v>
      </c>
      <c r="F131" s="1">
        <v>176</v>
      </c>
      <c r="G131" s="1"/>
      <c r="H131" s="1">
        <f t="shared" si="37"/>
        <v>176</v>
      </c>
      <c r="I131" s="7">
        <v>0.25</v>
      </c>
      <c r="J131" s="1">
        <v>1096</v>
      </c>
      <c r="K131" s="1" t="s">
        <v>43</v>
      </c>
      <c r="L131" s="1"/>
      <c r="M131" s="1">
        <v>29</v>
      </c>
      <c r="N131" s="1">
        <f t="shared" si="38"/>
        <v>0</v>
      </c>
      <c r="O131" s="1">
        <f t="shared" si="39"/>
        <v>29</v>
      </c>
      <c r="P131" s="1"/>
      <c r="Q131" s="1">
        <v>0</v>
      </c>
      <c r="R131" s="1"/>
      <c r="S131" s="1"/>
      <c r="T131" s="1"/>
      <c r="U131" s="1"/>
      <c r="V131" s="1">
        <v>0</v>
      </c>
      <c r="W131" s="1"/>
      <c r="X131" s="1"/>
      <c r="Y131" s="1"/>
      <c r="Z131" s="1">
        <f t="shared" si="40"/>
        <v>5.8</v>
      </c>
      <c r="AA131" s="5"/>
      <c r="AB131" s="1">
        <f t="shared" si="41"/>
        <v>30.344827586206897</v>
      </c>
      <c r="AC131" s="1">
        <f t="shared" si="42"/>
        <v>30.344827586206897</v>
      </c>
      <c r="AD131" s="1">
        <v>1.8</v>
      </c>
      <c r="AE131" s="1">
        <v>2</v>
      </c>
      <c r="AF131" s="1">
        <v>6.4</v>
      </c>
      <c r="AG131" s="1">
        <v>12.4</v>
      </c>
      <c r="AH131" s="1">
        <v>8.6</v>
      </c>
      <c r="AI131" s="1">
        <v>2</v>
      </c>
      <c r="AJ131" s="1">
        <v>8</v>
      </c>
      <c r="AK131" s="1">
        <v>9.8000000000000007</v>
      </c>
      <c r="AL131" s="17" t="s">
        <v>178</v>
      </c>
      <c r="AM131" s="1">
        <f t="shared" si="46"/>
        <v>0</v>
      </c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 t="s">
        <v>181</v>
      </c>
      <c r="B132" s="1" t="s">
        <v>48</v>
      </c>
      <c r="C132" s="1">
        <v>31</v>
      </c>
      <c r="D132" s="1">
        <v>262</v>
      </c>
      <c r="E132" s="1">
        <v>17</v>
      </c>
      <c r="F132" s="1"/>
      <c r="G132" s="1"/>
      <c r="H132" s="1">
        <f t="shared" si="37"/>
        <v>0</v>
      </c>
      <c r="I132" s="7">
        <v>0.3</v>
      </c>
      <c r="J132" s="1">
        <v>40</v>
      </c>
      <c r="K132" s="11" t="s">
        <v>53</v>
      </c>
      <c r="L132" s="1"/>
      <c r="M132" s="1">
        <v>107</v>
      </c>
      <c r="N132" s="1">
        <f t="shared" si="38"/>
        <v>-90</v>
      </c>
      <c r="O132" s="1">
        <f t="shared" si="39"/>
        <v>17</v>
      </c>
      <c r="P132" s="1"/>
      <c r="Q132" s="1">
        <v>30</v>
      </c>
      <c r="R132" s="1">
        <v>-30</v>
      </c>
      <c r="S132" s="1"/>
      <c r="T132" s="1"/>
      <c r="U132" s="1"/>
      <c r="V132" s="1">
        <v>30</v>
      </c>
      <c r="W132" s="1">
        <v>-30</v>
      </c>
      <c r="X132" s="1"/>
      <c r="Y132" s="1"/>
      <c r="Z132" s="1">
        <f t="shared" si="40"/>
        <v>3.4</v>
      </c>
      <c r="AA132" s="5">
        <v>40</v>
      </c>
      <c r="AB132" s="1">
        <f t="shared" si="41"/>
        <v>11.764705882352942</v>
      </c>
      <c r="AC132" s="1">
        <f t="shared" si="42"/>
        <v>0</v>
      </c>
      <c r="AD132" s="1">
        <v>-0.2</v>
      </c>
      <c r="AE132" s="1">
        <v>13.2</v>
      </c>
      <c r="AF132" s="1">
        <v>28.8</v>
      </c>
      <c r="AG132" s="1">
        <v>16.8</v>
      </c>
      <c r="AH132" s="1">
        <v>0</v>
      </c>
      <c r="AI132" s="1">
        <v>-0.4</v>
      </c>
      <c r="AJ132" s="1">
        <v>-0.4</v>
      </c>
      <c r="AK132" s="1">
        <v>-0.6</v>
      </c>
      <c r="AL132" s="1"/>
      <c r="AM132" s="1">
        <f t="shared" si="46"/>
        <v>12</v>
      </c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 t="s">
        <v>182</v>
      </c>
      <c r="B133" s="1" t="s">
        <v>48</v>
      </c>
      <c r="C133" s="1">
        <v>-15</v>
      </c>
      <c r="D133" s="1">
        <v>149</v>
      </c>
      <c r="E133" s="1">
        <v>-5</v>
      </c>
      <c r="F133" s="1"/>
      <c r="G133" s="1"/>
      <c r="H133" s="1">
        <f t="shared" si="37"/>
        <v>0</v>
      </c>
      <c r="I133" s="7">
        <v>0.3</v>
      </c>
      <c r="J133" s="1">
        <v>40</v>
      </c>
      <c r="K133" s="11" t="s">
        <v>53</v>
      </c>
      <c r="L133" s="1"/>
      <c r="M133" s="1">
        <v>26</v>
      </c>
      <c r="N133" s="1">
        <f t="shared" si="38"/>
        <v>-31</v>
      </c>
      <c r="O133" s="1">
        <f t="shared" si="39"/>
        <v>-5</v>
      </c>
      <c r="P133" s="1"/>
      <c r="Q133" s="1">
        <v>50</v>
      </c>
      <c r="R133" s="1">
        <v>-53.333333333333343</v>
      </c>
      <c r="S133" s="1"/>
      <c r="T133" s="1"/>
      <c r="U133" s="1"/>
      <c r="V133" s="1">
        <v>50</v>
      </c>
      <c r="W133" s="1">
        <v>-54</v>
      </c>
      <c r="X133" s="1"/>
      <c r="Y133" s="1"/>
      <c r="Z133" s="1">
        <f t="shared" si="40"/>
        <v>-1</v>
      </c>
      <c r="AA133" s="5">
        <v>40</v>
      </c>
      <c r="AB133" s="1">
        <f t="shared" si="41"/>
        <v>-32.666666666666657</v>
      </c>
      <c r="AC133" s="1">
        <f t="shared" si="42"/>
        <v>7.3333333333333428</v>
      </c>
      <c r="AD133" s="1">
        <v>0.6</v>
      </c>
      <c r="AE133" s="1">
        <v>9.1999999999999993</v>
      </c>
      <c r="AF133" s="1">
        <v>8</v>
      </c>
      <c r="AG133" s="1">
        <v>0</v>
      </c>
      <c r="AH133" s="1">
        <v>-0.2</v>
      </c>
      <c r="AI133" s="1">
        <v>-1.2</v>
      </c>
      <c r="AJ133" s="1">
        <v>-0.2</v>
      </c>
      <c r="AK133" s="1">
        <v>0</v>
      </c>
      <c r="AL133" s="1"/>
      <c r="AM133" s="1">
        <f t="shared" si="46"/>
        <v>12</v>
      </c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 t="s">
        <v>183</v>
      </c>
      <c r="B134" s="1" t="s">
        <v>42</v>
      </c>
      <c r="C134" s="1">
        <v>27.206</v>
      </c>
      <c r="D134" s="1">
        <v>188.64</v>
      </c>
      <c r="E134" s="1">
        <v>80.543999999999997</v>
      </c>
      <c r="F134" s="1">
        <v>14.891</v>
      </c>
      <c r="G134" s="1"/>
      <c r="H134" s="1">
        <f t="shared" ref="H134:H165" si="48">F134-G134</f>
        <v>14.891</v>
      </c>
      <c r="I134" s="7">
        <v>1</v>
      </c>
      <c r="J134" s="1">
        <v>50</v>
      </c>
      <c r="K134" s="1" t="s">
        <v>43</v>
      </c>
      <c r="L134" s="1"/>
      <c r="M134" s="1">
        <v>85.35</v>
      </c>
      <c r="N134" s="1">
        <f t="shared" ref="N134:N165" si="49">E134-M134</f>
        <v>-4.8059999999999974</v>
      </c>
      <c r="O134" s="1">
        <f t="shared" ref="O134:O165" si="50">E134-P134</f>
        <v>80.543999999999997</v>
      </c>
      <c r="P134" s="1"/>
      <c r="Q134" s="1">
        <v>28.977399999999971</v>
      </c>
      <c r="R134" s="1"/>
      <c r="S134" s="1"/>
      <c r="T134" s="1"/>
      <c r="U134" s="1"/>
      <c r="V134" s="1">
        <v>69.44440000000003</v>
      </c>
      <c r="W134" s="1"/>
      <c r="X134" s="1"/>
      <c r="Y134" s="1"/>
      <c r="Z134" s="1">
        <f t="shared" si="40"/>
        <v>16.108799999999999</v>
      </c>
      <c r="AA134" s="5">
        <f t="shared" si="47"/>
        <v>63.883999999999993</v>
      </c>
      <c r="AB134" s="1">
        <f t="shared" ref="AB134:AB165" si="51">(H134+Q134+R134+S134+T134+U134+V134+W134+X134+Y134+AA134)/Z134</f>
        <v>11</v>
      </c>
      <c r="AC134" s="1">
        <f t="shared" si="42"/>
        <v>7.0342173222089803</v>
      </c>
      <c r="AD134" s="1">
        <v>13.9884</v>
      </c>
      <c r="AE134" s="1">
        <v>11.2852</v>
      </c>
      <c r="AF134" s="1">
        <v>10.900600000000001</v>
      </c>
      <c r="AG134" s="1">
        <v>11.664199999999999</v>
      </c>
      <c r="AH134" s="1">
        <v>8.6918000000000006</v>
      </c>
      <c r="AI134" s="1">
        <v>8.6745999999999999</v>
      </c>
      <c r="AJ134" s="1">
        <v>10.775399999999999</v>
      </c>
      <c r="AK134" s="1">
        <v>8.8368000000000002</v>
      </c>
      <c r="AL134" s="1"/>
      <c r="AM134" s="1">
        <f t="shared" si="46"/>
        <v>63.883999999999993</v>
      </c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 t="s">
        <v>184</v>
      </c>
      <c r="B135" s="1" t="s">
        <v>48</v>
      </c>
      <c r="C135" s="1">
        <v>2</v>
      </c>
      <c r="D135" s="1">
        <v>47</v>
      </c>
      <c r="E135" s="1">
        <v>1</v>
      </c>
      <c r="F135" s="1"/>
      <c r="G135" s="1"/>
      <c r="H135" s="1">
        <f t="shared" si="48"/>
        <v>0</v>
      </c>
      <c r="I135" s="7">
        <v>0.3</v>
      </c>
      <c r="J135" s="1">
        <v>40</v>
      </c>
      <c r="K135" s="11" t="s">
        <v>53</v>
      </c>
      <c r="L135" s="1"/>
      <c r="M135" s="1">
        <v>9</v>
      </c>
      <c r="N135" s="1">
        <f t="shared" si="49"/>
        <v>-8</v>
      </c>
      <c r="O135" s="1">
        <f t="shared" si="50"/>
        <v>1</v>
      </c>
      <c r="P135" s="1"/>
      <c r="Q135" s="1">
        <v>20</v>
      </c>
      <c r="R135" s="1">
        <v>-23.333333333333339</v>
      </c>
      <c r="S135" s="1"/>
      <c r="T135" s="1"/>
      <c r="U135" s="1"/>
      <c r="V135" s="1">
        <v>20</v>
      </c>
      <c r="W135" s="1">
        <v>-24</v>
      </c>
      <c r="X135" s="1"/>
      <c r="Y135" s="1"/>
      <c r="Z135" s="1">
        <f t="shared" si="40"/>
        <v>0.2</v>
      </c>
      <c r="AA135" s="5">
        <v>10</v>
      </c>
      <c r="AB135" s="1">
        <f t="shared" si="51"/>
        <v>13.333333333333304</v>
      </c>
      <c r="AC135" s="1">
        <f t="shared" si="42"/>
        <v>-36.666666666666693</v>
      </c>
      <c r="AD135" s="1">
        <v>0.2</v>
      </c>
      <c r="AE135" s="1">
        <v>-0.2</v>
      </c>
      <c r="AF135" s="1">
        <v>0.6</v>
      </c>
      <c r="AG135" s="1">
        <v>5.8</v>
      </c>
      <c r="AH135" s="1">
        <v>7.2</v>
      </c>
      <c r="AI135" s="1">
        <v>4.5999999999999996</v>
      </c>
      <c r="AJ135" s="1">
        <v>2.6</v>
      </c>
      <c r="AK135" s="1">
        <v>0</v>
      </c>
      <c r="AL135" s="1"/>
      <c r="AM135" s="1">
        <f t="shared" si="46"/>
        <v>3</v>
      </c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 t="s">
        <v>185</v>
      </c>
      <c r="B136" s="1" t="s">
        <v>48</v>
      </c>
      <c r="C136" s="1">
        <v>4</v>
      </c>
      <c r="D136" s="1">
        <v>248</v>
      </c>
      <c r="E136" s="1">
        <v>44</v>
      </c>
      <c r="F136" s="1">
        <v>49</v>
      </c>
      <c r="G136" s="1"/>
      <c r="H136" s="1">
        <f t="shared" si="48"/>
        <v>49</v>
      </c>
      <c r="I136" s="7">
        <v>0.12</v>
      </c>
      <c r="J136" s="1">
        <v>45</v>
      </c>
      <c r="K136" s="11" t="s">
        <v>53</v>
      </c>
      <c r="L136" s="1"/>
      <c r="M136" s="1">
        <v>56</v>
      </c>
      <c r="N136" s="1">
        <f t="shared" si="49"/>
        <v>-12</v>
      </c>
      <c r="O136" s="1">
        <f t="shared" si="50"/>
        <v>44</v>
      </c>
      <c r="P136" s="1"/>
      <c r="Q136" s="1">
        <v>0</v>
      </c>
      <c r="R136" s="1"/>
      <c r="S136" s="1"/>
      <c r="T136" s="1"/>
      <c r="U136" s="1"/>
      <c r="V136" s="1">
        <v>0</v>
      </c>
      <c r="W136" s="1"/>
      <c r="X136" s="1"/>
      <c r="Y136" s="1"/>
      <c r="Z136" s="1">
        <f t="shared" si="40"/>
        <v>8.8000000000000007</v>
      </c>
      <c r="AA136" s="5">
        <f t="shared" si="47"/>
        <v>47.800000000000011</v>
      </c>
      <c r="AB136" s="1">
        <f t="shared" si="51"/>
        <v>11</v>
      </c>
      <c r="AC136" s="1">
        <f t="shared" si="42"/>
        <v>5.5681818181818175</v>
      </c>
      <c r="AD136" s="1">
        <v>6.6</v>
      </c>
      <c r="AE136" s="1">
        <v>8.4</v>
      </c>
      <c r="AF136" s="1">
        <v>10.4</v>
      </c>
      <c r="AG136" s="1">
        <v>13.2</v>
      </c>
      <c r="AH136" s="1">
        <v>9.8000000000000007</v>
      </c>
      <c r="AI136" s="1">
        <v>7.2</v>
      </c>
      <c r="AJ136" s="1">
        <v>8</v>
      </c>
      <c r="AK136" s="1">
        <v>7</v>
      </c>
      <c r="AL136" s="1"/>
      <c r="AM136" s="1">
        <f t="shared" si="46"/>
        <v>5.7360000000000015</v>
      </c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2" t="s">
        <v>186</v>
      </c>
      <c r="B137" s="12" t="s">
        <v>48</v>
      </c>
      <c r="C137" s="12">
        <v>69</v>
      </c>
      <c r="D137" s="12">
        <v>51</v>
      </c>
      <c r="E137" s="15">
        <v>108</v>
      </c>
      <c r="F137" s="15">
        <v>10</v>
      </c>
      <c r="G137" s="12"/>
      <c r="H137" s="12">
        <f t="shared" si="48"/>
        <v>10</v>
      </c>
      <c r="I137" s="13">
        <v>0</v>
      </c>
      <c r="J137" s="12"/>
      <c r="K137" s="12" t="s">
        <v>187</v>
      </c>
      <c r="L137" s="12" t="s">
        <v>110</v>
      </c>
      <c r="M137" s="12">
        <v>113</v>
      </c>
      <c r="N137" s="12">
        <f t="shared" si="49"/>
        <v>-5</v>
      </c>
      <c r="O137" s="12">
        <f t="shared" si="50"/>
        <v>108</v>
      </c>
      <c r="P137" s="12"/>
      <c r="Q137" s="12">
        <v>0</v>
      </c>
      <c r="R137" s="12"/>
      <c r="S137" s="12"/>
      <c r="T137" s="12"/>
      <c r="U137" s="12"/>
      <c r="V137" s="12">
        <v>0</v>
      </c>
      <c r="W137" s="12"/>
      <c r="X137" s="12"/>
      <c r="Y137" s="12"/>
      <c r="Z137" s="12">
        <f t="shared" si="40"/>
        <v>21.6</v>
      </c>
      <c r="AA137" s="14"/>
      <c r="AB137" s="12">
        <f t="shared" si="51"/>
        <v>0.46296296296296291</v>
      </c>
      <c r="AC137" s="12">
        <f t="shared" si="42"/>
        <v>0.46296296296296291</v>
      </c>
      <c r="AD137" s="12">
        <v>19.8</v>
      </c>
      <c r="AE137" s="12">
        <v>10.4</v>
      </c>
      <c r="AF137" s="12">
        <v>11.2</v>
      </c>
      <c r="AG137" s="12">
        <v>14.6</v>
      </c>
      <c r="AH137" s="12">
        <v>5.2</v>
      </c>
      <c r="AI137" s="12">
        <v>0</v>
      </c>
      <c r="AJ137" s="12">
        <v>0</v>
      </c>
      <c r="AK137" s="12">
        <v>0</v>
      </c>
      <c r="AL137" s="12"/>
      <c r="AM137" s="12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2" t="s">
        <v>188</v>
      </c>
      <c r="B138" s="12" t="s">
        <v>48</v>
      </c>
      <c r="C138" s="12">
        <v>30</v>
      </c>
      <c r="D138" s="12"/>
      <c r="E138" s="12"/>
      <c r="F138" s="15">
        <v>30</v>
      </c>
      <c r="G138" s="12"/>
      <c r="H138" s="12">
        <f t="shared" si="48"/>
        <v>30</v>
      </c>
      <c r="I138" s="13">
        <v>0</v>
      </c>
      <c r="J138" s="12"/>
      <c r="K138" s="12" t="s">
        <v>187</v>
      </c>
      <c r="L138" s="12" t="s">
        <v>179</v>
      </c>
      <c r="M138" s="12">
        <v>2</v>
      </c>
      <c r="N138" s="12">
        <f t="shared" si="49"/>
        <v>-2</v>
      </c>
      <c r="O138" s="12">
        <f t="shared" si="50"/>
        <v>0</v>
      </c>
      <c r="P138" s="12"/>
      <c r="Q138" s="12">
        <v>0</v>
      </c>
      <c r="R138" s="12"/>
      <c r="S138" s="12"/>
      <c r="T138" s="12"/>
      <c r="U138" s="12"/>
      <c r="V138" s="12">
        <v>0</v>
      </c>
      <c r="W138" s="12"/>
      <c r="X138" s="12"/>
      <c r="Y138" s="12"/>
      <c r="Z138" s="12">
        <f t="shared" si="40"/>
        <v>0</v>
      </c>
      <c r="AA138" s="14"/>
      <c r="AB138" s="12" t="e">
        <f t="shared" si="51"/>
        <v>#DIV/0!</v>
      </c>
      <c r="AC138" s="12" t="e">
        <f t="shared" si="42"/>
        <v>#DIV/0!</v>
      </c>
      <c r="AD138" s="12">
        <v>0</v>
      </c>
      <c r="AE138" s="12">
        <v>0</v>
      </c>
      <c r="AF138" s="12">
        <v>0</v>
      </c>
      <c r="AG138" s="12">
        <v>0</v>
      </c>
      <c r="AH138" s="12">
        <v>0.2</v>
      </c>
      <c r="AI138" s="12">
        <v>0.4</v>
      </c>
      <c r="AJ138" s="12">
        <v>2.4</v>
      </c>
      <c r="AK138" s="12">
        <v>2.6</v>
      </c>
      <c r="AL138" s="12"/>
      <c r="AM138" s="12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1"/>
      <c r="H139" s="1"/>
      <c r="I139" s="7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1"/>
      <c r="H140" s="1"/>
      <c r="I140" s="7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1"/>
      <c r="H141" s="1"/>
      <c r="I141" s="7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1"/>
      <c r="H142" s="1"/>
      <c r="I142" s="7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1"/>
      <c r="H143" s="1"/>
      <c r="I143" s="7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1"/>
      <c r="H144" s="1"/>
      <c r="I144" s="7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1"/>
      <c r="H145" s="1"/>
      <c r="I145" s="7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1"/>
      <c r="H146" s="1"/>
      <c r="I146" s="7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1"/>
      <c r="H147" s="1"/>
      <c r="I147" s="7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1"/>
      <c r="H148" s="1"/>
      <c r="I148" s="7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1"/>
      <c r="H149" s="1"/>
      <c r="I149" s="7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1"/>
      <c r="H150" s="1"/>
      <c r="I150" s="7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1"/>
      <c r="H151" s="1"/>
      <c r="I151" s="7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1"/>
      <c r="H152" s="1"/>
      <c r="I152" s="7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1"/>
      <c r="H153" s="1"/>
      <c r="I153" s="7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1"/>
      <c r="H154" s="1"/>
      <c r="I154" s="7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1"/>
      <c r="H155" s="1"/>
      <c r="I155" s="7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1"/>
      <c r="H156" s="1"/>
      <c r="I156" s="7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1"/>
      <c r="H157" s="1"/>
      <c r="I157" s="7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1"/>
      <c r="H158" s="1"/>
      <c r="I158" s="7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1"/>
      <c r="H159" s="1"/>
      <c r="I159" s="7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1"/>
      <c r="H160" s="1"/>
      <c r="I160" s="7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1"/>
      <c r="H161" s="1"/>
      <c r="I161" s="7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1"/>
      <c r="H162" s="1"/>
      <c r="I162" s="7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1"/>
      <c r="H163" s="1"/>
      <c r="I163" s="7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1"/>
      <c r="H164" s="1"/>
      <c r="I164" s="7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1"/>
      <c r="H165" s="1"/>
      <c r="I165" s="7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1"/>
      <c r="H166" s="1"/>
      <c r="I166" s="7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1"/>
      <c r="H167" s="1"/>
      <c r="I167" s="7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1"/>
      <c r="H168" s="1"/>
      <c r="I168" s="7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1"/>
      <c r="H169" s="1"/>
      <c r="I169" s="7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1"/>
      <c r="H170" s="1"/>
      <c r="I170" s="7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1"/>
      <c r="H171" s="1"/>
      <c r="I171" s="7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1"/>
      <c r="H172" s="1"/>
      <c r="I172" s="7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1"/>
      <c r="H173" s="1"/>
      <c r="I173" s="7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1"/>
      <c r="H174" s="1"/>
      <c r="I174" s="7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1"/>
      <c r="H175" s="1"/>
      <c r="I175" s="7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1"/>
      <c r="H176" s="1"/>
      <c r="I176" s="7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1"/>
      <c r="H177" s="1"/>
      <c r="I177" s="7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1"/>
      <c r="H178" s="1"/>
      <c r="I178" s="7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1"/>
      <c r="H179" s="1"/>
      <c r="I179" s="7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1"/>
      <c r="H180" s="1"/>
      <c r="I180" s="7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1"/>
      <c r="H181" s="1"/>
      <c r="I181" s="7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1"/>
      <c r="H182" s="1"/>
      <c r="I182" s="7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1"/>
      <c r="H183" s="1"/>
      <c r="I183" s="7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1"/>
      <c r="H184" s="1"/>
      <c r="I184" s="7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1"/>
      <c r="H185" s="1"/>
      <c r="I185" s="7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1"/>
      <c r="H186" s="1"/>
      <c r="I186" s="7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1"/>
      <c r="H187" s="1"/>
      <c r="I187" s="7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1"/>
      <c r="H188" s="1"/>
      <c r="I188" s="7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1"/>
      <c r="H189" s="1"/>
      <c r="I189" s="7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1"/>
      <c r="H190" s="1"/>
      <c r="I190" s="7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1"/>
      <c r="H191" s="1"/>
      <c r="I191" s="7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1"/>
      <c r="H192" s="1"/>
      <c r="I192" s="7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1"/>
      <c r="H193" s="1"/>
      <c r="I193" s="7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1"/>
      <c r="H194" s="1"/>
      <c r="I194" s="7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1"/>
      <c r="H195" s="1"/>
      <c r="I195" s="7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1"/>
      <c r="H196" s="1"/>
      <c r="I196" s="7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1"/>
      <c r="H197" s="1"/>
      <c r="I197" s="7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1"/>
      <c r="H198" s="1"/>
      <c r="I198" s="7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1"/>
      <c r="H199" s="1"/>
      <c r="I199" s="7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1"/>
      <c r="H200" s="1"/>
      <c r="I200" s="7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1"/>
      <c r="H201" s="1"/>
      <c r="I201" s="7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1"/>
      <c r="H202" s="1"/>
      <c r="I202" s="7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1"/>
      <c r="H203" s="1"/>
      <c r="I203" s="7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1"/>
      <c r="H204" s="1"/>
      <c r="I204" s="7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1"/>
      <c r="H205" s="1"/>
      <c r="I205" s="7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1"/>
      <c r="H206" s="1"/>
      <c r="I206" s="7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1"/>
      <c r="H207" s="1"/>
      <c r="I207" s="7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1"/>
      <c r="H208" s="1"/>
      <c r="I208" s="7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1"/>
      <c r="H209" s="1"/>
      <c r="I209" s="7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1"/>
      <c r="H210" s="1"/>
      <c r="I210" s="7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1"/>
      <c r="H211" s="1"/>
      <c r="I211" s="7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1"/>
      <c r="H212" s="1"/>
      <c r="I212" s="7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1"/>
      <c r="H213" s="1"/>
      <c r="I213" s="7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1"/>
      <c r="H214" s="1"/>
      <c r="I214" s="7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1"/>
      <c r="H215" s="1"/>
      <c r="I215" s="7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1"/>
      <c r="H216" s="1"/>
      <c r="I216" s="7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1"/>
      <c r="H217" s="1"/>
      <c r="I217" s="7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1"/>
      <c r="H218" s="1"/>
      <c r="I218" s="7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1"/>
      <c r="H219" s="1"/>
      <c r="I219" s="7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1"/>
      <c r="H220" s="1"/>
      <c r="I220" s="7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1"/>
      <c r="H221" s="1"/>
      <c r="I221" s="7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1"/>
      <c r="H222" s="1"/>
      <c r="I222" s="7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1"/>
      <c r="H223" s="1"/>
      <c r="I223" s="7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1"/>
      <c r="H224" s="1"/>
      <c r="I224" s="7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1"/>
      <c r="H225" s="1"/>
      <c r="I225" s="7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1"/>
      <c r="H226" s="1"/>
      <c r="I226" s="7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1"/>
      <c r="H227" s="1"/>
      <c r="I227" s="7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1"/>
      <c r="H228" s="1"/>
      <c r="I228" s="7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1"/>
      <c r="H229" s="1"/>
      <c r="I229" s="7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1"/>
      <c r="H230" s="1"/>
      <c r="I230" s="7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1"/>
      <c r="H231" s="1"/>
      <c r="I231" s="7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1"/>
      <c r="H232" s="1"/>
      <c r="I232" s="7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1"/>
      <c r="H233" s="1"/>
      <c r="I233" s="7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1"/>
      <c r="H234" s="1"/>
      <c r="I234" s="7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1"/>
      <c r="H235" s="1"/>
      <c r="I235" s="7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1"/>
      <c r="H236" s="1"/>
      <c r="I236" s="7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1"/>
      <c r="H237" s="1"/>
      <c r="I237" s="7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1"/>
      <c r="H238" s="1"/>
      <c r="I238" s="7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1"/>
      <c r="H239" s="1"/>
      <c r="I239" s="7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1"/>
      <c r="H240" s="1"/>
      <c r="I240" s="7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1"/>
      <c r="H241" s="1"/>
      <c r="I241" s="7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1"/>
      <c r="H242" s="1"/>
      <c r="I242" s="7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1"/>
      <c r="H243" s="1"/>
      <c r="I243" s="7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1"/>
      <c r="H244" s="1"/>
      <c r="I244" s="7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1"/>
      <c r="H245" s="1"/>
      <c r="I245" s="7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1"/>
      <c r="H246" s="1"/>
      <c r="I246" s="7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1"/>
      <c r="H247" s="1"/>
      <c r="I247" s="7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1"/>
      <c r="H248" s="1"/>
      <c r="I248" s="7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1"/>
      <c r="H249" s="1"/>
      <c r="I249" s="7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1"/>
      <c r="H250" s="1"/>
      <c r="I250" s="7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1"/>
      <c r="H251" s="1"/>
      <c r="I251" s="7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1"/>
      <c r="H252" s="1"/>
      <c r="I252" s="7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1"/>
      <c r="H253" s="1"/>
      <c r="I253" s="7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1"/>
      <c r="H254" s="1"/>
      <c r="I254" s="7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1"/>
      <c r="H255" s="1"/>
      <c r="I255" s="7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1"/>
      <c r="H256" s="1"/>
      <c r="I256" s="7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1"/>
      <c r="H257" s="1"/>
      <c r="I257" s="7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1"/>
      <c r="H258" s="1"/>
      <c r="I258" s="7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1"/>
      <c r="H259" s="1"/>
      <c r="I259" s="7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1"/>
      <c r="H260" s="1"/>
      <c r="I260" s="7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1"/>
      <c r="H261" s="1"/>
      <c r="I261" s="7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1"/>
      <c r="H262" s="1"/>
      <c r="I262" s="7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1"/>
      <c r="H263" s="1"/>
      <c r="I263" s="7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1"/>
      <c r="H264" s="1"/>
      <c r="I264" s="7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1"/>
      <c r="H265" s="1"/>
      <c r="I265" s="7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1"/>
      <c r="H266" s="1"/>
      <c r="I266" s="7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1"/>
      <c r="H267" s="1"/>
      <c r="I267" s="7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1"/>
      <c r="H268" s="1"/>
      <c r="I268" s="7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1"/>
      <c r="H269" s="1"/>
      <c r="I269" s="7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1"/>
      <c r="H270" s="1"/>
      <c r="I270" s="7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1"/>
      <c r="H271" s="1"/>
      <c r="I271" s="7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1"/>
      <c r="H272" s="1"/>
      <c r="I272" s="7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1"/>
      <c r="H273" s="1"/>
      <c r="I273" s="7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1"/>
      <c r="H274" s="1"/>
      <c r="I274" s="7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1"/>
      <c r="H275" s="1"/>
      <c r="I275" s="7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1"/>
      <c r="H276" s="1"/>
      <c r="I276" s="7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1"/>
      <c r="H277" s="1"/>
      <c r="I277" s="7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1"/>
      <c r="H278" s="1"/>
      <c r="I278" s="7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1"/>
      <c r="H279" s="1"/>
      <c r="I279" s="7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1"/>
      <c r="H280" s="1"/>
      <c r="I280" s="7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1"/>
      <c r="H281" s="1"/>
      <c r="I281" s="7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1"/>
      <c r="H282" s="1"/>
      <c r="I282" s="7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1"/>
      <c r="H283" s="1"/>
      <c r="I283" s="7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1"/>
      <c r="H284" s="1"/>
      <c r="I284" s="7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1"/>
      <c r="H285" s="1"/>
      <c r="I285" s="7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1"/>
      <c r="H286" s="1"/>
      <c r="I286" s="7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1"/>
      <c r="H287" s="1"/>
      <c r="I287" s="7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1"/>
      <c r="H288" s="1"/>
      <c r="I288" s="7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1"/>
      <c r="H289" s="1"/>
      <c r="I289" s="7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1"/>
      <c r="H290" s="1"/>
      <c r="I290" s="7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1"/>
      <c r="H291" s="1"/>
      <c r="I291" s="7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1"/>
      <c r="H292" s="1"/>
      <c r="I292" s="7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1"/>
      <c r="H293" s="1"/>
      <c r="I293" s="7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1"/>
      <c r="H294" s="1"/>
      <c r="I294" s="7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1"/>
      <c r="H295" s="1"/>
      <c r="I295" s="7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1"/>
      <c r="H296" s="1"/>
      <c r="I296" s="7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1"/>
      <c r="H297" s="1"/>
      <c r="I297" s="7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1"/>
      <c r="H298" s="1"/>
      <c r="I298" s="7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1"/>
      <c r="H299" s="1"/>
      <c r="I299" s="7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1"/>
      <c r="H300" s="1"/>
      <c r="I300" s="7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1"/>
      <c r="H301" s="1"/>
      <c r="I301" s="7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1"/>
      <c r="H302" s="1"/>
      <c r="I302" s="7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1"/>
      <c r="H303" s="1"/>
      <c r="I303" s="7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1"/>
      <c r="H304" s="1"/>
      <c r="I304" s="7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1"/>
      <c r="H305" s="1"/>
      <c r="I305" s="7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1"/>
      <c r="H306" s="1"/>
      <c r="I306" s="7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1"/>
      <c r="H307" s="1"/>
      <c r="I307" s="7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1"/>
      <c r="H308" s="1"/>
      <c r="I308" s="7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1"/>
      <c r="H309" s="1"/>
      <c r="I309" s="7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1"/>
      <c r="H310" s="1"/>
      <c r="I310" s="7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1"/>
      <c r="H311" s="1"/>
      <c r="I311" s="7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1"/>
      <c r="H312" s="1"/>
      <c r="I312" s="7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1"/>
      <c r="H313" s="1"/>
      <c r="I313" s="7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1"/>
      <c r="H314" s="1"/>
      <c r="I314" s="7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1"/>
      <c r="H315" s="1"/>
      <c r="I315" s="7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1"/>
      <c r="H316" s="1"/>
      <c r="I316" s="7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1"/>
      <c r="H317" s="1"/>
      <c r="I317" s="7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1"/>
      <c r="H318" s="1"/>
      <c r="I318" s="7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1"/>
      <c r="H319" s="1"/>
      <c r="I319" s="7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1"/>
      <c r="H320" s="1"/>
      <c r="I320" s="7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1"/>
      <c r="H321" s="1"/>
      <c r="I321" s="7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1"/>
      <c r="H322" s="1"/>
      <c r="I322" s="7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1"/>
      <c r="H323" s="1"/>
      <c r="I323" s="7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1"/>
      <c r="H324" s="1"/>
      <c r="I324" s="7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1"/>
      <c r="H325" s="1"/>
      <c r="I325" s="7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1"/>
      <c r="H326" s="1"/>
      <c r="I326" s="7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1"/>
      <c r="H327" s="1"/>
      <c r="I327" s="7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1"/>
      <c r="H328" s="1"/>
      <c r="I328" s="7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1"/>
      <c r="H329" s="1"/>
      <c r="I329" s="7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1"/>
      <c r="H330" s="1"/>
      <c r="I330" s="7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1"/>
      <c r="H331" s="1"/>
      <c r="I331" s="7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1"/>
      <c r="H332" s="1"/>
      <c r="I332" s="7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1"/>
      <c r="H333" s="1"/>
      <c r="I333" s="7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1"/>
      <c r="H334" s="1"/>
      <c r="I334" s="7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1"/>
      <c r="H335" s="1"/>
      <c r="I335" s="7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1"/>
      <c r="H336" s="1"/>
      <c r="I336" s="7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1"/>
      <c r="H337" s="1"/>
      <c r="I337" s="7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1"/>
      <c r="H338" s="1"/>
      <c r="I338" s="7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1"/>
      <c r="H339" s="1"/>
      <c r="I339" s="7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1"/>
      <c r="H340" s="1"/>
      <c r="I340" s="7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1"/>
      <c r="H341" s="1"/>
      <c r="I341" s="7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1"/>
      <c r="H342" s="1"/>
      <c r="I342" s="7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1"/>
      <c r="H343" s="1"/>
      <c r="I343" s="7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1"/>
      <c r="H344" s="1"/>
      <c r="I344" s="7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1"/>
      <c r="H345" s="1"/>
      <c r="I345" s="7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1"/>
      <c r="H346" s="1"/>
      <c r="I346" s="7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1"/>
      <c r="H347" s="1"/>
      <c r="I347" s="7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1"/>
      <c r="H348" s="1"/>
      <c r="I348" s="7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1"/>
      <c r="H349" s="1"/>
      <c r="I349" s="7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1"/>
      <c r="H350" s="1"/>
      <c r="I350" s="7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1"/>
      <c r="H351" s="1"/>
      <c r="I351" s="7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1"/>
      <c r="H352" s="1"/>
      <c r="I352" s="7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1"/>
      <c r="H353" s="1"/>
      <c r="I353" s="7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1"/>
      <c r="H354" s="1"/>
      <c r="I354" s="7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1"/>
      <c r="H355" s="1"/>
      <c r="I355" s="7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1"/>
      <c r="H356" s="1"/>
      <c r="I356" s="7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1"/>
      <c r="H357" s="1"/>
      <c r="I357" s="7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1"/>
      <c r="H358" s="1"/>
      <c r="I358" s="7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1"/>
      <c r="H359" s="1"/>
      <c r="I359" s="7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1"/>
      <c r="H360" s="1"/>
      <c r="I360" s="7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1"/>
      <c r="H361" s="1"/>
      <c r="I361" s="7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1"/>
      <c r="H362" s="1"/>
      <c r="I362" s="7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1"/>
      <c r="H363" s="1"/>
      <c r="I363" s="7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1"/>
      <c r="H364" s="1"/>
      <c r="I364" s="7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1"/>
      <c r="H365" s="1"/>
      <c r="I365" s="7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1"/>
      <c r="H366" s="1"/>
      <c r="I366" s="7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1"/>
      <c r="H367" s="1"/>
      <c r="I367" s="7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1"/>
      <c r="H368" s="1"/>
      <c r="I368" s="7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1"/>
      <c r="H369" s="1"/>
      <c r="I369" s="7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1"/>
      <c r="H370" s="1"/>
      <c r="I370" s="7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1"/>
      <c r="H371" s="1"/>
      <c r="I371" s="7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1"/>
      <c r="H372" s="1"/>
      <c r="I372" s="7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1"/>
      <c r="H373" s="1"/>
      <c r="I373" s="7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1"/>
      <c r="H374" s="1"/>
      <c r="I374" s="7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1"/>
      <c r="H375" s="1"/>
      <c r="I375" s="7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1"/>
      <c r="H376" s="1"/>
      <c r="I376" s="7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1"/>
      <c r="H377" s="1"/>
      <c r="I377" s="7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1"/>
      <c r="H378" s="1"/>
      <c r="I378" s="7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1"/>
      <c r="H379" s="1"/>
      <c r="I379" s="7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1"/>
      <c r="H380" s="1"/>
      <c r="I380" s="7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1"/>
      <c r="H381" s="1"/>
      <c r="I381" s="7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1"/>
      <c r="H382" s="1"/>
      <c r="I382" s="7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1"/>
      <c r="H383" s="1"/>
      <c r="I383" s="7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1"/>
      <c r="H384" s="1"/>
      <c r="I384" s="7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1"/>
      <c r="H385" s="1"/>
      <c r="I385" s="7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1"/>
      <c r="H386" s="1"/>
      <c r="I386" s="7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1"/>
      <c r="H387" s="1"/>
      <c r="I387" s="7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1"/>
      <c r="H388" s="1"/>
      <c r="I388" s="7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1"/>
      <c r="H389" s="1"/>
      <c r="I389" s="7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1"/>
      <c r="H390" s="1"/>
      <c r="I390" s="7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1"/>
      <c r="H391" s="1"/>
      <c r="I391" s="7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1"/>
      <c r="H392" s="1"/>
      <c r="I392" s="7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1"/>
      <c r="H393" s="1"/>
      <c r="I393" s="7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1"/>
      <c r="H394" s="1"/>
      <c r="I394" s="7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1"/>
      <c r="H395" s="1"/>
      <c r="I395" s="7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1"/>
      <c r="H396" s="1"/>
      <c r="I396" s="7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1"/>
      <c r="H397" s="1"/>
      <c r="I397" s="7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1"/>
      <c r="H398" s="1"/>
      <c r="I398" s="7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1"/>
      <c r="H399" s="1"/>
      <c r="I399" s="7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1"/>
      <c r="H400" s="1"/>
      <c r="I400" s="7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1"/>
      <c r="H401" s="1"/>
      <c r="I401" s="7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1"/>
      <c r="H402" s="1"/>
      <c r="I402" s="7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1"/>
      <c r="H403" s="1"/>
      <c r="I403" s="7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1"/>
      <c r="H404" s="1"/>
      <c r="I404" s="7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1"/>
      <c r="H405" s="1"/>
      <c r="I405" s="7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1"/>
      <c r="H406" s="1"/>
      <c r="I406" s="7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1"/>
      <c r="H407" s="1"/>
      <c r="I407" s="7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1"/>
      <c r="H408" s="1"/>
      <c r="I408" s="7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1"/>
      <c r="H409" s="1"/>
      <c r="I409" s="7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1"/>
      <c r="H410" s="1"/>
      <c r="I410" s="7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1"/>
      <c r="H411" s="1"/>
      <c r="I411" s="7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1"/>
      <c r="H412" s="1"/>
      <c r="I412" s="7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1"/>
      <c r="H413" s="1"/>
      <c r="I413" s="7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1"/>
      <c r="H414" s="1"/>
      <c r="I414" s="7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1"/>
      <c r="H415" s="1"/>
      <c r="I415" s="7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1"/>
      <c r="H416" s="1"/>
      <c r="I416" s="7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1"/>
      <c r="H417" s="1"/>
      <c r="I417" s="7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1"/>
      <c r="H418" s="1"/>
      <c r="I418" s="7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1"/>
      <c r="H419" s="1"/>
      <c r="I419" s="7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1"/>
      <c r="H420" s="1"/>
      <c r="I420" s="7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1"/>
      <c r="H421" s="1"/>
      <c r="I421" s="7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1"/>
      <c r="H422" s="1"/>
      <c r="I422" s="7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1"/>
      <c r="H423" s="1"/>
      <c r="I423" s="7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1"/>
      <c r="H424" s="1"/>
      <c r="I424" s="7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1"/>
      <c r="H425" s="1"/>
      <c r="I425" s="7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1"/>
      <c r="H426" s="1"/>
      <c r="I426" s="7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1"/>
      <c r="H427" s="1"/>
      <c r="I427" s="7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1"/>
      <c r="H428" s="1"/>
      <c r="I428" s="7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1"/>
      <c r="H429" s="1"/>
      <c r="I429" s="7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1"/>
      <c r="H430" s="1"/>
      <c r="I430" s="7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1"/>
      <c r="H431" s="1"/>
      <c r="I431" s="7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1"/>
      <c r="H432" s="1"/>
      <c r="I432" s="7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1"/>
      <c r="H433" s="1"/>
      <c r="I433" s="7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1"/>
      <c r="H434" s="1"/>
      <c r="I434" s="7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1"/>
      <c r="H435" s="1"/>
      <c r="I435" s="7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1"/>
      <c r="H436" s="1"/>
      <c r="I436" s="7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1"/>
      <c r="H437" s="1"/>
      <c r="I437" s="7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1"/>
      <c r="H438" s="1"/>
      <c r="I438" s="7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1"/>
      <c r="H439" s="1"/>
      <c r="I439" s="7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1"/>
      <c r="H440" s="1"/>
      <c r="I440" s="7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1"/>
      <c r="H441" s="1"/>
      <c r="I441" s="7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1"/>
      <c r="H442" s="1"/>
      <c r="I442" s="7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1"/>
      <c r="H443" s="1"/>
      <c r="I443" s="7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1"/>
      <c r="H444" s="1"/>
      <c r="I444" s="7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1"/>
      <c r="H445" s="1"/>
      <c r="I445" s="7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1"/>
      <c r="H446" s="1"/>
      <c r="I446" s="7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1"/>
      <c r="H447" s="1"/>
      <c r="I447" s="7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1"/>
      <c r="H448" s="1"/>
      <c r="I448" s="7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1"/>
      <c r="H449" s="1"/>
      <c r="I449" s="7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1"/>
      <c r="H450" s="1"/>
      <c r="I450" s="7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1"/>
      <c r="H451" s="1"/>
      <c r="I451" s="7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1"/>
      <c r="H452" s="1"/>
      <c r="I452" s="7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1"/>
      <c r="H453" s="1"/>
      <c r="I453" s="7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1"/>
      <c r="H454" s="1"/>
      <c r="I454" s="7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1"/>
      <c r="H455" s="1"/>
      <c r="I455" s="7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1"/>
      <c r="H456" s="1"/>
      <c r="I456" s="7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1"/>
      <c r="H457" s="1"/>
      <c r="I457" s="7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1"/>
      <c r="H458" s="1"/>
      <c r="I458" s="7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1"/>
      <c r="H459" s="1"/>
      <c r="I459" s="7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1"/>
      <c r="H460" s="1"/>
      <c r="I460" s="7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1"/>
      <c r="H461" s="1"/>
      <c r="I461" s="7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1"/>
      <c r="H462" s="1"/>
      <c r="I462" s="7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1"/>
      <c r="H463" s="1"/>
      <c r="I463" s="7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1"/>
      <c r="H464" s="1"/>
      <c r="I464" s="7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1"/>
      <c r="H465" s="1"/>
      <c r="I465" s="7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1"/>
      <c r="H466" s="1"/>
      <c r="I466" s="7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1"/>
      <c r="H467" s="1"/>
      <c r="I467" s="7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1"/>
      <c r="H468" s="1"/>
      <c r="I468" s="7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1"/>
      <c r="H469" s="1"/>
      <c r="I469" s="7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1"/>
      <c r="H470" s="1"/>
      <c r="I470" s="7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1"/>
      <c r="H471" s="1"/>
      <c r="I471" s="7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1"/>
      <c r="H472" s="1"/>
      <c r="I472" s="7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1"/>
      <c r="H473" s="1"/>
      <c r="I473" s="7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1"/>
      <c r="H474" s="1"/>
      <c r="I474" s="7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1"/>
      <c r="H475" s="1"/>
      <c r="I475" s="7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1"/>
      <c r="H476" s="1"/>
      <c r="I476" s="7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1"/>
      <c r="H477" s="1"/>
      <c r="I477" s="7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1"/>
      <c r="H478" s="1"/>
      <c r="I478" s="7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1"/>
      <c r="H479" s="1"/>
      <c r="I479" s="7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1"/>
      <c r="H480" s="1"/>
      <c r="I480" s="7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1"/>
      <c r="H481" s="1"/>
      <c r="I481" s="7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1"/>
      <c r="H482" s="1"/>
      <c r="I482" s="7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1"/>
      <c r="H483" s="1"/>
      <c r="I483" s="7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1"/>
      <c r="H484" s="1"/>
      <c r="I484" s="7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1"/>
      <c r="H485" s="1"/>
      <c r="I485" s="7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1"/>
      <c r="H486" s="1"/>
      <c r="I486" s="7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1"/>
      <c r="H487" s="1"/>
      <c r="I487" s="7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1"/>
      <c r="H488" s="1"/>
      <c r="I488" s="7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1"/>
      <c r="H489" s="1"/>
      <c r="I489" s="7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1"/>
      <c r="H490" s="1"/>
      <c r="I490" s="7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1"/>
      <c r="H491" s="1"/>
      <c r="I491" s="7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1"/>
      <c r="H492" s="1"/>
      <c r="I492" s="7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1"/>
      <c r="H493" s="1"/>
      <c r="I493" s="7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1"/>
      <c r="H494" s="1"/>
      <c r="I494" s="7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1"/>
      <c r="H495" s="1"/>
      <c r="I495" s="7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1"/>
      <c r="H496" s="1"/>
      <c r="I496" s="7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1"/>
      <c r="H497" s="1"/>
      <c r="I497" s="7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1"/>
      <c r="H498" s="1"/>
      <c r="I498" s="7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1"/>
      <c r="H499" s="1"/>
      <c r="I499" s="7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1"/>
      <c r="H500" s="1"/>
      <c r="I500" s="7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AM138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2026-09-22T13:32:56Z</dcterms:created>
  <dcterms:modified xsi:type="dcterms:W3CDTF">2026-09-22T15:32:15Z</dcterms:modified>
</cp:coreProperties>
</file>