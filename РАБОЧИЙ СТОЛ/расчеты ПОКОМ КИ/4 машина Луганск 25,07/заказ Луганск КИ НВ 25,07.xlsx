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259A382-9AEE-4907-B8BF-5483E08086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Y159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4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Z178" i="1" s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Z358" i="1" s="1"/>
  <c r="Y358" i="1"/>
  <c r="BP362" i="1"/>
  <c r="BN362" i="1"/>
  <c r="Z362" i="1"/>
  <c r="Z368" i="1" s="1"/>
  <c r="Y368" i="1"/>
  <c r="BP366" i="1"/>
  <c r="BN366" i="1"/>
  <c r="Z366" i="1"/>
  <c r="BP398" i="1"/>
  <c r="BN398" i="1"/>
  <c r="Z398" i="1"/>
  <c r="Z400" i="1" s="1"/>
  <c r="Y400" i="1"/>
  <c r="F551" i="1"/>
  <c r="H9" i="1"/>
  <c r="B551" i="1"/>
  <c r="X542" i="1"/>
  <c r="X543" i="1"/>
  <c r="Z23" i="1"/>
  <c r="Z24" i="1" s="1"/>
  <c r="BN23" i="1"/>
  <c r="Y542" i="1" s="1"/>
  <c r="Y24" i="1"/>
  <c r="X541" i="1"/>
  <c r="Z27" i="1"/>
  <c r="BN27" i="1"/>
  <c r="BP27" i="1"/>
  <c r="Y54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51" i="1"/>
  <c r="Z104" i="1"/>
  <c r="Z109" i="1" s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Y134" i="1"/>
  <c r="Y139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BP157" i="1"/>
  <c r="BN157" i="1"/>
  <c r="Z157" i="1"/>
  <c r="Z159" i="1" s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Z420" i="1" s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BP347" i="1"/>
  <c r="BN347" i="1"/>
  <c r="Z347" i="1"/>
  <c r="Z349" i="1" s="1"/>
  <c r="BP356" i="1"/>
  <c r="BN356" i="1"/>
  <c r="Z356" i="1"/>
  <c r="Y369" i="1"/>
  <c r="BP364" i="1"/>
  <c r="BN364" i="1"/>
  <c r="Z364" i="1"/>
  <c r="BP372" i="1"/>
  <c r="BN372" i="1"/>
  <c r="Z372" i="1"/>
  <c r="Z375" i="1" s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Z407" i="1"/>
  <c r="BP405" i="1"/>
  <c r="BN405" i="1"/>
  <c r="Z405" i="1"/>
  <c r="BP415" i="1"/>
  <c r="BN415" i="1"/>
  <c r="Z415" i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Z464" i="1" s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Z494" i="1" s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Y544" i="1" l="1"/>
  <c r="Z298" i="1"/>
  <c r="Z510" i="1"/>
  <c r="Z453" i="1"/>
  <c r="Z432" i="1"/>
  <c r="Z337" i="1"/>
  <c r="Z124" i="1"/>
  <c r="Z99" i="1"/>
  <c r="Z74" i="1"/>
  <c r="Z55" i="1"/>
  <c r="Z46" i="1"/>
  <c r="Z32" i="1"/>
  <c r="Z546" i="1" s="1"/>
  <c r="Y545" i="1"/>
  <c r="X544" i="1"/>
  <c r="Z241" i="1"/>
  <c r="Z235" i="1"/>
  <c r="Y541" i="1"/>
  <c r="Z282" i="1"/>
  <c r="Z480" i="1"/>
  <c r="Z381" i="1"/>
  <c r="Z312" i="1"/>
  <c r="Z267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<sst xmlns="http://schemas.openxmlformats.org/spreadsheetml/2006/main" count="2448" uniqueCount="889">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</sst>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topLeftCell="A518" zoomScaleNormal="100" zoomScaleSheetLayoutView="100" workbookViewId="0">
      <selection activeCell="AA547" sqref="AA547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76</v>
      </c>
      <c r="Y29" s="616">
        <f>IFERROR(IF(X29="",0,CEILING((X29/$H29),1)*$H29),"")</f>
        <v>77.400000000000006</v>
      </c>
      <c r="Z29" s="36">
        <f>IFERROR(IF(Y29=0,"",ROUNDUP(Y29/H29,0)*0.00651),"")</f>
        <v>0.27993000000000001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134.26666666666668</v>
      </c>
      <c r="BN29" s="64">
        <f>IFERROR(Y29*I29/H29,"0")</f>
        <v>136.74</v>
      </c>
      <c r="BO29" s="64">
        <f>IFERROR(1/J29*(X29/H29),"0")</f>
        <v>0.231990231990232</v>
      </c>
      <c r="BP29" s="64">
        <f>IFERROR(1/J29*(Y29/H29),"0")</f>
        <v>0.23626373626373628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90</v>
      </c>
      <c r="Y30" s="61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92.222222222222229</v>
      </c>
      <c r="Y32" s="617">
        <f>IFERROR(Y27/H27,"0")+IFERROR(Y28/H28,"0")+IFERROR(Y29/H29,"0")+IFERROR(Y30/H30,"0")+IFERROR(Y31/H31,"0")</f>
        <v>93</v>
      </c>
      <c r="Z32" s="617">
        <f>IFERROR(IF(Z27="",0,Z27),"0")+IFERROR(IF(Z28="",0,Z28),"0")+IFERROR(IF(Z29="",0,Z29),"0")+IFERROR(IF(Z30="",0,Z30),"0")+IFERROR(IF(Z31="",0,Z31),"0")</f>
        <v>0.60543000000000002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166</v>
      </c>
      <c r="Y33" s="617">
        <f>IFERROR(SUM(Y27:Y31),"0")</f>
        <v>167.4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209</v>
      </c>
      <c r="Y51" s="616">
        <f>IFERROR(IF(X51="",0,CEILING((X51/$H51),1)*$H51),"")</f>
        <v>216</v>
      </c>
      <c r="Z51" s="36">
        <f>IFERROR(IF(Y51=0,"",ROUNDUP(Y51/H51,0)*0.01898),"")</f>
        <v>0.37959999999999999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216.93425925925928</v>
      </c>
      <c r="BN51" s="64">
        <f>IFERROR(Y51*I51/H51,"0")</f>
        <v>224.2</v>
      </c>
      <c r="BO51" s="64">
        <f>IFERROR(1/J51*(X51/H51),"0")</f>
        <v>0.30237268518518517</v>
      </c>
      <c r="BP51" s="64">
        <f>IFERROR(1/J51*(Y51/H51),"0")</f>
        <v>0.3125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19.351851851851851</v>
      </c>
      <c r="Y55" s="617">
        <f>IFERROR(Y51/H51,"0")+IFERROR(Y52/H52,"0")+IFERROR(Y53/H53,"0")+IFERROR(Y54/H54,"0")</f>
        <v>20</v>
      </c>
      <c r="Z55" s="617">
        <f>IFERROR(IF(Z51="",0,Z51),"0")+IFERROR(IF(Z52="",0,Z52),"0")+IFERROR(IF(Z53="",0,Z53),"0")+IFERROR(IF(Z54="",0,Z54),"0")</f>
        <v>0.37959999999999999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209</v>
      </c>
      <c r="Y56" s="617">
        <f>IFERROR(SUM(Y51:Y54),"0")</f>
        <v>216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77</v>
      </c>
      <c r="Y59" s="616">
        <f t="shared" ref="Y59:Y66" si="0">IFERROR(IF(X59="",0,CEILING((X59/$H59),1)*$H59),"")</f>
        <v>78.399999999999991</v>
      </c>
      <c r="Z59" s="36">
        <f>IFERROR(IF(Y59=0,"",ROUNDUP(Y59/H59,0)*0.01898),"")</f>
        <v>0.13286000000000001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79.818749999999994</v>
      </c>
      <c r="BN59" s="64">
        <f t="shared" ref="BN59:BN66" si="2">IFERROR(Y59*I59/H59,"0")</f>
        <v>81.27</v>
      </c>
      <c r="BO59" s="64">
        <f t="shared" ref="BO59:BO66" si="3">IFERROR(1/J59*(X59/H59),"0")</f>
        <v>0.107421875</v>
      </c>
      <c r="BP59" s="64">
        <f t="shared" ref="BP59:BP66" si="4">IFERROR(1/J59*(Y59/H59),"0")</f>
        <v>0.109375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6.875</v>
      </c>
      <c r="Y67" s="617">
        <f>IFERROR(Y59/H59,"0")+IFERROR(Y60/H60,"0")+IFERROR(Y61/H61,"0")+IFERROR(Y62/H62,"0")+IFERROR(Y63/H63,"0")+IFERROR(Y64/H64,"0")+IFERROR(Y65/H65,"0")+IFERROR(Y66/H66,"0")</f>
        <v>7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0.13286000000000001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77</v>
      </c>
      <c r="Y68" s="617">
        <f>IFERROR(SUM(Y59:Y66),"0")</f>
        <v>78.399999999999991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283</v>
      </c>
      <c r="Y70" s="616">
        <f>IFERROR(IF(X70="",0,CEILING((X70/$H70),1)*$H70),"")</f>
        <v>291.60000000000002</v>
      </c>
      <c r="Z70" s="36">
        <f>IFERROR(IF(Y70=0,"",ROUNDUP(Y70/H70,0)*0.01898),"")</f>
        <v>0.51246000000000003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293.7435185185185</v>
      </c>
      <c r="BN70" s="64">
        <f>IFERROR(Y70*I70/H70,"0")</f>
        <v>302.67000000000007</v>
      </c>
      <c r="BO70" s="64">
        <f>IFERROR(1/J70*(X70/H70),"0")</f>
        <v>0.40943287037037035</v>
      </c>
      <c r="BP70" s="64">
        <f>IFERROR(1/J70*(Y70/H70),"0")</f>
        <v>0.421875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26.203703703703702</v>
      </c>
      <c r="Y74" s="617">
        <f>IFERROR(Y70/H70,"0")+IFERROR(Y71/H71,"0")+IFERROR(Y72/H72,"0")+IFERROR(Y73/H73,"0")</f>
        <v>27</v>
      </c>
      <c r="Z74" s="617">
        <f>IFERROR(IF(Z70="",0,Z70),"0")+IFERROR(IF(Z71="",0,Z71),"0")+IFERROR(IF(Z72="",0,Z72),"0")+IFERROR(IF(Z73="",0,Z73),"0")</f>
        <v>0.51246000000000003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283</v>
      </c>
      <c r="Y75" s="617">
        <f>IFERROR(SUM(Y70:Y73),"0")</f>
        <v>291.60000000000002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144</v>
      </c>
      <c r="Y82" s="616">
        <f>IFERROR(IF(X82="",0,CEILING((X82/$H82),1)*$H82),"")</f>
        <v>148.19999999999999</v>
      </c>
      <c r="Z82" s="36">
        <f>IFERROR(IF(Y82=0,"",ROUNDUP(Y82/H82,0)*0.01898),"")</f>
        <v>0.36062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151.56923076923081</v>
      </c>
      <c r="BN82" s="64">
        <f>IFERROR(Y82*I82/H82,"0")</f>
        <v>155.99</v>
      </c>
      <c r="BO82" s="64">
        <f>IFERROR(1/J82*(X82/H82),"0")</f>
        <v>0.28846153846153849</v>
      </c>
      <c r="BP82" s="64">
        <f>IFERROR(1/J82*(Y82/H82),"0")</f>
        <v>0.296875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18.461538461538463</v>
      </c>
      <c r="Y84" s="617">
        <f>IFERROR(Y82/H82,"0")+IFERROR(Y83/H83,"0")</f>
        <v>19</v>
      </c>
      <c r="Z84" s="617">
        <f>IFERROR(IF(Z82="",0,Z82),"0")+IFERROR(IF(Z83="",0,Z83),"0")</f>
        <v>0.36062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144</v>
      </c>
      <c r="Y85" s="617">
        <f>IFERROR(SUM(Y82:Y83),"0")</f>
        <v>148.19999999999999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764</v>
      </c>
      <c r="Y95" s="616">
        <f>IFERROR(IF(X95="",0,CEILING((X95/$H95),1)*$H95),"")</f>
        <v>769.5</v>
      </c>
      <c r="Z95" s="36">
        <f>IFERROR(IF(Y95=0,"",ROUNDUP(Y95/H95,0)*0.01898),"")</f>
        <v>1.8030999999999999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810.59456790123454</v>
      </c>
      <c r="BN95" s="64">
        <f>IFERROR(Y95*I95/H95,"0")</f>
        <v>816.43</v>
      </c>
      <c r="BO95" s="64">
        <f>IFERROR(1/J95*(X95/H95),"0")</f>
        <v>1.4737654320987654</v>
      </c>
      <c r="BP95" s="64">
        <f>IFERROR(1/J95*(Y95/H95),"0")</f>
        <v>1.484375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155</v>
      </c>
      <c r="Y97" s="616">
        <f>IFERROR(IF(X97="",0,CEILING((X97/$H97),1)*$H97),"")</f>
        <v>156.60000000000002</v>
      </c>
      <c r="Z97" s="36">
        <f>IFERROR(IF(Y97=0,"",ROUNDUP(Y97/H97,0)*0.00651),"")</f>
        <v>0.37758000000000003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169.46666666666667</v>
      </c>
      <c r="BN97" s="64">
        <f>IFERROR(Y97*I97/H97,"0")</f>
        <v>171.21600000000001</v>
      </c>
      <c r="BO97" s="64">
        <f>IFERROR(1/J97*(X97/H97),"0")</f>
        <v>0.31542531542531543</v>
      </c>
      <c r="BP97" s="64">
        <f>IFERROR(1/J97*(Y97/H97),"0")</f>
        <v>0.31868131868131877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151.72839506172841</v>
      </c>
      <c r="Y99" s="617">
        <f>IFERROR(Y95/H95,"0")+IFERROR(Y96/H96,"0")+IFERROR(Y97/H97,"0")+IFERROR(Y98/H98,"0")</f>
        <v>153</v>
      </c>
      <c r="Z99" s="617">
        <f>IFERROR(IF(Z95="",0,Z95),"0")+IFERROR(IF(Z96="",0,Z96),"0")+IFERROR(IF(Z97="",0,Z97),"0")+IFERROR(IF(Z98="",0,Z98),"0")</f>
        <v>2.1806799999999997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919</v>
      </c>
      <c r="Y100" s="617">
        <f>IFERROR(SUM(Y95:Y98),"0")</f>
        <v>926.1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668</v>
      </c>
      <c r="Y103" s="616">
        <f t="shared" ref="Y103:Y108" si="5">IFERROR(IF(X103="",0,CEILING((X103/$H103),1)*$H103),"")</f>
        <v>669.6</v>
      </c>
      <c r="Z103" s="36">
        <f>IFERROR(IF(Y103=0,"",ROUNDUP(Y103/H103,0)*0.01898),"")</f>
        <v>1.17676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693.35925925925926</v>
      </c>
      <c r="BN103" s="64">
        <f t="shared" ref="BN103:BN108" si="7">IFERROR(Y103*I103/H103,"0")</f>
        <v>695.0200000000001</v>
      </c>
      <c r="BO103" s="64">
        <f t="shared" ref="BO103:BO108" si="8">IFERROR(1/J103*(X103/H103),"0")</f>
        <v>0.96643518518518512</v>
      </c>
      <c r="BP103" s="64">
        <f t="shared" ref="BP103:BP108" si="9">IFERROR(1/J103*(Y103/H103),"0")</f>
        <v>0.96875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56</v>
      </c>
      <c r="Y107" s="616">
        <f t="shared" si="5"/>
        <v>58.5</v>
      </c>
      <c r="Z107" s="36">
        <f>IFERROR(IF(Y107=0,"",ROUNDUP(Y107/H107,0)*0.00902),"")</f>
        <v>0.11726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58.364444444444452</v>
      </c>
      <c r="BN107" s="64">
        <f t="shared" si="7"/>
        <v>60.97</v>
      </c>
      <c r="BO107" s="64">
        <f t="shared" si="8"/>
        <v>9.4276094276094277E-2</v>
      </c>
      <c r="BP107" s="64">
        <f t="shared" si="9"/>
        <v>9.8484848484848481E-2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74.296296296296291</v>
      </c>
      <c r="Y109" s="617">
        <f>IFERROR(Y103/H103,"0")+IFERROR(Y104/H104,"0")+IFERROR(Y105/H105,"0")+IFERROR(Y106/H106,"0")+IFERROR(Y107/H107,"0")+IFERROR(Y108/H108,"0")</f>
        <v>75</v>
      </c>
      <c r="Z109" s="617">
        <f>IFERROR(IF(Z103="",0,Z103),"0")+IFERROR(IF(Z104="",0,Z104),"0")+IFERROR(IF(Z105="",0,Z105),"0")+IFERROR(IF(Z106="",0,Z106),"0")+IFERROR(IF(Z107="",0,Z107),"0")+IFERROR(IF(Z108="",0,Z108),"0")</f>
        <v>1.2940199999999999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724</v>
      </c>
      <c r="Y110" s="617">
        <f>IFERROR(SUM(Y103:Y108),"0")</f>
        <v>728.1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19</v>
      </c>
      <c r="Y112" s="61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19.721296296296295</v>
      </c>
      <c r="BN112" s="64">
        <f>IFERROR(Y112*I112/H112,"0")</f>
        <v>22.42</v>
      </c>
      <c r="BO112" s="64">
        <f>IFERROR(1/J112*(X112/H112),"0")</f>
        <v>2.7488425925925923E-2</v>
      </c>
      <c r="BP112" s="64">
        <f>IFERROR(1/J112*(Y112/H112),"0")</f>
        <v>3.125E-2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11</v>
      </c>
      <c r="Y116" s="616">
        <f>IFERROR(IF(X116="",0,CEILING((X116/$H116),1)*$H116),"")</f>
        <v>12</v>
      </c>
      <c r="Z116" s="36">
        <f>IFERROR(IF(Y116=0,"",ROUNDUP(Y116/H116,0)*0.00651),"")</f>
        <v>3.2550000000000003E-2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11.825000000000001</v>
      </c>
      <c r="BN116" s="64">
        <f>IFERROR(Y116*I116/H116,"0")</f>
        <v>12.9</v>
      </c>
      <c r="BO116" s="64">
        <f>IFERROR(1/J116*(X116/H116),"0")</f>
        <v>2.5183150183150187E-2</v>
      </c>
      <c r="BP116" s="64">
        <f>IFERROR(1/J116*(Y116/H116),"0")</f>
        <v>2.7472527472527476E-2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6.3425925925925934</v>
      </c>
      <c r="Y117" s="617">
        <f>IFERROR(Y112/H112,"0")+IFERROR(Y113/H113,"0")+IFERROR(Y114/H114,"0")+IFERROR(Y115/H115,"0")+IFERROR(Y116/H116,"0")</f>
        <v>7</v>
      </c>
      <c r="Z117" s="617">
        <f>IFERROR(IF(Z112="",0,Z112),"0")+IFERROR(IF(Z113="",0,Z113),"0")+IFERROR(IF(Z114="",0,Z114),"0")+IFERROR(IF(Z115="",0,Z115),"0")+IFERROR(IF(Z116="",0,Z116),"0")</f>
        <v>7.0510000000000003E-2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30</v>
      </c>
      <c r="Y118" s="617">
        <f>IFERROR(SUM(Y112:Y116),"0")</f>
        <v>33.6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611</v>
      </c>
      <c r="Y120" s="616">
        <f>IFERROR(IF(X120="",0,CEILING((X120/$H120),1)*$H120),"")</f>
        <v>615.6</v>
      </c>
      <c r="Z120" s="36">
        <f>IFERROR(IF(Y120=0,"",ROUNDUP(Y120/H120,0)*0.01898),"")</f>
        <v>1.44248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647.8108641975308</v>
      </c>
      <c r="BN120" s="64">
        <f>IFERROR(Y120*I120/H120,"0")</f>
        <v>652.68799999999999</v>
      </c>
      <c r="BO120" s="64">
        <f>IFERROR(1/J120*(X120/H120),"0")</f>
        <v>1.1786265432098766</v>
      </c>
      <c r="BP120" s="64">
        <f>IFERROR(1/J120*(Y120/H120),"0")</f>
        <v>1.1875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266</v>
      </c>
      <c r="Y122" s="616">
        <f>IFERROR(IF(X122="",0,CEILING((X122/$H122),1)*$H122),"")</f>
        <v>267.3</v>
      </c>
      <c r="Z122" s="36">
        <f>IFERROR(IF(Y122=0,"",ROUNDUP(Y122/H122,0)*0.00651),"")</f>
        <v>0.64449000000000001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290.82666666666665</v>
      </c>
      <c r="BN122" s="64">
        <f>IFERROR(Y122*I122/H122,"0")</f>
        <v>292.24799999999999</v>
      </c>
      <c r="BO122" s="64">
        <f>IFERROR(1/J122*(X122/H122),"0")</f>
        <v>0.54131054131054135</v>
      </c>
      <c r="BP122" s="64">
        <f>IFERROR(1/J122*(Y122/H122),"0")</f>
        <v>0.54395604395604402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173.95061728395063</v>
      </c>
      <c r="Y124" s="617">
        <f>IFERROR(Y120/H120,"0")+IFERROR(Y121/H121,"0")+IFERROR(Y122/H122,"0")+IFERROR(Y123/H123,"0")</f>
        <v>175</v>
      </c>
      <c r="Z124" s="617">
        <f>IFERROR(IF(Z120="",0,Z120),"0")+IFERROR(IF(Z121="",0,Z121),"0")+IFERROR(IF(Z122="",0,Z122),"0")+IFERROR(IF(Z123="",0,Z123),"0")</f>
        <v>2.08697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877</v>
      </c>
      <c r="Y125" s="617">
        <f>IFERROR(SUM(Y120:Y123),"0")</f>
        <v>882.90000000000009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20</v>
      </c>
      <c r="Y137" s="616">
        <f>IFERROR(IF(X137="",0,CEILING((X137/$H137),1)*$H137),"")</f>
        <v>22.4</v>
      </c>
      <c r="Z137" s="36">
        <f>IFERROR(IF(Y137=0,"",ROUNDUP(Y137/H137,0)*0.00651),"")</f>
        <v>5.2080000000000001E-2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21.914285714285715</v>
      </c>
      <c r="BN137" s="64">
        <f>IFERROR(Y137*I137/H137,"0")</f>
        <v>24.543999999999997</v>
      </c>
      <c r="BO137" s="64">
        <f>IFERROR(1/J137*(X137/H137),"0")</f>
        <v>3.9246467817896397E-2</v>
      </c>
      <c r="BP137" s="64">
        <f>IFERROR(1/J137*(Y137/H137),"0")</f>
        <v>4.3956043956043959E-2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7.1428571428571432</v>
      </c>
      <c r="Y139" s="617">
        <f>IFERROR(Y137/H137,"0")+IFERROR(Y138/H138,"0")</f>
        <v>8</v>
      </c>
      <c r="Z139" s="617">
        <f>IFERROR(IF(Z137="",0,Z137),"0")+IFERROR(IF(Z138="",0,Z138),"0")</f>
        <v>5.2080000000000001E-2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20</v>
      </c>
      <c r="Y140" s="617">
        <f>IFERROR(SUM(Y137:Y138),"0")</f>
        <v>22.4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15</v>
      </c>
      <c r="Y142" s="616">
        <f>IFERROR(IF(X142="",0,CEILING((X142/$H142),1)*$H142),"")</f>
        <v>15.84</v>
      </c>
      <c r="Z142" s="36">
        <f>IFERROR(IF(Y142=0,"",ROUNDUP(Y142/H142,0)*0.00651),"")</f>
        <v>3.9059999999999997E-2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16.52272727272727</v>
      </c>
      <c r="BN142" s="64">
        <f>IFERROR(Y142*I142/H142,"0")</f>
        <v>17.448</v>
      </c>
      <c r="BO142" s="64">
        <f>IFERROR(1/J142*(X142/H142),"0")</f>
        <v>3.121878121878122E-2</v>
      </c>
      <c r="BP142" s="64">
        <f>IFERROR(1/J142*(Y142/H142),"0")</f>
        <v>3.2967032967032968E-2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5.6818181818181817</v>
      </c>
      <c r="Y144" s="617">
        <f>IFERROR(Y142/H142,"0")+IFERROR(Y143/H143,"0")</f>
        <v>6</v>
      </c>
      <c r="Z144" s="617">
        <f>IFERROR(IF(Z142="",0,Z142),"0")+IFERROR(IF(Z143="",0,Z143),"0")</f>
        <v>3.9059999999999997E-2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15</v>
      </c>
      <c r="Y145" s="617">
        <f>IFERROR(SUM(Y142:Y143),"0")</f>
        <v>15.84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72</v>
      </c>
      <c r="Y157" s="616">
        <f>IFERROR(IF(X157="",0,CEILING((X157/$H157),1)*$H157),"")</f>
        <v>76.800000000000011</v>
      </c>
      <c r="Z157" s="36">
        <f>IFERROR(IF(Y157=0,"",ROUNDUP(Y157/H157,0)*0.01898),"")</f>
        <v>0.11388000000000001</v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74.306250000000006</v>
      </c>
      <c r="BN157" s="64">
        <f>IFERROR(Y157*I157/H157,"0")</f>
        <v>79.260000000000019</v>
      </c>
      <c r="BO157" s="64">
        <f>IFERROR(1/J157*(X157/H157),"0")</f>
        <v>8.7890625E-2</v>
      </c>
      <c r="BP157" s="64">
        <f>IFERROR(1/J157*(Y157/H157),"0")</f>
        <v>9.3750000000000014E-2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5.625</v>
      </c>
      <c r="Y159" s="617">
        <f>IFERROR(Y156/H156,"0")+IFERROR(Y157/H157,"0")+IFERROR(Y158/H158,"0")</f>
        <v>6.0000000000000009</v>
      </c>
      <c r="Z159" s="617">
        <f>IFERROR(IF(Z156="",0,Z156),"0")+IFERROR(IF(Z157="",0,Z157),"0")+IFERROR(IF(Z158="",0,Z158),"0")</f>
        <v>0.11388000000000001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72</v>
      </c>
      <c r="Y160" s="617">
        <f>IFERROR(SUM(Y156:Y158),"0")</f>
        <v>76.800000000000011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300</v>
      </c>
      <c r="Y166" s="616">
        <f t="shared" ref="Y166:Y177" si="10">IFERROR(IF(X166="",0,CEILING((X166/$H166),1)*$H166),"")</f>
        <v>301</v>
      </c>
      <c r="Z166" s="36">
        <f>IFERROR(IF(Y166=0,"",ROUNDUP(Y166/H166,0)*0.00902),"")</f>
        <v>0.77571999999999997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316.28571428571428</v>
      </c>
      <c r="BN166" s="64">
        <f t="shared" ref="BN166:BN177" si="12">IFERROR(Y166*I166/H166,"0")</f>
        <v>317.34000000000003</v>
      </c>
      <c r="BO166" s="64">
        <f t="shared" ref="BO166:BO177" si="13">IFERROR(1/J166*(X166/H166),"0")</f>
        <v>0.64935064935064934</v>
      </c>
      <c r="BP166" s="64">
        <f t="shared" ref="BP166:BP177" si="14">IFERROR(1/J166*(Y166/H166),"0")</f>
        <v>0.65151515151515149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283</v>
      </c>
      <c r="Y169" s="616">
        <f t="shared" si="10"/>
        <v>283.5</v>
      </c>
      <c r="Z169" s="36">
        <f>IFERROR(IF(Y169=0,"",ROUNDUP(Y169/H169,0)*0.00902),"")</f>
        <v>0.73062000000000005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298.36285714285714</v>
      </c>
      <c r="BN169" s="64">
        <f t="shared" si="12"/>
        <v>298.89</v>
      </c>
      <c r="BO169" s="64">
        <f t="shared" si="13"/>
        <v>0.61255411255411263</v>
      </c>
      <c r="BP169" s="64">
        <f t="shared" si="14"/>
        <v>0.61363636363636365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336</v>
      </c>
      <c r="Y170" s="616">
        <f t="shared" si="10"/>
        <v>336</v>
      </c>
      <c r="Z170" s="36">
        <f>IFERROR(IF(Y170=0,"",ROUNDUP(Y170/H170,0)*0.00902),"")</f>
        <v>0.86592000000000002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354.23999999999995</v>
      </c>
      <c r="BN170" s="64">
        <f t="shared" si="12"/>
        <v>354.23999999999995</v>
      </c>
      <c r="BO170" s="64">
        <f t="shared" si="13"/>
        <v>0.72727272727272729</v>
      </c>
      <c r="BP170" s="64">
        <f t="shared" si="14"/>
        <v>0.72727272727272729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4</v>
      </c>
      <c r="Y172" s="616">
        <f t="shared" si="10"/>
        <v>5.04</v>
      </c>
      <c r="Z172" s="36">
        <f>IFERROR(IF(Y172=0,"",ROUNDUP(Y172/H172,0)*0.00502),"")</f>
        <v>1.506E-2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4.2380952380952381</v>
      </c>
      <c r="BN172" s="64">
        <f t="shared" si="12"/>
        <v>5.34</v>
      </c>
      <c r="BO172" s="64">
        <f t="shared" si="13"/>
        <v>1.0175010175010176E-2</v>
      </c>
      <c r="BP172" s="64">
        <f t="shared" si="14"/>
        <v>1.2820512820512822E-2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264.95238095238096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266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2.3873199999999999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923</v>
      </c>
      <c r="Y179" s="617">
        <f>IFERROR(SUM(Y166:Y177),"0")</f>
        <v>925.54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63</v>
      </c>
      <c r="Y215" s="616">
        <f t="shared" si="21"/>
        <v>63</v>
      </c>
      <c r="Z215" s="36">
        <f>IFERROR(IF(Y215=0,"",ROUNDUP(Y215/H215,0)*0.00902),"")</f>
        <v>0.1353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65.849999999999994</v>
      </c>
      <c r="BN215" s="64">
        <f t="shared" si="23"/>
        <v>65.849999999999994</v>
      </c>
      <c r="BO215" s="64">
        <f t="shared" si="24"/>
        <v>0.11363636363636365</v>
      </c>
      <c r="BP215" s="64">
        <f t="shared" si="25"/>
        <v>0.11363636363636365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3</v>
      </c>
      <c r="Y216" s="616">
        <f t="shared" si="21"/>
        <v>3.2</v>
      </c>
      <c r="Z216" s="36">
        <f>IFERROR(IF(Y216=0,"",ROUNDUP(Y216/H216,0)*0.00556),"")</f>
        <v>2.2239999999999999E-2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3.4874999999999998</v>
      </c>
      <c r="BN216" s="64">
        <f t="shared" si="23"/>
        <v>3.72</v>
      </c>
      <c r="BO216" s="64">
        <f t="shared" si="24"/>
        <v>1.488095238095238E-2</v>
      </c>
      <c r="BP216" s="64">
        <f t="shared" si="25"/>
        <v>1.5873015873015872E-2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10</v>
      </c>
      <c r="Y217" s="616">
        <f t="shared" si="21"/>
        <v>10.5</v>
      </c>
      <c r="Z217" s="36">
        <f t="shared" ref="Z217:Z222" si="26">IFERROR(IF(Y217=0,"",ROUNDUP(Y217/H217,0)*0.00502),"")</f>
        <v>2.5100000000000001E-2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10.619047619047619</v>
      </c>
      <c r="BN217" s="64">
        <f t="shared" si="23"/>
        <v>11.149999999999999</v>
      </c>
      <c r="BO217" s="64">
        <f t="shared" si="24"/>
        <v>2.0350020350020353E-2</v>
      </c>
      <c r="BP217" s="64">
        <f t="shared" si="25"/>
        <v>2.1367521367521368E-2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85</v>
      </c>
      <c r="Y222" s="616">
        <f t="shared" si="21"/>
        <v>86.4</v>
      </c>
      <c r="Z222" s="36">
        <f t="shared" si="26"/>
        <v>0.24096000000000001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91.138888888888872</v>
      </c>
      <c r="BN222" s="64">
        <f t="shared" si="23"/>
        <v>92.64</v>
      </c>
      <c r="BO222" s="64">
        <f t="shared" si="24"/>
        <v>0.20180436847103517</v>
      </c>
      <c r="BP222" s="64">
        <f t="shared" si="25"/>
        <v>0.20512820512820515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5</v>
      </c>
      <c r="Y223" s="616">
        <f t="shared" si="21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6.3124999999999991</v>
      </c>
      <c r="BN223" s="64">
        <f t="shared" si="23"/>
        <v>7.07</v>
      </c>
      <c r="BO223" s="64">
        <f t="shared" si="24"/>
        <v>1.8601190476190476E-2</v>
      </c>
      <c r="BP223" s="64">
        <f t="shared" si="25"/>
        <v>2.0833333333333332E-2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258</v>
      </c>
      <c r="Y224" s="616">
        <f t="shared" si="21"/>
        <v>258.3</v>
      </c>
      <c r="Z224" s="36">
        <f>IFERROR(IF(Y224=0,"",ROUNDUP(Y224/H224,0)*0.00502),"")</f>
        <v>0.61746000000000001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270.28571428571428</v>
      </c>
      <c r="BN224" s="64">
        <f t="shared" si="23"/>
        <v>270.60000000000002</v>
      </c>
      <c r="BO224" s="64">
        <f t="shared" si="24"/>
        <v>0.52503052503052505</v>
      </c>
      <c r="BP224" s="64">
        <f t="shared" si="25"/>
        <v>0.52564102564102566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199.84126984126982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202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1.0702500000000001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424</v>
      </c>
      <c r="Y228" s="617">
        <f>IFERROR(SUM(Y213:Y226),"0")</f>
        <v>427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5</v>
      </c>
      <c r="Y240" s="61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3.9682539682539684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5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5</v>
      </c>
      <c r="Y244" s="61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3.9682539682539684</v>
      </c>
      <c r="Y245" s="617">
        <f>IFERROR(Y244/H244,"0")</f>
        <v>4</v>
      </c>
      <c r="Z245" s="617">
        <f>IFERROR(IF(Z244="",0,Z244),"0")</f>
        <v>2.3599999999999999E-2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5</v>
      </c>
      <c r="Y246" s="617">
        <f>IFERROR(SUM(Y244:Y244),"0")</f>
        <v>5.04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65</v>
      </c>
      <c r="Y259" s="616">
        <f t="shared" ref="Y259:Y266" si="27">IFERROR(IF(X259="",0,CEILING((X259/$H259),1)*$H259),"")</f>
        <v>70.2</v>
      </c>
      <c r="Z259" s="36">
        <f>IFERROR(IF(Y259=0,"",ROUNDUP(Y259/H259,0)*0.00902),"")</f>
        <v>0.11726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67.287037037037024</v>
      </c>
      <c r="BN259" s="64">
        <f t="shared" ref="BN259:BN266" si="29">IFERROR(Y259*I259/H259,"0")</f>
        <v>72.67</v>
      </c>
      <c r="BO259" s="64">
        <f t="shared" ref="BO259:BO266" si="30">IFERROR(1/J259*(X259/H259),"0")</f>
        <v>9.1189674523007858E-2</v>
      </c>
      <c r="BP259" s="64">
        <f t="shared" ref="BP259:BP266" si="31">IFERROR(1/J259*(Y259/H259),"0")</f>
        <v>9.8484848484848481E-2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98</v>
      </c>
      <c r="Y260" s="616">
        <f t="shared" si="27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101.44814814814814</v>
      </c>
      <c r="BN260" s="64">
        <f t="shared" si="29"/>
        <v>106.21</v>
      </c>
      <c r="BO260" s="64">
        <f t="shared" si="30"/>
        <v>0.13748597081930414</v>
      </c>
      <c r="BP260" s="64">
        <f t="shared" si="31"/>
        <v>0.14393939393939395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497</v>
      </c>
      <c r="Y261" s="616">
        <f t="shared" si="27"/>
        <v>502.20000000000005</v>
      </c>
      <c r="Z261" s="36">
        <f>IFERROR(IF(Y261=0,"",ROUNDUP(Y261/H261,0)*0.00902),"")</f>
        <v>0.83886000000000005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514.487037037037</v>
      </c>
      <c r="BN261" s="64">
        <f t="shared" si="29"/>
        <v>519.87</v>
      </c>
      <c r="BO261" s="64">
        <f t="shared" si="30"/>
        <v>0.69725028058361394</v>
      </c>
      <c r="BP261" s="64">
        <f t="shared" si="31"/>
        <v>0.70454545454545459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48</v>
      </c>
      <c r="Y263" s="616">
        <f t="shared" si="27"/>
        <v>48.6</v>
      </c>
      <c r="Z263" s="36">
        <f>IFERROR(IF(Y263=0,"",ROUNDUP(Y263/H263,0)*0.00502),"")</f>
        <v>0.13553999999999999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51.466666666666669</v>
      </c>
      <c r="BN263" s="64">
        <f t="shared" si="29"/>
        <v>52.11</v>
      </c>
      <c r="BO263" s="64">
        <f t="shared" si="30"/>
        <v>0.11396011396011396</v>
      </c>
      <c r="BP263" s="64">
        <f t="shared" si="31"/>
        <v>0.11538461538461539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43</v>
      </c>
      <c r="Y264" s="616">
        <f t="shared" si="27"/>
        <v>43.2</v>
      </c>
      <c r="Z264" s="36">
        <f>IFERROR(IF(Y264=0,"",ROUNDUP(Y264/H264,0)*0.00502),"")</f>
        <v>0.12048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45.388888888888893</v>
      </c>
      <c r="BN264" s="64">
        <f t="shared" si="29"/>
        <v>45.6</v>
      </c>
      <c r="BO264" s="64">
        <f t="shared" si="30"/>
        <v>0.10208926875593544</v>
      </c>
      <c r="BP264" s="64">
        <f t="shared" si="31"/>
        <v>0.10256410256410257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85</v>
      </c>
      <c r="Y266" s="616">
        <f t="shared" si="27"/>
        <v>86.4</v>
      </c>
      <c r="Z266" s="36">
        <f>IFERROR(IF(Y266=0,"",ROUNDUP(Y266/H266,0)*0.00502),"")</f>
        <v>0.24096000000000001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89.722222222222214</v>
      </c>
      <c r="BN266" s="64">
        <f t="shared" si="29"/>
        <v>91.2</v>
      </c>
      <c r="BO266" s="64">
        <f t="shared" si="30"/>
        <v>0.20180436847103517</v>
      </c>
      <c r="BP266" s="64">
        <f t="shared" si="31"/>
        <v>0.20512820512820515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220</v>
      </c>
      <c r="Y267" s="617">
        <f>IFERROR(Y259/H259,"0")+IFERROR(Y260/H260,"0")+IFERROR(Y261/H261,"0")+IFERROR(Y262/H262,"0")+IFERROR(Y263/H263,"0")+IFERROR(Y264/H264,"0")+IFERROR(Y265/H265,"0")+IFERROR(Y266/H266,"0")</f>
        <v>224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1.6244799999999999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836</v>
      </c>
      <c r="Y268" s="617">
        <f>IFERROR(SUM(Y259:Y266),"0")</f>
        <v>853.2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22</v>
      </c>
      <c r="Y272" s="616">
        <f t="shared" si="32"/>
        <v>26.099999999999998</v>
      </c>
      <c r="Z272" s="36">
        <f>IFERROR(IF(Y272=0,"",ROUNDUP(Y272/H272,0)*0.01898),"")</f>
        <v>5.6940000000000004E-2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23.249195402298856</v>
      </c>
      <c r="BN272" s="64">
        <f t="shared" si="34"/>
        <v>27.582000000000004</v>
      </c>
      <c r="BO272" s="64">
        <f t="shared" si="35"/>
        <v>3.9511494252873564E-2</v>
      </c>
      <c r="BP272" s="64">
        <f t="shared" si="36"/>
        <v>4.6875E-2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319</v>
      </c>
      <c r="Y273" s="616">
        <f t="shared" si="32"/>
        <v>319.2</v>
      </c>
      <c r="Z273" s="36">
        <f>IFERROR(IF(Y273=0,"",ROUNDUP(Y273/H273,0)*0.00651),"")</f>
        <v>0.86582999999999999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354.88750000000005</v>
      </c>
      <c r="BN273" s="64">
        <f t="shared" si="34"/>
        <v>355.10999999999996</v>
      </c>
      <c r="BO273" s="64">
        <f t="shared" si="35"/>
        <v>0.73031135531135549</v>
      </c>
      <c r="BP273" s="64">
        <f t="shared" si="36"/>
        <v>0.73076923076923084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1180</v>
      </c>
      <c r="Y276" s="616">
        <f t="shared" si="32"/>
        <v>1180.8</v>
      </c>
      <c r="Z276" s="36">
        <f>IFERROR(IF(Y276=0,"",ROUNDUP(Y276/H276,0)*0.00651),"")</f>
        <v>3.2029200000000002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1303.9000000000001</v>
      </c>
      <c r="BN276" s="64">
        <f t="shared" si="34"/>
        <v>1304.7840000000001</v>
      </c>
      <c r="BO276" s="64">
        <f t="shared" si="35"/>
        <v>2.7014652014652016</v>
      </c>
      <c r="BP276" s="64">
        <f t="shared" si="36"/>
        <v>2.7032967032967035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325</v>
      </c>
      <c r="Y278" s="616">
        <f t="shared" si="32"/>
        <v>326.39999999999998</v>
      </c>
      <c r="Z278" s="36">
        <f>IFERROR(IF(Y278=0,"",ROUNDUP(Y278/H278,0)*0.00651),"")</f>
        <v>0.88536000000000004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359.12500000000006</v>
      </c>
      <c r="BN278" s="64">
        <f t="shared" si="34"/>
        <v>360.67200000000003</v>
      </c>
      <c r="BO278" s="64">
        <f t="shared" si="35"/>
        <v>0.74404761904761918</v>
      </c>
      <c r="BP278" s="64">
        <f t="shared" si="36"/>
        <v>0.74725274725274726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240</v>
      </c>
      <c r="Y279" s="616">
        <f t="shared" si="32"/>
        <v>240</v>
      </c>
      <c r="Z279" s="36">
        <f>IFERROR(IF(Y279=0,"",ROUNDUP(Y279/H279,0)*0.00651),"")</f>
        <v>0.65100000000000002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265.20000000000005</v>
      </c>
      <c r="BN279" s="64">
        <f t="shared" si="34"/>
        <v>265.20000000000005</v>
      </c>
      <c r="BO279" s="64">
        <f t="shared" si="35"/>
        <v>0.5494505494505495</v>
      </c>
      <c r="BP279" s="64">
        <f t="shared" si="36"/>
        <v>0.5494505494505495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208</v>
      </c>
      <c r="Y280" s="616">
        <f t="shared" si="32"/>
        <v>208.79999999999998</v>
      </c>
      <c r="Z280" s="36">
        <f>IFERROR(IF(Y280=0,"",ROUNDUP(Y280/H280,0)*0.00651),"")</f>
        <v>0.56637000000000004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230.36</v>
      </c>
      <c r="BN280" s="64">
        <f t="shared" si="34"/>
        <v>231.24599999999998</v>
      </c>
      <c r="BO280" s="64">
        <f t="shared" si="35"/>
        <v>0.47619047619047628</v>
      </c>
      <c r="BP280" s="64">
        <f t="shared" si="36"/>
        <v>0.47802197802197804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949.19540229885058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951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6.2284200000000007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2294</v>
      </c>
      <c r="Y283" s="617">
        <f>IFERROR(SUM(Y270:Y281),"0")</f>
        <v>2301.3000000000002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26</v>
      </c>
      <c r="Y285" s="616">
        <f>IFERROR(IF(X285="",0,CEILING((X285/$H285),1)*$H285),"")</f>
        <v>26.4</v>
      </c>
      <c r="Z285" s="36">
        <f>IFERROR(IF(Y285=0,"",ROUNDUP(Y285/H285,0)*0.00651),"")</f>
        <v>7.1610000000000007E-2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28.73</v>
      </c>
      <c r="BN285" s="64">
        <f>IFERROR(Y285*I285/H285,"0")</f>
        <v>29.172000000000001</v>
      </c>
      <c r="BO285" s="64">
        <f>IFERROR(1/J285*(X285/H285),"0")</f>
        <v>5.9523809523809534E-2</v>
      </c>
      <c r="BP285" s="64">
        <f>IFERROR(1/J285*(Y285/H285),"0")</f>
        <v>6.0439560439560447E-2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23</v>
      </c>
      <c r="Y286" s="616">
        <f>IFERROR(IF(X286="",0,CEILING((X286/$H286),1)*$H286),"")</f>
        <v>24</v>
      </c>
      <c r="Z286" s="36">
        <f>IFERROR(IF(Y286=0,"",ROUNDUP(Y286/H286,0)*0.00651),"")</f>
        <v>6.5100000000000005E-2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25.415000000000003</v>
      </c>
      <c r="BN286" s="64">
        <f>IFERROR(Y286*I286/H286,"0")</f>
        <v>26.520000000000003</v>
      </c>
      <c r="BO286" s="64">
        <f>IFERROR(1/J286*(X286/H286),"0")</f>
        <v>5.2655677655677663E-2</v>
      </c>
      <c r="BP286" s="64">
        <f>IFERROR(1/J286*(Y286/H286),"0")</f>
        <v>5.4945054945054951E-2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20.416666666666668</v>
      </c>
      <c r="Y287" s="617">
        <f>IFERROR(Y285/H285,"0")+IFERROR(Y286/H286,"0")</f>
        <v>21</v>
      </c>
      <c r="Z287" s="617">
        <f>IFERROR(IF(Z285="",0,Z285),"0")+IFERROR(IF(Z286="",0,Z286),"0")</f>
        <v>0.13671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49</v>
      </c>
      <c r="Y288" s="617">
        <f>IFERROR(SUM(Y285:Y286),"0")</f>
        <v>50.4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65</v>
      </c>
      <c r="Y297" s="616">
        <f t="shared" si="37"/>
        <v>68</v>
      </c>
      <c r="Z297" s="36">
        <f>IFERROR(IF(Y297=0,"",ROUNDUP(Y297/H297,0)*0.00902),"")</f>
        <v>0.15334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68.087500000000006</v>
      </c>
      <c r="BN297" s="64">
        <f t="shared" si="39"/>
        <v>71.23</v>
      </c>
      <c r="BO297" s="64">
        <f t="shared" si="40"/>
        <v>0.12310606060606061</v>
      </c>
      <c r="BP297" s="64">
        <f t="shared" si="41"/>
        <v>0.12878787878787878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16.25</v>
      </c>
      <c r="Y298" s="617">
        <f>IFERROR(Y291/H291,"0")+IFERROR(Y292/H292,"0")+IFERROR(Y293/H293,"0")+IFERROR(Y294/H294,"0")+IFERROR(Y295/H295,"0")+IFERROR(Y296/H296,"0")+IFERROR(Y297/H297,"0")</f>
        <v>17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0.15334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65</v>
      </c>
      <c r="Y299" s="617">
        <f>IFERROR(SUM(Y291:Y297),"0")</f>
        <v>68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8</v>
      </c>
      <c r="Y305" s="616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4.4444444444444446</v>
      </c>
      <c r="Y306" s="617">
        <f>IFERROR(Y305/H305,"0")</f>
        <v>5</v>
      </c>
      <c r="Z306" s="617">
        <f>IFERROR(IF(Z305="",0,Z305),"0")</f>
        <v>2.9499999999999998E-2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8</v>
      </c>
      <c r="Y307" s="617">
        <f>IFERROR(SUM(Y305:Y305),"0")</f>
        <v>9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28</v>
      </c>
      <c r="Y326" s="616">
        <f>IFERROR(IF(X326="",0,CEILING((X326/$H326),1)*$H326),"")</f>
        <v>28.799999999999997</v>
      </c>
      <c r="Z326" s="36">
        <f>IFERROR(IF(Y326=0,"",ROUNDUP(Y326/H326,0)*0.00651),"")</f>
        <v>7.8119999999999995E-2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30.94</v>
      </c>
      <c r="BN326" s="64">
        <f>IFERROR(Y326*I326/H326,"0")</f>
        <v>31.824000000000002</v>
      </c>
      <c r="BO326" s="64">
        <f>IFERROR(1/J326*(X326/H326),"0")</f>
        <v>6.4102564102564111E-2</v>
      </c>
      <c r="BP326" s="64">
        <f>IFERROR(1/J326*(Y326/H326),"0")</f>
        <v>6.5934065934065936E-2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134</v>
      </c>
      <c r="Y327" s="616">
        <f>IFERROR(IF(X327="",0,CEILING((X327/$H327),1)*$H327),"")</f>
        <v>134.4</v>
      </c>
      <c r="Z327" s="36">
        <f>IFERROR(IF(Y327=0,"",ROUNDUP(Y327/H327,0)*0.00651),"")</f>
        <v>0.36456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144.05000000000001</v>
      </c>
      <c r="BN327" s="64">
        <f>IFERROR(Y327*I327/H327,"0")</f>
        <v>144.48000000000002</v>
      </c>
      <c r="BO327" s="64">
        <f>IFERROR(1/J327*(X327/H327),"0")</f>
        <v>0.3067765567765568</v>
      </c>
      <c r="BP327" s="64">
        <f>IFERROR(1/J327*(Y327/H327),"0")</f>
        <v>0.30769230769230776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67.5</v>
      </c>
      <c r="Y328" s="617">
        <f>IFERROR(Y325/H325,"0")+IFERROR(Y326/H326,"0")+IFERROR(Y327/H327,"0")</f>
        <v>68</v>
      </c>
      <c r="Z328" s="617">
        <f>IFERROR(IF(Z325="",0,Z325),"0")+IFERROR(IF(Z326="",0,Z326),"0")+IFERROR(IF(Z327="",0,Z327),"0")</f>
        <v>0.44267999999999996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162</v>
      </c>
      <c r="Y329" s="617">
        <f>IFERROR(SUM(Y325:Y327),"0")</f>
        <v>163.19999999999999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340</v>
      </c>
      <c r="Y346" s="616">
        <f>IFERROR(IF(X346="",0,CEILING((X346/$H346),1)*$H346),"")</f>
        <v>343.2</v>
      </c>
      <c r="Z346" s="36">
        <f>IFERROR(IF(Y346=0,"",ROUNDUP(Y346/H346,0)*0.01898),"")</f>
        <v>0.83511999999999997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357.87179487179492</v>
      </c>
      <c r="BN346" s="64">
        <f>IFERROR(Y346*I346/H346,"0")</f>
        <v>361.24</v>
      </c>
      <c r="BO346" s="64">
        <f>IFERROR(1/J346*(X346/H346),"0")</f>
        <v>0.68108974358974361</v>
      </c>
      <c r="BP346" s="64">
        <f>IFERROR(1/J346*(Y346/H346),"0")</f>
        <v>0.6875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305</v>
      </c>
      <c r="Y347" s="616">
        <f>IFERROR(IF(X347="",0,CEILING((X347/$H347),1)*$H347),"")</f>
        <v>312</v>
      </c>
      <c r="Z347" s="36">
        <f>IFERROR(IF(Y347=0,"",ROUNDUP(Y347/H347,0)*0.01898),"")</f>
        <v>0.75919999999999999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321.03205128205133</v>
      </c>
      <c r="BN347" s="64">
        <f>IFERROR(Y347*I347/H347,"0")</f>
        <v>328.40000000000009</v>
      </c>
      <c r="BO347" s="64">
        <f>IFERROR(1/J347*(X347/H347),"0")</f>
        <v>0.6109775641025641</v>
      </c>
      <c r="BP347" s="64">
        <f>IFERROR(1/J347*(Y347/H347),"0")</f>
        <v>0.625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82.692307692307693</v>
      </c>
      <c r="Y349" s="617">
        <f>IFERROR(Y346/H346,"0")+IFERROR(Y347/H347,"0")+IFERROR(Y348/H348,"0")</f>
        <v>84</v>
      </c>
      <c r="Z349" s="617">
        <f>IFERROR(IF(Z346="",0,Z346),"0")+IFERROR(IF(Z347="",0,Z347),"0")+IFERROR(IF(Z348="",0,Z348),"0")</f>
        <v>1.59432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645</v>
      </c>
      <c r="Y350" s="617">
        <f>IFERROR(SUM(Y346:Y348),"0")</f>
        <v>655.20000000000005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159</v>
      </c>
      <c r="Y362" s="616">
        <f t="shared" si="42"/>
        <v>159.6</v>
      </c>
      <c r="Z362" s="36">
        <f>IFERROR(IF(Y362=0,"",ROUNDUP(Y362/H362,0)*0.00902),"")</f>
        <v>0.34276000000000001</v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168.46428571428572</v>
      </c>
      <c r="BN362" s="64">
        <f t="shared" si="44"/>
        <v>169.1</v>
      </c>
      <c r="BO362" s="64">
        <f t="shared" si="45"/>
        <v>0.28679653679653677</v>
      </c>
      <c r="BP362" s="64">
        <f t="shared" si="46"/>
        <v>0.2878787878787879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23</v>
      </c>
      <c r="Y367" s="616">
        <f t="shared" si="42"/>
        <v>23.400000000000002</v>
      </c>
      <c r="Z367" s="36">
        <f>IFERROR(IF(Y367=0,"",ROUNDUP(Y367/H367,0)*0.00651),"")</f>
        <v>8.4629999999999997E-2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25.91333333333333</v>
      </c>
      <c r="BN367" s="64">
        <f t="shared" si="44"/>
        <v>26.364000000000001</v>
      </c>
      <c r="BO367" s="64">
        <f t="shared" si="45"/>
        <v>7.0207570207570208E-2</v>
      </c>
      <c r="BP367" s="64">
        <f t="shared" si="46"/>
        <v>7.1428571428571438E-2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50.634920634920633</v>
      </c>
      <c r="Y368" s="617">
        <f>IFERROR(Y361/H361,"0")+IFERROR(Y362/H362,"0")+IFERROR(Y363/H363,"0")+IFERROR(Y364/H364,"0")+IFERROR(Y365/H365,"0")+IFERROR(Y366/H366,"0")+IFERROR(Y367/H367,"0")</f>
        <v>51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0.42738999999999999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182</v>
      </c>
      <c r="Y369" s="617">
        <f>IFERROR(SUM(Y361:Y367),"0")</f>
        <v>183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152</v>
      </c>
      <c r="Y378" s="616">
        <f>IFERROR(IF(X378="",0,CEILING((X378/$H378),1)*$H378),"")</f>
        <v>159.6</v>
      </c>
      <c r="Z378" s="36">
        <f>IFERROR(IF(Y378=0,"",ROUNDUP(Y378/H378,0)*0.01898),"")</f>
        <v>0.36062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160.93904761904761</v>
      </c>
      <c r="BN378" s="64">
        <f>IFERROR(Y378*I378/H378,"0")</f>
        <v>168.98599999999999</v>
      </c>
      <c r="BO378" s="64">
        <f>IFERROR(1/J378*(X378/H378),"0")</f>
        <v>0.28273809523809523</v>
      </c>
      <c r="BP378" s="64">
        <f>IFERROR(1/J378*(Y378/H378),"0")</f>
        <v>0.296875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2086</v>
      </c>
      <c r="Y379" s="616">
        <f>IFERROR(IF(X379="",0,CEILING((X379/$H379),1)*$H379),"")</f>
        <v>2090.4</v>
      </c>
      <c r="Z379" s="36">
        <f>IFERROR(IF(Y379=0,"",ROUNDUP(Y379/H379,0)*0.01898),"")</f>
        <v>5.0866400000000001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2218.1133333333332</v>
      </c>
      <c r="BN379" s="64">
        <f>IFERROR(Y379*I379/H379,"0")</f>
        <v>2222.7920000000004</v>
      </c>
      <c r="BO379" s="64">
        <f>IFERROR(1/J379*(X379/H379),"0")</f>
        <v>4.1786858974358978</v>
      </c>
      <c r="BP379" s="64">
        <f>IFERROR(1/J379*(Y379/H379),"0")</f>
        <v>4.1875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317</v>
      </c>
      <c r="Y380" s="616">
        <f>IFERROR(IF(X380="",0,CEILING((X380/$H380),1)*$H380),"")</f>
        <v>319.2</v>
      </c>
      <c r="Z380" s="36">
        <f>IFERROR(IF(Y380=0,"",ROUNDUP(Y380/H380,0)*0.01898),"")</f>
        <v>0.72123999999999999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335.64261904761906</v>
      </c>
      <c r="BN380" s="64">
        <f>IFERROR(Y380*I380/H380,"0")</f>
        <v>337.97199999999998</v>
      </c>
      <c r="BO380" s="64">
        <f>IFERROR(1/J380*(X380/H380),"0")</f>
        <v>0.58965773809523803</v>
      </c>
      <c r="BP380" s="64">
        <f>IFERROR(1/J380*(Y380/H380),"0")</f>
        <v>0.59375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323.26923076923077</v>
      </c>
      <c r="Y381" s="617">
        <f>IFERROR(Y378/H378,"0")+IFERROR(Y379/H379,"0")+IFERROR(Y380/H380,"0")</f>
        <v>325</v>
      </c>
      <c r="Z381" s="617">
        <f>IFERROR(IF(Z378="",0,Z378),"0")+IFERROR(IF(Z379="",0,Z379),"0")+IFERROR(IF(Z380="",0,Z380),"0")</f>
        <v>6.1684999999999999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2555</v>
      </c>
      <c r="Y382" s="617">
        <f>IFERROR(SUM(Y378:Y380),"0")</f>
        <v>2569.1999999999998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16</v>
      </c>
      <c r="Y386" s="616">
        <f>IFERROR(IF(X386="",0,CEILING((X386/$H386),1)*$H386),"")</f>
        <v>17.849999999999998</v>
      </c>
      <c r="Z386" s="36">
        <f>IFERROR(IF(Y386=0,"",ROUNDUP(Y386/H386,0)*0.00651),"")</f>
        <v>4.5569999999999999E-2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18.541176470588237</v>
      </c>
      <c r="BN386" s="64">
        <f>IFERROR(Y386*I386/H386,"0")</f>
        <v>20.684999999999999</v>
      </c>
      <c r="BO386" s="64">
        <f>IFERROR(1/J386*(X386/H386),"0")</f>
        <v>3.4475328592975661E-2</v>
      </c>
      <c r="BP386" s="64">
        <f>IFERROR(1/J386*(Y386/H386),"0")</f>
        <v>3.8461538461538464E-2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41</v>
      </c>
      <c r="Y387" s="616">
        <f>IFERROR(IF(X387="",0,CEILING((X387/$H387),1)*$H387),"")</f>
        <v>43.349999999999994</v>
      </c>
      <c r="Z387" s="36">
        <f>IFERROR(IF(Y387=0,"",ROUNDUP(Y387/H387,0)*0.00651),"")</f>
        <v>0.11067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46.305882352941182</v>
      </c>
      <c r="BN387" s="64">
        <f>IFERROR(Y387*I387/H387,"0")</f>
        <v>48.96</v>
      </c>
      <c r="BO387" s="64">
        <f>IFERROR(1/J387*(X387/H387),"0")</f>
        <v>8.8343029519500113E-2</v>
      </c>
      <c r="BP387" s="64">
        <f>IFERROR(1/J387*(Y387/H387),"0")</f>
        <v>9.3406593406593408E-2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22.352941176470587</v>
      </c>
      <c r="Y388" s="617">
        <f>IFERROR(Y384/H384,"0")+IFERROR(Y385/H385,"0")+IFERROR(Y386/H386,"0")+IFERROR(Y387/H387,"0")</f>
        <v>24</v>
      </c>
      <c r="Z388" s="617">
        <f>IFERROR(IF(Z384="",0,Z384),"0")+IFERROR(IF(Z385="",0,Z385),"0")+IFERROR(IF(Z386="",0,Z386),"0")+IFERROR(IF(Z387="",0,Z387),"0")</f>
        <v>0.15623999999999999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57</v>
      </c>
      <c r="Y389" s="617">
        <f>IFERROR(SUM(Y384:Y387),"0")</f>
        <v>61.199999999999989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53</v>
      </c>
      <c r="Y405" s="616">
        <f>IFERROR(IF(X405="",0,CEILING((X405/$H405),1)*$H405),"")</f>
        <v>54.6</v>
      </c>
      <c r="Z405" s="36">
        <f>IFERROR(IF(Y405=0,"",ROUNDUP(Y405/H405,0)*0.00651),"")</f>
        <v>0.16925999999999999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59.359999999999992</v>
      </c>
      <c r="BN405" s="64">
        <f>IFERROR(Y405*I405/H405,"0")</f>
        <v>61.151999999999994</v>
      </c>
      <c r="BO405" s="64">
        <f>IFERROR(1/J405*(X405/H405),"0")</f>
        <v>0.13867085295656725</v>
      </c>
      <c r="BP405" s="64">
        <f>IFERROR(1/J405*(Y405/H405),"0")</f>
        <v>0.14285714285714288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25.238095238095237</v>
      </c>
      <c r="Y407" s="617">
        <f>IFERROR(Y404/H404,"0")+IFERROR(Y405/H405,"0")+IFERROR(Y406/H406,"0")</f>
        <v>26</v>
      </c>
      <c r="Z407" s="617">
        <f>IFERROR(IF(Z404="",0,Z404),"0")+IFERROR(IF(Z405="",0,Z405),"0")+IFERROR(IF(Z406="",0,Z406),"0")</f>
        <v>0.16925999999999999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53</v>
      </c>
      <c r="Y408" s="617">
        <f>IFERROR(SUM(Y404:Y406),"0")</f>
        <v>54.6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932</v>
      </c>
      <c r="Y414" s="616">
        <f t="shared" si="47"/>
        <v>945</v>
      </c>
      <c r="Z414" s="36">
        <f>IFERROR(IF(Y414=0,"",ROUNDUP(Y414/H414,0)*0.02175),"")</f>
        <v>1.37025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961.20266666666669</v>
      </c>
      <c r="BN414" s="64">
        <f t="shared" si="49"/>
        <v>974.61000000000013</v>
      </c>
      <c r="BO414" s="64">
        <f t="shared" si="50"/>
        <v>1.2944444444444443</v>
      </c>
      <c r="BP414" s="64">
        <f t="shared" si="51"/>
        <v>1.3125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62.133333333333333</v>
      </c>
      <c r="Y420" s="617">
        <f>IFERROR(Y412/H412,"0")+IFERROR(Y413/H413,"0")+IFERROR(Y414/H414,"0")+IFERROR(Y415/H415,"0")+IFERROR(Y416/H416,"0")+IFERROR(Y417/H417,"0")+IFERROR(Y418/H418,"0")+IFERROR(Y419/H419,"0")</f>
        <v>63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1.37025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932</v>
      </c>
      <c r="Y421" s="617">
        <f>IFERROR(SUM(Y412:Y419),"0")</f>
        <v>945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679</v>
      </c>
      <c r="Y423" s="616">
        <f>IFERROR(IF(X423="",0,CEILING((X423/$H423),1)*$H423),"")</f>
        <v>690</v>
      </c>
      <c r="Z423" s="36">
        <f>IFERROR(IF(Y423=0,"",ROUNDUP(Y423/H423,0)*0.02175),"")</f>
        <v>1.0004999999999999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700.27533333333338</v>
      </c>
      <c r="BN423" s="64">
        <f>IFERROR(Y423*I423/H423,"0")</f>
        <v>711.62000000000012</v>
      </c>
      <c r="BO423" s="64">
        <f>IFERROR(1/J423*(X423/H423),"0")</f>
        <v>0.94305555555555554</v>
      </c>
      <c r="BP423" s="64">
        <f>IFERROR(1/J423*(Y423/H423),"0")</f>
        <v>0.95833333333333326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45.266666666666666</v>
      </c>
      <c r="Y426" s="617">
        <f>IFERROR(Y423/H423,"0")+IFERROR(Y424/H424,"0")+IFERROR(Y425/H425,"0")</f>
        <v>46</v>
      </c>
      <c r="Z426" s="617">
        <f>IFERROR(IF(Z423="",0,Z423),"0")+IFERROR(IF(Z424="",0,Z424),"0")+IFERROR(IF(Z425="",0,Z425),"0")</f>
        <v>1.0004999999999999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679</v>
      </c>
      <c r="Y427" s="617">
        <f>IFERROR(SUM(Y423:Y425),"0")</f>
        <v>690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136</v>
      </c>
      <c r="Y436" s="616">
        <f>IFERROR(IF(X436="",0,CEILING((X436/$H436),1)*$H436),"")</f>
        <v>144</v>
      </c>
      <c r="Z436" s="36">
        <f>IFERROR(IF(Y436=0,"",ROUNDUP(Y436/H436,0)*0.01898),"")</f>
        <v>0.30368000000000001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143.46488888888888</v>
      </c>
      <c r="BN436" s="64">
        <f>IFERROR(Y436*I436/H436,"0")</f>
        <v>151.904</v>
      </c>
      <c r="BO436" s="64">
        <f>IFERROR(1/J436*(X436/H436),"0")</f>
        <v>0.2361111111111111</v>
      </c>
      <c r="BP436" s="64">
        <f>IFERROR(1/J436*(Y436/H436),"0")</f>
        <v>0.25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15.111111111111111</v>
      </c>
      <c r="Y437" s="617">
        <f>IFERROR(Y435/H435,"0")+IFERROR(Y436/H436,"0")</f>
        <v>16</v>
      </c>
      <c r="Z437" s="617">
        <f>IFERROR(IF(Z435="",0,Z435),"0")+IFERROR(IF(Z436="",0,Z436),"0")</f>
        <v>0.30368000000000001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136</v>
      </c>
      <c r="Y438" s="617">
        <f>IFERROR(SUM(Y435:Y436),"0")</f>
        <v>144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1943</v>
      </c>
      <c r="Y450" s="616">
        <f>IFERROR(IF(X450="",0,CEILING((X450/$H450),1)*$H450),"")</f>
        <v>1944</v>
      </c>
      <c r="Z450" s="36">
        <f>IFERROR(IF(Y450=0,"",ROUNDUP(Y450/H450,0)*0.01898),"")</f>
        <v>4.0996800000000002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2049.6491111111113</v>
      </c>
      <c r="BN450" s="64">
        <f>IFERROR(Y450*I450/H450,"0")</f>
        <v>2050.7039999999997</v>
      </c>
      <c r="BO450" s="64">
        <f>IFERROR(1/J450*(X450/H450),"0")</f>
        <v>3.3732638888888888</v>
      </c>
      <c r="BP450" s="64">
        <f>IFERROR(1/J450*(Y450/H450),"0")</f>
        <v>3.375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215.88888888888889</v>
      </c>
      <c r="Y453" s="617">
        <f>IFERROR(Y450/H450,"0")+IFERROR(Y451/H451,"0")+IFERROR(Y452/H452,"0")</f>
        <v>216</v>
      </c>
      <c r="Z453" s="617">
        <f>IFERROR(IF(Z450="",0,Z450),"0")+IFERROR(IF(Z451="",0,Z451),"0")+IFERROR(IF(Z452="",0,Z452),"0")</f>
        <v>4.0996800000000002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1943</v>
      </c>
      <c r="Y454" s="617">
        <f>IFERROR(SUM(Y450:Y452),"0")</f>
        <v>1944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20</v>
      </c>
      <c r="Y487" s="616">
        <f t="shared" si="57"/>
        <v>21.12</v>
      </c>
      <c r="Z487" s="36">
        <f t="shared" si="58"/>
        <v>4.7840000000000001E-2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21.325757575757574</v>
      </c>
      <c r="BN487" s="64">
        <f t="shared" si="60"/>
        <v>22.52</v>
      </c>
      <c r="BO487" s="64">
        <f t="shared" si="61"/>
        <v>3.6421911421911424E-2</v>
      </c>
      <c r="BP487" s="64">
        <f t="shared" si="62"/>
        <v>3.8461538461538464E-2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342</v>
      </c>
      <c r="Y488" s="616">
        <f t="shared" si="57"/>
        <v>343.2</v>
      </c>
      <c r="Z488" s="36">
        <f t="shared" si="58"/>
        <v>0.77739999999999998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364.67045454545456</v>
      </c>
      <c r="BN488" s="64">
        <f t="shared" si="60"/>
        <v>365.95</v>
      </c>
      <c r="BO488" s="64">
        <f t="shared" si="61"/>
        <v>0.62281468531468531</v>
      </c>
      <c r="BP488" s="64">
        <f t="shared" si="62"/>
        <v>0.625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421</v>
      </c>
      <c r="Y490" s="616">
        <f t="shared" si="57"/>
        <v>422.40000000000003</v>
      </c>
      <c r="Z490" s="36">
        <f t="shared" si="58"/>
        <v>0.95679999999999998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448.90719696969694</v>
      </c>
      <c r="BN490" s="64">
        <f t="shared" si="60"/>
        <v>450.4</v>
      </c>
      <c r="BO490" s="64">
        <f t="shared" si="61"/>
        <v>0.76668123543123545</v>
      </c>
      <c r="BP490" s="64">
        <f t="shared" si="62"/>
        <v>0.76923076923076927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148.29545454545453</v>
      </c>
      <c r="Y494" s="617">
        <f>IFERROR(Y485/H485,"0")+IFERROR(Y486/H486,"0")+IFERROR(Y487/H487,"0")+IFERROR(Y488/H488,"0")+IFERROR(Y489/H489,"0")+IFERROR(Y490/H490,"0")+IFERROR(Y491/H491,"0")+IFERROR(Y492/H492,"0")+IFERROR(Y493/H493,"0")</f>
        <v>149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1.7820399999999998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783</v>
      </c>
      <c r="Y495" s="617">
        <f>IFERROR(SUM(Y485:Y493),"0")</f>
        <v>786.72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378</v>
      </c>
      <c r="Y497" s="616">
        <f>IFERROR(IF(X497="",0,CEILING((X497/$H497),1)*$H497),"")</f>
        <v>380.16</v>
      </c>
      <c r="Z497" s="36">
        <f>IFERROR(IF(Y497=0,"",ROUNDUP(Y497/H497,0)*0.01196),"")</f>
        <v>0.86112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403.05681818181813</v>
      </c>
      <c r="BN497" s="64">
        <f>IFERROR(Y497*I497/H497,"0")</f>
        <v>405.35999999999996</v>
      </c>
      <c r="BO497" s="64">
        <f>IFERROR(1/J497*(X497/H497),"0")</f>
        <v>0.68837412587412594</v>
      </c>
      <c r="BP497" s="64">
        <f>IFERROR(1/J497*(Y497/H497),"0")</f>
        <v>0.69230769230769229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33</v>
      </c>
      <c r="Y499" s="616">
        <f>IFERROR(IF(X499="",0,CEILING((X499/$H499),1)*$H499),"")</f>
        <v>33.6</v>
      </c>
      <c r="Z499" s="36">
        <f>IFERROR(IF(Y499=0,"",ROUNDUP(Y499/H499,0)*0.00902),"")</f>
        <v>6.3140000000000002E-2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47.506250000000001</v>
      </c>
      <c r="BN499" s="64">
        <f>IFERROR(Y499*I499/H499,"0")</f>
        <v>48.370000000000005</v>
      </c>
      <c r="BO499" s="64">
        <f>IFERROR(1/J499*(X499/H499),"0")</f>
        <v>5.2083333333333336E-2</v>
      </c>
      <c r="BP499" s="64">
        <f>IFERROR(1/J499*(Y499/H499),"0")</f>
        <v>5.3030303030303039E-2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78.465909090909093</v>
      </c>
      <c r="Y500" s="617">
        <f>IFERROR(Y497/H497,"0")+IFERROR(Y498/H498,"0")+IFERROR(Y499/H499,"0")</f>
        <v>79</v>
      </c>
      <c r="Z500" s="617">
        <f>IFERROR(IF(Z497="",0,Z497),"0")+IFERROR(IF(Z498="",0,Z498),"0")+IFERROR(IF(Z499="",0,Z499),"0")</f>
        <v>0.92425999999999997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411</v>
      </c>
      <c r="Y501" s="617">
        <f>IFERROR(SUM(Y497:Y499),"0")</f>
        <v>413.76000000000005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146</v>
      </c>
      <c r="Y503" s="616">
        <f t="shared" ref="Y503:Y509" si="63">IFERROR(IF(X503="",0,CEILING((X503/$H503),1)*$H503),"")</f>
        <v>147.84</v>
      </c>
      <c r="Z503" s="36">
        <f>IFERROR(IF(Y503=0,"",ROUNDUP(Y503/H503,0)*0.01196),"")</f>
        <v>0.33488000000000001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155.67803030303031</v>
      </c>
      <c r="BN503" s="64">
        <f t="shared" ref="BN503:BN509" si="65">IFERROR(Y503*I503/H503,"0")</f>
        <v>157.63999999999999</v>
      </c>
      <c r="BO503" s="64">
        <f t="shared" ref="BO503:BO509" si="66">IFERROR(1/J503*(X503/H503),"0")</f>
        <v>0.26587995337995335</v>
      </c>
      <c r="BP503" s="64">
        <f t="shared" ref="BP503:BP509" si="67">IFERROR(1/J503*(Y503/H503),"0")</f>
        <v>0.26923076923076927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167</v>
      </c>
      <c r="Y504" s="616">
        <f t="shared" si="63"/>
        <v>168.96</v>
      </c>
      <c r="Z504" s="36">
        <f>IFERROR(IF(Y504=0,"",ROUNDUP(Y504/H504,0)*0.01196),"")</f>
        <v>0.38272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178.07007575757575</v>
      </c>
      <c r="BN504" s="64">
        <f t="shared" si="65"/>
        <v>180.16</v>
      </c>
      <c r="BO504" s="64">
        <f t="shared" si="66"/>
        <v>0.30412296037296038</v>
      </c>
      <c r="BP504" s="64">
        <f t="shared" si="67"/>
        <v>0.30769230769230771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361</v>
      </c>
      <c r="Y505" s="616">
        <f t="shared" si="63"/>
        <v>364.32</v>
      </c>
      <c r="Z505" s="36">
        <f>IFERROR(IF(Y505=0,"",ROUNDUP(Y505/H505,0)*0.01196),"")</f>
        <v>0.82523999999999997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384.92992424242425</v>
      </c>
      <c r="BN505" s="64">
        <f t="shared" si="65"/>
        <v>388.46999999999997</v>
      </c>
      <c r="BO505" s="64">
        <f t="shared" si="66"/>
        <v>0.65741550116550118</v>
      </c>
      <c r="BP505" s="64">
        <f t="shared" si="67"/>
        <v>0.66346153846153855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127.65151515151516</v>
      </c>
      <c r="Y510" s="617">
        <f>IFERROR(Y503/H503,"0")+IFERROR(Y504/H504,"0")+IFERROR(Y505/H505,"0")+IFERROR(Y506/H506,"0")+IFERROR(Y507/H507,"0")+IFERROR(Y508/H508,"0")+IFERROR(Y509/H509,"0")</f>
        <v>129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1.54284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674</v>
      </c>
      <c r="Y511" s="617">
        <f>IFERROR(SUM(Y503:Y509),"0")</f>
        <v>681.12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17522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17691.16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18742.648045715203</v>
      </c>
      <c r="Y542" s="617">
        <f>IFERROR(SUM(BN22:BN538),"0")</f>
        <v>18922.538000000004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34</v>
      </c>
      <c r="Y543" s="38">
        <f>ROUNDUP(SUM(BP22:BP538),0)</f>
        <v>34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19592.648045715203</v>
      </c>
      <c r="Y544" s="617">
        <f>GrossWeightTotalR+PalletQtyTotalR*25</f>
        <v>19772.538000000004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3585.4189392375833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3617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39.742029999999993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167.4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216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518.20000000000005</v>
      </c>
      <c r="F551" s="46">
        <f>IFERROR(Y88*1,"0")+IFERROR(Y89*1,"0")+IFERROR(Y90*1,"0")+IFERROR(Y91*1,"0")+IFERROR(Y95*1,"0")+IFERROR(Y96*1,"0")+IFERROR(Y97*1,"0")+IFERROR(Y98*1,"0")</f>
        <v>926.1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1644.6000000000001</v>
      </c>
      <c r="H551" s="46">
        <f>IFERROR(Y132*1,"0")+IFERROR(Y133*1,"0")+IFERROR(Y137*1,"0")+IFERROR(Y138*1,"0")+IFERROR(Y142*1,"0")+IFERROR(Y143*1,"0")</f>
        <v>38.239999999999995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1002.3399999999999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437.08000000000004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3204.9000000000005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77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163.19999999999999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655.20000000000005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2981.7</v>
      </c>
      <c r="U551" s="46">
        <f>IFERROR(Y404*1,"0")+IFERROR(Y405*1,"0")+IFERROR(Y406*1,"0")</f>
        <v>54.6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1779</v>
      </c>
      <c r="W551" s="46">
        <f>IFERROR(Y441*1,"0")+IFERROR(Y442*1,"0")+IFERROR(Y446*1,"0")+IFERROR(Y450*1,"0")+IFERROR(Y451*1,"0")+IFERROR(Y452*1,"0")</f>
        <v>1944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1881.6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2026-07-22T09:45:51Z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