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9DFAC0F-2396-4E79-A167-E994306F7C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91029"/>
</workbook>
</file>

<file path=xl/calcChain.xml><?xml version="1.0" encoding="utf-8"?>
<calcChain xmlns="http://schemas.openxmlformats.org/spreadsheetml/2006/main">
  <c r="AH125" i="1" l="1"/>
  <c r="AH114" i="1"/>
  <c r="AH113" i="1"/>
  <c r="AH108" i="1"/>
  <c r="AH44" i="1"/>
  <c r="AH31" i="1"/>
  <c r="S133" i="1"/>
  <c r="V133" i="1" s="1"/>
  <c r="L133" i="1"/>
  <c r="S132" i="1"/>
  <c r="V132" i="1" s="1"/>
  <c r="L132" i="1"/>
  <c r="S131" i="1"/>
  <c r="V131" i="1" s="1"/>
  <c r="L131" i="1"/>
  <c r="S130" i="1"/>
  <c r="V130" i="1" s="1"/>
  <c r="L130" i="1"/>
  <c r="S129" i="1"/>
  <c r="V129" i="1" s="1"/>
  <c r="L129" i="1"/>
  <c r="S128" i="1"/>
  <c r="L128" i="1"/>
  <c r="S127" i="1"/>
  <c r="V127" i="1" s="1"/>
  <c r="L127" i="1"/>
  <c r="S126" i="1"/>
  <c r="AH126" i="1" s="1"/>
  <c r="L126" i="1"/>
  <c r="F126" i="1"/>
  <c r="V126" i="1" s="1"/>
  <c r="S125" i="1"/>
  <c r="V125" i="1" s="1"/>
  <c r="L125" i="1"/>
  <c r="S124" i="1"/>
  <c r="T124" i="1" s="1"/>
  <c r="L124" i="1"/>
  <c r="S123" i="1"/>
  <c r="L123" i="1"/>
  <c r="S122" i="1"/>
  <c r="AH122" i="1" s="1"/>
  <c r="L122" i="1"/>
  <c r="S121" i="1"/>
  <c r="V121" i="1" s="1"/>
  <c r="L121" i="1"/>
  <c r="S120" i="1"/>
  <c r="V120" i="1" s="1"/>
  <c r="L120" i="1"/>
  <c r="S119" i="1"/>
  <c r="U119" i="1" s="1"/>
  <c r="L119" i="1"/>
  <c r="S118" i="1"/>
  <c r="T118" i="1" s="1"/>
  <c r="L118" i="1"/>
  <c r="S117" i="1"/>
  <c r="V117" i="1" s="1"/>
  <c r="L117" i="1"/>
  <c r="S116" i="1"/>
  <c r="V116" i="1" s="1"/>
  <c r="L116" i="1"/>
  <c r="AH115" i="1"/>
  <c r="S115" i="1"/>
  <c r="L115" i="1"/>
  <c r="S114" i="1"/>
  <c r="V114" i="1" s="1"/>
  <c r="L114" i="1"/>
  <c r="S113" i="1"/>
  <c r="V113" i="1" s="1"/>
  <c r="L113" i="1"/>
  <c r="S112" i="1"/>
  <c r="V112" i="1" s="1"/>
  <c r="L112" i="1"/>
  <c r="S111" i="1"/>
  <c r="U111" i="1" s="1"/>
  <c r="L111" i="1"/>
  <c r="S110" i="1"/>
  <c r="V110" i="1" s="1"/>
  <c r="L110" i="1"/>
  <c r="AH109" i="1"/>
  <c r="S109" i="1"/>
  <c r="V109" i="1" s="1"/>
  <c r="L109" i="1"/>
  <c r="S108" i="1"/>
  <c r="V108" i="1" s="1"/>
  <c r="L108" i="1"/>
  <c r="S107" i="1"/>
  <c r="U107" i="1" s="1"/>
  <c r="L107" i="1"/>
  <c r="S106" i="1"/>
  <c r="V106" i="1" s="1"/>
  <c r="L106" i="1"/>
  <c r="S105" i="1"/>
  <c r="V105" i="1" s="1"/>
  <c r="L105" i="1"/>
  <c r="S104" i="1"/>
  <c r="U104" i="1" s="1"/>
  <c r="L104" i="1"/>
  <c r="S103" i="1"/>
  <c r="U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U99" i="1" s="1"/>
  <c r="L99" i="1"/>
  <c r="S98" i="1"/>
  <c r="V98" i="1" s="1"/>
  <c r="L98" i="1"/>
  <c r="S97" i="1"/>
  <c r="V97" i="1" s="1"/>
  <c r="L97" i="1"/>
  <c r="S96" i="1"/>
  <c r="L96" i="1"/>
  <c r="S95" i="1"/>
  <c r="V95" i="1" s="1"/>
  <c r="L95" i="1"/>
  <c r="S94" i="1"/>
  <c r="V94" i="1" s="1"/>
  <c r="L94" i="1"/>
  <c r="S93" i="1"/>
  <c r="V93" i="1" s="1"/>
  <c r="L93" i="1"/>
  <c r="S92" i="1"/>
  <c r="T92" i="1" s="1"/>
  <c r="L92" i="1"/>
  <c r="S91" i="1"/>
  <c r="V91" i="1" s="1"/>
  <c r="L91" i="1"/>
  <c r="S90" i="1"/>
  <c r="V90" i="1" s="1"/>
  <c r="L90" i="1"/>
  <c r="S89" i="1"/>
  <c r="U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V83" i="1" s="1"/>
  <c r="L83" i="1"/>
  <c r="S82" i="1"/>
  <c r="L82" i="1"/>
  <c r="S81" i="1"/>
  <c r="V81" i="1" s="1"/>
  <c r="L81" i="1"/>
  <c r="S80" i="1"/>
  <c r="V80" i="1" s="1"/>
  <c r="L80" i="1"/>
  <c r="S79" i="1"/>
  <c r="U79" i="1" s="1"/>
  <c r="L79" i="1"/>
  <c r="S78" i="1"/>
  <c r="AH78" i="1" s="1"/>
  <c r="L78" i="1"/>
  <c r="S77" i="1"/>
  <c r="V77" i="1" s="1"/>
  <c r="L77" i="1"/>
  <c r="S76" i="1"/>
  <c r="V76" i="1" s="1"/>
  <c r="L76" i="1"/>
  <c r="S75" i="1"/>
  <c r="L75" i="1"/>
  <c r="S74" i="1"/>
  <c r="AH74" i="1" s="1"/>
  <c r="L74" i="1"/>
  <c r="S73" i="1"/>
  <c r="V73" i="1" s="1"/>
  <c r="L73" i="1"/>
  <c r="S72" i="1"/>
  <c r="T72" i="1" s="1"/>
  <c r="L72" i="1"/>
  <c r="S71" i="1"/>
  <c r="V71" i="1" s="1"/>
  <c r="L71" i="1"/>
  <c r="S70" i="1"/>
  <c r="AH70" i="1" s="1"/>
  <c r="L70" i="1"/>
  <c r="S69" i="1"/>
  <c r="V69" i="1" s="1"/>
  <c r="L69" i="1"/>
  <c r="S68" i="1"/>
  <c r="V68" i="1" s="1"/>
  <c r="L68" i="1"/>
  <c r="S67" i="1"/>
  <c r="V67" i="1" s="1"/>
  <c r="L67" i="1"/>
  <c r="S66" i="1"/>
  <c r="V66" i="1" s="1"/>
  <c r="L66" i="1"/>
  <c r="S65" i="1"/>
  <c r="V65" i="1" s="1"/>
  <c r="L65" i="1"/>
  <c r="S64" i="1"/>
  <c r="AH64" i="1" s="1"/>
  <c r="L64" i="1"/>
  <c r="S63" i="1"/>
  <c r="V63" i="1" s="1"/>
  <c r="L63" i="1"/>
  <c r="S62" i="1"/>
  <c r="V62" i="1" s="1"/>
  <c r="L62" i="1"/>
  <c r="S61" i="1"/>
  <c r="V61" i="1" s="1"/>
  <c r="L61" i="1"/>
  <c r="S60" i="1"/>
  <c r="T60" i="1" s="1"/>
  <c r="L60" i="1"/>
  <c r="S59" i="1"/>
  <c r="V59" i="1" s="1"/>
  <c r="L59" i="1"/>
  <c r="S58" i="1"/>
  <c r="T58" i="1" s="1"/>
  <c r="L58" i="1"/>
  <c r="S57" i="1"/>
  <c r="V57" i="1" s="1"/>
  <c r="L57" i="1"/>
  <c r="S56" i="1"/>
  <c r="T56" i="1" s="1"/>
  <c r="AH56" i="1" s="1"/>
  <c r="L56" i="1"/>
  <c r="S55" i="1"/>
  <c r="V55" i="1" s="1"/>
  <c r="L55" i="1"/>
  <c r="S54" i="1"/>
  <c r="V54" i="1" s="1"/>
  <c r="L54" i="1"/>
  <c r="S53" i="1"/>
  <c r="V53" i="1" s="1"/>
  <c r="L53" i="1"/>
  <c r="S52" i="1"/>
  <c r="V52" i="1" s="1"/>
  <c r="L52" i="1"/>
  <c r="S51" i="1"/>
  <c r="V51" i="1" s="1"/>
  <c r="L51" i="1"/>
  <c r="S50" i="1"/>
  <c r="V50" i="1" s="1"/>
  <c r="L50" i="1"/>
  <c r="S49" i="1"/>
  <c r="V49" i="1" s="1"/>
  <c r="L49" i="1"/>
  <c r="S48" i="1"/>
  <c r="L48" i="1"/>
  <c r="S47" i="1"/>
  <c r="V47" i="1" s="1"/>
  <c r="L47" i="1"/>
  <c r="S46" i="1"/>
  <c r="V46" i="1" s="1"/>
  <c r="L46" i="1"/>
  <c r="S45" i="1"/>
  <c r="V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AH36" i="1"/>
  <c r="S36" i="1"/>
  <c r="V36" i="1" s="1"/>
  <c r="L36" i="1"/>
  <c r="S35" i="1"/>
  <c r="V35" i="1" s="1"/>
  <c r="L35" i="1"/>
  <c r="S34" i="1"/>
  <c r="U34" i="1" s="1"/>
  <c r="L34" i="1"/>
  <c r="S33" i="1"/>
  <c r="T33" i="1" s="1"/>
  <c r="L33" i="1"/>
  <c r="S32" i="1"/>
  <c r="V32" i="1" s="1"/>
  <c r="L32" i="1"/>
  <c r="S31" i="1"/>
  <c r="L31" i="1"/>
  <c r="S30" i="1"/>
  <c r="L30" i="1"/>
  <c r="S29" i="1"/>
  <c r="AH29" i="1" s="1"/>
  <c r="L29" i="1"/>
  <c r="S28" i="1"/>
  <c r="L28" i="1"/>
  <c r="S27" i="1"/>
  <c r="V27" i="1" s="1"/>
  <c r="L27" i="1"/>
  <c r="S26" i="1"/>
  <c r="V26" i="1" s="1"/>
  <c r="L26" i="1"/>
  <c r="S25" i="1"/>
  <c r="U25" i="1" s="1"/>
  <c r="L25" i="1"/>
  <c r="S24" i="1"/>
  <c r="V24" i="1" s="1"/>
  <c r="L24" i="1"/>
  <c r="S23" i="1"/>
  <c r="V23" i="1" s="1"/>
  <c r="L23" i="1"/>
  <c r="S22" i="1"/>
  <c r="L22" i="1"/>
  <c r="S21" i="1"/>
  <c r="T21" i="1" s="1"/>
  <c r="L21" i="1"/>
  <c r="S20" i="1"/>
  <c r="V20" i="1" s="1"/>
  <c r="L20" i="1"/>
  <c r="S19" i="1"/>
  <c r="V19" i="1" s="1"/>
  <c r="L19" i="1"/>
  <c r="S18" i="1"/>
  <c r="L18" i="1"/>
  <c r="S17" i="1"/>
  <c r="L17" i="1"/>
  <c r="S16" i="1"/>
  <c r="V16" i="1" s="1"/>
  <c r="L16" i="1"/>
  <c r="S15" i="1"/>
  <c r="V15" i="1" s="1"/>
  <c r="L15" i="1"/>
  <c r="S14" i="1"/>
  <c r="V14" i="1" s="1"/>
  <c r="L14" i="1"/>
  <c r="S13" i="1"/>
  <c r="AH13" i="1" s="1"/>
  <c r="L13" i="1"/>
  <c r="S12" i="1"/>
  <c r="V12" i="1" s="1"/>
  <c r="L12" i="1"/>
  <c r="S11" i="1"/>
  <c r="L11" i="1"/>
  <c r="S10" i="1"/>
  <c r="V10" i="1" s="1"/>
  <c r="L10" i="1"/>
  <c r="S9" i="1"/>
  <c r="AH9" i="1" s="1"/>
  <c r="L9" i="1"/>
  <c r="S8" i="1"/>
  <c r="V8" i="1" s="1"/>
  <c r="L8" i="1"/>
  <c r="S7" i="1"/>
  <c r="T7" i="1" s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E5" i="1"/>
  <c r="T91" i="1" l="1"/>
  <c r="T59" i="1"/>
  <c r="T53" i="1"/>
  <c r="T62" i="1"/>
  <c r="T51" i="1"/>
  <c r="T50" i="1"/>
  <c r="T130" i="1"/>
  <c r="T27" i="1"/>
  <c r="AH27" i="1" s="1"/>
  <c r="T127" i="1"/>
  <c r="T23" i="1"/>
  <c r="U23" i="1" s="1"/>
  <c r="T121" i="1"/>
  <c r="T20" i="1"/>
  <c r="AH20" i="1" s="1"/>
  <c r="AH11" i="1"/>
  <c r="T19" i="1"/>
  <c r="T106" i="1"/>
  <c r="AH106" i="1" s="1"/>
  <c r="T18" i="1"/>
  <c r="AH18" i="1" s="1"/>
  <c r="T17" i="1"/>
  <c r="AH17" i="1" s="1"/>
  <c r="AH92" i="1"/>
  <c r="T16" i="1"/>
  <c r="AH16" i="1" s="1"/>
  <c r="T90" i="1"/>
  <c r="AH90" i="1" s="1"/>
  <c r="T15" i="1"/>
  <c r="T88" i="1"/>
  <c r="AH88" i="1" s="1"/>
  <c r="T11" i="1"/>
  <c r="T77" i="1"/>
  <c r="U77" i="1" s="1"/>
  <c r="T10" i="1"/>
  <c r="T75" i="1"/>
  <c r="AH75" i="1" s="1"/>
  <c r="T8" i="1"/>
  <c r="AH58" i="1"/>
  <c r="U26" i="1"/>
  <c r="AH8" i="1"/>
  <c r="AH53" i="1"/>
  <c r="AH54" i="1"/>
  <c r="AH57" i="1"/>
  <c r="AH76" i="1"/>
  <c r="U44" i="1"/>
  <c r="AH91" i="1"/>
  <c r="U128" i="1"/>
  <c r="AH128" i="1"/>
  <c r="AH6" i="1"/>
  <c r="AH123" i="1"/>
  <c r="U123" i="1"/>
  <c r="AH83" i="1"/>
  <c r="U83" i="1"/>
  <c r="V128" i="1"/>
  <c r="AH10" i="1"/>
  <c r="AH33" i="1"/>
  <c r="AH55" i="1"/>
  <c r="AH110" i="1"/>
  <c r="V123" i="1"/>
  <c r="AH35" i="1"/>
  <c r="AH77" i="1"/>
  <c r="U95" i="1"/>
  <c r="AH14" i="1"/>
  <c r="AH37" i="1"/>
  <c r="V34" i="1"/>
  <c r="V111" i="1"/>
  <c r="AH15" i="1"/>
  <c r="AH38" i="1"/>
  <c r="AH59" i="1"/>
  <c r="AH81" i="1"/>
  <c r="AH117" i="1"/>
  <c r="U96" i="1"/>
  <c r="AH39" i="1"/>
  <c r="AH60" i="1"/>
  <c r="AH82" i="1"/>
  <c r="AH118" i="1"/>
  <c r="AH32" i="1"/>
  <c r="V82" i="1"/>
  <c r="V96" i="1"/>
  <c r="AH61" i="1"/>
  <c r="AH41" i="1"/>
  <c r="AH62" i="1"/>
  <c r="AH87" i="1"/>
  <c r="U56" i="1"/>
  <c r="U125" i="1"/>
  <c r="AH19" i="1"/>
  <c r="AH42" i="1"/>
  <c r="T63" i="1"/>
  <c r="AH63" i="1" s="1"/>
  <c r="U97" i="1"/>
  <c r="U113" i="1"/>
  <c r="AH43" i="1"/>
  <c r="AH124" i="1"/>
  <c r="AH21" i="1"/>
  <c r="AH65" i="1"/>
  <c r="L5" i="1"/>
  <c r="AH22" i="1"/>
  <c r="AH45" i="1"/>
  <c r="AH66" i="1"/>
  <c r="U64" i="1"/>
  <c r="AH47" i="1"/>
  <c r="AH67" i="1"/>
  <c r="AH94" i="1"/>
  <c r="AH127" i="1"/>
  <c r="U30" i="1"/>
  <c r="U78" i="1"/>
  <c r="AH24" i="1"/>
  <c r="AH48" i="1"/>
  <c r="AH68" i="1"/>
  <c r="AH96" i="1"/>
  <c r="U58" i="1"/>
  <c r="U92" i="1"/>
  <c r="AH49" i="1"/>
  <c r="AH97" i="1"/>
  <c r="AH129" i="1"/>
  <c r="U11" i="1"/>
  <c r="AH28" i="1"/>
  <c r="AH50" i="1"/>
  <c r="AH98" i="1"/>
  <c r="AH130" i="1"/>
  <c r="U115" i="1"/>
  <c r="U122" i="1"/>
  <c r="AH51" i="1"/>
  <c r="AH71" i="1"/>
  <c r="AH105" i="1"/>
  <c r="AH131" i="1"/>
  <c r="V115" i="1"/>
  <c r="AH7" i="1"/>
  <c r="AH30" i="1"/>
  <c r="AH52" i="1"/>
  <c r="AH72" i="1"/>
  <c r="U9" i="1"/>
  <c r="U29" i="1"/>
  <c r="U31" i="1"/>
  <c r="U70" i="1"/>
  <c r="U131" i="1"/>
  <c r="U13" i="1"/>
  <c r="U74" i="1"/>
  <c r="U57" i="1"/>
  <c r="V99" i="1"/>
  <c r="V107" i="1"/>
  <c r="V118" i="1"/>
  <c r="V29" i="1"/>
  <c r="U108" i="1"/>
  <c r="U114" i="1"/>
  <c r="V124" i="1"/>
  <c r="V64" i="1"/>
  <c r="V119" i="1"/>
  <c r="V11" i="1"/>
  <c r="V30" i="1"/>
  <c r="U53" i="1"/>
  <c r="U36" i="1"/>
  <c r="U120" i="1"/>
  <c r="S5" i="1"/>
  <c r="V48" i="1"/>
  <c r="U65" i="1"/>
  <c r="V89" i="1"/>
  <c r="U12" i="1"/>
  <c r="V31" i="1"/>
  <c r="V60" i="1"/>
  <c r="V7" i="1"/>
  <c r="V72" i="1"/>
  <c r="U61" i="1"/>
  <c r="U84" i="1"/>
  <c r="U117" i="1"/>
  <c r="U8" i="1"/>
  <c r="V56" i="1"/>
  <c r="U73" i="1"/>
  <c r="V33" i="1"/>
  <c r="V104" i="1"/>
  <c r="U91" i="1"/>
  <c r="V13" i="1"/>
  <c r="V21" i="1"/>
  <c r="V25" i="1"/>
  <c r="U54" i="1"/>
  <c r="U62" i="1"/>
  <c r="V74" i="1"/>
  <c r="U109" i="1"/>
  <c r="F5" i="1"/>
  <c r="V9" i="1"/>
  <c r="U38" i="1"/>
  <c r="U46" i="1"/>
  <c r="V58" i="1"/>
  <c r="V70" i="1"/>
  <c r="U100" i="1"/>
  <c r="U105" i="1"/>
  <c r="V122" i="1"/>
  <c r="U126" i="1"/>
  <c r="V17" i="1"/>
  <c r="V78" i="1"/>
  <c r="V18" i="1"/>
  <c r="V22" i="1"/>
  <c r="V75" i="1"/>
  <c r="V79" i="1"/>
  <c r="V92" i="1"/>
  <c r="U101" i="1"/>
  <c r="U110" i="1"/>
  <c r="V6" i="1"/>
  <c r="U39" i="1"/>
  <c r="U43" i="1"/>
  <c r="U6" i="1"/>
  <c r="U15" i="1"/>
  <c r="U76" i="1"/>
  <c r="U93" i="1"/>
  <c r="U102" i="1"/>
  <c r="V28" i="1"/>
  <c r="U116" i="1"/>
  <c r="U24" i="1"/>
  <c r="V103" i="1"/>
  <c r="U112" i="1"/>
  <c r="U32" i="1"/>
  <c r="U85" i="1"/>
  <c r="U133" i="1"/>
  <c r="U37" i="1"/>
  <c r="U41" i="1"/>
  <c r="U45" i="1"/>
  <c r="U86" i="1"/>
  <c r="U75" i="1" l="1"/>
  <c r="U18" i="1"/>
  <c r="U17" i="1"/>
  <c r="AH23" i="1"/>
  <c r="U59" i="1"/>
  <c r="U21" i="1"/>
  <c r="U81" i="1"/>
  <c r="U71" i="1"/>
  <c r="U90" i="1"/>
  <c r="U50" i="1"/>
  <c r="U20" i="1"/>
  <c r="U118" i="1"/>
  <c r="U16" i="1"/>
  <c r="U28" i="1"/>
  <c r="U82" i="1"/>
  <c r="AH132" i="1"/>
  <c r="U132" i="1"/>
  <c r="U94" i="1"/>
  <c r="U60" i="1"/>
  <c r="U33" i="1"/>
  <c r="U14" i="1"/>
  <c r="U130" i="1"/>
  <c r="U63" i="1"/>
  <c r="U7" i="1"/>
  <c r="U88" i="1"/>
  <c r="AH69" i="1"/>
  <c r="U69" i="1"/>
  <c r="AH121" i="1"/>
  <c r="U121" i="1"/>
  <c r="U124" i="1"/>
  <c r="U55" i="1"/>
  <c r="U22" i="1"/>
  <c r="U72" i="1"/>
  <c r="AH40" i="1"/>
  <c r="U40" i="1"/>
  <c r="U68" i="1"/>
  <c r="U67" i="1"/>
  <c r="U42" i="1"/>
  <c r="U49" i="1"/>
  <c r="U52" i="1"/>
  <c r="U35" i="1"/>
  <c r="U51" i="1"/>
  <c r="U27" i="1"/>
  <c r="T5" i="1"/>
  <c r="U19" i="1"/>
  <c r="U129" i="1"/>
  <c r="U127" i="1"/>
  <c r="U48" i="1"/>
  <c r="U80" i="1"/>
  <c r="AH80" i="1"/>
  <c r="U47" i="1"/>
  <c r="U98" i="1"/>
  <c r="U87" i="1"/>
  <c r="U106" i="1"/>
  <c r="U10" i="1"/>
  <c r="U66" i="1"/>
  <c r="AH5" i="1" l="1"/>
</calcChain>
</file>

<file path=xl/sharedStrings.xml><?xml version="1.0" encoding="utf-8"?>
<sst xmlns="http://schemas.openxmlformats.org/spreadsheetml/2006/main" count="464" uniqueCount="179">
  <si>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</si>
  <si>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</si>
  <si>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</si>
  <si>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</si>
  <si>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</si>
  <si>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</si>
  <si>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</si>
  <si>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</si>
  <si>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</si>
  <si>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</si>
  <si>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</si>
  <si>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</si>
  <si>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</si>
  <si>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</si>
  <si>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</si>
  <si>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</si>
  <si>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</si>
  <si>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</si>
  <si>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</si>
  <si>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</si>
  <si>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</si>
  <si>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</si>
  <si>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</si>
  <si>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</si>
  <si>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</si>
  <si>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</si>
  <si>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</si>
  <si>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</si>
  <si>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</si>
  <si>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</si>
  <si>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</si>
  <si>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</si>
  <si>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</si>
  <si>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</si>
  <si>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</si>
  <si>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</si>
  <si>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</si>
  <si>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</si>
  <si>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</si>
  <si>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</si>
  <si>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</si>
  <si>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</si>
  <si>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</si>
  <si>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</si>
  <si>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</si>
  <si>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</si>
  <si>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</si>
  <si>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</si>
  <si>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</si>
  <si>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</si>
  <si>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</si>
  <si>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</si>
  <si>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</si>
  <si>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</si>
  <si>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</si>
  <si>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</si>
  <si>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</si>
  <si>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</si>
  <si>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</si>
  <si>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</si>
  <si>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</si>
  <si>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</si>
  <si>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</si>
  <si>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</si>
  <si>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</si>
  <si>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</si>
  <si>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</si>
  <si>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</si>
  <si>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</si>
  <si>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</si>
  <si>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</si>
  <si>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</si>
  <si>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</si>
  <si>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</si>
  <si>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</si>
  <si>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</si>
  <si>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</si>
  <si>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</si>
  <si>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</si>
  <si>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</si>
  <si>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</si>
  <si>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</si>
  <si>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</si>
  <si>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</si>
  <si>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</si>
  <si>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</si>
  <si>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</si>
  <si>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</si>
  <si>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</si>
  <si>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</si>
  <si>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</si>
  <si>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</si>
  <si>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</si>
  <si>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</si>
  <si>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</si>
  <si>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</si>
  <si>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</si>
  <si>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</si>
  <si>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</si>
  <si>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</si>
  <si>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</si>
  <si>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</si>
  <si>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</si>
  <si>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</si>
  <si>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</si>
  <si>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</si>
  <si>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</si>
  <si>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</si>
  <si>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</si>
  <si>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</si>
  <si>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</si>
  <si>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</si>
  <si>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</si>
  <si>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</si>
  <si>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</si>
  <si>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</si>
  <si>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</si>
  <si>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</si>
  <si>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</si>
  <si>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</si>
  <si>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</si>
  <si>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нужно увеличить продажи!!!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</si>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</sst>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43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18439.644000000004</v>
      </c>
      <c r="F5" s="4">
        <f>SUM(F6:F499)</f>
        <v>11788.303999999995</v>
      </c>
      <c r="G5" s="7"/>
      <c r="H5" s="1"/>
      <c r="I5" s="1"/>
      <c r="J5" s="1"/>
      <c r="K5" s="4">
        <f t="shared" ref="K5:T5" si="0">SUM(K6:K499)</f>
        <v>20467.956000000002</v>
      </c>
      <c r="L5" s="4">
        <f t="shared" si="0"/>
        <v>-2028.3120000000001</v>
      </c>
      <c r="M5" s="4">
        <f t="shared" si="0"/>
        <v>0</v>
      </c>
      <c r="N5" s="4">
        <f t="shared" si="0"/>
        <v>0</v>
      </c>
      <c r="O5" s="4">
        <f t="shared" si="0"/>
        <v>9690.9552299999978</v>
      </c>
      <c r="P5" s="4">
        <f t="shared" si="0"/>
        <v>-2277.3599999999997</v>
      </c>
      <c r="Q5" s="4">
        <f t="shared" si="0"/>
        <v>850</v>
      </c>
      <c r="R5" s="4">
        <f t="shared" si="0"/>
        <v>15023.66388</v>
      </c>
      <c r="S5" s="4">
        <f t="shared" si="0"/>
        <v>3687.9288000000001</v>
      </c>
      <c r="T5" s="4">
        <f t="shared" si="0"/>
        <v>13192.034699999997</v>
      </c>
      <c r="U5" s="1"/>
      <c r="V5" s="1"/>
      <c r="W5" s="4">
        <f t="shared" ref="W5:AF5" si="1">SUM(W6:W499)</f>
        <v>4635.2076000000015</v>
      </c>
      <c r="X5" s="4">
        <f t="shared" si="1"/>
        <v>4207.7697999999991</v>
      </c>
      <c r="Y5" s="4">
        <f t="shared" si="1"/>
        <v>3443.0367999999989</v>
      </c>
      <c r="Z5" s="4">
        <f t="shared" si="1"/>
        <v>3963.5633999999986</v>
      </c>
      <c r="AA5" s="4">
        <f t="shared" si="1"/>
        <v>3762.9608000000012</v>
      </c>
      <c r="AB5" s="4">
        <f t="shared" si="1"/>
        <v>3888.003999999999</v>
      </c>
      <c r="AC5" s="4">
        <f t="shared" si="1"/>
        <v>4297.2658000000001</v>
      </c>
      <c r="AD5" s="4">
        <f t="shared" si="1"/>
        <v>4684.4022000000004</v>
      </c>
      <c r="AE5" s="4">
        <f t="shared" si="1"/>
        <v>4934.9677999999976</v>
      </c>
      <c r="AF5" s="4">
        <f t="shared" si="1"/>
        <v>5484.3842000000004</v>
      </c>
      <c r="AG5" s="1"/>
      <c r="AH5" s="4">
        <f>SUM(AH6:AH499)</f>
        <v>11194.404599999998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311.28399999999999</v>
      </c>
      <c r="D6" s="1">
        <v>190.89099999999999</v>
      </c>
      <c r="E6" s="1">
        <v>231.953</v>
      </c>
      <c r="F6" s="1">
        <v>223.613</v>
      </c>
      <c r="G6" s="7">
        <v>1</v>
      </c>
      <c r="H6" s="1">
        <v>50</v>
      </c>
      <c r="I6" s="1" t="s">
        <v>39</v>
      </c>
      <c r="J6" s="1"/>
      <c r="K6" s="1">
        <v>215.15</v>
      </c>
      <c r="L6" s="1">
        <f t="shared" ref="L6:L37" si="2">E6-K6</f>
        <v>16.802999999999997</v>
      </c>
      <c r="M6" s="1"/>
      <c r="N6" s="1"/>
      <c r="O6" s="1">
        <v>73.843676000000045</v>
      </c>
      <c r="P6" s="1"/>
      <c r="Q6" s="1"/>
      <c r="R6" s="1">
        <v>324.653524</v>
      </c>
      <c r="S6" s="1">
        <f t="shared" ref="S6:S37" si="3">E6/5</f>
        <v>46.390599999999999</v>
      </c>
      <c r="T6" s="5"/>
      <c r="U6" s="1">
        <f t="shared" ref="U6:U37" si="4">(F6+O6+P6+Q6+R6+T6)/S6</f>
        <v>13.410264148340399</v>
      </c>
      <c r="V6" s="1">
        <f t="shared" ref="V6:V37" si="5">(F6+O6+P6+Q6+R6)/S6</f>
        <v>13.410264148340399</v>
      </c>
      <c r="W6" s="1">
        <v>62.169199999999996</v>
      </c>
      <c r="X6" s="1">
        <v>46.914400000000001</v>
      </c>
      <c r="Y6" s="1">
        <v>34.5426</v>
      </c>
      <c r="Z6" s="1">
        <v>43.8718</v>
      </c>
      <c r="AA6" s="1">
        <v>37.962800000000001</v>
      </c>
      <c r="AB6" s="1">
        <v>34.125799999999998</v>
      </c>
      <c r="AC6" s="1">
        <v>48.797400000000003</v>
      </c>
      <c r="AD6" s="1">
        <v>48.463799999999999</v>
      </c>
      <c r="AE6" s="1">
        <v>38.078200000000002</v>
      </c>
      <c r="AF6" s="1">
        <v>53.040599999999998</v>
      </c>
      <c r="AG6" s="1"/>
      <c r="AH6" s="1">
        <f t="shared" ref="AH6:AH11" si="6"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934.572</v>
      </c>
      <c r="D7" s="1">
        <v>679.01400000000001</v>
      </c>
      <c r="E7" s="1">
        <v>740.80700000000002</v>
      </c>
      <c r="F7" s="1">
        <v>688.745</v>
      </c>
      <c r="G7" s="7">
        <v>1</v>
      </c>
      <c r="H7" s="1">
        <v>45</v>
      </c>
      <c r="I7" s="1" t="s">
        <v>39</v>
      </c>
      <c r="J7" s="1"/>
      <c r="K7" s="1">
        <v>711.25</v>
      </c>
      <c r="L7" s="1">
        <f t="shared" si="2"/>
        <v>29.557000000000016</v>
      </c>
      <c r="M7" s="1"/>
      <c r="N7" s="1"/>
      <c r="O7" s="1">
        <v>385.32429399999961</v>
      </c>
      <c r="P7" s="1"/>
      <c r="Q7" s="1"/>
      <c r="R7" s="1">
        <v>414.64096600000062</v>
      </c>
      <c r="S7" s="1">
        <f t="shared" si="3"/>
        <v>148.16140000000001</v>
      </c>
      <c r="T7" s="5">
        <f>11*S7-R7-Q7-P7-O7-F7</f>
        <v>141.06514000000004</v>
      </c>
      <c r="U7" s="1">
        <f t="shared" si="4"/>
        <v>11.000000000000002</v>
      </c>
      <c r="V7" s="1">
        <f t="shared" si="5"/>
        <v>10.047895470750142</v>
      </c>
      <c r="W7" s="1">
        <v>172.14420000000001</v>
      </c>
      <c r="X7" s="1">
        <v>171.35</v>
      </c>
      <c r="Y7" s="1">
        <v>161.2954</v>
      </c>
      <c r="Z7" s="1">
        <v>174.07939999999999</v>
      </c>
      <c r="AA7" s="1">
        <v>156.54300000000001</v>
      </c>
      <c r="AB7" s="1">
        <v>115.7188</v>
      </c>
      <c r="AC7" s="1">
        <v>123.2384</v>
      </c>
      <c r="AD7" s="1">
        <v>165.91419999999999</v>
      </c>
      <c r="AE7" s="1">
        <v>160.22540000000001</v>
      </c>
      <c r="AF7" s="1">
        <v>155.3356</v>
      </c>
      <c r="AG7" s="1"/>
      <c r="AH7" s="1">
        <f t="shared" si="6"/>
        <v>141.06514000000004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710.72</v>
      </c>
      <c r="D8" s="1">
        <v>689.64599999999996</v>
      </c>
      <c r="E8" s="1">
        <v>788.44399999999996</v>
      </c>
      <c r="F8" s="1">
        <v>413.87099999999998</v>
      </c>
      <c r="G8" s="7">
        <v>1</v>
      </c>
      <c r="H8" s="1">
        <v>45</v>
      </c>
      <c r="I8" s="1" t="s">
        <v>39</v>
      </c>
      <c r="J8" s="1"/>
      <c r="K8" s="1">
        <v>763.30399999999997</v>
      </c>
      <c r="L8" s="1">
        <f t="shared" si="2"/>
        <v>25.139999999999986</v>
      </c>
      <c r="M8" s="1"/>
      <c r="N8" s="1"/>
      <c r="O8" s="1">
        <v>653.1773619999999</v>
      </c>
      <c r="P8" s="1"/>
      <c r="Q8" s="1"/>
      <c r="R8" s="1">
        <v>291.14197799999988</v>
      </c>
      <c r="S8" s="1">
        <f t="shared" si="3"/>
        <v>157.68879999999999</v>
      </c>
      <c r="T8" s="5">
        <f t="shared" ref="T8:T11" si="7">12*S8-R8-Q8-P8-O8-F8</f>
        <v>534.07525999999996</v>
      </c>
      <c r="U8" s="1">
        <f t="shared" si="4"/>
        <v>12</v>
      </c>
      <c r="V8" s="1">
        <f t="shared" si="5"/>
        <v>8.6131059403077455</v>
      </c>
      <c r="W8" s="1">
        <v>164.05779999999999</v>
      </c>
      <c r="X8" s="1">
        <v>176.13800000000001</v>
      </c>
      <c r="Y8" s="1">
        <v>166.39340000000001</v>
      </c>
      <c r="Z8" s="1">
        <v>154.95760000000001</v>
      </c>
      <c r="AA8" s="1">
        <v>140.4342</v>
      </c>
      <c r="AB8" s="1">
        <v>130.178</v>
      </c>
      <c r="AC8" s="1">
        <v>141.642</v>
      </c>
      <c r="AD8" s="1">
        <v>157.6602</v>
      </c>
      <c r="AE8" s="1">
        <v>153.99100000000001</v>
      </c>
      <c r="AF8" s="1">
        <v>162.184</v>
      </c>
      <c r="AG8" s="1"/>
      <c r="AH8" s="1">
        <f t="shared" si="6"/>
        <v>534.07525999999996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43</v>
      </c>
      <c r="C9" s="1">
        <v>1</v>
      </c>
      <c r="D9" s="1">
        <v>2</v>
      </c>
      <c r="E9" s="1">
        <v>2</v>
      </c>
      <c r="F9" s="1">
        <v>1</v>
      </c>
      <c r="G9" s="7">
        <v>0.4</v>
      </c>
      <c r="H9" s="1">
        <v>50</v>
      </c>
      <c r="I9" s="1" t="s">
        <v>39</v>
      </c>
      <c r="J9" s="1"/>
      <c r="K9" s="1">
        <v>13</v>
      </c>
      <c r="L9" s="1">
        <f t="shared" si="2"/>
        <v>-11</v>
      </c>
      <c r="M9" s="1"/>
      <c r="N9" s="1"/>
      <c r="O9" s="1">
        <v>40.4</v>
      </c>
      <c r="P9" s="1"/>
      <c r="Q9" s="1"/>
      <c r="R9" s="1">
        <v>0</v>
      </c>
      <c r="S9" s="1">
        <f t="shared" si="3"/>
        <v>0.4</v>
      </c>
      <c r="T9" s="5"/>
      <c r="U9" s="1">
        <f t="shared" si="4"/>
        <v>103.49999999999999</v>
      </c>
      <c r="V9" s="1">
        <f t="shared" si="5"/>
        <v>103.49999999999999</v>
      </c>
      <c r="W9" s="1">
        <v>2.6</v>
      </c>
      <c r="X9" s="1">
        <v>6.2</v>
      </c>
      <c r="Y9" s="1">
        <v>4.5999999999999996</v>
      </c>
      <c r="Z9" s="1">
        <v>2</v>
      </c>
      <c r="AA9" s="1">
        <v>2.6</v>
      </c>
      <c r="AB9" s="1">
        <v>1.4</v>
      </c>
      <c r="AC9" s="1">
        <v>0.2</v>
      </c>
      <c r="AD9" s="1">
        <v>1</v>
      </c>
      <c r="AE9" s="1">
        <v>3.2</v>
      </c>
      <c r="AF9" s="1">
        <v>2.6</v>
      </c>
      <c r="AG9" s="1" t="s">
        <v>44</v>
      </c>
      <c r="AH9" s="1">
        <f t="shared" si="6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43</v>
      </c>
      <c r="C10" s="1">
        <v>72</v>
      </c>
      <c r="D10" s="1">
        <v>296</v>
      </c>
      <c r="E10" s="1">
        <v>198</v>
      </c>
      <c r="F10" s="1">
        <v>-2</v>
      </c>
      <c r="G10" s="7">
        <v>0.45</v>
      </c>
      <c r="H10" s="1">
        <v>45</v>
      </c>
      <c r="I10" s="1" t="s">
        <v>39</v>
      </c>
      <c r="J10" s="1"/>
      <c r="K10" s="1">
        <v>255</v>
      </c>
      <c r="L10" s="1">
        <f t="shared" si="2"/>
        <v>-57</v>
      </c>
      <c r="M10" s="1"/>
      <c r="N10" s="1"/>
      <c r="O10" s="1">
        <v>351.41800000000001</v>
      </c>
      <c r="P10" s="1"/>
      <c r="Q10" s="1"/>
      <c r="R10" s="1">
        <v>0</v>
      </c>
      <c r="S10" s="1">
        <f t="shared" si="3"/>
        <v>39.6</v>
      </c>
      <c r="T10" s="5">
        <f t="shared" si="7"/>
        <v>125.78200000000004</v>
      </c>
      <c r="U10" s="1">
        <f t="shared" si="4"/>
        <v>12</v>
      </c>
      <c r="V10" s="1">
        <f t="shared" si="5"/>
        <v>8.8236868686868686</v>
      </c>
      <c r="W10" s="1">
        <v>42.2</v>
      </c>
      <c r="X10" s="1">
        <v>64.599999999999994</v>
      </c>
      <c r="Y10" s="1">
        <v>52.4</v>
      </c>
      <c r="Z10" s="1">
        <v>54.8</v>
      </c>
      <c r="AA10" s="1">
        <v>47.6</v>
      </c>
      <c r="AB10" s="1">
        <v>31.2</v>
      </c>
      <c r="AC10" s="1">
        <v>38.4</v>
      </c>
      <c r="AD10" s="1">
        <v>60.4</v>
      </c>
      <c r="AE10" s="1">
        <v>57.4</v>
      </c>
      <c r="AF10" s="1">
        <v>77</v>
      </c>
      <c r="AG10" s="1"/>
      <c r="AH10" s="1">
        <f t="shared" si="6"/>
        <v>56.601900000000022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43</v>
      </c>
      <c r="C11" s="1">
        <v>209</v>
      </c>
      <c r="D11" s="1">
        <v>270</v>
      </c>
      <c r="E11" s="1">
        <v>223</v>
      </c>
      <c r="F11" s="1">
        <v>12</v>
      </c>
      <c r="G11" s="7">
        <v>0.45</v>
      </c>
      <c r="H11" s="1">
        <v>45</v>
      </c>
      <c r="I11" s="1" t="s">
        <v>39</v>
      </c>
      <c r="J11" s="1"/>
      <c r="K11" s="1">
        <v>322</v>
      </c>
      <c r="L11" s="1">
        <f t="shared" si="2"/>
        <v>-99</v>
      </c>
      <c r="M11" s="1"/>
      <c r="N11" s="1"/>
      <c r="O11" s="1">
        <v>466.0560000000001</v>
      </c>
      <c r="P11" s="1"/>
      <c r="Q11" s="1"/>
      <c r="R11" s="1">
        <v>0</v>
      </c>
      <c r="S11" s="1">
        <f t="shared" si="3"/>
        <v>44.6</v>
      </c>
      <c r="T11" s="5">
        <f t="shared" si="7"/>
        <v>57.143999999999949</v>
      </c>
      <c r="U11" s="1">
        <f t="shared" si="4"/>
        <v>12</v>
      </c>
      <c r="V11" s="1">
        <f t="shared" si="5"/>
        <v>10.718744394618836</v>
      </c>
      <c r="W11" s="1">
        <v>39.4</v>
      </c>
      <c r="X11" s="1">
        <v>82.8</v>
      </c>
      <c r="Y11" s="1">
        <v>80.599999999999994</v>
      </c>
      <c r="Z11" s="1">
        <v>70</v>
      </c>
      <c r="AA11" s="1">
        <v>63.8</v>
      </c>
      <c r="AB11" s="1">
        <v>57.2</v>
      </c>
      <c r="AC11" s="1">
        <v>72.2</v>
      </c>
      <c r="AD11" s="1">
        <v>90</v>
      </c>
      <c r="AE11" s="1">
        <v>77.2</v>
      </c>
      <c r="AF11" s="1">
        <v>93.8</v>
      </c>
      <c r="AG11" s="1"/>
      <c r="AH11" s="1">
        <f t="shared" si="6"/>
        <v>25.714799999999979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>
        <f t="shared" si="3"/>
        <v>0</v>
      </c>
      <c r="T12" s="12"/>
      <c r="U12" s="10" t="e">
        <f t="shared" si="4"/>
        <v>#DIV/0!</v>
      </c>
      <c r="V12" s="10" t="e">
        <f t="shared" si="5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48</v>
      </c>
      <c r="AH12" s="1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 x14ac:dyDescent="0.25">
      <c r="A13" s="1" t="s">
        <v>49</v>
      </c>
      <c r="B13" s="1" t="s">
        <v>43</v>
      </c>
      <c r="C13" s="1">
        <v>72</v>
      </c>
      <c r="D13" s="1">
        <v>25</v>
      </c>
      <c r="E13" s="1">
        <v>84</v>
      </c>
      <c r="F13" s="1">
        <v>10</v>
      </c>
      <c r="G13" s="7">
        <v>0.3</v>
      </c>
      <c r="H13" s="1">
        <v>40</v>
      </c>
      <c r="I13" s="9" t="s">
        <v>50</v>
      </c>
      <c r="J13" s="1"/>
      <c r="K13" s="1">
        <v>109</v>
      </c>
      <c r="L13" s="1">
        <f t="shared" si="2"/>
        <v>-25</v>
      </c>
      <c r="M13" s="1"/>
      <c r="N13" s="1"/>
      <c r="O13" s="1">
        <v>25</v>
      </c>
      <c r="P13" s="1">
        <v>-30</v>
      </c>
      <c r="Q13" s="1"/>
      <c r="R13" s="1">
        <v>49</v>
      </c>
      <c r="S13" s="1">
        <f t="shared" si="3"/>
        <v>16.8</v>
      </c>
      <c r="T13" s="5">
        <v>50</v>
      </c>
      <c r="U13" s="1">
        <f t="shared" si="4"/>
        <v>6.1904761904761898</v>
      </c>
      <c r="V13" s="1">
        <f t="shared" si="5"/>
        <v>3.214285714285714</v>
      </c>
      <c r="W13" s="1">
        <v>27</v>
      </c>
      <c r="X13" s="1">
        <v>25</v>
      </c>
      <c r="Y13" s="1">
        <v>19.399999999999999</v>
      </c>
      <c r="Z13" s="1">
        <v>21.6</v>
      </c>
      <c r="AA13" s="1">
        <v>19.8</v>
      </c>
      <c r="AB13" s="1">
        <v>20.2</v>
      </c>
      <c r="AC13" s="1">
        <v>21.4</v>
      </c>
      <c r="AD13" s="1">
        <v>22.4</v>
      </c>
      <c r="AE13" s="1">
        <v>23.8</v>
      </c>
      <c r="AF13" s="1">
        <v>23</v>
      </c>
      <c r="AG13" s="1"/>
      <c r="AH13" s="1">
        <f t="shared" ref="AH13:AH24" si="8">G13*T13</f>
        <v>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43</v>
      </c>
      <c r="C14" s="1">
        <v>51</v>
      </c>
      <c r="D14" s="1">
        <v>25</v>
      </c>
      <c r="E14" s="1">
        <v>68</v>
      </c>
      <c r="F14" s="1">
        <v>8</v>
      </c>
      <c r="G14" s="7">
        <v>0.17</v>
      </c>
      <c r="H14" s="1">
        <v>180</v>
      </c>
      <c r="I14" s="1" t="s">
        <v>39</v>
      </c>
      <c r="J14" s="1"/>
      <c r="K14" s="1">
        <v>149</v>
      </c>
      <c r="L14" s="1">
        <f t="shared" si="2"/>
        <v>-81</v>
      </c>
      <c r="M14" s="1"/>
      <c r="N14" s="1"/>
      <c r="O14" s="1">
        <v>174.994</v>
      </c>
      <c r="P14" s="1"/>
      <c r="Q14" s="1"/>
      <c r="R14" s="1">
        <v>160.20599999999999</v>
      </c>
      <c r="S14" s="1">
        <f t="shared" si="3"/>
        <v>13.6</v>
      </c>
      <c r="T14" s="5"/>
      <c r="U14" s="1">
        <f t="shared" si="4"/>
        <v>25.235294117647058</v>
      </c>
      <c r="V14" s="1">
        <f t="shared" si="5"/>
        <v>25.235294117647058</v>
      </c>
      <c r="W14" s="1">
        <v>31.2</v>
      </c>
      <c r="X14" s="1">
        <v>32.200000000000003</v>
      </c>
      <c r="Y14" s="1">
        <v>17.8</v>
      </c>
      <c r="Z14" s="1">
        <v>16.2</v>
      </c>
      <c r="AA14" s="1">
        <v>18</v>
      </c>
      <c r="AB14" s="1">
        <v>19.2</v>
      </c>
      <c r="AC14" s="1">
        <v>22</v>
      </c>
      <c r="AD14" s="1">
        <v>18.8</v>
      </c>
      <c r="AE14" s="1">
        <v>15.8</v>
      </c>
      <c r="AF14" s="1">
        <v>17.600000000000001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38</v>
      </c>
      <c r="C15" s="1">
        <v>644.98599999999999</v>
      </c>
      <c r="D15" s="1">
        <v>45.859000000000002</v>
      </c>
      <c r="E15" s="1">
        <v>322.76</v>
      </c>
      <c r="F15" s="1">
        <v>300.94900000000001</v>
      </c>
      <c r="G15" s="7">
        <v>1</v>
      </c>
      <c r="H15" s="1">
        <v>70</v>
      </c>
      <c r="I15" s="1" t="s">
        <v>39</v>
      </c>
      <c r="J15" s="1"/>
      <c r="K15" s="1">
        <v>322.56</v>
      </c>
      <c r="L15" s="1">
        <f t="shared" si="2"/>
        <v>0.19999999999998863</v>
      </c>
      <c r="M15" s="1"/>
      <c r="N15" s="1"/>
      <c r="O15" s="1">
        <v>96.351166000000063</v>
      </c>
      <c r="P15" s="1"/>
      <c r="Q15" s="1"/>
      <c r="R15" s="1">
        <v>138.692834</v>
      </c>
      <c r="S15" s="1">
        <f t="shared" si="3"/>
        <v>64.551999999999992</v>
      </c>
      <c r="T15" s="5">
        <f t="shared" ref="T15:T23" si="9">12*S15-R15-Q15-P15-O15-F15</f>
        <v>238.6309999999998</v>
      </c>
      <c r="U15" s="1">
        <f t="shared" si="4"/>
        <v>12.000000000000002</v>
      </c>
      <c r="V15" s="1">
        <f t="shared" si="5"/>
        <v>8.3032748791671871</v>
      </c>
      <c r="W15" s="1">
        <v>60.460999999999999</v>
      </c>
      <c r="X15" s="1">
        <v>67.999800000000008</v>
      </c>
      <c r="Y15" s="1">
        <v>67.419600000000003</v>
      </c>
      <c r="Z15" s="1">
        <v>63.860999999999997</v>
      </c>
      <c r="AA15" s="1">
        <v>64.120199999999997</v>
      </c>
      <c r="AB15" s="1">
        <v>71.404200000000003</v>
      </c>
      <c r="AC15" s="1">
        <v>76.710000000000008</v>
      </c>
      <c r="AD15" s="1">
        <v>82.161599999999993</v>
      </c>
      <c r="AE15" s="1">
        <v>77.837599999999995</v>
      </c>
      <c r="AF15" s="1">
        <v>83.318399999999997</v>
      </c>
      <c r="AG15" s="1"/>
      <c r="AH15" s="1">
        <f t="shared" si="8"/>
        <v>238.6309999999998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38</v>
      </c>
      <c r="C16" s="1">
        <v>1353.8910000000001</v>
      </c>
      <c r="D16" s="1">
        <v>2629.27</v>
      </c>
      <c r="E16" s="1">
        <v>1812.251</v>
      </c>
      <c r="F16" s="1">
        <v>1936.6489999999999</v>
      </c>
      <c r="G16" s="7">
        <v>1</v>
      </c>
      <c r="H16" s="1">
        <v>50</v>
      </c>
      <c r="I16" s="1" t="s">
        <v>39</v>
      </c>
      <c r="J16" s="1"/>
      <c r="K16" s="1">
        <v>1782.1</v>
      </c>
      <c r="L16" s="1">
        <f t="shared" si="2"/>
        <v>30.151000000000067</v>
      </c>
      <c r="M16" s="1"/>
      <c r="N16" s="1"/>
      <c r="O16" s="1">
        <v>0</v>
      </c>
      <c r="P16" s="1"/>
      <c r="Q16" s="1">
        <v>300</v>
      </c>
      <c r="R16" s="1">
        <v>946.58477999999991</v>
      </c>
      <c r="S16" s="1">
        <f t="shared" si="3"/>
        <v>362.4502</v>
      </c>
      <c r="T16" s="5">
        <f t="shared" si="9"/>
        <v>1166.1686199999999</v>
      </c>
      <c r="U16" s="1">
        <f t="shared" si="4"/>
        <v>11.999999999999998</v>
      </c>
      <c r="V16" s="1">
        <f t="shared" si="5"/>
        <v>8.7825411049573141</v>
      </c>
      <c r="W16" s="1">
        <v>400.47460000000001</v>
      </c>
      <c r="X16" s="1">
        <v>338.92259999999999</v>
      </c>
      <c r="Y16" s="1">
        <v>312.99419999999998</v>
      </c>
      <c r="Z16" s="1">
        <v>340.73579999999998</v>
      </c>
      <c r="AA16" s="1">
        <v>301.46600000000001</v>
      </c>
      <c r="AB16" s="1">
        <v>223.81219999999999</v>
      </c>
      <c r="AC16" s="1">
        <v>225.41679999999999</v>
      </c>
      <c r="AD16" s="1">
        <v>363.58780000000002</v>
      </c>
      <c r="AE16" s="1">
        <v>414.27560000000011</v>
      </c>
      <c r="AF16" s="1">
        <v>403.12939999999998</v>
      </c>
      <c r="AG16" s="1"/>
      <c r="AH16" s="1">
        <f t="shared" si="8"/>
        <v>1166.1686199999999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38</v>
      </c>
      <c r="C17" s="1">
        <v>138.31899999999999</v>
      </c>
      <c r="D17" s="1">
        <v>0.89</v>
      </c>
      <c r="E17" s="1">
        <v>80.192999999999998</v>
      </c>
      <c r="F17" s="1">
        <v>57.246000000000002</v>
      </c>
      <c r="G17" s="7">
        <v>1</v>
      </c>
      <c r="H17" s="1">
        <v>60</v>
      </c>
      <c r="I17" s="1" t="s">
        <v>39</v>
      </c>
      <c r="J17" s="1"/>
      <c r="K17" s="1">
        <v>75.599999999999994</v>
      </c>
      <c r="L17" s="1">
        <f t="shared" si="2"/>
        <v>4.5930000000000035</v>
      </c>
      <c r="M17" s="1"/>
      <c r="N17" s="1"/>
      <c r="O17" s="1">
        <v>0</v>
      </c>
      <c r="P17" s="1"/>
      <c r="Q17" s="1"/>
      <c r="R17" s="1">
        <v>41.762999999999991</v>
      </c>
      <c r="S17" s="1">
        <f t="shared" si="3"/>
        <v>16.038599999999999</v>
      </c>
      <c r="T17" s="5">
        <f t="shared" si="9"/>
        <v>93.454199999999986</v>
      </c>
      <c r="U17" s="1">
        <f t="shared" si="4"/>
        <v>12</v>
      </c>
      <c r="V17" s="1">
        <f t="shared" si="5"/>
        <v>6.1731697280311248</v>
      </c>
      <c r="W17" s="1">
        <v>10.763999999999999</v>
      </c>
      <c r="X17" s="1">
        <v>8.6592000000000002</v>
      </c>
      <c r="Y17" s="1">
        <v>14.825799999999999</v>
      </c>
      <c r="Z17" s="1">
        <v>13.7936</v>
      </c>
      <c r="AA17" s="1">
        <v>9.2590000000000003</v>
      </c>
      <c r="AB17" s="1">
        <v>15.664400000000001</v>
      </c>
      <c r="AC17" s="1">
        <v>19.814599999999999</v>
      </c>
      <c r="AD17" s="1">
        <v>17.560199999999998</v>
      </c>
      <c r="AE17" s="1">
        <v>20.452200000000001</v>
      </c>
      <c r="AF17" s="1">
        <v>22.732399999999998</v>
      </c>
      <c r="AG17" s="1"/>
      <c r="AH17" s="1">
        <f t="shared" si="8"/>
        <v>93.454199999999986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31.413</v>
      </c>
      <c r="D18" s="1">
        <v>76.709999999999994</v>
      </c>
      <c r="E18" s="1">
        <v>50.1</v>
      </c>
      <c r="F18" s="1">
        <v>43.936</v>
      </c>
      <c r="G18" s="7">
        <v>1</v>
      </c>
      <c r="H18" s="1">
        <v>60</v>
      </c>
      <c r="I18" s="1" t="s">
        <v>39</v>
      </c>
      <c r="J18" s="1"/>
      <c r="K18" s="1">
        <v>48.1</v>
      </c>
      <c r="L18" s="1">
        <f t="shared" si="2"/>
        <v>2</v>
      </c>
      <c r="M18" s="1"/>
      <c r="N18" s="1"/>
      <c r="O18" s="1">
        <v>0</v>
      </c>
      <c r="P18" s="1"/>
      <c r="Q18" s="1"/>
      <c r="R18" s="1">
        <v>11.7662</v>
      </c>
      <c r="S18" s="1">
        <f t="shared" si="3"/>
        <v>10.02</v>
      </c>
      <c r="T18" s="5">
        <f t="shared" si="9"/>
        <v>64.537800000000004</v>
      </c>
      <c r="U18" s="1">
        <f t="shared" si="4"/>
        <v>12.000000000000002</v>
      </c>
      <c r="V18" s="1">
        <f t="shared" si="5"/>
        <v>5.5591017964071856</v>
      </c>
      <c r="W18" s="1">
        <v>6.4992000000000001</v>
      </c>
      <c r="X18" s="1">
        <v>4.6139999999999999</v>
      </c>
      <c r="Y18" s="1">
        <v>9.6975999999999996</v>
      </c>
      <c r="Z18" s="1">
        <v>9.870000000000001</v>
      </c>
      <c r="AA18" s="1">
        <v>4.0758000000000001</v>
      </c>
      <c r="AB18" s="1">
        <v>5.8464</v>
      </c>
      <c r="AC18" s="1">
        <v>11.7798</v>
      </c>
      <c r="AD18" s="1">
        <v>9.9963999999999995</v>
      </c>
      <c r="AE18" s="1">
        <v>9.1463999999999999</v>
      </c>
      <c r="AF18" s="1">
        <v>10.711600000000001</v>
      </c>
      <c r="AG18" s="1"/>
      <c r="AH18" s="1">
        <f t="shared" si="8"/>
        <v>64.537800000000004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38</v>
      </c>
      <c r="C19" s="1">
        <v>9.7859999999999996</v>
      </c>
      <c r="D19" s="1">
        <v>36.630000000000003</v>
      </c>
      <c r="E19" s="1">
        <v>30.567</v>
      </c>
      <c r="F19" s="1">
        <v>11.952999999999999</v>
      </c>
      <c r="G19" s="7">
        <v>1</v>
      </c>
      <c r="H19" s="1">
        <v>180</v>
      </c>
      <c r="I19" s="1" t="s">
        <v>39</v>
      </c>
      <c r="J19" s="1"/>
      <c r="K19" s="1">
        <v>41.58</v>
      </c>
      <c r="L19" s="1">
        <f t="shared" si="2"/>
        <v>-11.012999999999998</v>
      </c>
      <c r="M19" s="1"/>
      <c r="N19" s="1"/>
      <c r="O19" s="1">
        <v>21.703800000000012</v>
      </c>
      <c r="P19" s="1"/>
      <c r="Q19" s="1"/>
      <c r="R19" s="1">
        <v>28.187799999999989</v>
      </c>
      <c r="S19" s="1">
        <f t="shared" si="3"/>
        <v>6.1134000000000004</v>
      </c>
      <c r="T19" s="5">
        <f t="shared" si="9"/>
        <v>11.516200000000012</v>
      </c>
      <c r="U19" s="1">
        <f t="shared" si="4"/>
        <v>12.000000000000002</v>
      </c>
      <c r="V19" s="1">
        <f t="shared" si="5"/>
        <v>10.116236464160696</v>
      </c>
      <c r="W19" s="1">
        <v>6.3506</v>
      </c>
      <c r="X19" s="1">
        <v>4.6951999999999998</v>
      </c>
      <c r="Y19" s="1">
        <v>3.7277999999999998</v>
      </c>
      <c r="Z19" s="1">
        <v>4.875</v>
      </c>
      <c r="AA19" s="1">
        <v>3.3774000000000002</v>
      </c>
      <c r="AB19" s="1">
        <v>2.6214</v>
      </c>
      <c r="AC19" s="1">
        <v>3.2532000000000001</v>
      </c>
      <c r="AD19" s="1">
        <v>2.9756</v>
      </c>
      <c r="AE19" s="1">
        <v>3.4765999999999999</v>
      </c>
      <c r="AF19" s="1">
        <v>3.2033999999999998</v>
      </c>
      <c r="AG19" s="1"/>
      <c r="AH19" s="1">
        <f t="shared" si="8"/>
        <v>11.516200000000012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38</v>
      </c>
      <c r="C20" s="1">
        <v>539.505</v>
      </c>
      <c r="D20" s="1">
        <v>276.75400000000002</v>
      </c>
      <c r="E20" s="1">
        <v>389.548</v>
      </c>
      <c r="F20" s="1">
        <v>182.66900000000001</v>
      </c>
      <c r="G20" s="7">
        <v>1</v>
      </c>
      <c r="H20" s="1">
        <v>60</v>
      </c>
      <c r="I20" s="1" t="s">
        <v>39</v>
      </c>
      <c r="J20" s="1"/>
      <c r="K20" s="1">
        <v>403.42</v>
      </c>
      <c r="L20" s="1">
        <f t="shared" si="2"/>
        <v>-13.872000000000014</v>
      </c>
      <c r="M20" s="1"/>
      <c r="N20" s="1"/>
      <c r="O20" s="1">
        <v>228.09552599999961</v>
      </c>
      <c r="P20" s="1"/>
      <c r="Q20" s="1"/>
      <c r="R20" s="1">
        <v>227.1958740000004</v>
      </c>
      <c r="S20" s="1">
        <f t="shared" si="3"/>
        <v>77.909599999999998</v>
      </c>
      <c r="T20" s="5">
        <f t="shared" si="9"/>
        <v>296.95479999999986</v>
      </c>
      <c r="U20" s="1">
        <f t="shared" si="4"/>
        <v>11.999999999999998</v>
      </c>
      <c r="V20" s="1">
        <f t="shared" si="5"/>
        <v>8.1884697136168061</v>
      </c>
      <c r="W20" s="1">
        <v>72.000399999999999</v>
      </c>
      <c r="X20" s="1">
        <v>75.010799999999989</v>
      </c>
      <c r="Y20" s="1">
        <v>77.209599999999995</v>
      </c>
      <c r="Z20" s="1">
        <v>79.551599999999993</v>
      </c>
      <c r="AA20" s="1">
        <v>73.747199999999992</v>
      </c>
      <c r="AB20" s="1">
        <v>84.715599999999995</v>
      </c>
      <c r="AC20" s="1">
        <v>89.979399999999998</v>
      </c>
      <c r="AD20" s="1">
        <v>85.64500000000001</v>
      </c>
      <c r="AE20" s="1">
        <v>82.814400000000006</v>
      </c>
      <c r="AF20" s="1">
        <v>99.254800000000003</v>
      </c>
      <c r="AG20" s="1"/>
      <c r="AH20" s="1">
        <f t="shared" si="8"/>
        <v>296.95479999999986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38</v>
      </c>
      <c r="C21" s="1">
        <v>142.48699999999999</v>
      </c>
      <c r="D21" s="1">
        <v>48.2</v>
      </c>
      <c r="E21" s="1">
        <v>86.463999999999999</v>
      </c>
      <c r="F21" s="1">
        <v>71.497</v>
      </c>
      <c r="G21" s="7">
        <v>1</v>
      </c>
      <c r="H21" s="1">
        <v>70</v>
      </c>
      <c r="I21" s="1" t="s">
        <v>39</v>
      </c>
      <c r="J21" s="1"/>
      <c r="K21" s="1">
        <v>82.28</v>
      </c>
      <c r="L21" s="1">
        <f t="shared" si="2"/>
        <v>4.1839999999999975</v>
      </c>
      <c r="M21" s="1"/>
      <c r="N21" s="1"/>
      <c r="O21" s="1">
        <v>12.690800000000049</v>
      </c>
      <c r="P21" s="1"/>
      <c r="Q21" s="1"/>
      <c r="R21" s="1">
        <v>43.753399999999942</v>
      </c>
      <c r="S21" s="1">
        <f t="shared" si="3"/>
        <v>17.2928</v>
      </c>
      <c r="T21" s="5">
        <f t="shared" si="9"/>
        <v>79.572400000000002</v>
      </c>
      <c r="U21" s="1">
        <f t="shared" si="4"/>
        <v>12</v>
      </c>
      <c r="V21" s="1">
        <f t="shared" si="5"/>
        <v>7.3985242413027388</v>
      </c>
      <c r="W21" s="1">
        <v>16.8612</v>
      </c>
      <c r="X21" s="1">
        <v>15.4404</v>
      </c>
      <c r="Y21" s="1">
        <v>13</v>
      </c>
      <c r="Z21" s="1">
        <v>21.806999999999999</v>
      </c>
      <c r="AA21" s="1">
        <v>21.227</v>
      </c>
      <c r="AB21" s="1">
        <v>14.3834</v>
      </c>
      <c r="AC21" s="1">
        <v>19.766999999999999</v>
      </c>
      <c r="AD21" s="1">
        <v>31.105599999999999</v>
      </c>
      <c r="AE21" s="1">
        <v>31.758400000000002</v>
      </c>
      <c r="AF21" s="1">
        <v>22.8048</v>
      </c>
      <c r="AG21" s="1"/>
      <c r="AH21" s="1">
        <f t="shared" si="8"/>
        <v>79.572400000000002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idden="1" x14ac:dyDescent="0.25">
      <c r="A22" s="1" t="s">
        <v>59</v>
      </c>
      <c r="B22" s="1" t="s">
        <v>38</v>
      </c>
      <c r="C22" s="1">
        <v>173.417</v>
      </c>
      <c r="D22" s="1">
        <v>2.6419999999999999</v>
      </c>
      <c r="E22" s="1">
        <v>176.59299999999999</v>
      </c>
      <c r="F22" s="1">
        <v>-3.1789999999999998</v>
      </c>
      <c r="G22" s="7">
        <v>1</v>
      </c>
      <c r="H22" s="1">
        <v>70</v>
      </c>
      <c r="I22" s="9" t="s">
        <v>50</v>
      </c>
      <c r="J22" s="1"/>
      <c r="K22" s="1">
        <v>171.4</v>
      </c>
      <c r="L22" s="1">
        <f t="shared" si="2"/>
        <v>5.1929999999999836</v>
      </c>
      <c r="M22" s="1"/>
      <c r="N22" s="1"/>
      <c r="O22" s="1">
        <v>172.50507200000001</v>
      </c>
      <c r="P22" s="1">
        <v>-174.24</v>
      </c>
      <c r="Q22" s="1"/>
      <c r="R22" s="1">
        <v>70</v>
      </c>
      <c r="S22" s="1">
        <f t="shared" si="3"/>
        <v>35.318599999999996</v>
      </c>
      <c r="T22" s="5">
        <v>70</v>
      </c>
      <c r="U22" s="1">
        <f t="shared" si="4"/>
        <v>3.8247855804023945</v>
      </c>
      <c r="V22" s="1">
        <f t="shared" si="5"/>
        <v>1.8428270656254779</v>
      </c>
      <c r="W22" s="1">
        <v>41.7134</v>
      </c>
      <c r="X22" s="1">
        <v>43.699199999999998</v>
      </c>
      <c r="Y22" s="1">
        <v>38.575599999999987</v>
      </c>
      <c r="Z22" s="1">
        <v>44.986800000000002</v>
      </c>
      <c r="AA22" s="1">
        <v>38.965000000000003</v>
      </c>
      <c r="AB22" s="1">
        <v>37.324399999999997</v>
      </c>
      <c r="AC22" s="1">
        <v>42.604799999999997</v>
      </c>
      <c r="AD22" s="1">
        <v>42.156199999999998</v>
      </c>
      <c r="AE22" s="1">
        <v>46.545400000000001</v>
      </c>
      <c r="AF22" s="1">
        <v>57.740400000000001</v>
      </c>
      <c r="AG22" s="1"/>
      <c r="AH22" s="1">
        <f t="shared" si="8"/>
        <v>70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38</v>
      </c>
      <c r="C23" s="1">
        <v>15.82</v>
      </c>
      <c r="D23" s="1">
        <v>21.652000000000001</v>
      </c>
      <c r="E23" s="1">
        <v>37.953000000000003</v>
      </c>
      <c r="F23" s="1">
        <v>-0.48099999999999998</v>
      </c>
      <c r="G23" s="7">
        <v>1</v>
      </c>
      <c r="H23" s="1">
        <v>180</v>
      </c>
      <c r="I23" s="1" t="s">
        <v>39</v>
      </c>
      <c r="J23" s="1"/>
      <c r="K23" s="1">
        <v>38.091000000000001</v>
      </c>
      <c r="L23" s="1">
        <f t="shared" si="2"/>
        <v>-0.13799999999999812</v>
      </c>
      <c r="M23" s="1"/>
      <c r="N23" s="1"/>
      <c r="O23" s="1">
        <v>22.764399999999991</v>
      </c>
      <c r="P23" s="1"/>
      <c r="Q23" s="1"/>
      <c r="R23" s="1">
        <v>55.860000000000007</v>
      </c>
      <c r="S23" s="1">
        <f t="shared" si="3"/>
        <v>7.5906000000000002</v>
      </c>
      <c r="T23" s="5">
        <f t="shared" si="9"/>
        <v>12.943799999999998</v>
      </c>
      <c r="U23" s="1">
        <f t="shared" si="4"/>
        <v>11.999999999999998</v>
      </c>
      <c r="V23" s="1">
        <f t="shared" si="5"/>
        <v>10.294759307564618</v>
      </c>
      <c r="W23" s="1">
        <v>9.031600000000001</v>
      </c>
      <c r="X23" s="1">
        <v>4.0991999999999997</v>
      </c>
      <c r="Y23" s="1">
        <v>1.9630000000000001</v>
      </c>
      <c r="Z23" s="1">
        <v>4.3348000000000004</v>
      </c>
      <c r="AA23" s="1">
        <v>3.0522</v>
      </c>
      <c r="AB23" s="1">
        <v>3.3224</v>
      </c>
      <c r="AC23" s="1">
        <v>4.6915999999999993</v>
      </c>
      <c r="AD23" s="1">
        <v>3.9258000000000002</v>
      </c>
      <c r="AE23" s="1">
        <v>4.0861999999999998</v>
      </c>
      <c r="AF23" s="1">
        <v>3.0114000000000001</v>
      </c>
      <c r="AG23" s="1"/>
      <c r="AH23" s="1">
        <f t="shared" si="8"/>
        <v>12.943799999999998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61</v>
      </c>
      <c r="B24" s="1" t="s">
        <v>38</v>
      </c>
      <c r="C24" s="1">
        <v>147.09700000000001</v>
      </c>
      <c r="D24" s="1">
        <v>2.6419999999999999</v>
      </c>
      <c r="E24" s="1">
        <v>159.119</v>
      </c>
      <c r="F24" s="1">
        <v>-11.143000000000001</v>
      </c>
      <c r="G24" s="7">
        <v>1</v>
      </c>
      <c r="H24" s="1">
        <v>70</v>
      </c>
      <c r="I24" s="9" t="s">
        <v>50</v>
      </c>
      <c r="J24" s="1"/>
      <c r="K24" s="1">
        <v>155.5</v>
      </c>
      <c r="L24" s="1">
        <f t="shared" si="2"/>
        <v>3.6189999999999998</v>
      </c>
      <c r="M24" s="1"/>
      <c r="N24" s="1"/>
      <c r="O24" s="1">
        <v>147.5783799999999</v>
      </c>
      <c r="P24" s="1">
        <v>-153.12</v>
      </c>
      <c r="Q24" s="1"/>
      <c r="R24" s="1">
        <v>70</v>
      </c>
      <c r="S24" s="1">
        <f t="shared" si="3"/>
        <v>31.823799999999999</v>
      </c>
      <c r="T24" s="5">
        <v>70</v>
      </c>
      <c r="U24" s="1">
        <f t="shared" si="4"/>
        <v>3.8749420245225239</v>
      </c>
      <c r="V24" s="1">
        <f t="shared" si="5"/>
        <v>1.6753304130870572</v>
      </c>
      <c r="W24" s="1">
        <v>37.118400000000001</v>
      </c>
      <c r="X24" s="1">
        <v>39.154400000000003</v>
      </c>
      <c r="Y24" s="1">
        <v>36.545400000000001</v>
      </c>
      <c r="Z24" s="1">
        <v>37.086200000000012</v>
      </c>
      <c r="AA24" s="1">
        <v>30.3794</v>
      </c>
      <c r="AB24" s="1">
        <v>37.165799999999997</v>
      </c>
      <c r="AC24" s="1">
        <v>46.671199999999999</v>
      </c>
      <c r="AD24" s="1">
        <v>51.576599999999999</v>
      </c>
      <c r="AE24" s="1">
        <v>50.810199999999988</v>
      </c>
      <c r="AF24" s="1">
        <v>51.419199999999996</v>
      </c>
      <c r="AG24" s="1"/>
      <c r="AH24" s="1">
        <f t="shared" si="8"/>
        <v>70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10" t="s">
        <v>62</v>
      </c>
      <c r="B25" s="10" t="s">
        <v>38</v>
      </c>
      <c r="C25" s="10">
        <v>1.0980000000000001</v>
      </c>
      <c r="D25" s="10"/>
      <c r="E25" s="10">
        <v>-0.69699999999999995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1.4</v>
      </c>
      <c r="L25" s="10">
        <f t="shared" si="2"/>
        <v>-2.097</v>
      </c>
      <c r="M25" s="10"/>
      <c r="N25" s="10"/>
      <c r="O25" s="10">
        <v>0</v>
      </c>
      <c r="P25" s="10"/>
      <c r="Q25" s="10"/>
      <c r="R25" s="10">
        <v>0</v>
      </c>
      <c r="S25" s="10">
        <f t="shared" si="3"/>
        <v>-0.1394</v>
      </c>
      <c r="T25" s="12"/>
      <c r="U25" s="10">
        <f t="shared" si="4"/>
        <v>-2.8550932568149214</v>
      </c>
      <c r="V25" s="10">
        <f t="shared" si="5"/>
        <v>-2.8550932568149214</v>
      </c>
      <c r="W25" s="10">
        <v>-0.42159999999999997</v>
      </c>
      <c r="X25" s="10">
        <v>-0.28220000000000001</v>
      </c>
      <c r="Y25" s="10">
        <v>-0.14000000000000001</v>
      </c>
      <c r="Z25" s="10">
        <v>-0.14000000000000001</v>
      </c>
      <c r="AA25" s="10">
        <v>0</v>
      </c>
      <c r="AB25" s="10">
        <v>4.6292</v>
      </c>
      <c r="AC25" s="10">
        <v>6.452</v>
      </c>
      <c r="AD25" s="10">
        <v>6.3102</v>
      </c>
      <c r="AE25" s="10">
        <v>5.6124000000000001</v>
      </c>
      <c r="AF25" s="10">
        <v>3.0931999999999999</v>
      </c>
      <c r="AG25" s="10"/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 x14ac:dyDescent="0.25">
      <c r="A26" s="10" t="s">
        <v>64</v>
      </c>
      <c r="B26" s="10" t="s">
        <v>38</v>
      </c>
      <c r="C26" s="10"/>
      <c r="D26" s="10"/>
      <c r="E26" s="10"/>
      <c r="F26" s="10"/>
      <c r="G26" s="11">
        <v>0</v>
      </c>
      <c r="H26" s="10"/>
      <c r="I26" s="10" t="s">
        <v>39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>
        <f t="shared" si="3"/>
        <v>0</v>
      </c>
      <c r="T26" s="12"/>
      <c r="U26" s="10" t="e">
        <f t="shared" si="4"/>
        <v>#DIV/0!</v>
      </c>
      <c r="V26" s="10" t="e">
        <f t="shared" si="5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48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38</v>
      </c>
      <c r="C27" s="1">
        <v>95.05</v>
      </c>
      <c r="D27" s="1">
        <v>346.036</v>
      </c>
      <c r="E27" s="1">
        <v>268.45999999999998</v>
      </c>
      <c r="F27" s="1">
        <v>129.00899999999999</v>
      </c>
      <c r="G27" s="7">
        <v>1</v>
      </c>
      <c r="H27" s="1">
        <v>30</v>
      </c>
      <c r="I27" s="1" t="s">
        <v>39</v>
      </c>
      <c r="J27" s="1"/>
      <c r="K27" s="1">
        <v>242.8</v>
      </c>
      <c r="L27" s="1">
        <f t="shared" si="2"/>
        <v>25.659999999999968</v>
      </c>
      <c r="M27" s="1"/>
      <c r="N27" s="1"/>
      <c r="O27" s="1">
        <v>62.448116000000233</v>
      </c>
      <c r="P27" s="1"/>
      <c r="Q27" s="1"/>
      <c r="R27" s="1">
        <v>332.22768399999961</v>
      </c>
      <c r="S27" s="1">
        <f t="shared" si="3"/>
        <v>53.691999999999993</v>
      </c>
      <c r="T27" s="5">
        <f t="shared" ref="T27:T33" si="10">12*S27-R27-Q27-P27-O27-F27</f>
        <v>120.61920000000003</v>
      </c>
      <c r="U27" s="1">
        <f t="shared" si="4"/>
        <v>11.999999999999998</v>
      </c>
      <c r="V27" s="1">
        <f t="shared" si="5"/>
        <v>9.7534977277806725</v>
      </c>
      <c r="W27" s="1">
        <v>57.585799999999992</v>
      </c>
      <c r="X27" s="1">
        <v>41.682000000000002</v>
      </c>
      <c r="Y27" s="1">
        <v>45.629399999999997</v>
      </c>
      <c r="Z27" s="1">
        <v>54.0336</v>
      </c>
      <c r="AA27" s="1">
        <v>33.3504</v>
      </c>
      <c r="AB27" s="1">
        <v>39.0062</v>
      </c>
      <c r="AC27" s="1">
        <v>53.301000000000002</v>
      </c>
      <c r="AD27" s="1">
        <v>46.706800000000001</v>
      </c>
      <c r="AE27" s="1">
        <v>23.161200000000001</v>
      </c>
      <c r="AF27" s="1">
        <v>34.602600000000002</v>
      </c>
      <c r="AG27" s="1"/>
      <c r="AH27" s="1">
        <f t="shared" ref="AH27:AH33" si="11">G27*T27</f>
        <v>120.61920000000003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66</v>
      </c>
      <c r="B28" s="1" t="s">
        <v>38</v>
      </c>
      <c r="C28" s="1">
        <v>3.702</v>
      </c>
      <c r="D28" s="1"/>
      <c r="E28" s="1">
        <v>-2.048</v>
      </c>
      <c r="F28" s="1">
        <v>3.702</v>
      </c>
      <c r="G28" s="7">
        <v>1</v>
      </c>
      <c r="H28" s="1">
        <v>40</v>
      </c>
      <c r="I28" s="9" t="s">
        <v>50</v>
      </c>
      <c r="J28" s="1"/>
      <c r="K28" s="1">
        <v>40.799999999999997</v>
      </c>
      <c r="L28" s="1">
        <f t="shared" si="2"/>
        <v>-42.847999999999999</v>
      </c>
      <c r="M28" s="1"/>
      <c r="N28" s="1"/>
      <c r="O28" s="1">
        <v>54</v>
      </c>
      <c r="P28" s="1">
        <v>-54</v>
      </c>
      <c r="Q28" s="1"/>
      <c r="R28" s="1">
        <v>105</v>
      </c>
      <c r="S28" s="1">
        <f t="shared" si="3"/>
        <v>-0.40960000000000002</v>
      </c>
      <c r="T28" s="5">
        <v>100</v>
      </c>
      <c r="U28" s="1">
        <f t="shared" si="4"/>
        <v>-509.52636718749994</v>
      </c>
      <c r="V28" s="1">
        <f t="shared" si="5"/>
        <v>-265.3857421875</v>
      </c>
      <c r="W28" s="1">
        <v>-0.79859999999999998</v>
      </c>
      <c r="X28" s="1">
        <v>0.30380000000000001</v>
      </c>
      <c r="Y28" s="1">
        <v>-2.1000000000000001E-2</v>
      </c>
      <c r="Z28" s="1">
        <v>0.1164</v>
      </c>
      <c r="AA28" s="1">
        <v>1.6801999999999999</v>
      </c>
      <c r="AB28" s="1">
        <v>37.1038</v>
      </c>
      <c r="AC28" s="1">
        <v>73.638800000000003</v>
      </c>
      <c r="AD28" s="1">
        <v>62.238599999999998</v>
      </c>
      <c r="AE28" s="1">
        <v>32.152799999999999</v>
      </c>
      <c r="AF28" s="1">
        <v>66.114800000000002</v>
      </c>
      <c r="AG28" s="1"/>
      <c r="AH28" s="1">
        <f t="shared" si="11"/>
        <v>100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67</v>
      </c>
      <c r="B29" s="1" t="s">
        <v>38</v>
      </c>
      <c r="C29" s="1">
        <v>51.353999999999999</v>
      </c>
      <c r="D29" s="1">
        <v>12.343999999999999</v>
      </c>
      <c r="E29" s="1">
        <v>57.77</v>
      </c>
      <c r="F29" s="1">
        <v>-0.13</v>
      </c>
      <c r="G29" s="7">
        <v>1</v>
      </c>
      <c r="H29" s="1">
        <v>30</v>
      </c>
      <c r="I29" s="9" t="s">
        <v>50</v>
      </c>
      <c r="J29" s="1"/>
      <c r="K29" s="1">
        <v>89.3</v>
      </c>
      <c r="L29" s="1">
        <f t="shared" si="2"/>
        <v>-31.529999999999994</v>
      </c>
      <c r="M29" s="1"/>
      <c r="N29" s="1"/>
      <c r="O29" s="1">
        <v>180</v>
      </c>
      <c r="P29" s="1">
        <v>-93.7</v>
      </c>
      <c r="Q29" s="1"/>
      <c r="R29" s="1">
        <v>140</v>
      </c>
      <c r="S29" s="1">
        <f t="shared" si="3"/>
        <v>11.554</v>
      </c>
      <c r="T29" s="5">
        <v>150</v>
      </c>
      <c r="U29" s="1">
        <f t="shared" si="4"/>
        <v>32.557555824822572</v>
      </c>
      <c r="V29" s="1">
        <f t="shared" si="5"/>
        <v>19.575038947550631</v>
      </c>
      <c r="W29" s="1">
        <v>72.658000000000001</v>
      </c>
      <c r="X29" s="1">
        <v>66.253200000000007</v>
      </c>
      <c r="Y29" s="1">
        <v>2.3946000000000001</v>
      </c>
      <c r="Z29" s="1">
        <v>-0.96219999999999994</v>
      </c>
      <c r="AA29" s="1">
        <v>10.6404</v>
      </c>
      <c r="AB29" s="1">
        <v>28.9634</v>
      </c>
      <c r="AC29" s="1">
        <v>20.459</v>
      </c>
      <c r="AD29" s="1">
        <v>-1.2302</v>
      </c>
      <c r="AE29" s="1">
        <v>10.5242</v>
      </c>
      <c r="AF29" s="1">
        <v>51.875800000000012</v>
      </c>
      <c r="AG29" s="1"/>
      <c r="AH29" s="1">
        <f t="shared" si="11"/>
        <v>150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68</v>
      </c>
      <c r="B30" s="1" t="s">
        <v>38</v>
      </c>
      <c r="C30" s="1">
        <v>-7.3979999999999997</v>
      </c>
      <c r="D30" s="1">
        <v>20.27</v>
      </c>
      <c r="E30" s="1">
        <v>20.097999999999999</v>
      </c>
      <c r="F30" s="1">
        <v>-7.4480000000000004</v>
      </c>
      <c r="G30" s="7">
        <v>1</v>
      </c>
      <c r="H30" s="1">
        <v>40</v>
      </c>
      <c r="I30" s="9" t="s">
        <v>50</v>
      </c>
      <c r="J30" s="1"/>
      <c r="K30" s="1">
        <v>38.6</v>
      </c>
      <c r="L30" s="1">
        <f t="shared" si="2"/>
        <v>-18.502000000000002</v>
      </c>
      <c r="M30" s="1"/>
      <c r="N30" s="1"/>
      <c r="O30" s="1">
        <v>180</v>
      </c>
      <c r="P30" s="1"/>
      <c r="Q30" s="1"/>
      <c r="R30" s="1">
        <v>280</v>
      </c>
      <c r="S30" s="1">
        <f t="shared" si="3"/>
        <v>4.0195999999999996</v>
      </c>
      <c r="T30" s="5">
        <v>200</v>
      </c>
      <c r="U30" s="1">
        <f t="shared" si="4"/>
        <v>162.34252164394468</v>
      </c>
      <c r="V30" s="1">
        <f t="shared" si="5"/>
        <v>112.58632699771123</v>
      </c>
      <c r="W30" s="1">
        <v>85.760400000000004</v>
      </c>
      <c r="X30" s="1">
        <v>91.31280000000001</v>
      </c>
      <c r="Y30" s="1">
        <v>5.6337999999999999</v>
      </c>
      <c r="Z30" s="1">
        <v>-0.54759999999999998</v>
      </c>
      <c r="AA30" s="1">
        <v>-0.10059999999999999</v>
      </c>
      <c r="AB30" s="1">
        <v>-0.82639999999999991</v>
      </c>
      <c r="AC30" s="1">
        <v>0.14080000000000001</v>
      </c>
      <c r="AD30" s="1">
        <v>2.6922000000000001</v>
      </c>
      <c r="AE30" s="1">
        <v>93.157600000000002</v>
      </c>
      <c r="AF30" s="1">
        <v>186.66319999999999</v>
      </c>
      <c r="AG30" s="1"/>
      <c r="AH30" s="1">
        <f t="shared" si="11"/>
        <v>200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1" t="s">
        <v>69</v>
      </c>
      <c r="B31" s="1" t="s">
        <v>38</v>
      </c>
      <c r="C31" s="1">
        <v>17.356000000000002</v>
      </c>
      <c r="D31" s="1"/>
      <c r="E31" s="1">
        <v>17.074000000000002</v>
      </c>
      <c r="F31" s="1">
        <v>0.28199999999999997</v>
      </c>
      <c r="G31" s="7">
        <v>1</v>
      </c>
      <c r="H31" s="1">
        <v>40</v>
      </c>
      <c r="I31" s="9" t="s">
        <v>50</v>
      </c>
      <c r="J31" s="1"/>
      <c r="K31" s="1">
        <v>23.4</v>
      </c>
      <c r="L31" s="1">
        <f t="shared" si="2"/>
        <v>-6.325999999999997</v>
      </c>
      <c r="M31" s="1"/>
      <c r="N31" s="1"/>
      <c r="O31" s="1">
        <v>10</v>
      </c>
      <c r="P31" s="1">
        <v>-10</v>
      </c>
      <c r="Q31" s="1"/>
      <c r="R31" s="1">
        <v>20</v>
      </c>
      <c r="S31" s="1">
        <f t="shared" si="3"/>
        <v>3.4148000000000005</v>
      </c>
      <c r="T31" s="5">
        <v>20</v>
      </c>
      <c r="U31" s="1">
        <f t="shared" si="4"/>
        <v>11.796298465503101</v>
      </c>
      <c r="V31" s="1">
        <f t="shared" si="5"/>
        <v>5.9394400843387603</v>
      </c>
      <c r="W31" s="1">
        <v>5.5952000000000002</v>
      </c>
      <c r="X31" s="1">
        <v>2.1804000000000001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0.87280000000000002</v>
      </c>
      <c r="AG31" s="1"/>
      <c r="AH31" s="1">
        <f t="shared" si="11"/>
        <v>20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38</v>
      </c>
      <c r="C32" s="1">
        <v>83.861000000000004</v>
      </c>
      <c r="D32" s="1">
        <v>14.452</v>
      </c>
      <c r="E32" s="1">
        <v>68.843999999999994</v>
      </c>
      <c r="F32" s="1">
        <v>13.888999999999999</v>
      </c>
      <c r="G32" s="7">
        <v>1</v>
      </c>
      <c r="H32" s="1">
        <v>30</v>
      </c>
      <c r="I32" s="1" t="s">
        <v>39</v>
      </c>
      <c r="J32" s="1"/>
      <c r="K32" s="1">
        <v>71.2</v>
      </c>
      <c r="L32" s="1">
        <f t="shared" si="2"/>
        <v>-2.3560000000000088</v>
      </c>
      <c r="M32" s="1"/>
      <c r="N32" s="1"/>
      <c r="O32" s="1">
        <v>48.816600000000008</v>
      </c>
      <c r="P32" s="1"/>
      <c r="Q32" s="1"/>
      <c r="R32" s="1">
        <v>113.1324</v>
      </c>
      <c r="S32" s="1">
        <f t="shared" si="3"/>
        <v>13.768799999999999</v>
      </c>
      <c r="T32" s="5"/>
      <c r="U32" s="1">
        <f t="shared" si="4"/>
        <v>12.770757073964328</v>
      </c>
      <c r="V32" s="1">
        <f t="shared" si="5"/>
        <v>12.770757073964328</v>
      </c>
      <c r="W32" s="1">
        <v>18.741599999999998</v>
      </c>
      <c r="X32" s="1">
        <v>8.1288</v>
      </c>
      <c r="Y32" s="1">
        <v>0.57519999999999993</v>
      </c>
      <c r="Z32" s="1">
        <v>4.4287999999999998</v>
      </c>
      <c r="AA32" s="1">
        <v>9.4892000000000003</v>
      </c>
      <c r="AB32" s="1">
        <v>9.4754000000000005</v>
      </c>
      <c r="AC32" s="1">
        <v>3.5449999999999999</v>
      </c>
      <c r="AD32" s="1">
        <v>0</v>
      </c>
      <c r="AE32" s="1">
        <v>5.3902000000000001</v>
      </c>
      <c r="AF32" s="1">
        <v>10.913</v>
      </c>
      <c r="AG32" s="1"/>
      <c r="AH32" s="1">
        <f t="shared" si="11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38</v>
      </c>
      <c r="C33" s="1">
        <v>68.534999999999997</v>
      </c>
      <c r="D33" s="1">
        <v>57.563000000000002</v>
      </c>
      <c r="E33" s="1">
        <v>56.734000000000002</v>
      </c>
      <c r="F33" s="1">
        <v>26.263000000000002</v>
      </c>
      <c r="G33" s="7">
        <v>1</v>
      </c>
      <c r="H33" s="1">
        <v>50</v>
      </c>
      <c r="I33" s="1" t="s">
        <v>39</v>
      </c>
      <c r="J33" s="1"/>
      <c r="K33" s="1">
        <v>61.5</v>
      </c>
      <c r="L33" s="1">
        <f t="shared" si="2"/>
        <v>-4.7659999999999982</v>
      </c>
      <c r="M33" s="1"/>
      <c r="N33" s="1"/>
      <c r="O33" s="1">
        <v>10.21679999999999</v>
      </c>
      <c r="P33" s="1"/>
      <c r="Q33" s="1"/>
      <c r="R33" s="1">
        <v>62.060200000000009</v>
      </c>
      <c r="S33" s="1">
        <f t="shared" si="3"/>
        <v>11.3468</v>
      </c>
      <c r="T33" s="5">
        <f t="shared" si="10"/>
        <v>37.621599999999987</v>
      </c>
      <c r="U33" s="1">
        <f t="shared" si="4"/>
        <v>11.999999999999996</v>
      </c>
      <c r="V33" s="1">
        <f t="shared" si="5"/>
        <v>8.684386787464307</v>
      </c>
      <c r="W33" s="1">
        <v>12.454000000000001</v>
      </c>
      <c r="X33" s="1">
        <v>10.270799999999999</v>
      </c>
      <c r="Y33" s="1">
        <v>14.135999999999999</v>
      </c>
      <c r="Z33" s="1">
        <v>12.776400000000001</v>
      </c>
      <c r="AA33" s="1">
        <v>6.4742000000000006</v>
      </c>
      <c r="AB33" s="1">
        <v>12.1784</v>
      </c>
      <c r="AC33" s="1">
        <v>24.013999999999999</v>
      </c>
      <c r="AD33" s="1">
        <v>21.271599999999999</v>
      </c>
      <c r="AE33" s="1">
        <v>12.952199999999999</v>
      </c>
      <c r="AF33" s="1">
        <v>13.867599999999999</v>
      </c>
      <c r="AG33" s="1"/>
      <c r="AH33" s="1">
        <f t="shared" si="11"/>
        <v>37.621599999999987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0" t="s">
        <v>72</v>
      </c>
      <c r="B34" s="10" t="s">
        <v>38</v>
      </c>
      <c r="C34" s="10">
        <v>3.173</v>
      </c>
      <c r="D34" s="10"/>
      <c r="E34" s="10">
        <v>-0.91100000000000003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12.8</v>
      </c>
      <c r="L34" s="10">
        <f t="shared" si="2"/>
        <v>-13.711</v>
      </c>
      <c r="M34" s="10"/>
      <c r="N34" s="10"/>
      <c r="O34" s="10">
        <v>0</v>
      </c>
      <c r="P34" s="10"/>
      <c r="Q34" s="10"/>
      <c r="R34" s="10">
        <v>0</v>
      </c>
      <c r="S34" s="10">
        <f t="shared" si="3"/>
        <v>-0.1822</v>
      </c>
      <c r="T34" s="12"/>
      <c r="U34" s="10">
        <f t="shared" si="4"/>
        <v>-17.414928649835346</v>
      </c>
      <c r="V34" s="10">
        <f t="shared" si="5"/>
        <v>-17.414928649835346</v>
      </c>
      <c r="W34" s="10">
        <v>-0.54239999999999999</v>
      </c>
      <c r="X34" s="10">
        <v>-2.3757999999999999</v>
      </c>
      <c r="Y34" s="10">
        <v>-0.74660000000000004</v>
      </c>
      <c r="Z34" s="10">
        <v>5.9942000000000002</v>
      </c>
      <c r="AA34" s="10">
        <v>6.5543999999999993</v>
      </c>
      <c r="AB34" s="10">
        <v>7.2969999999999997</v>
      </c>
      <c r="AC34" s="10">
        <v>12.2094</v>
      </c>
      <c r="AD34" s="10">
        <v>12.5466</v>
      </c>
      <c r="AE34" s="10">
        <v>9.8046000000000006</v>
      </c>
      <c r="AF34" s="10">
        <v>10.172000000000001</v>
      </c>
      <c r="AG34" s="10"/>
      <c r="AH34" s="1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73</v>
      </c>
      <c r="B35" s="1" t="s">
        <v>38</v>
      </c>
      <c r="C35" s="1">
        <v>73.114999999999995</v>
      </c>
      <c r="D35" s="1">
        <v>0.89800000000000002</v>
      </c>
      <c r="E35" s="1">
        <v>63.51</v>
      </c>
      <c r="F35" s="1">
        <v>4.1219999999999999</v>
      </c>
      <c r="G35" s="7">
        <v>1</v>
      </c>
      <c r="H35" s="1">
        <v>50</v>
      </c>
      <c r="I35" s="9" t="s">
        <v>50</v>
      </c>
      <c r="J35" s="1"/>
      <c r="K35" s="1">
        <v>53.1</v>
      </c>
      <c r="L35" s="1">
        <f t="shared" si="2"/>
        <v>10.409999999999997</v>
      </c>
      <c r="M35" s="1"/>
      <c r="N35" s="1"/>
      <c r="O35" s="1">
        <v>10</v>
      </c>
      <c r="P35" s="1"/>
      <c r="Q35" s="1"/>
      <c r="R35" s="1">
        <v>30</v>
      </c>
      <c r="S35" s="1">
        <f t="shared" si="3"/>
        <v>12.702</v>
      </c>
      <c r="T35" s="5">
        <v>50</v>
      </c>
      <c r="U35" s="1">
        <f t="shared" si="4"/>
        <v>7.4100141709966936</v>
      </c>
      <c r="V35" s="1">
        <f t="shared" si="5"/>
        <v>3.4736262005983312</v>
      </c>
      <c r="W35" s="1">
        <v>10.155799999999999</v>
      </c>
      <c r="X35" s="1">
        <v>6.3393999999999986</v>
      </c>
      <c r="Y35" s="1">
        <v>11.959199999999999</v>
      </c>
      <c r="Z35" s="1">
        <v>10.5078</v>
      </c>
      <c r="AA35" s="1">
        <v>5.4367999999999999</v>
      </c>
      <c r="AB35" s="1">
        <v>6.6819999999999986</v>
      </c>
      <c r="AC35" s="1">
        <v>14.173999999999999</v>
      </c>
      <c r="AD35" s="1">
        <v>14.984400000000001</v>
      </c>
      <c r="AE35" s="1">
        <v>12.6342</v>
      </c>
      <c r="AF35" s="1">
        <v>12.2704</v>
      </c>
      <c r="AG35" s="1"/>
      <c r="AH35" s="1">
        <f t="shared" ref="AH35:AH45" si="12">G35*T35</f>
        <v>50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 x14ac:dyDescent="0.25">
      <c r="A36" s="1" t="s">
        <v>74</v>
      </c>
      <c r="B36" s="1" t="s">
        <v>43</v>
      </c>
      <c r="C36" s="1">
        <v>4</v>
      </c>
      <c r="D36" s="1">
        <v>529</v>
      </c>
      <c r="E36" s="1">
        <v>528</v>
      </c>
      <c r="F36" s="1">
        <v>3</v>
      </c>
      <c r="G36" s="7">
        <v>0.4</v>
      </c>
      <c r="H36" s="1">
        <v>45</v>
      </c>
      <c r="I36" s="9" t="s">
        <v>50</v>
      </c>
      <c r="J36" s="1"/>
      <c r="K36" s="1">
        <v>611</v>
      </c>
      <c r="L36" s="1">
        <f t="shared" si="2"/>
        <v>-83</v>
      </c>
      <c r="M36" s="1"/>
      <c r="N36" s="1"/>
      <c r="O36" s="1">
        <v>270</v>
      </c>
      <c r="P36" s="1"/>
      <c r="Q36" s="1"/>
      <c r="R36" s="1">
        <v>350</v>
      </c>
      <c r="S36" s="1">
        <f t="shared" si="3"/>
        <v>105.6</v>
      </c>
      <c r="T36" s="5">
        <v>500</v>
      </c>
      <c r="U36" s="1">
        <f t="shared" si="4"/>
        <v>10.634469696969697</v>
      </c>
      <c r="V36" s="1">
        <f t="shared" si="5"/>
        <v>5.8996212121212128</v>
      </c>
      <c r="W36" s="1">
        <v>114.4</v>
      </c>
      <c r="X36" s="1">
        <v>104.2</v>
      </c>
      <c r="Y36" s="1">
        <v>116</v>
      </c>
      <c r="Z36" s="1">
        <v>216.8</v>
      </c>
      <c r="AA36" s="1">
        <v>207.6</v>
      </c>
      <c r="AB36" s="1">
        <v>159.19999999999999</v>
      </c>
      <c r="AC36" s="1">
        <v>176.4</v>
      </c>
      <c r="AD36" s="1">
        <v>250</v>
      </c>
      <c r="AE36" s="1">
        <v>263.39999999999998</v>
      </c>
      <c r="AF36" s="1">
        <v>260</v>
      </c>
      <c r="AG36" s="1"/>
      <c r="AH36" s="1">
        <f t="shared" si="12"/>
        <v>200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43</v>
      </c>
      <c r="C37" s="1">
        <v>116</v>
      </c>
      <c r="D37" s="1">
        <v>21</v>
      </c>
      <c r="E37" s="1">
        <v>119</v>
      </c>
      <c r="F37" s="1">
        <v>3</v>
      </c>
      <c r="G37" s="7">
        <v>0.45</v>
      </c>
      <c r="H37" s="1">
        <v>50</v>
      </c>
      <c r="I37" s="1" t="s">
        <v>39</v>
      </c>
      <c r="J37" s="1"/>
      <c r="K37" s="1">
        <v>128</v>
      </c>
      <c r="L37" s="1">
        <f t="shared" si="2"/>
        <v>-9</v>
      </c>
      <c r="M37" s="1"/>
      <c r="N37" s="1"/>
      <c r="O37" s="1">
        <v>279.702</v>
      </c>
      <c r="P37" s="1"/>
      <c r="Q37" s="1"/>
      <c r="R37" s="1">
        <v>260.89800000000002</v>
      </c>
      <c r="S37" s="1">
        <f t="shared" si="3"/>
        <v>23.8</v>
      </c>
      <c r="T37" s="5"/>
      <c r="U37" s="1">
        <f t="shared" si="4"/>
        <v>22.840336134453782</v>
      </c>
      <c r="V37" s="1">
        <f t="shared" si="5"/>
        <v>22.840336134453782</v>
      </c>
      <c r="W37" s="1">
        <v>51.6</v>
      </c>
      <c r="X37" s="1">
        <v>52.6</v>
      </c>
      <c r="Y37" s="1">
        <v>22.2</v>
      </c>
      <c r="Z37" s="1">
        <v>31.6</v>
      </c>
      <c r="AA37" s="1">
        <v>33.799999999999997</v>
      </c>
      <c r="AB37" s="1">
        <v>31.2</v>
      </c>
      <c r="AC37" s="1">
        <v>42</v>
      </c>
      <c r="AD37" s="1">
        <v>45.4</v>
      </c>
      <c r="AE37" s="1">
        <v>60</v>
      </c>
      <c r="AF37" s="1">
        <v>71</v>
      </c>
      <c r="AG37" s="1"/>
      <c r="AH37" s="1">
        <f t="shared" si="12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76</v>
      </c>
      <c r="B38" s="1" t="s">
        <v>43</v>
      </c>
      <c r="C38" s="1">
        <v>22</v>
      </c>
      <c r="D38" s="1">
        <v>13</v>
      </c>
      <c r="E38" s="1">
        <v>12</v>
      </c>
      <c r="F38" s="1">
        <v>22</v>
      </c>
      <c r="G38" s="7">
        <v>0.4</v>
      </c>
      <c r="H38" s="1">
        <v>45</v>
      </c>
      <c r="I38" s="9" t="s">
        <v>50</v>
      </c>
      <c r="J38" s="1"/>
      <c r="K38" s="1">
        <v>185</v>
      </c>
      <c r="L38" s="1">
        <f t="shared" ref="L38:L69" si="13">E38-K38</f>
        <v>-173</v>
      </c>
      <c r="M38" s="1"/>
      <c r="N38" s="1"/>
      <c r="O38" s="1">
        <v>67.5</v>
      </c>
      <c r="P38" s="1">
        <v>-72</v>
      </c>
      <c r="Q38" s="1"/>
      <c r="R38" s="1">
        <v>70</v>
      </c>
      <c r="S38" s="1">
        <f t="shared" ref="S38:S69" si="14">E38/5</f>
        <v>2.4</v>
      </c>
      <c r="T38" s="5">
        <v>100</v>
      </c>
      <c r="U38" s="1">
        <f t="shared" ref="U38:U69" si="15">(F38+O38+P38+Q38+R38+T38)/S38</f>
        <v>78.125</v>
      </c>
      <c r="V38" s="1">
        <f t="shared" ref="V38:V69" si="16">(F38+O38+P38+Q38+R38)/S38</f>
        <v>36.458333333333336</v>
      </c>
      <c r="W38" s="1">
        <v>29</v>
      </c>
      <c r="X38" s="1">
        <v>33.6</v>
      </c>
      <c r="Y38" s="1">
        <v>5.4</v>
      </c>
      <c r="Z38" s="1">
        <v>27.8</v>
      </c>
      <c r="AA38" s="1">
        <v>61.4</v>
      </c>
      <c r="AB38" s="1">
        <v>43.8</v>
      </c>
      <c r="AC38" s="1">
        <v>19.8</v>
      </c>
      <c r="AD38" s="1">
        <v>19</v>
      </c>
      <c r="AE38" s="1">
        <v>23.4</v>
      </c>
      <c r="AF38" s="1">
        <v>63</v>
      </c>
      <c r="AG38" s="1"/>
      <c r="AH38" s="1">
        <f t="shared" si="12"/>
        <v>40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 x14ac:dyDescent="0.25">
      <c r="A39" s="1" t="s">
        <v>77</v>
      </c>
      <c r="B39" s="1" t="s">
        <v>43</v>
      </c>
      <c r="C39" s="1">
        <v>9</v>
      </c>
      <c r="D39" s="1">
        <v>6</v>
      </c>
      <c r="E39" s="1">
        <v>15</v>
      </c>
      <c r="F39" s="1">
        <v>-2</v>
      </c>
      <c r="G39" s="7">
        <v>0.4</v>
      </c>
      <c r="H39" s="1">
        <v>40</v>
      </c>
      <c r="I39" s="9" t="s">
        <v>50</v>
      </c>
      <c r="J39" s="1"/>
      <c r="K39" s="1">
        <v>25</v>
      </c>
      <c r="L39" s="1">
        <f t="shared" si="13"/>
        <v>-10</v>
      </c>
      <c r="M39" s="1"/>
      <c r="N39" s="1"/>
      <c r="O39" s="1">
        <v>20</v>
      </c>
      <c r="P39" s="1">
        <v>-24</v>
      </c>
      <c r="Q39" s="1"/>
      <c r="R39" s="1">
        <v>30</v>
      </c>
      <c r="S39" s="1">
        <f t="shared" si="14"/>
        <v>3</v>
      </c>
      <c r="T39" s="5">
        <v>20</v>
      </c>
      <c r="U39" s="1">
        <f t="shared" si="15"/>
        <v>14.666666666666666</v>
      </c>
      <c r="V39" s="1">
        <f t="shared" si="16"/>
        <v>8</v>
      </c>
      <c r="W39" s="1">
        <v>8.6</v>
      </c>
      <c r="X39" s="1">
        <v>9.1999999999999993</v>
      </c>
      <c r="Y39" s="1">
        <v>5.6</v>
      </c>
      <c r="Z39" s="1">
        <v>11.2</v>
      </c>
      <c r="AA39" s="1">
        <v>12</v>
      </c>
      <c r="AB39" s="1">
        <v>6.6</v>
      </c>
      <c r="AC39" s="1">
        <v>6.2</v>
      </c>
      <c r="AD39" s="1">
        <v>6</v>
      </c>
      <c r="AE39" s="1">
        <v>6.6</v>
      </c>
      <c r="AF39" s="1">
        <v>14.2</v>
      </c>
      <c r="AG39" s="1"/>
      <c r="AH39" s="1">
        <f t="shared" si="12"/>
        <v>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 x14ac:dyDescent="0.25">
      <c r="A40" s="1" t="s">
        <v>78</v>
      </c>
      <c r="B40" s="1" t="s">
        <v>38</v>
      </c>
      <c r="C40" s="1">
        <v>14.282999999999999</v>
      </c>
      <c r="D40" s="1">
        <v>34.744</v>
      </c>
      <c r="E40" s="1">
        <v>47.671999999999997</v>
      </c>
      <c r="F40" s="1">
        <v>-0.105</v>
      </c>
      <c r="G40" s="7">
        <v>1</v>
      </c>
      <c r="H40" s="1">
        <v>45</v>
      </c>
      <c r="I40" s="9" t="s">
        <v>50</v>
      </c>
      <c r="J40" s="1"/>
      <c r="K40" s="1">
        <v>55</v>
      </c>
      <c r="L40" s="1">
        <f t="shared" si="13"/>
        <v>-7.328000000000003</v>
      </c>
      <c r="M40" s="1"/>
      <c r="N40" s="1"/>
      <c r="O40" s="1">
        <v>25</v>
      </c>
      <c r="P40" s="1"/>
      <c r="Q40" s="1"/>
      <c r="R40" s="1">
        <v>50</v>
      </c>
      <c r="S40" s="1">
        <f t="shared" si="14"/>
        <v>9.5343999999999998</v>
      </c>
      <c r="T40" s="5">
        <v>40</v>
      </c>
      <c r="U40" s="1">
        <f t="shared" si="15"/>
        <v>12.050574760865917</v>
      </c>
      <c r="V40" s="1">
        <f t="shared" si="16"/>
        <v>7.8552399731498568</v>
      </c>
      <c r="W40" s="1">
        <v>16.715199999999999</v>
      </c>
      <c r="X40" s="1">
        <v>10.9094</v>
      </c>
      <c r="Y40" s="1">
        <v>0</v>
      </c>
      <c r="Z40" s="1">
        <v>0</v>
      </c>
      <c r="AA40" s="1">
        <v>0</v>
      </c>
      <c r="AB40" s="1">
        <v>0</v>
      </c>
      <c r="AC40" s="1">
        <v>2.0533999999999999</v>
      </c>
      <c r="AD40" s="1">
        <v>4.7110000000000003</v>
      </c>
      <c r="AE40" s="1">
        <v>5.5636000000000001</v>
      </c>
      <c r="AF40" s="1">
        <v>4.6311999999999998</v>
      </c>
      <c r="AG40" s="1"/>
      <c r="AH40" s="1">
        <f t="shared" si="12"/>
        <v>40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43</v>
      </c>
      <c r="C41" s="1">
        <v>256</v>
      </c>
      <c r="D41" s="1">
        <v>40</v>
      </c>
      <c r="E41" s="1">
        <v>291</v>
      </c>
      <c r="F41" s="1">
        <v>5</v>
      </c>
      <c r="G41" s="7">
        <v>0.1</v>
      </c>
      <c r="H41" s="1">
        <v>731</v>
      </c>
      <c r="I41" s="1" t="s">
        <v>39</v>
      </c>
      <c r="J41" s="1"/>
      <c r="K41" s="1">
        <v>289</v>
      </c>
      <c r="L41" s="1">
        <f t="shared" si="13"/>
        <v>2</v>
      </c>
      <c r="M41" s="1"/>
      <c r="N41" s="1"/>
      <c r="O41" s="1">
        <v>526.29999999999995</v>
      </c>
      <c r="P41" s="1"/>
      <c r="Q41" s="1"/>
      <c r="R41" s="1">
        <v>370.1</v>
      </c>
      <c r="S41" s="1">
        <f t="shared" si="14"/>
        <v>58.2</v>
      </c>
      <c r="T41" s="5"/>
      <c r="U41" s="1">
        <f t="shared" si="15"/>
        <v>15.487972508591064</v>
      </c>
      <c r="V41" s="1">
        <f t="shared" si="16"/>
        <v>15.487972508591064</v>
      </c>
      <c r="W41" s="1">
        <v>88</v>
      </c>
      <c r="X41" s="1">
        <v>90</v>
      </c>
      <c r="Y41" s="1">
        <v>67.400000000000006</v>
      </c>
      <c r="Z41" s="1">
        <v>57.8</v>
      </c>
      <c r="AA41" s="1">
        <v>47.8</v>
      </c>
      <c r="AB41" s="1">
        <v>59.6</v>
      </c>
      <c r="AC41" s="1">
        <v>64.2</v>
      </c>
      <c r="AD41" s="1">
        <v>86</v>
      </c>
      <c r="AE41" s="1">
        <v>87.2</v>
      </c>
      <c r="AF41" s="1">
        <v>66.599999999999994</v>
      </c>
      <c r="AG41" s="1"/>
      <c r="AH41" s="1">
        <f t="shared" si="12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80</v>
      </c>
      <c r="B42" s="1" t="s">
        <v>43</v>
      </c>
      <c r="C42" s="1">
        <v>5</v>
      </c>
      <c r="D42" s="1"/>
      <c r="E42" s="1">
        <v>-1</v>
      </c>
      <c r="F42" s="1">
        <v>5</v>
      </c>
      <c r="G42" s="7">
        <v>0.35</v>
      </c>
      <c r="H42" s="1">
        <v>40</v>
      </c>
      <c r="I42" s="9" t="s">
        <v>50</v>
      </c>
      <c r="J42" s="1"/>
      <c r="K42" s="1">
        <v>66</v>
      </c>
      <c r="L42" s="1">
        <f t="shared" si="13"/>
        <v>-67</v>
      </c>
      <c r="M42" s="1"/>
      <c r="N42" s="1"/>
      <c r="O42" s="1">
        <v>45</v>
      </c>
      <c r="P42" s="1">
        <v>-48.000000000000007</v>
      </c>
      <c r="Q42" s="1"/>
      <c r="R42" s="1">
        <v>70</v>
      </c>
      <c r="S42" s="1">
        <f t="shared" si="14"/>
        <v>-0.2</v>
      </c>
      <c r="T42" s="5">
        <v>70</v>
      </c>
      <c r="U42" s="1">
        <f t="shared" si="15"/>
        <v>-710</v>
      </c>
      <c r="V42" s="1">
        <f t="shared" si="16"/>
        <v>-360</v>
      </c>
      <c r="W42" s="1">
        <v>-0.8</v>
      </c>
      <c r="X42" s="1">
        <v>0</v>
      </c>
      <c r="Y42" s="1">
        <v>-0.2</v>
      </c>
      <c r="Z42" s="1">
        <v>-0.8</v>
      </c>
      <c r="AA42" s="1">
        <v>3.8</v>
      </c>
      <c r="AB42" s="1">
        <v>1.4</v>
      </c>
      <c r="AC42" s="1">
        <v>-3</v>
      </c>
      <c r="AD42" s="1">
        <v>5.6</v>
      </c>
      <c r="AE42" s="1">
        <v>29.2</v>
      </c>
      <c r="AF42" s="1">
        <v>53.2</v>
      </c>
      <c r="AG42" s="1"/>
      <c r="AH42" s="1">
        <f t="shared" si="12"/>
        <v>24.5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81</v>
      </c>
      <c r="B43" s="1" t="s">
        <v>38</v>
      </c>
      <c r="C43" s="1">
        <v>128.27699999999999</v>
      </c>
      <c r="D43" s="1">
        <v>7.2770000000000001</v>
      </c>
      <c r="E43" s="1">
        <v>106.366</v>
      </c>
      <c r="F43" s="1">
        <v>-5.0430000000000001</v>
      </c>
      <c r="G43" s="7">
        <v>1</v>
      </c>
      <c r="H43" s="1">
        <v>40</v>
      </c>
      <c r="I43" s="9" t="s">
        <v>50</v>
      </c>
      <c r="J43" s="1"/>
      <c r="K43" s="1">
        <v>101.9</v>
      </c>
      <c r="L43" s="1">
        <f t="shared" si="13"/>
        <v>4.465999999999994</v>
      </c>
      <c r="M43" s="1"/>
      <c r="N43" s="1"/>
      <c r="O43" s="1">
        <v>27</v>
      </c>
      <c r="P43" s="1">
        <v>-29.4</v>
      </c>
      <c r="Q43" s="1"/>
      <c r="R43" s="1">
        <v>42</v>
      </c>
      <c r="S43" s="1">
        <f t="shared" si="14"/>
        <v>21.273199999999999</v>
      </c>
      <c r="T43" s="5">
        <v>60</v>
      </c>
      <c r="U43" s="1">
        <f t="shared" si="15"/>
        <v>4.4448884041893093</v>
      </c>
      <c r="V43" s="1">
        <f t="shared" si="16"/>
        <v>1.6244382603463514</v>
      </c>
      <c r="W43" s="1">
        <v>22.917999999999999</v>
      </c>
      <c r="X43" s="1">
        <v>21.759399999999999</v>
      </c>
      <c r="Y43" s="1">
        <v>16.7</v>
      </c>
      <c r="Z43" s="1">
        <v>22.0274</v>
      </c>
      <c r="AA43" s="1">
        <v>19.802399999999999</v>
      </c>
      <c r="AB43" s="1">
        <v>21.879200000000001</v>
      </c>
      <c r="AC43" s="1">
        <v>21.395800000000001</v>
      </c>
      <c r="AD43" s="1">
        <v>23.605599999999999</v>
      </c>
      <c r="AE43" s="1">
        <v>23.142399999999999</v>
      </c>
      <c r="AF43" s="1">
        <v>25.816199999999998</v>
      </c>
      <c r="AG43" s="1"/>
      <c r="AH43" s="1">
        <f t="shared" si="12"/>
        <v>60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idden="1" x14ac:dyDescent="0.25">
      <c r="A44" s="1" t="s">
        <v>82</v>
      </c>
      <c r="B44" s="1" t="s">
        <v>43</v>
      </c>
      <c r="C44" s="1">
        <v>42</v>
      </c>
      <c r="D44" s="1">
        <v>55</v>
      </c>
      <c r="E44" s="1">
        <v>82</v>
      </c>
      <c r="F44" s="1">
        <v>9</v>
      </c>
      <c r="G44" s="7">
        <v>0.4</v>
      </c>
      <c r="H44" s="1">
        <v>40</v>
      </c>
      <c r="I44" s="9" t="s">
        <v>50</v>
      </c>
      <c r="J44" s="1"/>
      <c r="K44" s="1">
        <v>84</v>
      </c>
      <c r="L44" s="1">
        <f t="shared" si="13"/>
        <v>-2</v>
      </c>
      <c r="M44" s="1"/>
      <c r="N44" s="1"/>
      <c r="O44" s="1">
        <v>36</v>
      </c>
      <c r="P44" s="1"/>
      <c r="Q44" s="1"/>
      <c r="R44" s="1">
        <v>105</v>
      </c>
      <c r="S44" s="1">
        <f t="shared" si="14"/>
        <v>16.399999999999999</v>
      </c>
      <c r="T44" s="5">
        <v>60</v>
      </c>
      <c r="U44" s="1">
        <f t="shared" si="15"/>
        <v>12.804878048780489</v>
      </c>
      <c r="V44" s="1">
        <f t="shared" si="16"/>
        <v>9.1463414634146343</v>
      </c>
      <c r="W44" s="1">
        <v>26.8</v>
      </c>
      <c r="X44" s="1">
        <v>22.8</v>
      </c>
      <c r="Y44" s="1">
        <v>2</v>
      </c>
      <c r="Z44" s="1">
        <v>6.2</v>
      </c>
      <c r="AA44" s="1">
        <v>16.399999999999999</v>
      </c>
      <c r="AB44" s="1">
        <v>13.2</v>
      </c>
      <c r="AC44" s="1">
        <v>1</v>
      </c>
      <c r="AD44" s="1">
        <v>0</v>
      </c>
      <c r="AE44" s="1">
        <v>-0.4</v>
      </c>
      <c r="AF44" s="1">
        <v>1.6</v>
      </c>
      <c r="AG44" s="1"/>
      <c r="AH44" s="1">
        <f t="shared" si="12"/>
        <v>24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 x14ac:dyDescent="0.25">
      <c r="A45" s="1" t="s">
        <v>83</v>
      </c>
      <c r="B45" s="1" t="s">
        <v>43</v>
      </c>
      <c r="C45" s="1">
        <v>17</v>
      </c>
      <c r="D45" s="1">
        <v>25</v>
      </c>
      <c r="E45" s="1">
        <v>24</v>
      </c>
      <c r="F45" s="1">
        <v>16</v>
      </c>
      <c r="G45" s="7">
        <v>0.4</v>
      </c>
      <c r="H45" s="1">
        <v>45</v>
      </c>
      <c r="I45" s="9" t="s">
        <v>50</v>
      </c>
      <c r="J45" s="1"/>
      <c r="K45" s="1">
        <v>71</v>
      </c>
      <c r="L45" s="1">
        <f t="shared" si="13"/>
        <v>-47</v>
      </c>
      <c r="M45" s="1"/>
      <c r="N45" s="1"/>
      <c r="O45" s="1">
        <v>54</v>
      </c>
      <c r="P45" s="1"/>
      <c r="Q45" s="1"/>
      <c r="R45" s="1">
        <v>105</v>
      </c>
      <c r="S45" s="1">
        <f t="shared" si="14"/>
        <v>4.8</v>
      </c>
      <c r="T45" s="5">
        <v>50</v>
      </c>
      <c r="U45" s="1">
        <f t="shared" si="15"/>
        <v>46.875</v>
      </c>
      <c r="V45" s="1">
        <f t="shared" si="16"/>
        <v>36.458333333333336</v>
      </c>
      <c r="W45" s="1">
        <v>25</v>
      </c>
      <c r="X45" s="1">
        <v>30.8</v>
      </c>
      <c r="Y45" s="1">
        <v>13.8</v>
      </c>
      <c r="Z45" s="1">
        <v>21.8</v>
      </c>
      <c r="AA45" s="1">
        <v>26.4</v>
      </c>
      <c r="AB45" s="1">
        <v>14.8</v>
      </c>
      <c r="AC45" s="1">
        <v>2.4</v>
      </c>
      <c r="AD45" s="1">
        <v>0</v>
      </c>
      <c r="AE45" s="1">
        <v>18</v>
      </c>
      <c r="AF45" s="1">
        <v>37.6</v>
      </c>
      <c r="AG45" s="1"/>
      <c r="AH45" s="1">
        <f t="shared" si="12"/>
        <v>20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 x14ac:dyDescent="0.25">
      <c r="A46" s="10" t="s">
        <v>84</v>
      </c>
      <c r="B46" s="10" t="s">
        <v>38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29</v>
      </c>
      <c r="L46" s="10">
        <f t="shared" si="13"/>
        <v>-29</v>
      </c>
      <c r="M46" s="10"/>
      <c r="N46" s="10"/>
      <c r="O46" s="10">
        <v>0</v>
      </c>
      <c r="P46" s="10"/>
      <c r="Q46" s="10"/>
      <c r="R46" s="10">
        <v>0</v>
      </c>
      <c r="S46" s="10">
        <f t="shared" si="14"/>
        <v>0</v>
      </c>
      <c r="T46" s="12"/>
      <c r="U46" s="10" t="e">
        <f t="shared" si="15"/>
        <v>#DIV/0!</v>
      </c>
      <c r="V46" s="10" t="e">
        <f t="shared" si="16"/>
        <v>#DIV/0!</v>
      </c>
      <c r="W46" s="10">
        <v>-0.1434</v>
      </c>
      <c r="X46" s="10">
        <v>-0.1434</v>
      </c>
      <c r="Y46" s="10">
        <v>0</v>
      </c>
      <c r="Z46" s="10">
        <v>-0.43659999999999999</v>
      </c>
      <c r="AA46" s="10">
        <v>-0.43659999999999999</v>
      </c>
      <c r="AB46" s="10">
        <v>-0.28799999999999998</v>
      </c>
      <c r="AC46" s="10">
        <v>0.14779999999999999</v>
      </c>
      <c r="AD46" s="10">
        <v>9.0436000000000014</v>
      </c>
      <c r="AE46" s="10">
        <v>13.8338</v>
      </c>
      <c r="AF46" s="10">
        <v>14.6386</v>
      </c>
      <c r="AG46" s="10"/>
      <c r="AH46" s="10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1" t="s">
        <v>85</v>
      </c>
      <c r="B47" s="1" t="s">
        <v>38</v>
      </c>
      <c r="C47" s="1">
        <v>69.515000000000001</v>
      </c>
      <c r="D47" s="1">
        <v>5.1059999999999999</v>
      </c>
      <c r="E47" s="1">
        <v>81.498999999999995</v>
      </c>
      <c r="F47" s="1">
        <v>-7.6029999999999998</v>
      </c>
      <c r="G47" s="7">
        <v>1</v>
      </c>
      <c r="H47" s="1">
        <v>40</v>
      </c>
      <c r="I47" s="9" t="s">
        <v>50</v>
      </c>
      <c r="J47" s="1"/>
      <c r="K47" s="1">
        <v>80.040000000000006</v>
      </c>
      <c r="L47" s="1">
        <f t="shared" si="13"/>
        <v>1.458999999999989</v>
      </c>
      <c r="M47" s="1"/>
      <c r="N47" s="1"/>
      <c r="O47" s="1">
        <v>27</v>
      </c>
      <c r="P47" s="1">
        <v>-29.4</v>
      </c>
      <c r="Q47" s="1"/>
      <c r="R47" s="1">
        <v>42</v>
      </c>
      <c r="S47" s="1">
        <f t="shared" si="14"/>
        <v>16.299799999999998</v>
      </c>
      <c r="T47" s="5">
        <v>50</v>
      </c>
      <c r="U47" s="1">
        <f t="shared" si="15"/>
        <v>5.0305525221168361</v>
      </c>
      <c r="V47" s="1">
        <f t="shared" si="16"/>
        <v>1.9630302212297086</v>
      </c>
      <c r="W47" s="1">
        <v>23.334199999999999</v>
      </c>
      <c r="X47" s="1">
        <v>20.9544</v>
      </c>
      <c r="Y47" s="1">
        <v>15.678000000000001</v>
      </c>
      <c r="Z47" s="1">
        <v>20.927800000000001</v>
      </c>
      <c r="AA47" s="1">
        <v>16.421600000000002</v>
      </c>
      <c r="AB47" s="1">
        <v>18.161000000000001</v>
      </c>
      <c r="AC47" s="1">
        <v>19.6008</v>
      </c>
      <c r="AD47" s="1">
        <v>24.483599999999999</v>
      </c>
      <c r="AE47" s="1">
        <v>29.43</v>
      </c>
      <c r="AF47" s="1">
        <v>32.792200000000001</v>
      </c>
      <c r="AG47" s="1"/>
      <c r="AH47" s="1">
        <f t="shared" ref="AH47:AH72" si="17">G47*T47</f>
        <v>50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 x14ac:dyDescent="0.25">
      <c r="A48" s="1" t="s">
        <v>86</v>
      </c>
      <c r="B48" s="1" t="s">
        <v>43</v>
      </c>
      <c r="C48" s="1">
        <v>3</v>
      </c>
      <c r="D48" s="1">
        <v>13</v>
      </c>
      <c r="E48" s="1">
        <v>11</v>
      </c>
      <c r="F48" s="1">
        <v>4</v>
      </c>
      <c r="G48" s="7">
        <v>0.35</v>
      </c>
      <c r="H48" s="1">
        <v>40</v>
      </c>
      <c r="I48" s="9" t="s">
        <v>50</v>
      </c>
      <c r="J48" s="1"/>
      <c r="K48" s="1">
        <v>56</v>
      </c>
      <c r="L48" s="1">
        <f t="shared" si="13"/>
        <v>-45</v>
      </c>
      <c r="M48" s="1"/>
      <c r="N48" s="1"/>
      <c r="O48" s="1">
        <v>135</v>
      </c>
      <c r="P48" s="1">
        <v>-138</v>
      </c>
      <c r="Q48" s="1"/>
      <c r="R48" s="1">
        <v>140</v>
      </c>
      <c r="S48" s="1">
        <f t="shared" si="14"/>
        <v>2.2000000000000002</v>
      </c>
      <c r="T48" s="5">
        <v>150</v>
      </c>
      <c r="U48" s="1">
        <f t="shared" si="15"/>
        <v>132.27272727272725</v>
      </c>
      <c r="V48" s="1">
        <f t="shared" si="16"/>
        <v>64.090909090909079</v>
      </c>
      <c r="W48" s="1">
        <v>53</v>
      </c>
      <c r="X48" s="1">
        <v>103</v>
      </c>
      <c r="Y48" s="1">
        <v>97.6</v>
      </c>
      <c r="Z48" s="1">
        <v>89</v>
      </c>
      <c r="AA48" s="1">
        <v>59.8</v>
      </c>
      <c r="AB48" s="1">
        <v>29.4</v>
      </c>
      <c r="AC48" s="1">
        <v>28.2</v>
      </c>
      <c r="AD48" s="1">
        <v>68</v>
      </c>
      <c r="AE48" s="1">
        <v>90.8</v>
      </c>
      <c r="AF48" s="1">
        <v>100.4</v>
      </c>
      <c r="AG48" s="1"/>
      <c r="AH48" s="1">
        <f t="shared" si="17"/>
        <v>52.5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87</v>
      </c>
      <c r="B49" s="1" t="s">
        <v>43</v>
      </c>
      <c r="C49" s="1">
        <v>21</v>
      </c>
      <c r="D49" s="1">
        <v>67</v>
      </c>
      <c r="E49" s="1">
        <v>82</v>
      </c>
      <c r="F49" s="1">
        <v>6</v>
      </c>
      <c r="G49" s="7">
        <v>0.4</v>
      </c>
      <c r="H49" s="1">
        <v>40</v>
      </c>
      <c r="I49" s="9" t="s">
        <v>50</v>
      </c>
      <c r="J49" s="1"/>
      <c r="K49" s="1">
        <v>143</v>
      </c>
      <c r="L49" s="1">
        <f t="shared" si="13"/>
        <v>-61</v>
      </c>
      <c r="M49" s="1"/>
      <c r="N49" s="1"/>
      <c r="O49" s="1">
        <v>112.5</v>
      </c>
      <c r="P49" s="1"/>
      <c r="Q49" s="1"/>
      <c r="R49" s="1">
        <v>175</v>
      </c>
      <c r="S49" s="1">
        <f t="shared" si="14"/>
        <v>16.399999999999999</v>
      </c>
      <c r="T49" s="5">
        <v>150</v>
      </c>
      <c r="U49" s="1">
        <f t="shared" si="15"/>
        <v>27.042682926829272</v>
      </c>
      <c r="V49" s="1">
        <f t="shared" si="16"/>
        <v>17.896341463414636</v>
      </c>
      <c r="W49" s="1">
        <v>57.2</v>
      </c>
      <c r="X49" s="1">
        <v>50.6</v>
      </c>
      <c r="Y49" s="1">
        <v>5.8</v>
      </c>
      <c r="Z49" s="1">
        <v>33.6</v>
      </c>
      <c r="AA49" s="1">
        <v>70.400000000000006</v>
      </c>
      <c r="AB49" s="1">
        <v>38.799999999999997</v>
      </c>
      <c r="AC49" s="1">
        <v>-0.4</v>
      </c>
      <c r="AD49" s="1">
        <v>4.8</v>
      </c>
      <c r="AE49" s="1">
        <v>60.6</v>
      </c>
      <c r="AF49" s="1">
        <v>80.400000000000006</v>
      </c>
      <c r="AG49" s="1"/>
      <c r="AH49" s="1">
        <f t="shared" si="17"/>
        <v>60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38</v>
      </c>
      <c r="C50" s="1">
        <v>114.31699999999999</v>
      </c>
      <c r="D50" s="1">
        <v>17.553000000000001</v>
      </c>
      <c r="E50" s="1">
        <v>86.241</v>
      </c>
      <c r="F50" s="1">
        <v>37.509</v>
      </c>
      <c r="G50" s="7">
        <v>1</v>
      </c>
      <c r="H50" s="1">
        <v>50</v>
      </c>
      <c r="I50" s="1" t="s">
        <v>39</v>
      </c>
      <c r="J50" s="1"/>
      <c r="K50" s="1">
        <v>74.099999999999994</v>
      </c>
      <c r="L50" s="1">
        <f t="shared" si="13"/>
        <v>12.141000000000005</v>
      </c>
      <c r="M50" s="1"/>
      <c r="N50" s="1"/>
      <c r="O50" s="1">
        <v>0</v>
      </c>
      <c r="P50" s="1"/>
      <c r="Q50" s="1"/>
      <c r="R50" s="1">
        <v>75.913799999999995</v>
      </c>
      <c r="S50" s="1">
        <f t="shared" si="14"/>
        <v>17.248200000000001</v>
      </c>
      <c r="T50" s="5">
        <f t="shared" ref="T47:T72" si="18">12*S50-R50-Q50-P50-O50-F50</f>
        <v>93.555600000000041</v>
      </c>
      <c r="U50" s="1">
        <f t="shared" si="15"/>
        <v>12</v>
      </c>
      <c r="V50" s="1">
        <f t="shared" si="16"/>
        <v>6.5759209656659818</v>
      </c>
      <c r="W50" s="1">
        <v>16.198599999999999</v>
      </c>
      <c r="X50" s="1">
        <v>4.0784000000000002</v>
      </c>
      <c r="Y50" s="1">
        <v>5.7111999999999998</v>
      </c>
      <c r="Z50" s="1">
        <v>8.3732000000000006</v>
      </c>
      <c r="AA50" s="1">
        <v>5.0987999999999998</v>
      </c>
      <c r="AB50" s="1">
        <v>3.4666000000000001</v>
      </c>
      <c r="AC50" s="1">
        <v>8.6292000000000009</v>
      </c>
      <c r="AD50" s="1">
        <v>14.634600000000001</v>
      </c>
      <c r="AE50" s="1">
        <v>11.626799999999999</v>
      </c>
      <c r="AF50" s="1">
        <v>6.9311999999999996</v>
      </c>
      <c r="AG50" s="1"/>
      <c r="AH50" s="1">
        <f t="shared" si="17"/>
        <v>93.555600000000041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38</v>
      </c>
      <c r="C51" s="1">
        <v>133.12</v>
      </c>
      <c r="D51" s="1">
        <v>81.903999999999996</v>
      </c>
      <c r="E51" s="1">
        <v>134.673</v>
      </c>
      <c r="F51" s="1">
        <v>73.524000000000001</v>
      </c>
      <c r="G51" s="7">
        <v>1</v>
      </c>
      <c r="H51" s="1">
        <v>50</v>
      </c>
      <c r="I51" s="1" t="s">
        <v>39</v>
      </c>
      <c r="J51" s="1"/>
      <c r="K51" s="1">
        <v>113.9</v>
      </c>
      <c r="L51" s="1">
        <f t="shared" si="13"/>
        <v>20.772999999999996</v>
      </c>
      <c r="M51" s="1"/>
      <c r="N51" s="1"/>
      <c r="O51" s="1">
        <v>25.189000000000011</v>
      </c>
      <c r="P51" s="1"/>
      <c r="Q51" s="1"/>
      <c r="R51" s="1">
        <v>183.20840000000001</v>
      </c>
      <c r="S51" s="1">
        <f t="shared" si="14"/>
        <v>26.9346</v>
      </c>
      <c r="T51" s="5">
        <f t="shared" si="18"/>
        <v>41.293799999999962</v>
      </c>
      <c r="U51" s="1">
        <f t="shared" si="15"/>
        <v>12</v>
      </c>
      <c r="V51" s="1">
        <f t="shared" si="16"/>
        <v>10.46688645831013</v>
      </c>
      <c r="W51" s="1">
        <v>28.4544</v>
      </c>
      <c r="X51" s="1">
        <v>15.607200000000001</v>
      </c>
      <c r="Y51" s="1">
        <v>15.357799999999999</v>
      </c>
      <c r="Z51" s="1">
        <v>21.200199999999999</v>
      </c>
      <c r="AA51" s="1">
        <v>14.8202</v>
      </c>
      <c r="AB51" s="1">
        <v>20.593</v>
      </c>
      <c r="AC51" s="1">
        <v>27.026800000000001</v>
      </c>
      <c r="AD51" s="1">
        <v>24.317599999999999</v>
      </c>
      <c r="AE51" s="1">
        <v>22.387</v>
      </c>
      <c r="AF51" s="1">
        <v>17.299399999999999</v>
      </c>
      <c r="AG51" s="1"/>
      <c r="AH51" s="1">
        <f t="shared" si="17"/>
        <v>41.293799999999962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idden="1" x14ac:dyDescent="0.25">
      <c r="A52" s="1" t="s">
        <v>90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50</v>
      </c>
      <c r="J52" s="1"/>
      <c r="K52" s="1"/>
      <c r="L52" s="1">
        <f t="shared" si="13"/>
        <v>0</v>
      </c>
      <c r="M52" s="1"/>
      <c r="N52" s="1"/>
      <c r="O52" s="1">
        <v>27</v>
      </c>
      <c r="P52" s="1">
        <v>-27</v>
      </c>
      <c r="Q52" s="1"/>
      <c r="R52" s="1">
        <v>50</v>
      </c>
      <c r="S52" s="1">
        <f t="shared" si="14"/>
        <v>0</v>
      </c>
      <c r="T52" s="5">
        <v>50</v>
      </c>
      <c r="U52" s="1" t="e">
        <f t="shared" si="15"/>
        <v>#DIV/0!</v>
      </c>
      <c r="V52" s="1" t="e">
        <f t="shared" si="16"/>
        <v>#DIV/0!</v>
      </c>
      <c r="W52" s="1">
        <v>-0.03</v>
      </c>
      <c r="X52" s="1">
        <v>-0.03</v>
      </c>
      <c r="Y52" s="1">
        <v>0</v>
      </c>
      <c r="Z52" s="1">
        <v>0.57939999999999992</v>
      </c>
      <c r="AA52" s="1">
        <v>19.140999999999998</v>
      </c>
      <c r="AB52" s="1">
        <v>23.854800000000001</v>
      </c>
      <c r="AC52" s="1">
        <v>5.6736000000000004</v>
      </c>
      <c r="AD52" s="1">
        <v>9.59</v>
      </c>
      <c r="AE52" s="1">
        <v>25.247399999999999</v>
      </c>
      <c r="AF52" s="1">
        <v>16.625399999999999</v>
      </c>
      <c r="AG52" s="1"/>
      <c r="AH52" s="1">
        <f t="shared" si="17"/>
        <v>50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43</v>
      </c>
      <c r="C53" s="1">
        <v>133</v>
      </c>
      <c r="D53" s="1">
        <v>31</v>
      </c>
      <c r="E53" s="1">
        <v>109</v>
      </c>
      <c r="F53" s="1">
        <v>5</v>
      </c>
      <c r="G53" s="7">
        <v>0.45</v>
      </c>
      <c r="H53" s="1">
        <v>50</v>
      </c>
      <c r="I53" s="1" t="s">
        <v>39</v>
      </c>
      <c r="J53" s="1"/>
      <c r="K53" s="1">
        <v>117</v>
      </c>
      <c r="L53" s="1">
        <f t="shared" si="13"/>
        <v>-8</v>
      </c>
      <c r="M53" s="1"/>
      <c r="N53" s="1"/>
      <c r="O53" s="1">
        <v>74.262000000000057</v>
      </c>
      <c r="P53" s="1"/>
      <c r="Q53" s="1"/>
      <c r="R53" s="1">
        <v>75.937999999999931</v>
      </c>
      <c r="S53" s="1">
        <f t="shared" si="14"/>
        <v>21.8</v>
      </c>
      <c r="T53" s="5">
        <f t="shared" si="18"/>
        <v>106.40000000000003</v>
      </c>
      <c r="U53" s="1">
        <f t="shared" si="15"/>
        <v>12</v>
      </c>
      <c r="V53" s="1">
        <f t="shared" si="16"/>
        <v>7.1192660550458706</v>
      </c>
      <c r="W53" s="1">
        <v>20.2</v>
      </c>
      <c r="X53" s="1">
        <v>20.6</v>
      </c>
      <c r="Y53" s="1">
        <v>16.399999999999999</v>
      </c>
      <c r="Z53" s="1">
        <v>19.600000000000001</v>
      </c>
      <c r="AA53" s="1">
        <v>21.8</v>
      </c>
      <c r="AB53" s="1">
        <v>20.2</v>
      </c>
      <c r="AC53" s="1">
        <v>25.4</v>
      </c>
      <c r="AD53" s="1">
        <v>24.4</v>
      </c>
      <c r="AE53" s="1">
        <v>20.8</v>
      </c>
      <c r="AF53" s="1">
        <v>31</v>
      </c>
      <c r="AG53" s="1"/>
      <c r="AH53" s="1">
        <f t="shared" si="17"/>
        <v>47.880000000000017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43</v>
      </c>
      <c r="C54" s="1">
        <v>252</v>
      </c>
      <c r="D54" s="1">
        <v>11</v>
      </c>
      <c r="E54" s="1">
        <v>159</v>
      </c>
      <c r="F54" s="1">
        <v>20</v>
      </c>
      <c r="G54" s="7">
        <v>0.45</v>
      </c>
      <c r="H54" s="1">
        <v>50</v>
      </c>
      <c r="I54" s="1" t="s">
        <v>39</v>
      </c>
      <c r="J54" s="1"/>
      <c r="K54" s="1">
        <v>171</v>
      </c>
      <c r="L54" s="1">
        <f t="shared" si="13"/>
        <v>-12</v>
      </c>
      <c r="M54" s="1"/>
      <c r="N54" s="1"/>
      <c r="O54" s="1">
        <v>197.46600000000001</v>
      </c>
      <c r="P54" s="1"/>
      <c r="Q54" s="1"/>
      <c r="R54" s="1">
        <v>213.73400000000001</v>
      </c>
      <c r="S54" s="1">
        <f t="shared" si="14"/>
        <v>31.8</v>
      </c>
      <c r="T54" s="5"/>
      <c r="U54" s="1">
        <f t="shared" si="15"/>
        <v>13.559748427672957</v>
      </c>
      <c r="V54" s="1">
        <f t="shared" si="16"/>
        <v>13.559748427672957</v>
      </c>
      <c r="W54" s="1">
        <v>48.2</v>
      </c>
      <c r="X54" s="1">
        <v>45.8</v>
      </c>
      <c r="Y54" s="1">
        <v>21.2</v>
      </c>
      <c r="Z54" s="1">
        <v>24</v>
      </c>
      <c r="AA54" s="1">
        <v>25.8</v>
      </c>
      <c r="AB54" s="1">
        <v>20.8</v>
      </c>
      <c r="AC54" s="1">
        <v>32.200000000000003</v>
      </c>
      <c r="AD54" s="1">
        <v>52.2</v>
      </c>
      <c r="AE54" s="1">
        <v>55.2</v>
      </c>
      <c r="AF54" s="1">
        <v>40.4</v>
      </c>
      <c r="AG54" s="1"/>
      <c r="AH54" s="1">
        <f t="shared" si="1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idden="1" x14ac:dyDescent="0.25">
      <c r="A55" s="1" t="s">
        <v>93</v>
      </c>
      <c r="B55" s="1" t="s">
        <v>43</v>
      </c>
      <c r="C55" s="1">
        <v>18</v>
      </c>
      <c r="D55" s="1">
        <v>6</v>
      </c>
      <c r="E55" s="1">
        <v>26</v>
      </c>
      <c r="F55" s="1">
        <v>-3</v>
      </c>
      <c r="G55" s="7">
        <v>0.4</v>
      </c>
      <c r="H55" s="1">
        <v>40</v>
      </c>
      <c r="I55" s="9" t="s">
        <v>50</v>
      </c>
      <c r="J55" s="1"/>
      <c r="K55" s="1">
        <v>29</v>
      </c>
      <c r="L55" s="1">
        <f t="shared" si="13"/>
        <v>-3</v>
      </c>
      <c r="M55" s="1"/>
      <c r="N55" s="1"/>
      <c r="O55" s="1">
        <v>45</v>
      </c>
      <c r="P55" s="1">
        <v>-47.999999999999993</v>
      </c>
      <c r="Q55" s="1"/>
      <c r="R55" s="1">
        <v>70</v>
      </c>
      <c r="S55" s="1">
        <f t="shared" si="14"/>
        <v>5.2</v>
      </c>
      <c r="T55" s="5">
        <v>50</v>
      </c>
      <c r="U55" s="1">
        <f t="shared" si="15"/>
        <v>21.923076923076923</v>
      </c>
      <c r="V55" s="1">
        <f t="shared" si="16"/>
        <v>12.307692307692307</v>
      </c>
      <c r="W55" s="1">
        <v>32</v>
      </c>
      <c r="X55" s="1">
        <v>37.200000000000003</v>
      </c>
      <c r="Y55" s="1">
        <v>17</v>
      </c>
      <c r="Z55" s="1">
        <v>23.2</v>
      </c>
      <c r="AA55" s="1">
        <v>22.4</v>
      </c>
      <c r="AB55" s="1">
        <v>14.8</v>
      </c>
      <c r="AC55" s="1">
        <v>21.2</v>
      </c>
      <c r="AD55" s="1">
        <v>21.8</v>
      </c>
      <c r="AE55" s="1">
        <v>20.2</v>
      </c>
      <c r="AF55" s="1">
        <v>32.6</v>
      </c>
      <c r="AG55" s="1"/>
      <c r="AH55" s="1">
        <f t="shared" si="17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idden="1" x14ac:dyDescent="0.25">
      <c r="A56" s="1" t="s">
        <v>94</v>
      </c>
      <c r="B56" s="1" t="s">
        <v>43</v>
      </c>
      <c r="C56" s="1">
        <v>52</v>
      </c>
      <c r="D56" s="1">
        <v>66</v>
      </c>
      <c r="E56" s="1">
        <v>93</v>
      </c>
      <c r="F56" s="1">
        <v>11</v>
      </c>
      <c r="G56" s="7">
        <v>0.4</v>
      </c>
      <c r="H56" s="1">
        <v>40</v>
      </c>
      <c r="I56" s="9" t="s">
        <v>50</v>
      </c>
      <c r="J56" s="1"/>
      <c r="K56" s="1">
        <v>104</v>
      </c>
      <c r="L56" s="1">
        <f t="shared" si="13"/>
        <v>-11</v>
      </c>
      <c r="M56" s="1"/>
      <c r="N56" s="1"/>
      <c r="O56" s="1">
        <v>54</v>
      </c>
      <c r="P56" s="1"/>
      <c r="Q56" s="1"/>
      <c r="R56" s="1">
        <v>105</v>
      </c>
      <c r="S56" s="1">
        <f t="shared" si="14"/>
        <v>18.600000000000001</v>
      </c>
      <c r="T56" s="5">
        <f t="shared" si="18"/>
        <v>53.200000000000017</v>
      </c>
      <c r="U56" s="1">
        <f t="shared" si="15"/>
        <v>12</v>
      </c>
      <c r="V56" s="1">
        <f t="shared" si="16"/>
        <v>9.1397849462365581</v>
      </c>
      <c r="W56" s="1">
        <v>35.200000000000003</v>
      </c>
      <c r="X56" s="1">
        <v>32</v>
      </c>
      <c r="Y56" s="1">
        <v>12.8</v>
      </c>
      <c r="Z56" s="1">
        <v>20.8</v>
      </c>
      <c r="AA56" s="1">
        <v>25.4</v>
      </c>
      <c r="AB56" s="1">
        <v>15.6</v>
      </c>
      <c r="AC56" s="1">
        <v>12.8</v>
      </c>
      <c r="AD56" s="1">
        <v>14.4</v>
      </c>
      <c r="AE56" s="1">
        <v>16.600000000000001</v>
      </c>
      <c r="AF56" s="1">
        <v>31.6</v>
      </c>
      <c r="AG56" s="1"/>
      <c r="AH56" s="1">
        <f t="shared" si="17"/>
        <v>21.280000000000008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38</v>
      </c>
      <c r="C57" s="1">
        <v>51.612000000000002</v>
      </c>
      <c r="D57" s="1">
        <v>115.18300000000001</v>
      </c>
      <c r="E57" s="1">
        <v>87.397000000000006</v>
      </c>
      <c r="F57" s="1">
        <v>56.319000000000003</v>
      </c>
      <c r="G57" s="7">
        <v>1</v>
      </c>
      <c r="H57" s="1">
        <v>50</v>
      </c>
      <c r="I57" s="1" t="s">
        <v>39</v>
      </c>
      <c r="J57" s="1"/>
      <c r="K57" s="1">
        <v>82.8</v>
      </c>
      <c r="L57" s="1">
        <f t="shared" si="13"/>
        <v>4.5970000000000084</v>
      </c>
      <c r="M57" s="1"/>
      <c r="N57" s="1"/>
      <c r="O57" s="1">
        <v>37.825166000000017</v>
      </c>
      <c r="P57" s="1"/>
      <c r="Q57" s="1"/>
      <c r="R57" s="1">
        <v>158.224234</v>
      </c>
      <c r="S57" s="1">
        <f t="shared" si="14"/>
        <v>17.479400000000002</v>
      </c>
      <c r="T57" s="5"/>
      <c r="U57" s="1">
        <f t="shared" si="15"/>
        <v>14.438047072553976</v>
      </c>
      <c r="V57" s="1">
        <f t="shared" si="16"/>
        <v>14.438047072553976</v>
      </c>
      <c r="W57" s="1">
        <v>25.413399999999999</v>
      </c>
      <c r="X57" s="1">
        <v>15.8782</v>
      </c>
      <c r="Y57" s="1">
        <v>12.8612</v>
      </c>
      <c r="Z57" s="1">
        <v>18.917200000000001</v>
      </c>
      <c r="AA57" s="1">
        <v>14.224399999999999</v>
      </c>
      <c r="AB57" s="1">
        <v>14.7386</v>
      </c>
      <c r="AC57" s="1">
        <v>21.672000000000001</v>
      </c>
      <c r="AD57" s="1">
        <v>21.163</v>
      </c>
      <c r="AE57" s="1">
        <v>17.197600000000001</v>
      </c>
      <c r="AF57" s="1">
        <v>18.852</v>
      </c>
      <c r="AG57" s="1"/>
      <c r="AH57" s="1">
        <f t="shared" si="1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43</v>
      </c>
      <c r="C58" s="1">
        <v>396</v>
      </c>
      <c r="D58" s="1"/>
      <c r="E58" s="1">
        <v>250</v>
      </c>
      <c r="F58" s="1">
        <v>81</v>
      </c>
      <c r="G58" s="7">
        <v>0.1</v>
      </c>
      <c r="H58" s="1">
        <v>731</v>
      </c>
      <c r="I58" s="1" t="s">
        <v>39</v>
      </c>
      <c r="J58" s="1"/>
      <c r="K58" s="1">
        <v>230</v>
      </c>
      <c r="L58" s="1">
        <f t="shared" si="13"/>
        <v>20</v>
      </c>
      <c r="M58" s="1"/>
      <c r="N58" s="1"/>
      <c r="O58" s="1">
        <v>47.799999999999947</v>
      </c>
      <c r="P58" s="1"/>
      <c r="Q58" s="1"/>
      <c r="R58" s="1">
        <v>274</v>
      </c>
      <c r="S58" s="1">
        <f t="shared" si="14"/>
        <v>50</v>
      </c>
      <c r="T58" s="5">
        <f t="shared" si="18"/>
        <v>197.20000000000005</v>
      </c>
      <c r="U58" s="1">
        <f t="shared" si="15"/>
        <v>12</v>
      </c>
      <c r="V58" s="1">
        <f t="shared" si="16"/>
        <v>8.0559999999999992</v>
      </c>
      <c r="W58" s="1">
        <v>44.8</v>
      </c>
      <c r="X58" s="1">
        <v>32.4</v>
      </c>
      <c r="Y58" s="1">
        <v>36.799999999999997</v>
      </c>
      <c r="Z58" s="1">
        <v>25.6</v>
      </c>
      <c r="AA58" s="1">
        <v>16.2</v>
      </c>
      <c r="AB58" s="1">
        <v>44</v>
      </c>
      <c r="AC58" s="1">
        <v>53</v>
      </c>
      <c r="AD58" s="1">
        <v>43.4</v>
      </c>
      <c r="AE58" s="1">
        <v>37.799999999999997</v>
      </c>
      <c r="AF58" s="1">
        <v>25.4</v>
      </c>
      <c r="AG58" s="1"/>
      <c r="AH58" s="1">
        <f t="shared" si="17"/>
        <v>19.720000000000006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38</v>
      </c>
      <c r="C59" s="1">
        <v>54.22</v>
      </c>
      <c r="D59" s="1">
        <v>101.849</v>
      </c>
      <c r="E59" s="1">
        <v>80.224999999999994</v>
      </c>
      <c r="F59" s="1">
        <v>66.256</v>
      </c>
      <c r="G59" s="7">
        <v>1</v>
      </c>
      <c r="H59" s="1">
        <v>50</v>
      </c>
      <c r="I59" s="1" t="s">
        <v>39</v>
      </c>
      <c r="J59" s="1"/>
      <c r="K59" s="1">
        <v>94.9</v>
      </c>
      <c r="L59" s="1">
        <f t="shared" si="13"/>
        <v>-14.675000000000011</v>
      </c>
      <c r="M59" s="1"/>
      <c r="N59" s="1"/>
      <c r="O59" s="1">
        <v>4</v>
      </c>
      <c r="P59" s="1"/>
      <c r="Q59" s="1"/>
      <c r="R59" s="1">
        <v>93.523400000000009</v>
      </c>
      <c r="S59" s="1">
        <f t="shared" si="14"/>
        <v>16.044999999999998</v>
      </c>
      <c r="T59" s="5">
        <f t="shared" si="18"/>
        <v>28.760599999999954</v>
      </c>
      <c r="U59" s="1">
        <f t="shared" si="15"/>
        <v>12</v>
      </c>
      <c r="V59" s="1">
        <f t="shared" si="16"/>
        <v>10.207503895294487</v>
      </c>
      <c r="W59" s="1">
        <v>15.5054</v>
      </c>
      <c r="X59" s="1">
        <v>10.170400000000001</v>
      </c>
      <c r="Y59" s="1">
        <v>14.961</v>
      </c>
      <c r="Z59" s="1">
        <v>15.6616</v>
      </c>
      <c r="AA59" s="1">
        <v>8.7063999999999986</v>
      </c>
      <c r="AB59" s="1">
        <v>10.54</v>
      </c>
      <c r="AC59" s="1">
        <v>16.8352</v>
      </c>
      <c r="AD59" s="1">
        <v>17.306999999999999</v>
      </c>
      <c r="AE59" s="1">
        <v>15.000999999999999</v>
      </c>
      <c r="AF59" s="1">
        <v>12.8538</v>
      </c>
      <c r="AG59" s="1"/>
      <c r="AH59" s="1">
        <f t="shared" si="17"/>
        <v>28.760599999999954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38</v>
      </c>
      <c r="C60" s="1">
        <v>32.887</v>
      </c>
      <c r="D60" s="1">
        <v>32.835999999999999</v>
      </c>
      <c r="E60" s="1">
        <v>42.673000000000002</v>
      </c>
      <c r="F60" s="1">
        <v>13.481</v>
      </c>
      <c r="G60" s="7">
        <v>1</v>
      </c>
      <c r="H60" s="1">
        <v>55</v>
      </c>
      <c r="I60" s="1" t="s">
        <v>39</v>
      </c>
      <c r="J60" s="1"/>
      <c r="K60" s="1">
        <v>36.799999999999997</v>
      </c>
      <c r="L60" s="1">
        <f t="shared" si="13"/>
        <v>5.8730000000000047</v>
      </c>
      <c r="M60" s="1"/>
      <c r="N60" s="1"/>
      <c r="O60" s="1">
        <v>0</v>
      </c>
      <c r="P60" s="1"/>
      <c r="Q60" s="1"/>
      <c r="R60" s="1">
        <v>44.672400000000003</v>
      </c>
      <c r="S60" s="1">
        <f t="shared" si="14"/>
        <v>8.5346000000000011</v>
      </c>
      <c r="T60" s="5">
        <f t="shared" si="18"/>
        <v>44.261800000000008</v>
      </c>
      <c r="U60" s="1">
        <f t="shared" si="15"/>
        <v>12</v>
      </c>
      <c r="V60" s="1">
        <f t="shared" si="16"/>
        <v>6.8138401331052423</v>
      </c>
      <c r="W60" s="1">
        <v>7.9825999999999997</v>
      </c>
      <c r="X60" s="1">
        <v>2.7427999999999999</v>
      </c>
      <c r="Y60" s="1">
        <v>6.0340000000000007</v>
      </c>
      <c r="Z60" s="1">
        <v>6.3116000000000003</v>
      </c>
      <c r="AA60" s="1">
        <v>1.65</v>
      </c>
      <c r="AB60" s="1">
        <v>4.9256000000000002</v>
      </c>
      <c r="AC60" s="1">
        <v>7.6627999999999998</v>
      </c>
      <c r="AD60" s="1">
        <v>7.9290000000000003</v>
      </c>
      <c r="AE60" s="1">
        <v>6.2595999999999998</v>
      </c>
      <c r="AF60" s="1">
        <v>4.0456000000000003</v>
      </c>
      <c r="AG60" s="1"/>
      <c r="AH60" s="1">
        <f t="shared" si="17"/>
        <v>44.261800000000008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43</v>
      </c>
      <c r="C61" s="1">
        <v>135</v>
      </c>
      <c r="D61" s="1"/>
      <c r="E61" s="1">
        <v>145</v>
      </c>
      <c r="F61" s="1">
        <v>-10</v>
      </c>
      <c r="G61" s="7">
        <v>0.1</v>
      </c>
      <c r="H61" s="1">
        <v>731</v>
      </c>
      <c r="I61" s="1" t="s">
        <v>39</v>
      </c>
      <c r="J61" s="1"/>
      <c r="K61" s="1">
        <v>170</v>
      </c>
      <c r="L61" s="1">
        <f t="shared" si="13"/>
        <v>-25</v>
      </c>
      <c r="M61" s="1"/>
      <c r="N61" s="1"/>
      <c r="O61" s="1">
        <v>349.63400000000001</v>
      </c>
      <c r="P61" s="1"/>
      <c r="Q61" s="1"/>
      <c r="R61" s="1">
        <v>465.56599999999997</v>
      </c>
      <c r="S61" s="1">
        <f t="shared" si="14"/>
        <v>29</v>
      </c>
      <c r="T61" s="5"/>
      <c r="U61" s="1">
        <f t="shared" si="15"/>
        <v>27.76551724137931</v>
      </c>
      <c r="V61" s="1">
        <f t="shared" si="16"/>
        <v>27.76551724137931</v>
      </c>
      <c r="W61" s="1">
        <v>73.2</v>
      </c>
      <c r="X61" s="1">
        <v>64.2</v>
      </c>
      <c r="Y61" s="1">
        <v>32.799999999999997</v>
      </c>
      <c r="Z61" s="1">
        <v>32.6</v>
      </c>
      <c r="AA61" s="1">
        <v>33.200000000000003</v>
      </c>
      <c r="AB61" s="1">
        <v>38.4</v>
      </c>
      <c r="AC61" s="1">
        <v>39</v>
      </c>
      <c r="AD61" s="1">
        <v>48.6</v>
      </c>
      <c r="AE61" s="1">
        <v>60.4</v>
      </c>
      <c r="AF61" s="1">
        <v>36.200000000000003</v>
      </c>
      <c r="AG61" s="1"/>
      <c r="AH61" s="1">
        <f t="shared" si="17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43</v>
      </c>
      <c r="C62" s="1">
        <v>63</v>
      </c>
      <c r="D62" s="1"/>
      <c r="E62" s="1">
        <v>38</v>
      </c>
      <c r="F62" s="1">
        <v>23</v>
      </c>
      <c r="G62" s="7">
        <v>0.4</v>
      </c>
      <c r="H62" s="1">
        <v>50</v>
      </c>
      <c r="I62" s="1" t="s">
        <v>39</v>
      </c>
      <c r="J62" s="1"/>
      <c r="K62" s="1">
        <v>39</v>
      </c>
      <c r="L62" s="1">
        <f t="shared" si="13"/>
        <v>-1</v>
      </c>
      <c r="M62" s="1"/>
      <c r="N62" s="1"/>
      <c r="O62" s="1">
        <v>0</v>
      </c>
      <c r="P62" s="1"/>
      <c r="Q62" s="1"/>
      <c r="R62" s="1">
        <v>49.2</v>
      </c>
      <c r="S62" s="1">
        <f t="shared" si="14"/>
        <v>7.6</v>
      </c>
      <c r="T62" s="5">
        <f t="shared" si="18"/>
        <v>18.999999999999986</v>
      </c>
      <c r="U62" s="1">
        <f t="shared" si="15"/>
        <v>11.999999999999998</v>
      </c>
      <c r="V62" s="1">
        <f t="shared" si="16"/>
        <v>9.5</v>
      </c>
      <c r="W62" s="1">
        <v>8.8000000000000007</v>
      </c>
      <c r="X62" s="1">
        <v>4</v>
      </c>
      <c r="Y62" s="1">
        <v>4</v>
      </c>
      <c r="Z62" s="1">
        <v>3.6</v>
      </c>
      <c r="AA62" s="1">
        <v>2.6</v>
      </c>
      <c r="AB62" s="1">
        <v>3.6</v>
      </c>
      <c r="AC62" s="1">
        <v>4</v>
      </c>
      <c r="AD62" s="1">
        <v>9</v>
      </c>
      <c r="AE62" s="1">
        <v>10</v>
      </c>
      <c r="AF62" s="1">
        <v>3</v>
      </c>
      <c r="AG62" s="1"/>
      <c r="AH62" s="1">
        <f t="shared" si="17"/>
        <v>7.5999999999999943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idden="1" x14ac:dyDescent="0.25">
      <c r="A63" s="1" t="s">
        <v>101</v>
      </c>
      <c r="B63" s="1" t="s">
        <v>38</v>
      </c>
      <c r="C63" s="1">
        <v>-0.50600000000000001</v>
      </c>
      <c r="D63" s="1">
        <v>56.77</v>
      </c>
      <c r="E63" s="1">
        <v>57.061999999999998</v>
      </c>
      <c r="F63" s="1">
        <v>-0.79800000000000004</v>
      </c>
      <c r="G63" s="7">
        <v>1</v>
      </c>
      <c r="H63" s="1">
        <v>40</v>
      </c>
      <c r="I63" s="9" t="s">
        <v>50</v>
      </c>
      <c r="J63" s="1"/>
      <c r="K63" s="1">
        <v>58.1</v>
      </c>
      <c r="L63" s="1">
        <f t="shared" si="13"/>
        <v>-1.0380000000000038</v>
      </c>
      <c r="M63" s="1"/>
      <c r="N63" s="1"/>
      <c r="O63" s="1">
        <v>27</v>
      </c>
      <c r="P63" s="1"/>
      <c r="Q63" s="1"/>
      <c r="R63" s="1">
        <v>62.999999999999993</v>
      </c>
      <c r="S63" s="1">
        <f t="shared" si="14"/>
        <v>11.4124</v>
      </c>
      <c r="T63" s="5">
        <f t="shared" si="18"/>
        <v>47.746800000000007</v>
      </c>
      <c r="U63" s="1">
        <f t="shared" si="15"/>
        <v>12</v>
      </c>
      <c r="V63" s="1">
        <f t="shared" si="16"/>
        <v>7.8162349724860674</v>
      </c>
      <c r="W63" s="1">
        <v>15.1564</v>
      </c>
      <c r="X63" s="1">
        <v>9.6504000000000012</v>
      </c>
      <c r="Y63" s="1">
        <v>0</v>
      </c>
      <c r="Z63" s="1">
        <v>13.583600000000001</v>
      </c>
      <c r="AA63" s="1">
        <v>14.9016</v>
      </c>
      <c r="AB63" s="1">
        <v>6.7847999999999997</v>
      </c>
      <c r="AC63" s="1">
        <v>7.556</v>
      </c>
      <c r="AD63" s="1">
        <v>3.6623999999999999</v>
      </c>
      <c r="AE63" s="1">
        <v>4.5907999999999998</v>
      </c>
      <c r="AF63" s="1">
        <v>4.3612000000000002</v>
      </c>
      <c r="AG63" s="1" t="s">
        <v>102</v>
      </c>
      <c r="AH63" s="1">
        <f t="shared" si="17"/>
        <v>47.746800000000007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103</v>
      </c>
      <c r="B64" s="1" t="s">
        <v>38</v>
      </c>
      <c r="C64" s="1">
        <v>50.237000000000002</v>
      </c>
      <c r="D64" s="1">
        <v>56.677</v>
      </c>
      <c r="E64" s="1">
        <v>103.096</v>
      </c>
      <c r="F64" s="1">
        <v>1.119</v>
      </c>
      <c r="G64" s="7">
        <v>1</v>
      </c>
      <c r="H64" s="1">
        <v>40</v>
      </c>
      <c r="I64" s="1" t="s">
        <v>39</v>
      </c>
      <c r="J64" s="1"/>
      <c r="K64" s="1">
        <v>133.69999999999999</v>
      </c>
      <c r="L64" s="1">
        <f t="shared" si="13"/>
        <v>-30.603999999999985</v>
      </c>
      <c r="M64" s="1"/>
      <c r="N64" s="1"/>
      <c r="O64" s="1">
        <v>123.17196199999999</v>
      </c>
      <c r="P64" s="1"/>
      <c r="Q64" s="1"/>
      <c r="R64" s="1">
        <v>221.47503800000001</v>
      </c>
      <c r="S64" s="1">
        <f t="shared" si="14"/>
        <v>20.619199999999999</v>
      </c>
      <c r="T64" s="5"/>
      <c r="U64" s="1">
        <f t="shared" si="15"/>
        <v>16.769127803212541</v>
      </c>
      <c r="V64" s="1">
        <f t="shared" si="16"/>
        <v>16.769127803212541</v>
      </c>
      <c r="W64" s="1">
        <v>34.844000000000001</v>
      </c>
      <c r="X64" s="1">
        <v>21.790600000000001</v>
      </c>
      <c r="Y64" s="1">
        <v>3.8224</v>
      </c>
      <c r="Z64" s="1">
        <v>16.229199999999999</v>
      </c>
      <c r="AA64" s="1">
        <v>13.7578</v>
      </c>
      <c r="AB64" s="1">
        <v>11.1006</v>
      </c>
      <c r="AC64" s="1">
        <v>15.066599999999999</v>
      </c>
      <c r="AD64" s="1">
        <v>7.2840000000000007</v>
      </c>
      <c r="AE64" s="1">
        <v>7.2656000000000009</v>
      </c>
      <c r="AF64" s="1">
        <v>7.7450000000000001</v>
      </c>
      <c r="AG64" s="1" t="s">
        <v>102</v>
      </c>
      <c r="AH64" s="1">
        <f t="shared" si="1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104</v>
      </c>
      <c r="B65" s="1" t="s">
        <v>43</v>
      </c>
      <c r="C65" s="1">
        <v>323</v>
      </c>
      <c r="D65" s="1">
        <v>13</v>
      </c>
      <c r="E65" s="1">
        <v>12</v>
      </c>
      <c r="F65" s="1">
        <v>323</v>
      </c>
      <c r="G65" s="7">
        <v>0.4</v>
      </c>
      <c r="H65" s="1">
        <v>40</v>
      </c>
      <c r="I65" s="1" t="s">
        <v>39</v>
      </c>
      <c r="J65" s="1"/>
      <c r="K65" s="1">
        <v>399</v>
      </c>
      <c r="L65" s="1">
        <f t="shared" si="13"/>
        <v>-387</v>
      </c>
      <c r="M65" s="1"/>
      <c r="N65" s="1"/>
      <c r="O65" s="1">
        <v>247.66</v>
      </c>
      <c r="P65" s="1"/>
      <c r="Q65" s="1"/>
      <c r="R65" s="1">
        <v>0</v>
      </c>
      <c r="S65" s="1">
        <f t="shared" si="14"/>
        <v>2.4</v>
      </c>
      <c r="T65" s="5"/>
      <c r="U65" s="1">
        <f t="shared" si="15"/>
        <v>237.77500000000001</v>
      </c>
      <c r="V65" s="1">
        <f t="shared" si="16"/>
        <v>237.77500000000001</v>
      </c>
      <c r="W65" s="1">
        <v>49</v>
      </c>
      <c r="X65" s="1">
        <v>58</v>
      </c>
      <c r="Y65" s="1">
        <v>10</v>
      </c>
      <c r="Z65" s="1">
        <v>24.8</v>
      </c>
      <c r="AA65" s="1">
        <v>56.2</v>
      </c>
      <c r="AB65" s="1">
        <v>44.2</v>
      </c>
      <c r="AC65" s="1">
        <v>14.2</v>
      </c>
      <c r="AD65" s="1">
        <v>1.4</v>
      </c>
      <c r="AE65" s="1">
        <v>13.8</v>
      </c>
      <c r="AF65" s="1">
        <v>63.8</v>
      </c>
      <c r="AG65" s="15" t="s">
        <v>121</v>
      </c>
      <c r="AH65" s="1">
        <f t="shared" si="1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 x14ac:dyDescent="0.25">
      <c r="A66" s="1" t="s">
        <v>105</v>
      </c>
      <c r="B66" s="1" t="s">
        <v>43</v>
      </c>
      <c r="C66" s="1">
        <v>221</v>
      </c>
      <c r="D66" s="1">
        <v>116</v>
      </c>
      <c r="E66" s="1">
        <v>328</v>
      </c>
      <c r="F66" s="1">
        <v>8</v>
      </c>
      <c r="G66" s="7">
        <v>0.4</v>
      </c>
      <c r="H66" s="1">
        <v>40</v>
      </c>
      <c r="I66" s="9" t="s">
        <v>50</v>
      </c>
      <c r="J66" s="1"/>
      <c r="K66" s="1">
        <v>359</v>
      </c>
      <c r="L66" s="1">
        <f t="shared" si="13"/>
        <v>-31</v>
      </c>
      <c r="M66" s="1"/>
      <c r="N66" s="1"/>
      <c r="O66" s="1">
        <v>90</v>
      </c>
      <c r="P66" s="1"/>
      <c r="Q66" s="1"/>
      <c r="R66" s="1">
        <v>280</v>
      </c>
      <c r="S66" s="1">
        <f t="shared" si="14"/>
        <v>65.599999999999994</v>
      </c>
      <c r="T66" s="5">
        <v>300</v>
      </c>
      <c r="U66" s="1">
        <f t="shared" si="15"/>
        <v>10.335365853658537</v>
      </c>
      <c r="V66" s="1">
        <f t="shared" si="16"/>
        <v>5.76219512195122</v>
      </c>
      <c r="W66" s="1">
        <v>94.4</v>
      </c>
      <c r="X66" s="1">
        <v>46.4</v>
      </c>
      <c r="Y66" s="1">
        <v>4</v>
      </c>
      <c r="Z66" s="1">
        <v>-0.2</v>
      </c>
      <c r="AA66" s="1">
        <v>-0.2</v>
      </c>
      <c r="AB66" s="1">
        <v>-0.2</v>
      </c>
      <c r="AC66" s="1">
        <v>0</v>
      </c>
      <c r="AD66" s="1">
        <v>0</v>
      </c>
      <c r="AE66" s="1">
        <v>45.2</v>
      </c>
      <c r="AF66" s="1">
        <v>92.6</v>
      </c>
      <c r="AG66" s="1"/>
      <c r="AH66" s="1">
        <f t="shared" si="17"/>
        <v>120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idden="1" x14ac:dyDescent="0.25">
      <c r="A67" s="1" t="s">
        <v>106</v>
      </c>
      <c r="B67" s="1" t="s">
        <v>38</v>
      </c>
      <c r="C67" s="1">
        <v>46.661000000000001</v>
      </c>
      <c r="D67" s="1">
        <v>85.778000000000006</v>
      </c>
      <c r="E67" s="1">
        <v>131.131</v>
      </c>
      <c r="F67" s="1">
        <v>-4.2160000000000002</v>
      </c>
      <c r="G67" s="7">
        <v>1</v>
      </c>
      <c r="H67" s="1">
        <v>40</v>
      </c>
      <c r="I67" s="9" t="s">
        <v>50</v>
      </c>
      <c r="J67" s="1"/>
      <c r="K67" s="1">
        <v>140.5</v>
      </c>
      <c r="L67" s="1">
        <f t="shared" si="13"/>
        <v>-9.3689999999999998</v>
      </c>
      <c r="M67" s="1"/>
      <c r="N67" s="1"/>
      <c r="O67" s="1">
        <v>72</v>
      </c>
      <c r="P67" s="1">
        <v>-75.599999999999994</v>
      </c>
      <c r="Q67" s="1"/>
      <c r="R67" s="1">
        <v>70</v>
      </c>
      <c r="S67" s="1">
        <f t="shared" si="14"/>
        <v>26.226199999999999</v>
      </c>
      <c r="T67" s="5">
        <v>70</v>
      </c>
      <c r="U67" s="1">
        <f t="shared" si="15"/>
        <v>5.0401506890056522</v>
      </c>
      <c r="V67" s="1">
        <f t="shared" si="16"/>
        <v>2.3710640504533642</v>
      </c>
      <c r="W67" s="1">
        <v>32.113799999999998</v>
      </c>
      <c r="X67" s="1">
        <v>30.863199999999999</v>
      </c>
      <c r="Y67" s="1">
        <v>28.920999999999999</v>
      </c>
      <c r="Z67" s="1">
        <v>27.451000000000001</v>
      </c>
      <c r="AA67" s="1">
        <v>27.457799999999999</v>
      </c>
      <c r="AB67" s="1">
        <v>33.810199999999988</v>
      </c>
      <c r="AC67" s="1">
        <v>30.891400000000001</v>
      </c>
      <c r="AD67" s="1">
        <v>39.8172</v>
      </c>
      <c r="AE67" s="1">
        <v>43.403599999999997</v>
      </c>
      <c r="AF67" s="1">
        <v>22.808599999999998</v>
      </c>
      <c r="AG67" s="1"/>
      <c r="AH67" s="1">
        <f t="shared" si="17"/>
        <v>70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idden="1" x14ac:dyDescent="0.25">
      <c r="A68" s="1" t="s">
        <v>107</v>
      </c>
      <c r="B68" s="1" t="s">
        <v>38</v>
      </c>
      <c r="C68" s="1">
        <v>2.056</v>
      </c>
      <c r="D68" s="1">
        <v>4.5359999999999996</v>
      </c>
      <c r="E68" s="1">
        <v>2.7309999999999999</v>
      </c>
      <c r="F68" s="1">
        <v>-0.66700000000000004</v>
      </c>
      <c r="G68" s="7">
        <v>1</v>
      </c>
      <c r="H68" s="1">
        <v>40</v>
      </c>
      <c r="I68" s="9" t="s">
        <v>50</v>
      </c>
      <c r="J68" s="1"/>
      <c r="K68" s="1">
        <v>15.2</v>
      </c>
      <c r="L68" s="1">
        <f t="shared" si="13"/>
        <v>-12.468999999999999</v>
      </c>
      <c r="M68" s="1"/>
      <c r="N68" s="1"/>
      <c r="O68" s="1">
        <v>67.5</v>
      </c>
      <c r="P68" s="1">
        <v>-70.2</v>
      </c>
      <c r="Q68" s="1"/>
      <c r="R68" s="1">
        <v>70</v>
      </c>
      <c r="S68" s="1">
        <f t="shared" si="14"/>
        <v>0.54620000000000002</v>
      </c>
      <c r="T68" s="5">
        <v>70</v>
      </c>
      <c r="U68" s="1">
        <f t="shared" si="15"/>
        <v>250.15195898938114</v>
      </c>
      <c r="V68" s="1">
        <f t="shared" si="16"/>
        <v>121.99377517392895</v>
      </c>
      <c r="W68" s="1">
        <v>13.5738</v>
      </c>
      <c r="X68" s="1">
        <v>26.236799999999999</v>
      </c>
      <c r="Y68" s="1">
        <v>30.546399999999998</v>
      </c>
      <c r="Z68" s="1">
        <v>28.173400000000001</v>
      </c>
      <c r="AA68" s="1">
        <v>25.8324</v>
      </c>
      <c r="AB68" s="1">
        <v>32.492199999999997</v>
      </c>
      <c r="AC68" s="1">
        <v>34.5336</v>
      </c>
      <c r="AD68" s="1">
        <v>33.2986</v>
      </c>
      <c r="AE68" s="1">
        <v>24.674399999999999</v>
      </c>
      <c r="AF68" s="1">
        <v>33.698399999999999</v>
      </c>
      <c r="AG68" s="1"/>
      <c r="AH68" s="1">
        <f t="shared" si="17"/>
        <v>70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idden="1" x14ac:dyDescent="0.25">
      <c r="A69" s="1" t="s">
        <v>108</v>
      </c>
      <c r="B69" s="1" t="s">
        <v>38</v>
      </c>
      <c r="C69" s="1">
        <v>154.65600000000001</v>
      </c>
      <c r="D69" s="1">
        <v>116.767</v>
      </c>
      <c r="E69" s="1">
        <v>256.36200000000002</v>
      </c>
      <c r="F69" s="1">
        <v>3.847</v>
      </c>
      <c r="G69" s="7">
        <v>1</v>
      </c>
      <c r="H69" s="1">
        <v>40</v>
      </c>
      <c r="I69" s="9" t="s">
        <v>50</v>
      </c>
      <c r="J69" s="1"/>
      <c r="K69" s="1">
        <v>333.3</v>
      </c>
      <c r="L69" s="1">
        <f t="shared" si="13"/>
        <v>-76.937999999999988</v>
      </c>
      <c r="M69" s="1"/>
      <c r="N69" s="1"/>
      <c r="O69" s="1">
        <v>302.58294000000012</v>
      </c>
      <c r="P69" s="1">
        <v>-307.8</v>
      </c>
      <c r="Q69" s="1"/>
      <c r="R69" s="1">
        <v>140</v>
      </c>
      <c r="S69" s="1">
        <f t="shared" si="14"/>
        <v>51.272400000000005</v>
      </c>
      <c r="T69" s="5">
        <v>180</v>
      </c>
      <c r="U69" s="1">
        <f t="shared" si="15"/>
        <v>6.214453390128023</v>
      </c>
      <c r="V69" s="1">
        <f t="shared" si="16"/>
        <v>2.7037926837830897</v>
      </c>
      <c r="W69" s="1">
        <v>69.817999999999998</v>
      </c>
      <c r="X69" s="1">
        <v>64.147799999999989</v>
      </c>
      <c r="Y69" s="1">
        <v>64.944199999999995</v>
      </c>
      <c r="Z69" s="1">
        <v>60.923400000000001</v>
      </c>
      <c r="AA69" s="1">
        <v>43.718000000000004</v>
      </c>
      <c r="AB69" s="1">
        <v>53.330599999999997</v>
      </c>
      <c r="AC69" s="1">
        <v>67.684799999999996</v>
      </c>
      <c r="AD69" s="1">
        <v>69.110199999999992</v>
      </c>
      <c r="AE69" s="1">
        <v>62.149800000000013</v>
      </c>
      <c r="AF69" s="1">
        <v>77.261200000000002</v>
      </c>
      <c r="AG69" s="1"/>
      <c r="AH69" s="1">
        <f t="shared" si="17"/>
        <v>180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idden="1" x14ac:dyDescent="0.25">
      <c r="A70" s="1" t="s">
        <v>109</v>
      </c>
      <c r="B70" s="1" t="s">
        <v>38</v>
      </c>
      <c r="C70" s="1">
        <v>169.62100000000001</v>
      </c>
      <c r="D70" s="1">
        <v>12.736000000000001</v>
      </c>
      <c r="E70" s="1">
        <v>165.965</v>
      </c>
      <c r="F70" s="1">
        <v>7.3179999999999996</v>
      </c>
      <c r="G70" s="7">
        <v>1</v>
      </c>
      <c r="H70" s="1">
        <v>40</v>
      </c>
      <c r="I70" s="9" t="s">
        <v>50</v>
      </c>
      <c r="J70" s="1"/>
      <c r="K70" s="1">
        <v>163.4</v>
      </c>
      <c r="L70" s="1">
        <f t="shared" ref="L70:L101" si="19">E70-K70</f>
        <v>2.5649999999999977</v>
      </c>
      <c r="M70" s="1"/>
      <c r="N70" s="1"/>
      <c r="O70" s="1">
        <v>109.872418</v>
      </c>
      <c r="P70" s="1">
        <v>-113.4</v>
      </c>
      <c r="Q70" s="1"/>
      <c r="R70" s="1">
        <v>70</v>
      </c>
      <c r="S70" s="1">
        <f t="shared" ref="S70:S101" si="20">E70/5</f>
        <v>33.192999999999998</v>
      </c>
      <c r="T70" s="5">
        <v>80</v>
      </c>
      <c r="U70" s="1">
        <f t="shared" ref="U70:U101" si="21">(F70+O70+P70+Q70+R70+T70)/S70</f>
        <v>4.6332183894194561</v>
      </c>
      <c r="V70" s="1">
        <f t="shared" ref="V70:V101" si="22">(F70+O70+P70+Q70+R70)/S70</f>
        <v>2.2230716717380168</v>
      </c>
      <c r="W70" s="1">
        <v>31.08</v>
      </c>
      <c r="X70" s="1">
        <v>25.4434</v>
      </c>
      <c r="Y70" s="1">
        <v>23.120999999999999</v>
      </c>
      <c r="Z70" s="1">
        <v>23.457599999999999</v>
      </c>
      <c r="AA70" s="1">
        <v>20.8584</v>
      </c>
      <c r="AB70" s="1">
        <v>27.188800000000001</v>
      </c>
      <c r="AC70" s="1">
        <v>28.836200000000002</v>
      </c>
      <c r="AD70" s="1">
        <v>31.062999999999999</v>
      </c>
      <c r="AE70" s="1">
        <v>31.611599999999999</v>
      </c>
      <c r="AF70" s="1">
        <v>37.389200000000002</v>
      </c>
      <c r="AG70" s="1"/>
      <c r="AH70" s="1">
        <f t="shared" si="17"/>
        <v>80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110</v>
      </c>
      <c r="B71" s="1" t="s">
        <v>43</v>
      </c>
      <c r="C71" s="1">
        <v>43</v>
      </c>
      <c r="D71" s="1"/>
      <c r="E71" s="1">
        <v>11</v>
      </c>
      <c r="F71" s="1">
        <v>32</v>
      </c>
      <c r="G71" s="7">
        <v>0.6</v>
      </c>
      <c r="H71" s="1">
        <v>70</v>
      </c>
      <c r="I71" s="1" t="s">
        <v>39</v>
      </c>
      <c r="J71" s="1"/>
      <c r="K71" s="1">
        <v>13</v>
      </c>
      <c r="L71" s="1">
        <f t="shared" si="19"/>
        <v>-2</v>
      </c>
      <c r="M71" s="1"/>
      <c r="N71" s="1"/>
      <c r="O71" s="1">
        <v>0</v>
      </c>
      <c r="P71" s="1"/>
      <c r="Q71" s="1"/>
      <c r="R71" s="1">
        <v>0</v>
      </c>
      <c r="S71" s="1">
        <f t="shared" si="20"/>
        <v>2.2000000000000002</v>
      </c>
      <c r="T71" s="5"/>
      <c r="U71" s="1">
        <f t="shared" si="21"/>
        <v>14.545454545454545</v>
      </c>
      <c r="V71" s="1">
        <f t="shared" si="22"/>
        <v>14.545454545454545</v>
      </c>
      <c r="W71" s="1">
        <v>2.8</v>
      </c>
      <c r="X71" s="1">
        <v>2.2000000000000002</v>
      </c>
      <c r="Y71" s="1">
        <v>1.6</v>
      </c>
      <c r="Z71" s="1">
        <v>1.6</v>
      </c>
      <c r="AA71" s="1">
        <v>1.6</v>
      </c>
      <c r="AB71" s="1">
        <v>0.6</v>
      </c>
      <c r="AC71" s="1">
        <v>1</v>
      </c>
      <c r="AD71" s="1">
        <v>0.8</v>
      </c>
      <c r="AE71" s="1">
        <v>1.2</v>
      </c>
      <c r="AF71" s="1">
        <v>2.4</v>
      </c>
      <c r="AG71" s="1"/>
      <c r="AH71" s="1">
        <f t="shared" si="17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38</v>
      </c>
      <c r="C72" s="1">
        <v>517.62099999999998</v>
      </c>
      <c r="D72" s="1">
        <v>40.249000000000002</v>
      </c>
      <c r="E72" s="1">
        <v>466.00299999999999</v>
      </c>
      <c r="F72" s="1">
        <v>25.486000000000001</v>
      </c>
      <c r="G72" s="7">
        <v>1</v>
      </c>
      <c r="H72" s="1">
        <v>30</v>
      </c>
      <c r="I72" s="1" t="s">
        <v>39</v>
      </c>
      <c r="J72" s="1"/>
      <c r="K72" s="1">
        <v>479.6</v>
      </c>
      <c r="L72" s="1">
        <f t="shared" si="19"/>
        <v>-13.597000000000037</v>
      </c>
      <c r="M72" s="1"/>
      <c r="N72" s="1"/>
      <c r="O72" s="1">
        <v>0</v>
      </c>
      <c r="P72" s="1"/>
      <c r="Q72" s="1"/>
      <c r="R72" s="1">
        <v>476.84235999999999</v>
      </c>
      <c r="S72" s="1">
        <f t="shared" si="20"/>
        <v>93.200599999999994</v>
      </c>
      <c r="T72" s="5">
        <f>11*S72-R72-Q72-P72-O72-F72</f>
        <v>522.87824000000001</v>
      </c>
      <c r="U72" s="1">
        <f t="shared" si="21"/>
        <v>11</v>
      </c>
      <c r="V72" s="1">
        <f t="shared" si="22"/>
        <v>5.3897545723954563</v>
      </c>
      <c r="W72" s="1">
        <v>88.773200000000003</v>
      </c>
      <c r="X72" s="1">
        <v>43.605600000000003</v>
      </c>
      <c r="Y72" s="1">
        <v>12.5822</v>
      </c>
      <c r="Z72" s="1">
        <v>49.552399999999999</v>
      </c>
      <c r="AA72" s="1">
        <v>72.886200000000002</v>
      </c>
      <c r="AB72" s="1">
        <v>41.464399999999998</v>
      </c>
      <c r="AC72" s="1">
        <v>16.122800000000002</v>
      </c>
      <c r="AD72" s="1">
        <v>65.612400000000008</v>
      </c>
      <c r="AE72" s="1">
        <v>95.952399999999997</v>
      </c>
      <c r="AF72" s="1">
        <v>85.349000000000004</v>
      </c>
      <c r="AG72" s="1"/>
      <c r="AH72" s="1">
        <f t="shared" si="17"/>
        <v>522.87824000000001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idden="1" x14ac:dyDescent="0.25">
      <c r="A73" s="10" t="s">
        <v>112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39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/>
      <c r="R73" s="10">
        <v>0</v>
      </c>
      <c r="S73" s="10">
        <f t="shared" si="20"/>
        <v>0</v>
      </c>
      <c r="T73" s="12"/>
      <c r="U73" s="10" t="e">
        <f t="shared" si="21"/>
        <v>#DIV/0!</v>
      </c>
      <c r="V73" s="10" t="e">
        <f t="shared" si="22"/>
        <v>#DIV/0!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48</v>
      </c>
      <c r="AH73" s="1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113</v>
      </c>
      <c r="B74" s="1" t="s">
        <v>43</v>
      </c>
      <c r="C74" s="1">
        <v>70</v>
      </c>
      <c r="D74" s="1">
        <v>8</v>
      </c>
      <c r="E74" s="1">
        <v>41</v>
      </c>
      <c r="F74" s="1">
        <v>6</v>
      </c>
      <c r="G74" s="7">
        <v>0.6</v>
      </c>
      <c r="H74" s="1">
        <v>60</v>
      </c>
      <c r="I74" s="1" t="s">
        <v>39</v>
      </c>
      <c r="J74" s="1"/>
      <c r="K74" s="1">
        <v>33</v>
      </c>
      <c r="L74" s="1">
        <f t="shared" si="19"/>
        <v>8</v>
      </c>
      <c r="M74" s="1"/>
      <c r="N74" s="1"/>
      <c r="O74" s="1">
        <v>121.44799999999999</v>
      </c>
      <c r="P74" s="1"/>
      <c r="Q74" s="1"/>
      <c r="R74" s="1">
        <v>87.951999999999984</v>
      </c>
      <c r="S74" s="1">
        <f t="shared" si="20"/>
        <v>8.1999999999999993</v>
      </c>
      <c r="T74" s="5"/>
      <c r="U74" s="1">
        <f t="shared" si="21"/>
        <v>26.26829268292683</v>
      </c>
      <c r="V74" s="1">
        <f t="shared" si="22"/>
        <v>26.26829268292683</v>
      </c>
      <c r="W74" s="1">
        <v>22.4</v>
      </c>
      <c r="X74" s="1">
        <v>22.4</v>
      </c>
      <c r="Y74" s="1">
        <v>1.8</v>
      </c>
      <c r="Z74" s="1">
        <v>12</v>
      </c>
      <c r="AA74" s="1">
        <v>16.8</v>
      </c>
      <c r="AB74" s="1">
        <v>10</v>
      </c>
      <c r="AC74" s="1">
        <v>13.4</v>
      </c>
      <c r="AD74" s="1">
        <v>8.1999999999999993</v>
      </c>
      <c r="AE74" s="1">
        <v>3.2</v>
      </c>
      <c r="AF74" s="1">
        <v>24</v>
      </c>
      <c r="AG74" s="1"/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114</v>
      </c>
      <c r="B75" s="1" t="s">
        <v>43</v>
      </c>
      <c r="C75" s="1">
        <v>35</v>
      </c>
      <c r="D75" s="1">
        <v>50</v>
      </c>
      <c r="E75" s="1">
        <v>80</v>
      </c>
      <c r="F75" s="1">
        <v>5</v>
      </c>
      <c r="G75" s="7">
        <v>0.4</v>
      </c>
      <c r="H75" s="1">
        <v>90</v>
      </c>
      <c r="I75" s="1" t="s">
        <v>39</v>
      </c>
      <c r="J75" s="1"/>
      <c r="K75" s="1">
        <v>84</v>
      </c>
      <c r="L75" s="1">
        <f t="shared" si="19"/>
        <v>-4</v>
      </c>
      <c r="M75" s="1"/>
      <c r="N75" s="1"/>
      <c r="O75" s="1">
        <v>96.752000000000038</v>
      </c>
      <c r="P75" s="1"/>
      <c r="Q75" s="1"/>
      <c r="R75" s="1">
        <v>81.247999999999962</v>
      </c>
      <c r="S75" s="1">
        <f t="shared" si="20"/>
        <v>16</v>
      </c>
      <c r="T75" s="5">
        <f t="shared" ref="T75:T77" si="23">12*S75-R75-Q75-P75-O75-F75</f>
        <v>9</v>
      </c>
      <c r="U75" s="1">
        <f t="shared" si="21"/>
        <v>12</v>
      </c>
      <c r="V75" s="1">
        <f t="shared" si="22"/>
        <v>11.4375</v>
      </c>
      <c r="W75" s="1">
        <v>19</v>
      </c>
      <c r="X75" s="1">
        <v>17.600000000000001</v>
      </c>
      <c r="Y75" s="1">
        <v>16.600000000000001</v>
      </c>
      <c r="Z75" s="1">
        <v>13.6</v>
      </c>
      <c r="AA75" s="1">
        <v>5.4</v>
      </c>
      <c r="AB75" s="1">
        <v>5.6</v>
      </c>
      <c r="AC75" s="1">
        <v>9.8000000000000007</v>
      </c>
      <c r="AD75" s="1">
        <v>16.600000000000001</v>
      </c>
      <c r="AE75" s="1">
        <v>17.2</v>
      </c>
      <c r="AF75" s="1">
        <v>18.399999999999999</v>
      </c>
      <c r="AG75" s="1"/>
      <c r="AH75" s="1">
        <f>G75*T75</f>
        <v>3.6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115</v>
      </c>
      <c r="B76" s="1" t="s">
        <v>43</v>
      </c>
      <c r="C76" s="1">
        <v>49</v>
      </c>
      <c r="D76" s="1">
        <v>111</v>
      </c>
      <c r="E76" s="1">
        <v>137</v>
      </c>
      <c r="F76" s="1">
        <v>12</v>
      </c>
      <c r="G76" s="7">
        <v>0.33</v>
      </c>
      <c r="H76" s="1">
        <v>60</v>
      </c>
      <c r="I76" s="1" t="s">
        <v>39</v>
      </c>
      <c r="J76" s="1"/>
      <c r="K76" s="1">
        <v>158</v>
      </c>
      <c r="L76" s="1">
        <f t="shared" si="19"/>
        <v>-21</v>
      </c>
      <c r="M76" s="1"/>
      <c r="N76" s="1"/>
      <c r="O76" s="1">
        <v>220.61200000000011</v>
      </c>
      <c r="P76" s="1"/>
      <c r="Q76" s="1"/>
      <c r="R76" s="1">
        <v>148.98799999999989</v>
      </c>
      <c r="S76" s="1">
        <f t="shared" si="20"/>
        <v>27.4</v>
      </c>
      <c r="T76" s="5"/>
      <c r="U76" s="1">
        <f t="shared" si="21"/>
        <v>13.927007299270075</v>
      </c>
      <c r="V76" s="1">
        <f t="shared" si="22"/>
        <v>13.927007299270075</v>
      </c>
      <c r="W76" s="1">
        <v>37.6</v>
      </c>
      <c r="X76" s="1">
        <v>36</v>
      </c>
      <c r="Y76" s="1">
        <v>29.6</v>
      </c>
      <c r="Z76" s="1">
        <v>26.2</v>
      </c>
      <c r="AA76" s="1">
        <v>20.399999999999999</v>
      </c>
      <c r="AB76" s="1">
        <v>23.4</v>
      </c>
      <c r="AC76" s="1">
        <v>26.6</v>
      </c>
      <c r="AD76" s="1">
        <v>29</v>
      </c>
      <c r="AE76" s="1">
        <v>25</v>
      </c>
      <c r="AF76" s="1">
        <v>24.2</v>
      </c>
      <c r="AG76" s="1"/>
      <c r="AH76" s="1">
        <f>G76*T76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116</v>
      </c>
      <c r="B77" s="1" t="s">
        <v>43</v>
      </c>
      <c r="C77" s="1">
        <v>1</v>
      </c>
      <c r="D77" s="1">
        <v>70</v>
      </c>
      <c r="E77" s="1">
        <v>68</v>
      </c>
      <c r="F77" s="1">
        <v>3</v>
      </c>
      <c r="G77" s="7">
        <v>0.35</v>
      </c>
      <c r="H77" s="1">
        <v>90</v>
      </c>
      <c r="I77" s="1" t="s">
        <v>39</v>
      </c>
      <c r="J77" s="1"/>
      <c r="K77" s="1">
        <v>72</v>
      </c>
      <c r="L77" s="1">
        <f t="shared" si="19"/>
        <v>-4</v>
      </c>
      <c r="M77" s="1"/>
      <c r="N77" s="1"/>
      <c r="O77" s="1">
        <v>114.768</v>
      </c>
      <c r="P77" s="1"/>
      <c r="Q77" s="1"/>
      <c r="R77" s="1">
        <v>0</v>
      </c>
      <c r="S77" s="1">
        <f t="shared" si="20"/>
        <v>13.6</v>
      </c>
      <c r="T77" s="5">
        <f t="shared" si="23"/>
        <v>45.431999999999988</v>
      </c>
      <c r="U77" s="1">
        <f t="shared" si="21"/>
        <v>12</v>
      </c>
      <c r="V77" s="1">
        <f t="shared" si="22"/>
        <v>8.659411764705883</v>
      </c>
      <c r="W77" s="1">
        <v>7.8</v>
      </c>
      <c r="X77" s="1">
        <v>18.399999999999999</v>
      </c>
      <c r="Y77" s="1">
        <v>25</v>
      </c>
      <c r="Z77" s="1">
        <v>13</v>
      </c>
      <c r="AA77" s="1">
        <v>5.4</v>
      </c>
      <c r="AB77" s="1">
        <v>7.2</v>
      </c>
      <c r="AC77" s="1">
        <v>11</v>
      </c>
      <c r="AD77" s="1">
        <v>15</v>
      </c>
      <c r="AE77" s="1">
        <v>12.8</v>
      </c>
      <c r="AF77" s="1">
        <v>11.2</v>
      </c>
      <c r="AG77" s="1"/>
      <c r="AH77" s="1">
        <f>G77*T77</f>
        <v>15.901199999999994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117</v>
      </c>
      <c r="B78" s="1" t="s">
        <v>43</v>
      </c>
      <c r="C78" s="1">
        <v>23</v>
      </c>
      <c r="D78" s="1">
        <v>50</v>
      </c>
      <c r="E78" s="1">
        <v>67</v>
      </c>
      <c r="F78" s="1">
        <v>4</v>
      </c>
      <c r="G78" s="7">
        <v>0.37</v>
      </c>
      <c r="H78" s="1">
        <v>50</v>
      </c>
      <c r="I78" s="1" t="s">
        <v>39</v>
      </c>
      <c r="J78" s="1"/>
      <c r="K78" s="1">
        <v>69</v>
      </c>
      <c r="L78" s="1">
        <f t="shared" si="19"/>
        <v>-2</v>
      </c>
      <c r="M78" s="1"/>
      <c r="N78" s="1"/>
      <c r="O78" s="1">
        <v>240.38799999999989</v>
      </c>
      <c r="P78" s="1"/>
      <c r="Q78" s="1"/>
      <c r="R78" s="1">
        <v>229.41200000000009</v>
      </c>
      <c r="S78" s="1">
        <f t="shared" si="20"/>
        <v>13.4</v>
      </c>
      <c r="T78" s="5"/>
      <c r="U78" s="1">
        <f t="shared" si="21"/>
        <v>35.358208955223873</v>
      </c>
      <c r="V78" s="1">
        <f t="shared" si="22"/>
        <v>35.358208955223873</v>
      </c>
      <c r="W78" s="1">
        <v>43.8</v>
      </c>
      <c r="X78" s="1">
        <v>44.4</v>
      </c>
      <c r="Y78" s="1">
        <v>11.8</v>
      </c>
      <c r="Z78" s="1">
        <v>23.6</v>
      </c>
      <c r="AA78" s="1">
        <v>22.4</v>
      </c>
      <c r="AB78" s="1">
        <v>18.399999999999999</v>
      </c>
      <c r="AC78" s="1">
        <v>26</v>
      </c>
      <c r="AD78" s="1">
        <v>33.4</v>
      </c>
      <c r="AE78" s="1">
        <v>42.4</v>
      </c>
      <c r="AF78" s="1">
        <v>46</v>
      </c>
      <c r="AG78" s="1"/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idden="1" x14ac:dyDescent="0.25">
      <c r="A79" s="10" t="s">
        <v>118</v>
      </c>
      <c r="B79" s="10" t="s">
        <v>43</v>
      </c>
      <c r="C79" s="10"/>
      <c r="D79" s="10"/>
      <c r="E79" s="10"/>
      <c r="F79" s="10"/>
      <c r="G79" s="11">
        <v>0</v>
      </c>
      <c r="H79" s="10"/>
      <c r="I79" s="10" t="s">
        <v>39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/>
      <c r="R79" s="10">
        <v>0</v>
      </c>
      <c r="S79" s="10">
        <f t="shared" si="20"/>
        <v>0</v>
      </c>
      <c r="T79" s="12"/>
      <c r="U79" s="10" t="e">
        <f t="shared" si="21"/>
        <v>#DIV/0!</v>
      </c>
      <c r="V79" s="10" t="e">
        <f t="shared" si="22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 t="s">
        <v>48</v>
      </c>
      <c r="AH79" s="10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43</v>
      </c>
      <c r="C80" s="1">
        <v>4</v>
      </c>
      <c r="D80" s="1">
        <v>42</v>
      </c>
      <c r="E80" s="1">
        <v>44</v>
      </c>
      <c r="F80" s="1">
        <v>1</v>
      </c>
      <c r="G80" s="7">
        <v>0.33</v>
      </c>
      <c r="H80" s="1">
        <v>40</v>
      </c>
      <c r="I80" s="1" t="s">
        <v>39</v>
      </c>
      <c r="J80" s="1"/>
      <c r="K80" s="1">
        <v>54</v>
      </c>
      <c r="L80" s="1">
        <f t="shared" si="19"/>
        <v>-10</v>
      </c>
      <c r="M80" s="1"/>
      <c r="N80" s="1"/>
      <c r="O80" s="1">
        <v>85.858000000000004</v>
      </c>
      <c r="P80" s="1"/>
      <c r="Q80" s="1"/>
      <c r="R80" s="1">
        <v>91.742000000000019</v>
      </c>
      <c r="S80" s="1">
        <f t="shared" si="20"/>
        <v>8.8000000000000007</v>
      </c>
      <c r="T80" s="5"/>
      <c r="U80" s="1">
        <f t="shared" si="21"/>
        <v>20.295454545454547</v>
      </c>
      <c r="V80" s="1">
        <f t="shared" si="22"/>
        <v>20.295454545454547</v>
      </c>
      <c r="W80" s="1">
        <v>16.600000000000001</v>
      </c>
      <c r="X80" s="1">
        <v>15.4</v>
      </c>
      <c r="Y80" s="1">
        <v>6.4</v>
      </c>
      <c r="Z80" s="1">
        <v>8.6</v>
      </c>
      <c r="AA80" s="1">
        <v>8.4</v>
      </c>
      <c r="AB80" s="1">
        <v>6</v>
      </c>
      <c r="AC80" s="1">
        <v>5.6</v>
      </c>
      <c r="AD80" s="1">
        <v>8.1999999999999993</v>
      </c>
      <c r="AE80" s="1">
        <v>11</v>
      </c>
      <c r="AF80" s="1">
        <v>10.8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120</v>
      </c>
      <c r="B81" s="1" t="s">
        <v>43</v>
      </c>
      <c r="C81" s="1">
        <v>266</v>
      </c>
      <c r="D81" s="1">
        <v>6</v>
      </c>
      <c r="E81" s="1">
        <v>44</v>
      </c>
      <c r="F81" s="1">
        <v>178</v>
      </c>
      <c r="G81" s="7">
        <v>0.4</v>
      </c>
      <c r="H81" s="1">
        <v>55</v>
      </c>
      <c r="I81" s="1" t="s">
        <v>39</v>
      </c>
      <c r="J81" s="1"/>
      <c r="K81" s="1">
        <v>50</v>
      </c>
      <c r="L81" s="1">
        <f t="shared" si="19"/>
        <v>-6</v>
      </c>
      <c r="M81" s="1"/>
      <c r="N81" s="1"/>
      <c r="O81" s="1">
        <v>0</v>
      </c>
      <c r="P81" s="1"/>
      <c r="Q81" s="1"/>
      <c r="R81" s="1">
        <v>0</v>
      </c>
      <c r="S81" s="1">
        <f t="shared" si="20"/>
        <v>8.8000000000000007</v>
      </c>
      <c r="T81" s="5"/>
      <c r="U81" s="1">
        <f t="shared" si="21"/>
        <v>20.227272727272727</v>
      </c>
      <c r="V81" s="1">
        <f t="shared" si="22"/>
        <v>20.227272727272727</v>
      </c>
      <c r="W81" s="1">
        <v>14.8</v>
      </c>
      <c r="X81" s="1">
        <v>11</v>
      </c>
      <c r="Y81" s="1">
        <v>4.4000000000000004</v>
      </c>
      <c r="Z81" s="1">
        <v>12.2</v>
      </c>
      <c r="AA81" s="1">
        <v>13.8</v>
      </c>
      <c r="AB81" s="1">
        <v>9</v>
      </c>
      <c r="AC81" s="1">
        <v>12.6</v>
      </c>
      <c r="AD81" s="1">
        <v>8.6</v>
      </c>
      <c r="AE81" s="1">
        <v>7.4</v>
      </c>
      <c r="AF81" s="1">
        <v>43</v>
      </c>
      <c r="AG81" s="15" t="s">
        <v>121</v>
      </c>
      <c r="AH81" s="1">
        <f>G81*T81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idden="1" x14ac:dyDescent="0.25">
      <c r="A82" s="1" t="s">
        <v>122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50</v>
      </c>
      <c r="J82" s="1"/>
      <c r="K82" s="1">
        <v>23</v>
      </c>
      <c r="L82" s="1">
        <f t="shared" si="19"/>
        <v>-23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f t="shared" si="20"/>
        <v>0</v>
      </c>
      <c r="T82" s="5">
        <v>20</v>
      </c>
      <c r="U82" s="1" t="e">
        <f t="shared" si="21"/>
        <v>#DIV/0!</v>
      </c>
      <c r="V82" s="1" t="e">
        <f t="shared" si="22"/>
        <v>#DIV/0!</v>
      </c>
      <c r="W82" s="1">
        <v>2</v>
      </c>
      <c r="X82" s="1">
        <v>2</v>
      </c>
      <c r="Y82" s="1">
        <v>0</v>
      </c>
      <c r="Z82" s="1">
        <v>0</v>
      </c>
      <c r="AA82" s="1">
        <v>2.4</v>
      </c>
      <c r="AB82" s="1">
        <v>6.2</v>
      </c>
      <c r="AC82" s="1">
        <v>7</v>
      </c>
      <c r="AD82" s="1">
        <v>8</v>
      </c>
      <c r="AE82" s="1">
        <v>6.4</v>
      </c>
      <c r="AF82" s="1">
        <v>3.4</v>
      </c>
      <c r="AG82" s="1"/>
      <c r="AH82" s="1">
        <f>G82*T82</f>
        <v>7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idden="1" x14ac:dyDescent="0.25">
      <c r="A83" s="1" t="s">
        <v>123</v>
      </c>
      <c r="B83" s="1" t="s">
        <v>43</v>
      </c>
      <c r="C83" s="1">
        <v>45</v>
      </c>
      <c r="D83" s="1"/>
      <c r="E83" s="1">
        <v>40</v>
      </c>
      <c r="F83" s="1">
        <v>5</v>
      </c>
      <c r="G83" s="7">
        <v>0.35</v>
      </c>
      <c r="H83" s="1">
        <v>45</v>
      </c>
      <c r="I83" s="9" t="s">
        <v>50</v>
      </c>
      <c r="J83" s="1"/>
      <c r="K83" s="1">
        <v>38</v>
      </c>
      <c r="L83" s="1">
        <f t="shared" si="19"/>
        <v>2</v>
      </c>
      <c r="M83" s="1"/>
      <c r="N83" s="1"/>
      <c r="O83" s="1">
        <v>5</v>
      </c>
      <c r="P83" s="1"/>
      <c r="Q83" s="1"/>
      <c r="R83" s="1">
        <v>50</v>
      </c>
      <c r="S83" s="1">
        <f t="shared" si="20"/>
        <v>8</v>
      </c>
      <c r="T83" s="5">
        <v>30</v>
      </c>
      <c r="U83" s="1">
        <f t="shared" si="21"/>
        <v>11.25</v>
      </c>
      <c r="V83" s="1">
        <f t="shared" si="22"/>
        <v>7.5</v>
      </c>
      <c r="W83" s="1">
        <v>9.4</v>
      </c>
      <c r="X83" s="1">
        <v>3.4</v>
      </c>
      <c r="Y83" s="1">
        <v>0</v>
      </c>
      <c r="Z83" s="1">
        <v>0</v>
      </c>
      <c r="AA83" s="1">
        <v>1.4</v>
      </c>
      <c r="AB83" s="1">
        <v>5.4</v>
      </c>
      <c r="AC83" s="1">
        <v>8.1999999999999993</v>
      </c>
      <c r="AD83" s="1">
        <v>9</v>
      </c>
      <c r="AE83" s="1">
        <v>5</v>
      </c>
      <c r="AF83" s="1">
        <v>1.8</v>
      </c>
      <c r="AG83" s="1"/>
      <c r="AH83" s="1">
        <f>G83*T83</f>
        <v>10.5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idden="1" x14ac:dyDescent="0.25">
      <c r="A84" s="10" t="s">
        <v>124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/>
      <c r="R84" s="10">
        <v>0</v>
      </c>
      <c r="S84" s="10">
        <f t="shared" si="20"/>
        <v>0</v>
      </c>
      <c r="T84" s="12"/>
      <c r="U84" s="10" t="e">
        <f t="shared" si="21"/>
        <v>#DIV/0!</v>
      </c>
      <c r="V84" s="10" t="e">
        <f t="shared" si="22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48</v>
      </c>
      <c r="AH84" s="10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idden="1" x14ac:dyDescent="0.25">
      <c r="A85" s="10" t="s">
        <v>125</v>
      </c>
      <c r="B85" s="10" t="s">
        <v>38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20"/>
        <v>0</v>
      </c>
      <c r="T85" s="12"/>
      <c r="U85" s="10" t="e">
        <f t="shared" si="21"/>
        <v>#DIV/0!</v>
      </c>
      <c r="V85" s="10" t="e">
        <f t="shared" si="22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48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idden="1" x14ac:dyDescent="0.25">
      <c r="A86" s="10" t="s">
        <v>126</v>
      </c>
      <c r="B86" s="10" t="s">
        <v>43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/>
      <c r="Q86" s="10"/>
      <c r="R86" s="10">
        <v>0</v>
      </c>
      <c r="S86" s="10">
        <f t="shared" si="20"/>
        <v>0</v>
      </c>
      <c r="T86" s="12"/>
      <c r="U86" s="10" t="e">
        <f t="shared" si="21"/>
        <v>#DIV/0!</v>
      </c>
      <c r="V86" s="10" t="e">
        <f t="shared" si="22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2</v>
      </c>
      <c r="AB86" s="10">
        <v>2</v>
      </c>
      <c r="AC86" s="10">
        <v>0</v>
      </c>
      <c r="AD86" s="10">
        <v>8.6</v>
      </c>
      <c r="AE86" s="10">
        <v>17.399999999999999</v>
      </c>
      <c r="AF86" s="10">
        <v>27.4</v>
      </c>
      <c r="AG86" s="10"/>
      <c r="AH86" s="1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127</v>
      </c>
      <c r="B87" s="1" t="s">
        <v>38</v>
      </c>
      <c r="C87" s="1">
        <v>22.957999999999998</v>
      </c>
      <c r="D87" s="1"/>
      <c r="E87" s="1">
        <v>10.106999999999999</v>
      </c>
      <c r="F87" s="1">
        <v>12.851000000000001</v>
      </c>
      <c r="G87" s="7">
        <v>1</v>
      </c>
      <c r="H87" s="1">
        <v>55</v>
      </c>
      <c r="I87" s="1" t="s">
        <v>39</v>
      </c>
      <c r="J87" s="1"/>
      <c r="K87" s="1">
        <v>12.4</v>
      </c>
      <c r="L87" s="1">
        <f t="shared" si="19"/>
        <v>-2.293000000000001</v>
      </c>
      <c r="M87" s="1"/>
      <c r="N87" s="1"/>
      <c r="O87" s="1">
        <v>4</v>
      </c>
      <c r="P87" s="1"/>
      <c r="Q87" s="1"/>
      <c r="R87" s="1">
        <v>17.975000000000001</v>
      </c>
      <c r="S87" s="1">
        <f t="shared" si="20"/>
        <v>2.0213999999999999</v>
      </c>
      <c r="T87" s="5"/>
      <c r="U87" s="1">
        <f t="shared" si="21"/>
        <v>17.228653408528743</v>
      </c>
      <c r="V87" s="1">
        <f t="shared" si="22"/>
        <v>17.228653408528743</v>
      </c>
      <c r="W87" s="1">
        <v>3.1659999999999999</v>
      </c>
      <c r="X87" s="1">
        <v>2.0042</v>
      </c>
      <c r="Y87" s="1">
        <v>1.1472</v>
      </c>
      <c r="Z87" s="1">
        <v>0.57320000000000004</v>
      </c>
      <c r="AA87" s="1">
        <v>0.57420000000000004</v>
      </c>
      <c r="AB87" s="1">
        <v>0.57440000000000002</v>
      </c>
      <c r="AC87" s="1">
        <v>1.1494</v>
      </c>
      <c r="AD87" s="1">
        <v>2.0078</v>
      </c>
      <c r="AE87" s="1">
        <v>2.8702000000000001</v>
      </c>
      <c r="AF87" s="1">
        <v>2.3037999999999998</v>
      </c>
      <c r="AG87" s="1"/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38</v>
      </c>
      <c r="C88" s="1">
        <v>360.34</v>
      </c>
      <c r="D88" s="1">
        <v>12.76</v>
      </c>
      <c r="E88" s="1">
        <v>165.05</v>
      </c>
      <c r="F88" s="1">
        <v>177.822</v>
      </c>
      <c r="G88" s="7">
        <v>1</v>
      </c>
      <c r="H88" s="1">
        <v>60</v>
      </c>
      <c r="I88" s="1" t="s">
        <v>39</v>
      </c>
      <c r="J88" s="1"/>
      <c r="K88" s="1">
        <v>163</v>
      </c>
      <c r="L88" s="1">
        <f t="shared" si="19"/>
        <v>2.0500000000000114</v>
      </c>
      <c r="M88" s="1"/>
      <c r="N88" s="1"/>
      <c r="O88" s="1">
        <v>51.240430000000032</v>
      </c>
      <c r="P88" s="1"/>
      <c r="Q88" s="1"/>
      <c r="R88" s="1">
        <v>158.1787699999999</v>
      </c>
      <c r="S88" s="1">
        <f t="shared" si="20"/>
        <v>33.010000000000005</v>
      </c>
      <c r="T88" s="5">
        <f t="shared" ref="T88" si="24">12*S88-R88-Q88-P88-O88-F88</f>
        <v>8.8788000000001261</v>
      </c>
      <c r="U88" s="1">
        <f t="shared" si="21"/>
        <v>12</v>
      </c>
      <c r="V88" s="1">
        <f t="shared" si="22"/>
        <v>11.731026961526807</v>
      </c>
      <c r="W88" s="1">
        <v>40.011200000000002</v>
      </c>
      <c r="X88" s="1">
        <v>37.158999999999999</v>
      </c>
      <c r="Y88" s="1">
        <v>27.297799999999999</v>
      </c>
      <c r="Z88" s="1">
        <v>35.398400000000002</v>
      </c>
      <c r="AA88" s="1">
        <v>35.738399999999999</v>
      </c>
      <c r="AB88" s="1">
        <v>39.966799999999999</v>
      </c>
      <c r="AC88" s="1">
        <v>42.334800000000001</v>
      </c>
      <c r="AD88" s="1">
        <v>54.258799999999987</v>
      </c>
      <c r="AE88" s="1">
        <v>64.385599999999997</v>
      </c>
      <c r="AF88" s="1">
        <v>65.792000000000002</v>
      </c>
      <c r="AG88" s="1"/>
      <c r="AH88" s="1">
        <f>G88*T88</f>
        <v>8.8788000000001261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idden="1" x14ac:dyDescent="0.25">
      <c r="A89" s="10" t="s">
        <v>129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20"/>
        <v>0</v>
      </c>
      <c r="T89" s="12"/>
      <c r="U89" s="10" t="e">
        <f t="shared" si="21"/>
        <v>#DIV/0!</v>
      </c>
      <c r="V89" s="10" t="e">
        <f t="shared" si="22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48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130</v>
      </c>
      <c r="B90" s="1" t="s">
        <v>38</v>
      </c>
      <c r="C90" s="1">
        <v>2232.1889999999999</v>
      </c>
      <c r="D90" s="1">
        <v>1811.145</v>
      </c>
      <c r="E90" s="1">
        <v>1524.7539999999999</v>
      </c>
      <c r="F90" s="1">
        <v>2255.652</v>
      </c>
      <c r="G90" s="7">
        <v>1</v>
      </c>
      <c r="H90" s="1">
        <v>60</v>
      </c>
      <c r="I90" s="1" t="s">
        <v>39</v>
      </c>
      <c r="J90" s="1"/>
      <c r="K90" s="1">
        <v>1521.614</v>
      </c>
      <c r="L90" s="1">
        <f t="shared" si="19"/>
        <v>3.1399999999998727</v>
      </c>
      <c r="M90" s="1"/>
      <c r="N90" s="1"/>
      <c r="O90" s="1">
        <v>0</v>
      </c>
      <c r="P90" s="1"/>
      <c r="Q90" s="1"/>
      <c r="R90" s="1">
        <v>0</v>
      </c>
      <c r="S90" s="1">
        <f t="shared" si="20"/>
        <v>304.95079999999996</v>
      </c>
      <c r="T90" s="5">
        <f t="shared" ref="T90:T92" si="25">12*S90-R90-Q90-P90-O90-F90</f>
        <v>1403.7575999999995</v>
      </c>
      <c r="U90" s="1">
        <f t="shared" si="21"/>
        <v>12</v>
      </c>
      <c r="V90" s="1">
        <f t="shared" si="22"/>
        <v>7.3967735123173979</v>
      </c>
      <c r="W90" s="1">
        <v>256.99919999999997</v>
      </c>
      <c r="X90" s="1">
        <v>231.32480000000001</v>
      </c>
      <c r="Y90" s="1">
        <v>263.76119999999997</v>
      </c>
      <c r="Z90" s="1">
        <v>305.51940000000002</v>
      </c>
      <c r="AA90" s="1">
        <v>261.89159999999998</v>
      </c>
      <c r="AB90" s="1">
        <v>278.6728</v>
      </c>
      <c r="AC90" s="1">
        <v>349.59500000000003</v>
      </c>
      <c r="AD90" s="1">
        <v>386.44279999999998</v>
      </c>
      <c r="AE90" s="1">
        <v>349.46839999999997</v>
      </c>
      <c r="AF90" s="1">
        <v>330.30160000000001</v>
      </c>
      <c r="AG90" s="1"/>
      <c r="AH90" s="1">
        <f>G90*T90</f>
        <v>1403.7575999999995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131</v>
      </c>
      <c r="B91" s="1" t="s">
        <v>38</v>
      </c>
      <c r="C91" s="1">
        <v>2559.2049999999999</v>
      </c>
      <c r="D91" s="1">
        <v>22.771000000000001</v>
      </c>
      <c r="E91" s="1">
        <v>1508.883</v>
      </c>
      <c r="F91" s="1">
        <v>858.78300000000002</v>
      </c>
      <c r="G91" s="7">
        <v>1</v>
      </c>
      <c r="H91" s="1">
        <v>60</v>
      </c>
      <c r="I91" s="1" t="s">
        <v>39</v>
      </c>
      <c r="J91" s="1"/>
      <c r="K91" s="1">
        <v>1490.3</v>
      </c>
      <c r="L91" s="1">
        <f t="shared" si="19"/>
        <v>18.583000000000084</v>
      </c>
      <c r="M91" s="1"/>
      <c r="N91" s="1"/>
      <c r="O91" s="1">
        <v>0</v>
      </c>
      <c r="P91" s="1"/>
      <c r="Q91" s="1">
        <v>200</v>
      </c>
      <c r="R91" s="1">
        <v>1331.4569799999999</v>
      </c>
      <c r="S91" s="1">
        <f t="shared" si="20"/>
        <v>301.77660000000003</v>
      </c>
      <c r="T91" s="5">
        <f t="shared" si="25"/>
        <v>1231.0792200000005</v>
      </c>
      <c r="U91" s="1">
        <f t="shared" si="21"/>
        <v>12</v>
      </c>
      <c r="V91" s="1">
        <f t="shared" si="22"/>
        <v>7.9205610375357125</v>
      </c>
      <c r="W91" s="1">
        <v>293.72859999999997</v>
      </c>
      <c r="X91" s="1">
        <v>213.80719999999999</v>
      </c>
      <c r="Y91" s="1">
        <v>230.60740000000001</v>
      </c>
      <c r="Z91" s="1">
        <v>267.38240000000002</v>
      </c>
      <c r="AA91" s="1">
        <v>257.27859999999998</v>
      </c>
      <c r="AB91" s="1">
        <v>302.92239999999998</v>
      </c>
      <c r="AC91" s="1">
        <v>335.65300000000002</v>
      </c>
      <c r="AD91" s="1">
        <v>342.85480000000001</v>
      </c>
      <c r="AE91" s="1">
        <v>355.83800000000002</v>
      </c>
      <c r="AF91" s="1">
        <v>333.839</v>
      </c>
      <c r="AG91" s="1"/>
      <c r="AH91" s="1">
        <f>G91*T91</f>
        <v>1231.0792200000005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132</v>
      </c>
      <c r="B92" s="1" t="s">
        <v>38</v>
      </c>
      <c r="C92" s="1">
        <v>4113.5460000000003</v>
      </c>
      <c r="D92" s="1">
        <v>863.23199999999997</v>
      </c>
      <c r="E92" s="1">
        <v>2179.962</v>
      </c>
      <c r="F92" s="1">
        <v>2405.4029999999998</v>
      </c>
      <c r="G92" s="7">
        <v>1</v>
      </c>
      <c r="H92" s="1">
        <v>60</v>
      </c>
      <c r="I92" s="1" t="s">
        <v>39</v>
      </c>
      <c r="J92" s="1"/>
      <c r="K92" s="1">
        <v>2192.5</v>
      </c>
      <c r="L92" s="1">
        <f t="shared" si="19"/>
        <v>-12.538000000000011</v>
      </c>
      <c r="M92" s="1"/>
      <c r="N92" s="1"/>
      <c r="O92" s="1">
        <v>0</v>
      </c>
      <c r="P92" s="1"/>
      <c r="Q92" s="1">
        <v>240</v>
      </c>
      <c r="R92" s="1">
        <v>966.20897999999977</v>
      </c>
      <c r="S92" s="1">
        <f t="shared" si="20"/>
        <v>435.99239999999998</v>
      </c>
      <c r="T92" s="5">
        <f t="shared" si="25"/>
        <v>1620.29682</v>
      </c>
      <c r="U92" s="1">
        <f t="shared" si="21"/>
        <v>11.999999999999998</v>
      </c>
      <c r="V92" s="1">
        <f t="shared" si="22"/>
        <v>8.2836581096367734</v>
      </c>
      <c r="W92" s="1">
        <v>464.71859999999998</v>
      </c>
      <c r="X92" s="1">
        <v>390.34859999999998</v>
      </c>
      <c r="Y92" s="1">
        <v>377.59100000000001</v>
      </c>
      <c r="Z92" s="1">
        <v>432.98239999999998</v>
      </c>
      <c r="AA92" s="1">
        <v>418.18819999999988</v>
      </c>
      <c r="AB92" s="1">
        <v>465.66320000000002</v>
      </c>
      <c r="AC92" s="1">
        <v>537.89380000000006</v>
      </c>
      <c r="AD92" s="1">
        <v>509.97379999999998</v>
      </c>
      <c r="AE92" s="1">
        <v>493.71719999999988</v>
      </c>
      <c r="AF92" s="1">
        <v>528.36019999999996</v>
      </c>
      <c r="AG92" s="1"/>
      <c r="AH92" s="1">
        <f>G92*T92</f>
        <v>1620.29682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idden="1" x14ac:dyDescent="0.25">
      <c r="A93" s="10" t="s">
        <v>133</v>
      </c>
      <c r="B93" s="10" t="s">
        <v>38</v>
      </c>
      <c r="C93" s="10"/>
      <c r="D93" s="10"/>
      <c r="E93" s="10"/>
      <c r="F93" s="10"/>
      <c r="G93" s="11">
        <v>0</v>
      </c>
      <c r="H93" s="10"/>
      <c r="I93" s="10" t="s">
        <v>39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/>
      <c r="R93" s="10">
        <v>0</v>
      </c>
      <c r="S93" s="10">
        <f t="shared" si="20"/>
        <v>0</v>
      </c>
      <c r="T93" s="12"/>
      <c r="U93" s="10" t="e">
        <f t="shared" si="21"/>
        <v>#DIV/0!</v>
      </c>
      <c r="V93" s="10" t="e">
        <f t="shared" si="22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48</v>
      </c>
      <c r="AH93" s="10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idden="1" x14ac:dyDescent="0.25">
      <c r="A94" s="1" t="s">
        <v>134</v>
      </c>
      <c r="B94" s="1" t="s">
        <v>43</v>
      </c>
      <c r="C94" s="1">
        <v>-9</v>
      </c>
      <c r="D94" s="1"/>
      <c r="E94" s="1">
        <v>-6</v>
      </c>
      <c r="F94" s="1">
        <v>-13</v>
      </c>
      <c r="G94" s="7">
        <v>0.3</v>
      </c>
      <c r="H94" s="1">
        <v>40</v>
      </c>
      <c r="I94" s="9" t="s">
        <v>50</v>
      </c>
      <c r="J94" s="1"/>
      <c r="K94" s="1">
        <v>4</v>
      </c>
      <c r="L94" s="1">
        <f t="shared" si="19"/>
        <v>-10</v>
      </c>
      <c r="M94" s="1"/>
      <c r="N94" s="1"/>
      <c r="O94" s="1">
        <v>90</v>
      </c>
      <c r="P94" s="1">
        <v>-90</v>
      </c>
      <c r="Q94" s="1"/>
      <c r="R94" s="1">
        <v>70</v>
      </c>
      <c r="S94" s="1">
        <f t="shared" si="20"/>
        <v>-1.2</v>
      </c>
      <c r="T94" s="5">
        <v>100</v>
      </c>
      <c r="U94" s="1">
        <f t="shared" si="21"/>
        <v>-130.83333333333334</v>
      </c>
      <c r="V94" s="1">
        <f t="shared" si="22"/>
        <v>-47.5</v>
      </c>
      <c r="W94" s="1">
        <v>-1</v>
      </c>
      <c r="X94" s="1">
        <v>5.4</v>
      </c>
      <c r="Y94" s="1">
        <v>28.6</v>
      </c>
      <c r="Z94" s="1">
        <v>48.6</v>
      </c>
      <c r="AA94" s="1">
        <v>42.6</v>
      </c>
      <c r="AB94" s="1">
        <v>15.2</v>
      </c>
      <c r="AC94" s="1">
        <v>0.6</v>
      </c>
      <c r="AD94" s="1">
        <v>35</v>
      </c>
      <c r="AE94" s="1">
        <v>57.4</v>
      </c>
      <c r="AF94" s="1">
        <v>28.8</v>
      </c>
      <c r="AG94" s="1"/>
      <c r="AH94" s="1">
        <f>G94*T94</f>
        <v>30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idden="1" x14ac:dyDescent="0.25">
      <c r="A95" s="10" t="s">
        <v>135</v>
      </c>
      <c r="B95" s="10" t="s">
        <v>43</v>
      </c>
      <c r="C95" s="10"/>
      <c r="D95" s="10"/>
      <c r="E95" s="10"/>
      <c r="F95" s="10"/>
      <c r="G95" s="11">
        <v>0</v>
      </c>
      <c r="H95" s="10"/>
      <c r="I95" s="10" t="s">
        <v>39</v>
      </c>
      <c r="J95" s="10"/>
      <c r="K95" s="10"/>
      <c r="L95" s="10">
        <f t="shared" si="19"/>
        <v>0</v>
      </c>
      <c r="M95" s="10"/>
      <c r="N95" s="10"/>
      <c r="O95" s="10">
        <v>0</v>
      </c>
      <c r="P95" s="10"/>
      <c r="Q95" s="10"/>
      <c r="R95" s="10">
        <v>0</v>
      </c>
      <c r="S95" s="10">
        <f t="shared" si="20"/>
        <v>0</v>
      </c>
      <c r="T95" s="12"/>
      <c r="U95" s="10" t="e">
        <f t="shared" si="21"/>
        <v>#DIV/0!</v>
      </c>
      <c r="V95" s="10" t="e">
        <f t="shared" si="22"/>
        <v>#DIV/0!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 t="s">
        <v>48</v>
      </c>
      <c r="AH95" s="1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idden="1" x14ac:dyDescent="0.25">
      <c r="A96" s="1" t="s">
        <v>136</v>
      </c>
      <c r="B96" s="1" t="s">
        <v>43</v>
      </c>
      <c r="C96" s="1">
        <v>90</v>
      </c>
      <c r="D96" s="1">
        <v>18</v>
      </c>
      <c r="E96" s="1">
        <v>80</v>
      </c>
      <c r="F96" s="1">
        <v>26</v>
      </c>
      <c r="G96" s="7">
        <v>7.0000000000000007E-2</v>
      </c>
      <c r="H96" s="1">
        <v>90</v>
      </c>
      <c r="I96" s="9" t="s">
        <v>50</v>
      </c>
      <c r="J96" s="1"/>
      <c r="K96" s="1">
        <v>88</v>
      </c>
      <c r="L96" s="1">
        <f t="shared" si="19"/>
        <v>-8</v>
      </c>
      <c r="M96" s="1"/>
      <c r="N96" s="1"/>
      <c r="O96" s="1">
        <v>60.703999999999979</v>
      </c>
      <c r="P96" s="1">
        <v>-72</v>
      </c>
      <c r="Q96" s="1"/>
      <c r="R96" s="1">
        <v>40</v>
      </c>
      <c r="S96" s="1">
        <f t="shared" si="20"/>
        <v>16</v>
      </c>
      <c r="T96" s="5">
        <v>40</v>
      </c>
      <c r="U96" s="1">
        <f t="shared" si="21"/>
        <v>5.9189999999999987</v>
      </c>
      <c r="V96" s="1">
        <f t="shared" si="22"/>
        <v>3.4189999999999987</v>
      </c>
      <c r="W96" s="1">
        <v>18.2</v>
      </c>
      <c r="X96" s="1">
        <v>15.2</v>
      </c>
      <c r="Y96" s="1">
        <v>12.6</v>
      </c>
      <c r="Z96" s="1">
        <v>7</v>
      </c>
      <c r="AA96" s="1">
        <v>4.4000000000000004</v>
      </c>
      <c r="AB96" s="1">
        <v>14.2</v>
      </c>
      <c r="AC96" s="1">
        <v>17</v>
      </c>
      <c r="AD96" s="1">
        <v>9.4</v>
      </c>
      <c r="AE96" s="1">
        <v>9.4</v>
      </c>
      <c r="AF96" s="1">
        <v>12</v>
      </c>
      <c r="AG96" s="1"/>
      <c r="AH96" s="1">
        <f>G96*T96</f>
        <v>2.8000000000000003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idden="1" x14ac:dyDescent="0.25">
      <c r="A97" s="14" t="s">
        <v>137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9" t="s">
        <v>50</v>
      </c>
      <c r="J97" s="1"/>
      <c r="K97" s="1"/>
      <c r="L97" s="1">
        <f t="shared" si="19"/>
        <v>0</v>
      </c>
      <c r="M97" s="1"/>
      <c r="N97" s="1"/>
      <c r="O97" s="1">
        <v>20</v>
      </c>
      <c r="P97" s="1"/>
      <c r="Q97" s="1"/>
      <c r="R97" s="1">
        <v>30</v>
      </c>
      <c r="S97" s="1">
        <f t="shared" si="20"/>
        <v>0</v>
      </c>
      <c r="T97" s="5">
        <v>30</v>
      </c>
      <c r="U97" s="1" t="e">
        <f t="shared" si="21"/>
        <v>#DIV/0!</v>
      </c>
      <c r="V97" s="1" t="e">
        <f t="shared" si="22"/>
        <v>#DIV/0!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7.2</v>
      </c>
      <c r="AC97" s="1">
        <v>11.2</v>
      </c>
      <c r="AD97" s="1">
        <v>7.2</v>
      </c>
      <c r="AE97" s="1">
        <v>3.2</v>
      </c>
      <c r="AF97" s="1">
        <v>0</v>
      </c>
      <c r="AG97" s="1"/>
      <c r="AH97" s="1">
        <f>G97*T97</f>
        <v>2.1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138</v>
      </c>
      <c r="B98" s="1" t="s">
        <v>43</v>
      </c>
      <c r="C98" s="1">
        <v>42</v>
      </c>
      <c r="D98" s="1">
        <v>21</v>
      </c>
      <c r="E98" s="1">
        <v>50</v>
      </c>
      <c r="F98" s="1">
        <v>9</v>
      </c>
      <c r="G98" s="7">
        <v>7.0000000000000007E-2</v>
      </c>
      <c r="H98" s="1">
        <v>90</v>
      </c>
      <c r="I98" s="1" t="s">
        <v>39</v>
      </c>
      <c r="J98" s="1"/>
      <c r="K98" s="1">
        <v>75</v>
      </c>
      <c r="L98" s="1">
        <f t="shared" si="19"/>
        <v>-25</v>
      </c>
      <c r="M98" s="1"/>
      <c r="N98" s="1"/>
      <c r="O98" s="1">
        <v>73.010000000000005</v>
      </c>
      <c r="P98" s="1"/>
      <c r="Q98" s="1"/>
      <c r="R98" s="1">
        <v>107.19</v>
      </c>
      <c r="S98" s="1">
        <f t="shared" si="20"/>
        <v>10</v>
      </c>
      <c r="T98" s="5"/>
      <c r="U98" s="1">
        <f t="shared" si="21"/>
        <v>18.919999999999998</v>
      </c>
      <c r="V98" s="1">
        <f t="shared" si="22"/>
        <v>18.919999999999998</v>
      </c>
      <c r="W98" s="1">
        <v>17.2</v>
      </c>
      <c r="X98" s="1">
        <v>13</v>
      </c>
      <c r="Y98" s="1">
        <v>12.2</v>
      </c>
      <c r="Z98" s="1">
        <v>9.1999999999999993</v>
      </c>
      <c r="AA98" s="1">
        <v>5</v>
      </c>
      <c r="AB98" s="1">
        <v>11</v>
      </c>
      <c r="AC98" s="1">
        <v>12.6</v>
      </c>
      <c r="AD98" s="1">
        <v>7</v>
      </c>
      <c r="AE98" s="1">
        <v>9.4</v>
      </c>
      <c r="AF98" s="1">
        <v>15.4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idden="1" x14ac:dyDescent="0.25">
      <c r="A99" s="10" t="s">
        <v>139</v>
      </c>
      <c r="B99" s="10" t="s">
        <v>43</v>
      </c>
      <c r="C99" s="10">
        <v>7</v>
      </c>
      <c r="D99" s="10"/>
      <c r="E99" s="10">
        <v>-1</v>
      </c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42</v>
      </c>
      <c r="L99" s="10">
        <f t="shared" si="19"/>
        <v>-43</v>
      </c>
      <c r="M99" s="10"/>
      <c r="N99" s="10"/>
      <c r="O99" s="10">
        <v>0</v>
      </c>
      <c r="P99" s="10"/>
      <c r="Q99" s="10"/>
      <c r="R99" s="10">
        <v>0</v>
      </c>
      <c r="S99" s="10">
        <f t="shared" si="20"/>
        <v>-0.2</v>
      </c>
      <c r="T99" s="12"/>
      <c r="U99" s="10">
        <f t="shared" si="21"/>
        <v>-35</v>
      </c>
      <c r="V99" s="10">
        <f t="shared" si="22"/>
        <v>-35</v>
      </c>
      <c r="W99" s="10">
        <v>-0.2</v>
      </c>
      <c r="X99" s="10">
        <v>-0.2</v>
      </c>
      <c r="Y99" s="10">
        <v>-0.6</v>
      </c>
      <c r="Z99" s="10">
        <v>-0.4</v>
      </c>
      <c r="AA99" s="10">
        <v>0</v>
      </c>
      <c r="AB99" s="10">
        <v>8.8000000000000007</v>
      </c>
      <c r="AC99" s="10">
        <v>14</v>
      </c>
      <c r="AD99" s="10">
        <v>12.6</v>
      </c>
      <c r="AE99" s="10">
        <v>14</v>
      </c>
      <c r="AF99" s="10">
        <v>15</v>
      </c>
      <c r="AG99" s="10"/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idden="1" x14ac:dyDescent="0.25">
      <c r="A100" s="10" t="s">
        <v>140</v>
      </c>
      <c r="B100" s="10" t="s">
        <v>43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5</v>
      </c>
      <c r="L100" s="10">
        <f t="shared" si="19"/>
        <v>-5</v>
      </c>
      <c r="M100" s="10"/>
      <c r="N100" s="10"/>
      <c r="O100" s="10">
        <v>0</v>
      </c>
      <c r="P100" s="10"/>
      <c r="Q100" s="10"/>
      <c r="R100" s="10">
        <v>0</v>
      </c>
      <c r="S100" s="10">
        <f t="shared" si="20"/>
        <v>0</v>
      </c>
      <c r="T100" s="12"/>
      <c r="U100" s="10" t="e">
        <f t="shared" si="21"/>
        <v>#DIV/0!</v>
      </c>
      <c r="V100" s="10" t="e">
        <f t="shared" si="22"/>
        <v>#DIV/0!</v>
      </c>
      <c r="W100" s="10">
        <v>0</v>
      </c>
      <c r="X100" s="10">
        <v>-0.2</v>
      </c>
      <c r="Y100" s="10">
        <v>-0.2</v>
      </c>
      <c r="Z100" s="10">
        <v>-0.2</v>
      </c>
      <c r="AA100" s="10">
        <v>-0.2</v>
      </c>
      <c r="AB100" s="10">
        <v>-1.8</v>
      </c>
      <c r="AC100" s="10">
        <v>-1.8</v>
      </c>
      <c r="AD100" s="10">
        <v>0</v>
      </c>
      <c r="AE100" s="10">
        <v>0</v>
      </c>
      <c r="AF100" s="10">
        <v>-0.2</v>
      </c>
      <c r="AG100" s="10" t="s">
        <v>141</v>
      </c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idden="1" x14ac:dyDescent="0.25">
      <c r="A101" s="10" t="s">
        <v>142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9"/>
        <v>0</v>
      </c>
      <c r="M101" s="10"/>
      <c r="N101" s="10"/>
      <c r="O101" s="10">
        <v>0</v>
      </c>
      <c r="P101" s="10"/>
      <c r="Q101" s="10"/>
      <c r="R101" s="10">
        <v>0</v>
      </c>
      <c r="S101" s="10">
        <f t="shared" si="20"/>
        <v>0</v>
      </c>
      <c r="T101" s="12"/>
      <c r="U101" s="10" t="e">
        <f t="shared" si="21"/>
        <v>#DIV/0!</v>
      </c>
      <c r="V101" s="10" t="e">
        <f t="shared" si="22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48</v>
      </c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idden="1" x14ac:dyDescent="0.25">
      <c r="A102" s="10" t="s">
        <v>143</v>
      </c>
      <c r="B102" s="10" t="s">
        <v>38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39</v>
      </c>
      <c r="J102" s="10"/>
      <c r="K102" s="10">
        <v>1</v>
      </c>
      <c r="L102" s="10">
        <f t="shared" ref="L102:L133" si="26">E102-K102</f>
        <v>-1</v>
      </c>
      <c r="M102" s="10"/>
      <c r="N102" s="10"/>
      <c r="O102" s="10">
        <v>0</v>
      </c>
      <c r="P102" s="10"/>
      <c r="Q102" s="10"/>
      <c r="R102" s="10">
        <v>0</v>
      </c>
      <c r="S102" s="10">
        <f t="shared" ref="S102:S133" si="27">E102/5</f>
        <v>0</v>
      </c>
      <c r="T102" s="12"/>
      <c r="U102" s="10" t="e">
        <f t="shared" ref="U102:U133" si="28">(F102+O102+P102+Q102+R102+T102)/S102</f>
        <v>#DIV/0!</v>
      </c>
      <c r="V102" s="10" t="e">
        <f t="shared" ref="V102:V133" si="29">(F102+O102+P102+Q102+R102)/S102</f>
        <v>#DIV/0!</v>
      </c>
      <c r="W102" s="10">
        <v>0</v>
      </c>
      <c r="X102" s="10">
        <v>0</v>
      </c>
      <c r="Y102" s="10">
        <v>-0.32</v>
      </c>
      <c r="Z102" s="10">
        <v>-0.32</v>
      </c>
      <c r="AA102" s="10">
        <v>-0.31919999999999998</v>
      </c>
      <c r="AB102" s="10">
        <v>-0.31919999999999998</v>
      </c>
      <c r="AC102" s="10">
        <v>-5.4399999999999997E-2</v>
      </c>
      <c r="AD102" s="10">
        <v>0.63460000000000005</v>
      </c>
      <c r="AE102" s="10">
        <v>4.1537999999999986</v>
      </c>
      <c r="AF102" s="10">
        <v>6.4096000000000002</v>
      </c>
      <c r="AG102" s="10" t="s">
        <v>48</v>
      </c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idden="1" x14ac:dyDescent="0.25">
      <c r="A103" s="10" t="s">
        <v>144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26"/>
        <v>0</v>
      </c>
      <c r="M103" s="10"/>
      <c r="N103" s="10"/>
      <c r="O103" s="10">
        <v>0</v>
      </c>
      <c r="P103" s="10"/>
      <c r="Q103" s="10"/>
      <c r="R103" s="10">
        <v>0</v>
      </c>
      <c r="S103" s="10">
        <f t="shared" si="27"/>
        <v>0</v>
      </c>
      <c r="T103" s="12"/>
      <c r="U103" s="10" t="e">
        <f t="shared" si="28"/>
        <v>#DIV/0!</v>
      </c>
      <c r="V103" s="10" t="e">
        <f t="shared" si="29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48</v>
      </c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idden="1" x14ac:dyDescent="0.25">
      <c r="A104" s="10" t="s">
        <v>145</v>
      </c>
      <c r="B104" s="10" t="s">
        <v>43</v>
      </c>
      <c r="C104" s="10"/>
      <c r="D104" s="10"/>
      <c r="E104" s="10"/>
      <c r="F104" s="10"/>
      <c r="G104" s="11">
        <v>0</v>
      </c>
      <c r="H104" s="10"/>
      <c r="I104" s="10" t="s">
        <v>39</v>
      </c>
      <c r="J104" s="10"/>
      <c r="K104" s="10"/>
      <c r="L104" s="10">
        <f t="shared" si="26"/>
        <v>0</v>
      </c>
      <c r="M104" s="10"/>
      <c r="N104" s="10"/>
      <c r="O104" s="10">
        <v>0</v>
      </c>
      <c r="P104" s="10"/>
      <c r="Q104" s="10"/>
      <c r="R104" s="10">
        <v>0</v>
      </c>
      <c r="S104" s="10">
        <f t="shared" si="27"/>
        <v>0</v>
      </c>
      <c r="T104" s="12"/>
      <c r="U104" s="10" t="e">
        <f t="shared" si="28"/>
        <v>#DIV/0!</v>
      </c>
      <c r="V104" s="10" t="e">
        <f t="shared" si="29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 t="s">
        <v>48</v>
      </c>
      <c r="AH104" s="1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146</v>
      </c>
      <c r="B105" s="1" t="s">
        <v>43</v>
      </c>
      <c r="C105" s="1">
        <v>48</v>
      </c>
      <c r="D105" s="1">
        <v>10</v>
      </c>
      <c r="E105" s="1">
        <v>56</v>
      </c>
      <c r="F105" s="1">
        <v>2</v>
      </c>
      <c r="G105" s="7">
        <v>0.08</v>
      </c>
      <c r="H105" s="1">
        <v>45</v>
      </c>
      <c r="I105" s="1" t="s">
        <v>39</v>
      </c>
      <c r="J105" s="1"/>
      <c r="K105" s="1">
        <v>68</v>
      </c>
      <c r="L105" s="1">
        <f t="shared" si="26"/>
        <v>-12</v>
      </c>
      <c r="M105" s="1"/>
      <c r="N105" s="1"/>
      <c r="O105" s="1">
        <v>113.63</v>
      </c>
      <c r="P105" s="1"/>
      <c r="Q105" s="1"/>
      <c r="R105" s="1">
        <v>143.97</v>
      </c>
      <c r="S105" s="1">
        <f t="shared" si="27"/>
        <v>11.2</v>
      </c>
      <c r="T105" s="5"/>
      <c r="U105" s="1">
        <f t="shared" si="28"/>
        <v>23.178571428571431</v>
      </c>
      <c r="V105" s="1">
        <f t="shared" si="29"/>
        <v>23.178571428571431</v>
      </c>
      <c r="W105" s="1">
        <v>23.6</v>
      </c>
      <c r="X105" s="1">
        <v>19</v>
      </c>
      <c r="Y105" s="1">
        <v>14.6</v>
      </c>
      <c r="Z105" s="1">
        <v>11.6</v>
      </c>
      <c r="AA105" s="1">
        <v>5.4</v>
      </c>
      <c r="AB105" s="1">
        <v>13.6</v>
      </c>
      <c r="AC105" s="1">
        <v>20</v>
      </c>
      <c r="AD105" s="1">
        <v>12.6</v>
      </c>
      <c r="AE105" s="1">
        <v>5</v>
      </c>
      <c r="AF105" s="1">
        <v>10</v>
      </c>
      <c r="AG105" s="1"/>
      <c r="AH105" s="1">
        <f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147</v>
      </c>
      <c r="B106" s="1" t="s">
        <v>43</v>
      </c>
      <c r="C106" s="1">
        <v>136</v>
      </c>
      <c r="D106" s="1">
        <v>6</v>
      </c>
      <c r="E106" s="1">
        <v>105</v>
      </c>
      <c r="F106" s="1">
        <v>23</v>
      </c>
      <c r="G106" s="7">
        <v>0.08</v>
      </c>
      <c r="H106" s="1">
        <v>45</v>
      </c>
      <c r="I106" s="1" t="s">
        <v>39</v>
      </c>
      <c r="J106" s="1"/>
      <c r="K106" s="1">
        <v>115</v>
      </c>
      <c r="L106" s="1">
        <f t="shared" si="26"/>
        <v>-10</v>
      </c>
      <c r="M106" s="1"/>
      <c r="N106" s="1"/>
      <c r="O106" s="1">
        <v>36.800000000000011</v>
      </c>
      <c r="P106" s="1"/>
      <c r="Q106" s="1"/>
      <c r="R106" s="1">
        <v>131.19999999999999</v>
      </c>
      <c r="S106" s="1">
        <f t="shared" si="27"/>
        <v>21</v>
      </c>
      <c r="T106" s="5">
        <f t="shared" ref="T106" si="30">12*S106-R106-Q106-P106-O106-F106</f>
        <v>61</v>
      </c>
      <c r="U106" s="1">
        <f t="shared" si="28"/>
        <v>12</v>
      </c>
      <c r="V106" s="1">
        <f t="shared" si="29"/>
        <v>9.0952380952380949</v>
      </c>
      <c r="W106" s="1">
        <v>22.2</v>
      </c>
      <c r="X106" s="1">
        <v>14.4</v>
      </c>
      <c r="Y106" s="1">
        <v>15.6</v>
      </c>
      <c r="Z106" s="1">
        <v>9.8000000000000007</v>
      </c>
      <c r="AA106" s="1">
        <v>4.2</v>
      </c>
      <c r="AB106" s="1">
        <v>18</v>
      </c>
      <c r="AC106" s="1">
        <v>20</v>
      </c>
      <c r="AD106" s="1">
        <v>9.4</v>
      </c>
      <c r="AE106" s="1">
        <v>5.4</v>
      </c>
      <c r="AF106" s="1">
        <v>9.4</v>
      </c>
      <c r="AG106" s="1"/>
      <c r="AH106" s="1">
        <f>G106*T106</f>
        <v>4.88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idden="1" x14ac:dyDescent="0.25">
      <c r="A107" s="10" t="s">
        <v>148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39</v>
      </c>
      <c r="J107" s="10"/>
      <c r="K107" s="10"/>
      <c r="L107" s="10">
        <f t="shared" si="26"/>
        <v>0</v>
      </c>
      <c r="M107" s="10"/>
      <c r="N107" s="10"/>
      <c r="O107" s="10">
        <v>0</v>
      </c>
      <c r="P107" s="10"/>
      <c r="Q107" s="10"/>
      <c r="R107" s="10">
        <v>0</v>
      </c>
      <c r="S107" s="10">
        <f t="shared" si="27"/>
        <v>0</v>
      </c>
      <c r="T107" s="12"/>
      <c r="U107" s="10" t="e">
        <f t="shared" si="28"/>
        <v>#DIV/0!</v>
      </c>
      <c r="V107" s="10" t="e">
        <f t="shared" si="29"/>
        <v>#DIV/0!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 t="s">
        <v>48</v>
      </c>
      <c r="AH107" s="10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idden="1" x14ac:dyDescent="0.25">
      <c r="A108" s="1" t="s">
        <v>149</v>
      </c>
      <c r="B108" s="1" t="s">
        <v>38</v>
      </c>
      <c r="C108" s="1">
        <v>82.24</v>
      </c>
      <c r="D108" s="1">
        <v>20.367999999999999</v>
      </c>
      <c r="E108" s="1">
        <v>90.76</v>
      </c>
      <c r="F108" s="1">
        <v>-1.296</v>
      </c>
      <c r="G108" s="7">
        <v>1</v>
      </c>
      <c r="H108" s="1">
        <v>40</v>
      </c>
      <c r="I108" s="9" t="s">
        <v>50</v>
      </c>
      <c r="J108" s="1"/>
      <c r="K108" s="1">
        <v>113.72</v>
      </c>
      <c r="L108" s="1">
        <f t="shared" si="26"/>
        <v>-22.959999999999994</v>
      </c>
      <c r="M108" s="1"/>
      <c r="N108" s="1"/>
      <c r="O108" s="1">
        <v>45</v>
      </c>
      <c r="P108" s="1">
        <v>-45.5</v>
      </c>
      <c r="Q108" s="1"/>
      <c r="R108" s="1">
        <v>84</v>
      </c>
      <c r="S108" s="1">
        <f t="shared" si="27"/>
        <v>18.152000000000001</v>
      </c>
      <c r="T108" s="5">
        <v>100</v>
      </c>
      <c r="U108" s="1">
        <f t="shared" si="28"/>
        <v>10.037681798148965</v>
      </c>
      <c r="V108" s="1">
        <f t="shared" si="29"/>
        <v>4.5286469810489205</v>
      </c>
      <c r="W108" s="1">
        <v>37.6066</v>
      </c>
      <c r="X108" s="1">
        <v>48.525799999999997</v>
      </c>
      <c r="Y108" s="1">
        <v>48.293199999999999</v>
      </c>
      <c r="Z108" s="1">
        <v>40.6768</v>
      </c>
      <c r="AA108" s="1">
        <v>32.158000000000001</v>
      </c>
      <c r="AB108" s="1">
        <v>35.068199999999997</v>
      </c>
      <c r="AC108" s="1">
        <v>38.737400000000001</v>
      </c>
      <c r="AD108" s="1">
        <v>37.202199999999998</v>
      </c>
      <c r="AE108" s="1">
        <v>32.511200000000002</v>
      </c>
      <c r="AF108" s="1">
        <v>39.205399999999997</v>
      </c>
      <c r="AG108" s="1"/>
      <c r="AH108" s="1">
        <f>G108*T108</f>
        <v>100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idden="1" x14ac:dyDescent="0.25">
      <c r="A109" s="1" t="s">
        <v>150</v>
      </c>
      <c r="B109" s="1" t="s">
        <v>38</v>
      </c>
      <c r="C109" s="1">
        <v>83.32</v>
      </c>
      <c r="D109" s="1">
        <v>15.151999999999999</v>
      </c>
      <c r="E109" s="1">
        <v>94.290999999999997</v>
      </c>
      <c r="F109" s="1">
        <v>-0.16400000000000001</v>
      </c>
      <c r="G109" s="7">
        <v>1</v>
      </c>
      <c r="H109" s="1">
        <v>40</v>
      </c>
      <c r="I109" s="9" t="s">
        <v>50</v>
      </c>
      <c r="J109" s="1"/>
      <c r="K109" s="1">
        <v>97.62</v>
      </c>
      <c r="L109" s="1">
        <f t="shared" si="26"/>
        <v>-3.3290000000000077</v>
      </c>
      <c r="M109" s="1"/>
      <c r="N109" s="1"/>
      <c r="O109" s="1">
        <v>45</v>
      </c>
      <c r="P109" s="1"/>
      <c r="Q109" s="1"/>
      <c r="R109" s="1">
        <v>133</v>
      </c>
      <c r="S109" s="1">
        <f t="shared" si="27"/>
        <v>18.8582</v>
      </c>
      <c r="T109" s="5">
        <v>100</v>
      </c>
      <c r="U109" s="1">
        <f t="shared" si="28"/>
        <v>14.73290133734927</v>
      </c>
      <c r="V109" s="1">
        <f t="shared" si="29"/>
        <v>9.4301683087463282</v>
      </c>
      <c r="W109" s="1">
        <v>41.940399999999997</v>
      </c>
      <c r="X109" s="1">
        <v>51.450800000000001</v>
      </c>
      <c r="Y109" s="1">
        <v>46.6586</v>
      </c>
      <c r="Z109" s="1">
        <v>38.007399999999997</v>
      </c>
      <c r="AA109" s="1">
        <v>31.772600000000001</v>
      </c>
      <c r="AB109" s="1">
        <v>34.806199999999997</v>
      </c>
      <c r="AC109" s="1">
        <v>35.509799999999998</v>
      </c>
      <c r="AD109" s="1">
        <v>40.703800000000001</v>
      </c>
      <c r="AE109" s="1">
        <v>41.782600000000002</v>
      </c>
      <c r="AF109" s="1">
        <v>43.181199999999997</v>
      </c>
      <c r="AG109" s="1"/>
      <c r="AH109" s="1">
        <f>G109*T109</f>
        <v>100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idden="1" x14ac:dyDescent="0.25">
      <c r="A110" s="1" t="s">
        <v>151</v>
      </c>
      <c r="B110" s="1" t="s">
        <v>38</v>
      </c>
      <c r="C110" s="1">
        <v>8.0519999999999996</v>
      </c>
      <c r="D110" s="1"/>
      <c r="E110" s="1">
        <v>-5.6859999999999999</v>
      </c>
      <c r="F110" s="1">
        <v>8.0519999999999996</v>
      </c>
      <c r="G110" s="7">
        <v>1</v>
      </c>
      <c r="H110" s="1">
        <v>40</v>
      </c>
      <c r="I110" s="9" t="s">
        <v>50</v>
      </c>
      <c r="J110" s="1"/>
      <c r="K110" s="1">
        <v>166.72</v>
      </c>
      <c r="L110" s="1">
        <f t="shared" si="26"/>
        <v>-172.40600000000001</v>
      </c>
      <c r="M110" s="1"/>
      <c r="N110" s="1"/>
      <c r="O110" s="1">
        <v>54</v>
      </c>
      <c r="P110" s="1">
        <v>-56</v>
      </c>
      <c r="Q110" s="1"/>
      <c r="R110" s="1">
        <v>105</v>
      </c>
      <c r="S110" s="1">
        <f t="shared" si="27"/>
        <v>-1.1372</v>
      </c>
      <c r="T110" s="5">
        <v>150</v>
      </c>
      <c r="U110" s="1">
        <f t="shared" si="28"/>
        <v>-229.5568061906437</v>
      </c>
      <c r="V110" s="1">
        <f t="shared" si="29"/>
        <v>-97.65388673935982</v>
      </c>
      <c r="W110" s="1">
        <v>-1.2682</v>
      </c>
      <c r="X110" s="1">
        <v>29.753599999999999</v>
      </c>
      <c r="Y110" s="1">
        <v>60.248199999999997</v>
      </c>
      <c r="Z110" s="1">
        <v>61.4514</v>
      </c>
      <c r="AA110" s="1">
        <v>45.332599999999999</v>
      </c>
      <c r="AB110" s="1">
        <v>44.720799999999997</v>
      </c>
      <c r="AC110" s="1">
        <v>51.527799999999999</v>
      </c>
      <c r="AD110" s="1">
        <v>51.247799999999998</v>
      </c>
      <c r="AE110" s="1">
        <v>50.388800000000003</v>
      </c>
      <c r="AF110" s="1">
        <v>57.012800000000013</v>
      </c>
      <c r="AG110" s="1"/>
      <c r="AH110" s="1">
        <f>G110*T110</f>
        <v>150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idden="1" x14ac:dyDescent="0.25">
      <c r="A111" s="10" t="s">
        <v>152</v>
      </c>
      <c r="B111" s="10" t="s">
        <v>43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26"/>
        <v>0</v>
      </c>
      <c r="M111" s="10"/>
      <c r="N111" s="10"/>
      <c r="O111" s="10">
        <v>0</v>
      </c>
      <c r="P111" s="10"/>
      <c r="Q111" s="10"/>
      <c r="R111" s="10">
        <v>0</v>
      </c>
      <c r="S111" s="10">
        <f t="shared" si="27"/>
        <v>0</v>
      </c>
      <c r="T111" s="12"/>
      <c r="U111" s="10" t="e">
        <f t="shared" si="28"/>
        <v>#DIV/0!</v>
      </c>
      <c r="V111" s="10" t="e">
        <f t="shared" si="29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48</v>
      </c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idden="1" x14ac:dyDescent="0.25">
      <c r="A112" s="10" t="s">
        <v>153</v>
      </c>
      <c r="B112" s="10" t="s">
        <v>43</v>
      </c>
      <c r="C112" s="10"/>
      <c r="D112" s="10"/>
      <c r="E112" s="10"/>
      <c r="F112" s="10"/>
      <c r="G112" s="11">
        <v>0</v>
      </c>
      <c r="H112" s="10"/>
      <c r="I112" s="10" t="s">
        <v>39</v>
      </c>
      <c r="J112" s="10"/>
      <c r="K112" s="10"/>
      <c r="L112" s="10">
        <f t="shared" si="26"/>
        <v>0</v>
      </c>
      <c r="M112" s="10"/>
      <c r="N112" s="10"/>
      <c r="O112" s="10">
        <v>0</v>
      </c>
      <c r="P112" s="10"/>
      <c r="Q112" s="10"/>
      <c r="R112" s="10">
        <v>0</v>
      </c>
      <c r="S112" s="10">
        <f t="shared" si="27"/>
        <v>0</v>
      </c>
      <c r="T112" s="12"/>
      <c r="U112" s="10" t="e">
        <f t="shared" si="28"/>
        <v>#DIV/0!</v>
      </c>
      <c r="V112" s="10" t="e">
        <f t="shared" si="29"/>
        <v>#DIV/0!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 t="s">
        <v>48</v>
      </c>
      <c r="AH112" s="10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idden="1" x14ac:dyDescent="0.25">
      <c r="A113" s="1" t="s">
        <v>154</v>
      </c>
      <c r="B113" s="1" t="s">
        <v>43</v>
      </c>
      <c r="C113" s="1">
        <v>107</v>
      </c>
      <c r="D113" s="1">
        <v>15</v>
      </c>
      <c r="E113" s="1">
        <v>96</v>
      </c>
      <c r="F113" s="1">
        <v>7</v>
      </c>
      <c r="G113" s="7">
        <v>0.28000000000000003</v>
      </c>
      <c r="H113" s="1">
        <v>40</v>
      </c>
      <c r="I113" s="9" t="s">
        <v>50</v>
      </c>
      <c r="J113" s="1"/>
      <c r="K113" s="1">
        <v>190</v>
      </c>
      <c r="L113" s="1">
        <f t="shared" si="26"/>
        <v>-94</v>
      </c>
      <c r="M113" s="1"/>
      <c r="N113" s="1"/>
      <c r="O113" s="1">
        <v>218.57</v>
      </c>
      <c r="P113" s="1">
        <v>-222</v>
      </c>
      <c r="Q113" s="1"/>
      <c r="R113" s="1">
        <v>105</v>
      </c>
      <c r="S113" s="1">
        <f t="shared" si="27"/>
        <v>19.2</v>
      </c>
      <c r="T113" s="5">
        <v>100</v>
      </c>
      <c r="U113" s="1">
        <f t="shared" si="28"/>
        <v>10.863020833333334</v>
      </c>
      <c r="V113" s="1">
        <f t="shared" si="29"/>
        <v>5.6546874999999996</v>
      </c>
      <c r="W113" s="1">
        <v>56.6</v>
      </c>
      <c r="X113" s="1">
        <v>41</v>
      </c>
      <c r="Y113" s="1">
        <v>1</v>
      </c>
      <c r="Z113" s="1">
        <v>-2</v>
      </c>
      <c r="AA113" s="1">
        <v>7</v>
      </c>
      <c r="AB113" s="1">
        <v>46</v>
      </c>
      <c r="AC113" s="1">
        <v>56.4</v>
      </c>
      <c r="AD113" s="1">
        <v>36.6</v>
      </c>
      <c r="AE113" s="1">
        <v>18.8</v>
      </c>
      <c r="AF113" s="1">
        <v>1.8</v>
      </c>
      <c r="AG113" s="1"/>
      <c r="AH113" s="1">
        <f>G113*T113</f>
        <v>28.000000000000004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idden="1" x14ac:dyDescent="0.25">
      <c r="A114" s="1" t="s">
        <v>155</v>
      </c>
      <c r="B114" s="1" t="s">
        <v>43</v>
      </c>
      <c r="C114" s="1">
        <v>2</v>
      </c>
      <c r="D114" s="1"/>
      <c r="E114" s="1">
        <v>-5</v>
      </c>
      <c r="F114" s="1">
        <v>2</v>
      </c>
      <c r="G114" s="7">
        <v>0.28000000000000003</v>
      </c>
      <c r="H114" s="1">
        <v>40</v>
      </c>
      <c r="I114" s="9" t="s">
        <v>50</v>
      </c>
      <c r="J114" s="1"/>
      <c r="K114" s="1">
        <v>35</v>
      </c>
      <c r="L114" s="1">
        <f t="shared" si="26"/>
        <v>-40</v>
      </c>
      <c r="M114" s="1"/>
      <c r="N114" s="1"/>
      <c r="O114" s="1">
        <v>45</v>
      </c>
      <c r="P114" s="1">
        <v>-47.999999999999993</v>
      </c>
      <c r="Q114" s="1"/>
      <c r="R114" s="1">
        <v>70</v>
      </c>
      <c r="S114" s="1">
        <f t="shared" si="27"/>
        <v>-1</v>
      </c>
      <c r="T114" s="5">
        <v>100</v>
      </c>
      <c r="U114" s="1">
        <f t="shared" si="28"/>
        <v>-169</v>
      </c>
      <c r="V114" s="1">
        <f t="shared" si="29"/>
        <v>-69</v>
      </c>
      <c r="W114" s="1">
        <v>-2.4</v>
      </c>
      <c r="X114" s="1">
        <v>-2.4</v>
      </c>
      <c r="Y114" s="1">
        <v>1</v>
      </c>
      <c r="Z114" s="1">
        <v>22.4</v>
      </c>
      <c r="AA114" s="1">
        <v>34.6</v>
      </c>
      <c r="AB114" s="1">
        <v>45.2</v>
      </c>
      <c r="AC114" s="1">
        <v>45.8</v>
      </c>
      <c r="AD114" s="1">
        <v>35</v>
      </c>
      <c r="AE114" s="1">
        <v>34.799999999999997</v>
      </c>
      <c r="AF114" s="1">
        <v>40.4</v>
      </c>
      <c r="AG114" s="1"/>
      <c r="AH114" s="1">
        <f>G114*T114</f>
        <v>28.000000000000004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idden="1" x14ac:dyDescent="0.25">
      <c r="A115" s="1" t="s">
        <v>156</v>
      </c>
      <c r="B115" s="1" t="s">
        <v>43</v>
      </c>
      <c r="C115" s="1">
        <v>200</v>
      </c>
      <c r="D115" s="1">
        <v>14</v>
      </c>
      <c r="E115" s="1">
        <v>211</v>
      </c>
      <c r="F115" s="1">
        <v>-4</v>
      </c>
      <c r="G115" s="7">
        <v>0.28000000000000003</v>
      </c>
      <c r="H115" s="1">
        <v>40</v>
      </c>
      <c r="I115" s="9" t="s">
        <v>50</v>
      </c>
      <c r="J115" s="1"/>
      <c r="K115" s="1">
        <v>212</v>
      </c>
      <c r="L115" s="1">
        <f t="shared" si="26"/>
        <v>-1</v>
      </c>
      <c r="M115" s="1"/>
      <c r="N115" s="1"/>
      <c r="O115" s="1">
        <v>67.5</v>
      </c>
      <c r="P115" s="1">
        <v>-72</v>
      </c>
      <c r="Q115" s="1"/>
      <c r="R115" s="1">
        <v>70</v>
      </c>
      <c r="S115" s="1">
        <f t="shared" si="27"/>
        <v>42.2</v>
      </c>
      <c r="T115" s="5">
        <v>80</v>
      </c>
      <c r="U115" s="1">
        <f t="shared" si="28"/>
        <v>3.3530805687203791</v>
      </c>
      <c r="V115" s="1">
        <f t="shared" si="29"/>
        <v>1.4573459715639809</v>
      </c>
      <c r="W115" s="1">
        <v>68.2</v>
      </c>
      <c r="X115" s="1">
        <v>49.2</v>
      </c>
      <c r="Y115" s="1">
        <v>33</v>
      </c>
      <c r="Z115" s="1">
        <v>39.200000000000003</v>
      </c>
      <c r="AA115" s="1">
        <v>30.6</v>
      </c>
      <c r="AB115" s="1">
        <v>43.4</v>
      </c>
      <c r="AC115" s="1">
        <v>43</v>
      </c>
      <c r="AD115" s="1">
        <v>33</v>
      </c>
      <c r="AE115" s="1">
        <v>34.799999999999997</v>
      </c>
      <c r="AF115" s="1">
        <v>39</v>
      </c>
      <c r="AG115" s="1"/>
      <c r="AH115" s="1">
        <f>G115*T115</f>
        <v>22.400000000000002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idden="1" x14ac:dyDescent="0.25">
      <c r="A116" s="10" t="s">
        <v>157</v>
      </c>
      <c r="B116" s="10" t="s">
        <v>43</v>
      </c>
      <c r="C116" s="10"/>
      <c r="D116" s="10"/>
      <c r="E116" s="10"/>
      <c r="F116" s="10"/>
      <c r="G116" s="11">
        <v>0</v>
      </c>
      <c r="H116" s="10"/>
      <c r="I116" s="10" t="s">
        <v>39</v>
      </c>
      <c r="J116" s="10"/>
      <c r="K116" s="10"/>
      <c r="L116" s="10">
        <f t="shared" si="26"/>
        <v>0</v>
      </c>
      <c r="M116" s="10"/>
      <c r="N116" s="10"/>
      <c r="O116" s="10">
        <v>0</v>
      </c>
      <c r="P116" s="10"/>
      <c r="Q116" s="10"/>
      <c r="R116" s="10">
        <v>0</v>
      </c>
      <c r="S116" s="10">
        <f t="shared" si="27"/>
        <v>0</v>
      </c>
      <c r="T116" s="12"/>
      <c r="U116" s="10" t="e">
        <f t="shared" si="28"/>
        <v>#DIV/0!</v>
      </c>
      <c r="V116" s="10" t="e">
        <f t="shared" si="29"/>
        <v>#DIV/0!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 t="s">
        <v>48</v>
      </c>
      <c r="AH116" s="10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158</v>
      </c>
      <c r="B117" s="1" t="s">
        <v>38</v>
      </c>
      <c r="C117" s="1">
        <v>209.61199999999999</v>
      </c>
      <c r="D117" s="1">
        <v>5.03</v>
      </c>
      <c r="E117" s="1">
        <v>55.167000000000002</v>
      </c>
      <c r="F117" s="1">
        <v>156.947</v>
      </c>
      <c r="G117" s="7">
        <v>1</v>
      </c>
      <c r="H117" s="1">
        <v>60</v>
      </c>
      <c r="I117" s="1" t="s">
        <v>39</v>
      </c>
      <c r="J117" s="1"/>
      <c r="K117" s="1">
        <v>55</v>
      </c>
      <c r="L117" s="1">
        <f t="shared" si="26"/>
        <v>0.16700000000000159</v>
      </c>
      <c r="M117" s="1"/>
      <c r="N117" s="1"/>
      <c r="O117" s="1">
        <v>0</v>
      </c>
      <c r="P117" s="1"/>
      <c r="Q117" s="1"/>
      <c r="R117" s="1">
        <v>0</v>
      </c>
      <c r="S117" s="1">
        <f t="shared" si="27"/>
        <v>11.0334</v>
      </c>
      <c r="T117" s="5"/>
      <c r="U117" s="1">
        <f t="shared" si="28"/>
        <v>14.2247176754219</v>
      </c>
      <c r="V117" s="1">
        <f t="shared" si="29"/>
        <v>14.2247176754219</v>
      </c>
      <c r="W117" s="1">
        <v>6.3334000000000001</v>
      </c>
      <c r="X117" s="1">
        <v>3.678199999999999</v>
      </c>
      <c r="Y117" s="1">
        <v>4.3917999999999999</v>
      </c>
      <c r="Z117" s="1">
        <v>9.8704000000000001</v>
      </c>
      <c r="AA117" s="1">
        <v>11.0616</v>
      </c>
      <c r="AB117" s="1">
        <v>18.499199999999998</v>
      </c>
      <c r="AC117" s="1">
        <v>18.447199999999999</v>
      </c>
      <c r="AD117" s="1">
        <v>12.635400000000001</v>
      </c>
      <c r="AE117" s="1">
        <v>14.976000000000001</v>
      </c>
      <c r="AF117" s="1">
        <v>20.262599999999999</v>
      </c>
      <c r="AG117" s="16" t="s">
        <v>178</v>
      </c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159</v>
      </c>
      <c r="B118" s="1" t="s">
        <v>38</v>
      </c>
      <c r="C118" s="1">
        <v>92.215000000000003</v>
      </c>
      <c r="D118" s="1"/>
      <c r="E118" s="1">
        <v>44.686999999999998</v>
      </c>
      <c r="F118" s="1">
        <v>42.56</v>
      </c>
      <c r="G118" s="7">
        <v>1</v>
      </c>
      <c r="H118" s="1">
        <v>50</v>
      </c>
      <c r="I118" s="1" t="s">
        <v>39</v>
      </c>
      <c r="J118" s="1"/>
      <c r="K118" s="1">
        <v>44.5</v>
      </c>
      <c r="L118" s="1">
        <f t="shared" si="26"/>
        <v>0.18699999999999761</v>
      </c>
      <c r="M118" s="1"/>
      <c r="N118" s="1"/>
      <c r="O118" s="1">
        <v>0</v>
      </c>
      <c r="P118" s="1"/>
      <c r="Q118" s="1"/>
      <c r="R118" s="1">
        <v>13.61300000000001</v>
      </c>
      <c r="S118" s="1">
        <f t="shared" si="27"/>
        <v>8.9374000000000002</v>
      </c>
      <c r="T118" s="5">
        <f t="shared" ref="T118" si="31">12*S118-R118-Q118-P118-O118-F118</f>
        <v>51.075799999999987</v>
      </c>
      <c r="U118" s="1">
        <f t="shared" si="28"/>
        <v>12</v>
      </c>
      <c r="V118" s="1">
        <f t="shared" si="29"/>
        <v>6.2851612325732331</v>
      </c>
      <c r="W118" s="1">
        <v>6.4590000000000014</v>
      </c>
      <c r="X118" s="1">
        <v>1.9887999999999999</v>
      </c>
      <c r="Y118" s="1">
        <v>5.2645999999999997</v>
      </c>
      <c r="Z118" s="1">
        <v>7.7645999999999997</v>
      </c>
      <c r="AA118" s="1">
        <v>5.4868000000000006</v>
      </c>
      <c r="AB118" s="1">
        <v>7.4721999999999991</v>
      </c>
      <c r="AC118" s="1">
        <v>9.9611999999999998</v>
      </c>
      <c r="AD118" s="1">
        <v>8.8994</v>
      </c>
      <c r="AE118" s="1">
        <v>10.405799999999999</v>
      </c>
      <c r="AF118" s="1">
        <v>16.494800000000001</v>
      </c>
      <c r="AG118" s="1"/>
      <c r="AH118" s="1">
        <f>G118*T118</f>
        <v>51.075799999999987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idden="1" x14ac:dyDescent="0.25">
      <c r="A119" s="10" t="s">
        <v>160</v>
      </c>
      <c r="B119" s="10" t="s">
        <v>43</v>
      </c>
      <c r="C119" s="10"/>
      <c r="D119" s="10"/>
      <c r="E119" s="10"/>
      <c r="F119" s="10"/>
      <c r="G119" s="11">
        <v>0</v>
      </c>
      <c r="H119" s="10"/>
      <c r="I119" s="10" t="s">
        <v>39</v>
      </c>
      <c r="J119" s="10"/>
      <c r="K119" s="10"/>
      <c r="L119" s="10">
        <f t="shared" si="26"/>
        <v>0</v>
      </c>
      <c r="M119" s="10"/>
      <c r="N119" s="10"/>
      <c r="O119" s="10">
        <v>0</v>
      </c>
      <c r="P119" s="10"/>
      <c r="Q119" s="10"/>
      <c r="R119" s="10">
        <v>0</v>
      </c>
      <c r="S119" s="10">
        <f t="shared" si="27"/>
        <v>0</v>
      </c>
      <c r="T119" s="12"/>
      <c r="U119" s="10" t="e">
        <f t="shared" si="28"/>
        <v>#DIV/0!</v>
      </c>
      <c r="V119" s="10" t="e">
        <f t="shared" si="29"/>
        <v>#DIV/0!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 t="s">
        <v>48</v>
      </c>
      <c r="AH119" s="10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idden="1" x14ac:dyDescent="0.25">
      <c r="A120" s="10" t="s">
        <v>161</v>
      </c>
      <c r="B120" s="10" t="s">
        <v>43</v>
      </c>
      <c r="C120" s="10"/>
      <c r="D120" s="10"/>
      <c r="E120" s="10"/>
      <c r="F120" s="10"/>
      <c r="G120" s="11">
        <v>0</v>
      </c>
      <c r="H120" s="10"/>
      <c r="I120" s="10" t="s">
        <v>39</v>
      </c>
      <c r="J120" s="10"/>
      <c r="K120" s="10"/>
      <c r="L120" s="10">
        <f t="shared" si="26"/>
        <v>0</v>
      </c>
      <c r="M120" s="10"/>
      <c r="N120" s="10"/>
      <c r="O120" s="10">
        <v>0</v>
      </c>
      <c r="P120" s="10"/>
      <c r="Q120" s="10"/>
      <c r="R120" s="10">
        <v>0</v>
      </c>
      <c r="S120" s="10">
        <f t="shared" si="27"/>
        <v>0</v>
      </c>
      <c r="T120" s="12"/>
      <c r="U120" s="10" t="e">
        <f t="shared" si="28"/>
        <v>#DIV/0!</v>
      </c>
      <c r="V120" s="10" t="e">
        <f t="shared" si="29"/>
        <v>#DIV/0!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 t="s">
        <v>48</v>
      </c>
      <c r="AH120" s="1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162</v>
      </c>
      <c r="B121" s="1" t="s">
        <v>38</v>
      </c>
      <c r="C121" s="1">
        <v>21.829000000000001</v>
      </c>
      <c r="D121" s="1">
        <v>114.878</v>
      </c>
      <c r="E121" s="1">
        <v>103.211</v>
      </c>
      <c r="F121" s="1">
        <v>4.0410000000000004</v>
      </c>
      <c r="G121" s="7">
        <v>1</v>
      </c>
      <c r="H121" s="1">
        <v>60</v>
      </c>
      <c r="I121" s="1" t="s">
        <v>39</v>
      </c>
      <c r="J121" s="1"/>
      <c r="K121" s="1">
        <v>109.4</v>
      </c>
      <c r="L121" s="1">
        <f t="shared" si="26"/>
        <v>-6.1890000000000072</v>
      </c>
      <c r="M121" s="1"/>
      <c r="N121" s="1"/>
      <c r="O121" s="1">
        <v>144.64192</v>
      </c>
      <c r="P121" s="1"/>
      <c r="Q121" s="1"/>
      <c r="R121" s="1">
        <v>9.8856799999999936</v>
      </c>
      <c r="S121" s="1">
        <f t="shared" si="27"/>
        <v>20.642199999999999</v>
      </c>
      <c r="T121" s="5">
        <f t="shared" ref="T121:T130" si="32">12*S121-R121-Q121-P121-O121-F121</f>
        <v>89.137799999999999</v>
      </c>
      <c r="U121" s="1">
        <f t="shared" si="28"/>
        <v>12</v>
      </c>
      <c r="V121" s="1">
        <f t="shared" si="29"/>
        <v>7.6817684161571931</v>
      </c>
      <c r="W121" s="1">
        <v>20.875599999999999</v>
      </c>
      <c r="X121" s="1">
        <v>23.84</v>
      </c>
      <c r="Y121" s="1">
        <v>21.065799999999999</v>
      </c>
      <c r="Z121" s="1">
        <v>20.172000000000001</v>
      </c>
      <c r="AA121" s="1">
        <v>15.214600000000001</v>
      </c>
      <c r="AB121" s="1">
        <v>14.1698</v>
      </c>
      <c r="AC121" s="1">
        <v>20.410399999999999</v>
      </c>
      <c r="AD121" s="1">
        <v>21.778199999999998</v>
      </c>
      <c r="AE121" s="1">
        <v>13.795400000000001</v>
      </c>
      <c r="AF121" s="1">
        <v>8.7471999999999994</v>
      </c>
      <c r="AG121" s="1"/>
      <c r="AH121" s="1">
        <f t="shared" ref="AH121:AH132" si="33">G121*T121</f>
        <v>89.137799999999999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163</v>
      </c>
      <c r="B122" s="1" t="s">
        <v>38</v>
      </c>
      <c r="C122" s="1">
        <v>182.96799999999999</v>
      </c>
      <c r="D122" s="1">
        <v>64.325999999999993</v>
      </c>
      <c r="E122" s="1">
        <v>233.27099999999999</v>
      </c>
      <c r="F122" s="1">
        <v>5.774</v>
      </c>
      <c r="G122" s="7">
        <v>1</v>
      </c>
      <c r="H122" s="1">
        <v>60</v>
      </c>
      <c r="I122" s="1" t="s">
        <v>39</v>
      </c>
      <c r="J122" s="1"/>
      <c r="K122" s="1">
        <v>247.30699999999999</v>
      </c>
      <c r="L122" s="1">
        <f t="shared" si="26"/>
        <v>-14.036000000000001</v>
      </c>
      <c r="M122" s="1"/>
      <c r="N122" s="1"/>
      <c r="O122" s="1">
        <v>249.12295400000011</v>
      </c>
      <c r="P122" s="1"/>
      <c r="Q122" s="1"/>
      <c r="R122" s="1">
        <v>351.75104599999992</v>
      </c>
      <c r="S122" s="1">
        <f t="shared" si="27"/>
        <v>46.654199999999996</v>
      </c>
      <c r="T122" s="5"/>
      <c r="U122" s="1">
        <f t="shared" si="28"/>
        <v>13.003073678254049</v>
      </c>
      <c r="V122" s="1">
        <f t="shared" si="29"/>
        <v>13.003073678254049</v>
      </c>
      <c r="W122" s="1">
        <v>57.178999999999988</v>
      </c>
      <c r="X122" s="1">
        <v>41.480200000000004</v>
      </c>
      <c r="Y122" s="1">
        <v>28.829000000000001</v>
      </c>
      <c r="Z122" s="1">
        <v>33.867400000000004</v>
      </c>
      <c r="AA122" s="1">
        <v>37.478999999999999</v>
      </c>
      <c r="AB122" s="1">
        <v>34.275799999999997</v>
      </c>
      <c r="AC122" s="1">
        <v>36.581000000000003</v>
      </c>
      <c r="AD122" s="1">
        <v>40.446399999999997</v>
      </c>
      <c r="AE122" s="1">
        <v>52.765599999999992</v>
      </c>
      <c r="AF122" s="1">
        <v>58.024800000000013</v>
      </c>
      <c r="AG122" s="1"/>
      <c r="AH122" s="1">
        <f t="shared" si="33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164</v>
      </c>
      <c r="B123" s="1" t="s">
        <v>38</v>
      </c>
      <c r="C123" s="1">
        <v>66.173000000000002</v>
      </c>
      <c r="D123" s="1"/>
      <c r="E123" s="1">
        <v>51.966999999999999</v>
      </c>
      <c r="F123" s="1">
        <v>11.692</v>
      </c>
      <c r="G123" s="7">
        <v>1</v>
      </c>
      <c r="H123" s="1">
        <v>60</v>
      </c>
      <c r="I123" s="1" t="s">
        <v>39</v>
      </c>
      <c r="J123" s="1"/>
      <c r="K123" s="1">
        <v>52.4</v>
      </c>
      <c r="L123" s="1">
        <f t="shared" si="26"/>
        <v>-0.43299999999999983</v>
      </c>
      <c r="M123" s="1"/>
      <c r="N123" s="1"/>
      <c r="O123" s="1">
        <v>77.354102000000012</v>
      </c>
      <c r="P123" s="1"/>
      <c r="Q123" s="1"/>
      <c r="R123" s="1">
        <v>43.266097999999992</v>
      </c>
      <c r="S123" s="1">
        <f t="shared" si="27"/>
        <v>10.3934</v>
      </c>
      <c r="T123" s="5"/>
      <c r="U123" s="1">
        <f t="shared" si="28"/>
        <v>12.730405834471879</v>
      </c>
      <c r="V123" s="1">
        <f t="shared" si="29"/>
        <v>12.730405834471879</v>
      </c>
      <c r="W123" s="1">
        <v>13.385199999999999</v>
      </c>
      <c r="X123" s="1">
        <v>14.412599999999999</v>
      </c>
      <c r="Y123" s="1">
        <v>11.468</v>
      </c>
      <c r="Z123" s="1">
        <v>9.6209999999999987</v>
      </c>
      <c r="AA123" s="1">
        <v>8.5533999999999999</v>
      </c>
      <c r="AB123" s="1">
        <v>12.0816</v>
      </c>
      <c r="AC123" s="1">
        <v>11.7842</v>
      </c>
      <c r="AD123" s="1">
        <v>5.2182000000000004</v>
      </c>
      <c r="AE123" s="1">
        <v>9.017199999999999</v>
      </c>
      <c r="AF123" s="1">
        <v>19.734200000000001</v>
      </c>
      <c r="AG123" s="1"/>
      <c r="AH123" s="1">
        <f t="shared" si="33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165</v>
      </c>
      <c r="B124" s="1" t="s">
        <v>38</v>
      </c>
      <c r="C124" s="1">
        <v>1243.9690000000001</v>
      </c>
      <c r="D124" s="1">
        <v>55.000999999999998</v>
      </c>
      <c r="E124" s="1">
        <v>803.00800000000004</v>
      </c>
      <c r="F124" s="1">
        <v>397.27300000000002</v>
      </c>
      <c r="G124" s="7">
        <v>1</v>
      </c>
      <c r="H124" s="1">
        <v>60</v>
      </c>
      <c r="I124" s="1" t="s">
        <v>39</v>
      </c>
      <c r="J124" s="1"/>
      <c r="K124" s="1">
        <v>800</v>
      </c>
      <c r="L124" s="1">
        <f t="shared" si="26"/>
        <v>3.0080000000000382</v>
      </c>
      <c r="M124" s="1"/>
      <c r="N124" s="1"/>
      <c r="O124" s="1">
        <v>236.599145999999</v>
      </c>
      <c r="P124" s="1"/>
      <c r="Q124" s="1">
        <v>110</v>
      </c>
      <c r="R124" s="1">
        <v>596.7708540000009</v>
      </c>
      <c r="S124" s="1">
        <f t="shared" si="27"/>
        <v>160.60160000000002</v>
      </c>
      <c r="T124" s="5">
        <f t="shared" si="32"/>
        <v>586.5762000000002</v>
      </c>
      <c r="U124" s="1">
        <f t="shared" si="28"/>
        <v>12</v>
      </c>
      <c r="V124" s="1">
        <f t="shared" si="29"/>
        <v>8.3476316549772847</v>
      </c>
      <c r="W124" s="1">
        <v>163.82</v>
      </c>
      <c r="X124" s="1">
        <v>131.39340000000001</v>
      </c>
      <c r="Y124" s="1">
        <v>135.7192</v>
      </c>
      <c r="Z124" s="1">
        <v>165.4958</v>
      </c>
      <c r="AA124" s="1">
        <v>148.43340000000001</v>
      </c>
      <c r="AB124" s="1">
        <v>180.2364</v>
      </c>
      <c r="AC124" s="1">
        <v>202.20419999999999</v>
      </c>
      <c r="AD124" s="1">
        <v>198.17320000000001</v>
      </c>
      <c r="AE124" s="1">
        <v>185.0686</v>
      </c>
      <c r="AF124" s="1">
        <v>197.94739999999999</v>
      </c>
      <c r="AG124" s="1"/>
      <c r="AH124" s="1">
        <f t="shared" si="33"/>
        <v>586.5762000000002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idden="1" x14ac:dyDescent="0.25">
      <c r="A125" s="1" t="s">
        <v>166</v>
      </c>
      <c r="B125" s="1" t="s">
        <v>43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9" t="s">
        <v>50</v>
      </c>
      <c r="J125" s="1"/>
      <c r="K125" s="1">
        <v>13</v>
      </c>
      <c r="L125" s="1">
        <f t="shared" si="26"/>
        <v>-13</v>
      </c>
      <c r="M125" s="1"/>
      <c r="N125" s="1"/>
      <c r="O125" s="1">
        <v>25</v>
      </c>
      <c r="P125" s="1"/>
      <c r="Q125" s="1"/>
      <c r="R125" s="1">
        <v>70</v>
      </c>
      <c r="S125" s="1">
        <f t="shared" si="27"/>
        <v>0</v>
      </c>
      <c r="T125" s="5">
        <v>50</v>
      </c>
      <c r="U125" s="1" t="e">
        <f t="shared" si="28"/>
        <v>#DIV/0!</v>
      </c>
      <c r="V125" s="1" t="e">
        <f t="shared" si="29"/>
        <v>#DIV/0!</v>
      </c>
      <c r="W125" s="1">
        <v>0</v>
      </c>
      <c r="X125" s="1">
        <v>0</v>
      </c>
      <c r="Y125" s="1">
        <v>1.6</v>
      </c>
      <c r="Z125" s="1">
        <v>3.6</v>
      </c>
      <c r="AA125" s="1">
        <v>5.4</v>
      </c>
      <c r="AB125" s="1">
        <v>25.8</v>
      </c>
      <c r="AC125" s="1">
        <v>33</v>
      </c>
      <c r="AD125" s="1">
        <v>10.6</v>
      </c>
      <c r="AE125" s="1">
        <v>0</v>
      </c>
      <c r="AF125" s="1">
        <v>0</v>
      </c>
      <c r="AG125" s="1" t="s">
        <v>167</v>
      </c>
      <c r="AH125" s="1">
        <f t="shared" si="33"/>
        <v>12.5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idden="1" x14ac:dyDescent="0.25">
      <c r="A126" s="14" t="s">
        <v>168</v>
      </c>
      <c r="B126" s="1" t="s">
        <v>43</v>
      </c>
      <c r="C126" s="1"/>
      <c r="D126" s="1"/>
      <c r="E126" s="1"/>
      <c r="F126" s="13">
        <f>0+F133</f>
        <v>7</v>
      </c>
      <c r="G126" s="7">
        <v>0.32500000000000001</v>
      </c>
      <c r="H126" s="1">
        <v>1096</v>
      </c>
      <c r="I126" s="9" t="s">
        <v>50</v>
      </c>
      <c r="J126" s="1"/>
      <c r="K126" s="1"/>
      <c r="L126" s="1">
        <f t="shared" si="26"/>
        <v>0</v>
      </c>
      <c r="M126" s="1"/>
      <c r="N126" s="1"/>
      <c r="O126" s="1">
        <v>25</v>
      </c>
      <c r="P126" s="1"/>
      <c r="Q126" s="1"/>
      <c r="R126" s="1">
        <v>70</v>
      </c>
      <c r="S126" s="1">
        <f t="shared" si="27"/>
        <v>0</v>
      </c>
      <c r="T126" s="5">
        <v>50</v>
      </c>
      <c r="U126" s="1" t="e">
        <f t="shared" si="28"/>
        <v>#DIV/0!</v>
      </c>
      <c r="V126" s="1" t="e">
        <f t="shared" si="29"/>
        <v>#DIV/0!</v>
      </c>
      <c r="W126" s="1">
        <v>0.4</v>
      </c>
      <c r="X126" s="1">
        <v>6.2</v>
      </c>
      <c r="Y126" s="1">
        <v>11</v>
      </c>
      <c r="Z126" s="1">
        <v>8</v>
      </c>
      <c r="AA126" s="1">
        <v>5.6</v>
      </c>
      <c r="AB126" s="1">
        <v>22</v>
      </c>
      <c r="AC126" s="1">
        <v>22.4</v>
      </c>
      <c r="AD126" s="1">
        <v>3.2</v>
      </c>
      <c r="AE126" s="1">
        <v>0</v>
      </c>
      <c r="AF126" s="1">
        <v>0</v>
      </c>
      <c r="AG126" s="1" t="s">
        <v>167</v>
      </c>
      <c r="AH126" s="1">
        <f t="shared" si="33"/>
        <v>16.25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4" t="s">
        <v>169</v>
      </c>
      <c r="B127" s="1" t="s">
        <v>43</v>
      </c>
      <c r="C127" s="1">
        <v>403</v>
      </c>
      <c r="D127" s="1">
        <v>8</v>
      </c>
      <c r="E127" s="1">
        <v>216</v>
      </c>
      <c r="F127" s="1">
        <v>187</v>
      </c>
      <c r="G127" s="7">
        <v>0.25</v>
      </c>
      <c r="H127" s="1">
        <v>1096</v>
      </c>
      <c r="I127" s="1" t="s">
        <v>39</v>
      </c>
      <c r="J127" s="1"/>
      <c r="K127" s="1">
        <v>216</v>
      </c>
      <c r="L127" s="1">
        <f t="shared" si="26"/>
        <v>0</v>
      </c>
      <c r="M127" s="1"/>
      <c r="N127" s="1"/>
      <c r="O127" s="1">
        <v>0</v>
      </c>
      <c r="P127" s="1"/>
      <c r="Q127" s="1"/>
      <c r="R127" s="1">
        <v>317</v>
      </c>
      <c r="S127" s="1">
        <f t="shared" si="27"/>
        <v>43.2</v>
      </c>
      <c r="T127" s="5">
        <f t="shared" si="32"/>
        <v>14.400000000000091</v>
      </c>
      <c r="U127" s="1">
        <f t="shared" si="28"/>
        <v>12.000000000000002</v>
      </c>
      <c r="V127" s="1">
        <f t="shared" si="29"/>
        <v>11.666666666666666</v>
      </c>
      <c r="W127" s="1">
        <v>52.6</v>
      </c>
      <c r="X127" s="1">
        <v>20.399999999999999</v>
      </c>
      <c r="Y127" s="1">
        <v>3</v>
      </c>
      <c r="Z127" s="1">
        <v>5.2</v>
      </c>
      <c r="AA127" s="1">
        <v>8.1999999999999993</v>
      </c>
      <c r="AB127" s="1">
        <v>27.6</v>
      </c>
      <c r="AC127" s="1">
        <v>29.4</v>
      </c>
      <c r="AD127" s="1">
        <v>7.2</v>
      </c>
      <c r="AE127" s="1">
        <v>0</v>
      </c>
      <c r="AF127" s="1">
        <v>0</v>
      </c>
      <c r="AG127" s="1" t="s">
        <v>167</v>
      </c>
      <c r="AH127" s="1">
        <f t="shared" si="33"/>
        <v>3.6000000000000227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idden="1" x14ac:dyDescent="0.25">
      <c r="A128" s="14" t="s">
        <v>170</v>
      </c>
      <c r="B128" s="1" t="s">
        <v>43</v>
      </c>
      <c r="C128" s="1"/>
      <c r="D128" s="1"/>
      <c r="E128" s="1"/>
      <c r="F128" s="1"/>
      <c r="G128" s="7">
        <v>0.3</v>
      </c>
      <c r="H128" s="1">
        <v>40</v>
      </c>
      <c r="I128" s="9" t="s">
        <v>50</v>
      </c>
      <c r="J128" s="1"/>
      <c r="K128" s="1">
        <v>2</v>
      </c>
      <c r="L128" s="1">
        <f t="shared" si="26"/>
        <v>-2</v>
      </c>
      <c r="M128" s="1"/>
      <c r="N128" s="1"/>
      <c r="O128" s="1">
        <v>54</v>
      </c>
      <c r="P128" s="1">
        <v>-54</v>
      </c>
      <c r="Q128" s="1"/>
      <c r="R128" s="1">
        <v>105</v>
      </c>
      <c r="S128" s="1">
        <f t="shared" si="27"/>
        <v>0</v>
      </c>
      <c r="T128" s="5">
        <v>100</v>
      </c>
      <c r="U128" s="1" t="e">
        <f t="shared" si="28"/>
        <v>#DIV/0!</v>
      </c>
      <c r="V128" s="1" t="e">
        <f t="shared" si="29"/>
        <v>#DIV/0!</v>
      </c>
      <c r="W128" s="1">
        <v>0</v>
      </c>
      <c r="X128" s="1">
        <v>-0.2</v>
      </c>
      <c r="Y128" s="1">
        <v>-0.4</v>
      </c>
      <c r="Z128" s="1">
        <v>-1</v>
      </c>
      <c r="AA128" s="1">
        <v>-1.2</v>
      </c>
      <c r="AB128" s="1">
        <v>-0.6</v>
      </c>
      <c r="AC128" s="1">
        <v>15.2</v>
      </c>
      <c r="AD128" s="1">
        <v>36.4</v>
      </c>
      <c r="AE128" s="1">
        <v>36.6</v>
      </c>
      <c r="AF128" s="1">
        <v>59.8</v>
      </c>
      <c r="AG128" s="1"/>
      <c r="AH128" s="1">
        <f t="shared" si="33"/>
        <v>30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idden="1" x14ac:dyDescent="0.25">
      <c r="A129" s="1" t="s">
        <v>171</v>
      </c>
      <c r="B129" s="1" t="s">
        <v>43</v>
      </c>
      <c r="C129" s="1">
        <v>1</v>
      </c>
      <c r="D129" s="1"/>
      <c r="E129" s="1"/>
      <c r="F129" s="1">
        <v>1</v>
      </c>
      <c r="G129" s="7">
        <v>0.3</v>
      </c>
      <c r="H129" s="1">
        <v>40</v>
      </c>
      <c r="I129" s="9" t="s">
        <v>50</v>
      </c>
      <c r="J129" s="1"/>
      <c r="K129" s="1">
        <v>16</v>
      </c>
      <c r="L129" s="1">
        <f t="shared" si="26"/>
        <v>-16</v>
      </c>
      <c r="M129" s="1"/>
      <c r="N129" s="1"/>
      <c r="O129" s="1">
        <v>15</v>
      </c>
      <c r="P129" s="1">
        <v>-18</v>
      </c>
      <c r="Q129" s="1"/>
      <c r="R129" s="1">
        <v>30</v>
      </c>
      <c r="S129" s="1">
        <f t="shared" si="27"/>
        <v>0</v>
      </c>
      <c r="T129" s="5">
        <v>30</v>
      </c>
      <c r="U129" s="1" t="e">
        <f t="shared" si="28"/>
        <v>#DIV/0!</v>
      </c>
      <c r="V129" s="1" t="e">
        <f t="shared" si="29"/>
        <v>#DIV/0!</v>
      </c>
      <c r="W129" s="1">
        <v>-0.8</v>
      </c>
      <c r="X129" s="1">
        <v>-0.2</v>
      </c>
      <c r="Y129" s="1">
        <v>0</v>
      </c>
      <c r="Z129" s="1">
        <v>0.6</v>
      </c>
      <c r="AA129" s="1">
        <v>5.8</v>
      </c>
      <c r="AB129" s="1">
        <v>6.8</v>
      </c>
      <c r="AC129" s="1">
        <v>1.4</v>
      </c>
      <c r="AD129" s="1">
        <v>-0.2</v>
      </c>
      <c r="AE129" s="1">
        <v>-0.8</v>
      </c>
      <c r="AF129" s="1">
        <v>15.8</v>
      </c>
      <c r="AG129" s="1" t="s">
        <v>172</v>
      </c>
      <c r="AH129" s="1">
        <f t="shared" si="33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173</v>
      </c>
      <c r="B130" s="1" t="s">
        <v>38</v>
      </c>
      <c r="C130" s="1">
        <v>29.53</v>
      </c>
      <c r="D130" s="1"/>
      <c r="E130" s="1">
        <v>21.53</v>
      </c>
      <c r="F130" s="1">
        <v>8</v>
      </c>
      <c r="G130" s="7">
        <v>1</v>
      </c>
      <c r="H130" s="1">
        <v>50</v>
      </c>
      <c r="I130" s="1" t="s">
        <v>39</v>
      </c>
      <c r="J130" s="1"/>
      <c r="K130" s="1">
        <v>21</v>
      </c>
      <c r="L130" s="1">
        <f t="shared" si="26"/>
        <v>0.53000000000000114</v>
      </c>
      <c r="M130" s="1"/>
      <c r="N130" s="1"/>
      <c r="O130" s="1">
        <v>4.9611999999999981</v>
      </c>
      <c r="P130" s="1"/>
      <c r="Q130" s="1"/>
      <c r="R130" s="1">
        <v>31.693200000000001</v>
      </c>
      <c r="S130" s="1">
        <f t="shared" si="27"/>
        <v>4.306</v>
      </c>
      <c r="T130" s="5">
        <f t="shared" si="32"/>
        <v>7.0175999999999981</v>
      </c>
      <c r="U130" s="1">
        <f t="shared" si="28"/>
        <v>12</v>
      </c>
      <c r="V130" s="1">
        <f t="shared" si="29"/>
        <v>10.370274036228517</v>
      </c>
      <c r="W130" s="1">
        <v>5.1116000000000001</v>
      </c>
      <c r="X130" s="1">
        <v>2.4276</v>
      </c>
      <c r="Y130" s="1">
        <v>2.9628000000000001</v>
      </c>
      <c r="Z130" s="1">
        <v>2.1503999999999999</v>
      </c>
      <c r="AA130" s="1">
        <v>2.1423999999999999</v>
      </c>
      <c r="AB130" s="1">
        <v>2.9592000000000001</v>
      </c>
      <c r="AC130" s="1">
        <v>2.4420000000000002</v>
      </c>
      <c r="AD130" s="1">
        <v>4.0430000000000001</v>
      </c>
      <c r="AE130" s="1">
        <v>4.5990000000000002</v>
      </c>
      <c r="AF130" s="1">
        <v>3.5379999999999998</v>
      </c>
      <c r="AG130" s="1"/>
      <c r="AH130" s="1">
        <f t="shared" si="33"/>
        <v>7.0175999999999981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idden="1" x14ac:dyDescent="0.25">
      <c r="A131" s="1" t="s">
        <v>174</v>
      </c>
      <c r="B131" s="1" t="s">
        <v>43</v>
      </c>
      <c r="C131" s="1">
        <v>13</v>
      </c>
      <c r="D131" s="1">
        <v>6</v>
      </c>
      <c r="E131" s="1">
        <v>5</v>
      </c>
      <c r="F131" s="1">
        <v>13</v>
      </c>
      <c r="G131" s="7">
        <v>0.3</v>
      </c>
      <c r="H131" s="1">
        <v>40</v>
      </c>
      <c r="I131" s="9" t="s">
        <v>50</v>
      </c>
      <c r="J131" s="1"/>
      <c r="K131" s="1">
        <v>66</v>
      </c>
      <c r="L131" s="1">
        <f t="shared" si="26"/>
        <v>-61</v>
      </c>
      <c r="M131" s="1"/>
      <c r="N131" s="1"/>
      <c r="O131" s="1">
        <v>31.5</v>
      </c>
      <c r="P131" s="1">
        <v>-30</v>
      </c>
      <c r="Q131" s="1"/>
      <c r="R131" s="1">
        <v>56</v>
      </c>
      <c r="S131" s="1">
        <f t="shared" si="27"/>
        <v>1</v>
      </c>
      <c r="T131" s="5">
        <v>60</v>
      </c>
      <c r="U131" s="1">
        <f t="shared" si="28"/>
        <v>130.5</v>
      </c>
      <c r="V131" s="1">
        <f t="shared" si="29"/>
        <v>70.5</v>
      </c>
      <c r="W131" s="1">
        <v>20.8</v>
      </c>
      <c r="X131" s="1">
        <v>23.4</v>
      </c>
      <c r="Y131" s="1">
        <v>2.4</v>
      </c>
      <c r="Z131" s="1">
        <v>4</v>
      </c>
      <c r="AA131" s="1">
        <v>11.6</v>
      </c>
      <c r="AB131" s="1">
        <v>31.2</v>
      </c>
      <c r="AC131" s="1">
        <v>39.6</v>
      </c>
      <c r="AD131" s="1">
        <v>28.2</v>
      </c>
      <c r="AE131" s="1">
        <v>23.2</v>
      </c>
      <c r="AF131" s="1">
        <v>15.8</v>
      </c>
      <c r="AG131" s="1"/>
      <c r="AH131" s="1">
        <f t="shared" si="33"/>
        <v>18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idden="1" x14ac:dyDescent="0.25">
      <c r="A132" s="1" t="s">
        <v>175</v>
      </c>
      <c r="B132" s="1" t="s">
        <v>43</v>
      </c>
      <c r="C132" s="1">
        <v>27</v>
      </c>
      <c r="D132" s="1"/>
      <c r="E132" s="1">
        <v>17</v>
      </c>
      <c r="F132" s="1">
        <v>7</v>
      </c>
      <c r="G132" s="7">
        <v>0.12</v>
      </c>
      <c r="H132" s="1">
        <v>45</v>
      </c>
      <c r="I132" s="9" t="s">
        <v>50</v>
      </c>
      <c r="J132" s="1"/>
      <c r="K132" s="1">
        <v>77</v>
      </c>
      <c r="L132" s="1">
        <f t="shared" si="26"/>
        <v>-60</v>
      </c>
      <c r="M132" s="1"/>
      <c r="N132" s="1"/>
      <c r="O132" s="1">
        <v>54.146000000000001</v>
      </c>
      <c r="P132" s="1">
        <v>-60.000000000000007</v>
      </c>
      <c r="Q132" s="1"/>
      <c r="R132" s="1">
        <v>50</v>
      </c>
      <c r="S132" s="1">
        <f t="shared" si="27"/>
        <v>3.4</v>
      </c>
      <c r="T132" s="5">
        <v>30</v>
      </c>
      <c r="U132" s="1">
        <f t="shared" si="28"/>
        <v>23.866470588235291</v>
      </c>
      <c r="V132" s="1">
        <f t="shared" si="29"/>
        <v>15.042941176470586</v>
      </c>
      <c r="W132" s="1">
        <v>9.6</v>
      </c>
      <c r="X132" s="1">
        <v>9.8000000000000007</v>
      </c>
      <c r="Y132" s="1">
        <v>6</v>
      </c>
      <c r="Z132" s="1">
        <v>8.6</v>
      </c>
      <c r="AA132" s="1">
        <v>9</v>
      </c>
      <c r="AB132" s="1">
        <v>13.4</v>
      </c>
      <c r="AC132" s="1">
        <v>15</v>
      </c>
      <c r="AD132" s="1">
        <v>11.8</v>
      </c>
      <c r="AE132" s="1">
        <v>14.6</v>
      </c>
      <c r="AF132" s="1">
        <v>17.600000000000001</v>
      </c>
      <c r="AG132" s="1"/>
      <c r="AH132" s="1">
        <f t="shared" si="33"/>
        <v>3.5999999999999996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idden="1" x14ac:dyDescent="0.25">
      <c r="A133" s="10" t="s">
        <v>176</v>
      </c>
      <c r="B133" s="10" t="s">
        <v>43</v>
      </c>
      <c r="C133" s="10">
        <v>7</v>
      </c>
      <c r="D133" s="10"/>
      <c r="E133" s="10"/>
      <c r="F133" s="13">
        <v>7</v>
      </c>
      <c r="G133" s="11">
        <v>0</v>
      </c>
      <c r="H133" s="10"/>
      <c r="I133" s="10" t="s">
        <v>177</v>
      </c>
      <c r="J133" s="10" t="s">
        <v>168</v>
      </c>
      <c r="K133" s="10"/>
      <c r="L133" s="10">
        <f t="shared" si="26"/>
        <v>0</v>
      </c>
      <c r="M133" s="10"/>
      <c r="N133" s="10"/>
      <c r="O133" s="10">
        <v>0</v>
      </c>
      <c r="P133" s="10"/>
      <c r="Q133" s="10"/>
      <c r="R133" s="10">
        <v>0</v>
      </c>
      <c r="S133" s="10">
        <f t="shared" si="27"/>
        <v>0</v>
      </c>
      <c r="T133" s="12"/>
      <c r="U133" s="10" t="e">
        <f t="shared" si="28"/>
        <v>#DIV/0!</v>
      </c>
      <c r="V133" s="10" t="e">
        <f t="shared" si="29"/>
        <v>#DIV/0!</v>
      </c>
      <c r="W133" s="10">
        <v>0.4</v>
      </c>
      <c r="X133" s="10">
        <v>5.2</v>
      </c>
      <c r="Y133" s="10">
        <v>5.2</v>
      </c>
      <c r="Z133" s="10">
        <v>1.4</v>
      </c>
      <c r="AA133" s="10">
        <v>2.4</v>
      </c>
      <c r="AB133" s="10">
        <v>2</v>
      </c>
      <c r="AC133" s="10">
        <v>0.6</v>
      </c>
      <c r="AD133" s="10">
        <v>0</v>
      </c>
      <c r="AE133" s="10">
        <v>0</v>
      </c>
      <c r="AF133" s="10">
        <v>0</v>
      </c>
      <c r="AG133" s="10"/>
      <c r="AH133" s="1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133" xr:uid="{00000000-0009-0000-0000-000000000000}">
    <filterColumn colId="6">
      <filters blank="1">
        <filter val="0,07"/>
        <filter val="0,08"/>
        <filter val="0,10"/>
        <filter val="0,12"/>
        <filter val="0,17"/>
        <filter val="0,25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  <filterColumn colId="8">
      <filters blank="1">
        <filter val="матрица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2026-08-27T19:16:47Z</dcterms:created>
  <dcterms:modified xsi:type="dcterms:W3CDTF">2026-08-27T19:29:41Z</dcterms:modified>
</cp:coreProperties>
</file>