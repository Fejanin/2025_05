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04F2CBF-0E13-4714-B9ED-5FA04FC394D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P532" i="1"/>
  <c r="BO532" i="1"/>
  <c r="BN532" i="1"/>
  <c r="BM532" i="1"/>
  <c r="Z532" i="1"/>
  <c r="Y532" i="1"/>
  <c r="P532" i="1"/>
  <c r="X530" i="1"/>
  <c r="Y529" i="1"/>
  <c r="X529" i="1"/>
  <c r="BP528" i="1"/>
  <c r="BO528" i="1"/>
  <c r="BN528" i="1"/>
  <c r="BM528" i="1"/>
  <c r="Z528" i="1"/>
  <c r="Z529" i="1" s="1"/>
  <c r="Y528" i="1"/>
  <c r="Y530" i="1" s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Y511" i="1" s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Y481" i="1" s="1"/>
  <c r="P477" i="1"/>
  <c r="X475" i="1"/>
  <c r="X474" i="1"/>
  <c r="BO473" i="1"/>
  <c r="BM473" i="1"/>
  <c r="Y473" i="1"/>
  <c r="Y475" i="1" s="1"/>
  <c r="P473" i="1"/>
  <c r="X470" i="1"/>
  <c r="X469" i="1"/>
  <c r="BO468" i="1"/>
  <c r="BM468" i="1"/>
  <c r="Y468" i="1"/>
  <c r="BP468" i="1" s="1"/>
  <c r="P468" i="1"/>
  <c r="BO467" i="1"/>
  <c r="BM467" i="1"/>
  <c r="Y467" i="1"/>
  <c r="Y470" i="1" s="1"/>
  <c r="P467" i="1"/>
  <c r="X465" i="1"/>
  <c r="X464" i="1"/>
  <c r="BO463" i="1"/>
  <c r="BM463" i="1"/>
  <c r="Y463" i="1"/>
  <c r="BP463" i="1" s="1"/>
  <c r="P463" i="1"/>
  <c r="BO462" i="1"/>
  <c r="BM462" i="1"/>
  <c r="Y462" i="1"/>
  <c r="BP462" i="1" s="1"/>
  <c r="P462" i="1"/>
  <c r="BO461" i="1"/>
  <c r="BM461" i="1"/>
  <c r="Y461" i="1"/>
  <c r="BP461" i="1" s="1"/>
  <c r="P461" i="1"/>
  <c r="BO460" i="1"/>
  <c r="BM460" i="1"/>
  <c r="Y460" i="1"/>
  <c r="BP460" i="1" s="1"/>
  <c r="P460" i="1"/>
  <c r="BO459" i="1"/>
  <c r="BM459" i="1"/>
  <c r="Y459" i="1"/>
  <c r="BP459" i="1" s="1"/>
  <c r="P459" i="1"/>
  <c r="BO458" i="1"/>
  <c r="BM458" i="1"/>
  <c r="Y458" i="1"/>
  <c r="X551" i="1" s="1"/>
  <c r="P458" i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P451" i="1"/>
  <c r="BO450" i="1"/>
  <c r="BM450" i="1"/>
  <c r="Y450" i="1"/>
  <c r="Y454" i="1" s="1"/>
  <c r="P450" i="1"/>
  <c r="X448" i="1"/>
  <c r="X447" i="1"/>
  <c r="BO446" i="1"/>
  <c r="BM446" i="1"/>
  <c r="Y446" i="1"/>
  <c r="Y448" i="1" s="1"/>
  <c r="P446" i="1"/>
  <c r="X444" i="1"/>
  <c r="X443" i="1"/>
  <c r="BO442" i="1"/>
  <c r="BM442" i="1"/>
  <c r="Y442" i="1"/>
  <c r="Y444" i="1" s="1"/>
  <c r="P442" i="1"/>
  <c r="BP441" i="1"/>
  <c r="BO441" i="1"/>
  <c r="BN441" i="1"/>
  <c r="BM441" i="1"/>
  <c r="Z441" i="1"/>
  <c r="Y441" i="1"/>
  <c r="W551" i="1" s="1"/>
  <c r="P441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Y437" i="1" s="1"/>
  <c r="P435" i="1"/>
  <c r="X433" i="1"/>
  <c r="X432" i="1"/>
  <c r="BO431" i="1"/>
  <c r="BM431" i="1"/>
  <c r="Y431" i="1"/>
  <c r="BP431" i="1" s="1"/>
  <c r="P431" i="1"/>
  <c r="BP430" i="1"/>
  <c r="BO430" i="1"/>
  <c r="BN430" i="1"/>
  <c r="BM430" i="1"/>
  <c r="Z430" i="1"/>
  <c r="Y430" i="1"/>
  <c r="P430" i="1"/>
  <c r="BO429" i="1"/>
  <c r="BM429" i="1"/>
  <c r="Y429" i="1"/>
  <c r="Y433" i="1" s="1"/>
  <c r="P429" i="1"/>
  <c r="X427" i="1"/>
  <c r="X426" i="1"/>
  <c r="BO425" i="1"/>
  <c r="BM425" i="1"/>
  <c r="Y425" i="1"/>
  <c r="BP425" i="1" s="1"/>
  <c r="P425" i="1"/>
  <c r="BP424" i="1"/>
  <c r="BO424" i="1"/>
  <c r="BN424" i="1"/>
  <c r="BM424" i="1"/>
  <c r="Z424" i="1"/>
  <c r="Y424" i="1"/>
  <c r="P424" i="1"/>
  <c r="BO423" i="1"/>
  <c r="BM423" i="1"/>
  <c r="Y423" i="1"/>
  <c r="Y427" i="1" s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Z415" i="1" s="1"/>
  <c r="P415" i="1"/>
  <c r="BP414" i="1"/>
  <c r="BO414" i="1"/>
  <c r="BN414" i="1"/>
  <c r="BM414" i="1"/>
  <c r="Z414" i="1"/>
  <c r="Y414" i="1"/>
  <c r="P414" i="1"/>
  <c r="BO413" i="1"/>
  <c r="BM413" i="1"/>
  <c r="Y413" i="1"/>
  <c r="BP413" i="1" s="1"/>
  <c r="P413" i="1"/>
  <c r="BP412" i="1"/>
  <c r="BO412" i="1"/>
  <c r="BN412" i="1"/>
  <c r="BM412" i="1"/>
  <c r="Z412" i="1"/>
  <c r="Y412" i="1"/>
  <c r="P412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Y407" i="1" s="1"/>
  <c r="P405" i="1"/>
  <c r="BP404" i="1"/>
  <c r="BO404" i="1"/>
  <c r="BN404" i="1"/>
  <c r="BM404" i="1"/>
  <c r="Z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Y400" i="1" s="1"/>
  <c r="P398" i="1"/>
  <c r="BP397" i="1"/>
  <c r="BO397" i="1"/>
  <c r="BN397" i="1"/>
  <c r="BM397" i="1"/>
  <c r="Z397" i="1"/>
  <c r="Y397" i="1"/>
  <c r="Y401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Y394" i="1" s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Y388" i="1" s="1"/>
  <c r="P384" i="1"/>
  <c r="X382" i="1"/>
  <c r="X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BO378" i="1"/>
  <c r="BM378" i="1"/>
  <c r="Y378" i="1"/>
  <c r="Y382" i="1" s="1"/>
  <c r="P378" i="1"/>
  <c r="X376" i="1"/>
  <c r="X375" i="1"/>
  <c r="BO374" i="1"/>
  <c r="BM374" i="1"/>
  <c r="Y374" i="1"/>
  <c r="BP374" i="1" s="1"/>
  <c r="P374" i="1"/>
  <c r="BP373" i="1"/>
  <c r="BO373" i="1"/>
  <c r="BN373" i="1"/>
  <c r="BM373" i="1"/>
  <c r="Z373" i="1"/>
  <c r="Y373" i="1"/>
  <c r="P373" i="1"/>
  <c r="BO372" i="1"/>
  <c r="BM372" i="1"/>
  <c r="Y372" i="1"/>
  <c r="Y376" i="1" s="1"/>
  <c r="P372" i="1"/>
  <c r="BP371" i="1"/>
  <c r="BO371" i="1"/>
  <c r="BN371" i="1"/>
  <c r="BM371" i="1"/>
  <c r="Z371" i="1"/>
  <c r="Y371" i="1"/>
  <c r="Y375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M364" i="1"/>
  <c r="Y364" i="1"/>
  <c r="BP364" i="1" s="1"/>
  <c r="P364" i="1"/>
  <c r="BP363" i="1"/>
  <c r="BO363" i="1"/>
  <c r="BN363" i="1"/>
  <c r="BM363" i="1"/>
  <c r="Z363" i="1"/>
  <c r="Y363" i="1"/>
  <c r="P363" i="1"/>
  <c r="BO362" i="1"/>
  <c r="BM362" i="1"/>
  <c r="Y362" i="1"/>
  <c r="Y368" i="1" s="1"/>
  <c r="P362" i="1"/>
  <c r="BP361" i="1"/>
  <c r="BO361" i="1"/>
  <c r="BN361" i="1"/>
  <c r="BM361" i="1"/>
  <c r="Z361" i="1"/>
  <c r="Y361" i="1"/>
  <c r="Y369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BP356" i="1" s="1"/>
  <c r="P356" i="1"/>
  <c r="BP355" i="1"/>
  <c r="BO355" i="1"/>
  <c r="BN355" i="1"/>
  <c r="BM355" i="1"/>
  <c r="Z355" i="1"/>
  <c r="Y355" i="1"/>
  <c r="P355" i="1"/>
  <c r="BO354" i="1"/>
  <c r="BM354" i="1"/>
  <c r="Y354" i="1"/>
  <c r="Y358" i="1" s="1"/>
  <c r="P354" i="1"/>
  <c r="BP353" i="1"/>
  <c r="BO353" i="1"/>
  <c r="BN353" i="1"/>
  <c r="BM353" i="1"/>
  <c r="Z353" i="1"/>
  <c r="Y353" i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Y349" i="1" s="1"/>
  <c r="P347" i="1"/>
  <c r="BP346" i="1"/>
  <c r="BO346" i="1"/>
  <c r="BN346" i="1"/>
  <c r="BM346" i="1"/>
  <c r="Z346" i="1"/>
  <c r="Y346" i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Y342" i="1" s="1"/>
  <c r="P340" i="1"/>
  <c r="X338" i="1"/>
  <c r="X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BO334" i="1"/>
  <c r="BM334" i="1"/>
  <c r="Y334" i="1"/>
  <c r="BP334" i="1" s="1"/>
  <c r="P334" i="1"/>
  <c r="BP333" i="1"/>
  <c r="BO333" i="1"/>
  <c r="BN333" i="1"/>
  <c r="BM333" i="1"/>
  <c r="Z333" i="1"/>
  <c r="Y333" i="1"/>
  <c r="P333" i="1"/>
  <c r="BO332" i="1"/>
  <c r="BM332" i="1"/>
  <c r="Y332" i="1"/>
  <c r="R551" i="1" s="1"/>
  <c r="P332" i="1"/>
  <c r="X329" i="1"/>
  <c r="X328" i="1"/>
  <c r="BO327" i="1"/>
  <c r="BM327" i="1"/>
  <c r="Y327" i="1"/>
  <c r="BP327" i="1" s="1"/>
  <c r="P327" i="1"/>
  <c r="BP326" i="1"/>
  <c r="BO326" i="1"/>
  <c r="BN326" i="1"/>
  <c r="BM326" i="1"/>
  <c r="Z326" i="1"/>
  <c r="Y326" i="1"/>
  <c r="P326" i="1"/>
  <c r="BO325" i="1"/>
  <c r="BM325" i="1"/>
  <c r="Y325" i="1"/>
  <c r="Q551" i="1" s="1"/>
  <c r="P325" i="1"/>
  <c r="X322" i="1"/>
  <c r="X321" i="1"/>
  <c r="BO320" i="1"/>
  <c r="BM320" i="1"/>
  <c r="Y320" i="1"/>
  <c r="BP320" i="1" s="1"/>
  <c r="P320" i="1"/>
  <c r="BP319" i="1"/>
  <c r="BO319" i="1"/>
  <c r="BN319" i="1"/>
  <c r="BM319" i="1"/>
  <c r="Z319" i="1"/>
  <c r="Y319" i="1"/>
  <c r="P319" i="1"/>
  <c r="BO318" i="1"/>
  <c r="BM318" i="1"/>
  <c r="Y318" i="1"/>
  <c r="BP318" i="1" s="1"/>
  <c r="P318" i="1"/>
  <c r="BP317" i="1"/>
  <c r="BO317" i="1"/>
  <c r="BN317" i="1"/>
  <c r="BM317" i="1"/>
  <c r="Z317" i="1"/>
  <c r="Y317" i="1"/>
  <c r="P317" i="1"/>
  <c r="BO316" i="1"/>
  <c r="BM316" i="1"/>
  <c r="Y316" i="1"/>
  <c r="P551" i="1" s="1"/>
  <c r="P316" i="1"/>
  <c r="X313" i="1"/>
  <c r="X312" i="1"/>
  <c r="BO311" i="1"/>
  <c r="BM311" i="1"/>
  <c r="Y311" i="1"/>
  <c r="BP311" i="1" s="1"/>
  <c r="P311" i="1"/>
  <c r="BP310" i="1"/>
  <c r="BO310" i="1"/>
  <c r="BN310" i="1"/>
  <c r="BM310" i="1"/>
  <c r="Z310" i="1"/>
  <c r="Y310" i="1"/>
  <c r="P310" i="1"/>
  <c r="BO309" i="1"/>
  <c r="BM309" i="1"/>
  <c r="Y309" i="1"/>
  <c r="Y313" i="1" s="1"/>
  <c r="P309" i="1"/>
  <c r="X307" i="1"/>
  <c r="X306" i="1"/>
  <c r="BO305" i="1"/>
  <c r="BM305" i="1"/>
  <c r="Y305" i="1"/>
  <c r="Y307" i="1" s="1"/>
  <c r="P305" i="1"/>
  <c r="X303" i="1"/>
  <c r="X302" i="1"/>
  <c r="BO301" i="1"/>
  <c r="BM301" i="1"/>
  <c r="Y301" i="1"/>
  <c r="Y303" i="1" s="1"/>
  <c r="P301" i="1"/>
  <c r="X299" i="1"/>
  <c r="X298" i="1"/>
  <c r="BO297" i="1"/>
  <c r="BM297" i="1"/>
  <c r="Y297" i="1"/>
  <c r="BP297" i="1" s="1"/>
  <c r="P297" i="1"/>
  <c r="BP296" i="1"/>
  <c r="BO296" i="1"/>
  <c r="BN296" i="1"/>
  <c r="BM296" i="1"/>
  <c r="Z296" i="1"/>
  <c r="Y296" i="1"/>
  <c r="P296" i="1"/>
  <c r="BO295" i="1"/>
  <c r="BM295" i="1"/>
  <c r="Y295" i="1"/>
  <c r="BP295" i="1" s="1"/>
  <c r="P295" i="1"/>
  <c r="BP294" i="1"/>
  <c r="BO294" i="1"/>
  <c r="BN294" i="1"/>
  <c r="BM294" i="1"/>
  <c r="Z294" i="1"/>
  <c r="Y294" i="1"/>
  <c r="P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O551" i="1" s="1"/>
  <c r="P291" i="1"/>
  <c r="X288" i="1"/>
  <c r="X287" i="1"/>
  <c r="BO286" i="1"/>
  <c r="BM286" i="1"/>
  <c r="Y286" i="1"/>
  <c r="Y288" i="1" s="1"/>
  <c r="P286" i="1"/>
  <c r="BP285" i="1"/>
  <c r="BO285" i="1"/>
  <c r="BN285" i="1"/>
  <c r="BM285" i="1"/>
  <c r="Z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Y267" i="1" s="1"/>
  <c r="P259" i="1"/>
  <c r="X257" i="1"/>
  <c r="X256" i="1"/>
  <c r="BO255" i="1"/>
  <c r="BM255" i="1"/>
  <c r="Y255" i="1"/>
  <c r="BP255" i="1" s="1"/>
  <c r="P255" i="1"/>
  <c r="BP254" i="1"/>
  <c r="BO254" i="1"/>
  <c r="BN254" i="1"/>
  <c r="BM254" i="1"/>
  <c r="Z254" i="1"/>
  <c r="Y254" i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M551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Y236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Y228" i="1" s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Y205" i="1" s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Y189" i="1" s="1"/>
  <c r="P187" i="1"/>
  <c r="X185" i="1"/>
  <c r="X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Y185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Y179" i="1" s="1"/>
  <c r="P167" i="1"/>
  <c r="BP166" i="1"/>
  <c r="BO166" i="1"/>
  <c r="BN166" i="1"/>
  <c r="BM166" i="1"/>
  <c r="Z166" i="1"/>
  <c r="Y166" i="1"/>
  <c r="Y178" i="1" s="1"/>
  <c r="P166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60" i="1"/>
  <c r="X159" i="1"/>
  <c r="BP158" i="1"/>
  <c r="BO158" i="1"/>
  <c r="BN158" i="1"/>
  <c r="BM158" i="1"/>
  <c r="Z158" i="1"/>
  <c r="Y158" i="1"/>
  <c r="P158" i="1"/>
  <c r="BO157" i="1"/>
  <c r="BM157" i="1"/>
  <c r="Y157" i="1"/>
  <c r="Y159" i="1" s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I551" i="1" s="1"/>
  <c r="P148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Y135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4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8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Y110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99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Y93" i="1" s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4" i="1" s="1"/>
  <c r="P82" i="1"/>
  <c r="X80" i="1"/>
  <c r="X79" i="1"/>
  <c r="BO78" i="1"/>
  <c r="BM78" i="1"/>
  <c r="Y78" i="1"/>
  <c r="Y80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8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51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5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545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51" i="1"/>
  <c r="X542" i="1"/>
  <c r="X544" i="1" s="1"/>
  <c r="X543" i="1"/>
  <c r="Z23" i="1"/>
  <c r="Z24" i="1" s="1"/>
  <c r="BN23" i="1"/>
  <c r="BP23" i="1"/>
  <c r="Y543" i="1" s="1"/>
  <c r="Y24" i="1"/>
  <c r="X54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51" i="1"/>
  <c r="Z60" i="1"/>
  <c r="Z67" i="1" s="1"/>
  <c r="BN60" i="1"/>
  <c r="BP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51" i="1"/>
  <c r="Z89" i="1"/>
  <c r="Z92" i="1" s="1"/>
  <c r="BN89" i="1"/>
  <c r="BP89" i="1"/>
  <c r="Z91" i="1"/>
  <c r="BN91" i="1"/>
  <c r="Y92" i="1"/>
  <c r="Z95" i="1"/>
  <c r="Z99" i="1" s="1"/>
  <c r="BN95" i="1"/>
  <c r="BP95" i="1"/>
  <c r="Z97" i="1"/>
  <c r="BN97" i="1"/>
  <c r="Y100" i="1"/>
  <c r="G551" i="1"/>
  <c r="Z104" i="1"/>
  <c r="BN104" i="1"/>
  <c r="BP104" i="1"/>
  <c r="Z106" i="1"/>
  <c r="Z109" i="1" s="1"/>
  <c r="BN106" i="1"/>
  <c r="Z108" i="1"/>
  <c r="BN108" i="1"/>
  <c r="Y109" i="1"/>
  <c r="Z112" i="1"/>
  <c r="BN112" i="1"/>
  <c r="BP112" i="1"/>
  <c r="Z114" i="1"/>
  <c r="BN114" i="1"/>
  <c r="Z116" i="1"/>
  <c r="BN116" i="1"/>
  <c r="Y117" i="1"/>
  <c r="Z120" i="1"/>
  <c r="BN120" i="1"/>
  <c r="BP120" i="1"/>
  <c r="Z122" i="1"/>
  <c r="BN122" i="1"/>
  <c r="Y125" i="1"/>
  <c r="H551" i="1"/>
  <c r="Z133" i="1"/>
  <c r="Z134" i="1" s="1"/>
  <c r="BN133" i="1"/>
  <c r="BP133" i="1"/>
  <c r="Y134" i="1"/>
  <c r="Z137" i="1"/>
  <c r="Z139" i="1" s="1"/>
  <c r="BN137" i="1"/>
  <c r="BP137" i="1"/>
  <c r="Y140" i="1"/>
  <c r="Z143" i="1"/>
  <c r="Z144" i="1" s="1"/>
  <c r="BN143" i="1"/>
  <c r="BP143" i="1"/>
  <c r="Z148" i="1"/>
  <c r="BN148" i="1"/>
  <c r="BP148" i="1"/>
  <c r="Z150" i="1"/>
  <c r="BN150" i="1"/>
  <c r="Y153" i="1"/>
  <c r="J551" i="1"/>
  <c r="Z157" i="1"/>
  <c r="Z159" i="1" s="1"/>
  <c r="BN157" i="1"/>
  <c r="BP157" i="1"/>
  <c r="Y160" i="1"/>
  <c r="Z167" i="1"/>
  <c r="Z178" i="1" s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81" i="1"/>
  <c r="BN181" i="1"/>
  <c r="BP181" i="1"/>
  <c r="Z183" i="1"/>
  <c r="BN183" i="1"/>
  <c r="Y184" i="1"/>
  <c r="Z187" i="1"/>
  <c r="Z189" i="1" s="1"/>
  <c r="BN187" i="1"/>
  <c r="BP187" i="1"/>
  <c r="Y190" i="1"/>
  <c r="K551" i="1"/>
  <c r="Z199" i="1"/>
  <c r="Z205" i="1" s="1"/>
  <c r="BN199" i="1"/>
  <c r="BP199" i="1"/>
  <c r="Z201" i="1"/>
  <c r="BN201" i="1"/>
  <c r="Z203" i="1"/>
  <c r="BN203" i="1"/>
  <c r="Y206" i="1"/>
  <c r="L551" i="1"/>
  <c r="Y211" i="1"/>
  <c r="Z214" i="1"/>
  <c r="Z227" i="1" s="1"/>
  <c r="BN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1" i="1" s="1"/>
  <c r="BN249" i="1"/>
  <c r="BP249" i="1"/>
  <c r="Y252" i="1"/>
  <c r="Y257" i="1"/>
  <c r="Z255" i="1"/>
  <c r="BN255" i="1"/>
  <c r="Y256" i="1"/>
  <c r="BP260" i="1"/>
  <c r="BN260" i="1"/>
  <c r="Z260" i="1"/>
  <c r="BP264" i="1"/>
  <c r="BN264" i="1"/>
  <c r="Z264" i="1"/>
  <c r="BP272" i="1"/>
  <c r="BN272" i="1"/>
  <c r="Z272" i="1"/>
  <c r="BP276" i="1"/>
  <c r="BN276" i="1"/>
  <c r="Z276" i="1"/>
  <c r="F9" i="1"/>
  <c r="J9" i="1"/>
  <c r="Y47" i="1"/>
  <c r="Y541" i="1" s="1"/>
  <c r="Y55" i="1"/>
  <c r="Y152" i="1"/>
  <c r="Y251" i="1"/>
  <c r="Z256" i="1"/>
  <c r="BP262" i="1"/>
  <c r="BN262" i="1"/>
  <c r="Y542" i="1" s="1"/>
  <c r="Z262" i="1"/>
  <c r="BP266" i="1"/>
  <c r="BN266" i="1"/>
  <c r="Z266" i="1"/>
  <c r="Y268" i="1"/>
  <c r="Y282" i="1"/>
  <c r="Y283" i="1"/>
  <c r="BP270" i="1"/>
  <c r="BN270" i="1"/>
  <c r="Z270" i="1"/>
  <c r="BP274" i="1"/>
  <c r="BN274" i="1"/>
  <c r="Z274" i="1"/>
  <c r="Z394" i="1"/>
  <c r="Z278" i="1"/>
  <c r="BN278" i="1"/>
  <c r="Z280" i="1"/>
  <c r="BN280" i="1"/>
  <c r="Z286" i="1"/>
  <c r="Z287" i="1" s="1"/>
  <c r="BN286" i="1"/>
  <c r="BP286" i="1"/>
  <c r="Z291" i="1"/>
  <c r="BN291" i="1"/>
  <c r="BP291" i="1"/>
  <c r="Z293" i="1"/>
  <c r="BN293" i="1"/>
  <c r="Z295" i="1"/>
  <c r="BN295" i="1"/>
  <c r="Z297" i="1"/>
  <c r="BN297" i="1"/>
  <c r="Y298" i="1"/>
  <c r="Z301" i="1"/>
  <c r="Z302" i="1" s="1"/>
  <c r="BN301" i="1"/>
  <c r="BP301" i="1"/>
  <c r="Y302" i="1"/>
  <c r="Z305" i="1"/>
  <c r="Z306" i="1" s="1"/>
  <c r="BN305" i="1"/>
  <c r="BP305" i="1"/>
  <c r="Y306" i="1"/>
  <c r="Z309" i="1"/>
  <c r="BN309" i="1"/>
  <c r="BP309" i="1"/>
  <c r="Z311" i="1"/>
  <c r="BN311" i="1"/>
  <c r="Y312" i="1"/>
  <c r="Z316" i="1"/>
  <c r="BN316" i="1"/>
  <c r="BP316" i="1"/>
  <c r="Z318" i="1"/>
  <c r="BN318" i="1"/>
  <c r="Z320" i="1"/>
  <c r="BN320" i="1"/>
  <c r="Y321" i="1"/>
  <c r="Z325" i="1"/>
  <c r="BN325" i="1"/>
  <c r="BP325" i="1"/>
  <c r="Z327" i="1"/>
  <c r="BN327" i="1"/>
  <c r="Y328" i="1"/>
  <c r="Z332" i="1"/>
  <c r="BN332" i="1"/>
  <c r="BP332" i="1"/>
  <c r="Z334" i="1"/>
  <c r="BN334" i="1"/>
  <c r="Z336" i="1"/>
  <c r="BN336" i="1"/>
  <c r="Y337" i="1"/>
  <c r="Z340" i="1"/>
  <c r="Z342" i="1" s="1"/>
  <c r="BN340" i="1"/>
  <c r="BP340" i="1"/>
  <c r="Y343" i="1"/>
  <c r="S551" i="1"/>
  <c r="Z347" i="1"/>
  <c r="Z349" i="1" s="1"/>
  <c r="BN347" i="1"/>
  <c r="BP347" i="1"/>
  <c r="Y350" i="1"/>
  <c r="T551" i="1"/>
  <c r="Z354" i="1"/>
  <c r="Z358" i="1" s="1"/>
  <c r="BN354" i="1"/>
  <c r="BP354" i="1"/>
  <c r="Z356" i="1"/>
  <c r="BN356" i="1"/>
  <c r="Y359" i="1"/>
  <c r="Z362" i="1"/>
  <c r="BN362" i="1"/>
  <c r="BP362" i="1"/>
  <c r="Z364" i="1"/>
  <c r="Z368" i="1" s="1"/>
  <c r="BN364" i="1"/>
  <c r="Z366" i="1"/>
  <c r="BN366" i="1"/>
  <c r="Z372" i="1"/>
  <c r="Z375" i="1" s="1"/>
  <c r="BN372" i="1"/>
  <c r="BP372" i="1"/>
  <c r="Z374" i="1"/>
  <c r="BN374" i="1"/>
  <c r="Z378" i="1"/>
  <c r="BN378" i="1"/>
  <c r="BP378" i="1"/>
  <c r="Z380" i="1"/>
  <c r="BN380" i="1"/>
  <c r="Y381" i="1"/>
  <c r="Z384" i="1"/>
  <c r="BN384" i="1"/>
  <c r="BP384" i="1"/>
  <c r="Z386" i="1"/>
  <c r="BN386" i="1"/>
  <c r="Y389" i="1"/>
  <c r="Z392" i="1"/>
  <c r="BN392" i="1"/>
  <c r="BP392" i="1"/>
  <c r="Z398" i="1"/>
  <c r="Z400" i="1" s="1"/>
  <c r="BN398" i="1"/>
  <c r="BP398" i="1"/>
  <c r="U551" i="1"/>
  <c r="Z405" i="1"/>
  <c r="Z407" i="1" s="1"/>
  <c r="BN405" i="1"/>
  <c r="BP405" i="1"/>
  <c r="Y408" i="1"/>
  <c r="V551" i="1"/>
  <c r="Y420" i="1"/>
  <c r="Z413" i="1"/>
  <c r="Z420" i="1" s="1"/>
  <c r="BN413" i="1"/>
  <c r="BP419" i="1"/>
  <c r="BN419" i="1"/>
  <c r="Z419" i="1"/>
  <c r="Y421" i="1"/>
  <c r="Z443" i="1"/>
  <c r="Y299" i="1"/>
  <c r="Y322" i="1"/>
  <c r="Y329" i="1"/>
  <c r="Y338" i="1"/>
  <c r="BP415" i="1"/>
  <c r="BN415" i="1"/>
  <c r="BP417" i="1"/>
  <c r="BN417" i="1"/>
  <c r="Z417" i="1"/>
  <c r="Z423" i="1"/>
  <c r="BN423" i="1"/>
  <c r="BP423" i="1"/>
  <c r="Z425" i="1"/>
  <c r="BN425" i="1"/>
  <c r="Y426" i="1"/>
  <c r="Z429" i="1"/>
  <c r="BN429" i="1"/>
  <c r="BP429" i="1"/>
  <c r="Z431" i="1"/>
  <c r="BN431" i="1"/>
  <c r="Y432" i="1"/>
  <c r="Z435" i="1"/>
  <c r="Z437" i="1" s="1"/>
  <c r="BN435" i="1"/>
  <c r="BP435" i="1"/>
  <c r="Y438" i="1"/>
  <c r="Z442" i="1"/>
  <c r="BN442" i="1"/>
  <c r="BP442" i="1"/>
  <c r="Y443" i="1"/>
  <c r="Z446" i="1"/>
  <c r="Z447" i="1" s="1"/>
  <c r="BN446" i="1"/>
  <c r="BP446" i="1"/>
  <c r="Y447" i="1"/>
  <c r="Z450" i="1"/>
  <c r="BN450" i="1"/>
  <c r="BP450" i="1"/>
  <c r="Z452" i="1"/>
  <c r="BN452" i="1"/>
  <c r="Y453" i="1"/>
  <c r="Z458" i="1"/>
  <c r="BN458" i="1"/>
  <c r="BP458" i="1"/>
  <c r="Z460" i="1"/>
  <c r="BN460" i="1"/>
  <c r="Z462" i="1"/>
  <c r="BN462" i="1"/>
  <c r="Y465" i="1"/>
  <c r="Z468" i="1"/>
  <c r="BN468" i="1"/>
  <c r="Y469" i="1"/>
  <c r="Z473" i="1"/>
  <c r="Z474" i="1" s="1"/>
  <c r="BN473" i="1"/>
  <c r="BP473" i="1"/>
  <c r="Y474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Y551" i="1"/>
  <c r="Z459" i="1"/>
  <c r="BN459" i="1"/>
  <c r="Z461" i="1"/>
  <c r="BN461" i="1"/>
  <c r="Z463" i="1"/>
  <c r="BN463" i="1"/>
  <c r="Y464" i="1"/>
  <c r="Z467" i="1"/>
  <c r="Z469" i="1" s="1"/>
  <c r="BN467" i="1"/>
  <c r="BP467" i="1"/>
  <c r="Y480" i="1"/>
  <c r="BP477" i="1"/>
  <c r="BN477" i="1"/>
  <c r="Z477" i="1"/>
  <c r="Z480" i="1" s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Z510" i="1" s="1"/>
  <c r="BP507" i="1"/>
  <c r="BN507" i="1"/>
  <c r="Z507" i="1"/>
  <c r="BP533" i="1"/>
  <c r="BN533" i="1"/>
  <c r="Z533" i="1"/>
  <c r="Z534" i="1" s="1"/>
  <c r="Y535" i="1"/>
  <c r="AB551" i="1"/>
  <c r="Y539" i="1"/>
  <c r="BP538" i="1"/>
  <c r="BN538" i="1"/>
  <c r="Z538" i="1"/>
  <c r="Z539" i="1" s="1"/>
  <c r="Y540" i="1"/>
  <c r="AA551" i="1"/>
  <c r="Y544" i="1" l="1"/>
  <c r="Z282" i="1"/>
  <c r="Z494" i="1"/>
  <c r="Z464" i="1"/>
  <c r="Z453" i="1"/>
  <c r="Z432" i="1"/>
  <c r="Z426" i="1"/>
  <c r="Z388" i="1"/>
  <c r="Z381" i="1"/>
  <c r="Z337" i="1"/>
  <c r="Z328" i="1"/>
  <c r="Z321" i="1"/>
  <c r="Z312" i="1"/>
  <c r="Z298" i="1"/>
  <c r="Z267" i="1"/>
  <c r="Z241" i="1"/>
  <c r="Z235" i="1"/>
  <c r="Z184" i="1"/>
  <c r="Z152" i="1"/>
  <c r="Z124" i="1"/>
  <c r="Z117" i="1"/>
  <c r="Z55" i="1"/>
  <c r="Z46" i="1"/>
  <c r="Z32" i="1"/>
  <c r="Z546" i="1" s="1"/>
  <c r="Y545" i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<sst xmlns="http://schemas.openxmlformats.org/spreadsheetml/2006/main" count="2448" uniqueCount="889">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</sst>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90" t="s">
        <v>0</v>
      </c>
      <c r="E1" s="647"/>
      <c r="F1" s="647"/>
      <c r="G1" s="12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7"/>
      <c r="Q3" s="627"/>
      <c r="R3" s="627"/>
      <c r="S3" s="627"/>
      <c r="T3" s="627"/>
      <c r="U3" s="627"/>
      <c r="V3" s="627"/>
      <c r="W3" s="627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58"/>
      <c r="P5" s="24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1"/>
      <c r="AC5" s="51"/>
      <c r="AD5" s="51"/>
      <c r="AE5" s="51"/>
    </row>
    <row r="6" spans="1:32" s="609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59"/>
      <c r="P6" s="24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60"/>
      <c r="P7" s="24"/>
      <c r="Q7" s="42"/>
      <c r="R7" s="42"/>
      <c r="T7" s="627"/>
      <c r="U7" s="704"/>
      <c r="V7" s="854"/>
      <c r="W7" s="855"/>
      <c r="AB7" s="51"/>
      <c r="AC7" s="51"/>
      <c r="AD7" s="51"/>
      <c r="AE7" s="51"/>
    </row>
    <row r="8" spans="1:32" s="609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61"/>
      <c r="P8" s="24" t="s">
        <v>18</v>
      </c>
      <c r="Q8" s="748">
        <v>0.41666666666666669</v>
      </c>
      <c r="R8" s="674"/>
      <c r="T8" s="627"/>
      <c r="U8" s="704"/>
      <c r="V8" s="854"/>
      <c r="W8" s="855"/>
      <c r="AB8" s="51"/>
      <c r="AC8" s="51"/>
      <c r="AD8" s="51"/>
      <c r="AE8" s="51"/>
    </row>
    <row r="9" spans="1:32" s="609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07"/>
      <c r="P9" s="26" t="s">
        <v>19</v>
      </c>
      <c r="Q9" s="735"/>
      <c r="R9" s="736"/>
      <c r="T9" s="627"/>
      <c r="U9" s="704"/>
      <c r="V9" s="856"/>
      <c r="W9" s="857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08"/>
      <c r="P10" s="26" t="s">
        <v>20</v>
      </c>
      <c r="Q10" s="797"/>
      <c r="R10" s="798"/>
      <c r="U10" s="24" t="s">
        <v>21</v>
      </c>
      <c r="V10" s="664" t="s">
        <v>22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91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28</v>
      </c>
      <c r="Q12" s="748"/>
      <c r="R12" s="674"/>
      <c r="S12" s="23"/>
      <c r="U12" s="24"/>
      <c r="V12" s="647"/>
      <c r="W12" s="627"/>
      <c r="AB12" s="51"/>
      <c r="AC12" s="51"/>
      <c r="AD12" s="51"/>
      <c r="AE12" s="51"/>
    </row>
    <row r="13" spans="1:32" s="609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30</v>
      </c>
      <c r="Q13" s="891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769" t="s">
        <v>33</v>
      </c>
      <c r="Q15" s="647"/>
      <c r="R15" s="647"/>
      <c r="S15" s="647"/>
      <c r="T15" s="64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67" t="s">
        <v>59</v>
      </c>
      <c r="V18" s="67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66"/>
      <c r="BD18" s="65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48"/>
      <c r="AB19" s="48"/>
      <c r="AC19" s="48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10"/>
      <c r="AB20" s="610"/>
      <c r="AC20" s="610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48"/>
      <c r="AB38" s="48"/>
      <c r="AC38" s="48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10"/>
      <c r="AB39" s="610"/>
      <c r="AC39" s="610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48"/>
      <c r="AB48" s="48"/>
      <c r="AC48" s="48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10"/>
      <c r="AB49" s="610"/>
      <c r="AC49" s="610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4"/>
      <c r="V51" s="34"/>
      <c r="W51" s="35" t="s">
        <v>67</v>
      </c>
      <c r="X51" s="615">
        <v>25</v>
      </c>
      <c r="Y51" s="616">
        <f>IFERROR(IF(X51="",0,CEILING((X51/$H51),1)*$H51),"")</f>
        <v>32.400000000000006</v>
      </c>
      <c r="Z51" s="36">
        <f>IFERROR(IF(Y51=0,"",ROUNDUP(Y51/H51,0)*0.01898),"")</f>
        <v>5.6940000000000004E-2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25.949074074074073</v>
      </c>
      <c r="BN51" s="64">
        <f>IFERROR(Y51*I51/H51,"0")</f>
        <v>33.630000000000003</v>
      </c>
      <c r="BO51" s="64">
        <f>IFERROR(1/J51*(X51/H51),"0")</f>
        <v>3.6168981481481483E-2</v>
      </c>
      <c r="BP51" s="64">
        <f>IFERROR(1/J51*(Y51/H51),"0")</f>
        <v>4.6875000000000007E-2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5">
        <v>27</v>
      </c>
      <c r="Y54" s="616">
        <f>IFERROR(IF(X54="",0,CEILING((X54/$H54),1)*$H54),"")</f>
        <v>29.6</v>
      </c>
      <c r="Z54" s="36">
        <f>IFERROR(IF(Y54=0,"",ROUNDUP(Y54/H54,0)*0.00902),"")</f>
        <v>7.2160000000000002E-2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28.386486486486486</v>
      </c>
      <c r="BN54" s="64">
        <f>IFERROR(Y54*I54/H54,"0")</f>
        <v>31.12</v>
      </c>
      <c r="BO54" s="64">
        <f>IFERROR(1/J54*(X54/H54),"0")</f>
        <v>5.5282555282555282E-2</v>
      </c>
      <c r="BP54" s="64">
        <f>IFERROR(1/J54*(Y54/H54),"0")</f>
        <v>6.0606060606060608E-2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37" t="s">
        <v>73</v>
      </c>
      <c r="X55" s="617">
        <f>IFERROR(X51/H51,"0")+IFERROR(X52/H52,"0")+IFERROR(X53/H53,"0")+IFERROR(X54/H54,"0")</f>
        <v>9.6121121121121114</v>
      </c>
      <c r="Y55" s="617">
        <f>IFERROR(Y51/H51,"0")+IFERROR(Y52/H52,"0")+IFERROR(Y53/H53,"0")+IFERROR(Y54/H54,"0")</f>
        <v>11</v>
      </c>
      <c r="Z55" s="617">
        <f>IFERROR(IF(Z51="",0,Z51),"0")+IFERROR(IF(Z52="",0,Z52),"0")+IFERROR(IF(Z53="",0,Z53),"0")+IFERROR(IF(Z54="",0,Z54),"0")</f>
        <v>0.12909999999999999</v>
      </c>
      <c r="AA55" s="618"/>
      <c r="AB55" s="618"/>
      <c r="AC55" s="618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37" t="s">
        <v>67</v>
      </c>
      <c r="X56" s="617">
        <f>IFERROR(SUM(X51:X54),"0")</f>
        <v>52</v>
      </c>
      <c r="Y56" s="617">
        <f>IFERROR(SUM(Y51:Y54),"0")</f>
        <v>62.000000000000007</v>
      </c>
      <c r="Z56" s="37"/>
      <c r="AA56" s="618"/>
      <c r="AB56" s="618"/>
      <c r="AC56" s="618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10"/>
      <c r="AB57" s="610"/>
      <c r="AC57" s="610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5">
        <v>5</v>
      </c>
      <c r="Y59" s="616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5.1830357142857144</v>
      </c>
      <c r="BN59" s="64">
        <f t="shared" ref="BN59:BN66" si="2">IFERROR(Y59*I59/H59,"0")</f>
        <v>11.61</v>
      </c>
      <c r="BO59" s="64">
        <f t="shared" ref="BO59:BO66" si="3">IFERROR(1/J59*(X59/H59),"0")</f>
        <v>6.9754464285714289E-3</v>
      </c>
      <c r="BP59" s="64">
        <f t="shared" ref="BP59:BP66" si="4">IFERROR(1/J59*(Y59/H59),"0")</f>
        <v>1.5625E-2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5">
        <v>42</v>
      </c>
      <c r="Y66" s="616">
        <f t="shared" si="0"/>
        <v>45</v>
      </c>
      <c r="Z66" s="36">
        <f>IFERROR(IF(Y66=0,"",ROUNDUP(Y66/H66,0)*0.00902),"")</f>
        <v>9.0200000000000002E-2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43.773333333333341</v>
      </c>
      <c r="BN66" s="64">
        <f t="shared" si="2"/>
        <v>46.900000000000006</v>
      </c>
      <c r="BO66" s="64">
        <f t="shared" si="3"/>
        <v>7.0707070707070718E-2</v>
      </c>
      <c r="BP66" s="64">
        <f t="shared" si="4"/>
        <v>7.575757575757576E-2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9.7797619047619051</v>
      </c>
      <c r="Y67" s="617">
        <f>IFERROR(Y59/H59,"0")+IFERROR(Y60/H60,"0")+IFERROR(Y61/H61,"0")+IFERROR(Y62/H62,"0")+IFERROR(Y63/H63,"0")+IFERROR(Y64/H64,"0")+IFERROR(Y65/H65,"0")+IFERROR(Y66/H66,"0")</f>
        <v>11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0.10918</v>
      </c>
      <c r="AA67" s="618"/>
      <c r="AB67" s="618"/>
      <c r="AC67" s="618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37" t="s">
        <v>67</v>
      </c>
      <c r="X68" s="617">
        <f>IFERROR(SUM(X59:X66),"0")</f>
        <v>47</v>
      </c>
      <c r="Y68" s="617">
        <f>IFERROR(SUM(Y59:Y66),"0")</f>
        <v>56.2</v>
      </c>
      <c r="Z68" s="37"/>
      <c r="AA68" s="618"/>
      <c r="AB68" s="618"/>
      <c r="AC68" s="618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4"/>
      <c r="V82" s="34"/>
      <c r="W82" s="35" t="s">
        <v>67</v>
      </c>
      <c r="X82" s="615">
        <v>189</v>
      </c>
      <c r="Y82" s="616">
        <f>IFERROR(IF(X82="",0,CEILING((X82/$H82),1)*$H82),"")</f>
        <v>195</v>
      </c>
      <c r="Z82" s="36">
        <f>IFERROR(IF(Y82=0,"",ROUNDUP(Y82/H82,0)*0.01898),"")</f>
        <v>0.47450000000000003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198.9346153846154</v>
      </c>
      <c r="BN82" s="64">
        <f>IFERROR(Y82*I82/H82,"0")</f>
        <v>205.25000000000003</v>
      </c>
      <c r="BO82" s="64">
        <f>IFERROR(1/J82*(X82/H82),"0")</f>
        <v>0.37860576923076922</v>
      </c>
      <c r="BP82" s="64">
        <f>IFERROR(1/J82*(Y82/H82),"0")</f>
        <v>0.390625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37" t="s">
        <v>73</v>
      </c>
      <c r="X84" s="617">
        <f>IFERROR(X82/H82,"0")+IFERROR(X83/H83,"0")</f>
        <v>24.23076923076923</v>
      </c>
      <c r="Y84" s="617">
        <f>IFERROR(Y82/H82,"0")+IFERROR(Y83/H83,"0")</f>
        <v>25</v>
      </c>
      <c r="Z84" s="617">
        <f>IFERROR(IF(Z82="",0,Z82),"0")+IFERROR(IF(Z83="",0,Z83),"0")</f>
        <v>0.47450000000000003</v>
      </c>
      <c r="AA84" s="618"/>
      <c r="AB84" s="618"/>
      <c r="AC84" s="618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37" t="s">
        <v>67</v>
      </c>
      <c r="X85" s="617">
        <f>IFERROR(SUM(X82:X83),"0")</f>
        <v>189</v>
      </c>
      <c r="Y85" s="617">
        <f>IFERROR(SUM(Y82:Y83),"0")</f>
        <v>195</v>
      </c>
      <c r="Z85" s="37"/>
      <c r="AA85" s="618"/>
      <c r="AB85" s="618"/>
      <c r="AC85" s="618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10"/>
      <c r="AB86" s="610"/>
      <c r="AC86" s="610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37" t="s">
        <v>73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37" t="s">
        <v>67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5">
        <v>292</v>
      </c>
      <c r="Y95" s="616">
        <f>IFERROR(IF(X95="",0,CEILING((X95/$H95),1)*$H95),"")</f>
        <v>299.7</v>
      </c>
      <c r="Z95" s="36">
        <f>IFERROR(IF(Y95=0,"",ROUNDUP(Y95/H95,0)*0.01898),"")</f>
        <v>0.70226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309.80839506172839</v>
      </c>
      <c r="BN95" s="64">
        <f>IFERROR(Y95*I95/H95,"0")</f>
        <v>317.97800000000001</v>
      </c>
      <c r="BO95" s="64">
        <f>IFERROR(1/J95*(X95/H95),"0")</f>
        <v>0.56327160493827166</v>
      </c>
      <c r="BP95" s="64">
        <f>IFERROR(1/J95*(Y95/H95),"0")</f>
        <v>0.578125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4"/>
      <c r="V97" s="34"/>
      <c r="W97" s="35" t="s">
        <v>67</v>
      </c>
      <c r="X97" s="615">
        <v>62</v>
      </c>
      <c r="Y97" s="616">
        <f>IFERROR(IF(X97="",0,CEILING((X97/$H97),1)*$H97),"")</f>
        <v>62.1</v>
      </c>
      <c r="Z97" s="36">
        <f>IFERROR(IF(Y97=0,"",ROUNDUP(Y97/H97,0)*0.00651),"")</f>
        <v>0.14973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67.786666666666662</v>
      </c>
      <c r="BN97" s="64">
        <f>IFERROR(Y97*I97/H97,"0")</f>
        <v>67.896000000000001</v>
      </c>
      <c r="BO97" s="64">
        <f>IFERROR(1/J97*(X97/H97),"0")</f>
        <v>0.12617012617012618</v>
      </c>
      <c r="BP97" s="64">
        <f>IFERROR(1/J97*(Y97/H97),"0")</f>
        <v>0.1263736263736264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37" t="s">
        <v>73</v>
      </c>
      <c r="X99" s="617">
        <f>IFERROR(X95/H95,"0")+IFERROR(X96/H96,"0")+IFERROR(X97/H97,"0")+IFERROR(X98/H98,"0")</f>
        <v>59.012345679012348</v>
      </c>
      <c r="Y99" s="617">
        <f>IFERROR(Y95/H95,"0")+IFERROR(Y96/H96,"0")+IFERROR(Y97/H97,"0")+IFERROR(Y98/H98,"0")</f>
        <v>60</v>
      </c>
      <c r="Z99" s="617">
        <f>IFERROR(IF(Z95="",0,Z95),"0")+IFERROR(IF(Z96="",0,Z96),"0")+IFERROR(IF(Z97="",0,Z97),"0")+IFERROR(IF(Z98="",0,Z98),"0")</f>
        <v>0.85199000000000003</v>
      </c>
      <c r="AA99" s="618"/>
      <c r="AB99" s="618"/>
      <c r="AC99" s="618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37" t="s">
        <v>67</v>
      </c>
      <c r="X100" s="617">
        <f>IFERROR(SUM(X95:X98),"0")</f>
        <v>354</v>
      </c>
      <c r="Y100" s="617">
        <f>IFERROR(SUM(Y95:Y98),"0")</f>
        <v>361.8</v>
      </c>
      <c r="Z100" s="37"/>
      <c r="AA100" s="618"/>
      <c r="AB100" s="618"/>
      <c r="AC100" s="618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10"/>
      <c r="AB101" s="610"/>
      <c r="AC101" s="610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4"/>
      <c r="V107" s="34"/>
      <c r="W107" s="35" t="s">
        <v>67</v>
      </c>
      <c r="X107" s="615">
        <v>46</v>
      </c>
      <c r="Y107" s="616">
        <f t="shared" si="5"/>
        <v>49.5</v>
      </c>
      <c r="Z107" s="36">
        <f>IFERROR(IF(Y107=0,"",ROUNDUP(Y107/H107,0)*0.00902),"")</f>
        <v>9.9220000000000003E-2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47.942222222222227</v>
      </c>
      <c r="BN107" s="64">
        <f t="shared" si="7"/>
        <v>51.59</v>
      </c>
      <c r="BO107" s="64">
        <f t="shared" si="8"/>
        <v>7.7441077441077436E-2</v>
      </c>
      <c r="BP107" s="64">
        <f t="shared" si="9"/>
        <v>8.3333333333333343E-2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37" t="s">
        <v>73</v>
      </c>
      <c r="X109" s="617">
        <f>IFERROR(X103/H103,"0")+IFERROR(X104/H104,"0")+IFERROR(X105/H105,"0")+IFERROR(X106/H106,"0")+IFERROR(X107/H107,"0")+IFERROR(X108/H108,"0")</f>
        <v>10.222222222222221</v>
      </c>
      <c r="Y109" s="617">
        <f>IFERROR(Y103/H103,"0")+IFERROR(Y104/H104,"0")+IFERROR(Y105/H105,"0")+IFERROR(Y106/H106,"0")+IFERROR(Y107/H107,"0")+IFERROR(Y108/H108,"0")</f>
        <v>11</v>
      </c>
      <c r="Z109" s="617">
        <f>IFERROR(IF(Z103="",0,Z103),"0")+IFERROR(IF(Z104="",0,Z104),"0")+IFERROR(IF(Z105="",0,Z105),"0")+IFERROR(IF(Z106="",0,Z106),"0")+IFERROR(IF(Z107="",0,Z107),"0")+IFERROR(IF(Z108="",0,Z108),"0")</f>
        <v>9.9220000000000003E-2</v>
      </c>
      <c r="AA109" s="618"/>
      <c r="AB109" s="618"/>
      <c r="AC109" s="618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37" t="s">
        <v>67</v>
      </c>
      <c r="X110" s="617">
        <f>IFERROR(SUM(X103:X108),"0")</f>
        <v>46</v>
      </c>
      <c r="Y110" s="617">
        <f>IFERROR(SUM(Y103:Y108),"0")</f>
        <v>49.5</v>
      </c>
      <c r="Z110" s="37"/>
      <c r="AA110" s="618"/>
      <c r="AB110" s="618"/>
      <c r="AC110" s="618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4"/>
      <c r="V112" s="34"/>
      <c r="W112" s="35" t="s">
        <v>67</v>
      </c>
      <c r="X112" s="615">
        <v>4</v>
      </c>
      <c r="Y112" s="616">
        <f>IFERROR(IF(X112="",0,CEILING((X112/$H112),1)*$H112),"")</f>
        <v>10.8</v>
      </c>
      <c r="Z112" s="36">
        <f>IFERROR(IF(Y112=0,"",ROUNDUP(Y112/H112,0)*0.01898),"")</f>
        <v>1.898E-2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4.1518518518518519</v>
      </c>
      <c r="BN112" s="64">
        <f>IFERROR(Y112*I112/H112,"0")</f>
        <v>11.21</v>
      </c>
      <c r="BO112" s="64">
        <f>IFERROR(1/J112*(X112/H112),"0")</f>
        <v>5.7870370370370367E-3</v>
      </c>
      <c r="BP112" s="64">
        <f>IFERROR(1/J112*(Y112/H112),"0")</f>
        <v>1.5625E-2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4"/>
      <c r="V116" s="34"/>
      <c r="W116" s="35" t="s">
        <v>67</v>
      </c>
      <c r="X116" s="615">
        <v>39</v>
      </c>
      <c r="Y116" s="616">
        <f>IFERROR(IF(X116="",0,CEILING((X116/$H116),1)*$H116),"")</f>
        <v>40.799999999999997</v>
      </c>
      <c r="Z116" s="36">
        <f>IFERROR(IF(Y116=0,"",ROUNDUP(Y116/H116,0)*0.00651),"")</f>
        <v>0.11067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41.925000000000004</v>
      </c>
      <c r="BN116" s="64">
        <f>IFERROR(Y116*I116/H116,"0")</f>
        <v>43.86</v>
      </c>
      <c r="BO116" s="64">
        <f>IFERROR(1/J116*(X116/H116),"0")</f>
        <v>8.9285714285714288E-2</v>
      </c>
      <c r="BP116" s="64">
        <f>IFERROR(1/J116*(Y116/H116),"0")</f>
        <v>9.3406593406593408E-2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37" t="s">
        <v>73</v>
      </c>
      <c r="X117" s="617">
        <f>IFERROR(X112/H112,"0")+IFERROR(X113/H113,"0")+IFERROR(X114/H114,"0")+IFERROR(X115/H115,"0")+IFERROR(X116/H116,"0")</f>
        <v>16.62037037037037</v>
      </c>
      <c r="Y117" s="617">
        <f>IFERROR(Y112/H112,"0")+IFERROR(Y113/H113,"0")+IFERROR(Y114/H114,"0")+IFERROR(Y115/H115,"0")+IFERROR(Y116/H116,"0")</f>
        <v>18</v>
      </c>
      <c r="Z117" s="617">
        <f>IFERROR(IF(Z112="",0,Z112),"0")+IFERROR(IF(Z113="",0,Z113),"0")+IFERROR(IF(Z114="",0,Z114),"0")+IFERROR(IF(Z115="",0,Z115),"0")+IFERROR(IF(Z116="",0,Z116),"0")</f>
        <v>0.12965000000000002</v>
      </c>
      <c r="AA117" s="618"/>
      <c r="AB117" s="618"/>
      <c r="AC117" s="618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37" t="s">
        <v>67</v>
      </c>
      <c r="X118" s="617">
        <f>IFERROR(SUM(X112:X116),"0")</f>
        <v>43</v>
      </c>
      <c r="Y118" s="617">
        <f>IFERROR(SUM(Y112:Y116),"0")</f>
        <v>51.599999999999994</v>
      </c>
      <c r="Z118" s="37"/>
      <c r="AA118" s="618"/>
      <c r="AB118" s="618"/>
      <c r="AC118" s="618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5">
        <v>394</v>
      </c>
      <c r="Y120" s="616">
        <f>IFERROR(IF(X120="",0,CEILING((X120/$H120),1)*$H120),"")</f>
        <v>396.9</v>
      </c>
      <c r="Z120" s="36">
        <f>IFERROR(IF(Y120=0,"",ROUNDUP(Y120/H120,0)*0.01898),"")</f>
        <v>0.93002000000000007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417.73728395061727</v>
      </c>
      <c r="BN120" s="64">
        <f>IFERROR(Y120*I120/H120,"0")</f>
        <v>420.81199999999995</v>
      </c>
      <c r="BO120" s="64">
        <f>IFERROR(1/J120*(X120/H120),"0")</f>
        <v>0.76003086419753085</v>
      </c>
      <c r="BP120" s="64">
        <f>IFERROR(1/J120*(Y120/H120),"0")</f>
        <v>0.765625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5">
        <v>64</v>
      </c>
      <c r="Y122" s="616">
        <f>IFERROR(IF(X122="",0,CEILING((X122/$H122),1)*$H122),"")</f>
        <v>64.800000000000011</v>
      </c>
      <c r="Z122" s="36">
        <f>IFERROR(IF(Y122=0,"",ROUNDUP(Y122/H122,0)*0.00651),"")</f>
        <v>0.15623999999999999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69.973333333333329</v>
      </c>
      <c r="BN122" s="64">
        <f>IFERROR(Y122*I122/H122,"0")</f>
        <v>70.848000000000013</v>
      </c>
      <c r="BO122" s="64">
        <f>IFERROR(1/J122*(X122/H122),"0")</f>
        <v>0.13024013024013023</v>
      </c>
      <c r="BP122" s="64">
        <f>IFERROR(1/J122*(Y122/H122),"0")</f>
        <v>0.1318681318681319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37" t="s">
        <v>73</v>
      </c>
      <c r="X124" s="617">
        <f>IFERROR(X120/H120,"0")+IFERROR(X121/H121,"0")+IFERROR(X122/H122,"0")+IFERROR(X123/H123,"0")</f>
        <v>72.34567901234567</v>
      </c>
      <c r="Y124" s="617">
        <f>IFERROR(Y120/H120,"0")+IFERROR(Y121/H121,"0")+IFERROR(Y122/H122,"0")+IFERROR(Y123/H123,"0")</f>
        <v>73</v>
      </c>
      <c r="Z124" s="617">
        <f>IFERROR(IF(Z120="",0,Z120),"0")+IFERROR(IF(Z121="",0,Z121),"0")+IFERROR(IF(Z122="",0,Z122),"0")+IFERROR(IF(Z123="",0,Z123),"0")</f>
        <v>1.08626</v>
      </c>
      <c r="AA124" s="618"/>
      <c r="AB124" s="618"/>
      <c r="AC124" s="618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37" t="s">
        <v>67</v>
      </c>
      <c r="X125" s="617">
        <f>IFERROR(SUM(X120:X123),"0")</f>
        <v>458</v>
      </c>
      <c r="Y125" s="617">
        <f>IFERROR(SUM(Y120:Y123),"0")</f>
        <v>461.7</v>
      </c>
      <c r="Z125" s="37"/>
      <c r="AA125" s="618"/>
      <c r="AB125" s="618"/>
      <c r="AC125" s="618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4"/>
      <c r="V127" s="34"/>
      <c r="W127" s="35" t="s">
        <v>67</v>
      </c>
      <c r="X127" s="615">
        <v>13</v>
      </c>
      <c r="Y127" s="616">
        <f>IFERROR(IF(X127="",0,CEILING((X127/$H127),1)*$H127),"")</f>
        <v>13.86</v>
      </c>
      <c r="Z127" s="36">
        <f>IFERROR(IF(Y127=0,"",ROUNDUP(Y127/H127,0)*0.00651),"")</f>
        <v>4.5569999999999999E-2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14.693939393939395</v>
      </c>
      <c r="BN127" s="64">
        <f>IFERROR(Y127*I127/H127,"0")</f>
        <v>15.666</v>
      </c>
      <c r="BO127" s="64">
        <f>IFERROR(1/J127*(X127/H127),"0")</f>
        <v>3.6075036075036079E-2</v>
      </c>
      <c r="BP127" s="64">
        <f>IFERROR(1/J127*(Y127/H127),"0")</f>
        <v>3.8461538461538464E-2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37" t="s">
        <v>73</v>
      </c>
      <c r="X128" s="617">
        <f>IFERROR(X127/H127,"0")</f>
        <v>6.5656565656565657</v>
      </c>
      <c r="Y128" s="617">
        <f>IFERROR(Y127/H127,"0")</f>
        <v>7</v>
      </c>
      <c r="Z128" s="617">
        <f>IFERROR(IF(Z127="",0,Z127),"0")</f>
        <v>4.5569999999999999E-2</v>
      </c>
      <c r="AA128" s="618"/>
      <c r="AB128" s="618"/>
      <c r="AC128" s="618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37" t="s">
        <v>67</v>
      </c>
      <c r="X129" s="617">
        <f>IFERROR(SUM(X127:X127),"0")</f>
        <v>13</v>
      </c>
      <c r="Y129" s="617">
        <f>IFERROR(SUM(Y127:Y127),"0")</f>
        <v>13.86</v>
      </c>
      <c r="Z129" s="37"/>
      <c r="AA129" s="618"/>
      <c r="AB129" s="618"/>
      <c r="AC129" s="618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10"/>
      <c r="AB130" s="610"/>
      <c r="AC130" s="610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4"/>
      <c r="V132" s="34"/>
      <c r="W132" s="35" t="s">
        <v>67</v>
      </c>
      <c r="X132" s="615">
        <v>8</v>
      </c>
      <c r="Y132" s="616">
        <f>IFERROR(IF(X132="",0,CEILING((X132/$H132),1)*$H132),"")</f>
        <v>9.6000000000000014</v>
      </c>
      <c r="Z132" s="36">
        <f>IFERROR(IF(Y132=0,"",ROUNDUP(Y132/H132,0)*0.00651),"")</f>
        <v>1.9529999999999999E-2</v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8.4499999999999993</v>
      </c>
      <c r="BN132" s="64">
        <f>IFERROR(Y132*I132/H132,"0")</f>
        <v>10.139999999999999</v>
      </c>
      <c r="BO132" s="64">
        <f>IFERROR(1/J132*(X132/H132),"0")</f>
        <v>1.3736263736263738E-2</v>
      </c>
      <c r="BP132" s="64">
        <f>IFERROR(1/J132*(Y132/H132),"0")</f>
        <v>1.6483516483516487E-2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37" t="s">
        <v>73</v>
      </c>
      <c r="X134" s="617">
        <f>IFERROR(X132/H132,"0")+IFERROR(X133/H133,"0")</f>
        <v>2.5</v>
      </c>
      <c r="Y134" s="617">
        <f>IFERROR(Y132/H132,"0")+IFERROR(Y133/H133,"0")</f>
        <v>3.0000000000000004</v>
      </c>
      <c r="Z134" s="617">
        <f>IFERROR(IF(Z132="",0,Z132),"0")+IFERROR(IF(Z133="",0,Z133),"0")</f>
        <v>1.9529999999999999E-2</v>
      </c>
      <c r="AA134" s="618"/>
      <c r="AB134" s="618"/>
      <c r="AC134" s="618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37" t="s">
        <v>67</v>
      </c>
      <c r="X135" s="617">
        <f>IFERROR(SUM(X132:X133),"0")</f>
        <v>8</v>
      </c>
      <c r="Y135" s="617">
        <f>IFERROR(SUM(Y132:Y133),"0")</f>
        <v>9.6000000000000014</v>
      </c>
      <c r="Z135" s="37"/>
      <c r="AA135" s="618"/>
      <c r="AB135" s="618"/>
      <c r="AC135" s="618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4"/>
      <c r="V142" s="34"/>
      <c r="W142" s="35" t="s">
        <v>67</v>
      </c>
      <c r="X142" s="615">
        <v>40</v>
      </c>
      <c r="Y142" s="616">
        <f>IFERROR(IF(X142="",0,CEILING((X142/$H142),1)*$H142),"")</f>
        <v>42.24</v>
      </c>
      <c r="Z142" s="36">
        <f>IFERROR(IF(Y142=0,"",ROUNDUP(Y142/H142,0)*0.00651),"")</f>
        <v>0.10416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44.060606060606055</v>
      </c>
      <c r="BN142" s="64">
        <f>IFERROR(Y142*I142/H142,"0")</f>
        <v>46.527999999999999</v>
      </c>
      <c r="BO142" s="64">
        <f>IFERROR(1/J142*(X142/H142),"0")</f>
        <v>8.3250083250083248E-2</v>
      </c>
      <c r="BP142" s="64">
        <f>IFERROR(1/J142*(Y142/H142),"0")</f>
        <v>8.7912087912087919E-2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37" t="s">
        <v>73</v>
      </c>
      <c r="X144" s="617">
        <f>IFERROR(X142/H142,"0")+IFERROR(X143/H143,"0")</f>
        <v>15.15151515151515</v>
      </c>
      <c r="Y144" s="617">
        <f>IFERROR(Y142/H142,"0")+IFERROR(Y143/H143,"0")</f>
        <v>16</v>
      </c>
      <c r="Z144" s="617">
        <f>IFERROR(IF(Z142="",0,Z142),"0")+IFERROR(IF(Z143="",0,Z143),"0")</f>
        <v>0.10416</v>
      </c>
      <c r="AA144" s="618"/>
      <c r="AB144" s="618"/>
      <c r="AC144" s="618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37" t="s">
        <v>67</v>
      </c>
      <c r="X145" s="617">
        <f>IFERROR(SUM(X142:X143),"0")</f>
        <v>40</v>
      </c>
      <c r="Y145" s="617">
        <f>IFERROR(SUM(Y142:Y143),"0")</f>
        <v>42.24</v>
      </c>
      <c r="Z145" s="37"/>
      <c r="AA145" s="618"/>
      <c r="AB145" s="618"/>
      <c r="AC145" s="618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10"/>
      <c r="AB146" s="610"/>
      <c r="AC146" s="610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10"/>
      <c r="AB154" s="610"/>
      <c r="AC154" s="610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5">
        <v>154</v>
      </c>
      <c r="Y166" s="616">
        <f t="shared" ref="Y166:Y177" si="10">IFERROR(IF(X166="",0,CEILING((X166/$H166),1)*$H166),"")</f>
        <v>154</v>
      </c>
      <c r="Z166" s="36">
        <f>IFERROR(IF(Y166=0,"",ROUNDUP(Y166/H166,0)*0.00902),"")</f>
        <v>0.39688000000000001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162.35999999999999</v>
      </c>
      <c r="BN166" s="64">
        <f t="shared" ref="BN166:BN177" si="12">IFERROR(Y166*I166/H166,"0")</f>
        <v>162.35999999999999</v>
      </c>
      <c r="BO166" s="64">
        <f t="shared" ref="BO166:BO177" si="13">IFERROR(1/J166*(X166/H166),"0")</f>
        <v>0.33333333333333337</v>
      </c>
      <c r="BP166" s="64">
        <f t="shared" ref="BP166:BP177" si="14">IFERROR(1/J166*(Y166/H166),"0")</f>
        <v>0.33333333333333337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4"/>
      <c r="V169" s="34"/>
      <c r="W169" s="35" t="s">
        <v>67</v>
      </c>
      <c r="X169" s="615">
        <v>72</v>
      </c>
      <c r="Y169" s="616">
        <f t="shared" si="10"/>
        <v>73.5</v>
      </c>
      <c r="Z169" s="36">
        <f>IFERROR(IF(Y169=0,"",ROUNDUP(Y169/H169,0)*0.00902),"")</f>
        <v>0.18942000000000001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75.908571428571435</v>
      </c>
      <c r="BN169" s="64">
        <f t="shared" si="12"/>
        <v>77.489999999999995</v>
      </c>
      <c r="BO169" s="64">
        <f t="shared" si="13"/>
        <v>0.15584415584415587</v>
      </c>
      <c r="BP169" s="64">
        <f t="shared" si="14"/>
        <v>0.15909090909090909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4"/>
      <c r="V170" s="34"/>
      <c r="W170" s="35" t="s">
        <v>67</v>
      </c>
      <c r="X170" s="615">
        <v>182</v>
      </c>
      <c r="Y170" s="616">
        <f t="shared" si="10"/>
        <v>182</v>
      </c>
      <c r="Z170" s="36">
        <f>IFERROR(IF(Y170=0,"",ROUNDUP(Y170/H170,0)*0.00902),"")</f>
        <v>0.46904000000000001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191.88000000000002</v>
      </c>
      <c r="BN170" s="64">
        <f t="shared" si="12"/>
        <v>191.88000000000002</v>
      </c>
      <c r="BO170" s="64">
        <f t="shared" si="13"/>
        <v>0.39393939393939392</v>
      </c>
      <c r="BP170" s="64">
        <f t="shared" si="14"/>
        <v>0.39393939393939392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5">
        <v>33</v>
      </c>
      <c r="Y175" s="616">
        <f t="shared" si="10"/>
        <v>33.6</v>
      </c>
      <c r="Z175" s="36">
        <f>IFERROR(IF(Y175=0,"",ROUNDUP(Y175/H175,0)*0.00502),"")</f>
        <v>0.1004</v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34.964285714285715</v>
      </c>
      <c r="BN175" s="64">
        <f t="shared" si="12"/>
        <v>35.600000000000009</v>
      </c>
      <c r="BO175" s="64">
        <f t="shared" si="13"/>
        <v>8.3943833943833951E-2</v>
      </c>
      <c r="BP175" s="64">
        <f t="shared" si="14"/>
        <v>8.5470085470085472E-2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5">
        <v>46</v>
      </c>
      <c r="Y177" s="616">
        <f t="shared" si="10"/>
        <v>47.04</v>
      </c>
      <c r="Z177" s="36">
        <f>IFERROR(IF(Y177=0,"",ROUNDUP(Y177/H177,0)*0.00502),"")</f>
        <v>0.14056000000000002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48.738095238095234</v>
      </c>
      <c r="BN177" s="64">
        <f t="shared" si="12"/>
        <v>49.84</v>
      </c>
      <c r="BO177" s="64">
        <f t="shared" si="13"/>
        <v>0.11701261701261703</v>
      </c>
      <c r="BP177" s="64">
        <f t="shared" si="14"/>
        <v>0.11965811965811968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163.5952380952381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165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1.2963000000000002</v>
      </c>
      <c r="AA178" s="618"/>
      <c r="AB178" s="618"/>
      <c r="AC178" s="618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37" t="s">
        <v>67</v>
      </c>
      <c r="X179" s="617">
        <f>IFERROR(SUM(X166:X177),"0")</f>
        <v>487</v>
      </c>
      <c r="Y179" s="617">
        <f>IFERROR(SUM(Y166:Y177),"0")</f>
        <v>490.14000000000004</v>
      </c>
      <c r="Z179" s="37"/>
      <c r="AA179" s="618"/>
      <c r="AB179" s="618"/>
      <c r="AC179" s="618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48"/>
      <c r="AB195" s="48"/>
      <c r="AC195" s="48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10"/>
      <c r="AB196" s="610"/>
      <c r="AC196" s="610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10"/>
      <c r="AB207" s="610"/>
      <c r="AC207" s="610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4"/>
      <c r="V213" s="34"/>
      <c r="W213" s="35" t="s">
        <v>67</v>
      </c>
      <c r="X213" s="615">
        <v>60</v>
      </c>
      <c r="Y213" s="616">
        <f t="shared" ref="Y213:Y226" si="21">IFERROR(IF(X213="",0,CEILING((X213/$H213),1)*$H213),"")</f>
        <v>63</v>
      </c>
      <c r="Z213" s="36">
        <f>IFERROR(IF(Y213=0,"",ROUNDUP(Y213/H213,0)*0.00902),"")</f>
        <v>0.1353</v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63.571428571428569</v>
      </c>
      <c r="BN213" s="64">
        <f t="shared" ref="BN213:BN226" si="23">IFERROR(Y213*I213/H213,"0")</f>
        <v>66.75</v>
      </c>
      <c r="BO213" s="64">
        <f t="shared" ref="BO213:BO226" si="24">IFERROR(1/J213*(X213/H213),"0")</f>
        <v>0.10822510822510822</v>
      </c>
      <c r="BP213" s="64">
        <f t="shared" ref="BP213:BP226" si="25">IFERROR(1/J213*(Y213/H213),"0")</f>
        <v>0.11363636363636365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5">
        <v>70</v>
      </c>
      <c r="Y215" s="616">
        <f t="shared" si="21"/>
        <v>71.400000000000006</v>
      </c>
      <c r="Z215" s="36">
        <f>IFERROR(IF(Y215=0,"",ROUNDUP(Y215/H215,0)*0.00902),"")</f>
        <v>0.15334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73.166666666666657</v>
      </c>
      <c r="BN215" s="64">
        <f t="shared" si="23"/>
        <v>74.63000000000001</v>
      </c>
      <c r="BO215" s="64">
        <f t="shared" si="24"/>
        <v>0.12626262626262624</v>
      </c>
      <c r="BP215" s="64">
        <f t="shared" si="25"/>
        <v>0.12878787878787878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4"/>
      <c r="V216" s="34"/>
      <c r="W216" s="35" t="s">
        <v>67</v>
      </c>
      <c r="X216" s="615">
        <v>1</v>
      </c>
      <c r="Y216" s="616">
        <f t="shared" si="21"/>
        <v>1.6</v>
      </c>
      <c r="Z216" s="36">
        <f>IFERROR(IF(Y216=0,"",ROUNDUP(Y216/H216,0)*0.00556),"")</f>
        <v>1.112E-2</v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1.1625000000000001</v>
      </c>
      <c r="BN216" s="64">
        <f t="shared" si="23"/>
        <v>1.86</v>
      </c>
      <c r="BO216" s="64">
        <f t="shared" si="24"/>
        <v>4.96031746031746E-3</v>
      </c>
      <c r="BP216" s="64">
        <f t="shared" si="25"/>
        <v>7.9365079365079361E-3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4"/>
      <c r="V217" s="34"/>
      <c r="W217" s="35" t="s">
        <v>67</v>
      </c>
      <c r="X217" s="615">
        <v>59</v>
      </c>
      <c r="Y217" s="616">
        <f t="shared" si="21"/>
        <v>60.900000000000006</v>
      </c>
      <c r="Z217" s="36">
        <f t="shared" ref="Z217:Z222" si="26">IFERROR(IF(Y217=0,"",ROUNDUP(Y217/H217,0)*0.00502),"")</f>
        <v>0.14558000000000001</v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62.652380952380945</v>
      </c>
      <c r="BN217" s="64">
        <f t="shared" si="23"/>
        <v>64.67</v>
      </c>
      <c r="BO217" s="64">
        <f t="shared" si="24"/>
        <v>0.12006512006512007</v>
      </c>
      <c r="BP217" s="64">
        <f t="shared" si="25"/>
        <v>0.12393162393162395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5">
        <v>9</v>
      </c>
      <c r="Y223" s="616">
        <f t="shared" si="21"/>
        <v>9.6000000000000014</v>
      </c>
      <c r="Z223" s="36">
        <f>IFERROR(IF(Y223=0,"",ROUNDUP(Y223/H223,0)*0.00417),"")</f>
        <v>5.0040000000000001E-2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11.362499999999999</v>
      </c>
      <c r="BN223" s="64">
        <f t="shared" si="23"/>
        <v>12.120000000000001</v>
      </c>
      <c r="BO223" s="64">
        <f t="shared" si="24"/>
        <v>3.3482142857142856E-2</v>
      </c>
      <c r="BP223" s="64">
        <f t="shared" si="25"/>
        <v>3.5714285714285719E-2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4"/>
      <c r="V224" s="34"/>
      <c r="W224" s="35" t="s">
        <v>67</v>
      </c>
      <c r="X224" s="615">
        <v>98</v>
      </c>
      <c r="Y224" s="616">
        <f t="shared" si="21"/>
        <v>98.7</v>
      </c>
      <c r="Z224" s="36">
        <f>IFERROR(IF(Y224=0,"",ROUNDUP(Y224/H224,0)*0.00502),"")</f>
        <v>0.23594000000000001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102.66666666666667</v>
      </c>
      <c r="BN224" s="64">
        <f t="shared" si="23"/>
        <v>103.4</v>
      </c>
      <c r="BO224" s="64">
        <f t="shared" si="24"/>
        <v>0.19943019943019943</v>
      </c>
      <c r="BP224" s="64">
        <f t="shared" si="25"/>
        <v>0.20085470085470086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118.21428571428569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122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0.73132000000000008</v>
      </c>
      <c r="AA227" s="618"/>
      <c r="AB227" s="618"/>
      <c r="AC227" s="618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37" t="s">
        <v>67</v>
      </c>
      <c r="X228" s="617">
        <f>IFERROR(SUM(X213:X226),"0")</f>
        <v>297</v>
      </c>
      <c r="Y228" s="617">
        <f>IFERROR(SUM(Y213:Y226),"0")</f>
        <v>305.2</v>
      </c>
      <c r="Z228" s="37"/>
      <c r="AA228" s="618"/>
      <c r="AB228" s="618"/>
      <c r="AC228" s="618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5">
        <v>6</v>
      </c>
      <c r="Y239" s="616">
        <f>IFERROR(IF(X239="",0,CEILING((X239/$H239),1)*$H239),"")</f>
        <v>6.3</v>
      </c>
      <c r="Z239" s="36">
        <f>IFERROR(IF(Y239=0,"",ROUNDUP(Y239/H239,0)*0.0059),"")</f>
        <v>2.9499999999999998E-2</v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6.9047619047619042</v>
      </c>
      <c r="BN239" s="64">
        <f>IFERROR(Y239*I239/H239,"0")</f>
        <v>7.25</v>
      </c>
      <c r="BO239" s="64">
        <f>IFERROR(1/J239*(X239/H239),"0")</f>
        <v>2.2045855379188711E-2</v>
      </c>
      <c r="BP239" s="64">
        <f>IFERROR(1/J239*(Y239/H239),"0")</f>
        <v>2.3148148148148147E-2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37" t="s">
        <v>73</v>
      </c>
      <c r="X241" s="617">
        <f>IFERROR(X238/H238,"0")+IFERROR(X239/H239,"0")+IFERROR(X240/H240,"0")</f>
        <v>4.7619047619047619</v>
      </c>
      <c r="Y241" s="617">
        <f>IFERROR(Y238/H238,"0")+IFERROR(Y239/H239,"0")+IFERROR(Y240/H240,"0")</f>
        <v>5</v>
      </c>
      <c r="Z241" s="617">
        <f>IFERROR(IF(Z238="",0,Z238),"0")+IFERROR(IF(Z239="",0,Z239),"0")+IFERROR(IF(Z240="",0,Z240),"0")</f>
        <v>2.9499999999999998E-2</v>
      </c>
      <c r="AA241" s="618"/>
      <c r="AB241" s="618"/>
      <c r="AC241" s="618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37" t="s">
        <v>67</v>
      </c>
      <c r="X242" s="617">
        <f>IFERROR(SUM(X238:X240),"0")</f>
        <v>6</v>
      </c>
      <c r="Y242" s="617">
        <f>IFERROR(SUM(Y238:Y240),"0")</f>
        <v>6.3</v>
      </c>
      <c r="Z242" s="37"/>
      <c r="AA242" s="618"/>
      <c r="AB242" s="618"/>
      <c r="AC242" s="618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5">
        <v>6</v>
      </c>
      <c r="Y244" s="616">
        <f>IFERROR(IF(X244="",0,CEILING((X244/$H244),1)*$H244),"")</f>
        <v>6.3</v>
      </c>
      <c r="Z244" s="36">
        <f>IFERROR(IF(Y244=0,"",ROUNDUP(Y244/H244,0)*0.0059),"")</f>
        <v>2.9499999999999998E-2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6.9047619047619042</v>
      </c>
      <c r="BN244" s="64">
        <f>IFERROR(Y244*I244/H244,"0")</f>
        <v>7.25</v>
      </c>
      <c r="BO244" s="64">
        <f>IFERROR(1/J244*(X244/H244),"0")</f>
        <v>2.2045855379188711E-2</v>
      </c>
      <c r="BP244" s="64">
        <f>IFERROR(1/J244*(Y244/H244),"0")</f>
        <v>2.3148148148148147E-2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37" t="s">
        <v>73</v>
      </c>
      <c r="X245" s="617">
        <f>IFERROR(X244/H244,"0")</f>
        <v>4.7619047619047619</v>
      </c>
      <c r="Y245" s="617">
        <f>IFERROR(Y244/H244,"0")</f>
        <v>5</v>
      </c>
      <c r="Z245" s="617">
        <f>IFERROR(IF(Z244="",0,Z244),"0")</f>
        <v>2.9499999999999998E-2</v>
      </c>
      <c r="AA245" s="618"/>
      <c r="AB245" s="618"/>
      <c r="AC245" s="618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37" t="s">
        <v>67</v>
      </c>
      <c r="X246" s="617">
        <f>IFERROR(SUM(X244:X244),"0")</f>
        <v>6</v>
      </c>
      <c r="Y246" s="617">
        <f>IFERROR(SUM(Y244:Y244),"0")</f>
        <v>6.3</v>
      </c>
      <c r="Z246" s="37"/>
      <c r="AA246" s="618"/>
      <c r="AB246" s="618"/>
      <c r="AC246" s="618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10"/>
      <c r="AB247" s="610"/>
      <c r="AC247" s="610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5">
        <v>97</v>
      </c>
      <c r="Y260" s="616">
        <f t="shared" si="27"/>
        <v>97.2</v>
      </c>
      <c r="Z260" s="36">
        <f>IFERROR(IF(Y260=0,"",ROUNDUP(Y260/H260,0)*0.00902),"")</f>
        <v>0.16236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100.41296296296296</v>
      </c>
      <c r="BN260" s="64">
        <f t="shared" si="29"/>
        <v>100.61999999999999</v>
      </c>
      <c r="BO260" s="64">
        <f t="shared" si="30"/>
        <v>0.13608305274971941</v>
      </c>
      <c r="BP260" s="64">
        <f t="shared" si="31"/>
        <v>0.13636363636363635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5">
        <v>269</v>
      </c>
      <c r="Y261" s="616">
        <f t="shared" si="27"/>
        <v>270</v>
      </c>
      <c r="Z261" s="36">
        <f>IFERROR(IF(Y261=0,"",ROUNDUP(Y261/H261,0)*0.00902),"")</f>
        <v>0.45100000000000001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278.46481481481482</v>
      </c>
      <c r="BN261" s="64">
        <f t="shared" si="29"/>
        <v>279.5</v>
      </c>
      <c r="BO261" s="64">
        <f t="shared" si="30"/>
        <v>0.37738496071829403</v>
      </c>
      <c r="BP261" s="64">
        <f t="shared" si="31"/>
        <v>0.37878787878787878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5">
        <v>129</v>
      </c>
      <c r="Y262" s="616">
        <f t="shared" si="27"/>
        <v>129.60000000000002</v>
      </c>
      <c r="Z262" s="36">
        <f>IFERROR(IF(Y262=0,"",ROUNDUP(Y262/H262,0)*0.00902),"")</f>
        <v>0.21648000000000001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133.53888888888889</v>
      </c>
      <c r="BN262" s="64">
        <f t="shared" si="29"/>
        <v>134.16</v>
      </c>
      <c r="BO262" s="64">
        <f t="shared" si="30"/>
        <v>0.18097643097643096</v>
      </c>
      <c r="BP262" s="64">
        <f t="shared" si="31"/>
        <v>0.18181818181818185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5">
        <v>46</v>
      </c>
      <c r="Y263" s="616">
        <f t="shared" si="27"/>
        <v>46.800000000000004</v>
      </c>
      <c r="Z263" s="36">
        <f>IFERROR(IF(Y263=0,"",ROUNDUP(Y263/H263,0)*0.00502),"")</f>
        <v>0.13052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49.322222222222223</v>
      </c>
      <c r="BN263" s="64">
        <f t="shared" si="29"/>
        <v>50.180000000000007</v>
      </c>
      <c r="BO263" s="64">
        <f t="shared" si="30"/>
        <v>0.10921177587844255</v>
      </c>
      <c r="BP263" s="64">
        <f t="shared" si="31"/>
        <v>0.11111111111111112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5">
        <v>39</v>
      </c>
      <c r="Y264" s="616">
        <f t="shared" si="27"/>
        <v>39.6</v>
      </c>
      <c r="Z264" s="36">
        <f>IFERROR(IF(Y264=0,"",ROUNDUP(Y264/H264,0)*0.00502),"")</f>
        <v>0.11044000000000001</v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41.166666666666664</v>
      </c>
      <c r="BN264" s="64">
        <f t="shared" si="29"/>
        <v>41.8</v>
      </c>
      <c r="BO264" s="64">
        <f t="shared" si="30"/>
        <v>9.2592592592592601E-2</v>
      </c>
      <c r="BP264" s="64">
        <f t="shared" si="31"/>
        <v>9.401709401709403E-2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138.88888888888889</v>
      </c>
      <c r="Y267" s="617">
        <f>IFERROR(Y259/H259,"0")+IFERROR(Y260/H260,"0")+IFERROR(Y261/H261,"0")+IFERROR(Y262/H262,"0")+IFERROR(Y263/H263,"0")+IFERROR(Y264/H264,"0")+IFERROR(Y265/H265,"0")+IFERROR(Y266/H266,"0")</f>
        <v>140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1.0708</v>
      </c>
      <c r="AA267" s="618"/>
      <c r="AB267" s="618"/>
      <c r="AC267" s="618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37" t="s">
        <v>67</v>
      </c>
      <c r="X268" s="617">
        <f>IFERROR(SUM(X259:X266),"0")</f>
        <v>580</v>
      </c>
      <c r="Y268" s="617">
        <f>IFERROR(SUM(Y259:Y266),"0")</f>
        <v>583.20000000000005</v>
      </c>
      <c r="Z268" s="37"/>
      <c r="AA268" s="618"/>
      <c r="AB268" s="618"/>
      <c r="AC268" s="618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5">
        <v>46</v>
      </c>
      <c r="Y273" s="616">
        <f t="shared" si="32"/>
        <v>48</v>
      </c>
      <c r="Z273" s="36">
        <f>IFERROR(IF(Y273=0,"",ROUNDUP(Y273/H273,0)*0.00651),"")</f>
        <v>0.13020000000000001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51.174999999999997</v>
      </c>
      <c r="BN273" s="64">
        <f t="shared" si="34"/>
        <v>53.4</v>
      </c>
      <c r="BO273" s="64">
        <f t="shared" si="35"/>
        <v>0.10531135531135533</v>
      </c>
      <c r="BP273" s="64">
        <f t="shared" si="36"/>
        <v>0.1098901098901099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5">
        <v>203</v>
      </c>
      <c r="Y276" s="616">
        <f t="shared" si="32"/>
        <v>204</v>
      </c>
      <c r="Z276" s="36">
        <f>IFERROR(IF(Y276=0,"",ROUNDUP(Y276/H276,0)*0.00651),"")</f>
        <v>0.55335000000000001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224.315</v>
      </c>
      <c r="BN276" s="64">
        <f t="shared" si="34"/>
        <v>225.42000000000002</v>
      </c>
      <c r="BO276" s="64">
        <f t="shared" si="35"/>
        <v>0.46474358974358981</v>
      </c>
      <c r="BP276" s="64">
        <f t="shared" si="36"/>
        <v>0.46703296703296709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5">
        <v>37</v>
      </c>
      <c r="Y278" s="616">
        <f t="shared" si="32"/>
        <v>38.4</v>
      </c>
      <c r="Z278" s="36">
        <f>IFERROR(IF(Y278=0,"",ROUNDUP(Y278/H278,0)*0.00651),"")</f>
        <v>0.10416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40.885000000000005</v>
      </c>
      <c r="BN278" s="64">
        <f t="shared" si="34"/>
        <v>42.432000000000002</v>
      </c>
      <c r="BO278" s="64">
        <f t="shared" si="35"/>
        <v>8.4706959706959725E-2</v>
      </c>
      <c r="BP278" s="64">
        <f t="shared" si="36"/>
        <v>8.7912087912087919E-2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5">
        <v>60</v>
      </c>
      <c r="Y280" s="616">
        <f t="shared" si="32"/>
        <v>60</v>
      </c>
      <c r="Z280" s="36">
        <f>IFERROR(IF(Y280=0,"",ROUNDUP(Y280/H280,0)*0.00651),"")</f>
        <v>0.16275000000000001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66.45</v>
      </c>
      <c r="BN280" s="64">
        <f t="shared" si="34"/>
        <v>66.45</v>
      </c>
      <c r="BO280" s="64">
        <f t="shared" si="35"/>
        <v>0.13736263736263737</v>
      </c>
      <c r="BP280" s="64">
        <f t="shared" si="36"/>
        <v>0.13736263736263737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144.16666666666669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146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0.95046000000000008</v>
      </c>
      <c r="AA282" s="618"/>
      <c r="AB282" s="618"/>
      <c r="AC282" s="618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37" t="s">
        <v>67</v>
      </c>
      <c r="X283" s="617">
        <f>IFERROR(SUM(X270:X281),"0")</f>
        <v>346</v>
      </c>
      <c r="Y283" s="617">
        <f>IFERROR(SUM(Y270:Y281),"0")</f>
        <v>350.4</v>
      </c>
      <c r="Z283" s="37"/>
      <c r="AA283" s="618"/>
      <c r="AB283" s="618"/>
      <c r="AC283" s="618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5">
        <v>24</v>
      </c>
      <c r="Y285" s="616">
        <f>IFERROR(IF(X285="",0,CEILING((X285/$H285),1)*$H285),"")</f>
        <v>24</v>
      </c>
      <c r="Z285" s="36">
        <f>IFERROR(IF(Y285=0,"",ROUNDUP(Y285/H285,0)*0.00651),"")</f>
        <v>6.5100000000000005E-2</v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26.520000000000003</v>
      </c>
      <c r="BN285" s="64">
        <f>IFERROR(Y285*I285/H285,"0")</f>
        <v>26.520000000000003</v>
      </c>
      <c r="BO285" s="64">
        <f>IFERROR(1/J285*(X285/H285),"0")</f>
        <v>5.4945054945054951E-2</v>
      </c>
      <c r="BP285" s="64">
        <f>IFERROR(1/J285*(Y285/H285),"0")</f>
        <v>5.4945054945054951E-2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5">
        <v>47</v>
      </c>
      <c r="Y286" s="616">
        <f>IFERROR(IF(X286="",0,CEILING((X286/$H286),1)*$H286),"")</f>
        <v>48</v>
      </c>
      <c r="Z286" s="36">
        <f>IFERROR(IF(Y286=0,"",ROUNDUP(Y286/H286,0)*0.00651),"")</f>
        <v>0.13020000000000001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51.935000000000002</v>
      </c>
      <c r="BN286" s="64">
        <f>IFERROR(Y286*I286/H286,"0")</f>
        <v>53.040000000000006</v>
      </c>
      <c r="BO286" s="64">
        <f>IFERROR(1/J286*(X286/H286),"0")</f>
        <v>0.10760073260073262</v>
      </c>
      <c r="BP286" s="64">
        <f>IFERROR(1/J286*(Y286/H286),"0")</f>
        <v>0.1098901098901099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37" t="s">
        <v>73</v>
      </c>
      <c r="X287" s="617">
        <f>IFERROR(X285/H285,"0")+IFERROR(X286/H286,"0")</f>
        <v>29.583333333333336</v>
      </c>
      <c r="Y287" s="617">
        <f>IFERROR(Y285/H285,"0")+IFERROR(Y286/H286,"0")</f>
        <v>30</v>
      </c>
      <c r="Z287" s="617">
        <f>IFERROR(IF(Z285="",0,Z285),"0")+IFERROR(IF(Z286="",0,Z286),"0")</f>
        <v>0.19530000000000003</v>
      </c>
      <c r="AA287" s="618"/>
      <c r="AB287" s="618"/>
      <c r="AC287" s="618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37" t="s">
        <v>67</v>
      </c>
      <c r="X288" s="617">
        <f>IFERROR(SUM(X285:X286),"0")</f>
        <v>71</v>
      </c>
      <c r="Y288" s="617">
        <f>IFERROR(SUM(Y285:Y286),"0")</f>
        <v>72</v>
      </c>
      <c r="Z288" s="37"/>
      <c r="AA288" s="618"/>
      <c r="AB288" s="618"/>
      <c r="AC288" s="618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10"/>
      <c r="AB289" s="610"/>
      <c r="AC289" s="610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5">
        <v>11</v>
      </c>
      <c r="Y305" s="616">
        <f>IFERROR(IF(X305="",0,CEILING((X305/$H305),1)*$H305),"")</f>
        <v>12.6</v>
      </c>
      <c r="Z305" s="36">
        <f>IFERROR(IF(Y305=0,"",ROUNDUP(Y305/H305,0)*0.0059),"")</f>
        <v>4.1299999999999996E-2</v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12.069444444444445</v>
      </c>
      <c r="BN305" s="64">
        <f>IFERROR(Y305*I305/H305,"0")</f>
        <v>13.825000000000001</v>
      </c>
      <c r="BO305" s="64">
        <f>IFERROR(1/J305*(X305/H305),"0")</f>
        <v>2.8292181069958844E-2</v>
      </c>
      <c r="BP305" s="64">
        <f>IFERROR(1/J305*(Y305/H305),"0")</f>
        <v>3.2407407407407406E-2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37" t="s">
        <v>73</v>
      </c>
      <c r="X306" s="617">
        <f>IFERROR(X305/H305,"0")</f>
        <v>6.1111111111111107</v>
      </c>
      <c r="Y306" s="617">
        <f>IFERROR(Y305/H305,"0")</f>
        <v>7</v>
      </c>
      <c r="Z306" s="617">
        <f>IFERROR(IF(Z305="",0,Z305),"0")</f>
        <v>4.1299999999999996E-2</v>
      </c>
      <c r="AA306" s="618"/>
      <c r="AB306" s="618"/>
      <c r="AC306" s="618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37" t="s">
        <v>67</v>
      </c>
      <c r="X307" s="617">
        <f>IFERROR(SUM(X305:X305),"0")</f>
        <v>11</v>
      </c>
      <c r="Y307" s="617">
        <f>IFERROR(SUM(Y305:Y305),"0")</f>
        <v>12.6</v>
      </c>
      <c r="Z307" s="37"/>
      <c r="AA307" s="618"/>
      <c r="AB307" s="618"/>
      <c r="AC307" s="618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10"/>
      <c r="AB314" s="610"/>
      <c r="AC314" s="610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10"/>
      <c r="AB323" s="610"/>
      <c r="AC323" s="610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5">
        <v>39</v>
      </c>
      <c r="Y327" s="616">
        <f>IFERROR(IF(X327="",0,CEILING((X327/$H327),1)*$H327),"")</f>
        <v>40.799999999999997</v>
      </c>
      <c r="Z327" s="36">
        <f>IFERROR(IF(Y327=0,"",ROUNDUP(Y327/H327,0)*0.00651),"")</f>
        <v>0.11067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41.925000000000004</v>
      </c>
      <c r="BN327" s="64">
        <f>IFERROR(Y327*I327/H327,"0")</f>
        <v>43.86</v>
      </c>
      <c r="BO327" s="64">
        <f>IFERROR(1/J327*(X327/H327),"0")</f>
        <v>8.9285714285714288E-2</v>
      </c>
      <c r="BP327" s="64">
        <f>IFERROR(1/J327*(Y327/H327),"0")</f>
        <v>9.3406593406593408E-2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37" t="s">
        <v>73</v>
      </c>
      <c r="X328" s="617">
        <f>IFERROR(X325/H325,"0")+IFERROR(X326/H326,"0")+IFERROR(X327/H327,"0")</f>
        <v>16.25</v>
      </c>
      <c r="Y328" s="617">
        <f>IFERROR(Y325/H325,"0")+IFERROR(Y326/H326,"0")+IFERROR(Y327/H327,"0")</f>
        <v>17</v>
      </c>
      <c r="Z328" s="617">
        <f>IFERROR(IF(Z325="",0,Z325),"0")+IFERROR(IF(Z326="",0,Z326),"0")+IFERROR(IF(Z327="",0,Z327),"0")</f>
        <v>0.11067</v>
      </c>
      <c r="AA328" s="618"/>
      <c r="AB328" s="618"/>
      <c r="AC328" s="618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37" t="s">
        <v>67</v>
      </c>
      <c r="X329" s="617">
        <f>IFERROR(SUM(X325:X327),"0")</f>
        <v>39</v>
      </c>
      <c r="Y329" s="617">
        <f>IFERROR(SUM(Y325:Y327),"0")</f>
        <v>40.799999999999997</v>
      </c>
      <c r="Z329" s="37"/>
      <c r="AA329" s="618"/>
      <c r="AB329" s="618"/>
      <c r="AC329" s="618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10"/>
      <c r="AB330" s="610"/>
      <c r="AC330" s="610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10"/>
      <c r="AB344" s="610"/>
      <c r="AC344" s="610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5">
        <v>97</v>
      </c>
      <c r="Y347" s="616">
        <f>IFERROR(IF(X347="",0,CEILING((X347/$H347),1)*$H347),"")</f>
        <v>101.39999999999999</v>
      </c>
      <c r="Z347" s="36">
        <f>IFERROR(IF(Y347=0,"",ROUNDUP(Y347/H347,0)*0.01898),"")</f>
        <v>0.24674000000000001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102.09871794871796</v>
      </c>
      <c r="BN347" s="64">
        <f>IFERROR(Y347*I347/H347,"0")</f>
        <v>106.73</v>
      </c>
      <c r="BO347" s="64">
        <f>IFERROR(1/J347*(X347/H347),"0")</f>
        <v>0.19431089743589744</v>
      </c>
      <c r="BP347" s="64">
        <f>IFERROR(1/J347*(Y347/H347),"0")</f>
        <v>0.203125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5">
        <v>107</v>
      </c>
      <c r="Y348" s="616">
        <f>IFERROR(IF(X348="",0,CEILING((X348/$H348),1)*$H348),"")</f>
        <v>109.2</v>
      </c>
      <c r="Z348" s="36">
        <f>IFERROR(IF(Y348=0,"",ROUNDUP(Y348/H348,0)*0.01898),"")</f>
        <v>0.26572000000000001</v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112.624358974359</v>
      </c>
      <c r="BN348" s="64">
        <f>IFERROR(Y348*I348/H348,"0")</f>
        <v>114.94000000000003</v>
      </c>
      <c r="BO348" s="64">
        <f>IFERROR(1/J348*(X348/H348),"0")</f>
        <v>0.21434294871794873</v>
      </c>
      <c r="BP348" s="64">
        <f>IFERROR(1/J348*(Y348/H348),"0")</f>
        <v>0.21875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37" t="s">
        <v>73</v>
      </c>
      <c r="X349" s="617">
        <f>IFERROR(X346/H346,"0")+IFERROR(X347/H347,"0")+IFERROR(X348/H348,"0")</f>
        <v>26.153846153846153</v>
      </c>
      <c r="Y349" s="617">
        <f>IFERROR(Y346/H346,"0")+IFERROR(Y347/H347,"0")+IFERROR(Y348/H348,"0")</f>
        <v>27</v>
      </c>
      <c r="Z349" s="617">
        <f>IFERROR(IF(Z346="",0,Z346),"0")+IFERROR(IF(Z347="",0,Z347),"0")+IFERROR(IF(Z348="",0,Z348),"0")</f>
        <v>0.51246000000000003</v>
      </c>
      <c r="AA349" s="618"/>
      <c r="AB349" s="618"/>
      <c r="AC349" s="618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37" t="s">
        <v>67</v>
      </c>
      <c r="X350" s="617">
        <f>IFERROR(SUM(X346:X348),"0")</f>
        <v>204</v>
      </c>
      <c r="Y350" s="617">
        <f>IFERROR(SUM(Y346:Y348),"0")</f>
        <v>210.6</v>
      </c>
      <c r="Z350" s="37"/>
      <c r="AA350" s="618"/>
      <c r="AB350" s="618"/>
      <c r="AC350" s="618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10"/>
      <c r="AB351" s="610"/>
      <c r="AC351" s="610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5">
        <v>19</v>
      </c>
      <c r="Y367" s="616">
        <f t="shared" si="42"/>
        <v>19.8</v>
      </c>
      <c r="Z367" s="36">
        <f>IFERROR(IF(Y367=0,"",ROUNDUP(Y367/H367,0)*0.00651),"")</f>
        <v>7.1610000000000007E-2</v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21.40666666666667</v>
      </c>
      <c r="BN367" s="64">
        <f t="shared" si="44"/>
        <v>22.308</v>
      </c>
      <c r="BO367" s="64">
        <f t="shared" si="45"/>
        <v>5.7997557997558E-2</v>
      </c>
      <c r="BP367" s="64">
        <f t="shared" si="46"/>
        <v>6.0439560439560447E-2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10.555555555555555</v>
      </c>
      <c r="Y368" s="617">
        <f>IFERROR(Y361/H361,"0")+IFERROR(Y362/H362,"0")+IFERROR(Y363/H363,"0")+IFERROR(Y364/H364,"0")+IFERROR(Y365/H365,"0")+IFERROR(Y366/H366,"0")+IFERROR(Y367/H367,"0")</f>
        <v>11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7.1610000000000007E-2</v>
      </c>
      <c r="AA368" s="618"/>
      <c r="AB368" s="618"/>
      <c r="AC368" s="618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37" t="s">
        <v>67</v>
      </c>
      <c r="X369" s="617">
        <f>IFERROR(SUM(X361:X367),"0")</f>
        <v>19</v>
      </c>
      <c r="Y369" s="617">
        <f>IFERROR(SUM(Y361:Y367),"0")</f>
        <v>19.8</v>
      </c>
      <c r="Z369" s="37"/>
      <c r="AA369" s="618"/>
      <c r="AB369" s="618"/>
      <c r="AC369" s="618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4"/>
      <c r="V378" s="34"/>
      <c r="W378" s="35" t="s">
        <v>67</v>
      </c>
      <c r="X378" s="615">
        <v>162</v>
      </c>
      <c r="Y378" s="616">
        <f>IFERROR(IF(X378="",0,CEILING((X378/$H378),1)*$H378),"")</f>
        <v>168</v>
      </c>
      <c r="Z378" s="36">
        <f>IFERROR(IF(Y378=0,"",ROUNDUP(Y378/H378,0)*0.01898),"")</f>
        <v>0.37959999999999999</v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171.52714285714285</v>
      </c>
      <c r="BN378" s="64">
        <f>IFERROR(Y378*I378/H378,"0")</f>
        <v>177.88</v>
      </c>
      <c r="BO378" s="64">
        <f>IFERROR(1/J378*(X378/H378),"0")</f>
        <v>0.3013392857142857</v>
      </c>
      <c r="BP378" s="64">
        <f>IFERROR(1/J378*(Y378/H378),"0")</f>
        <v>0.3125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4"/>
      <c r="V379" s="34"/>
      <c r="W379" s="35" t="s">
        <v>67</v>
      </c>
      <c r="X379" s="615">
        <v>270</v>
      </c>
      <c r="Y379" s="616">
        <f>IFERROR(IF(X379="",0,CEILING((X379/$H379),1)*$H379),"")</f>
        <v>273</v>
      </c>
      <c r="Z379" s="36">
        <f>IFERROR(IF(Y379=0,"",ROUNDUP(Y379/H379,0)*0.01898),"")</f>
        <v>0.6643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287.10000000000002</v>
      </c>
      <c r="BN379" s="64">
        <f>IFERROR(Y379*I379/H379,"0")</f>
        <v>290.29000000000002</v>
      </c>
      <c r="BO379" s="64">
        <f>IFERROR(1/J379*(X379/H379),"0")</f>
        <v>0.54086538461538458</v>
      </c>
      <c r="BP379" s="64">
        <f>IFERROR(1/J379*(Y379/H379),"0")</f>
        <v>0.546875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5">
        <v>66</v>
      </c>
      <c r="Y380" s="616">
        <f>IFERROR(IF(X380="",0,CEILING((X380/$H380),1)*$H380),"")</f>
        <v>67.2</v>
      </c>
      <c r="Z380" s="36">
        <f>IFERROR(IF(Y380=0,"",ROUNDUP(Y380/H380,0)*0.01898),"")</f>
        <v>0.15184</v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69.881428571428572</v>
      </c>
      <c r="BN380" s="64">
        <f>IFERROR(Y380*I380/H380,"0")</f>
        <v>71.152000000000001</v>
      </c>
      <c r="BO380" s="64">
        <f>IFERROR(1/J380*(X380/H380),"0")</f>
        <v>0.12276785714285714</v>
      </c>
      <c r="BP380" s="64">
        <f>IFERROR(1/J380*(Y380/H380),"0")</f>
        <v>0.125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37" t="s">
        <v>73</v>
      </c>
      <c r="X381" s="617">
        <f>IFERROR(X378/H378,"0")+IFERROR(X379/H379,"0")+IFERROR(X380/H380,"0")</f>
        <v>61.758241758241752</v>
      </c>
      <c r="Y381" s="617">
        <f>IFERROR(Y378/H378,"0")+IFERROR(Y379/H379,"0")+IFERROR(Y380/H380,"0")</f>
        <v>63</v>
      </c>
      <c r="Z381" s="617">
        <f>IFERROR(IF(Z378="",0,Z378),"0")+IFERROR(IF(Z379="",0,Z379),"0")+IFERROR(IF(Z380="",0,Z380),"0")</f>
        <v>1.19574</v>
      </c>
      <c r="AA381" s="618"/>
      <c r="AB381" s="618"/>
      <c r="AC381" s="618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37" t="s">
        <v>67</v>
      </c>
      <c r="X382" s="617">
        <f>IFERROR(SUM(X378:X380),"0")</f>
        <v>498</v>
      </c>
      <c r="Y382" s="617">
        <f>IFERROR(SUM(Y378:Y380),"0")</f>
        <v>508.2</v>
      </c>
      <c r="Z382" s="37"/>
      <c r="AA382" s="618"/>
      <c r="AB382" s="618"/>
      <c r="AC382" s="618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37" t="s">
        <v>73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37" t="s">
        <v>67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4"/>
      <c r="V393" s="34"/>
      <c r="W393" s="35" t="s">
        <v>67</v>
      </c>
      <c r="X393" s="615">
        <v>19</v>
      </c>
      <c r="Y393" s="616">
        <f>IFERROR(IF(X393="",0,CEILING((X393/$H393),1)*$H393),"")</f>
        <v>20</v>
      </c>
      <c r="Z393" s="36">
        <f>IFERROR(IF(Y393=0,"",ROUNDUP(Y393/H393,0)*0.00474),"")</f>
        <v>4.7400000000000005E-2</v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21.28</v>
      </c>
      <c r="BN393" s="64">
        <f>IFERROR(Y393*I393/H393,"0")</f>
        <v>22.400000000000002</v>
      </c>
      <c r="BO393" s="64">
        <f>IFERROR(1/J393*(X393/H393),"0")</f>
        <v>3.9915966386554619E-2</v>
      </c>
      <c r="BP393" s="64">
        <f>IFERROR(1/J393*(Y393/H393),"0")</f>
        <v>4.2016806722689072E-2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37" t="s">
        <v>73</v>
      </c>
      <c r="X394" s="617">
        <f>IFERROR(X391/H391,"0")+IFERROR(X392/H392,"0")+IFERROR(X393/H393,"0")</f>
        <v>9.5</v>
      </c>
      <c r="Y394" s="617">
        <f>IFERROR(Y391/H391,"0")+IFERROR(Y392/H392,"0")+IFERROR(Y393/H393,"0")</f>
        <v>10</v>
      </c>
      <c r="Z394" s="617">
        <f>IFERROR(IF(Z391="",0,Z391),"0")+IFERROR(IF(Z392="",0,Z392),"0")+IFERROR(IF(Z393="",0,Z393),"0")</f>
        <v>4.7400000000000005E-2</v>
      </c>
      <c r="AA394" s="618"/>
      <c r="AB394" s="618"/>
      <c r="AC394" s="618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37" t="s">
        <v>67</v>
      </c>
      <c r="X395" s="617">
        <f>IFERROR(SUM(X391:X393),"0")</f>
        <v>19</v>
      </c>
      <c r="Y395" s="617">
        <f>IFERROR(SUM(Y391:Y393),"0")</f>
        <v>20</v>
      </c>
      <c r="Z395" s="37"/>
      <c r="AA395" s="618"/>
      <c r="AB395" s="618"/>
      <c r="AC395" s="618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10"/>
      <c r="AB402" s="610"/>
      <c r="AC402" s="610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37" t="s">
        <v>73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37" t="s">
        <v>67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48"/>
      <c r="AB409" s="48"/>
      <c r="AC409" s="48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10"/>
      <c r="AB410" s="610"/>
      <c r="AC410" s="610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4"/>
      <c r="V412" s="34"/>
      <c r="W412" s="35" t="s">
        <v>67</v>
      </c>
      <c r="X412" s="615">
        <v>43</v>
      </c>
      <c r="Y412" s="616">
        <f t="shared" ref="Y412:Y419" si="47">IFERROR(IF(X412="",0,CEILING((X412/$H412),1)*$H412),"")</f>
        <v>45</v>
      </c>
      <c r="Z412" s="36">
        <f>IFERROR(IF(Y412=0,"",ROUNDUP(Y412/H412,0)*0.02175),"")</f>
        <v>6.5250000000000002E-2</v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44.347333333333339</v>
      </c>
      <c r="BN412" s="64">
        <f t="shared" ref="BN412:BN419" si="49">IFERROR(Y412*I412/H412,"0")</f>
        <v>46.41</v>
      </c>
      <c r="BO412" s="64">
        <f t="shared" ref="BO412:BO419" si="50">IFERROR(1/J412*(X412/H412),"0")</f>
        <v>5.9722222222222218E-2</v>
      </c>
      <c r="BP412" s="64">
        <f t="shared" ref="BP412:BP419" si="51">IFERROR(1/J412*(Y412/H412),"0")</f>
        <v>6.25E-2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4"/>
      <c r="V413" s="34"/>
      <c r="W413" s="35" t="s">
        <v>67</v>
      </c>
      <c r="X413" s="615">
        <v>309</v>
      </c>
      <c r="Y413" s="616">
        <f t="shared" si="47"/>
        <v>315</v>
      </c>
      <c r="Z413" s="36">
        <f>IFERROR(IF(Y413=0,"",ROUNDUP(Y413/H413,0)*0.02175),"")</f>
        <v>0.45674999999999999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318.68200000000002</v>
      </c>
      <c r="BN413" s="64">
        <f t="shared" si="49"/>
        <v>324.87</v>
      </c>
      <c r="BO413" s="64">
        <f t="shared" si="50"/>
        <v>0.4291666666666667</v>
      </c>
      <c r="BP413" s="64">
        <f t="shared" si="51"/>
        <v>0.4375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4"/>
      <c r="V414" s="34"/>
      <c r="W414" s="35" t="s">
        <v>67</v>
      </c>
      <c r="X414" s="615">
        <v>438</v>
      </c>
      <c r="Y414" s="616">
        <f t="shared" si="47"/>
        <v>450</v>
      </c>
      <c r="Z414" s="36">
        <f>IFERROR(IF(Y414=0,"",ROUNDUP(Y414/H414,0)*0.02175),"")</f>
        <v>0.65249999999999997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451.72400000000005</v>
      </c>
      <c r="BN414" s="64">
        <f t="shared" si="49"/>
        <v>464.1</v>
      </c>
      <c r="BO414" s="64">
        <f t="shared" si="50"/>
        <v>0.60833333333333328</v>
      </c>
      <c r="BP414" s="64">
        <f t="shared" si="51"/>
        <v>0.625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4"/>
      <c r="V415" s="34"/>
      <c r="W415" s="35" t="s">
        <v>67</v>
      </c>
      <c r="X415" s="615">
        <v>125</v>
      </c>
      <c r="Y415" s="616">
        <f t="shared" si="47"/>
        <v>135</v>
      </c>
      <c r="Z415" s="36">
        <f>IFERROR(IF(Y415=0,"",ROUNDUP(Y415/H415,0)*0.02175),"")</f>
        <v>0.19574999999999998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128.91666666666666</v>
      </c>
      <c r="BN415" s="64">
        <f t="shared" si="49"/>
        <v>139.23000000000002</v>
      </c>
      <c r="BO415" s="64">
        <f t="shared" si="50"/>
        <v>0.1736111111111111</v>
      </c>
      <c r="BP415" s="64">
        <f t="shared" si="51"/>
        <v>0.1875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4"/>
      <c r="V416" s="34"/>
      <c r="W416" s="35" t="s">
        <v>67</v>
      </c>
      <c r="X416" s="615">
        <v>240</v>
      </c>
      <c r="Y416" s="616">
        <f t="shared" si="47"/>
        <v>240</v>
      </c>
      <c r="Z416" s="36">
        <f>IFERROR(IF(Y416=0,"",ROUNDUP(Y416/H416,0)*0.02175),"")</f>
        <v>0.34799999999999998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247.52</v>
      </c>
      <c r="BN416" s="64">
        <f t="shared" si="49"/>
        <v>247.52</v>
      </c>
      <c r="BO416" s="64">
        <f t="shared" si="50"/>
        <v>0.33333333333333331</v>
      </c>
      <c r="BP416" s="64">
        <f t="shared" si="51"/>
        <v>0.33333333333333331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77</v>
      </c>
      <c r="Y420" s="617">
        <f>IFERROR(Y412/H412,"0")+IFERROR(Y413/H413,"0")+IFERROR(Y414/H414,"0")+IFERROR(Y415/H415,"0")+IFERROR(Y416/H416,"0")+IFERROR(Y417/H417,"0")+IFERROR(Y418/H418,"0")+IFERROR(Y419/H419,"0")</f>
        <v>79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1.7182499999999998</v>
      </c>
      <c r="AA420" s="618"/>
      <c r="AB420" s="618"/>
      <c r="AC420" s="618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37" t="s">
        <v>67</v>
      </c>
      <c r="X421" s="617">
        <f>IFERROR(SUM(X412:X419),"0")</f>
        <v>1155</v>
      </c>
      <c r="Y421" s="617">
        <f>IFERROR(SUM(Y412:Y419),"0")</f>
        <v>1185</v>
      </c>
      <c r="Z421" s="37"/>
      <c r="AA421" s="618"/>
      <c r="AB421" s="618"/>
      <c r="AC421" s="618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5">
        <v>866</v>
      </c>
      <c r="Y423" s="616">
        <f>IFERROR(IF(X423="",0,CEILING((X423/$H423),1)*$H423),"")</f>
        <v>870</v>
      </c>
      <c r="Z423" s="36">
        <f>IFERROR(IF(Y423=0,"",ROUNDUP(Y423/H423,0)*0.02175),"")</f>
        <v>1.2614999999999998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893.1346666666667</v>
      </c>
      <c r="BN423" s="64">
        <f>IFERROR(Y423*I423/H423,"0")</f>
        <v>897.2600000000001</v>
      </c>
      <c r="BO423" s="64">
        <f>IFERROR(1/J423*(X423/H423),"0")</f>
        <v>1.2027777777777777</v>
      </c>
      <c r="BP423" s="64">
        <f>IFERROR(1/J423*(Y423/H423),"0")</f>
        <v>1.2083333333333333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5">
        <v>71</v>
      </c>
      <c r="Y424" s="616">
        <f>IFERROR(IF(X424="",0,CEILING((X424/$H424),1)*$H424),"")</f>
        <v>75</v>
      </c>
      <c r="Z424" s="36">
        <f>IFERROR(IF(Y424=0,"",ROUNDUP(Y424/H424,0)*0.02175),"")</f>
        <v>0.10874999999999999</v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73.224666666666678</v>
      </c>
      <c r="BN424" s="64">
        <f>IFERROR(Y424*I424/H424,"0")</f>
        <v>77.349999999999994</v>
      </c>
      <c r="BO424" s="64">
        <f>IFERROR(1/J424*(X424/H424),"0")</f>
        <v>9.8611111111111108E-2</v>
      </c>
      <c r="BP424" s="64">
        <f>IFERROR(1/J424*(Y424/H424),"0")</f>
        <v>0.10416666666666666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37" t="s">
        <v>73</v>
      </c>
      <c r="X426" s="617">
        <f>IFERROR(X423/H423,"0")+IFERROR(X424/H424,"0")+IFERROR(X425/H425,"0")</f>
        <v>62.466666666666669</v>
      </c>
      <c r="Y426" s="617">
        <f>IFERROR(Y423/H423,"0")+IFERROR(Y424/H424,"0")+IFERROR(Y425/H425,"0")</f>
        <v>63</v>
      </c>
      <c r="Z426" s="617">
        <f>IFERROR(IF(Z423="",0,Z423),"0")+IFERROR(IF(Z424="",0,Z424),"0")+IFERROR(IF(Z425="",0,Z425),"0")</f>
        <v>1.3702499999999997</v>
      </c>
      <c r="AA426" s="618"/>
      <c r="AB426" s="618"/>
      <c r="AC426" s="618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37" t="s">
        <v>67</v>
      </c>
      <c r="X427" s="617">
        <f>IFERROR(SUM(X423:X425),"0")</f>
        <v>937</v>
      </c>
      <c r="Y427" s="617">
        <f>IFERROR(SUM(Y423:Y425),"0")</f>
        <v>945</v>
      </c>
      <c r="Z427" s="37"/>
      <c r="AA427" s="618"/>
      <c r="AB427" s="618"/>
      <c r="AC427" s="618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4"/>
      <c r="V431" s="34"/>
      <c r="W431" s="35" t="s">
        <v>67</v>
      </c>
      <c r="X431" s="615">
        <v>15</v>
      </c>
      <c r="Y431" s="616">
        <f>IFERROR(IF(X431="",0,CEILING((X431/$H431),1)*$H431),"")</f>
        <v>18</v>
      </c>
      <c r="Z431" s="36">
        <f>IFERROR(IF(Y431=0,"",ROUNDUP(Y431/H431,0)*0.01898),"")</f>
        <v>3.7960000000000001E-2</v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15.823333333333332</v>
      </c>
      <c r="BN431" s="64">
        <f>IFERROR(Y431*I431/H431,"0")</f>
        <v>18.988</v>
      </c>
      <c r="BO431" s="64">
        <f>IFERROR(1/J431*(X431/H431),"0")</f>
        <v>2.6041666666666668E-2</v>
      </c>
      <c r="BP431" s="64">
        <f>IFERROR(1/J431*(Y431/H431),"0")</f>
        <v>3.125E-2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37" t="s">
        <v>73</v>
      </c>
      <c r="X432" s="617">
        <f>IFERROR(X429/H429,"0")+IFERROR(X430/H430,"0")+IFERROR(X431/H431,"0")</f>
        <v>1.6666666666666667</v>
      </c>
      <c r="Y432" s="617">
        <f>IFERROR(Y429/H429,"0")+IFERROR(Y430/H430,"0")+IFERROR(Y431/H431,"0")</f>
        <v>2</v>
      </c>
      <c r="Z432" s="617">
        <f>IFERROR(IF(Z429="",0,Z429),"0")+IFERROR(IF(Z430="",0,Z430),"0")+IFERROR(IF(Z431="",0,Z431),"0")</f>
        <v>3.7960000000000001E-2</v>
      </c>
      <c r="AA432" s="618"/>
      <c r="AB432" s="618"/>
      <c r="AC432" s="618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37" t="s">
        <v>67</v>
      </c>
      <c r="X433" s="617">
        <f>IFERROR(SUM(X429:X431),"0")</f>
        <v>15</v>
      </c>
      <c r="Y433" s="617">
        <f>IFERROR(SUM(Y429:Y431),"0")</f>
        <v>18</v>
      </c>
      <c r="Z433" s="37"/>
      <c r="AA433" s="618"/>
      <c r="AB433" s="618"/>
      <c r="AC433" s="618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4"/>
      <c r="V436" s="34"/>
      <c r="W436" s="35" t="s">
        <v>67</v>
      </c>
      <c r="X436" s="615">
        <v>265</v>
      </c>
      <c r="Y436" s="616">
        <f>IFERROR(IF(X436="",0,CEILING((X436/$H436),1)*$H436),"")</f>
        <v>270</v>
      </c>
      <c r="Z436" s="36">
        <f>IFERROR(IF(Y436=0,"",ROUNDUP(Y436/H436,0)*0.01898),"")</f>
        <v>0.56940000000000002</v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279.54555555555555</v>
      </c>
      <c r="BN436" s="64">
        <f>IFERROR(Y436*I436/H436,"0")</f>
        <v>284.82</v>
      </c>
      <c r="BO436" s="64">
        <f>IFERROR(1/J436*(X436/H436),"0")</f>
        <v>0.46006944444444442</v>
      </c>
      <c r="BP436" s="64">
        <f>IFERROR(1/J436*(Y436/H436),"0")</f>
        <v>0.46875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37" t="s">
        <v>73</v>
      </c>
      <c r="X437" s="617">
        <f>IFERROR(X435/H435,"0")+IFERROR(X436/H436,"0")</f>
        <v>29.444444444444443</v>
      </c>
      <c r="Y437" s="617">
        <f>IFERROR(Y435/H435,"0")+IFERROR(Y436/H436,"0")</f>
        <v>30</v>
      </c>
      <c r="Z437" s="617">
        <f>IFERROR(IF(Z435="",0,Z435),"0")+IFERROR(IF(Z436="",0,Z436),"0")</f>
        <v>0.56940000000000002</v>
      </c>
      <c r="AA437" s="618"/>
      <c r="AB437" s="618"/>
      <c r="AC437" s="618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37" t="s">
        <v>67</v>
      </c>
      <c r="X438" s="617">
        <f>IFERROR(SUM(X435:X436),"0")</f>
        <v>265</v>
      </c>
      <c r="Y438" s="617">
        <f>IFERROR(SUM(Y435:Y436),"0")</f>
        <v>270</v>
      </c>
      <c r="Z438" s="37"/>
      <c r="AA438" s="618"/>
      <c r="AB438" s="618"/>
      <c r="AC438" s="618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10"/>
      <c r="AB439" s="610"/>
      <c r="AC439" s="610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5">
        <v>162</v>
      </c>
      <c r="Y450" s="616">
        <f>IFERROR(IF(X450="",0,CEILING((X450/$H450),1)*$H450),"")</f>
        <v>162</v>
      </c>
      <c r="Z450" s="36">
        <f>IFERROR(IF(Y450=0,"",ROUNDUP(Y450/H450,0)*0.01898),"")</f>
        <v>0.34164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170.892</v>
      </c>
      <c r="BN450" s="64">
        <f>IFERROR(Y450*I450/H450,"0")</f>
        <v>170.892</v>
      </c>
      <c r="BO450" s="64">
        <f>IFERROR(1/J450*(X450/H450),"0")</f>
        <v>0.28125</v>
      </c>
      <c r="BP450" s="64">
        <f>IFERROR(1/J450*(Y450/H450),"0")</f>
        <v>0.28125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4"/>
      <c r="V451" s="34"/>
      <c r="W451" s="35" t="s">
        <v>67</v>
      </c>
      <c r="X451" s="615">
        <v>35</v>
      </c>
      <c r="Y451" s="616">
        <f>IFERROR(IF(X451="",0,CEILING((X451/$H451),1)*$H451),"")</f>
        <v>36</v>
      </c>
      <c r="Z451" s="36">
        <f>IFERROR(IF(Y451=0,"",ROUNDUP(Y451/H451,0)*0.00651),"")</f>
        <v>9.7650000000000001E-2</v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38.850000000000009</v>
      </c>
      <c r="BN451" s="64">
        <f>IFERROR(Y451*I451/H451,"0")</f>
        <v>39.960000000000008</v>
      </c>
      <c r="BO451" s="64">
        <f>IFERROR(1/J451*(X451/H451),"0")</f>
        <v>8.0128205128205135E-2</v>
      </c>
      <c r="BP451" s="64">
        <f>IFERROR(1/J451*(Y451/H451),"0")</f>
        <v>8.241758241758243E-2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37" t="s">
        <v>73</v>
      </c>
      <c r="X453" s="617">
        <f>IFERROR(X450/H450,"0")+IFERROR(X451/H451,"0")+IFERROR(X452/H452,"0")</f>
        <v>32.583333333333336</v>
      </c>
      <c r="Y453" s="617">
        <f>IFERROR(Y450/H450,"0")+IFERROR(Y451/H451,"0")+IFERROR(Y452/H452,"0")</f>
        <v>33</v>
      </c>
      <c r="Z453" s="617">
        <f>IFERROR(IF(Z450="",0,Z450),"0")+IFERROR(IF(Z451="",0,Z451),"0")+IFERROR(IF(Z452="",0,Z452),"0")</f>
        <v>0.43929000000000001</v>
      </c>
      <c r="AA453" s="618"/>
      <c r="AB453" s="618"/>
      <c r="AC453" s="618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37" t="s">
        <v>67</v>
      </c>
      <c r="X454" s="617">
        <f>IFERROR(SUM(X450:X452),"0")</f>
        <v>197</v>
      </c>
      <c r="Y454" s="617">
        <f>IFERROR(SUM(Y450:Y452),"0")</f>
        <v>198</v>
      </c>
      <c r="Z454" s="37"/>
      <c r="AA454" s="618"/>
      <c r="AB454" s="618"/>
      <c r="AC454" s="618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48"/>
      <c r="AB455" s="48"/>
      <c r="AC455" s="48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10"/>
      <c r="AB456" s="610"/>
      <c r="AC456" s="610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4"/>
      <c r="V458" s="34"/>
      <c r="W458" s="35" t="s">
        <v>67</v>
      </c>
      <c r="X458" s="615">
        <v>33</v>
      </c>
      <c r="Y458" s="616">
        <f t="shared" ref="Y458:Y463" si="52">IFERROR(IF(X458="",0,CEILING((X458/$H458),1)*$H458),"")</f>
        <v>37.800000000000004</v>
      </c>
      <c r="Z458" s="36">
        <f>IFERROR(IF(Y458=0,"",ROUNDUP(Y458/H458,0)*0.00902),"")</f>
        <v>6.3140000000000002E-2</v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34.161111111111111</v>
      </c>
      <c r="BN458" s="64">
        <f t="shared" ref="BN458:BN463" si="54">IFERROR(Y458*I458/H458,"0")</f>
        <v>39.130000000000003</v>
      </c>
      <c r="BO458" s="64">
        <f t="shared" ref="BO458:BO463" si="55">IFERROR(1/J458*(X458/H458),"0")</f>
        <v>4.6296296296296294E-2</v>
      </c>
      <c r="BP458" s="64">
        <f t="shared" ref="BP458:BP463" si="56">IFERROR(1/J458*(Y458/H458),"0")</f>
        <v>5.3030303030303032E-2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37" t="s">
        <v>73</v>
      </c>
      <c r="X464" s="617">
        <f>IFERROR(X458/H458,"0")+IFERROR(X459/H459,"0")+IFERROR(X460/H460,"0")+IFERROR(X461/H461,"0")+IFERROR(X462/H462,"0")+IFERROR(X463/H463,"0")</f>
        <v>6.1111111111111107</v>
      </c>
      <c r="Y464" s="617">
        <f>IFERROR(Y458/H458,"0")+IFERROR(Y459/H459,"0")+IFERROR(Y460/H460,"0")+IFERROR(Y461/H461,"0")+IFERROR(Y462/H462,"0")+IFERROR(Y463/H463,"0")</f>
        <v>7</v>
      </c>
      <c r="Z464" s="617">
        <f>IFERROR(IF(Z458="",0,Z458),"0")+IFERROR(IF(Z459="",0,Z459),"0")+IFERROR(IF(Z460="",0,Z460),"0")+IFERROR(IF(Z461="",0,Z461),"0")+IFERROR(IF(Z462="",0,Z462),"0")+IFERROR(IF(Z463="",0,Z463),"0")</f>
        <v>6.3140000000000002E-2</v>
      </c>
      <c r="AA464" s="618"/>
      <c r="AB464" s="618"/>
      <c r="AC464" s="618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37" t="s">
        <v>67</v>
      </c>
      <c r="X465" s="617">
        <f>IFERROR(SUM(X458:X463),"0")</f>
        <v>33</v>
      </c>
      <c r="Y465" s="617">
        <f>IFERROR(SUM(Y458:Y463),"0")</f>
        <v>37.800000000000004</v>
      </c>
      <c r="Z465" s="37"/>
      <c r="AA465" s="618"/>
      <c r="AB465" s="618"/>
      <c r="AC465" s="618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10"/>
      <c r="AB471" s="610"/>
      <c r="AC471" s="610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4"/>
      <c r="V477" s="34"/>
      <c r="W477" s="35" t="s">
        <v>67</v>
      </c>
      <c r="X477" s="615">
        <v>17</v>
      </c>
      <c r="Y477" s="616">
        <f>IFERROR(IF(X477="",0,CEILING((X477/$H477),1)*$H477),"")</f>
        <v>21.6</v>
      </c>
      <c r="Z477" s="36">
        <f>IFERROR(IF(Y477=0,"",ROUNDUP(Y477/H477,0)*0.00902),"")</f>
        <v>3.6080000000000001E-2</v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17.598148148148148</v>
      </c>
      <c r="BN477" s="64">
        <f>IFERROR(Y477*I477/H477,"0")</f>
        <v>22.36</v>
      </c>
      <c r="BO477" s="64">
        <f>IFERROR(1/J477*(X477/H477),"0")</f>
        <v>2.3849607182940515E-2</v>
      </c>
      <c r="BP477" s="64">
        <f>IFERROR(1/J477*(Y477/H477),"0")</f>
        <v>3.0303030303030304E-2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37" t="s">
        <v>73</v>
      </c>
      <c r="X480" s="617">
        <f>IFERROR(X477/H477,"0")+IFERROR(X478/H478,"0")+IFERROR(X479/H479,"0")</f>
        <v>3.1481481481481479</v>
      </c>
      <c r="Y480" s="617">
        <f>IFERROR(Y477/H477,"0")+IFERROR(Y478/H478,"0")+IFERROR(Y479/H479,"0")</f>
        <v>4</v>
      </c>
      <c r="Z480" s="617">
        <f>IFERROR(IF(Z477="",0,Z477),"0")+IFERROR(IF(Z478="",0,Z478),"0")+IFERROR(IF(Z479="",0,Z479),"0")</f>
        <v>3.6080000000000001E-2</v>
      </c>
      <c r="AA480" s="618"/>
      <c r="AB480" s="618"/>
      <c r="AC480" s="618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37" t="s">
        <v>67</v>
      </c>
      <c r="X481" s="617">
        <f>IFERROR(SUM(X477:X479),"0")</f>
        <v>17</v>
      </c>
      <c r="Y481" s="617">
        <f>IFERROR(SUM(Y477:Y479),"0")</f>
        <v>21.6</v>
      </c>
      <c r="Z481" s="37"/>
      <c r="AA481" s="618"/>
      <c r="AB481" s="618"/>
      <c r="AC481" s="618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48"/>
      <c r="AB482" s="48"/>
      <c r="AC482" s="48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10"/>
      <c r="AB483" s="610"/>
      <c r="AC483" s="610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4"/>
      <c r="V485" s="34"/>
      <c r="W485" s="35" t="s">
        <v>67</v>
      </c>
      <c r="X485" s="615">
        <v>16</v>
      </c>
      <c r="Y485" s="616">
        <f t="shared" ref="Y485:Y493" si="57">IFERROR(IF(X485="",0,CEILING((X485/$H485),1)*$H485),"")</f>
        <v>21.12</v>
      </c>
      <c r="Z485" s="36">
        <f t="shared" ref="Z485:Z490" si="58">IFERROR(IF(Y485=0,"",ROUNDUP(Y485/H485,0)*0.01196),"")</f>
        <v>4.7840000000000001E-2</v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17.060606060606059</v>
      </c>
      <c r="BN485" s="64">
        <f t="shared" ref="BN485:BN493" si="60">IFERROR(Y485*I485/H485,"0")</f>
        <v>22.52</v>
      </c>
      <c r="BO485" s="64">
        <f t="shared" ref="BO485:BO493" si="61">IFERROR(1/J485*(X485/H485),"0")</f>
        <v>2.913752913752914E-2</v>
      </c>
      <c r="BP485" s="64">
        <f t="shared" ref="BP485:BP493" si="62">IFERROR(1/J485*(Y485/H485),"0")</f>
        <v>3.8461538461538464E-2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4"/>
      <c r="V487" s="34"/>
      <c r="W487" s="35" t="s">
        <v>67</v>
      </c>
      <c r="X487" s="615">
        <v>35</v>
      </c>
      <c r="Y487" s="616">
        <f t="shared" si="57"/>
        <v>36.96</v>
      </c>
      <c r="Z487" s="36">
        <f t="shared" si="58"/>
        <v>8.3720000000000003E-2</v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37.320075757575751</v>
      </c>
      <c r="BN487" s="64">
        <f t="shared" si="60"/>
        <v>39.409999999999997</v>
      </c>
      <c r="BO487" s="64">
        <f t="shared" si="61"/>
        <v>6.3738344988344992E-2</v>
      </c>
      <c r="BP487" s="64">
        <f t="shared" si="62"/>
        <v>6.7307692307692318E-2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4"/>
      <c r="V488" s="34"/>
      <c r="W488" s="35" t="s">
        <v>67</v>
      </c>
      <c r="X488" s="615">
        <v>146</v>
      </c>
      <c r="Y488" s="616">
        <f t="shared" si="57"/>
        <v>147.84</v>
      </c>
      <c r="Z488" s="36">
        <f t="shared" si="58"/>
        <v>0.33488000000000001</v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155.67803030303031</v>
      </c>
      <c r="BN488" s="64">
        <f t="shared" si="60"/>
        <v>157.63999999999999</v>
      </c>
      <c r="BO488" s="64">
        <f t="shared" si="61"/>
        <v>0.26587995337995335</v>
      </c>
      <c r="BP488" s="64">
        <f t="shared" si="62"/>
        <v>0.26923076923076927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4"/>
      <c r="V490" s="34"/>
      <c r="W490" s="35" t="s">
        <v>67</v>
      </c>
      <c r="X490" s="615">
        <v>207</v>
      </c>
      <c r="Y490" s="616">
        <f t="shared" si="57"/>
        <v>211.20000000000002</v>
      </c>
      <c r="Z490" s="36">
        <f t="shared" si="58"/>
        <v>0.47839999999999999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220.72159090909091</v>
      </c>
      <c r="BN490" s="64">
        <f t="shared" si="60"/>
        <v>225.2</v>
      </c>
      <c r="BO490" s="64">
        <f t="shared" si="61"/>
        <v>0.37696678321678323</v>
      </c>
      <c r="BP490" s="64">
        <f t="shared" si="62"/>
        <v>0.38461538461538464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4"/>
      <c r="V493" s="34"/>
      <c r="W493" s="35" t="s">
        <v>67</v>
      </c>
      <c r="X493" s="615">
        <v>66</v>
      </c>
      <c r="Y493" s="616">
        <f t="shared" si="57"/>
        <v>67.2</v>
      </c>
      <c r="Z493" s="36">
        <f>IFERROR(IF(Y493=0,"",ROUNDUP(Y493/H493,0)*0.00902),"")</f>
        <v>0.12628</v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95.012500000000003</v>
      </c>
      <c r="BN493" s="64">
        <f t="shared" si="60"/>
        <v>96.740000000000009</v>
      </c>
      <c r="BO493" s="64">
        <f t="shared" si="61"/>
        <v>0.10416666666666667</v>
      </c>
      <c r="BP493" s="64">
        <f t="shared" si="62"/>
        <v>0.10606060606060608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90.265151515151516</v>
      </c>
      <c r="Y494" s="617">
        <f>IFERROR(Y485/H485,"0")+IFERROR(Y486/H486,"0")+IFERROR(Y487/H487,"0")+IFERROR(Y488/H488,"0")+IFERROR(Y489/H489,"0")+IFERROR(Y490/H490,"0")+IFERROR(Y491/H491,"0")+IFERROR(Y492/H492,"0")+IFERROR(Y493/H493,"0")</f>
        <v>93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1.0711200000000001</v>
      </c>
      <c r="AA494" s="618"/>
      <c r="AB494" s="618"/>
      <c r="AC494" s="618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37" t="s">
        <v>67</v>
      </c>
      <c r="X495" s="617">
        <f>IFERROR(SUM(X485:X493),"0")</f>
        <v>470</v>
      </c>
      <c r="Y495" s="617">
        <f>IFERROR(SUM(Y485:Y493),"0")</f>
        <v>484.32</v>
      </c>
      <c r="Z495" s="37"/>
      <c r="AA495" s="618"/>
      <c r="AB495" s="618"/>
      <c r="AC495" s="618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4"/>
      <c r="V497" s="34"/>
      <c r="W497" s="35" t="s">
        <v>67</v>
      </c>
      <c r="X497" s="615">
        <v>285</v>
      </c>
      <c r="Y497" s="616">
        <f>IFERROR(IF(X497="",0,CEILING((X497/$H497),1)*$H497),"")</f>
        <v>285.12</v>
      </c>
      <c r="Z497" s="36">
        <f>IFERROR(IF(Y497=0,"",ROUNDUP(Y497/H497,0)*0.01196),"")</f>
        <v>0.64583999999999997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303.89204545454544</v>
      </c>
      <c r="BN497" s="64">
        <f>IFERROR(Y497*I497/H497,"0")</f>
        <v>304.02</v>
      </c>
      <c r="BO497" s="64">
        <f>IFERROR(1/J497*(X497/H497),"0")</f>
        <v>0.51901223776223782</v>
      </c>
      <c r="BP497" s="64">
        <f>IFERROR(1/J497*(Y497/H497),"0")</f>
        <v>0.51923076923076927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37" t="s">
        <v>73</v>
      </c>
      <c r="X500" s="617">
        <f>IFERROR(X497/H497,"0")+IFERROR(X498/H498,"0")+IFERROR(X499/H499,"0")</f>
        <v>53.977272727272727</v>
      </c>
      <c r="Y500" s="617">
        <f>IFERROR(Y497/H497,"0")+IFERROR(Y498/H498,"0")+IFERROR(Y499/H499,"0")</f>
        <v>54</v>
      </c>
      <c r="Z500" s="617">
        <f>IFERROR(IF(Z497="",0,Z497),"0")+IFERROR(IF(Z498="",0,Z498),"0")+IFERROR(IF(Z499="",0,Z499),"0")</f>
        <v>0.64583999999999997</v>
      </c>
      <c r="AA500" s="618"/>
      <c r="AB500" s="618"/>
      <c r="AC500" s="618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37" t="s">
        <v>67</v>
      </c>
      <c r="X501" s="617">
        <f>IFERROR(SUM(X497:X499),"0")</f>
        <v>285</v>
      </c>
      <c r="Y501" s="617">
        <f>IFERROR(SUM(Y497:Y499),"0")</f>
        <v>285.12</v>
      </c>
      <c r="Z501" s="37"/>
      <c r="AA501" s="618"/>
      <c r="AB501" s="618"/>
      <c r="AC501" s="618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4"/>
      <c r="V504" s="34"/>
      <c r="W504" s="35" t="s">
        <v>67</v>
      </c>
      <c r="X504" s="615">
        <v>121</v>
      </c>
      <c r="Y504" s="616">
        <f t="shared" si="63"/>
        <v>121.44000000000001</v>
      </c>
      <c r="Z504" s="36">
        <f>IFERROR(IF(Y504=0,"",ROUNDUP(Y504/H504,0)*0.01196),"")</f>
        <v>0.27507999999999999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129.02083333333334</v>
      </c>
      <c r="BN504" s="64">
        <f t="shared" si="65"/>
        <v>129.49</v>
      </c>
      <c r="BO504" s="64">
        <f t="shared" si="66"/>
        <v>0.2203525641025641</v>
      </c>
      <c r="BP504" s="64">
        <f t="shared" si="67"/>
        <v>0.22115384615384617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5">
        <v>139</v>
      </c>
      <c r="Y505" s="616">
        <f t="shared" si="63"/>
        <v>142.56</v>
      </c>
      <c r="Z505" s="36">
        <f>IFERROR(IF(Y505=0,"",ROUNDUP(Y505/H505,0)*0.01196),"")</f>
        <v>0.32291999999999998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148.21401515151513</v>
      </c>
      <c r="BN505" s="64">
        <f t="shared" si="65"/>
        <v>152.01</v>
      </c>
      <c r="BO505" s="64">
        <f t="shared" si="66"/>
        <v>0.25313228438228436</v>
      </c>
      <c r="BP505" s="64">
        <f t="shared" si="67"/>
        <v>0.25961538461538464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49.242424242424235</v>
      </c>
      <c r="Y510" s="617">
        <f>IFERROR(Y503/H503,"0")+IFERROR(Y504/H504,"0")+IFERROR(Y505/H505,"0")+IFERROR(Y506/H506,"0")+IFERROR(Y507/H507,"0")+IFERROR(Y508/H508,"0")+IFERROR(Y509/H509,"0")</f>
        <v>50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0.59799999999999998</v>
      </c>
      <c r="AA510" s="618"/>
      <c r="AB510" s="618"/>
      <c r="AC510" s="618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37" t="s">
        <v>67</v>
      </c>
      <c r="X511" s="617">
        <f>IFERROR(SUM(X503:X509),"0")</f>
        <v>260</v>
      </c>
      <c r="Y511" s="617">
        <f>IFERROR(SUM(Y503:Y509),"0")</f>
        <v>264</v>
      </c>
      <c r="Z511" s="37"/>
      <c r="AA511" s="618"/>
      <c r="AB511" s="618"/>
      <c r="AC511" s="618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48"/>
      <c r="AB512" s="48"/>
      <c r="AC512" s="48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10"/>
      <c r="AB513" s="610"/>
      <c r="AC513" s="610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10"/>
      <c r="AB536" s="610"/>
      <c r="AC536" s="610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7467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7637.880000000001</v>
      </c>
      <c r="Z541" s="37"/>
      <c r="AA541" s="618"/>
      <c r="AB541" s="618"/>
      <c r="AC541" s="618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37" t="s">
        <v>67</v>
      </c>
      <c r="X542" s="617">
        <f>IFERROR(SUM(BM22:BM538),"0")</f>
        <v>7896.4359560508738</v>
      </c>
      <c r="Y542" s="617">
        <f>IFERROR(SUM(BN22:BN538),"0")</f>
        <v>8076.9650000000001</v>
      </c>
      <c r="Z542" s="37"/>
      <c r="AA542" s="618"/>
      <c r="AB542" s="618"/>
      <c r="AC542" s="618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37" t="s">
        <v>840</v>
      </c>
      <c r="X543" s="38">
        <f>ROUNDUP(SUM(BO22:BO538),0)</f>
        <v>14</v>
      </c>
      <c r="Y543" s="38">
        <f>ROUNDUP(SUM(BP22:BP538),0)</f>
        <v>14</v>
      </c>
      <c r="Z543" s="37"/>
      <c r="AA543" s="618"/>
      <c r="AB543" s="618"/>
      <c r="AC543" s="618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37" t="s">
        <v>67</v>
      </c>
      <c r="X544" s="617">
        <f>GrossWeightTotal+PalletQtyTotal*25</f>
        <v>8246.4359560508747</v>
      </c>
      <c r="Y544" s="617">
        <f>GrossWeightTotalR+PalletQtyTotalR*25</f>
        <v>8426.9650000000001</v>
      </c>
      <c r="Z544" s="37"/>
      <c r="AA544" s="618"/>
      <c r="AB544" s="618"/>
      <c r="AC544" s="618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1366.2466279049613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1398</v>
      </c>
      <c r="Z545" s="37"/>
      <c r="AA545" s="618"/>
      <c r="AB545" s="618"/>
      <c r="AC545" s="618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15.880850000000001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612" t="s">
        <v>765</v>
      </c>
      <c r="AA548" s="651" t="s">
        <v>812</v>
      </c>
      <c r="AB548" s="702"/>
      <c r="AC548" s="52"/>
      <c r="AF548" s="613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613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52"/>
      <c r="AF549" s="613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13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62.000000000000007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251.2</v>
      </c>
      <c r="F551" s="46">
        <f>IFERROR(Y88*1,"0")+IFERROR(Y89*1,"0")+IFERROR(Y90*1,"0")+IFERROR(Y91*1,"0")+IFERROR(Y95*1,"0")+IFERROR(Y96*1,"0")+IFERROR(Y97*1,"0")+IFERROR(Y98*1,"0")</f>
        <v>361.8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576.66</v>
      </c>
      <c r="H551" s="46">
        <f>IFERROR(Y132*1,"0")+IFERROR(Y133*1,"0")+IFERROR(Y137*1,"0")+IFERROR(Y138*1,"0")+IFERROR(Y142*1,"0")+IFERROR(Y143*1,"0")</f>
        <v>51.84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490.14000000000004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317.8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1005.6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12.6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40.799999999999997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210.6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548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2418</v>
      </c>
      <c r="W551" s="46">
        <f>IFERROR(Y441*1,"0")+IFERROR(Y442*1,"0")+IFERROR(Y446*1,"0")+IFERROR(Y450*1,"0")+IFERROR(Y451*1,"0")+IFERROR(Y452*1,"0")</f>
        <v>198</v>
      </c>
      <c r="X551" s="46">
        <f>IFERROR(Y458*1,"0")+IFERROR(Y459*1,"0")+IFERROR(Y460*1,"0")+IFERROR(Y461*1,"0")+IFERROR(Y462*1,"0")+IFERROR(Y463*1,"0")+IFERROR(Y467*1,"0")+IFERROR(Y468*1,"0")</f>
        <v>37.800000000000004</v>
      </c>
      <c r="Y551" s="46">
        <f>IFERROR(Y473*1,"0")+IFERROR(Y477*1,"0")+IFERROR(Y478*1,"0")+IFERROR(Y479*1,"0")</f>
        <v>21.6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1033.44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2026-07-22T09:41:01Z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