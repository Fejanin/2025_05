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CEB3935-BE9D-4E49-897B-7CD6D7DBA7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Sheet!$A$3:$AD$111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3" i="1" l="1"/>
  <c r="S107" i="1"/>
  <c r="AD107" i="1" s="1"/>
  <c r="S103" i="1"/>
  <c r="AD103" i="1" s="1"/>
  <c r="S101" i="1"/>
  <c r="AD101" i="1" s="1"/>
  <c r="S97" i="1"/>
  <c r="AD97" i="1" s="1"/>
  <c r="S96" i="1"/>
  <c r="AD96" i="1" s="1"/>
  <c r="S95" i="1"/>
  <c r="AD95" i="1" s="1"/>
  <c r="S94" i="1"/>
  <c r="S93" i="1"/>
  <c r="AD93" i="1" s="1"/>
  <c r="S86" i="1"/>
  <c r="S84" i="1"/>
  <c r="AD84" i="1" s="1"/>
  <c r="S83" i="1"/>
  <c r="AD83" i="1" s="1"/>
  <c r="S82" i="1"/>
  <c r="AD82" i="1" s="1"/>
  <c r="S81" i="1"/>
  <c r="AD81" i="1" s="1"/>
  <c r="S79" i="1"/>
  <c r="AD79" i="1" s="1"/>
  <c r="S77" i="1"/>
  <c r="AD77" i="1" s="1"/>
  <c r="AD75" i="1"/>
  <c r="S73" i="1"/>
  <c r="S71" i="1"/>
  <c r="S69" i="1"/>
  <c r="S66" i="1"/>
  <c r="AD66" i="1" s="1"/>
  <c r="S59" i="1"/>
  <c r="S55" i="1"/>
  <c r="S54" i="1"/>
  <c r="S52" i="1"/>
  <c r="AD52" i="1" s="1"/>
  <c r="S49" i="1"/>
  <c r="S47" i="1"/>
  <c r="S27" i="1"/>
  <c r="S26" i="1"/>
  <c r="S24" i="1"/>
  <c r="AD24" i="1" s="1"/>
  <c r="S22" i="1"/>
  <c r="S20" i="1"/>
  <c r="AD20" i="1" s="1"/>
  <c r="S10" i="1"/>
  <c r="S8" i="1"/>
  <c r="AD8" i="1" s="1"/>
  <c r="S7" i="1"/>
  <c r="S6" i="1"/>
  <c r="AD6" i="1" s="1"/>
  <c r="S9" i="1"/>
  <c r="S11" i="1"/>
  <c r="S12" i="1"/>
  <c r="AD12" i="1" s="1"/>
  <c r="S13" i="1"/>
  <c r="S19" i="1"/>
  <c r="S23" i="1"/>
  <c r="S25" i="1"/>
  <c r="S28" i="1"/>
  <c r="AD28" i="1" s="1"/>
  <c r="S30" i="1"/>
  <c r="S31" i="1"/>
  <c r="S35" i="1"/>
  <c r="S37" i="1"/>
  <c r="S38" i="1"/>
  <c r="S42" i="1"/>
  <c r="AD42" i="1" s="1"/>
  <c r="S43" i="1"/>
  <c r="S44" i="1"/>
  <c r="AD44" i="1" s="1"/>
  <c r="S46" i="1"/>
  <c r="S56" i="1"/>
  <c r="AD56" i="1" s="1"/>
  <c r="S57" i="1"/>
  <c r="S60" i="1"/>
  <c r="AD60" i="1" s="1"/>
  <c r="S64" i="1"/>
  <c r="AD64" i="1" s="1"/>
  <c r="S65" i="1"/>
  <c r="S67" i="1"/>
  <c r="S68" i="1"/>
  <c r="AD68" i="1" s="1"/>
  <c r="S74" i="1"/>
  <c r="S76" i="1"/>
  <c r="AD76" i="1" s="1"/>
  <c r="S85" i="1"/>
  <c r="AD85" i="1" s="1"/>
  <c r="S88" i="1"/>
  <c r="AD88" i="1" s="1"/>
  <c r="S89" i="1"/>
  <c r="AD89" i="1" s="1"/>
  <c r="S92" i="1"/>
  <c r="AD92" i="1" s="1"/>
  <c r="S98" i="1"/>
  <c r="S99" i="1"/>
  <c r="AD99" i="1" s="1"/>
  <c r="S100" i="1"/>
  <c r="AD100" i="1" s="1"/>
  <c r="S102" i="1"/>
  <c r="AD102" i="1" s="1"/>
  <c r="S105" i="1"/>
  <c r="AD105" i="1" s="1"/>
  <c r="S106" i="1"/>
  <c r="AD106" i="1" s="1"/>
  <c r="S108" i="1"/>
  <c r="S109" i="1"/>
  <c r="S110" i="1"/>
  <c r="S111" i="1"/>
  <c r="AD67" i="1" l="1"/>
  <c r="AD57" i="1"/>
  <c r="AD43" i="1"/>
  <c r="AD35" i="1"/>
  <c r="AD25" i="1"/>
  <c r="AD19" i="1"/>
  <c r="AD9" i="1"/>
  <c r="AD7" i="1"/>
  <c r="AD47" i="1"/>
  <c r="AD59" i="1"/>
  <c r="AD69" i="1"/>
  <c r="AD73" i="1"/>
  <c r="AD98" i="1"/>
  <c r="AD94" i="1"/>
  <c r="AD86" i="1"/>
  <c r="AD74" i="1"/>
  <c r="AD54" i="1"/>
  <c r="AD46" i="1"/>
  <c r="AD38" i="1"/>
  <c r="AD30" i="1"/>
  <c r="AD26" i="1"/>
  <c r="AD22" i="1"/>
  <c r="AD10" i="1"/>
  <c r="AD65" i="1"/>
  <c r="AD37" i="1"/>
  <c r="AD31" i="1"/>
  <c r="AD23" i="1"/>
  <c r="AD13" i="1"/>
  <c r="AD11" i="1"/>
  <c r="AD27" i="1"/>
  <c r="AD49" i="1"/>
  <c r="AD53" i="1"/>
  <c r="AD55" i="1"/>
  <c r="AD71" i="1"/>
  <c r="Q7" i="1"/>
  <c r="V7" i="1" s="1"/>
  <c r="Q8" i="1"/>
  <c r="V8" i="1" s="1"/>
  <c r="Q9" i="1"/>
  <c r="V9" i="1" s="1"/>
  <c r="Q10" i="1"/>
  <c r="V10" i="1" s="1"/>
  <c r="Q11" i="1"/>
  <c r="V11" i="1" s="1"/>
  <c r="Q12" i="1"/>
  <c r="V12" i="1" s="1"/>
  <c r="Q13" i="1"/>
  <c r="V13" i="1" s="1"/>
  <c r="Q14" i="1"/>
  <c r="Q15" i="1"/>
  <c r="Q16" i="1"/>
  <c r="Q17" i="1"/>
  <c r="Q18" i="1"/>
  <c r="Q19" i="1"/>
  <c r="V19" i="1" s="1"/>
  <c r="Q20" i="1"/>
  <c r="V20" i="1" s="1"/>
  <c r="Q21" i="1"/>
  <c r="Q22" i="1"/>
  <c r="V22" i="1" s="1"/>
  <c r="Q23" i="1"/>
  <c r="V23" i="1" s="1"/>
  <c r="Q24" i="1"/>
  <c r="V24" i="1" s="1"/>
  <c r="Q25" i="1"/>
  <c r="V25" i="1" s="1"/>
  <c r="Q26" i="1"/>
  <c r="V26" i="1" s="1"/>
  <c r="Q27" i="1"/>
  <c r="V27" i="1" s="1"/>
  <c r="Q28" i="1"/>
  <c r="V28" i="1" s="1"/>
  <c r="Q29" i="1"/>
  <c r="Q30" i="1"/>
  <c r="V30" i="1" s="1"/>
  <c r="Q31" i="1"/>
  <c r="V31" i="1" s="1"/>
  <c r="Q32" i="1"/>
  <c r="Q33" i="1"/>
  <c r="Q34" i="1"/>
  <c r="Q35" i="1"/>
  <c r="V35" i="1" s="1"/>
  <c r="Q36" i="1"/>
  <c r="R36" i="1" s="1"/>
  <c r="S36" i="1" s="1"/>
  <c r="Q37" i="1"/>
  <c r="V37" i="1" s="1"/>
  <c r="Q38" i="1"/>
  <c r="V38" i="1" s="1"/>
  <c r="Q39" i="1"/>
  <c r="R39" i="1" s="1"/>
  <c r="S39" i="1" s="1"/>
  <c r="Q40" i="1"/>
  <c r="Q41" i="1"/>
  <c r="Q42" i="1"/>
  <c r="V42" i="1" s="1"/>
  <c r="Q43" i="1"/>
  <c r="V43" i="1" s="1"/>
  <c r="Q44" i="1"/>
  <c r="V44" i="1" s="1"/>
  <c r="Q45" i="1"/>
  <c r="Q46" i="1"/>
  <c r="V46" i="1" s="1"/>
  <c r="Q47" i="1"/>
  <c r="V47" i="1" s="1"/>
  <c r="Q48" i="1"/>
  <c r="Q49" i="1"/>
  <c r="V49" i="1" s="1"/>
  <c r="Q50" i="1"/>
  <c r="Q51" i="1"/>
  <c r="Q52" i="1"/>
  <c r="V52" i="1" s="1"/>
  <c r="Q53" i="1"/>
  <c r="V53" i="1" s="1"/>
  <c r="Q54" i="1"/>
  <c r="V54" i="1" s="1"/>
  <c r="Q55" i="1"/>
  <c r="V55" i="1" s="1"/>
  <c r="Q56" i="1"/>
  <c r="V56" i="1" s="1"/>
  <c r="Q57" i="1"/>
  <c r="V57" i="1" s="1"/>
  <c r="Q58" i="1"/>
  <c r="Q59" i="1"/>
  <c r="R59" i="1" s="1"/>
  <c r="Q60" i="1"/>
  <c r="V60" i="1" s="1"/>
  <c r="Q61" i="1"/>
  <c r="Q62" i="1"/>
  <c r="Q63" i="1"/>
  <c r="Q64" i="1"/>
  <c r="V64" i="1" s="1"/>
  <c r="Q65" i="1"/>
  <c r="V65" i="1" s="1"/>
  <c r="Q66" i="1"/>
  <c r="V66" i="1" s="1"/>
  <c r="Q67" i="1"/>
  <c r="V67" i="1" s="1"/>
  <c r="Q68" i="1"/>
  <c r="V68" i="1" s="1"/>
  <c r="Q69" i="1"/>
  <c r="V69" i="1" s="1"/>
  <c r="Q70" i="1"/>
  <c r="Q71" i="1"/>
  <c r="V71" i="1" s="1"/>
  <c r="Q72" i="1"/>
  <c r="Q73" i="1"/>
  <c r="R73" i="1" s="1"/>
  <c r="Q74" i="1"/>
  <c r="V74" i="1" s="1"/>
  <c r="Q75" i="1"/>
  <c r="V75" i="1" s="1"/>
  <c r="Q76" i="1"/>
  <c r="V76" i="1" s="1"/>
  <c r="Q77" i="1"/>
  <c r="V77" i="1" s="1"/>
  <c r="Q78" i="1"/>
  <c r="Q79" i="1"/>
  <c r="V79" i="1" s="1"/>
  <c r="Q80" i="1"/>
  <c r="Q81" i="1"/>
  <c r="V81" i="1" s="1"/>
  <c r="Q82" i="1"/>
  <c r="V82" i="1" s="1"/>
  <c r="Q83" i="1"/>
  <c r="V83" i="1" s="1"/>
  <c r="Q84" i="1"/>
  <c r="V84" i="1" s="1"/>
  <c r="Q85" i="1"/>
  <c r="V85" i="1" s="1"/>
  <c r="Q86" i="1"/>
  <c r="V86" i="1" s="1"/>
  <c r="Q87" i="1"/>
  <c r="Q88" i="1"/>
  <c r="V88" i="1" s="1"/>
  <c r="Q89" i="1"/>
  <c r="V89" i="1" s="1"/>
  <c r="Q90" i="1"/>
  <c r="Q91" i="1"/>
  <c r="Q92" i="1"/>
  <c r="V92" i="1" s="1"/>
  <c r="Q93" i="1"/>
  <c r="V93" i="1" s="1"/>
  <c r="Q94" i="1"/>
  <c r="V94" i="1" s="1"/>
  <c r="Q95" i="1"/>
  <c r="V95" i="1" s="1"/>
  <c r="Q96" i="1"/>
  <c r="V96" i="1" s="1"/>
  <c r="Q97" i="1"/>
  <c r="V97" i="1" s="1"/>
  <c r="Q98" i="1"/>
  <c r="V98" i="1" s="1"/>
  <c r="Q99" i="1"/>
  <c r="V99" i="1" s="1"/>
  <c r="Q100" i="1"/>
  <c r="V100" i="1" s="1"/>
  <c r="Q101" i="1"/>
  <c r="V101" i="1" s="1"/>
  <c r="Q102" i="1"/>
  <c r="V102" i="1" s="1"/>
  <c r="Q103" i="1"/>
  <c r="V103" i="1" s="1"/>
  <c r="Q104" i="1"/>
  <c r="Q105" i="1"/>
  <c r="V105" i="1" s="1"/>
  <c r="Q106" i="1"/>
  <c r="V106" i="1" s="1"/>
  <c r="Q107" i="1"/>
  <c r="V107" i="1" s="1"/>
  <c r="Q108" i="1"/>
  <c r="V108" i="1" s="1"/>
  <c r="Q109" i="1"/>
  <c r="V109" i="1" s="1"/>
  <c r="Q110" i="1"/>
  <c r="V110" i="1" s="1"/>
  <c r="Q111" i="1"/>
  <c r="V111" i="1" s="1"/>
  <c r="Q6" i="1"/>
  <c r="V6" i="1" s="1"/>
  <c r="I40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6" i="1"/>
  <c r="AD39" i="1" l="1"/>
  <c r="V39" i="1"/>
  <c r="V73" i="1"/>
  <c r="V59" i="1"/>
  <c r="AD36" i="1"/>
  <c r="V36" i="1"/>
  <c r="W100" i="1"/>
  <c r="R80" i="1"/>
  <c r="S80" i="1" s="1"/>
  <c r="W80" i="1"/>
  <c r="W60" i="1"/>
  <c r="W40" i="1"/>
  <c r="R40" i="1"/>
  <c r="S40" i="1" s="1"/>
  <c r="W20" i="1"/>
  <c r="R20" i="1"/>
  <c r="W99" i="1"/>
  <c r="W79" i="1"/>
  <c r="R79" i="1"/>
  <c r="W59" i="1"/>
  <c r="W39" i="1"/>
  <c r="W19" i="1"/>
  <c r="W98" i="1"/>
  <c r="R78" i="1"/>
  <c r="S78" i="1" s="1"/>
  <c r="W78" i="1"/>
  <c r="R58" i="1"/>
  <c r="S58" i="1" s="1"/>
  <c r="W58" i="1"/>
  <c r="W38" i="1"/>
  <c r="R18" i="1"/>
  <c r="S18" i="1" s="1"/>
  <c r="W18" i="1"/>
  <c r="R97" i="1"/>
  <c r="W97" i="1"/>
  <c r="R77" i="1"/>
  <c r="W77" i="1"/>
  <c r="W57" i="1"/>
  <c r="W37" i="1"/>
  <c r="R17" i="1"/>
  <c r="S17" i="1" s="1"/>
  <c r="W17" i="1"/>
  <c r="W96" i="1"/>
  <c r="R96" i="1"/>
  <c r="W76" i="1"/>
  <c r="W56" i="1"/>
  <c r="W36" i="1"/>
  <c r="R16" i="1"/>
  <c r="S16" i="1" s="1"/>
  <c r="W16" i="1"/>
  <c r="W95" i="1"/>
  <c r="W75" i="1"/>
  <c r="R75" i="1"/>
  <c r="R55" i="1"/>
  <c r="W55" i="1"/>
  <c r="W35" i="1"/>
  <c r="R15" i="1"/>
  <c r="S15" i="1" s="1"/>
  <c r="W15" i="1"/>
  <c r="W94" i="1"/>
  <c r="W74" i="1"/>
  <c r="R54" i="1"/>
  <c r="W54" i="1"/>
  <c r="R34" i="1"/>
  <c r="S34" i="1" s="1"/>
  <c r="W34" i="1"/>
  <c r="R14" i="1"/>
  <c r="S14" i="1" s="1"/>
  <c r="W14" i="1"/>
  <c r="W93" i="1"/>
  <c r="R93" i="1"/>
  <c r="W73" i="1"/>
  <c r="W53" i="1"/>
  <c r="R33" i="1"/>
  <c r="S33" i="1" s="1"/>
  <c r="W33" i="1"/>
  <c r="W13" i="1"/>
  <c r="R6" i="1"/>
  <c r="W6" i="1"/>
  <c r="W92" i="1"/>
  <c r="W72" i="1"/>
  <c r="R72" i="1"/>
  <c r="S72" i="1" s="1"/>
  <c r="W52" i="1"/>
  <c r="R52" i="1"/>
  <c r="R32" i="1"/>
  <c r="S32" i="1" s="1"/>
  <c r="W32" i="1"/>
  <c r="W12" i="1"/>
  <c r="W111" i="1"/>
  <c r="R91" i="1"/>
  <c r="S91" i="1" s="1"/>
  <c r="W91" i="1"/>
  <c r="R71" i="1"/>
  <c r="W71" i="1"/>
  <c r="W51" i="1"/>
  <c r="R51" i="1"/>
  <c r="S51" i="1" s="1"/>
  <c r="W31" i="1"/>
  <c r="W11" i="1"/>
  <c r="W110" i="1"/>
  <c r="R90" i="1"/>
  <c r="S90" i="1" s="1"/>
  <c r="W90" i="1"/>
  <c r="R70" i="1"/>
  <c r="S70" i="1" s="1"/>
  <c r="W70" i="1"/>
  <c r="R50" i="1"/>
  <c r="S50" i="1" s="1"/>
  <c r="W50" i="1"/>
  <c r="W30" i="1"/>
  <c r="W10" i="1"/>
  <c r="R10" i="1"/>
  <c r="W109" i="1"/>
  <c r="W89" i="1"/>
  <c r="R69" i="1"/>
  <c r="W69" i="1"/>
  <c r="R49" i="1"/>
  <c r="W49" i="1"/>
  <c r="R29" i="1"/>
  <c r="S29" i="1" s="1"/>
  <c r="W29" i="1"/>
  <c r="W9" i="1"/>
  <c r="W108" i="1"/>
  <c r="W88" i="1"/>
  <c r="W68" i="1"/>
  <c r="R48" i="1"/>
  <c r="S48" i="1" s="1"/>
  <c r="W48" i="1"/>
  <c r="W28" i="1"/>
  <c r="W8" i="1"/>
  <c r="R107" i="1"/>
  <c r="W107" i="1"/>
  <c r="R87" i="1"/>
  <c r="S87" i="1" s="1"/>
  <c r="W87" i="1"/>
  <c r="W67" i="1"/>
  <c r="R47" i="1"/>
  <c r="W47" i="1"/>
  <c r="R27" i="1"/>
  <c r="W27" i="1"/>
  <c r="W7" i="1"/>
  <c r="W106" i="1"/>
  <c r="W86" i="1"/>
  <c r="R86" i="1"/>
  <c r="W66" i="1"/>
  <c r="W46" i="1"/>
  <c r="W26" i="1"/>
  <c r="W105" i="1"/>
  <c r="W85" i="1"/>
  <c r="W65" i="1"/>
  <c r="W45" i="1"/>
  <c r="R45" i="1"/>
  <c r="S45" i="1" s="1"/>
  <c r="W25" i="1"/>
  <c r="W104" i="1"/>
  <c r="R104" i="1"/>
  <c r="S104" i="1" s="1"/>
  <c r="W84" i="1"/>
  <c r="W64" i="1"/>
  <c r="W44" i="1"/>
  <c r="W24" i="1"/>
  <c r="R24" i="1"/>
  <c r="W103" i="1"/>
  <c r="R103" i="1"/>
  <c r="W83" i="1"/>
  <c r="W63" i="1"/>
  <c r="R63" i="1"/>
  <c r="S63" i="1" s="1"/>
  <c r="W43" i="1"/>
  <c r="W23" i="1"/>
  <c r="W102" i="1"/>
  <c r="W82" i="1"/>
  <c r="R82" i="1"/>
  <c r="W62" i="1"/>
  <c r="R62" i="1"/>
  <c r="S62" i="1" s="1"/>
  <c r="W42" i="1"/>
  <c r="W22" i="1"/>
  <c r="R101" i="1"/>
  <c r="W101" i="1"/>
  <c r="W81" i="1"/>
  <c r="W61" i="1"/>
  <c r="R61" i="1"/>
  <c r="S61" i="1" s="1"/>
  <c r="W41" i="1"/>
  <c r="R41" i="1"/>
  <c r="S41" i="1" s="1"/>
  <c r="W21" i="1"/>
  <c r="R21" i="1"/>
  <c r="S21" i="1" s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B5" i="1"/>
  <c r="AA5" i="1"/>
  <c r="Z5" i="1"/>
  <c r="Y5" i="1"/>
  <c r="X5" i="1"/>
  <c r="T5" i="1"/>
  <c r="Q5" i="1"/>
  <c r="P5" i="1"/>
  <c r="O5" i="1"/>
  <c r="N5" i="1"/>
  <c r="M5" i="1"/>
  <c r="K5" i="1"/>
  <c r="F5" i="1"/>
  <c r="E5" i="1"/>
  <c r="V62" i="1" l="1"/>
  <c r="AD62" i="1"/>
  <c r="AD45" i="1"/>
  <c r="V45" i="1"/>
  <c r="AD87" i="1"/>
  <c r="V87" i="1"/>
  <c r="AD48" i="1"/>
  <c r="V48" i="1"/>
  <c r="AD29" i="1"/>
  <c r="V29" i="1"/>
  <c r="AD91" i="1"/>
  <c r="V91" i="1"/>
  <c r="AD32" i="1"/>
  <c r="V32" i="1"/>
  <c r="AD33" i="1"/>
  <c r="V33" i="1"/>
  <c r="V14" i="1"/>
  <c r="AD14" i="1"/>
  <c r="V34" i="1"/>
  <c r="AD34" i="1"/>
  <c r="AD15" i="1"/>
  <c r="V15" i="1"/>
  <c r="AD16" i="1"/>
  <c r="V16" i="1"/>
  <c r="V58" i="1"/>
  <c r="AD58" i="1"/>
  <c r="V78" i="1"/>
  <c r="AD78" i="1"/>
  <c r="AD40" i="1"/>
  <c r="V40" i="1"/>
  <c r="AD80" i="1"/>
  <c r="V80" i="1"/>
  <c r="AD21" i="1"/>
  <c r="V21" i="1"/>
  <c r="AD41" i="1"/>
  <c r="V41" i="1"/>
  <c r="AD61" i="1"/>
  <c r="V61" i="1"/>
  <c r="AD63" i="1"/>
  <c r="V63" i="1"/>
  <c r="AD104" i="1"/>
  <c r="V104" i="1"/>
  <c r="V50" i="1"/>
  <c r="AD50" i="1"/>
  <c r="V70" i="1"/>
  <c r="AD70" i="1"/>
  <c r="V90" i="1"/>
  <c r="AD90" i="1"/>
  <c r="AD51" i="1"/>
  <c r="V51" i="1"/>
  <c r="AD72" i="1"/>
  <c r="V72" i="1"/>
  <c r="AD17" i="1"/>
  <c r="V17" i="1"/>
  <c r="V18" i="1"/>
  <c r="AD18" i="1"/>
  <c r="S5" i="1"/>
  <c r="R5" i="1"/>
  <c r="L5" i="1"/>
  <c r="AD5" i="1" l="1"/>
</calcChain>
</file>

<file path=xl/sharedStrings.xml><?xml version="1.0" encoding="utf-8"?>
<sst xmlns="http://schemas.openxmlformats.org/spreadsheetml/2006/main" count="281" uniqueCount="147">
  <si>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</si>
  <si>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</si>
  <si>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</si>
  <si>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</si>
  <si>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</si>
  <si>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</si>
  <si>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</si>
  <si>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</si>
  <si>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</si>
  <si>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</si>
  <si>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</si>
  <si>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</si>
  <si>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</si>
  <si>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</si>
  <si>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</si>
  <si>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</si>
  <si>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</si>
  <si>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</si>
  <si>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</si>
  <si>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</si>
  <si>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</si>
  <si>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</si>
  <si>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</si>
  <si>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</si>
  <si>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</si>
  <si>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27,06,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</si>
  <si>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</si>
  <si>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</si>
  <si>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</si>
  <si>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</si>
  <si>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</si>
  <si>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</si>
  <si>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</si>
  <si>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</si>
  <si>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промо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</si>
  <si>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</si>
  <si>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</si>
  <si>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</si>
  <si>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</si>
  <si>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</si>
  <si>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</si>
  <si>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</si>
  <si>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</si>
  <si>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</si>
  <si>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</si>
  <si>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</si>
  <si>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</si>
  <si>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</si>
  <si>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</si>
  <si>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</si>
  <si>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</si>
  <si>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</si>
  <si>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</si>
  <si>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</si>
  <si>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</si>
  <si>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</si>
  <si>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</si>
  <si>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</si>
  <si>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</si>
  <si>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</si>
  <si>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</si>
  <si>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</si>
  <si>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</si>
  <si>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</si>
  <si>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</si>
  <si>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</si>
  <si>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</si>
  <si>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</si>
  <si>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</si>
  <si>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</si>
  <si>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</si>
  <si>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</si>
  <si>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</si>
  <si>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</si>
  <si>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</si>
  <si>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</si>
  <si>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</si>
  <si>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</si>
  <si>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</si>
  <si>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</si>
  <si>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</si>
  <si>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</si>
  <si>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</si>
  <si>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</si>
  <si>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</si>
  <si>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</si>
  <si>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</si>
  <si>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</si>
  <si>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</si>
  <si>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</si>
  <si>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</si>
  <si>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</si>
  <si>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</si>
  <si>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</si>
  <si>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</si>
  <si>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</si>
  <si>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</si>
  <si>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</si>
  <si>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</si>
  <si>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</si>
  <si>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</si>
  <si>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</si>
  <si>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</si>
  <si>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</si>
  <si>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</si>
  <si>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</si>
  <si>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</si>
  <si>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</si>
  <si>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</si>
  <si>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</si>
  <si>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</si>
  <si>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</si>
  <si>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</si>
  <si>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</si>
  <si>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</si>
  <si>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</si>
  <si>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</si>
  <si>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</si>
  <si>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</si>
  <si>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</si>
  <si>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</si>
  <si>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</si>
  <si>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</si>
  <si>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</si>
  <si>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</si>
  <si>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</si>
  <si>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</si>
  <si>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</si>
  <si>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</si>
  <si>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</si>
  <si>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</si>
  <si>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</si>
  <si>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</si>
  <si>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</si>
  <si>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</si>
  <si>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</si>
  <si>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</si>
  <si>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Копченые колбасы «Балыковая » Фикс.вес 0,09 нарезка ТМ «Вязанка»</t>
  </si>
  <si>
    <t>Копченые колбасы «Сервелат Ореховый» Фикс.вес 0,09 нарезка ТМ «Вязанка»</t>
  </si>
  <si>
    <t>Копченые колбасы «Сервелат Финский» Фикс.вес 0,09 нарезка ТМ «Вязанка»</t>
  </si>
  <si>
    <t>Копченые колбасы «Сервелат Финский» Фикс.вес 0,28 фиброуз срез ТМ «Вязанка»</t>
  </si>
  <si>
    <t>нет потребности</t>
  </si>
  <si>
    <t>397 кг отправили в Крым (24,06,26)</t>
  </si>
  <si>
    <t>Промо</t>
  </si>
  <si>
    <t>На остатке брак 581 кг</t>
  </si>
  <si>
    <t>на остатках брак 581кг (инфа от Боярко)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</si>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</sst>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2" fontId="0" fillId="5" borderId="0" xfId="0" applyNumberFormat="1" applyFill="1" applyBorder="1"/>
    <xf numFmtId="164" fontId="1" fillId="5" borderId="2" xfId="1" applyNumberFormat="1" applyFill="1" applyBorder="1"/>
    <xf numFmtId="164" fontId="1" fillId="6" borderId="2" xfId="1" applyNumberFormat="1" applyFill="1" applyBorder="1"/>
    <xf numFmtId="164" fontId="4" fillId="0" borderId="1" xfId="1" applyNumberFormat="1" applyFont="1"/>
    <xf numFmtId="164" fontId="1" fillId="6" borderId="1" xfId="1" applyNumberForma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5;&#1054;&#1050;&#1054;&#1052;%20&#1050;&#1048;\&#1041;&#1077;&#1088;&#1076;&#1103;&#1085;&#1089;&#1082;\&#1044;&#1074;.%2023.06.2026%20&#1055;&#1086;&#1082;&#1086;&#1084;%20&#1050;&#1048;%20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16.06.2026 - 23.06.2026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Количество</v>
          </cell>
        </row>
        <row r="9">
          <cell r="C9" t="str">
            <v>Начальный остаток</v>
          </cell>
          <cell r="D9" t="str">
            <v>Приход</v>
          </cell>
          <cell r="E9" t="str">
            <v>Расход</v>
          </cell>
          <cell r="F9" t="str">
            <v>Конечный остаток</v>
          </cell>
        </row>
        <row r="10">
          <cell r="C10">
            <v>15404.116999999998</v>
          </cell>
          <cell r="D10">
            <v>26202.249</v>
          </cell>
          <cell r="E10">
            <v>23774.091</v>
          </cell>
          <cell r="F10">
            <v>15573.019000000002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92.474999999999994</v>
          </cell>
          <cell r="D11">
            <v>347.29300000000001</v>
          </cell>
          <cell r="E11">
            <v>233.524</v>
          </cell>
          <cell r="F11">
            <v>193.554</v>
          </cell>
          <cell r="G11" t="str">
            <v>P003011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135.905</v>
          </cell>
          <cell r="D12">
            <v>406.36399999999998</v>
          </cell>
          <cell r="E12">
            <v>222.65</v>
          </cell>
          <cell r="F12">
            <v>322.33199999999999</v>
          </cell>
          <cell r="G12" t="str">
            <v>P003986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204.12299999999999</v>
          </cell>
          <cell r="D13">
            <v>183.00899999999999</v>
          </cell>
          <cell r="E13">
            <v>235.98699999999999</v>
          </cell>
          <cell r="F13">
            <v>117.69</v>
          </cell>
          <cell r="G13" t="str">
            <v>P003988</v>
          </cell>
        </row>
        <row r="14">
          <cell r="A14" t="str">
            <v xml:space="preserve"> 030  Сосиски Вязанка Молочные, Вязанка вискофан МГС, 0.45кг, ПОКОМ</v>
          </cell>
          <cell r="B14" t="str">
            <v>шт</v>
          </cell>
          <cell r="C14">
            <v>641.60699999999997</v>
          </cell>
          <cell r="D14">
            <v>182</v>
          </cell>
          <cell r="E14">
            <v>799</v>
          </cell>
          <cell r="F14">
            <v>2.6070000000000002</v>
          </cell>
          <cell r="G14" t="str">
            <v>P003985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 t="str">
            <v>шт</v>
          </cell>
          <cell r="C15">
            <v>400</v>
          </cell>
          <cell r="D15">
            <v>649</v>
          </cell>
          <cell r="E15">
            <v>630</v>
          </cell>
          <cell r="F15">
            <v>399</v>
          </cell>
          <cell r="G15" t="str">
            <v>P003989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 t="str">
            <v>шт</v>
          </cell>
          <cell r="C16">
            <v>87</v>
          </cell>
          <cell r="D16">
            <v>60</v>
          </cell>
          <cell r="E16">
            <v>86</v>
          </cell>
          <cell r="F16">
            <v>62</v>
          </cell>
          <cell r="G16" t="str">
            <v>P002290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 t="str">
            <v>шт</v>
          </cell>
          <cell r="C17">
            <v>215</v>
          </cell>
          <cell r="E17">
            <v>155</v>
          </cell>
          <cell r="F17">
            <v>55</v>
          </cell>
          <cell r="G17" t="str">
            <v>P002461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82</v>
          </cell>
          <cell r="D18">
            <v>60</v>
          </cell>
          <cell r="E18">
            <v>98</v>
          </cell>
          <cell r="F18">
            <v>48</v>
          </cell>
          <cell r="G18" t="str">
            <v>P001909</v>
          </cell>
        </row>
        <row r="19">
          <cell r="A19" t="str">
            <v xml:space="preserve"> 200  Ветчина Дугушка ТМ Стародворье, вектор в/у    ПОКОМ</v>
          </cell>
          <cell r="B19" t="str">
            <v>кг</v>
          </cell>
          <cell r="C19">
            <v>6.1840000000000002</v>
          </cell>
          <cell r="D19">
            <v>822.75699999999995</v>
          </cell>
          <cell r="E19">
            <v>344.06200000000001</v>
          </cell>
          <cell r="F19">
            <v>460.37299999999999</v>
          </cell>
          <cell r="G19" t="str">
            <v>P004460</v>
          </cell>
        </row>
        <row r="20">
          <cell r="A20" t="str">
            <v xml:space="preserve"> 201  Ветчина Нежная ТМ Особый рецепт, (2,5кг), ПОКОМ</v>
          </cell>
          <cell r="B20" t="str">
            <v>кг</v>
          </cell>
          <cell r="C20">
            <v>486.79</v>
          </cell>
          <cell r="D20">
            <v>3527.1880000000001</v>
          </cell>
          <cell r="E20">
            <v>2062.7730000000001</v>
          </cell>
          <cell r="F20">
            <v>1577.6020000000001</v>
          </cell>
          <cell r="G20" t="str">
            <v>P002555</v>
          </cell>
        </row>
        <row r="21">
          <cell r="A21" t="str">
            <v xml:space="preserve"> 215  Колбаса Докторская ГОСТ Дугушка, ВЕС, ТМ Стародворье ПОКОМ</v>
          </cell>
          <cell r="B21" t="str">
            <v>кг</v>
          </cell>
          <cell r="C21">
            <v>51.095999999999997</v>
          </cell>
          <cell r="D21">
            <v>86.366</v>
          </cell>
          <cell r="E21">
            <v>85.527000000000001</v>
          </cell>
          <cell r="F21">
            <v>43.911000000000001</v>
          </cell>
          <cell r="G21" t="str">
            <v>P004028</v>
          </cell>
        </row>
        <row r="22">
          <cell r="A22" t="str">
            <v xml:space="preserve"> 219  Колбаса Докторская Особая ТМ Особый рецепт, ВЕС  ПОКОМ</v>
          </cell>
          <cell r="B22" t="str">
            <v>кг</v>
          </cell>
          <cell r="C22">
            <v>659.25099999999998</v>
          </cell>
          <cell r="D22">
            <v>1251.527</v>
          </cell>
          <cell r="E22">
            <v>1131.847</v>
          </cell>
          <cell r="F22">
            <v>492.822</v>
          </cell>
          <cell r="G22" t="str">
            <v>P005077</v>
          </cell>
        </row>
        <row r="23">
          <cell r="A23" t="str">
            <v xml:space="preserve"> 225  Колбаса Дугушка со шпиком, ВЕС, ТМ Стародворье   ПОКОМ</v>
          </cell>
          <cell r="B23" t="str">
            <v>кг</v>
          </cell>
          <cell r="C23">
            <v>38.923000000000002</v>
          </cell>
          <cell r="D23">
            <v>31.742000000000001</v>
          </cell>
          <cell r="E23">
            <v>42.427</v>
          </cell>
          <cell r="F23">
            <v>29.132000000000001</v>
          </cell>
          <cell r="G23" t="str">
            <v>P004406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4.5220000000000002</v>
          </cell>
          <cell r="D24">
            <v>14.305</v>
          </cell>
          <cell r="E24">
            <v>5.3330000000000002</v>
          </cell>
          <cell r="F24">
            <v>13.851000000000001</v>
          </cell>
          <cell r="G24" t="str">
            <v>P001900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70.415999999999997</v>
          </cell>
          <cell r="D25">
            <v>637.53700000000003</v>
          </cell>
          <cell r="E25">
            <v>363.90800000000002</v>
          </cell>
          <cell r="F25">
            <v>325.65499999999997</v>
          </cell>
          <cell r="G25" t="str">
            <v>P004030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58.463000000000001</v>
          </cell>
          <cell r="D26">
            <v>137.958</v>
          </cell>
          <cell r="E26">
            <v>118.996</v>
          </cell>
          <cell r="F26">
            <v>72.724000000000004</v>
          </cell>
          <cell r="G26" t="str">
            <v>P004465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45.68</v>
          </cell>
          <cell r="D27">
            <v>147.38399999999999</v>
          </cell>
          <cell r="E27">
            <v>173.41200000000001</v>
          </cell>
          <cell r="F27">
            <v>7.4489999999999998</v>
          </cell>
          <cell r="G27" t="str">
            <v>P004466</v>
          </cell>
        </row>
        <row r="28">
          <cell r="A28" t="str">
            <v xml:space="preserve"> 240  Колбаса Салями охотничья, ВЕС. ПОКОМ</v>
          </cell>
          <cell r="B28" t="str">
            <v>кг</v>
          </cell>
          <cell r="C28">
            <v>40.802</v>
          </cell>
          <cell r="E28">
            <v>23.917999999999999</v>
          </cell>
          <cell r="F28">
            <v>16.882999999999999</v>
          </cell>
          <cell r="G28" t="str">
            <v>P001916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25.751000000000001</v>
          </cell>
          <cell r="D29">
            <v>312.99599999999998</v>
          </cell>
          <cell r="E29">
            <v>181.09100000000001</v>
          </cell>
          <cell r="F29">
            <v>159.399</v>
          </cell>
          <cell r="G29" t="str">
            <v>P004470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353.91699999999997</v>
          </cell>
          <cell r="E30">
            <v>260.42200000000003</v>
          </cell>
          <cell r="F30">
            <v>93.555999999999997</v>
          </cell>
          <cell r="G30" t="str">
            <v>P005080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580.78899999999999</v>
          </cell>
          <cell r="D31">
            <v>104.962</v>
          </cell>
          <cell r="E31">
            <v>86.518000000000001</v>
          </cell>
          <cell r="F31">
            <v>577.98299999999995</v>
          </cell>
          <cell r="G31" t="str">
            <v>P002536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358.89600000000002</v>
          </cell>
          <cell r="D32">
            <v>1111.4570000000001</v>
          </cell>
          <cell r="E32">
            <v>1088.2280000000001</v>
          </cell>
          <cell r="F32">
            <v>299.13799999999998</v>
          </cell>
          <cell r="G32" t="str">
            <v>P004844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7.5529999999999999</v>
          </cell>
          <cell r="E33">
            <v>7.5039999999999996</v>
          </cell>
          <cell r="F33">
            <v>-7.9000000000000001E-2</v>
          </cell>
          <cell r="G33" t="str">
            <v>P004843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39.651000000000003</v>
          </cell>
          <cell r="D34">
            <v>92.781999999999996</v>
          </cell>
          <cell r="E34">
            <v>40.18</v>
          </cell>
          <cell r="F34">
            <v>85.659000000000006</v>
          </cell>
          <cell r="G34" t="str">
            <v>P004913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66.578999999999994</v>
          </cell>
          <cell r="D35">
            <v>205.357</v>
          </cell>
          <cell r="E35">
            <v>156.21700000000001</v>
          </cell>
          <cell r="F35">
            <v>45.862000000000002</v>
          </cell>
          <cell r="G35" t="str">
            <v>P004896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41.862000000000002</v>
          </cell>
          <cell r="D36">
            <v>54.411000000000001</v>
          </cell>
          <cell r="E36">
            <v>92.54</v>
          </cell>
          <cell r="F36">
            <v>0.98699999999999999</v>
          </cell>
          <cell r="G36" t="str">
            <v>P004898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957</v>
          </cell>
          <cell r="D37">
            <v>1486</v>
          </cell>
          <cell r="E37">
            <v>1683</v>
          </cell>
          <cell r="F37">
            <v>759</v>
          </cell>
          <cell r="G37" t="str">
            <v>P003957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-46</v>
          </cell>
          <cell r="D38">
            <v>416</v>
          </cell>
          <cell r="E38">
            <v>227</v>
          </cell>
          <cell r="F38">
            <v>121</v>
          </cell>
          <cell r="G38" t="str">
            <v>P003103</v>
          </cell>
        </row>
        <row r="39">
          <cell r="A39" t="str">
            <v xml:space="preserve"> 278  Сосиски Сочинки с сочным окороком, МГС 0.4кг,   ПОКОМ</v>
          </cell>
          <cell r="B39" t="str">
            <v>шт</v>
          </cell>
          <cell r="C39">
            <v>715</v>
          </cell>
          <cell r="D39">
            <v>451</v>
          </cell>
          <cell r="E39">
            <v>690</v>
          </cell>
          <cell r="F39">
            <v>466</v>
          </cell>
          <cell r="G39" t="str">
            <v>P003958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C40">
            <v>110</v>
          </cell>
          <cell r="D40">
            <v>18</v>
          </cell>
          <cell r="E40">
            <v>115</v>
          </cell>
          <cell r="F40">
            <v>-6</v>
          </cell>
          <cell r="G40" t="str">
            <v>P005198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15.994999999999999</v>
          </cell>
          <cell r="D41">
            <v>17.463000000000001</v>
          </cell>
          <cell r="E41">
            <v>7.181</v>
          </cell>
          <cell r="F41">
            <v>24.762</v>
          </cell>
          <cell r="G41" t="str">
            <v>Р003959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4</v>
          </cell>
          <cell r="D42">
            <v>60</v>
          </cell>
          <cell r="E42">
            <v>46</v>
          </cell>
          <cell r="F42">
            <v>18</v>
          </cell>
          <cell r="G42" t="str">
            <v>P002648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31</v>
          </cell>
          <cell r="D43">
            <v>43</v>
          </cell>
          <cell r="E43">
            <v>66</v>
          </cell>
          <cell r="F43">
            <v>-1</v>
          </cell>
          <cell r="G43" t="str">
            <v>P003256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8.9999999999999993E-3</v>
          </cell>
          <cell r="D44">
            <v>73.703999999999994</v>
          </cell>
          <cell r="E44">
            <v>-1.4279999999999999</v>
          </cell>
          <cell r="F44">
            <v>67.918999999999997</v>
          </cell>
          <cell r="G44" t="str">
            <v>P003179</v>
          </cell>
        </row>
        <row r="45">
          <cell r="A45" t="str">
            <v xml:space="preserve"> 298  Колбаса Сливушка ТМ Вязанка, 0,375кг,  ПОКОМ</v>
          </cell>
          <cell r="B45" t="str">
            <v>шт</v>
          </cell>
          <cell r="C45">
            <v>160</v>
          </cell>
          <cell r="E45">
            <v>39</v>
          </cell>
          <cell r="F45">
            <v>121</v>
          </cell>
          <cell r="G45">
            <v>0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15</v>
          </cell>
          <cell r="D46">
            <v>204</v>
          </cell>
          <cell r="E46">
            <v>154</v>
          </cell>
          <cell r="F46">
            <v>49</v>
          </cell>
          <cell r="G46" t="str">
            <v>P003475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157</v>
          </cell>
          <cell r="D47">
            <v>1</v>
          </cell>
          <cell r="E47">
            <v>132</v>
          </cell>
          <cell r="F47">
            <v>3</v>
          </cell>
          <cell r="G47" t="str">
            <v>P003217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69.034999999999997</v>
          </cell>
          <cell r="D48">
            <v>45.042000000000002</v>
          </cell>
          <cell r="E48">
            <v>111.789</v>
          </cell>
          <cell r="F48">
            <v>-2.968</v>
          </cell>
          <cell r="G48" t="str">
            <v>P003259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222</v>
          </cell>
          <cell r="D49">
            <v>115</v>
          </cell>
          <cell r="E49">
            <v>238</v>
          </cell>
          <cell r="F49">
            <v>99</v>
          </cell>
          <cell r="G49" t="str">
            <v>P003260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234</v>
          </cell>
          <cell r="D50">
            <v>283</v>
          </cell>
          <cell r="E50">
            <v>348</v>
          </cell>
          <cell r="F50">
            <v>166</v>
          </cell>
          <cell r="G50" t="str">
            <v>P004178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76.623000000000005</v>
          </cell>
          <cell r="D51">
            <v>60.735999999999997</v>
          </cell>
          <cell r="E51">
            <v>99.227999999999994</v>
          </cell>
          <cell r="F51">
            <v>34.982999999999997</v>
          </cell>
          <cell r="G51" t="str">
            <v>P003234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99.971999999999994</v>
          </cell>
          <cell r="D52">
            <v>99.39</v>
          </cell>
          <cell r="E52">
            <v>139.84</v>
          </cell>
          <cell r="F52">
            <v>65.962999999999994</v>
          </cell>
          <cell r="G52" t="str">
            <v>P003239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C53">
            <v>49.92</v>
          </cell>
          <cell r="D53">
            <v>257.38900000000001</v>
          </cell>
          <cell r="E53">
            <v>138.33600000000001</v>
          </cell>
          <cell r="F53">
            <v>167.37100000000001</v>
          </cell>
          <cell r="G53" t="str">
            <v>P004991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118</v>
          </cell>
          <cell r="D54">
            <v>120</v>
          </cell>
          <cell r="E54">
            <v>141</v>
          </cell>
          <cell r="F54">
            <v>97</v>
          </cell>
          <cell r="G54" t="str">
            <v>P003227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151</v>
          </cell>
          <cell r="D55">
            <v>280</v>
          </cell>
          <cell r="E55">
            <v>272</v>
          </cell>
          <cell r="F55">
            <v>168</v>
          </cell>
          <cell r="G55" t="str">
            <v>P003228</v>
          </cell>
        </row>
        <row r="56">
          <cell r="A56" t="str">
            <v xml:space="preserve"> 329  Сардельки Сочинки с сыром Стародворье ТМ, 0,4 кг. ПОКОМ</v>
          </cell>
          <cell r="B56" t="str">
            <v>шт</v>
          </cell>
          <cell r="C56">
            <v>94</v>
          </cell>
          <cell r="D56">
            <v>27</v>
          </cell>
          <cell r="E56">
            <v>55</v>
          </cell>
          <cell r="F56">
            <v>64</v>
          </cell>
          <cell r="G56" t="str">
            <v>P003961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 t="str">
            <v>кг</v>
          </cell>
          <cell r="C57">
            <v>18.802</v>
          </cell>
          <cell r="D57">
            <v>71.046999999999997</v>
          </cell>
          <cell r="E57">
            <v>52.375999999999998</v>
          </cell>
          <cell r="F57">
            <v>28.529</v>
          </cell>
          <cell r="G57" t="str">
            <v>P003235</v>
          </cell>
        </row>
        <row r="58">
          <cell r="A58" t="str">
            <v xml:space="preserve"> 334  Паштет Любительский ТМ Стародворье ламистер 0,1 кг  ПОКОМ</v>
          </cell>
          <cell r="B58" t="str">
            <v>шт</v>
          </cell>
          <cell r="C58">
            <v>23</v>
          </cell>
          <cell r="D58">
            <v>101</v>
          </cell>
          <cell r="E58">
            <v>50</v>
          </cell>
          <cell r="F58">
            <v>73</v>
          </cell>
          <cell r="G58" t="str">
            <v>P003253</v>
          </cell>
        </row>
        <row r="59">
          <cell r="A59" t="str">
            <v xml:space="preserve"> 335  Колбаса Сливушка ТМ Вязанка. ВЕС.  ПОКОМ </v>
          </cell>
          <cell r="B59" t="str">
            <v>кг</v>
          </cell>
          <cell r="C59">
            <v>125.831</v>
          </cell>
          <cell r="D59">
            <v>133.80699999999999</v>
          </cell>
          <cell r="E59">
            <v>157.26300000000001</v>
          </cell>
          <cell r="F59">
            <v>90.159000000000006</v>
          </cell>
          <cell r="G59" t="str">
            <v>P003357</v>
          </cell>
        </row>
        <row r="60">
          <cell r="A60" t="str">
            <v xml:space="preserve"> 336  Ветчина Сливушка с индейкой ТМ Вязанка. ВЕС  ПОКОМ</v>
          </cell>
          <cell r="B60" t="str">
            <v>кг</v>
          </cell>
          <cell r="C60">
            <v>32.703000000000003</v>
          </cell>
          <cell r="D60">
            <v>3</v>
          </cell>
          <cell r="E60">
            <v>21.800999999999998</v>
          </cell>
          <cell r="F60">
            <v>12.259</v>
          </cell>
          <cell r="G60" t="str">
            <v>P004607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B61" t="str">
            <v>шт</v>
          </cell>
          <cell r="C61">
            <v>65</v>
          </cell>
          <cell r="D61">
            <v>1</v>
          </cell>
          <cell r="E61">
            <v>60</v>
          </cell>
          <cell r="F61">
            <v>5</v>
          </cell>
          <cell r="G61" t="str">
            <v>P003252</v>
          </cell>
        </row>
        <row r="62">
          <cell r="A62" t="str">
            <v xml:space="preserve"> 339  Колбаса вареная Филейская ТМ Вязанка ТС Классическая, 0,40 кг.  ПОКОМ</v>
          </cell>
          <cell r="B62" t="str">
            <v>шт</v>
          </cell>
          <cell r="C62">
            <v>8</v>
          </cell>
          <cell r="D62">
            <v>30</v>
          </cell>
          <cell r="E62">
            <v>11</v>
          </cell>
          <cell r="F62">
            <v>27</v>
          </cell>
          <cell r="G62" t="str">
            <v>P003243</v>
          </cell>
        </row>
        <row r="63">
          <cell r="A63" t="str">
            <v xml:space="preserve"> 340  Сосиски Сочинки Молочные ТМ Стародворье, ВЕС ПОКОМ</v>
          </cell>
          <cell r="B63" t="str">
            <v>кг</v>
          </cell>
          <cell r="C63">
            <v>98.733000000000004</v>
          </cell>
          <cell r="E63">
            <v>52.686</v>
          </cell>
          <cell r="F63">
            <v>47.524000000000001</v>
          </cell>
          <cell r="G63" t="str">
            <v>P003263</v>
          </cell>
        </row>
        <row r="64">
          <cell r="A64" t="str">
            <v xml:space="preserve"> 341 Сосиски Сочинки Сливочные ТМ Стародворье ВЕС ПОКОМ</v>
          </cell>
          <cell r="B64" t="str">
            <v>кг</v>
          </cell>
          <cell r="C64">
            <v>6.8639999999999999</v>
          </cell>
          <cell r="D64">
            <v>16.553999999999998</v>
          </cell>
          <cell r="E64">
            <v>7.6929999999999996</v>
          </cell>
          <cell r="F64">
            <v>9.7080000000000002</v>
          </cell>
          <cell r="G64" t="str">
            <v>P003266</v>
          </cell>
        </row>
        <row r="65">
          <cell r="A65" t="str">
            <v xml:space="preserve"> 342 Сосиски Сочинки Молочные ТМ Стародворье 0,4 кг ПОКОМ</v>
          </cell>
          <cell r="B65" t="str">
            <v>шт</v>
          </cell>
          <cell r="C65">
            <v>307</v>
          </cell>
          <cell r="D65">
            <v>4</v>
          </cell>
          <cell r="E65">
            <v>306</v>
          </cell>
          <cell r="F65">
            <v>2</v>
          </cell>
          <cell r="G65" t="str">
            <v>P003262</v>
          </cell>
        </row>
        <row r="66">
          <cell r="A66" t="str">
            <v xml:space="preserve"> 343 Сосиски Сочинки Сливочные ТМ Стародворье  0,4 кг ПОКОМ</v>
          </cell>
          <cell r="B66" t="str">
            <v>шт</v>
          </cell>
          <cell r="C66">
            <v>324</v>
          </cell>
          <cell r="D66">
            <v>184</v>
          </cell>
          <cell r="E66">
            <v>391</v>
          </cell>
          <cell r="F66">
            <v>109</v>
          </cell>
          <cell r="G66" t="str">
            <v>P003265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 t="str">
            <v>кг</v>
          </cell>
          <cell r="C67">
            <v>73.400999999999996</v>
          </cell>
          <cell r="D67">
            <v>116.997</v>
          </cell>
          <cell r="E67">
            <v>107.26</v>
          </cell>
          <cell r="F67">
            <v>82.555999999999997</v>
          </cell>
          <cell r="G67" t="str">
            <v>P003387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 t="str">
            <v>кг</v>
          </cell>
          <cell r="C68">
            <v>83.34</v>
          </cell>
          <cell r="D68">
            <v>169.40199999999999</v>
          </cell>
          <cell r="E68">
            <v>162.584</v>
          </cell>
          <cell r="F68">
            <v>79.367999999999995</v>
          </cell>
          <cell r="G68" t="str">
            <v>P003401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 t="str">
            <v>кг</v>
          </cell>
          <cell r="C69">
            <v>255.77099999999999</v>
          </cell>
          <cell r="D69">
            <v>279.62599999999998</v>
          </cell>
          <cell r="E69">
            <v>423.86700000000002</v>
          </cell>
          <cell r="F69">
            <v>73.316999999999993</v>
          </cell>
          <cell r="G69" t="str">
            <v>P003383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 t="str">
            <v>кг</v>
          </cell>
          <cell r="C70">
            <v>36.805</v>
          </cell>
          <cell r="D70">
            <v>205.59100000000001</v>
          </cell>
          <cell r="E70">
            <v>178.39099999999999</v>
          </cell>
          <cell r="F70">
            <v>35.466999999999999</v>
          </cell>
          <cell r="G70" t="str">
            <v>P003384</v>
          </cell>
        </row>
        <row r="71">
          <cell r="A71" t="str">
            <v xml:space="preserve"> 364  Сардельки Филейские Вязанка ВЕС NDX ТМ Вязанка  ПОКОМ</v>
          </cell>
          <cell r="B71" t="str">
            <v>кг</v>
          </cell>
          <cell r="C71">
            <v>290.35199999999998</v>
          </cell>
          <cell r="D71">
            <v>462.726</v>
          </cell>
          <cell r="E71">
            <v>190.137</v>
          </cell>
          <cell r="F71">
            <v>543.81899999999996</v>
          </cell>
          <cell r="G71" t="str">
            <v>P003883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B72" t="str">
            <v>шт</v>
          </cell>
          <cell r="C72">
            <v>104</v>
          </cell>
          <cell r="D72">
            <v>88</v>
          </cell>
          <cell r="E72">
            <v>137</v>
          </cell>
          <cell r="F72">
            <v>55</v>
          </cell>
          <cell r="G72" t="str">
            <v>P004689</v>
          </cell>
        </row>
        <row r="73">
          <cell r="A73" t="str">
            <v xml:space="preserve"> 377  Колбаса Молочная Дугушка 0,6кг ТМ Стародворье  ПОКОМ</v>
          </cell>
          <cell r="B73" t="str">
            <v>шт</v>
          </cell>
          <cell r="C73">
            <v>151</v>
          </cell>
          <cell r="D73">
            <v>185</v>
          </cell>
          <cell r="E73">
            <v>154</v>
          </cell>
          <cell r="F73">
            <v>156</v>
          </cell>
          <cell r="G73" t="str">
            <v>P004688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B74" t="str">
            <v>шт</v>
          </cell>
          <cell r="C74">
            <v>68</v>
          </cell>
          <cell r="D74">
            <v>120</v>
          </cell>
          <cell r="E74">
            <v>74</v>
          </cell>
          <cell r="F74">
            <v>114</v>
          </cell>
          <cell r="G74" t="str">
            <v>P003437</v>
          </cell>
        </row>
        <row r="75">
          <cell r="A75" t="str">
            <v xml:space="preserve"> 388  Сосиски Восточные Халяль ТМ Вязанка 0,33 кг АК. ПОКОМ</v>
          </cell>
          <cell r="B75" t="str">
            <v>шт</v>
          </cell>
          <cell r="C75">
            <v>41</v>
          </cell>
          <cell r="D75">
            <v>264</v>
          </cell>
          <cell r="E75">
            <v>117</v>
          </cell>
          <cell r="F75">
            <v>193</v>
          </cell>
          <cell r="G75" t="str">
            <v>P003438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B76" t="str">
            <v>шт</v>
          </cell>
          <cell r="C76">
            <v>59</v>
          </cell>
          <cell r="D76">
            <v>168</v>
          </cell>
          <cell r="E76">
            <v>99</v>
          </cell>
          <cell r="F76">
            <v>128</v>
          </cell>
          <cell r="G76" t="str">
            <v>P003442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30</v>
          </cell>
          <cell r="D77">
            <v>104</v>
          </cell>
          <cell r="E77">
            <v>54</v>
          </cell>
          <cell r="F77">
            <v>74</v>
          </cell>
          <cell r="G77" t="str">
            <v>Р004923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-2</v>
          </cell>
          <cell r="D78">
            <v>54</v>
          </cell>
          <cell r="E78">
            <v>-1</v>
          </cell>
          <cell r="F78">
            <v>49</v>
          </cell>
          <cell r="G78" t="str">
            <v>Р002644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35</v>
          </cell>
          <cell r="E79">
            <v>34</v>
          </cell>
          <cell r="G79" t="str">
            <v>P004586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64</v>
          </cell>
          <cell r="E80">
            <v>47</v>
          </cell>
          <cell r="F80">
            <v>19</v>
          </cell>
          <cell r="G80" t="str">
            <v>P003364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-4</v>
          </cell>
          <cell r="D81">
            <v>396</v>
          </cell>
          <cell r="E81">
            <v>102</v>
          </cell>
          <cell r="F81">
            <v>289</v>
          </cell>
          <cell r="G81" t="str">
            <v>P003363</v>
          </cell>
        </row>
        <row r="82">
          <cell r="A82" t="str">
            <v xml:space="preserve"> 449  Колбаса Дугушка Стародворская ВЕС ТС Дугушка ПОКОМ</v>
          </cell>
          <cell r="B82" t="str">
            <v>кг</v>
          </cell>
          <cell r="C82">
            <v>86.787000000000006</v>
          </cell>
          <cell r="D82">
            <v>200.364</v>
          </cell>
          <cell r="E82">
            <v>199.39599999999999</v>
          </cell>
          <cell r="F82">
            <v>88.634</v>
          </cell>
          <cell r="G82" t="str">
            <v>P002989</v>
          </cell>
        </row>
        <row r="83">
          <cell r="A83" t="str">
            <v xml:space="preserve"> 452  Колбаса Со шпиком ВЕС большой батон ТМ Особый рецепт  ПОКОМ</v>
          </cell>
          <cell r="B83" t="str">
            <v>кг</v>
          </cell>
          <cell r="C83">
            <v>515.30100000000004</v>
          </cell>
          <cell r="D83">
            <v>2563.0720000000001</v>
          </cell>
          <cell r="E83">
            <v>1601.992</v>
          </cell>
          <cell r="F83">
            <v>1093.0630000000001</v>
          </cell>
          <cell r="G83" t="str">
            <v>P004257</v>
          </cell>
        </row>
        <row r="84">
          <cell r="A84" t="str">
            <v xml:space="preserve"> 456  Колбаса Филейная ТМ Особый рецепт ВЕС большой батон  ПОКОМ</v>
          </cell>
          <cell r="B84" t="str">
            <v>кг</v>
          </cell>
          <cell r="C84">
            <v>74.16</v>
          </cell>
          <cell r="D84">
            <v>1872.575</v>
          </cell>
          <cell r="E84">
            <v>1025.425</v>
          </cell>
          <cell r="F84">
            <v>823.85400000000004</v>
          </cell>
          <cell r="G84" t="str">
            <v>P004252</v>
          </cell>
        </row>
        <row r="85">
          <cell r="A85" t="str">
            <v xml:space="preserve"> 457  Колбаса Молочная ТМ Особый рецепт ВЕС большой батон  ПОКОМ</v>
          </cell>
          <cell r="B85" t="str">
            <v>кг</v>
          </cell>
          <cell r="C85">
            <v>1102.329</v>
          </cell>
          <cell r="D85">
            <v>2283.0140000000001</v>
          </cell>
          <cell r="E85">
            <v>2351.3150000000001</v>
          </cell>
          <cell r="F85">
            <v>634.32500000000005</v>
          </cell>
          <cell r="G85" t="str">
            <v>P004256</v>
          </cell>
        </row>
        <row r="86">
          <cell r="A86" t="str">
            <v xml:space="preserve"> 498  Колбаса Сочинка рубленая с сочным окороком 0,3кг ТМ Стародворье  ПОКОМ</v>
          </cell>
          <cell r="B86" t="str">
            <v>шт</v>
          </cell>
          <cell r="C86">
            <v>34</v>
          </cell>
          <cell r="D86">
            <v>120</v>
          </cell>
          <cell r="E86">
            <v>105</v>
          </cell>
          <cell r="F86">
            <v>28</v>
          </cell>
          <cell r="G86" t="str">
            <v>P003390</v>
          </cell>
        </row>
        <row r="87">
          <cell r="A87" t="str">
            <v xml:space="preserve"> 523  Колбаса Сальчичон нарезка 0,07кг ТМ Стародворье  ПОКОМ </v>
          </cell>
          <cell r="B87" t="str">
            <v>шт</v>
          </cell>
          <cell r="C87">
            <v>78</v>
          </cell>
          <cell r="E87">
            <v>62</v>
          </cell>
          <cell r="F87">
            <v>16</v>
          </cell>
          <cell r="G87" t="str">
            <v>P004978</v>
          </cell>
        </row>
        <row r="88">
          <cell r="A88" t="str">
            <v xml:space="preserve"> 524  Колбаса Сервелат Ореховый нарезка 0,07кг ТМ Стародворье  ПОКОМ</v>
          </cell>
          <cell r="B88" t="str">
            <v>шт</v>
          </cell>
          <cell r="C88">
            <v>26</v>
          </cell>
          <cell r="D88">
            <v>18</v>
          </cell>
          <cell r="E88">
            <v>35</v>
          </cell>
          <cell r="F88">
            <v>8</v>
          </cell>
          <cell r="G88" t="str">
            <v>P004979</v>
          </cell>
        </row>
        <row r="89">
          <cell r="A89" t="str">
            <v xml:space="preserve"> 525  Колбаса Фуэт нарезка 0,07кг ТМ Стародворье  ПОКОМ</v>
          </cell>
          <cell r="B89" t="str">
            <v>шт</v>
          </cell>
          <cell r="C89">
            <v>14</v>
          </cell>
          <cell r="E89">
            <v>13</v>
          </cell>
          <cell r="F89">
            <v>1</v>
          </cell>
          <cell r="G89" t="str">
            <v>P004982</v>
          </cell>
        </row>
        <row r="90">
          <cell r="A90" t="str">
            <v xml:space="preserve"> 526  Корейка вяленая выдержанная нарезка 0,05кг ТМ Стародворье  ПОКОМ</v>
          </cell>
          <cell r="B90" t="str">
            <v>шт</v>
          </cell>
          <cell r="C90">
            <v>78</v>
          </cell>
          <cell r="D90">
            <v>126</v>
          </cell>
          <cell r="E90">
            <v>46</v>
          </cell>
          <cell r="F90">
            <v>154</v>
          </cell>
          <cell r="G90" t="str">
            <v>P005023</v>
          </cell>
        </row>
        <row r="91">
          <cell r="A91" t="str">
            <v xml:space="preserve"> 527  Окорок Прошутто выдержанный нарезка 0,055кг ТМ Стародворье  ПОКОМ</v>
          </cell>
          <cell r="B91" t="str">
            <v>шт</v>
          </cell>
          <cell r="C91">
            <v>96</v>
          </cell>
          <cell r="D91">
            <v>2</v>
          </cell>
          <cell r="E91">
            <v>63</v>
          </cell>
          <cell r="F91">
            <v>31</v>
          </cell>
          <cell r="G91" t="str">
            <v>P005022</v>
          </cell>
        </row>
        <row r="92">
          <cell r="A92" t="str">
            <v xml:space="preserve"> 530  Окорок Хамон выдержанный нарезка 0,055кг ТМ Стародворье  ПОКОМ</v>
          </cell>
          <cell r="B92" t="str">
            <v>шт</v>
          </cell>
          <cell r="C92">
            <v>93</v>
          </cell>
          <cell r="D92">
            <v>38</v>
          </cell>
          <cell r="E92">
            <v>50</v>
          </cell>
          <cell r="F92">
            <v>77</v>
          </cell>
          <cell r="G92" t="str">
            <v>P005021</v>
          </cell>
        </row>
        <row r="93">
          <cell r="A93" t="str">
            <v xml:space="preserve"> 547  Колбаса Мясная Классическая ТМ Вязанка в оболочке полиамид. ВЕС  ПОКОМ</v>
          </cell>
          <cell r="B93" t="str">
            <v>кг</v>
          </cell>
          <cell r="C93">
            <v>766.71600000000001</v>
          </cell>
          <cell r="D93">
            <v>67.284999999999997</v>
          </cell>
          <cell r="E93">
            <v>34.823999999999998</v>
          </cell>
          <cell r="F93">
            <v>799.18299999999999</v>
          </cell>
          <cell r="G93" t="str">
            <v>P005156</v>
          </cell>
        </row>
        <row r="94">
          <cell r="A94" t="str">
            <v xml:space="preserve"> 551  Колбаса Сливушка ТМ Вязанка в модифицированной газовой среде 0,11 кг нарезка  ПОКОМ</v>
          </cell>
          <cell r="B94" t="str">
            <v>шт</v>
          </cell>
          <cell r="C94">
            <v>2</v>
          </cell>
          <cell r="E94">
            <v>-2</v>
          </cell>
          <cell r="F94">
            <v>2</v>
          </cell>
          <cell r="G94" t="str">
            <v>Р004758</v>
          </cell>
        </row>
        <row r="95">
          <cell r="A95" t="str">
            <v xml:space="preserve"> 553  Ассорти колбас Мясорубская коллекция: Сервелат Делюкс, С балыком 0,08 кг нарезка  ПОКОМ</v>
          </cell>
          <cell r="B95" t="str">
            <v>шт</v>
          </cell>
          <cell r="C95">
            <v>37</v>
          </cell>
          <cell r="D95">
            <v>181</v>
          </cell>
          <cell r="E95">
            <v>87</v>
          </cell>
          <cell r="F95">
            <v>124</v>
          </cell>
          <cell r="G95" t="str">
            <v>P005155</v>
          </cell>
        </row>
        <row r="96">
          <cell r="A96" t="str">
            <v xml:space="preserve"> 554  Колбаса Сервелат Мясорубский ТМ Стародворье в упаковке скин 0,08 кг нарезка  ПОКОМ</v>
          </cell>
          <cell r="B96" t="str">
            <v>шт</v>
          </cell>
          <cell r="C96">
            <v>169</v>
          </cell>
          <cell r="D96">
            <v>4</v>
          </cell>
          <cell r="E96">
            <v>79</v>
          </cell>
          <cell r="F96">
            <v>88</v>
          </cell>
          <cell r="G96" t="str">
            <v>Р003837</v>
          </cell>
        </row>
        <row r="97">
          <cell r="A97" t="str">
            <v xml:space="preserve"> 555  Колбаса Молокуша ТМ Вязанка в модифицированной газовой среде 0,17 кг нарезка  ПОКОМ</v>
          </cell>
          <cell r="B97" t="str">
            <v>шт</v>
          </cell>
          <cell r="C97">
            <v>18</v>
          </cell>
          <cell r="E97">
            <v>-1</v>
          </cell>
          <cell r="F97">
            <v>18</v>
          </cell>
          <cell r="G97" t="str">
            <v>P002641</v>
          </cell>
        </row>
        <row r="98">
          <cell r="A98" t="str">
            <v xml:space="preserve"> 556  Колбаса Сервелат Ореховый ТМ Вязанка в оболочке фиброуз в вакуумной упаковке, ВЕС  ПОКОМ</v>
          </cell>
          <cell r="B98" t="str">
            <v>кг</v>
          </cell>
          <cell r="C98">
            <v>330.483</v>
          </cell>
          <cell r="D98">
            <v>1.458</v>
          </cell>
          <cell r="E98">
            <v>153.38</v>
          </cell>
          <cell r="F98">
            <v>182.20099999999999</v>
          </cell>
          <cell r="G98" t="str">
            <v>P005376</v>
          </cell>
        </row>
        <row r="99">
          <cell r="A99" t="str">
            <v xml:space="preserve"> 557  Колбаса Сервелат Финский ТМ Вязанка в оболочке фиброуз в вакуумной упаковке, ВЕС  ПОКОМ</v>
          </cell>
          <cell r="B99" t="str">
            <v>кг</v>
          </cell>
          <cell r="C99">
            <v>127.15</v>
          </cell>
          <cell r="D99">
            <v>216.19800000000001</v>
          </cell>
          <cell r="E99">
            <v>98.787000000000006</v>
          </cell>
          <cell r="F99">
            <v>246.03</v>
          </cell>
          <cell r="G99" t="str">
            <v>P005377</v>
          </cell>
        </row>
        <row r="100">
          <cell r="A100" t="str">
            <v xml:space="preserve"> 569  Колбаса Балыковая ТМ Вязанка в оболочке фиброуз в вакуумной упаковке 0,28 кг срез.  ПОКОМ</v>
          </cell>
          <cell r="B100" t="str">
            <v>шт</v>
          </cell>
          <cell r="C100">
            <v>346</v>
          </cell>
          <cell r="D100">
            <v>104</v>
          </cell>
          <cell r="E100">
            <v>264</v>
          </cell>
          <cell r="F100">
            <v>172</v>
          </cell>
          <cell r="G100" t="str">
            <v>P005163</v>
          </cell>
        </row>
        <row r="101">
          <cell r="A101" t="str">
            <v xml:space="preserve"> 571  Колбаса Сервелат Ореховый ТМ Вязанка в оболочке фиброуз в вак. упаковке 0,28 кг срез  ПОКОМ</v>
          </cell>
          <cell r="B101" t="str">
            <v>шт</v>
          </cell>
          <cell r="C101">
            <v>362</v>
          </cell>
          <cell r="D101">
            <v>90</v>
          </cell>
          <cell r="E101">
            <v>243</v>
          </cell>
          <cell r="F101">
            <v>203</v>
          </cell>
          <cell r="G101" t="str">
            <v>P005166</v>
          </cell>
        </row>
        <row r="102">
          <cell r="A102" t="str">
            <v xml:space="preserve"> 579  Колбаса Ветчинно-рубленая ТМ Особый рецепт в оболочке полиамид.ВЕС  ПОКОМ</v>
          </cell>
          <cell r="B102" t="str">
            <v>кг</v>
          </cell>
          <cell r="C102">
            <v>67.41</v>
          </cell>
          <cell r="E102">
            <v>71.992000000000004</v>
          </cell>
          <cell r="F102">
            <v>-6.4420000000000002</v>
          </cell>
          <cell r="G102" t="str">
            <v>P005358</v>
          </cell>
        </row>
        <row r="103">
          <cell r="A103" t="str">
            <v xml:space="preserve"> 580  Ветчина Нежная с индейкой ТМ Особый рецепт в оболочке полиамид.ВЕС  ПОКОМ</v>
          </cell>
          <cell r="B103" t="str">
            <v>кг</v>
          </cell>
          <cell r="C103">
            <v>197.892</v>
          </cell>
          <cell r="E103">
            <v>169.64599999999999</v>
          </cell>
          <cell r="F103">
            <v>30.396999999999998</v>
          </cell>
          <cell r="G103" t="str">
            <v>P004675</v>
          </cell>
        </row>
        <row r="104">
          <cell r="A104" t="str">
            <v xml:space="preserve"> 585  Колбаса Молочная ТМ Стародворье в оболочке вектор НД ВЕС.  ПОКОМ</v>
          </cell>
          <cell r="B104" t="str">
            <v>кг</v>
          </cell>
          <cell r="C104">
            <v>2.8570000000000002</v>
          </cell>
          <cell r="D104">
            <v>183.23400000000001</v>
          </cell>
          <cell r="E104">
            <v>48.82</v>
          </cell>
          <cell r="F104">
            <v>137.922</v>
          </cell>
          <cell r="G104" t="str">
            <v>P005360</v>
          </cell>
        </row>
        <row r="105">
          <cell r="A105" t="str">
            <v xml:space="preserve"> 586  Колбаса Мясная ТМ Стародворье в оболочке вектор НД ВЕС.  ПОКОМ</v>
          </cell>
          <cell r="B105" t="str">
            <v>кг</v>
          </cell>
          <cell r="C105">
            <v>165.798</v>
          </cell>
          <cell r="D105">
            <v>28.808</v>
          </cell>
          <cell r="E105">
            <v>128.37799999999999</v>
          </cell>
          <cell r="F105">
            <v>62.709000000000003</v>
          </cell>
          <cell r="G105" t="str">
            <v>P005361</v>
          </cell>
        </row>
        <row r="106">
          <cell r="A106" t="str">
            <v xml:space="preserve"> 588 Колбаса Со шпиком ТМ Стародворье в оболочке вектор ВЕС  ПОКОМ</v>
          </cell>
          <cell r="B106" t="str">
            <v>кг</v>
          </cell>
          <cell r="C106">
            <v>44.466000000000001</v>
          </cell>
          <cell r="E106">
            <v>38.835999999999999</v>
          </cell>
          <cell r="F106">
            <v>4.4379999999999997</v>
          </cell>
          <cell r="G106" t="str">
            <v>P005363</v>
          </cell>
        </row>
        <row r="107">
          <cell r="A107" t="str">
            <v>495  Колбаса Сочинка по-европейски с сочной грудинкой 0,3кг ТМ Стародворье  ПОКОМ</v>
          </cell>
          <cell r="B107" t="str">
            <v>шт</v>
          </cell>
          <cell r="C107">
            <v>142</v>
          </cell>
          <cell r="D107">
            <v>164</v>
          </cell>
          <cell r="E107">
            <v>215</v>
          </cell>
          <cell r="F107">
            <v>86</v>
          </cell>
          <cell r="G107" t="str">
            <v>P003386</v>
          </cell>
        </row>
        <row r="108">
          <cell r="A108" t="str">
            <v>496  Колбаса Сочинка по-фински с сочным окроком 0,3кг ТМ Стародворье  ПОКОМ</v>
          </cell>
          <cell r="B108" t="str">
            <v>шт</v>
          </cell>
          <cell r="C108">
            <v>23</v>
          </cell>
          <cell r="D108">
            <v>204</v>
          </cell>
          <cell r="E108">
            <v>126</v>
          </cell>
          <cell r="F108">
            <v>78</v>
          </cell>
          <cell r="G108" t="str">
            <v>P003385</v>
          </cell>
        </row>
        <row r="109">
          <cell r="A109" t="str">
            <v>503 Колбаса Филейская со шпиком ТМ Вязанка в оболочке полиамид.ПОКОМ</v>
          </cell>
          <cell r="B109" t="str">
            <v>кг</v>
          </cell>
          <cell r="C109">
            <v>4.3769999999999998</v>
          </cell>
          <cell r="D109">
            <v>1.3720000000000001</v>
          </cell>
          <cell r="E109">
            <v>6.532</v>
          </cell>
          <cell r="F109">
            <v>-1.121</v>
          </cell>
          <cell r="G109" t="str">
            <v>P004621</v>
          </cell>
        </row>
        <row r="110">
          <cell r="A110" t="str">
            <v>515  Колбаса Сервелат Мясорубский Делюкс 0,3кг ТМ Стародворье  ПОКОМ</v>
          </cell>
          <cell r="B110" t="str">
            <v>шт</v>
          </cell>
          <cell r="D110">
            <v>92</v>
          </cell>
          <cell r="E110">
            <v>5</v>
          </cell>
          <cell r="F110">
            <v>84</v>
          </cell>
          <cell r="G110" t="str">
            <v>P004890</v>
          </cell>
        </row>
        <row r="111">
          <cell r="A111" t="str">
            <v>519  Грудинка 0,12 кг нарезка ТМ Стародворье  ПОКОМ</v>
          </cell>
          <cell r="B111" t="str">
            <v>шт</v>
          </cell>
          <cell r="C111">
            <v>76</v>
          </cell>
          <cell r="E111">
            <v>44</v>
          </cell>
          <cell r="F111">
            <v>27</v>
          </cell>
          <cell r="G111" t="str">
            <v>P005060</v>
          </cell>
        </row>
        <row r="112">
          <cell r="A112" t="str">
            <v xml:space="preserve"> 230  Колбаса Молочная Особая ТМ Особый рецепт, п/а, ВЕС. ПОКОМ</v>
          </cell>
          <cell r="B112" t="str">
            <v>кг</v>
          </cell>
          <cell r="E112">
            <v>0</v>
          </cell>
          <cell r="G112" t="str">
            <v>P004256</v>
          </cell>
        </row>
        <row r="113">
          <cell r="A113" t="str">
            <v xml:space="preserve"> 558  Колбаса Балыковая НОВАЯ ВЕС Вязанка фиброуз в/у ПОКОМ</v>
          </cell>
          <cell r="B113" t="str">
            <v>кг</v>
          </cell>
          <cell r="E113">
            <v>-4.3</v>
          </cell>
          <cell r="G113" t="str">
            <v>P005156</v>
          </cell>
        </row>
        <row r="114">
          <cell r="A114" t="str">
            <v>Копченые колбасы «Сервелат Финский» Фикс.вес 0,28 фиброуз срез ТМ «Вязанка»</v>
          </cell>
          <cell r="B114" t="str">
            <v>шт</v>
          </cell>
          <cell r="E114">
            <v>0</v>
          </cell>
          <cell r="G114" t="str">
            <v>P005169</v>
          </cell>
        </row>
        <row r="115">
          <cell r="A115" t="str">
            <v>Копченые колбасы «Сервелат Ореховый» Фикс.вес 0,09 нарезка ТМ «Вязанка»</v>
          </cell>
          <cell r="B115" t="str">
            <v>шт</v>
          </cell>
          <cell r="E115">
            <v>0</v>
          </cell>
          <cell r="G115" t="str">
            <v>P005114</v>
          </cell>
        </row>
        <row r="116">
          <cell r="A116" t="str">
            <v>Копченые колбасы «Балыковая » Фикс.вес 0,09 нарезка ТМ «Вязанка»</v>
          </cell>
          <cell r="B116" t="str">
            <v>шт</v>
          </cell>
          <cell r="E116">
            <v>0</v>
          </cell>
          <cell r="G116" t="str">
            <v>P004725</v>
          </cell>
        </row>
        <row r="117">
          <cell r="A117" t="str">
            <v>Копченые колбасы «Сервелат Финский» Фикс.вес 0,09 нарезка ТМ «Вязанка»</v>
          </cell>
          <cell r="B117" t="str">
            <v>шт</v>
          </cell>
          <cell r="E117">
            <v>0</v>
          </cell>
          <cell r="G117" t="str">
            <v>P004728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11" sqref="AC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2" style="6" customWidth="1"/>
    <col min="9" max="9" width="8.7109375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17" customWidth="1"/>
    <col min="20" max="20" width="7" customWidth="1"/>
    <col min="21" max="21" width="21" customWidth="1"/>
    <col min="22" max="23" width="5" customWidth="1"/>
    <col min="24" max="28" width="6" customWidth="1"/>
    <col min="29" max="29" width="38.28515625" customWidth="1"/>
    <col min="30" max="30" width="7" customWidth="1"/>
    <col min="31" max="52" width="3" customWidth="1"/>
  </cols>
  <sheetData>
    <row r="1" spans="1:52" x14ac:dyDescent="0.25">
      <c r="A1" s="1"/>
      <c r="B1" s="1"/>
      <c r="C1" s="1"/>
      <c r="D1" s="1"/>
      <c r="E1" s="1"/>
      <c r="F1" s="1"/>
      <c r="G1" s="1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1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9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146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22</v>
      </c>
      <c r="AD3" s="2" t="s">
        <v>23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1"/>
      <c r="H4" s="8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SUM(E6:E496)</f>
        <v>24033.426999999996</v>
      </c>
      <c r="F5" s="4">
        <f>SUM(F6:F496)</f>
        <v>6668.3589999999976</v>
      </c>
      <c r="G5" s="1"/>
      <c r="H5" s="8"/>
      <c r="I5" s="1"/>
      <c r="J5" s="1"/>
      <c r="K5" s="4">
        <f t="shared" ref="K5:T5" si="0">SUM(K6:K496)</f>
        <v>27345.872999999996</v>
      </c>
      <c r="L5" s="4">
        <f t="shared" si="0"/>
        <v>-3312.4459999999999</v>
      </c>
      <c r="M5" s="4">
        <f t="shared" si="0"/>
        <v>0</v>
      </c>
      <c r="N5" s="4">
        <f t="shared" si="0"/>
        <v>0</v>
      </c>
      <c r="O5" s="4">
        <f t="shared" si="0"/>
        <v>23110</v>
      </c>
      <c r="P5" s="4">
        <f t="shared" si="0"/>
        <v>21739.828065999998</v>
      </c>
      <c r="Q5" s="4">
        <f t="shared" si="0"/>
        <v>4806.6853999999994</v>
      </c>
      <c r="R5" s="4">
        <f t="shared" si="0"/>
        <v>10623.692317999994</v>
      </c>
      <c r="S5" s="4">
        <f t="shared" si="0"/>
        <v>14993.911793999998</v>
      </c>
      <c r="T5" s="4">
        <f t="shared" si="0"/>
        <v>7885</v>
      </c>
      <c r="U5" s="1"/>
      <c r="V5" s="1"/>
      <c r="W5" s="1"/>
      <c r="X5" s="4">
        <f>SUM(X6:X496)</f>
        <v>4754.8182000000033</v>
      </c>
      <c r="Y5" s="4">
        <f>SUM(Y6:Y496)</f>
        <v>3939.7021999999993</v>
      </c>
      <c r="Z5" s="4">
        <f>SUM(Z6:Z496)</f>
        <v>4478.2339999999995</v>
      </c>
      <c r="AA5" s="4">
        <f>SUM(AA6:AA496)</f>
        <v>4446.1929999999993</v>
      </c>
      <c r="AB5" s="4">
        <f>SUM(AB6:AB496)</f>
        <v>4576.6381999999985</v>
      </c>
      <c r="AC5" s="1"/>
      <c r="AD5" s="4">
        <f>SUM(AD6:AD496)</f>
        <v>11798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32</v>
      </c>
      <c r="B6" s="1" t="s">
        <v>33</v>
      </c>
      <c r="C6" s="1">
        <v>237.08099999999999</v>
      </c>
      <c r="D6" s="1">
        <v>66.986999999999995</v>
      </c>
      <c r="E6" s="1">
        <v>280.22500000000002</v>
      </c>
      <c r="F6" s="1">
        <v>53.8</v>
      </c>
      <c r="G6" s="8">
        <v>1</v>
      </c>
      <c r="I6" s="1" t="str">
        <f>VLOOKUP(A6,[1]TDSheet!$A:$G,7,0)</f>
        <v>P003011</v>
      </c>
      <c r="J6" s="1"/>
      <c r="K6" s="1">
        <v>274</v>
      </c>
      <c r="L6" s="1">
        <f t="shared" ref="L6:L36" si="1">E6-K6</f>
        <v>6.2250000000000227</v>
      </c>
      <c r="M6" s="1"/>
      <c r="N6" s="1"/>
      <c r="O6" s="1">
        <v>150</v>
      </c>
      <c r="P6" s="1">
        <v>327.5</v>
      </c>
      <c r="Q6" s="1">
        <f>E6/5</f>
        <v>56.045000000000002</v>
      </c>
      <c r="R6" s="5">
        <f>12*Q6-P6-O6-F6</f>
        <v>141.23999999999995</v>
      </c>
      <c r="S6" s="5">
        <f>T6</f>
        <v>300</v>
      </c>
      <c r="T6" s="14">
        <v>300</v>
      </c>
      <c r="U6" s="16" t="s">
        <v>143</v>
      </c>
      <c r="V6" s="1">
        <f>(F6+O6+P6+S6)/Q6</f>
        <v>14.832723704166293</v>
      </c>
      <c r="W6" s="1">
        <f>(F6+O6+P6)/Q6</f>
        <v>9.4798822374877325</v>
      </c>
      <c r="X6" s="1">
        <v>46.704799999999999</v>
      </c>
      <c r="Y6" s="1">
        <v>63.439599999999999</v>
      </c>
      <c r="Z6" s="1">
        <v>49.296799999999998</v>
      </c>
      <c r="AA6" s="1">
        <v>54.128</v>
      </c>
      <c r="AB6" s="1">
        <v>53.9236</v>
      </c>
      <c r="AC6" s="1" t="s">
        <v>34</v>
      </c>
      <c r="AD6" s="1">
        <f>ROUND(S6*G6,0)</f>
        <v>300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35</v>
      </c>
      <c r="B7" s="1" t="s">
        <v>33</v>
      </c>
      <c r="C7" s="1">
        <v>250.096</v>
      </c>
      <c r="D7" s="1">
        <v>168.14099999999999</v>
      </c>
      <c r="E7" s="1">
        <v>195.50800000000001</v>
      </c>
      <c r="F7" s="1">
        <v>242.864</v>
      </c>
      <c r="G7" s="8">
        <v>1</v>
      </c>
      <c r="I7" s="1" t="str">
        <f>VLOOKUP(A7,[1]TDSheet!$A:$G,7,0)</f>
        <v>P003986</v>
      </c>
      <c r="J7" s="1"/>
      <c r="K7" s="1">
        <v>217.756</v>
      </c>
      <c r="L7" s="1">
        <f t="shared" si="1"/>
        <v>-22.24799999999999</v>
      </c>
      <c r="M7" s="1"/>
      <c r="N7" s="1"/>
      <c r="O7" s="1">
        <v>150</v>
      </c>
      <c r="P7" s="1">
        <v>91.7</v>
      </c>
      <c r="Q7" s="1">
        <f t="shared" ref="Q7:Q70" si="2">E7/5</f>
        <v>39.101600000000005</v>
      </c>
      <c r="R7" s="5"/>
      <c r="S7" s="5">
        <f t="shared" ref="S7:S8" si="3">T7</f>
        <v>200</v>
      </c>
      <c r="T7" s="14">
        <v>200</v>
      </c>
      <c r="U7" s="16" t="s">
        <v>143</v>
      </c>
      <c r="V7" s="1">
        <f t="shared" ref="V7:V70" si="4">(F7+O7+P7+S7)/Q7</f>
        <v>17.507314278699592</v>
      </c>
      <c r="W7" s="1">
        <f t="shared" ref="W7:W70" si="5">(F7+O7+P7)/Q7</f>
        <v>12.392434069194099</v>
      </c>
      <c r="X7" s="1">
        <v>44.53</v>
      </c>
      <c r="Y7" s="1">
        <v>37.011600000000001</v>
      </c>
      <c r="Z7" s="1">
        <v>45.130600000000001</v>
      </c>
      <c r="AA7" s="1">
        <v>43.219000000000001</v>
      </c>
      <c r="AB7" s="1">
        <v>46.550600000000003</v>
      </c>
      <c r="AC7" s="1" t="s">
        <v>34</v>
      </c>
      <c r="AD7" s="1">
        <f t="shared" ref="AD7:AD70" si="6">ROUND(S7*G7,0)</f>
        <v>200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36</v>
      </c>
      <c r="B8" s="1" t="s">
        <v>33</v>
      </c>
      <c r="C8" s="1">
        <v>54.174999999999997</v>
      </c>
      <c r="D8" s="1">
        <v>166.48500000000001</v>
      </c>
      <c r="E8" s="1">
        <v>223.31399999999999</v>
      </c>
      <c r="F8" s="1">
        <v>6.1680000000000001</v>
      </c>
      <c r="G8" s="8">
        <v>1</v>
      </c>
      <c r="I8" s="1" t="str">
        <f>VLOOKUP(A8,[1]TDSheet!$A:$G,7,0)</f>
        <v>P003988</v>
      </c>
      <c r="J8" s="1"/>
      <c r="K8" s="1">
        <v>246.7</v>
      </c>
      <c r="L8" s="1">
        <f t="shared" si="1"/>
        <v>-23.385999999999996</v>
      </c>
      <c r="M8" s="1"/>
      <c r="N8" s="1"/>
      <c r="O8" s="1">
        <v>150</v>
      </c>
      <c r="P8" s="1">
        <v>393</v>
      </c>
      <c r="Q8" s="1">
        <f t="shared" si="2"/>
        <v>44.662799999999997</v>
      </c>
      <c r="R8" s="5"/>
      <c r="S8" s="5">
        <f t="shared" si="3"/>
        <v>150</v>
      </c>
      <c r="T8" s="14">
        <v>150</v>
      </c>
      <c r="U8" s="16" t="s">
        <v>143</v>
      </c>
      <c r="V8" s="1">
        <f t="shared" si="4"/>
        <v>15.654370079797953</v>
      </c>
      <c r="W8" s="1">
        <f t="shared" si="5"/>
        <v>12.295870388779925</v>
      </c>
      <c r="X8" s="1">
        <v>47.197400000000002</v>
      </c>
      <c r="Y8" s="1">
        <v>49.338799999999999</v>
      </c>
      <c r="Z8" s="1">
        <v>60.385000000000012</v>
      </c>
      <c r="AA8" s="1">
        <v>53.020799999999987</v>
      </c>
      <c r="AB8" s="1">
        <v>57.033399999999993</v>
      </c>
      <c r="AC8" s="1" t="s">
        <v>34</v>
      </c>
      <c r="AD8" s="1">
        <f t="shared" si="6"/>
        <v>150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37</v>
      </c>
      <c r="B9" s="1" t="s">
        <v>38</v>
      </c>
      <c r="C9" s="1">
        <v>224.607</v>
      </c>
      <c r="D9" s="1">
        <v>23</v>
      </c>
      <c r="E9" s="1">
        <v>335</v>
      </c>
      <c r="F9" s="1">
        <v>4.6070000000000002</v>
      </c>
      <c r="G9" s="8">
        <v>0.45</v>
      </c>
      <c r="I9" s="1" t="str">
        <f>VLOOKUP(A9,[1]TDSheet!$A:$G,7,0)</f>
        <v>P003985</v>
      </c>
      <c r="J9" s="1"/>
      <c r="K9" s="1">
        <v>715</v>
      </c>
      <c r="L9" s="1">
        <f t="shared" si="1"/>
        <v>-380</v>
      </c>
      <c r="M9" s="1"/>
      <c r="N9" s="1"/>
      <c r="O9" s="1">
        <v>1300</v>
      </c>
      <c r="P9" s="1">
        <v>596.30283000000031</v>
      </c>
      <c r="Q9" s="1">
        <f t="shared" si="2"/>
        <v>67</v>
      </c>
      <c r="R9" s="5"/>
      <c r="S9" s="5">
        <f t="shared" ref="S7:S70" si="7">R9</f>
        <v>0</v>
      </c>
      <c r="T9" s="5"/>
      <c r="U9" s="1"/>
      <c r="V9" s="1">
        <f t="shared" si="4"/>
        <v>28.371788507462689</v>
      </c>
      <c r="W9" s="1">
        <f t="shared" si="5"/>
        <v>28.371788507462689</v>
      </c>
      <c r="X9" s="1">
        <v>159.80000000000001</v>
      </c>
      <c r="Y9" s="1">
        <v>86.2</v>
      </c>
      <c r="Z9" s="1">
        <v>120.6</v>
      </c>
      <c r="AA9" s="1">
        <v>72.8</v>
      </c>
      <c r="AB9" s="1">
        <v>150.19999999999999</v>
      </c>
      <c r="AC9" s="1"/>
      <c r="AD9" s="1">
        <f t="shared" si="6"/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39</v>
      </c>
      <c r="B10" s="1" t="s">
        <v>38</v>
      </c>
      <c r="C10" s="1">
        <v>300</v>
      </c>
      <c r="D10" s="1">
        <v>324</v>
      </c>
      <c r="E10" s="1">
        <v>628</v>
      </c>
      <c r="F10" s="1">
        <v>-8</v>
      </c>
      <c r="G10" s="8">
        <v>0.45</v>
      </c>
      <c r="I10" s="1" t="str">
        <f>VLOOKUP(A10,[1]TDSheet!$A:$G,7,0)</f>
        <v>P003989</v>
      </c>
      <c r="J10" s="1"/>
      <c r="K10" s="1">
        <v>712</v>
      </c>
      <c r="L10" s="1">
        <f t="shared" si="1"/>
        <v>-84</v>
      </c>
      <c r="M10" s="1"/>
      <c r="N10" s="1"/>
      <c r="O10" s="1">
        <v>900</v>
      </c>
      <c r="P10" s="1">
        <v>262</v>
      </c>
      <c r="Q10" s="1">
        <f t="shared" si="2"/>
        <v>125.6</v>
      </c>
      <c r="R10" s="5">
        <f t="shared" ref="R10:R70" si="8">12*Q10-P10-O10-F10</f>
        <v>353.19999999999982</v>
      </c>
      <c r="S10" s="5">
        <f>T10</f>
        <v>400</v>
      </c>
      <c r="T10" s="14">
        <v>400</v>
      </c>
      <c r="U10" s="16" t="s">
        <v>143</v>
      </c>
      <c r="V10" s="1">
        <f t="shared" si="4"/>
        <v>12.372611464968154</v>
      </c>
      <c r="W10" s="1">
        <f t="shared" si="5"/>
        <v>9.1878980891719753</v>
      </c>
      <c r="X10" s="1">
        <v>126</v>
      </c>
      <c r="Y10" s="1">
        <v>99.2</v>
      </c>
      <c r="Z10" s="1">
        <v>110.2</v>
      </c>
      <c r="AA10" s="1">
        <v>113.8</v>
      </c>
      <c r="AB10" s="1">
        <v>125</v>
      </c>
      <c r="AC10" s="1"/>
      <c r="AD10" s="1">
        <f t="shared" si="6"/>
        <v>180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40</v>
      </c>
      <c r="B11" s="1" t="s">
        <v>38</v>
      </c>
      <c r="C11" s="1">
        <v>87</v>
      </c>
      <c r="D11" s="1">
        <v>1</v>
      </c>
      <c r="E11" s="1">
        <v>68</v>
      </c>
      <c r="F11" s="1">
        <v>29</v>
      </c>
      <c r="G11" s="8">
        <v>0.17</v>
      </c>
      <c r="I11" s="1" t="str">
        <f>VLOOKUP(A11,[1]TDSheet!$A:$G,7,0)</f>
        <v>P002290</v>
      </c>
      <c r="J11" s="1"/>
      <c r="K11" s="1">
        <v>68</v>
      </c>
      <c r="L11" s="1">
        <f t="shared" si="1"/>
        <v>0</v>
      </c>
      <c r="M11" s="1"/>
      <c r="N11" s="1"/>
      <c r="O11" s="1">
        <v>0</v>
      </c>
      <c r="P11" s="1">
        <v>166.63200000000001</v>
      </c>
      <c r="Q11" s="1">
        <f t="shared" si="2"/>
        <v>13.6</v>
      </c>
      <c r="R11" s="5"/>
      <c r="S11" s="5">
        <f t="shared" si="7"/>
        <v>0</v>
      </c>
      <c r="T11" s="5"/>
      <c r="U11" s="1"/>
      <c r="V11" s="1">
        <f t="shared" si="4"/>
        <v>14.384705882352941</v>
      </c>
      <c r="W11" s="1">
        <f t="shared" si="5"/>
        <v>14.384705882352941</v>
      </c>
      <c r="X11" s="1">
        <v>17.2</v>
      </c>
      <c r="Y11" s="1">
        <v>16</v>
      </c>
      <c r="Z11" s="1">
        <v>12.6</v>
      </c>
      <c r="AA11" s="1">
        <v>15</v>
      </c>
      <c r="AB11" s="1">
        <v>18</v>
      </c>
      <c r="AC11" s="1"/>
      <c r="AD11" s="1">
        <f t="shared" si="6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41</v>
      </c>
      <c r="B12" s="1" t="s">
        <v>38</v>
      </c>
      <c r="C12" s="1">
        <v>93</v>
      </c>
      <c r="D12" s="1"/>
      <c r="E12" s="1">
        <v>104</v>
      </c>
      <c r="F12" s="1">
        <v>1</v>
      </c>
      <c r="G12" s="8">
        <v>0.3</v>
      </c>
      <c r="I12" s="1" t="str">
        <f>VLOOKUP(A12,[1]TDSheet!$A:$G,7,0)</f>
        <v>P002461</v>
      </c>
      <c r="J12" s="1"/>
      <c r="K12" s="1">
        <v>132</v>
      </c>
      <c r="L12" s="1">
        <f t="shared" si="1"/>
        <v>-28</v>
      </c>
      <c r="M12" s="1"/>
      <c r="N12" s="1"/>
      <c r="O12" s="1">
        <v>220</v>
      </c>
      <c r="P12" s="1">
        <v>196.5</v>
      </c>
      <c r="Q12" s="1">
        <f t="shared" si="2"/>
        <v>20.8</v>
      </c>
      <c r="R12" s="5"/>
      <c r="S12" s="5">
        <f t="shared" si="7"/>
        <v>0</v>
      </c>
      <c r="T12" s="5"/>
      <c r="U12" s="1"/>
      <c r="V12" s="1">
        <f t="shared" si="4"/>
        <v>20.072115384615383</v>
      </c>
      <c r="W12" s="1">
        <f t="shared" si="5"/>
        <v>20.072115384615383</v>
      </c>
      <c r="X12" s="1">
        <v>31</v>
      </c>
      <c r="Y12" s="1">
        <v>16.600000000000001</v>
      </c>
      <c r="Z12" s="1">
        <v>28.8</v>
      </c>
      <c r="AA12" s="1">
        <v>5</v>
      </c>
      <c r="AB12" s="1">
        <v>32.4</v>
      </c>
      <c r="AC12" s="1"/>
      <c r="AD12" s="1">
        <f t="shared" si="6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42</v>
      </c>
      <c r="B13" s="1" t="s">
        <v>38</v>
      </c>
      <c r="C13" s="1">
        <v>-8</v>
      </c>
      <c r="D13" s="1">
        <v>60</v>
      </c>
      <c r="E13" s="1">
        <v>61</v>
      </c>
      <c r="F13" s="1">
        <v>5</v>
      </c>
      <c r="G13" s="8">
        <v>0.17</v>
      </c>
      <c r="I13" s="1" t="str">
        <f>VLOOKUP(A13,[1]TDSheet!$A:$G,7,0)</f>
        <v>P001909</v>
      </c>
      <c r="J13" s="1"/>
      <c r="K13" s="1">
        <v>58</v>
      </c>
      <c r="L13" s="1">
        <f t="shared" si="1"/>
        <v>3</v>
      </c>
      <c r="M13" s="1"/>
      <c r="N13" s="1"/>
      <c r="O13" s="1">
        <v>0</v>
      </c>
      <c r="P13" s="1">
        <v>327.5</v>
      </c>
      <c r="Q13" s="1">
        <f t="shared" si="2"/>
        <v>12.2</v>
      </c>
      <c r="R13" s="5"/>
      <c r="S13" s="5">
        <f t="shared" si="7"/>
        <v>0</v>
      </c>
      <c r="T13" s="5"/>
      <c r="U13" s="1"/>
      <c r="V13" s="1">
        <f t="shared" si="4"/>
        <v>27.254098360655739</v>
      </c>
      <c r="W13" s="1">
        <f t="shared" si="5"/>
        <v>27.254098360655739</v>
      </c>
      <c r="X13" s="1">
        <v>19.600000000000001</v>
      </c>
      <c r="Y13" s="1">
        <v>22</v>
      </c>
      <c r="Z13" s="1">
        <v>19.8</v>
      </c>
      <c r="AA13" s="1">
        <v>22</v>
      </c>
      <c r="AB13" s="1">
        <v>30.4</v>
      </c>
      <c r="AC13" s="1"/>
      <c r="AD13" s="1">
        <f t="shared" si="6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43</v>
      </c>
      <c r="B14" s="1" t="s">
        <v>33</v>
      </c>
      <c r="C14" s="1">
        <v>373.726</v>
      </c>
      <c r="D14" s="1">
        <v>357.18099999999998</v>
      </c>
      <c r="E14" s="1">
        <v>511.46499999999997</v>
      </c>
      <c r="F14" s="1">
        <v>264.572</v>
      </c>
      <c r="G14" s="8">
        <v>1</v>
      </c>
      <c r="I14" s="1" t="str">
        <f>VLOOKUP(A14,[1]TDSheet!$A:$G,7,0)</f>
        <v>P004460</v>
      </c>
      <c r="J14" s="1"/>
      <c r="K14" s="1">
        <v>523.66800000000001</v>
      </c>
      <c r="L14" s="1">
        <f t="shared" si="1"/>
        <v>-12.203000000000031</v>
      </c>
      <c r="M14" s="1"/>
      <c r="N14" s="1"/>
      <c r="O14" s="1">
        <v>150</v>
      </c>
      <c r="P14" s="1">
        <v>327.5</v>
      </c>
      <c r="Q14" s="1">
        <f t="shared" si="2"/>
        <v>102.29299999999999</v>
      </c>
      <c r="R14" s="5">
        <f t="shared" si="8"/>
        <v>485.44399999999985</v>
      </c>
      <c r="S14" s="5">
        <f t="shared" si="7"/>
        <v>485.44399999999985</v>
      </c>
      <c r="T14" s="5"/>
      <c r="U14" s="1"/>
      <c r="V14" s="1">
        <f t="shared" si="4"/>
        <v>12</v>
      </c>
      <c r="W14" s="1">
        <f t="shared" si="5"/>
        <v>7.2543771323550983</v>
      </c>
      <c r="X14" s="1">
        <v>68.812399999999997</v>
      </c>
      <c r="Y14" s="1">
        <v>85.433599999999998</v>
      </c>
      <c r="Z14" s="1">
        <v>78.587000000000003</v>
      </c>
      <c r="AA14" s="1">
        <v>103.93380000000001</v>
      </c>
      <c r="AB14" s="1">
        <v>70.223800000000011</v>
      </c>
      <c r="AC14" s="1"/>
      <c r="AD14" s="1">
        <f t="shared" si="6"/>
        <v>485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44</v>
      </c>
      <c r="B15" s="1" t="s">
        <v>33</v>
      </c>
      <c r="C15" s="1">
        <v>1274.069</v>
      </c>
      <c r="D15" s="1">
        <v>1895.1690000000001</v>
      </c>
      <c r="E15" s="1">
        <v>2480.837</v>
      </c>
      <c r="F15" s="1">
        <v>952.87300000000005</v>
      </c>
      <c r="G15" s="8">
        <v>1</v>
      </c>
      <c r="I15" s="1" t="str">
        <f>VLOOKUP(A15,[1]TDSheet!$A:$G,7,0)</f>
        <v>P002555</v>
      </c>
      <c r="J15" s="1"/>
      <c r="K15" s="1">
        <v>2817.8</v>
      </c>
      <c r="L15" s="1">
        <f t="shared" si="1"/>
        <v>-336.96300000000019</v>
      </c>
      <c r="M15" s="1"/>
      <c r="N15" s="1"/>
      <c r="O15" s="1">
        <v>1100</v>
      </c>
      <c r="P15" s="1">
        <v>1965</v>
      </c>
      <c r="Q15" s="1">
        <f t="shared" si="2"/>
        <v>496.16739999999999</v>
      </c>
      <c r="R15" s="5">
        <f t="shared" si="8"/>
        <v>1936.1357999999996</v>
      </c>
      <c r="S15" s="5">
        <f t="shared" si="7"/>
        <v>1936.1357999999996</v>
      </c>
      <c r="T15" s="5"/>
      <c r="U15" s="1"/>
      <c r="V15" s="1">
        <f t="shared" si="4"/>
        <v>12</v>
      </c>
      <c r="W15" s="1">
        <f t="shared" si="5"/>
        <v>8.0978173898567309</v>
      </c>
      <c r="X15" s="1">
        <v>412.55460000000011</v>
      </c>
      <c r="Y15" s="1">
        <v>402.76819999999998</v>
      </c>
      <c r="Z15" s="1">
        <v>385.99779999999998</v>
      </c>
      <c r="AA15" s="1">
        <v>456.52380000000011</v>
      </c>
      <c r="AB15" s="1">
        <v>356.78899999999999</v>
      </c>
      <c r="AC15" s="1"/>
      <c r="AD15" s="1">
        <f t="shared" si="6"/>
        <v>1936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45</v>
      </c>
      <c r="B16" s="1" t="s">
        <v>33</v>
      </c>
      <c r="C16" s="1">
        <v>86.275999999999996</v>
      </c>
      <c r="D16" s="1">
        <v>12.366</v>
      </c>
      <c r="E16" s="1">
        <v>84.605000000000004</v>
      </c>
      <c r="F16" s="1">
        <v>25.395</v>
      </c>
      <c r="G16" s="8">
        <v>1</v>
      </c>
      <c r="I16" s="1" t="str">
        <f>VLOOKUP(A16,[1]TDSheet!$A:$G,7,0)</f>
        <v>P004028</v>
      </c>
      <c r="J16" s="1"/>
      <c r="K16" s="1">
        <v>86.7</v>
      </c>
      <c r="L16" s="1">
        <f t="shared" si="1"/>
        <v>-2.0949999999999989</v>
      </c>
      <c r="M16" s="1"/>
      <c r="N16" s="1"/>
      <c r="O16" s="1">
        <v>120</v>
      </c>
      <c r="P16" s="1">
        <v>31.765404000000011</v>
      </c>
      <c r="Q16" s="1">
        <f t="shared" si="2"/>
        <v>16.920999999999999</v>
      </c>
      <c r="R16" s="5">
        <f t="shared" si="8"/>
        <v>25.891595999999975</v>
      </c>
      <c r="S16" s="5">
        <f t="shared" si="7"/>
        <v>25.891595999999975</v>
      </c>
      <c r="T16" s="5"/>
      <c r="U16" s="1"/>
      <c r="V16" s="1">
        <f t="shared" si="4"/>
        <v>12</v>
      </c>
      <c r="W16" s="1">
        <f t="shared" si="5"/>
        <v>10.469854263932394</v>
      </c>
      <c r="X16" s="1">
        <v>17.105399999999999</v>
      </c>
      <c r="Y16" s="1">
        <v>7.8916000000000004</v>
      </c>
      <c r="Z16" s="1">
        <v>13.2926</v>
      </c>
      <c r="AA16" s="1">
        <v>6.5541999999999998</v>
      </c>
      <c r="AB16" s="1">
        <v>16.474399999999999</v>
      </c>
      <c r="AC16" s="1"/>
      <c r="AD16" s="1">
        <f t="shared" si="6"/>
        <v>26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46</v>
      </c>
      <c r="B17" s="1" t="s">
        <v>33</v>
      </c>
      <c r="C17" s="1">
        <v>167.851</v>
      </c>
      <c r="D17" s="1">
        <v>616.71799999999996</v>
      </c>
      <c r="E17" s="1">
        <v>1012.029</v>
      </c>
      <c r="F17" s="1">
        <v>3.415</v>
      </c>
      <c r="G17" s="8">
        <v>1</v>
      </c>
      <c r="I17" s="1" t="str">
        <f>VLOOKUP(A17,[1]TDSheet!$A:$G,7,0)</f>
        <v>P005077</v>
      </c>
      <c r="J17" s="1"/>
      <c r="K17" s="1">
        <v>1139.953</v>
      </c>
      <c r="L17" s="1">
        <f t="shared" si="1"/>
        <v>-127.92399999999998</v>
      </c>
      <c r="M17" s="1"/>
      <c r="N17" s="1"/>
      <c r="O17" s="1">
        <v>1100</v>
      </c>
      <c r="P17" s="1">
        <v>1175.3862340000001</v>
      </c>
      <c r="Q17" s="1">
        <f t="shared" si="2"/>
        <v>202.4058</v>
      </c>
      <c r="R17" s="5">
        <f t="shared" si="8"/>
        <v>150.06836599999994</v>
      </c>
      <c r="S17" s="5">
        <f t="shared" si="7"/>
        <v>150.06836599999994</v>
      </c>
      <c r="T17" s="5"/>
      <c r="U17" s="1"/>
      <c r="V17" s="1">
        <f t="shared" si="4"/>
        <v>12</v>
      </c>
      <c r="W17" s="1">
        <f t="shared" si="5"/>
        <v>11.25857675027099</v>
      </c>
      <c r="X17" s="1">
        <v>226.36940000000001</v>
      </c>
      <c r="Y17" s="1">
        <v>199.435</v>
      </c>
      <c r="Z17" s="1">
        <v>217.35759999999999</v>
      </c>
      <c r="AA17" s="1">
        <v>205.24799999999999</v>
      </c>
      <c r="AB17" s="1">
        <v>223.1756</v>
      </c>
      <c r="AC17" s="1"/>
      <c r="AD17" s="1">
        <f t="shared" si="6"/>
        <v>150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47</v>
      </c>
      <c r="B18" s="1" t="s">
        <v>33</v>
      </c>
      <c r="C18" s="1">
        <v>27.396999999999998</v>
      </c>
      <c r="D18" s="1">
        <v>21.22</v>
      </c>
      <c r="E18" s="1">
        <v>52.07</v>
      </c>
      <c r="F18" s="1">
        <v>0.96299999999999997</v>
      </c>
      <c r="G18" s="8">
        <v>1</v>
      </c>
      <c r="I18" s="1" t="str">
        <f>VLOOKUP(A18,[1]TDSheet!$A:$G,7,0)</f>
        <v>P004406</v>
      </c>
      <c r="J18" s="1"/>
      <c r="K18" s="1">
        <v>45.1</v>
      </c>
      <c r="L18" s="1">
        <f t="shared" si="1"/>
        <v>6.9699999999999989</v>
      </c>
      <c r="M18" s="1"/>
      <c r="N18" s="1"/>
      <c r="O18" s="1">
        <v>40</v>
      </c>
      <c r="P18" s="1">
        <v>31.711693999999991</v>
      </c>
      <c r="Q18" s="1">
        <f t="shared" si="2"/>
        <v>10.414</v>
      </c>
      <c r="R18" s="5">
        <f t="shared" si="8"/>
        <v>52.293305999999994</v>
      </c>
      <c r="S18" s="5">
        <f t="shared" si="7"/>
        <v>52.293305999999994</v>
      </c>
      <c r="T18" s="5"/>
      <c r="U18" s="1"/>
      <c r="V18" s="1">
        <f t="shared" si="4"/>
        <v>12</v>
      </c>
      <c r="W18" s="1">
        <f t="shared" si="5"/>
        <v>6.9785571346264632</v>
      </c>
      <c r="X18" s="1">
        <v>8.4854000000000003</v>
      </c>
      <c r="Y18" s="1">
        <v>9.9833999999999996</v>
      </c>
      <c r="Z18" s="1">
        <v>6.6639999999999997</v>
      </c>
      <c r="AA18" s="1">
        <v>7.9236000000000004</v>
      </c>
      <c r="AB18" s="1">
        <v>7.2666000000000004</v>
      </c>
      <c r="AC18" s="1"/>
      <c r="AD18" s="1">
        <f t="shared" si="6"/>
        <v>52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48</v>
      </c>
      <c r="B19" s="1" t="s">
        <v>33</v>
      </c>
      <c r="C19" s="1">
        <v>14.207000000000001</v>
      </c>
      <c r="D19" s="1"/>
      <c r="E19" s="1">
        <v>5.7880000000000003</v>
      </c>
      <c r="F19" s="1">
        <v>7.3410000000000002</v>
      </c>
      <c r="G19" s="8">
        <v>1</v>
      </c>
      <c r="I19" s="1" t="str">
        <f>VLOOKUP(A19,[1]TDSheet!$A:$G,7,0)</f>
        <v>P001900</v>
      </c>
      <c r="J19" s="1"/>
      <c r="K19" s="1">
        <v>5.03</v>
      </c>
      <c r="L19" s="1">
        <f t="shared" si="1"/>
        <v>0.75800000000000001</v>
      </c>
      <c r="M19" s="1"/>
      <c r="N19" s="1"/>
      <c r="O19" s="1">
        <v>25</v>
      </c>
      <c r="P19" s="1">
        <v>0</v>
      </c>
      <c r="Q19" s="1">
        <f t="shared" si="2"/>
        <v>1.1576</v>
      </c>
      <c r="R19" s="5"/>
      <c r="S19" s="5">
        <f t="shared" si="7"/>
        <v>0</v>
      </c>
      <c r="T19" s="5"/>
      <c r="U19" s="1"/>
      <c r="V19" s="1">
        <f t="shared" si="4"/>
        <v>27.937975120939878</v>
      </c>
      <c r="W19" s="1">
        <f t="shared" si="5"/>
        <v>27.937975120939878</v>
      </c>
      <c r="X19" s="1">
        <v>1.0666</v>
      </c>
      <c r="Y19" s="1">
        <v>1.5609999999999999</v>
      </c>
      <c r="Z19" s="1">
        <v>2.3315999999999999</v>
      </c>
      <c r="AA19" s="1">
        <v>1.694</v>
      </c>
      <c r="AB19" s="1">
        <v>2.5464000000000002</v>
      </c>
      <c r="AC19" s="1"/>
      <c r="AD19" s="1">
        <f t="shared" si="6"/>
        <v>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49</v>
      </c>
      <c r="B20" s="1" t="s">
        <v>33</v>
      </c>
      <c r="C20" s="1">
        <v>381.601</v>
      </c>
      <c r="D20" s="1">
        <v>195.01400000000001</v>
      </c>
      <c r="E20" s="1">
        <v>484.37299999999999</v>
      </c>
      <c r="F20" s="1">
        <v>109.95099999999999</v>
      </c>
      <c r="G20" s="8">
        <v>1</v>
      </c>
      <c r="I20" s="1" t="str">
        <f>VLOOKUP(A20,[1]TDSheet!$A:$G,7,0)</f>
        <v>P004030</v>
      </c>
      <c r="J20" s="1"/>
      <c r="K20" s="1">
        <v>473.3</v>
      </c>
      <c r="L20" s="1">
        <f t="shared" si="1"/>
        <v>11.072999999999979</v>
      </c>
      <c r="M20" s="1"/>
      <c r="N20" s="1"/>
      <c r="O20" s="1">
        <v>150</v>
      </c>
      <c r="P20" s="1">
        <v>524</v>
      </c>
      <c r="Q20" s="1">
        <f t="shared" si="2"/>
        <v>96.874600000000001</v>
      </c>
      <c r="R20" s="5">
        <f t="shared" si="8"/>
        <v>378.54420000000005</v>
      </c>
      <c r="S20" s="5">
        <f>T20</f>
        <v>500</v>
      </c>
      <c r="T20" s="14">
        <v>500</v>
      </c>
      <c r="U20" s="16" t="s">
        <v>143</v>
      </c>
      <c r="V20" s="1">
        <f t="shared" si="4"/>
        <v>13.25374246706567</v>
      </c>
      <c r="W20" s="1">
        <f t="shared" si="5"/>
        <v>8.0924308332627959</v>
      </c>
      <c r="X20" s="1">
        <v>72.781599999999997</v>
      </c>
      <c r="Y20" s="1">
        <v>77.642200000000003</v>
      </c>
      <c r="Z20" s="1">
        <v>62.739400000000003</v>
      </c>
      <c r="AA20" s="1">
        <v>79.265599999999992</v>
      </c>
      <c r="AB20" s="1">
        <v>53.703599999999987</v>
      </c>
      <c r="AC20" s="1"/>
      <c r="AD20" s="1">
        <f t="shared" si="6"/>
        <v>500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50</v>
      </c>
      <c r="B21" s="1" t="s">
        <v>33</v>
      </c>
      <c r="C21" s="1">
        <v>85.064999999999998</v>
      </c>
      <c r="D21" s="1">
        <v>42.421999999999997</v>
      </c>
      <c r="E21" s="1">
        <v>130.005</v>
      </c>
      <c r="F21" s="1">
        <v>16.137</v>
      </c>
      <c r="G21" s="8">
        <v>1</v>
      </c>
      <c r="I21" s="1" t="str">
        <f>VLOOKUP(A21,[1]TDSheet!$A:$G,7,0)</f>
        <v>P004465</v>
      </c>
      <c r="J21" s="1"/>
      <c r="K21" s="1">
        <v>119.2</v>
      </c>
      <c r="L21" s="1">
        <f t="shared" si="1"/>
        <v>10.804999999999993</v>
      </c>
      <c r="M21" s="1"/>
      <c r="N21" s="1"/>
      <c r="O21" s="1">
        <v>200</v>
      </c>
      <c r="P21" s="1">
        <v>0</v>
      </c>
      <c r="Q21" s="1">
        <f t="shared" si="2"/>
        <v>26.000999999999998</v>
      </c>
      <c r="R21" s="5">
        <f t="shared" si="8"/>
        <v>95.874999999999943</v>
      </c>
      <c r="S21" s="5">
        <f t="shared" si="7"/>
        <v>95.874999999999943</v>
      </c>
      <c r="T21" s="5"/>
      <c r="U21" s="1"/>
      <c r="V21" s="1">
        <f t="shared" si="4"/>
        <v>11.999999999999998</v>
      </c>
      <c r="W21" s="1">
        <f t="shared" si="5"/>
        <v>8.3126418214684055</v>
      </c>
      <c r="X21" s="1">
        <v>23.799199999999999</v>
      </c>
      <c r="Y21" s="1">
        <v>17.553000000000001</v>
      </c>
      <c r="Z21" s="1">
        <v>20.255400000000002</v>
      </c>
      <c r="AA21" s="1">
        <v>21.950600000000001</v>
      </c>
      <c r="AB21" s="1">
        <v>21.411799999999999</v>
      </c>
      <c r="AC21" s="1"/>
      <c r="AD21" s="1">
        <f t="shared" si="6"/>
        <v>96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51</v>
      </c>
      <c r="B22" s="1" t="s">
        <v>33</v>
      </c>
      <c r="C22" s="1">
        <v>76.265000000000001</v>
      </c>
      <c r="D22" s="1">
        <v>56.078000000000003</v>
      </c>
      <c r="E22" s="1">
        <v>144.33699999999999</v>
      </c>
      <c r="F22" s="1">
        <v>-4.0250000000000004</v>
      </c>
      <c r="G22" s="8">
        <v>1</v>
      </c>
      <c r="I22" s="1" t="str">
        <f>VLOOKUP(A22,[1]TDSheet!$A:$G,7,0)</f>
        <v>P004466</v>
      </c>
      <c r="J22" s="1"/>
      <c r="K22" s="1">
        <v>153.828</v>
      </c>
      <c r="L22" s="1">
        <f t="shared" si="1"/>
        <v>-9.4910000000000139</v>
      </c>
      <c r="M22" s="1"/>
      <c r="N22" s="1"/>
      <c r="O22" s="1">
        <v>20</v>
      </c>
      <c r="P22" s="1">
        <v>463.81519400000002</v>
      </c>
      <c r="Q22" s="1">
        <f t="shared" si="2"/>
        <v>28.867399999999996</v>
      </c>
      <c r="R22" s="5"/>
      <c r="S22" s="5">
        <f>T22</f>
        <v>200</v>
      </c>
      <c r="T22" s="14">
        <v>200</v>
      </c>
      <c r="U22" s="16" t="s">
        <v>143</v>
      </c>
      <c r="V22" s="1">
        <f t="shared" si="4"/>
        <v>23.548715644637209</v>
      </c>
      <c r="W22" s="1">
        <f t="shared" si="5"/>
        <v>16.620485183979163</v>
      </c>
      <c r="X22" s="1">
        <v>34.682400000000001</v>
      </c>
      <c r="Y22" s="1">
        <v>32.679199999999987</v>
      </c>
      <c r="Z22" s="1">
        <v>30.837599999999998</v>
      </c>
      <c r="AA22" s="1">
        <v>28.3216</v>
      </c>
      <c r="AB22" s="1">
        <v>37.857199999999999</v>
      </c>
      <c r="AC22" s="1"/>
      <c r="AD22" s="1">
        <f t="shared" si="6"/>
        <v>200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52</v>
      </c>
      <c r="B23" s="1" t="s">
        <v>33</v>
      </c>
      <c r="C23" s="1">
        <v>19.292000000000002</v>
      </c>
      <c r="D23" s="1">
        <v>0.36099999999999999</v>
      </c>
      <c r="E23" s="1">
        <v>13.404999999999999</v>
      </c>
      <c r="F23" s="1">
        <v>6.6070000000000002</v>
      </c>
      <c r="G23" s="8">
        <v>1</v>
      </c>
      <c r="I23" s="1" t="str">
        <f>VLOOKUP(A23,[1]TDSheet!$A:$G,7,0)</f>
        <v>P001916</v>
      </c>
      <c r="J23" s="1"/>
      <c r="K23" s="1">
        <v>12.71</v>
      </c>
      <c r="L23" s="1">
        <f t="shared" si="1"/>
        <v>0.69499999999999851</v>
      </c>
      <c r="M23" s="1"/>
      <c r="N23" s="1"/>
      <c r="O23" s="1">
        <v>40</v>
      </c>
      <c r="P23" s="1">
        <v>0</v>
      </c>
      <c r="Q23" s="1">
        <f t="shared" si="2"/>
        <v>2.681</v>
      </c>
      <c r="R23" s="5"/>
      <c r="S23" s="5">
        <f t="shared" si="7"/>
        <v>0</v>
      </c>
      <c r="T23" s="5"/>
      <c r="U23" s="1"/>
      <c r="V23" s="1">
        <f t="shared" si="4"/>
        <v>17.384185005594926</v>
      </c>
      <c r="W23" s="1">
        <f t="shared" si="5"/>
        <v>17.384185005594926</v>
      </c>
      <c r="X23" s="1">
        <v>4.7835999999999999</v>
      </c>
      <c r="Y23" s="1">
        <v>1.4914000000000001</v>
      </c>
      <c r="Z23" s="1">
        <v>2.7326000000000001</v>
      </c>
      <c r="AA23" s="1">
        <v>2.423</v>
      </c>
      <c r="AB23" s="1">
        <v>5.8113999999999999</v>
      </c>
      <c r="AC23" s="1"/>
      <c r="AD23" s="1">
        <f t="shared" si="6"/>
        <v>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53</v>
      </c>
      <c r="B24" s="1" t="s">
        <v>33</v>
      </c>
      <c r="C24" s="1">
        <v>174.07</v>
      </c>
      <c r="D24" s="1">
        <v>112.636</v>
      </c>
      <c r="E24" s="1">
        <v>248.21799999999999</v>
      </c>
      <c r="F24" s="1">
        <v>55.69</v>
      </c>
      <c r="G24" s="8">
        <v>1</v>
      </c>
      <c r="I24" s="1" t="str">
        <f>VLOOKUP(A24,[1]TDSheet!$A:$G,7,0)</f>
        <v>P004470</v>
      </c>
      <c r="J24" s="1"/>
      <c r="K24" s="1">
        <v>230.9</v>
      </c>
      <c r="L24" s="1">
        <f t="shared" si="1"/>
        <v>17.317999999999984</v>
      </c>
      <c r="M24" s="1"/>
      <c r="N24" s="1"/>
      <c r="O24" s="1">
        <v>150</v>
      </c>
      <c r="P24" s="1">
        <v>116.5915720000001</v>
      </c>
      <c r="Q24" s="1">
        <f t="shared" si="2"/>
        <v>49.643599999999999</v>
      </c>
      <c r="R24" s="5">
        <f t="shared" si="8"/>
        <v>273.44162799999992</v>
      </c>
      <c r="S24" s="5">
        <f>T24</f>
        <v>555</v>
      </c>
      <c r="T24" s="14">
        <v>555</v>
      </c>
      <c r="U24" s="16" t="s">
        <v>143</v>
      </c>
      <c r="V24" s="1">
        <f t="shared" si="4"/>
        <v>17.671594566066926</v>
      </c>
      <c r="W24" s="1">
        <f t="shared" si="5"/>
        <v>6.4919057441442627</v>
      </c>
      <c r="X24" s="1">
        <v>36.218200000000003</v>
      </c>
      <c r="Y24" s="1">
        <v>44.4452</v>
      </c>
      <c r="Z24" s="1">
        <v>36.724200000000003</v>
      </c>
      <c r="AA24" s="1">
        <v>44.348399999999998</v>
      </c>
      <c r="AB24" s="1">
        <v>37.685600000000001</v>
      </c>
      <c r="AC24" s="1" t="s">
        <v>34</v>
      </c>
      <c r="AD24" s="1">
        <f t="shared" si="6"/>
        <v>555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54</v>
      </c>
      <c r="B25" s="1" t="s">
        <v>33</v>
      </c>
      <c r="C25" s="1">
        <v>226.876</v>
      </c>
      <c r="D25" s="1"/>
      <c r="E25" s="1">
        <v>247.31399999999999</v>
      </c>
      <c r="F25" s="1">
        <v>15.138999999999999</v>
      </c>
      <c r="G25" s="8">
        <v>1</v>
      </c>
      <c r="I25" s="1" t="str">
        <f>VLOOKUP(A25,[1]TDSheet!$A:$G,7,0)</f>
        <v>P005080</v>
      </c>
      <c r="J25" s="1"/>
      <c r="K25" s="1">
        <v>225.886</v>
      </c>
      <c r="L25" s="1">
        <f t="shared" si="1"/>
        <v>21.427999999999997</v>
      </c>
      <c r="M25" s="1"/>
      <c r="N25" s="1"/>
      <c r="O25" s="1">
        <v>130</v>
      </c>
      <c r="P25" s="1">
        <v>457.67784400000011</v>
      </c>
      <c r="Q25" s="1">
        <f t="shared" si="2"/>
        <v>49.462800000000001</v>
      </c>
      <c r="R25" s="5"/>
      <c r="S25" s="5">
        <f t="shared" si="7"/>
        <v>0</v>
      </c>
      <c r="T25" s="5"/>
      <c r="U25" s="1"/>
      <c r="V25" s="1">
        <f t="shared" si="4"/>
        <v>12.187276983915188</v>
      </c>
      <c r="W25" s="1">
        <f t="shared" si="5"/>
        <v>12.187276983915188</v>
      </c>
      <c r="X25" s="1">
        <v>52.084400000000002</v>
      </c>
      <c r="Y25" s="1">
        <v>43.297199999999997</v>
      </c>
      <c r="Z25" s="1">
        <v>57.178800000000003</v>
      </c>
      <c r="AA25" s="1">
        <v>35.2318</v>
      </c>
      <c r="AB25" s="1">
        <v>37.769599999999997</v>
      </c>
      <c r="AC25" s="1"/>
      <c r="AD25" s="1">
        <f t="shared" si="6"/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55</v>
      </c>
      <c r="B26" s="1" t="s">
        <v>33</v>
      </c>
      <c r="C26" s="1">
        <v>580.851</v>
      </c>
      <c r="D26" s="1">
        <v>35.283999999999999</v>
      </c>
      <c r="E26" s="1">
        <v>69.573999999999998</v>
      </c>
      <c r="F26" s="1">
        <v>580.86900000000003</v>
      </c>
      <c r="G26" s="8">
        <v>1</v>
      </c>
      <c r="I26" s="1" t="str">
        <f>VLOOKUP(A26,[1]TDSheet!$A:$G,7,0)</f>
        <v>P002536</v>
      </c>
      <c r="J26" s="1"/>
      <c r="K26" s="1">
        <v>236.7</v>
      </c>
      <c r="L26" s="1">
        <f t="shared" si="1"/>
        <v>-167.12599999999998</v>
      </c>
      <c r="M26" s="1"/>
      <c r="N26" s="1"/>
      <c r="O26" s="1">
        <v>0</v>
      </c>
      <c r="P26" s="1">
        <v>0</v>
      </c>
      <c r="Q26" s="1">
        <f t="shared" si="2"/>
        <v>13.9148</v>
      </c>
      <c r="R26" s="5"/>
      <c r="S26" s="5">
        <f t="shared" ref="S26:S27" si="9">T26</f>
        <v>580</v>
      </c>
      <c r="T26" s="14">
        <v>580</v>
      </c>
      <c r="U26" s="16" t="s">
        <v>144</v>
      </c>
      <c r="V26" s="1">
        <f t="shared" si="4"/>
        <v>83.42692672550092</v>
      </c>
      <c r="W26" s="1">
        <f t="shared" si="5"/>
        <v>41.744689108000117</v>
      </c>
      <c r="X26" s="1">
        <v>17.303599999999999</v>
      </c>
      <c r="Y26" s="1">
        <v>-2.7688000000000001</v>
      </c>
      <c r="Z26" s="1">
        <v>-1.2552000000000001</v>
      </c>
      <c r="AA26" s="1">
        <v>73.03479999999999</v>
      </c>
      <c r="AB26" s="1">
        <v>27.750399999999999</v>
      </c>
      <c r="AC26" s="1" t="s">
        <v>145</v>
      </c>
      <c r="AD26" s="1">
        <f t="shared" si="6"/>
        <v>580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56</v>
      </c>
      <c r="B27" s="1" t="s">
        <v>33</v>
      </c>
      <c r="C27" s="1">
        <v>640.52099999999996</v>
      </c>
      <c r="D27" s="1">
        <v>232.672</v>
      </c>
      <c r="E27" s="1">
        <v>1042.7239999999999</v>
      </c>
      <c r="F27" s="1">
        <v>-2.9569999999999999</v>
      </c>
      <c r="G27" s="8">
        <v>1</v>
      </c>
      <c r="I27" s="1" t="str">
        <f>VLOOKUP(A27,[1]TDSheet!$A:$G,7,0)</f>
        <v>P004844</v>
      </c>
      <c r="J27" s="1"/>
      <c r="K27" s="1">
        <v>1055.5999999999999</v>
      </c>
      <c r="L27" s="1">
        <f t="shared" si="1"/>
        <v>-12.875999999999976</v>
      </c>
      <c r="M27" s="1"/>
      <c r="N27" s="1"/>
      <c r="O27" s="1">
        <v>1700</v>
      </c>
      <c r="P27" s="1">
        <v>655</v>
      </c>
      <c r="Q27" s="1">
        <f t="shared" si="2"/>
        <v>208.54479999999998</v>
      </c>
      <c r="R27" s="5">
        <f t="shared" si="8"/>
        <v>150.49459999999965</v>
      </c>
      <c r="S27" s="5">
        <f t="shared" si="9"/>
        <v>400</v>
      </c>
      <c r="T27" s="14">
        <v>400</v>
      </c>
      <c r="U27" s="16" t="s">
        <v>143</v>
      </c>
      <c r="V27" s="1">
        <f t="shared" si="4"/>
        <v>13.196411514456365</v>
      </c>
      <c r="W27" s="1">
        <f t="shared" si="5"/>
        <v>11.278358415074363</v>
      </c>
      <c r="X27" s="1">
        <v>217.6456</v>
      </c>
      <c r="Y27" s="1">
        <v>0</v>
      </c>
      <c r="Z27" s="1">
        <v>181.95480000000001</v>
      </c>
      <c r="AA27" s="1">
        <v>183.54859999999999</v>
      </c>
      <c r="AB27" s="1">
        <v>188.22040000000001</v>
      </c>
      <c r="AC27" s="1"/>
      <c r="AD27" s="1">
        <f t="shared" si="6"/>
        <v>400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57</v>
      </c>
      <c r="B28" s="1" t="s">
        <v>33</v>
      </c>
      <c r="C28" s="1">
        <v>-7.9000000000000001E-2</v>
      </c>
      <c r="D28" s="1"/>
      <c r="E28" s="1">
        <v>-5.3999999999999999E-2</v>
      </c>
      <c r="F28" s="1">
        <v>-7.9000000000000001E-2</v>
      </c>
      <c r="G28" s="8">
        <v>1</v>
      </c>
      <c r="I28" s="1" t="str">
        <f>VLOOKUP(A28,[1]TDSheet!$A:$G,7,0)</f>
        <v>P004843</v>
      </c>
      <c r="J28" s="1"/>
      <c r="K28" s="1">
        <v>7.8</v>
      </c>
      <c r="L28" s="1">
        <f t="shared" si="1"/>
        <v>-7.8540000000000001</v>
      </c>
      <c r="M28" s="1"/>
      <c r="N28" s="1"/>
      <c r="O28" s="1">
        <v>20</v>
      </c>
      <c r="P28" s="1">
        <v>0</v>
      </c>
      <c r="Q28" s="1">
        <f t="shared" si="2"/>
        <v>-1.0800000000000001E-2</v>
      </c>
      <c r="R28" s="5"/>
      <c r="S28" s="5">
        <f t="shared" si="7"/>
        <v>0</v>
      </c>
      <c r="T28" s="5"/>
      <c r="U28" s="1"/>
      <c r="V28" s="1">
        <f t="shared" si="4"/>
        <v>-1844.537037037037</v>
      </c>
      <c r="W28" s="1">
        <f t="shared" si="5"/>
        <v>-1844.537037037037</v>
      </c>
      <c r="X28" s="1">
        <v>1.5007999999999999</v>
      </c>
      <c r="Y28" s="1">
        <v>1.5975999999999999</v>
      </c>
      <c r="Z28" s="1">
        <v>1.4674</v>
      </c>
      <c r="AA28" s="1">
        <v>2.2871999999999999</v>
      </c>
      <c r="AB28" s="1">
        <v>7.1768000000000001</v>
      </c>
      <c r="AC28" s="1"/>
      <c r="AD28" s="1">
        <f t="shared" si="6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58</v>
      </c>
      <c r="B29" s="1" t="s">
        <v>33</v>
      </c>
      <c r="C29" s="1">
        <v>5.351</v>
      </c>
      <c r="D29" s="1">
        <v>92.781999999999996</v>
      </c>
      <c r="E29" s="1">
        <v>76.048000000000002</v>
      </c>
      <c r="F29" s="1">
        <v>13.404999999999999</v>
      </c>
      <c r="G29" s="8">
        <v>1</v>
      </c>
      <c r="I29" s="1" t="str">
        <f>VLOOKUP(A29,[1]TDSheet!$A:$G,7,0)</f>
        <v>P004913</v>
      </c>
      <c r="J29" s="1"/>
      <c r="K29" s="1">
        <v>108.69</v>
      </c>
      <c r="L29" s="1">
        <f t="shared" si="1"/>
        <v>-32.641999999999996</v>
      </c>
      <c r="M29" s="1"/>
      <c r="N29" s="1"/>
      <c r="O29" s="1">
        <v>70</v>
      </c>
      <c r="P29" s="1">
        <v>0</v>
      </c>
      <c r="Q29" s="1">
        <f t="shared" si="2"/>
        <v>15.2096</v>
      </c>
      <c r="R29" s="5">
        <f t="shared" si="8"/>
        <v>99.110199999999992</v>
      </c>
      <c r="S29" s="5">
        <f t="shared" si="7"/>
        <v>99.110199999999992</v>
      </c>
      <c r="T29" s="5"/>
      <c r="U29" s="1"/>
      <c r="V29" s="1">
        <f t="shared" si="4"/>
        <v>12</v>
      </c>
      <c r="W29" s="1">
        <f t="shared" si="5"/>
        <v>5.4837076583210607</v>
      </c>
      <c r="X29" s="1">
        <v>8.0359999999999996</v>
      </c>
      <c r="Y29" s="1">
        <v>14.986000000000001</v>
      </c>
      <c r="Z29" s="1">
        <v>13.0144</v>
      </c>
      <c r="AA29" s="1">
        <v>16.220400000000001</v>
      </c>
      <c r="AB29" s="1">
        <v>12.088800000000001</v>
      </c>
      <c r="AC29" s="1"/>
      <c r="AD29" s="1">
        <f t="shared" si="6"/>
        <v>99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59</v>
      </c>
      <c r="B30" s="1" t="s">
        <v>33</v>
      </c>
      <c r="C30" s="1">
        <v>56.978999999999999</v>
      </c>
      <c r="D30" s="1">
        <v>56.747999999999998</v>
      </c>
      <c r="E30" s="1">
        <v>136.833</v>
      </c>
      <c r="F30" s="1">
        <v>-12.045</v>
      </c>
      <c r="G30" s="8">
        <v>1</v>
      </c>
      <c r="I30" s="1" t="str">
        <f>VLOOKUP(A30,[1]TDSheet!$A:$G,7,0)</f>
        <v>P004896</v>
      </c>
      <c r="J30" s="1"/>
      <c r="K30" s="1">
        <v>170.4</v>
      </c>
      <c r="L30" s="1">
        <f t="shared" si="1"/>
        <v>-33.567000000000007</v>
      </c>
      <c r="M30" s="1"/>
      <c r="N30" s="1"/>
      <c r="O30" s="1">
        <v>120</v>
      </c>
      <c r="P30" s="1">
        <v>232.938174</v>
      </c>
      <c r="Q30" s="1">
        <f t="shared" si="2"/>
        <v>27.366599999999998</v>
      </c>
      <c r="R30" s="5"/>
      <c r="S30" s="5">
        <f t="shared" si="7"/>
        <v>0</v>
      </c>
      <c r="T30" s="5"/>
      <c r="U30" s="1"/>
      <c r="V30" s="1">
        <f t="shared" si="4"/>
        <v>12.456540965995046</v>
      </c>
      <c r="W30" s="1">
        <f t="shared" si="5"/>
        <v>12.456540965995046</v>
      </c>
      <c r="X30" s="1">
        <v>31.243400000000001</v>
      </c>
      <c r="Y30" s="1">
        <v>24.976199999999999</v>
      </c>
      <c r="Z30" s="1">
        <v>22.632000000000001</v>
      </c>
      <c r="AA30" s="1">
        <v>22.380600000000001</v>
      </c>
      <c r="AB30" s="1">
        <v>17.5428</v>
      </c>
      <c r="AC30" s="1"/>
      <c r="AD30" s="1">
        <f t="shared" si="6"/>
        <v>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60</v>
      </c>
      <c r="B31" s="1" t="s">
        <v>33</v>
      </c>
      <c r="C31" s="1">
        <v>52.844999999999999</v>
      </c>
      <c r="D31" s="1"/>
      <c r="E31" s="1">
        <v>54.542999999999999</v>
      </c>
      <c r="F31" s="1"/>
      <c r="G31" s="8">
        <v>1</v>
      </c>
      <c r="I31" s="1" t="str">
        <f>VLOOKUP(A31,[1]TDSheet!$A:$G,7,0)</f>
        <v>P004898</v>
      </c>
      <c r="J31" s="1"/>
      <c r="K31" s="1">
        <v>71.474000000000004</v>
      </c>
      <c r="L31" s="1">
        <f t="shared" si="1"/>
        <v>-16.931000000000004</v>
      </c>
      <c r="M31" s="1"/>
      <c r="N31" s="1"/>
      <c r="O31" s="1">
        <v>110</v>
      </c>
      <c r="P31" s="1">
        <v>121.30731</v>
      </c>
      <c r="Q31" s="1">
        <f t="shared" si="2"/>
        <v>10.9086</v>
      </c>
      <c r="R31" s="5"/>
      <c r="S31" s="5">
        <f t="shared" si="7"/>
        <v>0</v>
      </c>
      <c r="T31" s="5"/>
      <c r="U31" s="1"/>
      <c r="V31" s="1">
        <f t="shared" si="4"/>
        <v>21.204124268925437</v>
      </c>
      <c r="W31" s="1">
        <f t="shared" si="5"/>
        <v>21.204124268925437</v>
      </c>
      <c r="X31" s="1">
        <v>18.507999999999999</v>
      </c>
      <c r="Y31" s="1">
        <v>10.6882</v>
      </c>
      <c r="Z31" s="1">
        <v>11.6236</v>
      </c>
      <c r="AA31" s="1">
        <v>10.311400000000001</v>
      </c>
      <c r="AB31" s="1">
        <v>14.8666</v>
      </c>
      <c r="AC31" s="1"/>
      <c r="AD31" s="1">
        <f t="shared" si="6"/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61</v>
      </c>
      <c r="B32" s="1" t="s">
        <v>38</v>
      </c>
      <c r="C32" s="1">
        <v>381</v>
      </c>
      <c r="D32" s="1">
        <v>1015</v>
      </c>
      <c r="E32" s="1">
        <v>1722</v>
      </c>
      <c r="F32" s="1">
        <v>-28</v>
      </c>
      <c r="G32" s="8">
        <v>0.4</v>
      </c>
      <c r="I32" s="1" t="str">
        <f>VLOOKUP(A32,[1]TDSheet!$A:$G,7,0)</f>
        <v>P003957</v>
      </c>
      <c r="J32" s="1"/>
      <c r="K32" s="1">
        <v>1988</v>
      </c>
      <c r="L32" s="1">
        <f t="shared" si="1"/>
        <v>-266</v>
      </c>
      <c r="M32" s="1"/>
      <c r="N32" s="1"/>
      <c r="O32" s="1">
        <v>2100</v>
      </c>
      <c r="P32" s="1">
        <v>1105.116</v>
      </c>
      <c r="Q32" s="1">
        <f t="shared" si="2"/>
        <v>344.4</v>
      </c>
      <c r="R32" s="5">
        <f t="shared" si="8"/>
        <v>955.68399999999929</v>
      </c>
      <c r="S32" s="5">
        <f t="shared" si="7"/>
        <v>955.68399999999929</v>
      </c>
      <c r="T32" s="5"/>
      <c r="U32" s="1"/>
      <c r="V32" s="1">
        <f t="shared" si="4"/>
        <v>11.999999999999998</v>
      </c>
      <c r="W32" s="1">
        <f t="shared" si="5"/>
        <v>9.2250754936120796</v>
      </c>
      <c r="X32" s="1">
        <v>336.6</v>
      </c>
      <c r="Y32" s="1">
        <v>287.2</v>
      </c>
      <c r="Z32" s="1">
        <v>319.39999999999998</v>
      </c>
      <c r="AA32" s="1">
        <v>310</v>
      </c>
      <c r="AB32" s="1">
        <v>329</v>
      </c>
      <c r="AC32" s="1"/>
      <c r="AD32" s="1">
        <f t="shared" si="6"/>
        <v>382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62</v>
      </c>
      <c r="B33" s="1" t="s">
        <v>38</v>
      </c>
      <c r="C33" s="1">
        <v>238</v>
      </c>
      <c r="D33" s="1">
        <v>71</v>
      </c>
      <c r="E33" s="1">
        <v>301</v>
      </c>
      <c r="F33" s="1">
        <v>23</v>
      </c>
      <c r="G33" s="8">
        <v>0.45</v>
      </c>
      <c r="I33" s="1" t="str">
        <f>VLOOKUP(A33,[1]TDSheet!$A:$G,7,0)</f>
        <v>P003103</v>
      </c>
      <c r="J33" s="1"/>
      <c r="K33" s="1">
        <v>336</v>
      </c>
      <c r="L33" s="1">
        <f t="shared" si="1"/>
        <v>-35</v>
      </c>
      <c r="M33" s="1"/>
      <c r="N33" s="1"/>
      <c r="O33" s="1">
        <v>150</v>
      </c>
      <c r="P33" s="1">
        <v>327.5</v>
      </c>
      <c r="Q33" s="1">
        <f t="shared" si="2"/>
        <v>60.2</v>
      </c>
      <c r="R33" s="5">
        <f t="shared" si="8"/>
        <v>221.90000000000009</v>
      </c>
      <c r="S33" s="5">
        <f t="shared" si="7"/>
        <v>221.90000000000009</v>
      </c>
      <c r="T33" s="5"/>
      <c r="U33" s="1"/>
      <c r="V33" s="1">
        <f t="shared" si="4"/>
        <v>12.000000000000002</v>
      </c>
      <c r="W33" s="1">
        <f t="shared" si="5"/>
        <v>8.3139534883720927</v>
      </c>
      <c r="X33" s="1">
        <v>45.4</v>
      </c>
      <c r="Y33" s="1">
        <v>26.6</v>
      </c>
      <c r="Z33" s="1">
        <v>55.2</v>
      </c>
      <c r="AA33" s="1">
        <v>58.2</v>
      </c>
      <c r="AB33" s="1">
        <v>29.6</v>
      </c>
      <c r="AC33" s="1"/>
      <c r="AD33" s="1">
        <f t="shared" si="6"/>
        <v>100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63</v>
      </c>
      <c r="B34" s="1" t="s">
        <v>38</v>
      </c>
      <c r="C34" s="1">
        <v>659</v>
      </c>
      <c r="D34" s="1">
        <v>68</v>
      </c>
      <c r="E34" s="1">
        <v>753</v>
      </c>
      <c r="F34" s="1">
        <v>15</v>
      </c>
      <c r="G34" s="8">
        <v>0.4</v>
      </c>
      <c r="I34" s="1" t="str">
        <f>VLOOKUP(A34,[1]TDSheet!$A:$G,7,0)</f>
        <v>P003958</v>
      </c>
      <c r="J34" s="1"/>
      <c r="K34" s="1">
        <v>848</v>
      </c>
      <c r="L34" s="1">
        <f t="shared" si="1"/>
        <v>-95</v>
      </c>
      <c r="M34" s="1"/>
      <c r="N34" s="1"/>
      <c r="O34" s="1">
        <v>550</v>
      </c>
      <c r="P34" s="1">
        <v>657.62</v>
      </c>
      <c r="Q34" s="1">
        <f t="shared" si="2"/>
        <v>150.6</v>
      </c>
      <c r="R34" s="5">
        <f t="shared" si="8"/>
        <v>584.57999999999993</v>
      </c>
      <c r="S34" s="5">
        <f t="shared" si="7"/>
        <v>584.57999999999993</v>
      </c>
      <c r="T34" s="5"/>
      <c r="U34" s="1"/>
      <c r="V34" s="1">
        <f t="shared" si="4"/>
        <v>12</v>
      </c>
      <c r="W34" s="1">
        <f t="shared" si="5"/>
        <v>8.1183266932270914</v>
      </c>
      <c r="X34" s="1">
        <v>138</v>
      </c>
      <c r="Y34" s="1">
        <v>93.8</v>
      </c>
      <c r="Z34" s="1">
        <v>118.6</v>
      </c>
      <c r="AA34" s="1">
        <v>114.8</v>
      </c>
      <c r="AB34" s="1">
        <v>89.8</v>
      </c>
      <c r="AC34" s="1"/>
      <c r="AD34" s="1">
        <f t="shared" si="6"/>
        <v>234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64</v>
      </c>
      <c r="B35" s="1" t="s">
        <v>38</v>
      </c>
      <c r="C35" s="1">
        <v>7</v>
      </c>
      <c r="D35" s="1">
        <v>18</v>
      </c>
      <c r="E35" s="1">
        <v>40</v>
      </c>
      <c r="F35" s="1">
        <v>-6</v>
      </c>
      <c r="G35" s="8">
        <v>0.4</v>
      </c>
      <c r="I35" s="1" t="str">
        <f>VLOOKUP(A35,[1]TDSheet!$A:$G,7,0)</f>
        <v>P005198</v>
      </c>
      <c r="J35" s="1"/>
      <c r="K35" s="1">
        <v>58</v>
      </c>
      <c r="L35" s="1">
        <f t="shared" si="1"/>
        <v>-18</v>
      </c>
      <c r="M35" s="1"/>
      <c r="N35" s="1"/>
      <c r="O35" s="1">
        <v>220</v>
      </c>
      <c r="P35" s="1">
        <v>51.09</v>
      </c>
      <c r="Q35" s="1">
        <f t="shared" si="2"/>
        <v>8</v>
      </c>
      <c r="R35" s="5"/>
      <c r="S35" s="5">
        <f t="shared" si="7"/>
        <v>0</v>
      </c>
      <c r="T35" s="5"/>
      <c r="U35" s="1"/>
      <c r="V35" s="1">
        <f t="shared" si="4"/>
        <v>33.136250000000004</v>
      </c>
      <c r="W35" s="1">
        <f t="shared" si="5"/>
        <v>33.136250000000004</v>
      </c>
      <c r="X35" s="1">
        <v>23</v>
      </c>
      <c r="Y35" s="1">
        <v>3</v>
      </c>
      <c r="Z35" s="1">
        <v>14.8</v>
      </c>
      <c r="AA35" s="1">
        <v>8.1999999999999993</v>
      </c>
      <c r="AB35" s="1">
        <v>22.4</v>
      </c>
      <c r="AC35" s="1"/>
      <c r="AD35" s="1">
        <f t="shared" si="6"/>
        <v>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65</v>
      </c>
      <c r="B36" s="1" t="s">
        <v>33</v>
      </c>
      <c r="C36" s="1">
        <v>8.7469999999999999</v>
      </c>
      <c r="D36" s="1">
        <v>17.463000000000001</v>
      </c>
      <c r="E36" s="1">
        <v>27.492999999999999</v>
      </c>
      <c r="F36" s="1">
        <v>0.155</v>
      </c>
      <c r="G36" s="8">
        <v>1</v>
      </c>
      <c r="I36" s="1" t="str">
        <f>VLOOKUP(A36,[1]TDSheet!$A:$G,7,0)</f>
        <v>Р003959</v>
      </c>
      <c r="J36" s="1"/>
      <c r="K36" s="1">
        <v>22.3</v>
      </c>
      <c r="L36" s="1">
        <f t="shared" si="1"/>
        <v>5.1929999999999978</v>
      </c>
      <c r="M36" s="1"/>
      <c r="N36" s="1"/>
      <c r="O36" s="1">
        <v>10</v>
      </c>
      <c r="P36" s="1">
        <v>0</v>
      </c>
      <c r="Q36" s="1">
        <f t="shared" si="2"/>
        <v>5.4985999999999997</v>
      </c>
      <c r="R36" s="5">
        <f>9*Q36-P36-O36-F36</f>
        <v>39.332399999999993</v>
      </c>
      <c r="S36" s="5">
        <f t="shared" si="7"/>
        <v>39.332399999999993</v>
      </c>
      <c r="T36" s="5"/>
      <c r="U36" s="1"/>
      <c r="V36" s="1">
        <f t="shared" si="4"/>
        <v>9</v>
      </c>
      <c r="W36" s="1">
        <f t="shared" si="5"/>
        <v>1.8468337394973267</v>
      </c>
      <c r="X36" s="1">
        <v>1.4361999999999999</v>
      </c>
      <c r="Y36" s="1">
        <v>1.7312000000000001</v>
      </c>
      <c r="Z36" s="1">
        <v>2.1154000000000002</v>
      </c>
      <c r="AA36" s="1">
        <v>2.3014000000000001</v>
      </c>
      <c r="AB36" s="1">
        <v>1.3078000000000001</v>
      </c>
      <c r="AC36" s="1"/>
      <c r="AD36" s="1">
        <f t="shared" si="6"/>
        <v>39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66</v>
      </c>
      <c r="B37" s="1" t="s">
        <v>38</v>
      </c>
      <c r="C37" s="1">
        <v>52</v>
      </c>
      <c r="D37" s="1"/>
      <c r="E37" s="1">
        <v>60</v>
      </c>
      <c r="F37" s="1">
        <v>4</v>
      </c>
      <c r="G37" s="8">
        <v>0.1</v>
      </c>
      <c r="I37" s="1" t="str">
        <f>VLOOKUP(A37,[1]TDSheet!$A:$G,7,0)</f>
        <v>P002648</v>
      </c>
      <c r="J37" s="1"/>
      <c r="K37" s="1">
        <v>68</v>
      </c>
      <c r="L37" s="1">
        <f t="shared" ref="L37:L68" si="10">E37-K37</f>
        <v>-8</v>
      </c>
      <c r="M37" s="1"/>
      <c r="N37" s="1"/>
      <c r="O37" s="1">
        <v>0</v>
      </c>
      <c r="P37" s="1">
        <v>196.5</v>
      </c>
      <c r="Q37" s="1">
        <f t="shared" si="2"/>
        <v>12</v>
      </c>
      <c r="R37" s="5"/>
      <c r="S37" s="5">
        <f t="shared" si="7"/>
        <v>0</v>
      </c>
      <c r="T37" s="5"/>
      <c r="U37" s="1"/>
      <c r="V37" s="1">
        <f t="shared" si="4"/>
        <v>16.708333333333332</v>
      </c>
      <c r="W37" s="1">
        <f t="shared" si="5"/>
        <v>16.708333333333332</v>
      </c>
      <c r="X37" s="1">
        <v>9.1999999999999993</v>
      </c>
      <c r="Y37" s="1">
        <v>10.8</v>
      </c>
      <c r="Z37" s="1">
        <v>14</v>
      </c>
      <c r="AA37" s="1">
        <v>11</v>
      </c>
      <c r="AB37" s="1">
        <v>15.2</v>
      </c>
      <c r="AC37" s="1"/>
      <c r="AD37" s="1">
        <f t="shared" si="6"/>
        <v>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67</v>
      </c>
      <c r="B38" s="1" t="s">
        <v>38</v>
      </c>
      <c r="C38" s="1">
        <v>42</v>
      </c>
      <c r="D38" s="1"/>
      <c r="E38" s="1">
        <v>25</v>
      </c>
      <c r="F38" s="1">
        <v>-1</v>
      </c>
      <c r="G38" s="8">
        <v>0.35</v>
      </c>
      <c r="I38" s="1" t="str">
        <f>VLOOKUP(A38,[1]TDSheet!$A:$G,7,0)</f>
        <v>P003256</v>
      </c>
      <c r="J38" s="1"/>
      <c r="K38" s="1">
        <v>52</v>
      </c>
      <c r="L38" s="1">
        <f t="shared" si="10"/>
        <v>-27</v>
      </c>
      <c r="M38" s="1"/>
      <c r="N38" s="1"/>
      <c r="O38" s="1">
        <v>120</v>
      </c>
      <c r="P38" s="1">
        <v>34.321999999999989</v>
      </c>
      <c r="Q38" s="1">
        <f t="shared" si="2"/>
        <v>5</v>
      </c>
      <c r="R38" s="5"/>
      <c r="S38" s="5">
        <f t="shared" si="7"/>
        <v>0</v>
      </c>
      <c r="T38" s="5"/>
      <c r="U38" s="1"/>
      <c r="V38" s="1">
        <f t="shared" si="4"/>
        <v>30.664400000000001</v>
      </c>
      <c r="W38" s="1">
        <f t="shared" si="5"/>
        <v>30.664400000000001</v>
      </c>
      <c r="X38" s="1">
        <v>13.2</v>
      </c>
      <c r="Y38" s="1">
        <v>13.2</v>
      </c>
      <c r="Z38" s="1">
        <v>15.8</v>
      </c>
      <c r="AA38" s="1">
        <v>7.6</v>
      </c>
      <c r="AB38" s="1">
        <v>19.2</v>
      </c>
      <c r="AC38" s="1"/>
      <c r="AD38" s="1">
        <f t="shared" si="6"/>
        <v>0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68</v>
      </c>
      <c r="B39" s="1" t="s">
        <v>33</v>
      </c>
      <c r="C39" s="1">
        <v>8.9999999999999993E-3</v>
      </c>
      <c r="D39" s="1">
        <v>73.703999999999994</v>
      </c>
      <c r="E39" s="1">
        <v>43.481999999999999</v>
      </c>
      <c r="F39" s="1">
        <v>13.582000000000001</v>
      </c>
      <c r="G39" s="8">
        <v>1</v>
      </c>
      <c r="I39" s="1" t="str">
        <f>VLOOKUP(A39,[1]TDSheet!$A:$G,7,0)</f>
        <v>P003179</v>
      </c>
      <c r="J39" s="1"/>
      <c r="K39" s="1">
        <v>70.8</v>
      </c>
      <c r="L39" s="1">
        <f t="shared" si="10"/>
        <v>-27.317999999999998</v>
      </c>
      <c r="M39" s="1"/>
      <c r="N39" s="1"/>
      <c r="O39" s="1">
        <v>0</v>
      </c>
      <c r="P39" s="1">
        <v>0</v>
      </c>
      <c r="Q39" s="1">
        <f t="shared" si="2"/>
        <v>8.6964000000000006</v>
      </c>
      <c r="R39" s="5">
        <f>9*Q39-P39-O39-F39</f>
        <v>64.685599999999994</v>
      </c>
      <c r="S39" s="5">
        <f t="shared" si="7"/>
        <v>64.685599999999994</v>
      </c>
      <c r="T39" s="5"/>
      <c r="U39" s="1"/>
      <c r="V39" s="1">
        <f t="shared" si="4"/>
        <v>8.9999999999999982</v>
      </c>
      <c r="W39" s="1">
        <f t="shared" si="5"/>
        <v>1.5617956855710409</v>
      </c>
      <c r="X39" s="1">
        <v>-0.28560000000000002</v>
      </c>
      <c r="Y39" s="1">
        <v>12.2912</v>
      </c>
      <c r="Z39" s="1">
        <v>15.029199999999999</v>
      </c>
      <c r="AA39" s="1">
        <v>7.6513999999999998</v>
      </c>
      <c r="AB39" s="1">
        <v>-1.1644000000000001</v>
      </c>
      <c r="AC39" s="1"/>
      <c r="AD39" s="1">
        <f t="shared" si="6"/>
        <v>65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69</v>
      </c>
      <c r="B40" s="1" t="s">
        <v>38</v>
      </c>
      <c r="C40" s="1">
        <v>133</v>
      </c>
      <c r="D40" s="1">
        <v>2</v>
      </c>
      <c r="E40" s="1">
        <v>57</v>
      </c>
      <c r="F40" s="1">
        <v>95</v>
      </c>
      <c r="G40" s="8">
        <v>0.375</v>
      </c>
      <c r="I40" s="1">
        <f>VLOOKUP(A40,[1]TDSheet!$A:$G,7,0)</f>
        <v>0</v>
      </c>
      <c r="J40" s="1"/>
      <c r="K40" s="1">
        <v>51</v>
      </c>
      <c r="L40" s="1">
        <f t="shared" si="10"/>
        <v>6</v>
      </c>
      <c r="M40" s="1"/>
      <c r="N40" s="1"/>
      <c r="O40" s="1">
        <v>0</v>
      </c>
      <c r="P40" s="1">
        <v>0</v>
      </c>
      <c r="Q40" s="1">
        <f t="shared" si="2"/>
        <v>11.4</v>
      </c>
      <c r="R40" s="5">
        <f t="shared" si="8"/>
        <v>41.800000000000011</v>
      </c>
      <c r="S40" s="5">
        <f t="shared" si="7"/>
        <v>41.800000000000011</v>
      </c>
      <c r="T40" s="5"/>
      <c r="U40" s="1"/>
      <c r="V40" s="1">
        <f t="shared" si="4"/>
        <v>12</v>
      </c>
      <c r="W40" s="1">
        <f t="shared" si="5"/>
        <v>8.3333333333333339</v>
      </c>
      <c r="X40" s="1">
        <v>7.8</v>
      </c>
      <c r="Y40" s="1">
        <v>0</v>
      </c>
      <c r="Z40" s="1">
        <v>0</v>
      </c>
      <c r="AA40" s="1">
        <v>0</v>
      </c>
      <c r="AB40" s="1">
        <v>3</v>
      </c>
      <c r="AC40" s="1"/>
      <c r="AD40" s="1">
        <f t="shared" si="6"/>
        <v>16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70</v>
      </c>
      <c r="B41" s="1" t="s">
        <v>38</v>
      </c>
      <c r="C41" s="1">
        <v>123</v>
      </c>
      <c r="D41" s="1">
        <v>76</v>
      </c>
      <c r="E41" s="1">
        <v>189</v>
      </c>
      <c r="F41" s="1">
        <v>17</v>
      </c>
      <c r="G41" s="8">
        <v>0.4</v>
      </c>
      <c r="I41" s="1" t="str">
        <f>VLOOKUP(A41,[1]TDSheet!$A:$G,7,0)</f>
        <v>P003475</v>
      </c>
      <c r="J41" s="1"/>
      <c r="K41" s="1">
        <v>234</v>
      </c>
      <c r="L41" s="1">
        <f t="shared" si="10"/>
        <v>-45</v>
      </c>
      <c r="M41" s="1"/>
      <c r="N41" s="1"/>
      <c r="O41" s="1">
        <v>0</v>
      </c>
      <c r="P41" s="1">
        <v>379.63799999999998</v>
      </c>
      <c r="Q41" s="1">
        <f t="shared" si="2"/>
        <v>37.799999999999997</v>
      </c>
      <c r="R41" s="5">
        <f t="shared" si="8"/>
        <v>56.961999999999989</v>
      </c>
      <c r="S41" s="5">
        <f t="shared" si="7"/>
        <v>56.961999999999989</v>
      </c>
      <c r="T41" s="5"/>
      <c r="U41" s="1"/>
      <c r="V41" s="1">
        <f t="shared" si="4"/>
        <v>12</v>
      </c>
      <c r="W41" s="1">
        <f t="shared" si="5"/>
        <v>10.493068783068784</v>
      </c>
      <c r="X41" s="1">
        <v>30.8</v>
      </c>
      <c r="Y41" s="1">
        <v>14.4</v>
      </c>
      <c r="Z41" s="1">
        <v>9</v>
      </c>
      <c r="AA41" s="1">
        <v>21</v>
      </c>
      <c r="AB41" s="1">
        <v>5.2</v>
      </c>
      <c r="AC41" s="1"/>
      <c r="AD41" s="1">
        <f t="shared" si="6"/>
        <v>23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71</v>
      </c>
      <c r="B42" s="1" t="s">
        <v>38</v>
      </c>
      <c r="C42" s="1">
        <v>45</v>
      </c>
      <c r="D42" s="1">
        <v>18</v>
      </c>
      <c r="E42" s="1">
        <v>69</v>
      </c>
      <c r="F42" s="1">
        <v>7</v>
      </c>
      <c r="G42" s="8">
        <v>0.4</v>
      </c>
      <c r="I42" s="1" t="str">
        <f>VLOOKUP(A42,[1]TDSheet!$A:$G,7,0)</f>
        <v>P003217</v>
      </c>
      <c r="J42" s="1"/>
      <c r="K42" s="1">
        <v>202</v>
      </c>
      <c r="L42" s="1">
        <f t="shared" si="10"/>
        <v>-133</v>
      </c>
      <c r="M42" s="1"/>
      <c r="N42" s="1"/>
      <c r="O42" s="1">
        <v>260</v>
      </c>
      <c r="P42" s="1">
        <v>65.5</v>
      </c>
      <c r="Q42" s="1">
        <f t="shared" si="2"/>
        <v>13.8</v>
      </c>
      <c r="R42" s="5"/>
      <c r="S42" s="5">
        <f t="shared" si="7"/>
        <v>0</v>
      </c>
      <c r="T42" s="5"/>
      <c r="U42" s="1"/>
      <c r="V42" s="1">
        <f t="shared" si="4"/>
        <v>24.094202898550723</v>
      </c>
      <c r="W42" s="1">
        <f t="shared" si="5"/>
        <v>24.094202898550723</v>
      </c>
      <c r="X42" s="1">
        <v>26.4</v>
      </c>
      <c r="Y42" s="1">
        <v>27</v>
      </c>
      <c r="Z42" s="1">
        <v>40.4</v>
      </c>
      <c r="AA42" s="1">
        <v>22.2</v>
      </c>
      <c r="AB42" s="1">
        <v>51.8</v>
      </c>
      <c r="AC42" s="1"/>
      <c r="AD42" s="1">
        <f t="shared" si="6"/>
        <v>0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72</v>
      </c>
      <c r="B43" s="1" t="s">
        <v>33</v>
      </c>
      <c r="C43" s="1">
        <v>22.48</v>
      </c>
      <c r="D43" s="1">
        <v>5.9580000000000002</v>
      </c>
      <c r="E43" s="1">
        <v>45.134999999999998</v>
      </c>
      <c r="F43" s="1">
        <v>-1.3879999999999999</v>
      </c>
      <c r="G43" s="8">
        <v>1</v>
      </c>
      <c r="I43" s="1" t="str">
        <f>VLOOKUP(A43,[1]TDSheet!$A:$G,7,0)</f>
        <v>P003259</v>
      </c>
      <c r="J43" s="1"/>
      <c r="K43" s="1">
        <v>58.5</v>
      </c>
      <c r="L43" s="1">
        <f t="shared" si="10"/>
        <v>-13.365000000000002</v>
      </c>
      <c r="M43" s="1"/>
      <c r="N43" s="1"/>
      <c r="O43" s="1">
        <v>160</v>
      </c>
      <c r="P43" s="1">
        <v>116.463978</v>
      </c>
      <c r="Q43" s="1">
        <f t="shared" si="2"/>
        <v>9.0269999999999992</v>
      </c>
      <c r="R43" s="5"/>
      <c r="S43" s="5">
        <f t="shared" si="7"/>
        <v>0</v>
      </c>
      <c r="T43" s="5"/>
      <c r="U43" s="1"/>
      <c r="V43" s="1">
        <f t="shared" si="4"/>
        <v>30.472579816107231</v>
      </c>
      <c r="W43" s="1">
        <f t="shared" si="5"/>
        <v>30.472579816107231</v>
      </c>
      <c r="X43" s="1">
        <v>22.357800000000001</v>
      </c>
      <c r="Y43" s="1">
        <v>19.128399999999999</v>
      </c>
      <c r="Z43" s="1">
        <v>19.760200000000001</v>
      </c>
      <c r="AA43" s="1">
        <v>16.6722</v>
      </c>
      <c r="AB43" s="1">
        <v>28.244</v>
      </c>
      <c r="AC43" s="1"/>
      <c r="AD43" s="1">
        <f t="shared" si="6"/>
        <v>0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73</v>
      </c>
      <c r="B44" s="1" t="s">
        <v>38</v>
      </c>
      <c r="C44" s="1">
        <v>38</v>
      </c>
      <c r="D44" s="1">
        <v>115</v>
      </c>
      <c r="E44" s="1">
        <v>180</v>
      </c>
      <c r="F44" s="1">
        <v>-3</v>
      </c>
      <c r="G44" s="8">
        <v>0.35</v>
      </c>
      <c r="I44" s="1" t="str">
        <f>VLOOKUP(A44,[1]TDSheet!$A:$G,7,0)</f>
        <v>P003260</v>
      </c>
      <c r="J44" s="1"/>
      <c r="K44" s="1">
        <v>245</v>
      </c>
      <c r="L44" s="1">
        <f t="shared" si="10"/>
        <v>-65</v>
      </c>
      <c r="M44" s="1"/>
      <c r="N44" s="1"/>
      <c r="O44" s="1">
        <v>380</v>
      </c>
      <c r="P44" s="1">
        <v>58.42600000000003</v>
      </c>
      <c r="Q44" s="1">
        <f t="shared" si="2"/>
        <v>36</v>
      </c>
      <c r="R44" s="5"/>
      <c r="S44" s="5">
        <f t="shared" si="7"/>
        <v>0</v>
      </c>
      <c r="T44" s="5"/>
      <c r="U44" s="1"/>
      <c r="V44" s="1">
        <f t="shared" si="4"/>
        <v>12.095166666666668</v>
      </c>
      <c r="W44" s="1">
        <f t="shared" si="5"/>
        <v>12.095166666666668</v>
      </c>
      <c r="X44" s="1">
        <v>47.6</v>
      </c>
      <c r="Y44" s="1">
        <v>68.2</v>
      </c>
      <c r="Z44" s="1">
        <v>61.2</v>
      </c>
      <c r="AA44" s="1">
        <v>51.8</v>
      </c>
      <c r="AB44" s="1">
        <v>64.400000000000006</v>
      </c>
      <c r="AC44" s="1"/>
      <c r="AD44" s="1">
        <f t="shared" si="6"/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74</v>
      </c>
      <c r="B45" s="1" t="s">
        <v>38</v>
      </c>
      <c r="C45" s="1">
        <v>304</v>
      </c>
      <c r="D45" s="1">
        <v>1</v>
      </c>
      <c r="E45" s="1">
        <v>355</v>
      </c>
      <c r="F45" s="1">
        <v>19</v>
      </c>
      <c r="G45" s="8">
        <v>0.4</v>
      </c>
      <c r="I45" s="1" t="str">
        <f>VLOOKUP(A45,[1]TDSheet!$A:$G,7,0)</f>
        <v>P004178</v>
      </c>
      <c r="J45" s="1"/>
      <c r="K45" s="1">
        <v>384</v>
      </c>
      <c r="L45" s="1">
        <f t="shared" si="10"/>
        <v>-29</v>
      </c>
      <c r="M45" s="1"/>
      <c r="N45" s="1"/>
      <c r="O45" s="1">
        <v>600</v>
      </c>
      <c r="P45" s="1">
        <v>0</v>
      </c>
      <c r="Q45" s="1">
        <f t="shared" si="2"/>
        <v>71</v>
      </c>
      <c r="R45" s="5">
        <f t="shared" si="8"/>
        <v>233</v>
      </c>
      <c r="S45" s="5">
        <f t="shared" si="7"/>
        <v>233</v>
      </c>
      <c r="T45" s="5"/>
      <c r="U45" s="1"/>
      <c r="V45" s="1">
        <f t="shared" si="4"/>
        <v>12</v>
      </c>
      <c r="W45" s="1">
        <f t="shared" si="5"/>
        <v>8.71830985915493</v>
      </c>
      <c r="X45" s="1">
        <v>69.599999999999994</v>
      </c>
      <c r="Y45" s="1">
        <v>58.8</v>
      </c>
      <c r="Z45" s="1">
        <v>74.599999999999994</v>
      </c>
      <c r="AA45" s="1">
        <v>55.6</v>
      </c>
      <c r="AB45" s="1">
        <v>78</v>
      </c>
      <c r="AC45" s="1"/>
      <c r="AD45" s="1">
        <f t="shared" si="6"/>
        <v>93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75</v>
      </c>
      <c r="B46" s="1" t="s">
        <v>33</v>
      </c>
      <c r="C46" s="1">
        <v>40.21</v>
      </c>
      <c r="D46" s="1">
        <v>41.793999999999997</v>
      </c>
      <c r="E46" s="1">
        <v>81.126000000000005</v>
      </c>
      <c r="F46" s="1">
        <v>10.648999999999999</v>
      </c>
      <c r="G46" s="8">
        <v>1</v>
      </c>
      <c r="I46" s="1" t="str">
        <f>VLOOKUP(A46,[1]TDSheet!$A:$G,7,0)</f>
        <v>P003234</v>
      </c>
      <c r="J46" s="1"/>
      <c r="K46" s="1">
        <v>112.7</v>
      </c>
      <c r="L46" s="1">
        <f t="shared" si="10"/>
        <v>-31.573999999999998</v>
      </c>
      <c r="M46" s="1"/>
      <c r="N46" s="1"/>
      <c r="O46" s="1">
        <v>70</v>
      </c>
      <c r="P46" s="1">
        <v>148.44736599999999</v>
      </c>
      <c r="Q46" s="1">
        <f t="shared" si="2"/>
        <v>16.225200000000001</v>
      </c>
      <c r="R46" s="5"/>
      <c r="S46" s="5">
        <f t="shared" si="7"/>
        <v>0</v>
      </c>
      <c r="T46" s="5"/>
      <c r="U46" s="1"/>
      <c r="V46" s="1">
        <f t="shared" si="4"/>
        <v>14.119786874738061</v>
      </c>
      <c r="W46" s="1">
        <f t="shared" si="5"/>
        <v>14.119786874738061</v>
      </c>
      <c r="X46" s="1">
        <v>19.845600000000001</v>
      </c>
      <c r="Y46" s="1">
        <v>22.029</v>
      </c>
      <c r="Z46" s="1">
        <v>15.5932</v>
      </c>
      <c r="AA46" s="1">
        <v>15.644</v>
      </c>
      <c r="AB46" s="1">
        <v>16.990200000000002</v>
      </c>
      <c r="AC46" s="1"/>
      <c r="AD46" s="1">
        <f t="shared" si="6"/>
        <v>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76</v>
      </c>
      <c r="B47" s="1" t="s">
        <v>33</v>
      </c>
      <c r="C47" s="1">
        <v>74.739000000000004</v>
      </c>
      <c r="D47" s="1">
        <v>47.222000000000001</v>
      </c>
      <c r="E47" s="1">
        <v>157.584</v>
      </c>
      <c r="F47" s="1">
        <v>0.748</v>
      </c>
      <c r="G47" s="8">
        <v>1</v>
      </c>
      <c r="I47" s="1" t="str">
        <f>VLOOKUP(A47,[1]TDSheet!$A:$G,7,0)</f>
        <v>P003239</v>
      </c>
      <c r="J47" s="1"/>
      <c r="K47" s="1">
        <v>165.6</v>
      </c>
      <c r="L47" s="1">
        <f t="shared" si="10"/>
        <v>-8.0159999999999911</v>
      </c>
      <c r="M47" s="1"/>
      <c r="N47" s="1"/>
      <c r="O47" s="1">
        <v>0</v>
      </c>
      <c r="P47" s="1">
        <v>316.60735000000011</v>
      </c>
      <c r="Q47" s="1">
        <f t="shared" si="2"/>
        <v>31.5168</v>
      </c>
      <c r="R47" s="5">
        <f t="shared" si="8"/>
        <v>60.846249999999877</v>
      </c>
      <c r="S47" s="5">
        <f>T47</f>
        <v>150</v>
      </c>
      <c r="T47" s="14">
        <v>150</v>
      </c>
      <c r="U47" s="16" t="s">
        <v>143</v>
      </c>
      <c r="V47" s="1">
        <f t="shared" si="4"/>
        <v>14.828769100923955</v>
      </c>
      <c r="W47" s="1">
        <f t="shared" si="5"/>
        <v>10.069402667783535</v>
      </c>
      <c r="X47" s="1">
        <v>27.968</v>
      </c>
      <c r="Y47" s="1">
        <v>28.571000000000002</v>
      </c>
      <c r="Z47" s="1">
        <v>29.1296</v>
      </c>
      <c r="AA47" s="1">
        <v>26.573</v>
      </c>
      <c r="AB47" s="1">
        <v>30.253799999999998</v>
      </c>
      <c r="AC47" s="1"/>
      <c r="AD47" s="1">
        <f t="shared" si="6"/>
        <v>150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77</v>
      </c>
      <c r="B48" s="1" t="s">
        <v>33</v>
      </c>
      <c r="C48" s="1">
        <v>169.327</v>
      </c>
      <c r="D48" s="1">
        <v>54.758000000000003</v>
      </c>
      <c r="E48" s="1">
        <v>136.83699999999999</v>
      </c>
      <c r="F48" s="1">
        <v>114.851</v>
      </c>
      <c r="G48" s="8">
        <v>1</v>
      </c>
      <c r="I48" s="1" t="str">
        <f>VLOOKUP(A48,[1]TDSheet!$A:$G,7,0)</f>
        <v>P004991</v>
      </c>
      <c r="J48" s="1"/>
      <c r="K48" s="1">
        <v>121.6</v>
      </c>
      <c r="L48" s="1">
        <f t="shared" si="10"/>
        <v>15.236999999999995</v>
      </c>
      <c r="M48" s="1"/>
      <c r="N48" s="1"/>
      <c r="O48" s="1">
        <v>150</v>
      </c>
      <c r="P48" s="1">
        <v>0</v>
      </c>
      <c r="Q48" s="1">
        <f t="shared" si="2"/>
        <v>27.367399999999996</v>
      </c>
      <c r="R48" s="5">
        <f t="shared" si="8"/>
        <v>63.557799999999929</v>
      </c>
      <c r="S48" s="5">
        <f t="shared" si="7"/>
        <v>63.557799999999929</v>
      </c>
      <c r="T48" s="5"/>
      <c r="U48" s="1"/>
      <c r="V48" s="1">
        <f t="shared" si="4"/>
        <v>11.999999999999998</v>
      </c>
      <c r="W48" s="1">
        <f t="shared" si="5"/>
        <v>9.6776091261866313</v>
      </c>
      <c r="X48" s="1">
        <v>27.667200000000001</v>
      </c>
      <c r="Y48" s="1">
        <v>13.4558</v>
      </c>
      <c r="Z48" s="1">
        <v>20.5946</v>
      </c>
      <c r="AA48" s="1">
        <v>29.741199999999999</v>
      </c>
      <c r="AB48" s="1">
        <v>18.636199999999999</v>
      </c>
      <c r="AC48" s="1"/>
      <c r="AD48" s="1">
        <f t="shared" si="6"/>
        <v>64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78</v>
      </c>
      <c r="B49" s="1" t="s">
        <v>38</v>
      </c>
      <c r="C49" s="1">
        <v>152</v>
      </c>
      <c r="D49" s="1">
        <v>2</v>
      </c>
      <c r="E49" s="1">
        <v>132</v>
      </c>
      <c r="F49" s="1">
        <v>51</v>
      </c>
      <c r="G49" s="8">
        <v>0.45</v>
      </c>
      <c r="I49" s="1" t="str">
        <f>VLOOKUP(A49,[1]TDSheet!$A:$G,7,0)</f>
        <v>P003227</v>
      </c>
      <c r="J49" s="1"/>
      <c r="K49" s="1">
        <v>112</v>
      </c>
      <c r="L49" s="1">
        <f t="shared" si="10"/>
        <v>20</v>
      </c>
      <c r="M49" s="1"/>
      <c r="N49" s="1"/>
      <c r="O49" s="1">
        <v>250</v>
      </c>
      <c r="P49" s="1">
        <v>0</v>
      </c>
      <c r="Q49" s="1">
        <f t="shared" si="2"/>
        <v>26.4</v>
      </c>
      <c r="R49" s="5">
        <f t="shared" si="8"/>
        <v>15.799999999999955</v>
      </c>
      <c r="S49" s="5">
        <f>T49</f>
        <v>100</v>
      </c>
      <c r="T49" s="14">
        <v>100</v>
      </c>
      <c r="U49" s="16"/>
      <c r="V49" s="1">
        <f t="shared" si="4"/>
        <v>15.189393939393939</v>
      </c>
      <c r="W49" s="1">
        <f t="shared" si="5"/>
        <v>11.401515151515152</v>
      </c>
      <c r="X49" s="1">
        <v>28.2</v>
      </c>
      <c r="Y49" s="1">
        <v>24.6</v>
      </c>
      <c r="Z49" s="1">
        <v>30.8</v>
      </c>
      <c r="AA49" s="1">
        <v>26.2</v>
      </c>
      <c r="AB49" s="1">
        <v>35.4</v>
      </c>
      <c r="AC49" s="1"/>
      <c r="AD49" s="1">
        <f t="shared" si="6"/>
        <v>45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79</v>
      </c>
      <c r="B50" s="1" t="s">
        <v>38</v>
      </c>
      <c r="C50" s="1">
        <v>87</v>
      </c>
      <c r="D50" s="1">
        <v>180</v>
      </c>
      <c r="E50" s="1">
        <v>265</v>
      </c>
      <c r="F50" s="1">
        <v>17</v>
      </c>
      <c r="G50" s="8">
        <v>0.45</v>
      </c>
      <c r="I50" s="1" t="str">
        <f>VLOOKUP(A50,[1]TDSheet!$A:$G,7,0)</f>
        <v>P003228</v>
      </c>
      <c r="J50" s="1"/>
      <c r="K50" s="1">
        <v>337</v>
      </c>
      <c r="L50" s="1">
        <f t="shared" si="10"/>
        <v>-72</v>
      </c>
      <c r="M50" s="1"/>
      <c r="N50" s="1"/>
      <c r="O50" s="1">
        <v>220</v>
      </c>
      <c r="P50" s="1">
        <v>275.62400000000002</v>
      </c>
      <c r="Q50" s="1">
        <f t="shared" si="2"/>
        <v>53</v>
      </c>
      <c r="R50" s="5">
        <f t="shared" si="8"/>
        <v>123.37599999999998</v>
      </c>
      <c r="S50" s="5">
        <f t="shared" si="7"/>
        <v>123.37599999999998</v>
      </c>
      <c r="T50" s="5"/>
      <c r="U50" s="1"/>
      <c r="V50" s="1">
        <f t="shared" si="4"/>
        <v>12</v>
      </c>
      <c r="W50" s="1">
        <f t="shared" si="5"/>
        <v>9.6721509433962272</v>
      </c>
      <c r="X50" s="1">
        <v>54.4</v>
      </c>
      <c r="Y50" s="1">
        <v>45.8</v>
      </c>
      <c r="Z50" s="1">
        <v>50.6</v>
      </c>
      <c r="AA50" s="1">
        <v>52.2</v>
      </c>
      <c r="AB50" s="1">
        <v>53.4</v>
      </c>
      <c r="AC50" s="1"/>
      <c r="AD50" s="1">
        <f t="shared" si="6"/>
        <v>56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80</v>
      </c>
      <c r="B51" s="1" t="s">
        <v>38</v>
      </c>
      <c r="C51" s="1">
        <v>57</v>
      </c>
      <c r="D51" s="1">
        <v>25</v>
      </c>
      <c r="E51" s="1">
        <v>59</v>
      </c>
      <c r="F51" s="1">
        <v>39</v>
      </c>
      <c r="G51" s="8">
        <v>0.4</v>
      </c>
      <c r="I51" s="1" t="str">
        <f>VLOOKUP(A51,[1]TDSheet!$A:$G,7,0)</f>
        <v>P003961</v>
      </c>
      <c r="J51" s="1"/>
      <c r="K51" s="1">
        <v>97</v>
      </c>
      <c r="L51" s="1">
        <f t="shared" si="10"/>
        <v>-38</v>
      </c>
      <c r="M51" s="1"/>
      <c r="N51" s="1"/>
      <c r="O51" s="1">
        <v>0</v>
      </c>
      <c r="P51" s="1">
        <v>74.67</v>
      </c>
      <c r="Q51" s="1">
        <f t="shared" si="2"/>
        <v>11.8</v>
      </c>
      <c r="R51" s="5">
        <f t="shared" si="8"/>
        <v>27.930000000000021</v>
      </c>
      <c r="S51" s="5">
        <f t="shared" si="7"/>
        <v>27.930000000000021</v>
      </c>
      <c r="T51" s="5"/>
      <c r="U51" s="1"/>
      <c r="V51" s="1">
        <f t="shared" si="4"/>
        <v>12.000000000000002</v>
      </c>
      <c r="W51" s="1">
        <f t="shared" si="5"/>
        <v>9.6330508474576266</v>
      </c>
      <c r="X51" s="1">
        <v>11</v>
      </c>
      <c r="Y51" s="1">
        <v>10.6</v>
      </c>
      <c r="Z51" s="1">
        <v>12.6</v>
      </c>
      <c r="AA51" s="1">
        <v>15.8</v>
      </c>
      <c r="AB51" s="1">
        <v>14.2</v>
      </c>
      <c r="AC51" s="1"/>
      <c r="AD51" s="1">
        <f t="shared" si="6"/>
        <v>11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81</v>
      </c>
      <c r="B52" s="1" t="s">
        <v>33</v>
      </c>
      <c r="C52" s="1">
        <v>31.928000000000001</v>
      </c>
      <c r="D52" s="1">
        <v>32.499000000000002</v>
      </c>
      <c r="E52" s="1">
        <v>62.625999999999998</v>
      </c>
      <c r="F52" s="1">
        <v>8.2000000000000003E-2</v>
      </c>
      <c r="G52" s="8">
        <v>1</v>
      </c>
      <c r="I52" s="1" t="str">
        <f>VLOOKUP(A52,[1]TDSheet!$A:$G,7,0)</f>
        <v>P003235</v>
      </c>
      <c r="J52" s="1"/>
      <c r="K52" s="1">
        <v>65.2</v>
      </c>
      <c r="L52" s="1">
        <f t="shared" si="10"/>
        <v>-2.5740000000000052</v>
      </c>
      <c r="M52" s="1"/>
      <c r="N52" s="1"/>
      <c r="O52" s="1">
        <v>0</v>
      </c>
      <c r="P52" s="1">
        <v>113.574642</v>
      </c>
      <c r="Q52" s="1">
        <f t="shared" si="2"/>
        <v>12.5252</v>
      </c>
      <c r="R52" s="5">
        <f t="shared" si="8"/>
        <v>36.645758000000008</v>
      </c>
      <c r="S52" s="5">
        <f t="shared" ref="S52:S55" si="11">T52</f>
        <v>50</v>
      </c>
      <c r="T52" s="14">
        <v>50</v>
      </c>
      <c r="U52" s="16"/>
      <c r="V52" s="1">
        <f t="shared" si="4"/>
        <v>13.066189921119022</v>
      </c>
      <c r="W52" s="1">
        <f t="shared" si="5"/>
        <v>9.0742376968032445</v>
      </c>
      <c r="X52" s="1">
        <v>10.475199999999999</v>
      </c>
      <c r="Y52" s="1">
        <v>16.552399999999999</v>
      </c>
      <c r="Z52" s="1">
        <v>14.782</v>
      </c>
      <c r="AA52" s="1">
        <v>13.0688</v>
      </c>
      <c r="AB52" s="1">
        <v>16.265599999999999</v>
      </c>
      <c r="AC52" s="1"/>
      <c r="AD52" s="1">
        <f t="shared" si="6"/>
        <v>50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82</v>
      </c>
      <c r="B53" s="1" t="s">
        <v>38</v>
      </c>
      <c r="C53" s="1">
        <v>99</v>
      </c>
      <c r="D53" s="1">
        <v>1</v>
      </c>
      <c r="E53" s="1">
        <v>48</v>
      </c>
      <c r="F53" s="1">
        <v>52</v>
      </c>
      <c r="G53" s="8">
        <v>0.1</v>
      </c>
      <c r="I53" s="1" t="str">
        <f>VLOOKUP(A53,[1]TDSheet!$A:$G,7,0)</f>
        <v>P003253</v>
      </c>
      <c r="J53" s="1"/>
      <c r="K53" s="1">
        <v>48</v>
      </c>
      <c r="L53" s="1">
        <f t="shared" si="10"/>
        <v>0</v>
      </c>
      <c r="M53" s="1"/>
      <c r="N53" s="1"/>
      <c r="O53" s="1">
        <v>90</v>
      </c>
      <c r="P53" s="1">
        <v>0</v>
      </c>
      <c r="Q53" s="1">
        <f t="shared" si="2"/>
        <v>9.6</v>
      </c>
      <c r="R53" s="5"/>
      <c r="S53" s="5">
        <f t="shared" si="11"/>
        <v>200</v>
      </c>
      <c r="T53" s="14">
        <v>200</v>
      </c>
      <c r="U53" s="16"/>
      <c r="V53" s="1">
        <f t="shared" si="4"/>
        <v>35.625</v>
      </c>
      <c r="W53" s="1">
        <f t="shared" si="5"/>
        <v>14.791666666666668</v>
      </c>
      <c r="X53" s="1">
        <v>10</v>
      </c>
      <c r="Y53" s="1">
        <v>10.4</v>
      </c>
      <c r="Z53" s="1">
        <v>12.6</v>
      </c>
      <c r="AA53" s="1">
        <v>11</v>
      </c>
      <c r="AB53" s="1">
        <v>17.2</v>
      </c>
      <c r="AC53" s="1"/>
      <c r="AD53" s="1">
        <f t="shared" si="6"/>
        <v>20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83</v>
      </c>
      <c r="B54" s="1" t="s">
        <v>33</v>
      </c>
      <c r="C54" s="1">
        <v>49.639000000000003</v>
      </c>
      <c r="D54" s="1">
        <v>133.80699999999999</v>
      </c>
      <c r="E54" s="1">
        <v>178.32400000000001</v>
      </c>
      <c r="F54" s="1">
        <v>4.9379999999999997</v>
      </c>
      <c r="G54" s="8">
        <v>1</v>
      </c>
      <c r="I54" s="1" t="str">
        <f>VLOOKUP(A54,[1]TDSheet!$A:$G,7,0)</f>
        <v>P003357</v>
      </c>
      <c r="J54" s="1"/>
      <c r="K54" s="1">
        <v>190.4</v>
      </c>
      <c r="L54" s="1">
        <f t="shared" si="10"/>
        <v>-12.075999999999993</v>
      </c>
      <c r="M54" s="1"/>
      <c r="N54" s="1"/>
      <c r="O54" s="1">
        <v>0</v>
      </c>
      <c r="P54" s="1">
        <v>335.12367599999999</v>
      </c>
      <c r="Q54" s="1">
        <f t="shared" si="2"/>
        <v>35.6648</v>
      </c>
      <c r="R54" s="5">
        <f t="shared" si="8"/>
        <v>87.915924000000004</v>
      </c>
      <c r="S54" s="5">
        <f t="shared" si="11"/>
        <v>120</v>
      </c>
      <c r="T54" s="14">
        <v>120</v>
      </c>
      <c r="U54" s="16"/>
      <c r="V54" s="1">
        <f t="shared" si="4"/>
        <v>12.899600614611606</v>
      </c>
      <c r="W54" s="1">
        <f t="shared" si="5"/>
        <v>9.5349385388394161</v>
      </c>
      <c r="X54" s="1">
        <v>31.4526</v>
      </c>
      <c r="Y54" s="1">
        <v>25.026800000000001</v>
      </c>
      <c r="Z54" s="1">
        <v>33.039400000000001</v>
      </c>
      <c r="AA54" s="1">
        <v>29.8872</v>
      </c>
      <c r="AB54" s="1">
        <v>29.278199999999998</v>
      </c>
      <c r="AC54" s="1"/>
      <c r="AD54" s="1">
        <f t="shared" si="6"/>
        <v>120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84</v>
      </c>
      <c r="B55" s="1" t="s">
        <v>33</v>
      </c>
      <c r="C55" s="1">
        <v>10.629</v>
      </c>
      <c r="D55" s="1">
        <v>3</v>
      </c>
      <c r="E55" s="1">
        <v>17.716999999999999</v>
      </c>
      <c r="F55" s="1">
        <v>2.7160000000000002</v>
      </c>
      <c r="G55" s="8">
        <v>1</v>
      </c>
      <c r="I55" s="1" t="str">
        <f>VLOOKUP(A55,[1]TDSheet!$A:$G,7,0)</f>
        <v>P004607</v>
      </c>
      <c r="J55" s="1"/>
      <c r="K55" s="1">
        <v>17.100000000000001</v>
      </c>
      <c r="L55" s="1">
        <f t="shared" si="10"/>
        <v>0.61699999999999733</v>
      </c>
      <c r="M55" s="1"/>
      <c r="N55" s="1"/>
      <c r="O55" s="1">
        <v>30</v>
      </c>
      <c r="P55" s="1">
        <v>7.4711919999999941</v>
      </c>
      <c r="Q55" s="1">
        <f t="shared" si="2"/>
        <v>3.5433999999999997</v>
      </c>
      <c r="R55" s="5">
        <f t="shared" si="8"/>
        <v>2.333607999999999</v>
      </c>
      <c r="S55" s="5">
        <f t="shared" si="11"/>
        <v>20</v>
      </c>
      <c r="T55" s="14">
        <v>20</v>
      </c>
      <c r="U55" s="16"/>
      <c r="V55" s="1">
        <f t="shared" si="4"/>
        <v>16.98571767229215</v>
      </c>
      <c r="W55" s="1">
        <f t="shared" si="5"/>
        <v>11.341421233843201</v>
      </c>
      <c r="X55" s="1">
        <v>4.3601999999999999</v>
      </c>
      <c r="Y55" s="1">
        <v>8.9471999999999987</v>
      </c>
      <c r="Z55" s="1">
        <v>4.6289999999999996</v>
      </c>
      <c r="AA55" s="1">
        <v>3.5051999999999999</v>
      </c>
      <c r="AB55" s="1">
        <v>9.3176000000000005</v>
      </c>
      <c r="AC55" s="1"/>
      <c r="AD55" s="1">
        <f t="shared" si="6"/>
        <v>20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85</v>
      </c>
      <c r="B56" s="1" t="s">
        <v>38</v>
      </c>
      <c r="C56" s="1">
        <v>35</v>
      </c>
      <c r="D56" s="1">
        <v>1</v>
      </c>
      <c r="E56" s="1">
        <v>33</v>
      </c>
      <c r="F56" s="1">
        <v>3</v>
      </c>
      <c r="G56" s="8">
        <v>0.1</v>
      </c>
      <c r="I56" s="1" t="str">
        <f>VLOOKUP(A56,[1]TDSheet!$A:$G,7,0)</f>
        <v>P003252</v>
      </c>
      <c r="J56" s="1"/>
      <c r="K56" s="1">
        <v>41</v>
      </c>
      <c r="L56" s="1">
        <f t="shared" si="10"/>
        <v>-8</v>
      </c>
      <c r="M56" s="1"/>
      <c r="N56" s="1"/>
      <c r="O56" s="1">
        <v>60</v>
      </c>
      <c r="P56" s="1">
        <v>196.5</v>
      </c>
      <c r="Q56" s="1">
        <f t="shared" si="2"/>
        <v>6.6</v>
      </c>
      <c r="R56" s="5"/>
      <c r="S56" s="5">
        <f t="shared" si="7"/>
        <v>0</v>
      </c>
      <c r="T56" s="5"/>
      <c r="U56" s="1"/>
      <c r="V56" s="1">
        <f t="shared" si="4"/>
        <v>39.31818181818182</v>
      </c>
      <c r="W56" s="1">
        <f t="shared" si="5"/>
        <v>39.31818181818182</v>
      </c>
      <c r="X56" s="1">
        <v>12</v>
      </c>
      <c r="Y56" s="1">
        <v>9.8000000000000007</v>
      </c>
      <c r="Z56" s="1">
        <v>14.8</v>
      </c>
      <c r="AA56" s="1">
        <v>8.8000000000000007</v>
      </c>
      <c r="AB56" s="1">
        <v>18.8</v>
      </c>
      <c r="AC56" s="1"/>
      <c r="AD56" s="1">
        <f t="shared" si="6"/>
        <v>0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86</v>
      </c>
      <c r="B57" s="1" t="s">
        <v>38</v>
      </c>
      <c r="C57" s="1">
        <v>12</v>
      </c>
      <c r="D57" s="1">
        <v>20</v>
      </c>
      <c r="E57" s="1">
        <v>11</v>
      </c>
      <c r="F57" s="1">
        <v>27</v>
      </c>
      <c r="G57" s="8">
        <v>0.4</v>
      </c>
      <c r="I57" s="1" t="str">
        <f>VLOOKUP(A57,[1]TDSheet!$A:$G,7,0)</f>
        <v>P003243</v>
      </c>
      <c r="J57" s="1"/>
      <c r="K57" s="1">
        <v>22</v>
      </c>
      <c r="L57" s="1">
        <f t="shared" si="10"/>
        <v>-11</v>
      </c>
      <c r="M57" s="1"/>
      <c r="N57" s="1"/>
      <c r="O57" s="1">
        <v>10</v>
      </c>
      <c r="P57" s="1">
        <v>0</v>
      </c>
      <c r="Q57" s="1">
        <f t="shared" si="2"/>
        <v>2.2000000000000002</v>
      </c>
      <c r="R57" s="5"/>
      <c r="S57" s="5">
        <f t="shared" si="7"/>
        <v>0</v>
      </c>
      <c r="T57" s="5"/>
      <c r="U57" s="1"/>
      <c r="V57" s="1">
        <f t="shared" si="4"/>
        <v>16.818181818181817</v>
      </c>
      <c r="W57" s="1">
        <f t="shared" si="5"/>
        <v>16.818181818181817</v>
      </c>
      <c r="X57" s="1">
        <v>2.2000000000000002</v>
      </c>
      <c r="Y57" s="1">
        <v>3.6</v>
      </c>
      <c r="Z57" s="1">
        <v>2.8</v>
      </c>
      <c r="AA57" s="1">
        <v>4.5999999999999996</v>
      </c>
      <c r="AB57" s="1">
        <v>3.2</v>
      </c>
      <c r="AC57" s="1"/>
      <c r="AD57" s="1">
        <f t="shared" si="6"/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87</v>
      </c>
      <c r="B58" s="1" t="s">
        <v>33</v>
      </c>
      <c r="C58" s="1">
        <v>70.608000000000004</v>
      </c>
      <c r="D58" s="1"/>
      <c r="E58" s="1">
        <v>59.081000000000003</v>
      </c>
      <c r="F58" s="1">
        <v>15.914999999999999</v>
      </c>
      <c r="G58" s="8">
        <v>1</v>
      </c>
      <c r="I58" s="1" t="str">
        <f>VLOOKUP(A58,[1]TDSheet!$A:$G,7,0)</f>
        <v>P003263</v>
      </c>
      <c r="J58" s="1"/>
      <c r="K58" s="1">
        <v>88.6</v>
      </c>
      <c r="L58" s="1">
        <f t="shared" si="10"/>
        <v>-29.518999999999991</v>
      </c>
      <c r="M58" s="1"/>
      <c r="N58" s="1"/>
      <c r="O58" s="1">
        <v>0</v>
      </c>
      <c r="P58" s="1">
        <v>89.584612000000007</v>
      </c>
      <c r="Q58" s="1">
        <f t="shared" si="2"/>
        <v>11.8162</v>
      </c>
      <c r="R58" s="5">
        <f t="shared" si="8"/>
        <v>36.29478799999999</v>
      </c>
      <c r="S58" s="5">
        <f t="shared" si="7"/>
        <v>36.29478799999999</v>
      </c>
      <c r="T58" s="5"/>
      <c r="U58" s="1"/>
      <c r="V58" s="1">
        <f t="shared" si="4"/>
        <v>12</v>
      </c>
      <c r="W58" s="1">
        <f t="shared" si="5"/>
        <v>8.9283874680523354</v>
      </c>
      <c r="X58" s="1">
        <v>10.5372</v>
      </c>
      <c r="Y58" s="1">
        <v>12.450200000000001</v>
      </c>
      <c r="Z58" s="1">
        <v>4.6276000000000002</v>
      </c>
      <c r="AA58" s="1">
        <v>6.4955999999999996</v>
      </c>
      <c r="AB58" s="1">
        <v>9.6209999999999987</v>
      </c>
      <c r="AC58" s="1"/>
      <c r="AD58" s="1">
        <f t="shared" si="6"/>
        <v>36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88</v>
      </c>
      <c r="B59" s="1" t="s">
        <v>33</v>
      </c>
      <c r="C59" s="1">
        <v>16.628</v>
      </c>
      <c r="D59" s="1"/>
      <c r="E59" s="1">
        <v>14.704000000000001</v>
      </c>
      <c r="F59" s="1">
        <v>6.9000000000000006E-2</v>
      </c>
      <c r="G59" s="8">
        <v>1</v>
      </c>
      <c r="I59" s="1" t="str">
        <f>VLOOKUP(A59,[1]TDSheet!$A:$G,7,0)</f>
        <v>P003266</v>
      </c>
      <c r="J59" s="1"/>
      <c r="K59" s="1">
        <v>20.8</v>
      </c>
      <c r="L59" s="1">
        <f t="shared" si="10"/>
        <v>-6.0960000000000001</v>
      </c>
      <c r="M59" s="1"/>
      <c r="N59" s="1"/>
      <c r="O59" s="1">
        <v>0</v>
      </c>
      <c r="P59" s="1">
        <v>9.4537459999999971</v>
      </c>
      <c r="Q59" s="1">
        <f t="shared" si="2"/>
        <v>2.9408000000000003</v>
      </c>
      <c r="R59" s="5">
        <f>10*Q59-P59-O59-F59</f>
        <v>19.885254000000007</v>
      </c>
      <c r="S59" s="5">
        <f>T59</f>
        <v>40</v>
      </c>
      <c r="T59" s="14">
        <v>40</v>
      </c>
      <c r="U59" s="16"/>
      <c r="V59" s="1">
        <f t="shared" si="4"/>
        <v>16.839889145810663</v>
      </c>
      <c r="W59" s="1">
        <f t="shared" si="5"/>
        <v>3.2381481229597378</v>
      </c>
      <c r="X59" s="1">
        <v>1.5386</v>
      </c>
      <c r="Y59" s="1">
        <v>3.5327999999999999</v>
      </c>
      <c r="Z59" s="1">
        <v>2.7397999999999998</v>
      </c>
      <c r="AA59" s="1">
        <v>2.2021999999999999</v>
      </c>
      <c r="AB59" s="1">
        <v>1.609</v>
      </c>
      <c r="AC59" s="1"/>
      <c r="AD59" s="1">
        <f t="shared" si="6"/>
        <v>40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89</v>
      </c>
      <c r="B60" s="1" t="s">
        <v>38</v>
      </c>
      <c r="C60" s="1">
        <v>51</v>
      </c>
      <c r="D60" s="1">
        <v>5</v>
      </c>
      <c r="E60" s="1">
        <v>168</v>
      </c>
      <c r="F60" s="1">
        <v>4</v>
      </c>
      <c r="G60" s="8">
        <v>0.4</v>
      </c>
      <c r="I60" s="1" t="str">
        <f>VLOOKUP(A60,[1]TDSheet!$A:$G,7,0)</f>
        <v>P003262</v>
      </c>
      <c r="J60" s="1"/>
      <c r="K60" s="1">
        <v>347</v>
      </c>
      <c r="L60" s="1">
        <f t="shared" si="10"/>
        <v>-179</v>
      </c>
      <c r="M60" s="1"/>
      <c r="N60" s="1"/>
      <c r="O60" s="1">
        <v>690</v>
      </c>
      <c r="P60" s="1">
        <v>131</v>
      </c>
      <c r="Q60" s="1">
        <f t="shared" si="2"/>
        <v>33.6</v>
      </c>
      <c r="R60" s="5"/>
      <c r="S60" s="5">
        <f t="shared" si="7"/>
        <v>0</v>
      </c>
      <c r="T60" s="5"/>
      <c r="U60" s="1"/>
      <c r="V60" s="1">
        <f t="shared" si="4"/>
        <v>24.553571428571427</v>
      </c>
      <c r="W60" s="1">
        <f t="shared" si="5"/>
        <v>24.553571428571427</v>
      </c>
      <c r="X60" s="1">
        <v>61.2</v>
      </c>
      <c r="Y60" s="1">
        <v>61.2</v>
      </c>
      <c r="Z60" s="1">
        <v>83</v>
      </c>
      <c r="AA60" s="1">
        <v>62.8</v>
      </c>
      <c r="AB60" s="1">
        <v>81</v>
      </c>
      <c r="AC60" s="1"/>
      <c r="AD60" s="1">
        <f t="shared" si="6"/>
        <v>0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90</v>
      </c>
      <c r="B61" s="1" t="s">
        <v>38</v>
      </c>
      <c r="C61" s="1">
        <v>301</v>
      </c>
      <c r="D61" s="1">
        <v>5</v>
      </c>
      <c r="E61" s="1">
        <v>366</v>
      </c>
      <c r="F61" s="1">
        <v>21</v>
      </c>
      <c r="G61" s="8">
        <v>0.4</v>
      </c>
      <c r="I61" s="1" t="str">
        <f>VLOOKUP(A61,[1]TDSheet!$A:$G,7,0)</f>
        <v>P003265</v>
      </c>
      <c r="J61" s="1"/>
      <c r="K61" s="1">
        <v>423</v>
      </c>
      <c r="L61" s="1">
        <f t="shared" si="10"/>
        <v>-57</v>
      </c>
      <c r="M61" s="1"/>
      <c r="N61" s="1"/>
      <c r="O61" s="1">
        <v>460</v>
      </c>
      <c r="P61" s="1">
        <v>381.47200000000009</v>
      </c>
      <c r="Q61" s="1">
        <f t="shared" si="2"/>
        <v>73.2</v>
      </c>
      <c r="R61" s="5">
        <f t="shared" si="8"/>
        <v>15.927999999999997</v>
      </c>
      <c r="S61" s="5">
        <f t="shared" si="7"/>
        <v>15.927999999999997</v>
      </c>
      <c r="T61" s="5"/>
      <c r="U61" s="1"/>
      <c r="V61" s="1">
        <f t="shared" si="4"/>
        <v>12</v>
      </c>
      <c r="W61" s="1">
        <f t="shared" si="5"/>
        <v>11.7824043715847</v>
      </c>
      <c r="X61" s="1">
        <v>78.2</v>
      </c>
      <c r="Y61" s="1">
        <v>63</v>
      </c>
      <c r="Z61" s="1">
        <v>71.8</v>
      </c>
      <c r="AA61" s="1">
        <v>48.2</v>
      </c>
      <c r="AB61" s="1">
        <v>63.2</v>
      </c>
      <c r="AC61" s="1"/>
      <c r="AD61" s="1">
        <f t="shared" si="6"/>
        <v>6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91</v>
      </c>
      <c r="B62" s="1" t="s">
        <v>33</v>
      </c>
      <c r="C62" s="1">
        <v>5.827</v>
      </c>
      <c r="D62" s="1">
        <v>94.173000000000002</v>
      </c>
      <c r="E62" s="1">
        <v>114.13800000000001</v>
      </c>
      <c r="F62" s="1">
        <v>-9.2999999999999999E-2</v>
      </c>
      <c r="G62" s="8">
        <v>1</v>
      </c>
      <c r="I62" s="1" t="str">
        <f>VLOOKUP(A62,[1]TDSheet!$A:$G,7,0)</f>
        <v>P003387</v>
      </c>
      <c r="J62" s="1"/>
      <c r="K62" s="1">
        <v>129.5</v>
      </c>
      <c r="L62" s="1">
        <f t="shared" si="10"/>
        <v>-15.361999999999995</v>
      </c>
      <c r="M62" s="1"/>
      <c r="N62" s="1"/>
      <c r="O62" s="1">
        <v>90</v>
      </c>
      <c r="P62" s="1">
        <v>83.074960000000004</v>
      </c>
      <c r="Q62" s="1">
        <f t="shared" si="2"/>
        <v>22.8276</v>
      </c>
      <c r="R62" s="5">
        <f t="shared" si="8"/>
        <v>100.94923999999999</v>
      </c>
      <c r="S62" s="5">
        <f t="shared" si="7"/>
        <v>100.94923999999999</v>
      </c>
      <c r="T62" s="5"/>
      <c r="U62" s="1"/>
      <c r="V62" s="1">
        <f t="shared" si="4"/>
        <v>12</v>
      </c>
      <c r="W62" s="1">
        <f t="shared" si="5"/>
        <v>7.5777549983353492</v>
      </c>
      <c r="X62" s="1">
        <v>21.452000000000002</v>
      </c>
      <c r="Y62" s="1">
        <v>25.005199999999999</v>
      </c>
      <c r="Z62" s="1">
        <v>29.2378</v>
      </c>
      <c r="AA62" s="1">
        <v>27.107199999999999</v>
      </c>
      <c r="AB62" s="1">
        <v>36.428600000000003</v>
      </c>
      <c r="AC62" s="1"/>
      <c r="AD62" s="1">
        <f t="shared" si="6"/>
        <v>101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92</v>
      </c>
      <c r="B63" s="1" t="s">
        <v>33</v>
      </c>
      <c r="C63" s="1">
        <v>102.97</v>
      </c>
      <c r="D63" s="1">
        <v>56.052999999999997</v>
      </c>
      <c r="E63" s="1">
        <v>162.13200000000001</v>
      </c>
      <c r="F63" s="1">
        <v>-4.03</v>
      </c>
      <c r="G63" s="8">
        <v>1</v>
      </c>
      <c r="I63" s="1" t="str">
        <f>VLOOKUP(A63,[1]TDSheet!$A:$G,7,0)</f>
        <v>P003401</v>
      </c>
      <c r="J63" s="1"/>
      <c r="K63" s="1">
        <v>198.75</v>
      </c>
      <c r="L63" s="1">
        <f t="shared" si="10"/>
        <v>-36.617999999999995</v>
      </c>
      <c r="M63" s="1"/>
      <c r="N63" s="1"/>
      <c r="O63" s="1">
        <v>220</v>
      </c>
      <c r="P63" s="1">
        <v>76.395008000000075</v>
      </c>
      <c r="Q63" s="1">
        <f t="shared" si="2"/>
        <v>32.426400000000001</v>
      </c>
      <c r="R63" s="5">
        <f t="shared" si="8"/>
        <v>96.751791999999938</v>
      </c>
      <c r="S63" s="5">
        <f t="shared" si="7"/>
        <v>96.751791999999938</v>
      </c>
      <c r="T63" s="5"/>
      <c r="U63" s="1"/>
      <c r="V63" s="1">
        <f t="shared" si="4"/>
        <v>12</v>
      </c>
      <c r="W63" s="1">
        <f t="shared" si="5"/>
        <v>9.0162647719142459</v>
      </c>
      <c r="X63" s="1">
        <v>32.516800000000003</v>
      </c>
      <c r="Y63" s="1">
        <v>26.103999999999999</v>
      </c>
      <c r="Z63" s="1">
        <v>26.245200000000001</v>
      </c>
      <c r="AA63" s="1">
        <v>27.139800000000001</v>
      </c>
      <c r="AB63" s="1">
        <v>25.183800000000002</v>
      </c>
      <c r="AC63" s="1"/>
      <c r="AD63" s="1">
        <f t="shared" si="6"/>
        <v>97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93</v>
      </c>
      <c r="B64" s="1" t="s">
        <v>33</v>
      </c>
      <c r="C64" s="1">
        <v>90.474000000000004</v>
      </c>
      <c r="D64" s="1">
        <v>99.841999999999999</v>
      </c>
      <c r="E64" s="1">
        <v>235.005</v>
      </c>
      <c r="F64" s="1">
        <v>4.3460000000000001</v>
      </c>
      <c r="G64" s="8">
        <v>1</v>
      </c>
      <c r="I64" s="1" t="str">
        <f>VLOOKUP(A64,[1]TDSheet!$A:$G,7,0)</f>
        <v>P003383</v>
      </c>
      <c r="J64" s="1"/>
      <c r="K64" s="1">
        <v>317</v>
      </c>
      <c r="L64" s="1">
        <f t="shared" si="10"/>
        <v>-81.995000000000005</v>
      </c>
      <c r="M64" s="1"/>
      <c r="N64" s="1"/>
      <c r="O64" s="1">
        <v>650</v>
      </c>
      <c r="P64" s="1">
        <v>274.03942400000011</v>
      </c>
      <c r="Q64" s="1">
        <f t="shared" si="2"/>
        <v>47.000999999999998</v>
      </c>
      <c r="R64" s="5"/>
      <c r="S64" s="5">
        <f t="shared" si="7"/>
        <v>0</v>
      </c>
      <c r="T64" s="5"/>
      <c r="U64" s="1"/>
      <c r="V64" s="1">
        <f t="shared" si="4"/>
        <v>19.752461096572414</v>
      </c>
      <c r="W64" s="1">
        <f t="shared" si="5"/>
        <v>19.752461096572414</v>
      </c>
      <c r="X64" s="1">
        <v>84.773400000000009</v>
      </c>
      <c r="Y64" s="1">
        <v>65.369</v>
      </c>
      <c r="Z64" s="1">
        <v>79.146000000000001</v>
      </c>
      <c r="AA64" s="1">
        <v>68.245000000000005</v>
      </c>
      <c r="AB64" s="1">
        <v>99.697599999999994</v>
      </c>
      <c r="AC64" s="1"/>
      <c r="AD64" s="1">
        <f t="shared" si="6"/>
        <v>0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94</v>
      </c>
      <c r="B65" s="1" t="s">
        <v>33</v>
      </c>
      <c r="C65" s="1">
        <v>46.966000000000001</v>
      </c>
      <c r="D65" s="1">
        <v>93.28</v>
      </c>
      <c r="E65" s="1">
        <v>175.44</v>
      </c>
      <c r="F65" s="1">
        <v>-14.356</v>
      </c>
      <c r="G65" s="8">
        <v>1</v>
      </c>
      <c r="I65" s="1" t="str">
        <f>VLOOKUP(A65,[1]TDSheet!$A:$G,7,0)</f>
        <v>P003384</v>
      </c>
      <c r="J65" s="1"/>
      <c r="K65" s="1">
        <v>202.3</v>
      </c>
      <c r="L65" s="1">
        <f t="shared" si="10"/>
        <v>-26.860000000000014</v>
      </c>
      <c r="M65" s="1"/>
      <c r="N65" s="1"/>
      <c r="O65" s="1">
        <v>50</v>
      </c>
      <c r="P65" s="1">
        <v>402.161092</v>
      </c>
      <c r="Q65" s="1">
        <f t="shared" si="2"/>
        <v>35.088000000000001</v>
      </c>
      <c r="R65" s="5"/>
      <c r="S65" s="5">
        <f t="shared" si="7"/>
        <v>0</v>
      </c>
      <c r="T65" s="5"/>
      <c r="U65" s="1"/>
      <c r="V65" s="1">
        <f t="shared" si="4"/>
        <v>12.477345303237573</v>
      </c>
      <c r="W65" s="1">
        <f t="shared" si="5"/>
        <v>12.477345303237573</v>
      </c>
      <c r="X65" s="1">
        <v>35.678199999999997</v>
      </c>
      <c r="Y65" s="1">
        <v>37.672800000000002</v>
      </c>
      <c r="Z65" s="1">
        <v>34.772599999999997</v>
      </c>
      <c r="AA65" s="1">
        <v>32.616799999999998</v>
      </c>
      <c r="AB65" s="1">
        <v>34.079599999999999</v>
      </c>
      <c r="AC65" s="1"/>
      <c r="AD65" s="1">
        <f t="shared" si="6"/>
        <v>0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95</v>
      </c>
      <c r="B66" s="1" t="s">
        <v>33</v>
      </c>
      <c r="C66" s="1">
        <v>443.81200000000001</v>
      </c>
      <c r="D66" s="1">
        <v>187.946</v>
      </c>
      <c r="E66" s="1">
        <v>215.53299999999999</v>
      </c>
      <c r="F66" s="1">
        <v>413.59500000000003</v>
      </c>
      <c r="G66" s="8">
        <v>1</v>
      </c>
      <c r="I66" s="1" t="str">
        <f>VLOOKUP(A66,[1]TDSheet!$A:$G,7,0)</f>
        <v>P003883</v>
      </c>
      <c r="J66" s="1"/>
      <c r="K66" s="1">
        <v>243.90799999999999</v>
      </c>
      <c r="L66" s="1">
        <f t="shared" si="10"/>
        <v>-28.375</v>
      </c>
      <c r="M66" s="1"/>
      <c r="N66" s="1"/>
      <c r="O66" s="1">
        <v>180</v>
      </c>
      <c r="P66" s="1">
        <v>0</v>
      </c>
      <c r="Q66" s="1">
        <f t="shared" si="2"/>
        <v>43.1066</v>
      </c>
      <c r="R66" s="5"/>
      <c r="S66" s="5">
        <f>T66</f>
        <v>200</v>
      </c>
      <c r="T66" s="14">
        <v>200</v>
      </c>
      <c r="U66" s="16" t="s">
        <v>143</v>
      </c>
      <c r="V66" s="1">
        <f t="shared" si="4"/>
        <v>18.410057856569527</v>
      </c>
      <c r="W66" s="1">
        <f t="shared" si="5"/>
        <v>13.770397108563422</v>
      </c>
      <c r="X66" s="1">
        <v>38.0274</v>
      </c>
      <c r="Y66" s="1">
        <v>31.822600000000001</v>
      </c>
      <c r="Z66" s="1">
        <v>59.592200000000012</v>
      </c>
      <c r="AA66" s="1">
        <v>49.133600000000001</v>
      </c>
      <c r="AB66" s="1">
        <v>37.032400000000003</v>
      </c>
      <c r="AC66" s="1" t="s">
        <v>34</v>
      </c>
      <c r="AD66" s="1">
        <f t="shared" si="6"/>
        <v>200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96</v>
      </c>
      <c r="B67" s="1" t="s">
        <v>38</v>
      </c>
      <c r="C67" s="1">
        <v>77</v>
      </c>
      <c r="D67" s="1"/>
      <c r="E67" s="1">
        <v>96</v>
      </c>
      <c r="F67" s="1">
        <v>-6</v>
      </c>
      <c r="G67" s="8">
        <v>0.6</v>
      </c>
      <c r="I67" s="1" t="str">
        <f>VLOOKUP(A67,[1]TDSheet!$A:$G,7,0)</f>
        <v>P004689</v>
      </c>
      <c r="J67" s="1"/>
      <c r="K67" s="1">
        <v>100</v>
      </c>
      <c r="L67" s="1">
        <f t="shared" si="10"/>
        <v>-4</v>
      </c>
      <c r="M67" s="1"/>
      <c r="N67" s="1"/>
      <c r="O67" s="1">
        <v>170</v>
      </c>
      <c r="P67" s="1">
        <v>100.084</v>
      </c>
      <c r="Q67" s="1">
        <f t="shared" si="2"/>
        <v>19.2</v>
      </c>
      <c r="R67" s="5"/>
      <c r="S67" s="5">
        <f t="shared" si="7"/>
        <v>0</v>
      </c>
      <c r="T67" s="5"/>
      <c r="U67" s="1"/>
      <c r="V67" s="1">
        <f t="shared" si="4"/>
        <v>13.754375000000001</v>
      </c>
      <c r="W67" s="1">
        <f t="shared" si="5"/>
        <v>13.754375000000001</v>
      </c>
      <c r="X67" s="1">
        <v>27.4</v>
      </c>
      <c r="Y67" s="1">
        <v>10.6</v>
      </c>
      <c r="Z67" s="1">
        <v>23.6</v>
      </c>
      <c r="AA67" s="1">
        <v>10.4</v>
      </c>
      <c r="AB67" s="1">
        <v>17.2</v>
      </c>
      <c r="AC67" s="1"/>
      <c r="AD67" s="1">
        <f t="shared" si="6"/>
        <v>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97</v>
      </c>
      <c r="B68" s="1" t="s">
        <v>38</v>
      </c>
      <c r="C68" s="1">
        <v>33</v>
      </c>
      <c r="D68" s="1">
        <v>153</v>
      </c>
      <c r="E68" s="1">
        <v>146</v>
      </c>
      <c r="F68" s="1">
        <v>65</v>
      </c>
      <c r="G68" s="8">
        <v>0.6</v>
      </c>
      <c r="I68" s="1" t="str">
        <f>VLOOKUP(A68,[1]TDSheet!$A:$G,7,0)</f>
        <v>P004688</v>
      </c>
      <c r="J68" s="1"/>
      <c r="K68" s="1">
        <v>116</v>
      </c>
      <c r="L68" s="1">
        <f t="shared" si="10"/>
        <v>30</v>
      </c>
      <c r="M68" s="1"/>
      <c r="N68" s="1"/>
      <c r="O68" s="1">
        <v>400</v>
      </c>
      <c r="P68" s="1">
        <v>0</v>
      </c>
      <c r="Q68" s="1">
        <f t="shared" si="2"/>
        <v>29.2</v>
      </c>
      <c r="R68" s="5"/>
      <c r="S68" s="5">
        <f t="shared" si="7"/>
        <v>0</v>
      </c>
      <c r="T68" s="5"/>
      <c r="U68" s="1"/>
      <c r="V68" s="1">
        <f t="shared" si="4"/>
        <v>15.924657534246576</v>
      </c>
      <c r="W68" s="1">
        <f t="shared" si="5"/>
        <v>15.924657534246576</v>
      </c>
      <c r="X68" s="1">
        <v>30.8</v>
      </c>
      <c r="Y68" s="1">
        <v>30.8</v>
      </c>
      <c r="Z68" s="1">
        <v>29</v>
      </c>
      <c r="AA68" s="1">
        <v>34.200000000000003</v>
      </c>
      <c r="AB68" s="1">
        <v>38.200000000000003</v>
      </c>
      <c r="AC68" s="1"/>
      <c r="AD68" s="1">
        <f t="shared" si="6"/>
        <v>0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98</v>
      </c>
      <c r="B69" s="1" t="s">
        <v>38</v>
      </c>
      <c r="C69" s="1">
        <v>2</v>
      </c>
      <c r="D69" s="1">
        <v>120</v>
      </c>
      <c r="E69" s="1">
        <v>91</v>
      </c>
      <c r="F69" s="1">
        <v>50</v>
      </c>
      <c r="G69" s="8">
        <v>0.4</v>
      </c>
      <c r="I69" s="1" t="str">
        <f>VLOOKUP(A69,[1]TDSheet!$A:$G,7,0)</f>
        <v>P003437</v>
      </c>
      <c r="J69" s="1"/>
      <c r="K69" s="1">
        <v>108</v>
      </c>
      <c r="L69" s="1">
        <f t="shared" ref="L69:L100" si="12">E69-K69</f>
        <v>-17</v>
      </c>
      <c r="M69" s="1"/>
      <c r="N69" s="1"/>
      <c r="O69" s="1">
        <v>100</v>
      </c>
      <c r="P69" s="1">
        <v>0</v>
      </c>
      <c r="Q69" s="1">
        <f t="shared" si="2"/>
        <v>18.2</v>
      </c>
      <c r="R69" s="5">
        <f t="shared" si="8"/>
        <v>68.399999999999977</v>
      </c>
      <c r="S69" s="5">
        <f>T69</f>
        <v>100</v>
      </c>
      <c r="T69" s="14">
        <v>100</v>
      </c>
      <c r="U69" s="16"/>
      <c r="V69" s="1">
        <f t="shared" si="4"/>
        <v>13.736263736263737</v>
      </c>
      <c r="W69" s="1">
        <f t="shared" si="5"/>
        <v>8.2417582417582427</v>
      </c>
      <c r="X69" s="1">
        <v>14.8</v>
      </c>
      <c r="Y69" s="1">
        <v>24.4</v>
      </c>
      <c r="Z69" s="1">
        <v>18.2</v>
      </c>
      <c r="AA69" s="1">
        <v>17.600000000000001</v>
      </c>
      <c r="AB69" s="1">
        <v>18.399999999999999</v>
      </c>
      <c r="AC69" s="1"/>
      <c r="AD69" s="1">
        <f t="shared" si="6"/>
        <v>40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99</v>
      </c>
      <c r="B70" s="1" t="s">
        <v>38</v>
      </c>
      <c r="C70" s="1">
        <v>75</v>
      </c>
      <c r="D70" s="1">
        <v>168</v>
      </c>
      <c r="E70" s="1">
        <v>134</v>
      </c>
      <c r="F70" s="1">
        <v>131</v>
      </c>
      <c r="G70" s="8">
        <v>0.33</v>
      </c>
      <c r="I70" s="1" t="str">
        <f>VLOOKUP(A70,[1]TDSheet!$A:$G,7,0)</f>
        <v>P003438</v>
      </c>
      <c r="J70" s="1"/>
      <c r="K70" s="1">
        <v>127</v>
      </c>
      <c r="L70" s="1">
        <f t="shared" si="12"/>
        <v>7</v>
      </c>
      <c r="M70" s="1"/>
      <c r="N70" s="1"/>
      <c r="O70" s="1">
        <v>150</v>
      </c>
      <c r="P70" s="1">
        <v>0</v>
      </c>
      <c r="Q70" s="1">
        <f t="shared" si="2"/>
        <v>26.8</v>
      </c>
      <c r="R70" s="5">
        <f t="shared" si="8"/>
        <v>40.600000000000023</v>
      </c>
      <c r="S70" s="5">
        <f t="shared" si="7"/>
        <v>40.600000000000023</v>
      </c>
      <c r="T70" s="5"/>
      <c r="U70" s="1"/>
      <c r="V70" s="1">
        <f t="shared" si="4"/>
        <v>12</v>
      </c>
      <c r="W70" s="1">
        <f t="shared" si="5"/>
        <v>10.485074626865671</v>
      </c>
      <c r="X70" s="1">
        <v>23.4</v>
      </c>
      <c r="Y70" s="1">
        <v>22</v>
      </c>
      <c r="Z70" s="1">
        <v>21.8</v>
      </c>
      <c r="AA70" s="1">
        <v>29</v>
      </c>
      <c r="AB70" s="1">
        <v>25.2</v>
      </c>
      <c r="AC70" s="1"/>
      <c r="AD70" s="1">
        <f t="shared" si="6"/>
        <v>13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100</v>
      </c>
      <c r="B71" s="1" t="s">
        <v>38</v>
      </c>
      <c r="C71" s="1">
        <v>27</v>
      </c>
      <c r="D71" s="1">
        <v>136</v>
      </c>
      <c r="E71" s="1">
        <v>111</v>
      </c>
      <c r="F71" s="1">
        <v>53</v>
      </c>
      <c r="G71" s="8">
        <v>0.35</v>
      </c>
      <c r="I71" s="1" t="str">
        <f>VLOOKUP(A71,[1]TDSheet!$A:$G,7,0)</f>
        <v>P003442</v>
      </c>
      <c r="J71" s="1"/>
      <c r="K71" s="1">
        <v>107</v>
      </c>
      <c r="L71" s="1">
        <f t="shared" si="12"/>
        <v>4</v>
      </c>
      <c r="M71" s="1"/>
      <c r="N71" s="1"/>
      <c r="O71" s="1">
        <v>160</v>
      </c>
      <c r="P71" s="1">
        <v>0</v>
      </c>
      <c r="Q71" s="1">
        <f t="shared" ref="Q71:Q111" si="13">E71/5</f>
        <v>22.2</v>
      </c>
      <c r="R71" s="5">
        <f t="shared" ref="R71:R107" si="14">12*Q71-P71-O71-F71</f>
        <v>53.399999999999977</v>
      </c>
      <c r="S71" s="5">
        <f>T71</f>
        <v>100</v>
      </c>
      <c r="T71" s="14">
        <v>100</v>
      </c>
      <c r="U71" s="16"/>
      <c r="V71" s="1">
        <f t="shared" ref="V71:V111" si="15">(F71+O71+P71+S71)/Q71</f>
        <v>14.099099099099099</v>
      </c>
      <c r="W71" s="1">
        <f t="shared" ref="W71:W111" si="16">(F71+O71+P71)/Q71</f>
        <v>9.5945945945945947</v>
      </c>
      <c r="X71" s="1">
        <v>19.8</v>
      </c>
      <c r="Y71" s="1">
        <v>26.4</v>
      </c>
      <c r="Z71" s="1">
        <v>20.399999999999999</v>
      </c>
      <c r="AA71" s="1">
        <v>25.4</v>
      </c>
      <c r="AB71" s="1">
        <v>25.2</v>
      </c>
      <c r="AC71" s="1"/>
      <c r="AD71" s="1">
        <f t="shared" ref="AD71:AD107" si="17">ROUND(S71*G71,0)</f>
        <v>35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101</v>
      </c>
      <c r="B72" s="1" t="s">
        <v>38</v>
      </c>
      <c r="C72" s="1">
        <v>-2</v>
      </c>
      <c r="D72" s="1">
        <v>80</v>
      </c>
      <c r="E72" s="1">
        <v>61</v>
      </c>
      <c r="F72" s="1">
        <v>29</v>
      </c>
      <c r="G72" s="8">
        <v>0.6</v>
      </c>
      <c r="I72" s="1" t="str">
        <f>VLOOKUP(A72,[1]TDSheet!$A:$G,7,0)</f>
        <v>Р004923</v>
      </c>
      <c r="J72" s="1"/>
      <c r="K72" s="1">
        <v>70</v>
      </c>
      <c r="L72" s="1">
        <f t="shared" si="12"/>
        <v>-9</v>
      </c>
      <c r="M72" s="1"/>
      <c r="N72" s="1"/>
      <c r="O72" s="1">
        <v>70</v>
      </c>
      <c r="P72" s="1">
        <v>0</v>
      </c>
      <c r="Q72" s="1">
        <f t="shared" si="13"/>
        <v>12.2</v>
      </c>
      <c r="R72" s="5">
        <f t="shared" si="14"/>
        <v>47.399999999999977</v>
      </c>
      <c r="S72" s="5">
        <f t="shared" ref="S71:S111" si="18">R72</f>
        <v>47.399999999999977</v>
      </c>
      <c r="T72" s="5"/>
      <c r="U72" s="1"/>
      <c r="V72" s="1">
        <f t="shared" si="15"/>
        <v>11.999999999999998</v>
      </c>
      <c r="W72" s="1">
        <f t="shared" si="16"/>
        <v>8.1147540983606561</v>
      </c>
      <c r="X72" s="1">
        <v>10.8</v>
      </c>
      <c r="Y72" s="1">
        <v>7.4</v>
      </c>
      <c r="Z72" s="1">
        <v>14</v>
      </c>
      <c r="AA72" s="1">
        <v>11.4</v>
      </c>
      <c r="AB72" s="1">
        <v>6.4</v>
      </c>
      <c r="AC72" s="1"/>
      <c r="AD72" s="1">
        <f t="shared" si="17"/>
        <v>28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102</v>
      </c>
      <c r="B73" s="1" t="s">
        <v>38</v>
      </c>
      <c r="C73" s="1">
        <v>-2</v>
      </c>
      <c r="D73" s="1">
        <v>54</v>
      </c>
      <c r="E73" s="1">
        <v>25</v>
      </c>
      <c r="F73" s="1">
        <v>20</v>
      </c>
      <c r="G73" s="8">
        <v>0.33</v>
      </c>
      <c r="I73" s="1" t="str">
        <f>VLOOKUP(A73,[1]TDSheet!$A:$G,7,0)</f>
        <v>Р002644</v>
      </c>
      <c r="J73" s="1"/>
      <c r="K73" s="1">
        <v>32</v>
      </c>
      <c r="L73" s="1">
        <f t="shared" si="12"/>
        <v>-7</v>
      </c>
      <c r="M73" s="1"/>
      <c r="N73" s="1"/>
      <c r="O73" s="1">
        <v>0</v>
      </c>
      <c r="P73" s="1">
        <v>0</v>
      </c>
      <c r="Q73" s="1">
        <f t="shared" si="13"/>
        <v>5</v>
      </c>
      <c r="R73" s="5">
        <f>11*Q73-P73-O73-F73</f>
        <v>35</v>
      </c>
      <c r="S73" s="5">
        <f>T73</f>
        <v>40</v>
      </c>
      <c r="T73" s="14">
        <v>40</v>
      </c>
      <c r="U73" s="16"/>
      <c r="V73" s="1">
        <f t="shared" si="15"/>
        <v>12</v>
      </c>
      <c r="W73" s="1">
        <f t="shared" si="16"/>
        <v>4</v>
      </c>
      <c r="X73" s="1">
        <v>-0.2</v>
      </c>
      <c r="Y73" s="1">
        <v>4.5999999999999996</v>
      </c>
      <c r="Z73" s="1">
        <v>5.8</v>
      </c>
      <c r="AA73" s="1">
        <v>5.6</v>
      </c>
      <c r="AB73" s="1">
        <v>7</v>
      </c>
      <c r="AC73" s="1"/>
      <c r="AD73" s="1">
        <f t="shared" si="17"/>
        <v>13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103</v>
      </c>
      <c r="B74" s="1" t="s">
        <v>38</v>
      </c>
      <c r="C74" s="1">
        <v>6</v>
      </c>
      <c r="D74" s="1">
        <v>1</v>
      </c>
      <c r="E74" s="1">
        <v>24</v>
      </c>
      <c r="F74" s="1">
        <v>1</v>
      </c>
      <c r="G74" s="8">
        <v>0.4</v>
      </c>
      <c r="I74" s="1" t="str">
        <f>VLOOKUP(A74,[1]TDSheet!$A:$G,7,0)</f>
        <v>P004586</v>
      </c>
      <c r="J74" s="1"/>
      <c r="K74" s="1">
        <v>25</v>
      </c>
      <c r="L74" s="1">
        <f t="shared" si="12"/>
        <v>-1</v>
      </c>
      <c r="M74" s="1"/>
      <c r="N74" s="1"/>
      <c r="O74" s="1">
        <v>20</v>
      </c>
      <c r="P74" s="1">
        <v>71.787999999999997</v>
      </c>
      <c r="Q74" s="1">
        <f t="shared" si="13"/>
        <v>4.8</v>
      </c>
      <c r="R74" s="5"/>
      <c r="S74" s="5">
        <f t="shared" si="18"/>
        <v>0</v>
      </c>
      <c r="T74" s="5"/>
      <c r="U74" s="1"/>
      <c r="V74" s="1">
        <f t="shared" si="15"/>
        <v>19.330833333333334</v>
      </c>
      <c r="W74" s="1">
        <f t="shared" si="16"/>
        <v>19.330833333333334</v>
      </c>
      <c r="X74" s="1">
        <v>6.8</v>
      </c>
      <c r="Y74" s="1">
        <v>6.2</v>
      </c>
      <c r="Z74" s="1">
        <v>6.4</v>
      </c>
      <c r="AA74" s="1">
        <v>3.2</v>
      </c>
      <c r="AB74" s="1">
        <v>8.1999999999999993</v>
      </c>
      <c r="AC74" s="1"/>
      <c r="AD74" s="1">
        <f t="shared" si="17"/>
        <v>0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104</v>
      </c>
      <c r="B75" s="1" t="s">
        <v>38</v>
      </c>
      <c r="C75" s="1">
        <v>33</v>
      </c>
      <c r="D75" s="1"/>
      <c r="E75" s="1">
        <v>48</v>
      </c>
      <c r="F75" s="1">
        <v>-1</v>
      </c>
      <c r="G75" s="8">
        <v>0.35</v>
      </c>
      <c r="I75" s="1" t="str">
        <f>VLOOKUP(A75,[1]TDSheet!$A:$G,7,0)</f>
        <v>P003364</v>
      </c>
      <c r="J75" s="1"/>
      <c r="K75" s="1">
        <v>48</v>
      </c>
      <c r="L75" s="1">
        <f t="shared" si="12"/>
        <v>0</v>
      </c>
      <c r="M75" s="1"/>
      <c r="N75" s="1"/>
      <c r="O75" s="1">
        <v>20</v>
      </c>
      <c r="P75" s="1">
        <v>84.364000000000004</v>
      </c>
      <c r="Q75" s="1">
        <f t="shared" si="13"/>
        <v>9.6</v>
      </c>
      <c r="R75" s="5">
        <f t="shared" si="14"/>
        <v>11.835999999999984</v>
      </c>
      <c r="S75" s="5">
        <v>50</v>
      </c>
      <c r="T75" s="14">
        <v>100</v>
      </c>
      <c r="U75" s="16"/>
      <c r="V75" s="1">
        <f t="shared" si="15"/>
        <v>15.975416666666668</v>
      </c>
      <c r="W75" s="1">
        <f t="shared" si="16"/>
        <v>10.767083333333334</v>
      </c>
      <c r="X75" s="1">
        <v>9.4</v>
      </c>
      <c r="Y75" s="1">
        <v>3.6</v>
      </c>
      <c r="Z75" s="1">
        <v>9.1999999999999993</v>
      </c>
      <c r="AA75" s="1">
        <v>2.6</v>
      </c>
      <c r="AB75" s="1">
        <v>8.6</v>
      </c>
      <c r="AC75" s="1"/>
      <c r="AD75" s="1">
        <f t="shared" si="17"/>
        <v>18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105</v>
      </c>
      <c r="B76" s="1" t="s">
        <v>38</v>
      </c>
      <c r="C76" s="1">
        <v>290</v>
      </c>
      <c r="D76" s="1">
        <v>102</v>
      </c>
      <c r="E76" s="1">
        <v>137</v>
      </c>
      <c r="F76" s="1">
        <v>252</v>
      </c>
      <c r="G76" s="8">
        <v>0.35</v>
      </c>
      <c r="I76" s="1" t="str">
        <f>VLOOKUP(A76,[1]TDSheet!$A:$G,7,0)</f>
        <v>P003363</v>
      </c>
      <c r="J76" s="1"/>
      <c r="K76" s="1">
        <v>136</v>
      </c>
      <c r="L76" s="1">
        <f t="shared" si="12"/>
        <v>1</v>
      </c>
      <c r="M76" s="1"/>
      <c r="N76" s="1"/>
      <c r="O76" s="1">
        <v>190</v>
      </c>
      <c r="P76" s="1">
        <v>0</v>
      </c>
      <c r="Q76" s="1">
        <f t="shared" si="13"/>
        <v>27.4</v>
      </c>
      <c r="R76" s="5"/>
      <c r="S76" s="5">
        <f t="shared" si="18"/>
        <v>0</v>
      </c>
      <c r="T76" s="5"/>
      <c r="U76" s="1"/>
      <c r="V76" s="1">
        <f t="shared" si="15"/>
        <v>16.131386861313871</v>
      </c>
      <c r="W76" s="1">
        <f t="shared" si="16"/>
        <v>16.131386861313871</v>
      </c>
      <c r="X76" s="1">
        <v>20.399999999999999</v>
      </c>
      <c r="Y76" s="1">
        <v>20.399999999999999</v>
      </c>
      <c r="Z76" s="1">
        <v>22</v>
      </c>
      <c r="AA76" s="1">
        <v>29.4</v>
      </c>
      <c r="AB76" s="1">
        <v>17.600000000000001</v>
      </c>
      <c r="AC76" s="1"/>
      <c r="AD76" s="1">
        <f t="shared" si="17"/>
        <v>0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106</v>
      </c>
      <c r="B77" s="1" t="s">
        <v>33</v>
      </c>
      <c r="C77" s="1">
        <v>132.27600000000001</v>
      </c>
      <c r="D77" s="1">
        <v>46.875999999999998</v>
      </c>
      <c r="E77" s="1">
        <v>213.845</v>
      </c>
      <c r="F77" s="1">
        <v>-0.69699999999999995</v>
      </c>
      <c r="G77" s="8">
        <v>1</v>
      </c>
      <c r="I77" s="1" t="str">
        <f>VLOOKUP(A77,[1]TDSheet!$A:$G,7,0)</f>
        <v>P002989</v>
      </c>
      <c r="J77" s="1"/>
      <c r="K77" s="1">
        <v>188.3</v>
      </c>
      <c r="L77" s="1">
        <f t="shared" si="12"/>
        <v>25.544999999999987</v>
      </c>
      <c r="M77" s="1"/>
      <c r="N77" s="1"/>
      <c r="O77" s="1">
        <v>150</v>
      </c>
      <c r="P77" s="1">
        <v>262.04873199999997</v>
      </c>
      <c r="Q77" s="1">
        <f t="shared" si="13"/>
        <v>42.768999999999998</v>
      </c>
      <c r="R77" s="5">
        <f t="shared" si="14"/>
        <v>101.87626799999998</v>
      </c>
      <c r="S77" s="5">
        <f>T77</f>
        <v>500</v>
      </c>
      <c r="T77" s="14">
        <v>500</v>
      </c>
      <c r="U77" s="16" t="s">
        <v>143</v>
      </c>
      <c r="V77" s="1">
        <f t="shared" si="15"/>
        <v>21.308698636863149</v>
      </c>
      <c r="W77" s="1">
        <f t="shared" si="16"/>
        <v>9.6179880754752265</v>
      </c>
      <c r="X77" s="1">
        <v>39.879199999999997</v>
      </c>
      <c r="Y77" s="1">
        <v>30.56</v>
      </c>
      <c r="Z77" s="1">
        <v>34.906199999999998</v>
      </c>
      <c r="AA77" s="1">
        <v>35.253799999999998</v>
      </c>
      <c r="AB77" s="1">
        <v>42.633200000000002</v>
      </c>
      <c r="AC77" s="1"/>
      <c r="AD77" s="1">
        <f t="shared" si="17"/>
        <v>500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107</v>
      </c>
      <c r="B78" s="1" t="s">
        <v>33</v>
      </c>
      <c r="C78" s="1">
        <v>954.27099999999996</v>
      </c>
      <c r="D78" s="1">
        <v>1357.1289999999999</v>
      </c>
      <c r="E78" s="1">
        <v>1707.5809999999999</v>
      </c>
      <c r="F78" s="1">
        <v>858.80100000000004</v>
      </c>
      <c r="G78" s="8">
        <v>1</v>
      </c>
      <c r="I78" s="1" t="str">
        <f>VLOOKUP(A78,[1]TDSheet!$A:$G,7,0)</f>
        <v>P004257</v>
      </c>
      <c r="J78" s="1"/>
      <c r="K78" s="1">
        <v>1882.002</v>
      </c>
      <c r="L78" s="1">
        <f t="shared" si="12"/>
        <v>-174.42100000000005</v>
      </c>
      <c r="M78" s="1"/>
      <c r="N78" s="1"/>
      <c r="O78" s="1">
        <v>900</v>
      </c>
      <c r="P78" s="1">
        <v>1351.0284140000001</v>
      </c>
      <c r="Q78" s="1">
        <f t="shared" si="13"/>
        <v>341.51619999999997</v>
      </c>
      <c r="R78" s="5">
        <f t="shared" si="14"/>
        <v>988.36498599999902</v>
      </c>
      <c r="S78" s="5">
        <f t="shared" si="18"/>
        <v>988.36498599999902</v>
      </c>
      <c r="T78" s="5"/>
      <c r="U78" s="1"/>
      <c r="V78" s="1">
        <f t="shared" si="15"/>
        <v>11.999999999999996</v>
      </c>
      <c r="W78" s="1">
        <f t="shared" si="16"/>
        <v>9.1059499197988263</v>
      </c>
      <c r="X78" s="1">
        <v>320.39839999999998</v>
      </c>
      <c r="Y78" s="1">
        <v>272.88400000000001</v>
      </c>
      <c r="Z78" s="1">
        <v>285.44979999999998</v>
      </c>
      <c r="AA78" s="1">
        <v>314.61520000000002</v>
      </c>
      <c r="AB78" s="1">
        <v>251.56620000000001</v>
      </c>
      <c r="AC78" s="1"/>
      <c r="AD78" s="1">
        <f t="shared" si="17"/>
        <v>988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108</v>
      </c>
      <c r="B79" s="1" t="s">
        <v>33</v>
      </c>
      <c r="C79" s="1">
        <v>770.798</v>
      </c>
      <c r="D79" s="1">
        <v>1253.96</v>
      </c>
      <c r="E79" s="1">
        <v>1198.1199999999999</v>
      </c>
      <c r="F79" s="1">
        <v>871.53599999999994</v>
      </c>
      <c r="G79" s="8">
        <v>1</v>
      </c>
      <c r="I79" s="1" t="str">
        <f>VLOOKUP(A79,[1]TDSheet!$A:$G,7,0)</f>
        <v>P004252</v>
      </c>
      <c r="J79" s="1"/>
      <c r="K79" s="1">
        <v>1332.5</v>
      </c>
      <c r="L79" s="1">
        <f t="shared" si="12"/>
        <v>-134.38000000000011</v>
      </c>
      <c r="M79" s="1"/>
      <c r="N79" s="1"/>
      <c r="O79" s="1">
        <v>0</v>
      </c>
      <c r="P79" s="1">
        <v>1221.02611</v>
      </c>
      <c r="Q79" s="1">
        <f t="shared" si="13"/>
        <v>239.62399999999997</v>
      </c>
      <c r="R79" s="5">
        <f t="shared" si="14"/>
        <v>782.92588999999941</v>
      </c>
      <c r="S79" s="5">
        <f>T79</f>
        <v>1100</v>
      </c>
      <c r="T79" s="14">
        <v>1100</v>
      </c>
      <c r="U79" s="16"/>
      <c r="V79" s="1">
        <f t="shared" si="15"/>
        <v>13.323215162087271</v>
      </c>
      <c r="W79" s="1">
        <f t="shared" si="16"/>
        <v>8.732690006009415</v>
      </c>
      <c r="X79" s="1">
        <v>205.08500000000001</v>
      </c>
      <c r="Y79" s="1">
        <v>212.28399999999999</v>
      </c>
      <c r="Z79" s="1">
        <v>179.25659999999999</v>
      </c>
      <c r="AA79" s="1">
        <v>223.30840000000001</v>
      </c>
      <c r="AB79" s="1">
        <v>166.07300000000001</v>
      </c>
      <c r="AC79" s="1"/>
      <c r="AD79" s="1">
        <f t="shared" si="17"/>
        <v>1100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109</v>
      </c>
      <c r="B80" s="1" t="s">
        <v>33</v>
      </c>
      <c r="C80" s="1">
        <v>694.09400000000005</v>
      </c>
      <c r="D80" s="1">
        <v>1172.7719999999999</v>
      </c>
      <c r="E80" s="1">
        <v>2150.2550000000001</v>
      </c>
      <c r="F80" s="1">
        <v>37.241</v>
      </c>
      <c r="G80" s="8">
        <v>1</v>
      </c>
      <c r="I80" s="1" t="str">
        <f>VLOOKUP(A80,[1]TDSheet!$A:$G,7,0)</f>
        <v>P004256</v>
      </c>
      <c r="J80" s="1"/>
      <c r="K80" s="1">
        <v>2368.5</v>
      </c>
      <c r="L80" s="1">
        <f t="shared" si="12"/>
        <v>-218.24499999999989</v>
      </c>
      <c r="M80" s="1"/>
      <c r="N80" s="1"/>
      <c r="O80" s="1">
        <v>2400</v>
      </c>
      <c r="P80" s="1">
        <v>2408.524080000001</v>
      </c>
      <c r="Q80" s="1">
        <f t="shared" si="13"/>
        <v>430.05100000000004</v>
      </c>
      <c r="R80" s="5">
        <f t="shared" si="14"/>
        <v>314.84691999999995</v>
      </c>
      <c r="S80" s="5">
        <f t="shared" si="18"/>
        <v>314.84691999999995</v>
      </c>
      <c r="T80" s="5"/>
      <c r="U80" s="1"/>
      <c r="V80" s="1">
        <f t="shared" si="15"/>
        <v>12.000000000000002</v>
      </c>
      <c r="W80" s="1">
        <f t="shared" si="16"/>
        <v>11.267884692745746</v>
      </c>
      <c r="X80" s="1">
        <v>470.26299999999998</v>
      </c>
      <c r="Y80" s="1">
        <v>363.51339999999999</v>
      </c>
      <c r="Z80" s="1">
        <v>416.97</v>
      </c>
      <c r="AA80" s="1">
        <v>381.81599999999997</v>
      </c>
      <c r="AB80" s="1">
        <v>437.09759999999989</v>
      </c>
      <c r="AC80" s="1"/>
      <c r="AD80" s="1">
        <f t="shared" si="17"/>
        <v>315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110</v>
      </c>
      <c r="B81" s="1" t="s">
        <v>38</v>
      </c>
      <c r="C81" s="1">
        <v>65</v>
      </c>
      <c r="D81" s="1">
        <v>30</v>
      </c>
      <c r="E81" s="1">
        <v>92</v>
      </c>
      <c r="F81" s="1">
        <v>2</v>
      </c>
      <c r="G81" s="8">
        <v>0.3</v>
      </c>
      <c r="I81" s="1" t="str">
        <f>VLOOKUP(A81,[1]TDSheet!$A:$G,7,0)</f>
        <v>P003390</v>
      </c>
      <c r="J81" s="1"/>
      <c r="K81" s="1">
        <v>128</v>
      </c>
      <c r="L81" s="1">
        <f t="shared" si="12"/>
        <v>-36</v>
      </c>
      <c r="M81" s="1"/>
      <c r="N81" s="1"/>
      <c r="O81" s="1">
        <v>140</v>
      </c>
      <c r="P81" s="1">
        <v>82.53</v>
      </c>
      <c r="Q81" s="1">
        <f t="shared" si="13"/>
        <v>18.399999999999999</v>
      </c>
      <c r="R81" s="5"/>
      <c r="S81" s="5">
        <f t="shared" ref="S81:S84" si="19">T81</f>
        <v>45</v>
      </c>
      <c r="T81" s="14">
        <v>45</v>
      </c>
      <c r="U81" s="16"/>
      <c r="V81" s="1">
        <f t="shared" si="15"/>
        <v>14.648369565217392</v>
      </c>
      <c r="W81" s="1">
        <f t="shared" si="16"/>
        <v>12.202717391304349</v>
      </c>
      <c r="X81" s="1">
        <v>21</v>
      </c>
      <c r="Y81" s="1">
        <v>21.2</v>
      </c>
      <c r="Z81" s="1">
        <v>21.2</v>
      </c>
      <c r="AA81" s="1">
        <v>18</v>
      </c>
      <c r="AB81" s="1">
        <v>16.8</v>
      </c>
      <c r="AC81" s="1"/>
      <c r="AD81" s="1">
        <f t="shared" si="17"/>
        <v>14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111</v>
      </c>
      <c r="B82" s="1" t="s">
        <v>38</v>
      </c>
      <c r="C82" s="1">
        <v>42</v>
      </c>
      <c r="D82" s="1"/>
      <c r="E82" s="1">
        <v>59</v>
      </c>
      <c r="F82" s="1"/>
      <c r="G82" s="8">
        <v>7.0000000000000007E-2</v>
      </c>
      <c r="I82" s="1" t="str">
        <f>VLOOKUP(A82,[1]TDSheet!$A:$G,7,0)</f>
        <v>P004978</v>
      </c>
      <c r="J82" s="1"/>
      <c r="K82" s="1">
        <v>53</v>
      </c>
      <c r="L82" s="1">
        <f t="shared" si="12"/>
        <v>6</v>
      </c>
      <c r="M82" s="1"/>
      <c r="N82" s="1"/>
      <c r="O82" s="1">
        <v>80</v>
      </c>
      <c r="P82" s="1">
        <v>52.924000000000007</v>
      </c>
      <c r="Q82" s="1">
        <f t="shared" si="13"/>
        <v>11.8</v>
      </c>
      <c r="R82" s="5">
        <f t="shared" si="14"/>
        <v>8.6760000000000161</v>
      </c>
      <c r="S82" s="5">
        <f t="shared" si="19"/>
        <v>45</v>
      </c>
      <c r="T82" s="14">
        <v>45</v>
      </c>
      <c r="U82" s="16"/>
      <c r="V82" s="1">
        <f t="shared" si="15"/>
        <v>15.078305084745763</v>
      </c>
      <c r="W82" s="1">
        <f t="shared" si="16"/>
        <v>11.264745762711865</v>
      </c>
      <c r="X82" s="1">
        <v>12.4</v>
      </c>
      <c r="Y82" s="1">
        <v>10</v>
      </c>
      <c r="Z82" s="1">
        <v>12.8</v>
      </c>
      <c r="AA82" s="1">
        <v>6.6</v>
      </c>
      <c r="AB82" s="1">
        <v>15</v>
      </c>
      <c r="AC82" s="1"/>
      <c r="AD82" s="1">
        <f t="shared" si="17"/>
        <v>3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112</v>
      </c>
      <c r="B83" s="1" t="s">
        <v>38</v>
      </c>
      <c r="C83" s="1">
        <v>2</v>
      </c>
      <c r="D83" s="1">
        <v>19</v>
      </c>
      <c r="E83" s="1">
        <v>20</v>
      </c>
      <c r="F83" s="1">
        <v>2</v>
      </c>
      <c r="G83" s="8">
        <v>7.0000000000000007E-2</v>
      </c>
      <c r="I83" s="1" t="str">
        <f>VLOOKUP(A83,[1]TDSheet!$A:$G,7,0)</f>
        <v>P004979</v>
      </c>
      <c r="J83" s="1"/>
      <c r="K83" s="1">
        <v>48</v>
      </c>
      <c r="L83" s="1">
        <f t="shared" si="12"/>
        <v>-28</v>
      </c>
      <c r="M83" s="1"/>
      <c r="N83" s="1"/>
      <c r="O83" s="1">
        <v>80</v>
      </c>
      <c r="P83" s="1">
        <v>26.2</v>
      </c>
      <c r="Q83" s="1">
        <f t="shared" si="13"/>
        <v>4</v>
      </c>
      <c r="R83" s="5"/>
      <c r="S83" s="5">
        <f t="shared" si="19"/>
        <v>45</v>
      </c>
      <c r="T83" s="14">
        <v>45</v>
      </c>
      <c r="U83" s="16"/>
      <c r="V83" s="1">
        <f t="shared" si="15"/>
        <v>38.299999999999997</v>
      </c>
      <c r="W83" s="1">
        <f t="shared" si="16"/>
        <v>27.05</v>
      </c>
      <c r="X83" s="1">
        <v>7</v>
      </c>
      <c r="Y83" s="1">
        <v>16</v>
      </c>
      <c r="Z83" s="1">
        <v>12.4</v>
      </c>
      <c r="AA83" s="1">
        <v>10.8</v>
      </c>
      <c r="AB83" s="1">
        <v>16.8</v>
      </c>
      <c r="AC83" s="1"/>
      <c r="AD83" s="1">
        <f t="shared" si="17"/>
        <v>3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113</v>
      </c>
      <c r="B84" s="1" t="s">
        <v>38</v>
      </c>
      <c r="C84" s="1">
        <v>1</v>
      </c>
      <c r="D84" s="1"/>
      <c r="E84" s="1">
        <v>3</v>
      </c>
      <c r="F84" s="1"/>
      <c r="G84" s="8">
        <v>7.0000000000000007E-2</v>
      </c>
      <c r="I84" s="1" t="str">
        <f>VLOOKUP(A84,[1]TDSheet!$A:$G,7,0)</f>
        <v>P004982</v>
      </c>
      <c r="J84" s="1"/>
      <c r="K84" s="1">
        <v>24</v>
      </c>
      <c r="L84" s="1">
        <f t="shared" si="12"/>
        <v>-21</v>
      </c>
      <c r="M84" s="1"/>
      <c r="N84" s="1"/>
      <c r="O84" s="1">
        <v>80</v>
      </c>
      <c r="P84" s="1">
        <v>26.2</v>
      </c>
      <c r="Q84" s="1">
        <f t="shared" si="13"/>
        <v>0.6</v>
      </c>
      <c r="R84" s="5"/>
      <c r="S84" s="5">
        <f t="shared" si="19"/>
        <v>45</v>
      </c>
      <c r="T84" s="14">
        <v>45</v>
      </c>
      <c r="U84" s="16"/>
      <c r="V84" s="1">
        <f t="shared" si="15"/>
        <v>252</v>
      </c>
      <c r="W84" s="1">
        <f t="shared" si="16"/>
        <v>177</v>
      </c>
      <c r="X84" s="1">
        <v>2.6</v>
      </c>
      <c r="Y84" s="1">
        <v>7.4</v>
      </c>
      <c r="Z84" s="1">
        <v>7.2</v>
      </c>
      <c r="AA84" s="1">
        <v>5.6</v>
      </c>
      <c r="AB84" s="1">
        <v>11</v>
      </c>
      <c r="AC84" s="1"/>
      <c r="AD84" s="1">
        <f t="shared" si="17"/>
        <v>3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114</v>
      </c>
      <c r="B85" s="1" t="s">
        <v>38</v>
      </c>
      <c r="C85" s="1">
        <v>122</v>
      </c>
      <c r="D85" s="1">
        <v>55</v>
      </c>
      <c r="E85" s="1">
        <v>54</v>
      </c>
      <c r="F85" s="1">
        <v>130</v>
      </c>
      <c r="G85" s="8">
        <v>0.05</v>
      </c>
      <c r="I85" s="1" t="str">
        <f>VLOOKUP(A85,[1]TDSheet!$A:$G,7,0)</f>
        <v>P005023</v>
      </c>
      <c r="J85" s="1"/>
      <c r="K85" s="1">
        <v>54</v>
      </c>
      <c r="L85" s="1">
        <f t="shared" si="12"/>
        <v>0</v>
      </c>
      <c r="M85" s="1"/>
      <c r="N85" s="1"/>
      <c r="O85" s="1">
        <v>50</v>
      </c>
      <c r="P85" s="1">
        <v>26.2</v>
      </c>
      <c r="Q85" s="1">
        <f t="shared" si="13"/>
        <v>10.8</v>
      </c>
      <c r="R85" s="5"/>
      <c r="S85" s="5">
        <f t="shared" si="18"/>
        <v>0</v>
      </c>
      <c r="T85" s="5"/>
      <c r="U85" s="1"/>
      <c r="V85" s="1">
        <f t="shared" si="15"/>
        <v>19.092592592592592</v>
      </c>
      <c r="W85" s="1">
        <f t="shared" si="16"/>
        <v>19.092592592592592</v>
      </c>
      <c r="X85" s="1">
        <v>9.1999999999999993</v>
      </c>
      <c r="Y85" s="1">
        <v>8.1999999999999993</v>
      </c>
      <c r="Z85" s="1">
        <v>10.199999999999999</v>
      </c>
      <c r="AA85" s="1">
        <v>10.4</v>
      </c>
      <c r="AB85" s="1">
        <v>9.6</v>
      </c>
      <c r="AC85" s="1"/>
      <c r="AD85" s="1">
        <f t="shared" si="17"/>
        <v>0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115</v>
      </c>
      <c r="B86" s="1" t="s">
        <v>38</v>
      </c>
      <c r="C86" s="1">
        <v>54</v>
      </c>
      <c r="D86" s="1">
        <v>1</v>
      </c>
      <c r="E86" s="1">
        <v>56</v>
      </c>
      <c r="F86" s="1">
        <v>8</v>
      </c>
      <c r="G86" s="8">
        <v>5.5E-2</v>
      </c>
      <c r="I86" s="1" t="str">
        <f>VLOOKUP(A86,[1]TDSheet!$A:$G,7,0)</f>
        <v>P005022</v>
      </c>
      <c r="J86" s="1"/>
      <c r="K86" s="1">
        <v>56</v>
      </c>
      <c r="L86" s="1">
        <f t="shared" si="12"/>
        <v>0</v>
      </c>
      <c r="M86" s="1"/>
      <c r="N86" s="1"/>
      <c r="O86" s="1">
        <v>80</v>
      </c>
      <c r="P86" s="1">
        <v>36.155999999999992</v>
      </c>
      <c r="Q86" s="1">
        <f t="shared" si="13"/>
        <v>11.2</v>
      </c>
      <c r="R86" s="5">
        <f t="shared" si="14"/>
        <v>10.243999999999986</v>
      </c>
      <c r="S86" s="5">
        <f>T86</f>
        <v>35</v>
      </c>
      <c r="T86" s="14">
        <v>35</v>
      </c>
      <c r="U86" s="16"/>
      <c r="V86" s="1">
        <f t="shared" si="15"/>
        <v>14.210357142857145</v>
      </c>
      <c r="W86" s="1">
        <f t="shared" si="16"/>
        <v>11.085357142857143</v>
      </c>
      <c r="X86" s="1">
        <v>12.6</v>
      </c>
      <c r="Y86" s="1">
        <v>8.8000000000000007</v>
      </c>
      <c r="Z86" s="1">
        <v>9.4</v>
      </c>
      <c r="AA86" s="1">
        <v>7.4</v>
      </c>
      <c r="AB86" s="1">
        <v>13.6</v>
      </c>
      <c r="AC86" s="1"/>
      <c r="AD86" s="1">
        <f t="shared" si="17"/>
        <v>2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116</v>
      </c>
      <c r="B87" s="1" t="s">
        <v>38</v>
      </c>
      <c r="C87" s="1">
        <v>103</v>
      </c>
      <c r="D87" s="1">
        <v>1</v>
      </c>
      <c r="E87" s="1">
        <v>55</v>
      </c>
      <c r="F87" s="1">
        <v>53</v>
      </c>
      <c r="G87" s="8">
        <v>5.5E-2</v>
      </c>
      <c r="I87" s="1" t="str">
        <f>VLOOKUP(A87,[1]TDSheet!$A:$G,7,0)</f>
        <v>P005021</v>
      </c>
      <c r="J87" s="1"/>
      <c r="K87" s="1">
        <v>56</v>
      </c>
      <c r="L87" s="1">
        <f t="shared" si="12"/>
        <v>-1</v>
      </c>
      <c r="M87" s="1"/>
      <c r="N87" s="1"/>
      <c r="O87" s="1">
        <v>60</v>
      </c>
      <c r="P87" s="1">
        <v>0</v>
      </c>
      <c r="Q87" s="1">
        <f t="shared" si="13"/>
        <v>11</v>
      </c>
      <c r="R87" s="5">
        <f t="shared" si="14"/>
        <v>19</v>
      </c>
      <c r="S87" s="5">
        <f t="shared" si="18"/>
        <v>19</v>
      </c>
      <c r="T87" s="5"/>
      <c r="U87" s="1"/>
      <c r="V87" s="1">
        <f t="shared" si="15"/>
        <v>12</v>
      </c>
      <c r="W87" s="1">
        <f t="shared" si="16"/>
        <v>10.272727272727273</v>
      </c>
      <c r="X87" s="1">
        <v>10</v>
      </c>
      <c r="Y87" s="1">
        <v>8.1999999999999993</v>
      </c>
      <c r="Z87" s="1">
        <v>10.6</v>
      </c>
      <c r="AA87" s="1">
        <v>6.2</v>
      </c>
      <c r="AB87" s="1">
        <v>11.8</v>
      </c>
      <c r="AC87" s="1"/>
      <c r="AD87" s="1">
        <f t="shared" si="17"/>
        <v>1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117</v>
      </c>
      <c r="B88" s="1" t="s">
        <v>33</v>
      </c>
      <c r="C88" s="1">
        <v>741.46199999999999</v>
      </c>
      <c r="D88" s="1">
        <v>64.106999999999999</v>
      </c>
      <c r="E88" s="1">
        <v>430.791</v>
      </c>
      <c r="F88" s="1">
        <v>179.624</v>
      </c>
      <c r="G88" s="8">
        <v>1</v>
      </c>
      <c r="I88" s="1" t="str">
        <f>VLOOKUP(A88,[1]TDSheet!$A:$G,7,0)</f>
        <v>P005156</v>
      </c>
      <c r="J88" s="1"/>
      <c r="K88" s="1">
        <v>425.47800000000001</v>
      </c>
      <c r="L88" s="1">
        <f t="shared" si="12"/>
        <v>5.3129999999999882</v>
      </c>
      <c r="M88" s="1"/>
      <c r="N88" s="1"/>
      <c r="O88" s="1">
        <v>0</v>
      </c>
      <c r="P88" s="1">
        <v>0</v>
      </c>
      <c r="Q88" s="1">
        <f t="shared" si="13"/>
        <v>86.158199999999994</v>
      </c>
      <c r="R88" s="14">
        <v>0</v>
      </c>
      <c r="S88" s="5">
        <f t="shared" si="18"/>
        <v>0</v>
      </c>
      <c r="T88" s="5"/>
      <c r="U88" s="1"/>
      <c r="V88" s="1">
        <f t="shared" si="15"/>
        <v>2.0848160709021313</v>
      </c>
      <c r="W88" s="1">
        <f t="shared" si="16"/>
        <v>2.0848160709021313</v>
      </c>
      <c r="X88" s="1">
        <v>6.9647999999999994</v>
      </c>
      <c r="Y88" s="1">
        <v>1.6108</v>
      </c>
      <c r="Z88" s="1">
        <v>3.8397999999999999</v>
      </c>
      <c r="AA88" s="1">
        <v>9.2504000000000008</v>
      </c>
      <c r="AB88" s="1">
        <v>9.8138000000000005</v>
      </c>
      <c r="AC88" s="15" t="s">
        <v>142</v>
      </c>
      <c r="AD88" s="1">
        <f t="shared" si="17"/>
        <v>0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118</v>
      </c>
      <c r="B89" s="1" t="s">
        <v>38</v>
      </c>
      <c r="C89" s="1">
        <v>2</v>
      </c>
      <c r="D89" s="1"/>
      <c r="E89" s="1">
        <v>-4</v>
      </c>
      <c r="F89" s="1">
        <v>2</v>
      </c>
      <c r="G89" s="8">
        <v>0.11</v>
      </c>
      <c r="I89" s="1" t="str">
        <f>VLOOKUP(A89,[1]TDSheet!$A:$G,7,0)</f>
        <v>Р004758</v>
      </c>
      <c r="J89" s="1"/>
      <c r="K89" s="1">
        <v>3</v>
      </c>
      <c r="L89" s="1">
        <f t="shared" si="12"/>
        <v>-7</v>
      </c>
      <c r="M89" s="1"/>
      <c r="N89" s="1"/>
      <c r="O89" s="1">
        <v>0</v>
      </c>
      <c r="P89" s="1">
        <v>0</v>
      </c>
      <c r="Q89" s="1">
        <f t="shared" si="13"/>
        <v>-0.8</v>
      </c>
      <c r="R89" s="5"/>
      <c r="S89" s="5">
        <f t="shared" si="18"/>
        <v>0</v>
      </c>
      <c r="T89" s="5"/>
      <c r="U89" s="1"/>
      <c r="V89" s="1">
        <f t="shared" si="15"/>
        <v>-2.5</v>
      </c>
      <c r="W89" s="1">
        <f t="shared" si="16"/>
        <v>-2.5</v>
      </c>
      <c r="X89" s="1">
        <v>-0.4</v>
      </c>
      <c r="Y89" s="1">
        <v>0.6</v>
      </c>
      <c r="Z89" s="1">
        <v>1.8</v>
      </c>
      <c r="AA89" s="1">
        <v>-1.4</v>
      </c>
      <c r="AB89" s="1">
        <v>-0.2</v>
      </c>
      <c r="AC89" s="1"/>
      <c r="AD89" s="1">
        <f t="shared" si="17"/>
        <v>0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119</v>
      </c>
      <c r="B90" s="1" t="s">
        <v>38</v>
      </c>
      <c r="C90" s="1">
        <v>44</v>
      </c>
      <c r="D90" s="1">
        <v>130</v>
      </c>
      <c r="E90" s="1">
        <v>99</v>
      </c>
      <c r="F90" s="1">
        <v>81</v>
      </c>
      <c r="G90" s="8">
        <v>0.08</v>
      </c>
      <c r="I90" s="1" t="str">
        <f>VLOOKUP(A90,[1]TDSheet!$A:$G,7,0)</f>
        <v>P005155</v>
      </c>
      <c r="J90" s="1"/>
      <c r="K90" s="1">
        <v>101</v>
      </c>
      <c r="L90" s="1">
        <f t="shared" si="12"/>
        <v>-2</v>
      </c>
      <c r="M90" s="1"/>
      <c r="N90" s="1"/>
      <c r="O90" s="1">
        <v>130</v>
      </c>
      <c r="P90" s="1">
        <v>0</v>
      </c>
      <c r="Q90" s="1">
        <f t="shared" si="13"/>
        <v>19.8</v>
      </c>
      <c r="R90" s="5">
        <f t="shared" si="14"/>
        <v>26.600000000000023</v>
      </c>
      <c r="S90" s="5">
        <f t="shared" si="18"/>
        <v>26.600000000000023</v>
      </c>
      <c r="T90" s="5"/>
      <c r="U90" s="1"/>
      <c r="V90" s="1">
        <f t="shared" si="15"/>
        <v>12</v>
      </c>
      <c r="W90" s="1">
        <f t="shared" si="16"/>
        <v>10.656565656565656</v>
      </c>
      <c r="X90" s="1">
        <v>17.399999999999999</v>
      </c>
      <c r="Y90" s="1">
        <v>20</v>
      </c>
      <c r="Z90" s="1">
        <v>18</v>
      </c>
      <c r="AA90" s="1">
        <v>20.8</v>
      </c>
      <c r="AB90" s="1">
        <v>17.8</v>
      </c>
      <c r="AC90" s="1"/>
      <c r="AD90" s="1">
        <f t="shared" si="17"/>
        <v>2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120</v>
      </c>
      <c r="B91" s="1" t="s">
        <v>38</v>
      </c>
      <c r="C91" s="1">
        <v>128</v>
      </c>
      <c r="D91" s="1"/>
      <c r="E91" s="1">
        <v>87</v>
      </c>
      <c r="F91" s="1">
        <v>58</v>
      </c>
      <c r="G91" s="8">
        <v>0.08</v>
      </c>
      <c r="I91" s="1" t="str">
        <f>VLOOKUP(A91,[1]TDSheet!$A:$G,7,0)</f>
        <v>Р003837</v>
      </c>
      <c r="J91" s="1"/>
      <c r="K91" s="1">
        <v>81</v>
      </c>
      <c r="L91" s="1">
        <f t="shared" si="12"/>
        <v>6</v>
      </c>
      <c r="M91" s="1"/>
      <c r="N91" s="1"/>
      <c r="O91" s="1">
        <v>40</v>
      </c>
      <c r="P91" s="1">
        <v>59.998000000000019</v>
      </c>
      <c r="Q91" s="1">
        <f t="shared" si="13"/>
        <v>17.399999999999999</v>
      </c>
      <c r="R91" s="5">
        <f t="shared" si="14"/>
        <v>50.801999999999964</v>
      </c>
      <c r="S91" s="5">
        <f t="shared" si="18"/>
        <v>50.801999999999964</v>
      </c>
      <c r="T91" s="5"/>
      <c r="U91" s="1"/>
      <c r="V91" s="1">
        <f t="shared" si="15"/>
        <v>12</v>
      </c>
      <c r="W91" s="1">
        <f t="shared" si="16"/>
        <v>9.0803448275862095</v>
      </c>
      <c r="X91" s="1">
        <v>15.8</v>
      </c>
      <c r="Y91" s="1">
        <v>17.2</v>
      </c>
      <c r="Z91" s="1">
        <v>11.4</v>
      </c>
      <c r="AA91" s="1">
        <v>11.6</v>
      </c>
      <c r="AB91" s="1">
        <v>19</v>
      </c>
      <c r="AC91" s="1"/>
      <c r="AD91" s="1">
        <f t="shared" si="17"/>
        <v>4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121</v>
      </c>
      <c r="B92" s="1" t="s">
        <v>38</v>
      </c>
      <c r="C92" s="1">
        <v>18</v>
      </c>
      <c r="D92" s="1"/>
      <c r="E92" s="1">
        <v>-1</v>
      </c>
      <c r="F92" s="1">
        <v>3</v>
      </c>
      <c r="G92" s="8">
        <v>0.17</v>
      </c>
      <c r="I92" s="1" t="str">
        <f>VLOOKUP(A92,[1]TDSheet!$A:$G,7,0)</f>
        <v>P002641</v>
      </c>
      <c r="J92" s="1"/>
      <c r="K92" s="1">
        <v>12</v>
      </c>
      <c r="L92" s="1">
        <f t="shared" si="12"/>
        <v>-13</v>
      </c>
      <c r="M92" s="1"/>
      <c r="N92" s="1"/>
      <c r="O92" s="1">
        <v>0</v>
      </c>
      <c r="P92" s="1">
        <v>0</v>
      </c>
      <c r="Q92" s="1">
        <f t="shared" si="13"/>
        <v>-0.2</v>
      </c>
      <c r="R92" s="5"/>
      <c r="S92" s="5">
        <f t="shared" si="18"/>
        <v>0</v>
      </c>
      <c r="T92" s="5"/>
      <c r="U92" s="1"/>
      <c r="V92" s="1">
        <f t="shared" si="15"/>
        <v>-15</v>
      </c>
      <c r="W92" s="1">
        <f t="shared" si="16"/>
        <v>-15</v>
      </c>
      <c r="X92" s="1">
        <v>-0.2</v>
      </c>
      <c r="Y92" s="1">
        <v>0</v>
      </c>
      <c r="Z92" s="1">
        <v>0.2</v>
      </c>
      <c r="AA92" s="1">
        <v>-1</v>
      </c>
      <c r="AB92" s="1">
        <v>-0.6</v>
      </c>
      <c r="AC92" s="1"/>
      <c r="AD92" s="1">
        <f t="shared" si="17"/>
        <v>0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122</v>
      </c>
      <c r="B93" s="1" t="s">
        <v>33</v>
      </c>
      <c r="C93" s="1">
        <v>243.66300000000001</v>
      </c>
      <c r="D93" s="1">
        <v>1.4410000000000001</v>
      </c>
      <c r="E93" s="1">
        <v>173.965</v>
      </c>
      <c r="F93" s="1">
        <v>92.605999999999995</v>
      </c>
      <c r="G93" s="8">
        <v>1</v>
      </c>
      <c r="I93" s="1" t="str">
        <f>VLOOKUP(A93,[1]TDSheet!$A:$G,7,0)</f>
        <v>P005376</v>
      </c>
      <c r="J93" s="1"/>
      <c r="K93" s="1">
        <v>178.44</v>
      </c>
      <c r="L93" s="1">
        <f t="shared" si="12"/>
        <v>-4.4749999999999943</v>
      </c>
      <c r="M93" s="1"/>
      <c r="N93" s="1"/>
      <c r="O93" s="1">
        <v>150</v>
      </c>
      <c r="P93" s="1">
        <v>6.8578499999999813</v>
      </c>
      <c r="Q93" s="1">
        <f t="shared" si="13"/>
        <v>34.792999999999999</v>
      </c>
      <c r="R93" s="5">
        <f t="shared" si="14"/>
        <v>168.05214999999998</v>
      </c>
      <c r="S93" s="5">
        <f t="shared" ref="S93:S97" si="20">T93</f>
        <v>200</v>
      </c>
      <c r="T93" s="14">
        <v>200</v>
      </c>
      <c r="U93" s="16" t="s">
        <v>143</v>
      </c>
      <c r="V93" s="1">
        <f t="shared" si="15"/>
        <v>12.918226367372746</v>
      </c>
      <c r="W93" s="1">
        <f t="shared" si="16"/>
        <v>7.1699436668295347</v>
      </c>
      <c r="X93" s="1">
        <v>30.675999999999998</v>
      </c>
      <c r="Y93" s="1">
        <v>25.351800000000001</v>
      </c>
      <c r="Z93" s="1">
        <v>31.613</v>
      </c>
      <c r="AA93" s="1">
        <v>20.223400000000002</v>
      </c>
      <c r="AB93" s="1">
        <v>37.354999999999997</v>
      </c>
      <c r="AC93" s="1" t="s">
        <v>34</v>
      </c>
      <c r="AD93" s="1">
        <f t="shared" si="17"/>
        <v>200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123</v>
      </c>
      <c r="B94" s="1" t="s">
        <v>33</v>
      </c>
      <c r="C94" s="1">
        <v>224.946</v>
      </c>
      <c r="D94" s="1">
        <v>61.728000000000002</v>
      </c>
      <c r="E94" s="1">
        <v>98.188999999999993</v>
      </c>
      <c r="F94" s="1">
        <v>189.33799999999999</v>
      </c>
      <c r="G94" s="8">
        <v>1</v>
      </c>
      <c r="I94" s="1" t="str">
        <f>VLOOKUP(A94,[1]TDSheet!$A:$G,7,0)</f>
        <v>P005377</v>
      </c>
      <c r="J94" s="1"/>
      <c r="K94" s="1">
        <v>106.6</v>
      </c>
      <c r="L94" s="1">
        <f t="shared" si="12"/>
        <v>-8.4110000000000014</v>
      </c>
      <c r="M94" s="1"/>
      <c r="N94" s="1"/>
      <c r="O94" s="1">
        <v>200</v>
      </c>
      <c r="P94" s="1">
        <v>0</v>
      </c>
      <c r="Q94" s="1">
        <f t="shared" si="13"/>
        <v>19.637799999999999</v>
      </c>
      <c r="R94" s="5"/>
      <c r="S94" s="5">
        <f t="shared" si="20"/>
        <v>100</v>
      </c>
      <c r="T94" s="14">
        <v>100</v>
      </c>
      <c r="U94" s="16" t="s">
        <v>143</v>
      </c>
      <c r="V94" s="1">
        <f t="shared" si="15"/>
        <v>24.918168022894623</v>
      </c>
      <c r="W94" s="1">
        <f t="shared" si="16"/>
        <v>19.825947916772755</v>
      </c>
      <c r="X94" s="1">
        <v>19.757400000000001</v>
      </c>
      <c r="Y94" s="1">
        <v>0</v>
      </c>
      <c r="Z94" s="1">
        <v>27.5456</v>
      </c>
      <c r="AA94" s="1">
        <v>21.107600000000001</v>
      </c>
      <c r="AB94" s="1">
        <v>22.7972</v>
      </c>
      <c r="AC94" s="1"/>
      <c r="AD94" s="1">
        <f t="shared" si="17"/>
        <v>100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124</v>
      </c>
      <c r="B95" s="1" t="s">
        <v>33</v>
      </c>
      <c r="C95" s="1"/>
      <c r="D95" s="1"/>
      <c r="E95" s="1">
        <v>-3.5339999999999998</v>
      </c>
      <c r="F95" s="1"/>
      <c r="G95" s="8">
        <v>1</v>
      </c>
      <c r="I95" s="1" t="str">
        <f>VLOOKUP(A95,[1]TDSheet!$A:$G,7,0)</f>
        <v>P005156</v>
      </c>
      <c r="J95" s="1"/>
      <c r="K95" s="1">
        <v>2.6</v>
      </c>
      <c r="L95" s="1">
        <f t="shared" si="12"/>
        <v>-6.1340000000000003</v>
      </c>
      <c r="M95" s="1"/>
      <c r="N95" s="1"/>
      <c r="O95" s="1">
        <v>0</v>
      </c>
      <c r="P95" s="1">
        <v>196.5</v>
      </c>
      <c r="Q95" s="1">
        <f t="shared" si="13"/>
        <v>-0.70679999999999998</v>
      </c>
      <c r="R95" s="5"/>
      <c r="S95" s="5">
        <f t="shared" si="20"/>
        <v>40</v>
      </c>
      <c r="T95" s="14">
        <v>40</v>
      </c>
      <c r="U95" s="16" t="s">
        <v>143</v>
      </c>
      <c r="V95" s="1">
        <f t="shared" si="15"/>
        <v>-334.60667798528578</v>
      </c>
      <c r="W95" s="1">
        <f t="shared" si="16"/>
        <v>-278.01358234295418</v>
      </c>
      <c r="X95" s="1">
        <v>-0.86</v>
      </c>
      <c r="Y95" s="1">
        <v>20.687799999999999</v>
      </c>
      <c r="Z95" s="1">
        <v>-0.28639999999999999</v>
      </c>
      <c r="AA95" s="1">
        <v>-0.71460000000000001</v>
      </c>
      <c r="AB95" s="1">
        <v>-0.71900000000000008</v>
      </c>
      <c r="AC95" s="1" t="s">
        <v>34</v>
      </c>
      <c r="AD95" s="1">
        <f t="shared" si="17"/>
        <v>40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125</v>
      </c>
      <c r="B96" s="1" t="s">
        <v>38</v>
      </c>
      <c r="C96" s="1">
        <v>219</v>
      </c>
      <c r="D96" s="1">
        <v>92</v>
      </c>
      <c r="E96" s="1">
        <v>325</v>
      </c>
      <c r="F96" s="1">
        <v>7</v>
      </c>
      <c r="G96" s="8">
        <v>0.28000000000000003</v>
      </c>
      <c r="I96" s="1" t="str">
        <f>VLOOKUP(A96,[1]TDSheet!$A:$G,7,0)</f>
        <v>P005163</v>
      </c>
      <c r="J96" s="1"/>
      <c r="K96" s="1">
        <v>330</v>
      </c>
      <c r="L96" s="1">
        <f t="shared" si="12"/>
        <v>-5</v>
      </c>
      <c r="M96" s="1"/>
      <c r="N96" s="1"/>
      <c r="O96" s="1">
        <v>300</v>
      </c>
      <c r="P96" s="1">
        <v>142.52799999999991</v>
      </c>
      <c r="Q96" s="1">
        <f t="shared" si="13"/>
        <v>65</v>
      </c>
      <c r="R96" s="5">
        <f t="shared" si="14"/>
        <v>330.47200000000009</v>
      </c>
      <c r="S96" s="5">
        <f t="shared" si="20"/>
        <v>500</v>
      </c>
      <c r="T96" s="14">
        <v>500</v>
      </c>
      <c r="U96" s="16"/>
      <c r="V96" s="1">
        <f t="shared" si="15"/>
        <v>14.608123076923075</v>
      </c>
      <c r="W96" s="1">
        <f t="shared" si="16"/>
        <v>6.9158153846153834</v>
      </c>
      <c r="X96" s="1">
        <v>52.8</v>
      </c>
      <c r="Y96" s="1">
        <v>12.2</v>
      </c>
      <c r="Z96" s="1">
        <v>49</v>
      </c>
      <c r="AA96" s="1">
        <v>36.6</v>
      </c>
      <c r="AB96" s="1">
        <v>45.2</v>
      </c>
      <c r="AC96" s="1"/>
      <c r="AD96" s="1">
        <f t="shared" si="17"/>
        <v>140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126</v>
      </c>
      <c r="B97" s="1" t="s">
        <v>38</v>
      </c>
      <c r="C97" s="1">
        <v>235</v>
      </c>
      <c r="D97" s="1">
        <v>92</v>
      </c>
      <c r="E97" s="1">
        <v>281</v>
      </c>
      <c r="F97" s="1">
        <v>49</v>
      </c>
      <c r="G97" s="8">
        <v>0.28000000000000003</v>
      </c>
      <c r="I97" s="1" t="str">
        <f>VLOOKUP(A97,[1]TDSheet!$A:$G,7,0)</f>
        <v>P005166</v>
      </c>
      <c r="J97" s="1"/>
      <c r="K97" s="1">
        <v>284</v>
      </c>
      <c r="L97" s="1">
        <f t="shared" si="12"/>
        <v>-3</v>
      </c>
      <c r="M97" s="1"/>
      <c r="N97" s="1"/>
      <c r="O97" s="1">
        <v>150</v>
      </c>
      <c r="P97" s="1">
        <v>237.89599999999999</v>
      </c>
      <c r="Q97" s="1">
        <f t="shared" si="13"/>
        <v>56.2</v>
      </c>
      <c r="R97" s="5">
        <f t="shared" si="14"/>
        <v>237.50400000000013</v>
      </c>
      <c r="S97" s="5">
        <f t="shared" si="20"/>
        <v>400</v>
      </c>
      <c r="T97" s="14">
        <v>400</v>
      </c>
      <c r="U97" s="16"/>
      <c r="V97" s="1">
        <f t="shared" si="15"/>
        <v>14.89138790035587</v>
      </c>
      <c r="W97" s="1">
        <f t="shared" si="16"/>
        <v>7.7739501779359417</v>
      </c>
      <c r="X97" s="1">
        <v>48.6</v>
      </c>
      <c r="Y97" s="1">
        <v>13</v>
      </c>
      <c r="Z97" s="1">
        <v>34.200000000000003</v>
      </c>
      <c r="AA97" s="1">
        <v>37.799999999999997</v>
      </c>
      <c r="AB97" s="1">
        <v>32.200000000000003</v>
      </c>
      <c r="AC97" s="1"/>
      <c r="AD97" s="1">
        <f t="shared" si="17"/>
        <v>112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127</v>
      </c>
      <c r="B98" s="1" t="s">
        <v>33</v>
      </c>
      <c r="C98" s="1">
        <v>-6.4420000000000002</v>
      </c>
      <c r="D98" s="1"/>
      <c r="E98" s="1">
        <v>6.5990000000000002</v>
      </c>
      <c r="F98" s="1">
        <v>-6.4420000000000002</v>
      </c>
      <c r="G98" s="8">
        <v>1</v>
      </c>
      <c r="I98" s="1" t="str">
        <f>VLOOKUP(A98,[1]TDSheet!$A:$G,7,0)</f>
        <v>P005358</v>
      </c>
      <c r="J98" s="1"/>
      <c r="K98" s="1">
        <v>37.5</v>
      </c>
      <c r="L98" s="1">
        <f t="shared" si="12"/>
        <v>-30.901</v>
      </c>
      <c r="M98" s="1"/>
      <c r="N98" s="1"/>
      <c r="O98" s="1">
        <v>125</v>
      </c>
      <c r="P98" s="1">
        <v>52.169964000000043</v>
      </c>
      <c r="Q98" s="1">
        <f t="shared" si="13"/>
        <v>1.3198000000000001</v>
      </c>
      <c r="R98" s="5"/>
      <c r="S98" s="5">
        <f t="shared" si="18"/>
        <v>0</v>
      </c>
      <c r="T98" s="5"/>
      <c r="U98" s="1"/>
      <c r="V98" s="1">
        <f t="shared" si="15"/>
        <v>129.35896651007729</v>
      </c>
      <c r="W98" s="1">
        <f t="shared" si="16"/>
        <v>129.35896651007729</v>
      </c>
      <c r="X98" s="1">
        <v>14.398400000000001</v>
      </c>
      <c r="Y98" s="1">
        <v>17.016999999999999</v>
      </c>
      <c r="Z98" s="1">
        <v>18.36</v>
      </c>
      <c r="AA98" s="1">
        <v>14.105</v>
      </c>
      <c r="AB98" s="1">
        <v>30.2822</v>
      </c>
      <c r="AC98" s="1"/>
      <c r="AD98" s="1">
        <f t="shared" si="17"/>
        <v>0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128</v>
      </c>
      <c r="B99" s="1" t="s">
        <v>33</v>
      </c>
      <c r="C99" s="1">
        <v>80.385999999999996</v>
      </c>
      <c r="D99" s="1"/>
      <c r="E99" s="1">
        <v>107.15600000000001</v>
      </c>
      <c r="F99" s="1">
        <v>10.416</v>
      </c>
      <c r="G99" s="8">
        <v>1</v>
      </c>
      <c r="I99" s="1" t="str">
        <f>VLOOKUP(A99,[1]TDSheet!$A:$G,7,0)</f>
        <v>P004675</v>
      </c>
      <c r="J99" s="1"/>
      <c r="K99" s="1">
        <v>130.30000000000001</v>
      </c>
      <c r="L99" s="1">
        <f t="shared" si="12"/>
        <v>-23.144000000000005</v>
      </c>
      <c r="M99" s="1"/>
      <c r="N99" s="1"/>
      <c r="O99" s="1">
        <v>100</v>
      </c>
      <c r="P99" s="1">
        <v>318.09970199999998</v>
      </c>
      <c r="Q99" s="1">
        <f t="shared" si="13"/>
        <v>21.4312</v>
      </c>
      <c r="R99" s="5"/>
      <c r="S99" s="5">
        <f t="shared" si="18"/>
        <v>0</v>
      </c>
      <c r="T99" s="5"/>
      <c r="U99" s="1"/>
      <c r="V99" s="1">
        <f t="shared" si="15"/>
        <v>19.994946713203181</v>
      </c>
      <c r="W99" s="1">
        <f t="shared" si="16"/>
        <v>19.994946713203181</v>
      </c>
      <c r="X99" s="1">
        <v>33.929199999999987</v>
      </c>
      <c r="Y99" s="1">
        <v>14.873799999999999</v>
      </c>
      <c r="Z99" s="1">
        <v>17.5974</v>
      </c>
      <c r="AA99" s="1">
        <v>24.006599999999999</v>
      </c>
      <c r="AB99" s="1">
        <v>33.010199999999998</v>
      </c>
      <c r="AC99" s="1"/>
      <c r="AD99" s="1">
        <f t="shared" si="17"/>
        <v>0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129</v>
      </c>
      <c r="B100" s="1" t="s">
        <v>33</v>
      </c>
      <c r="C100" s="1">
        <v>149.04400000000001</v>
      </c>
      <c r="D100" s="1">
        <v>24.652000000000001</v>
      </c>
      <c r="E100" s="1">
        <v>76.373999999999995</v>
      </c>
      <c r="F100" s="1">
        <v>100.797</v>
      </c>
      <c r="G100" s="8">
        <v>1</v>
      </c>
      <c r="I100" s="1" t="str">
        <f>VLOOKUP(A100,[1]TDSheet!$A:$G,7,0)</f>
        <v>P005360</v>
      </c>
      <c r="J100" s="1"/>
      <c r="K100" s="1">
        <v>76.5</v>
      </c>
      <c r="L100" s="1">
        <f t="shared" si="12"/>
        <v>-0.12600000000000477</v>
      </c>
      <c r="M100" s="1"/>
      <c r="N100" s="1"/>
      <c r="O100" s="1">
        <v>100</v>
      </c>
      <c r="P100" s="1">
        <v>0</v>
      </c>
      <c r="Q100" s="1">
        <f t="shared" si="13"/>
        <v>15.274799999999999</v>
      </c>
      <c r="R100" s="5"/>
      <c r="S100" s="5">
        <f t="shared" si="18"/>
        <v>0</v>
      </c>
      <c r="T100" s="5"/>
      <c r="U100" s="1"/>
      <c r="V100" s="1">
        <f t="shared" si="15"/>
        <v>13.145638568099091</v>
      </c>
      <c r="W100" s="1">
        <f t="shared" si="16"/>
        <v>13.145638568099091</v>
      </c>
      <c r="X100" s="1">
        <v>9.7639999999999993</v>
      </c>
      <c r="Y100" s="1">
        <v>16.150400000000001</v>
      </c>
      <c r="Z100" s="1">
        <v>9.27</v>
      </c>
      <c r="AA100" s="1">
        <v>22.412600000000001</v>
      </c>
      <c r="AB100" s="1">
        <v>14.403</v>
      </c>
      <c r="AC100" s="1" t="s">
        <v>34</v>
      </c>
      <c r="AD100" s="1">
        <f t="shared" si="17"/>
        <v>0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130</v>
      </c>
      <c r="B101" s="1" t="s">
        <v>33</v>
      </c>
      <c r="C101" s="1">
        <v>93.617000000000004</v>
      </c>
      <c r="D101" s="1">
        <v>28.821000000000002</v>
      </c>
      <c r="E101" s="1">
        <v>122.504</v>
      </c>
      <c r="F101" s="1">
        <v>14.917999999999999</v>
      </c>
      <c r="G101" s="8">
        <v>1</v>
      </c>
      <c r="I101" s="1" t="str">
        <f>VLOOKUP(A101,[1]TDSheet!$A:$G,7,0)</f>
        <v>P005361</v>
      </c>
      <c r="J101" s="1"/>
      <c r="K101" s="1">
        <v>121.4</v>
      </c>
      <c r="L101" s="1">
        <f t="shared" ref="L101:L111" si="21">E101-K101</f>
        <v>1.1039999999999992</v>
      </c>
      <c r="M101" s="1"/>
      <c r="N101" s="1"/>
      <c r="O101" s="1">
        <v>100</v>
      </c>
      <c r="P101" s="1">
        <v>156.8366059999999</v>
      </c>
      <c r="Q101" s="1">
        <f t="shared" si="13"/>
        <v>24.500800000000002</v>
      </c>
      <c r="R101" s="5">
        <f t="shared" si="14"/>
        <v>22.254994000000131</v>
      </c>
      <c r="S101" s="5">
        <f>T101</f>
        <v>150</v>
      </c>
      <c r="T101" s="14">
        <v>150</v>
      </c>
      <c r="U101" s="16" t="s">
        <v>143</v>
      </c>
      <c r="V101" s="1">
        <f t="shared" si="15"/>
        <v>17.213911627375428</v>
      </c>
      <c r="W101" s="1">
        <f t="shared" si="16"/>
        <v>11.091662557957287</v>
      </c>
      <c r="X101" s="1">
        <v>25.675599999999999</v>
      </c>
      <c r="Y101" s="1">
        <v>26.9436</v>
      </c>
      <c r="Z101" s="1">
        <v>25.497399999999999</v>
      </c>
      <c r="AA101" s="1">
        <v>33.244999999999997</v>
      </c>
      <c r="AB101" s="1">
        <v>39.076000000000001</v>
      </c>
      <c r="AC101" s="1" t="s">
        <v>34</v>
      </c>
      <c r="AD101" s="1">
        <f t="shared" si="17"/>
        <v>150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131</v>
      </c>
      <c r="B102" s="1" t="s">
        <v>33</v>
      </c>
      <c r="C102" s="1">
        <v>10.095000000000001</v>
      </c>
      <c r="D102" s="1"/>
      <c r="E102" s="1">
        <v>16.908000000000001</v>
      </c>
      <c r="F102" s="1">
        <v>-1.127</v>
      </c>
      <c r="G102" s="8">
        <v>1</v>
      </c>
      <c r="I102" s="1" t="str">
        <f>VLOOKUP(A102,[1]TDSheet!$A:$G,7,0)</f>
        <v>P005363</v>
      </c>
      <c r="J102" s="1"/>
      <c r="K102" s="1">
        <v>18.600000000000001</v>
      </c>
      <c r="L102" s="1">
        <f t="shared" si="21"/>
        <v>-1.6920000000000002</v>
      </c>
      <c r="M102" s="1"/>
      <c r="N102" s="1"/>
      <c r="O102" s="1">
        <v>60</v>
      </c>
      <c r="P102" s="1">
        <v>27.511572000000001</v>
      </c>
      <c r="Q102" s="1">
        <f t="shared" si="13"/>
        <v>3.3816000000000002</v>
      </c>
      <c r="R102" s="5"/>
      <c r="S102" s="5">
        <f t="shared" si="18"/>
        <v>0</v>
      </c>
      <c r="T102" s="5"/>
      <c r="U102" s="1"/>
      <c r="V102" s="1">
        <f t="shared" si="15"/>
        <v>25.545473148805296</v>
      </c>
      <c r="W102" s="1">
        <f t="shared" si="16"/>
        <v>25.545473148805296</v>
      </c>
      <c r="X102" s="1">
        <v>7.7671999999999999</v>
      </c>
      <c r="Y102" s="1">
        <v>5.9408000000000003</v>
      </c>
      <c r="Z102" s="1">
        <v>3.2612000000000001</v>
      </c>
      <c r="AA102" s="1">
        <v>5.8381999999999996</v>
      </c>
      <c r="AB102" s="1">
        <v>11.130800000000001</v>
      </c>
      <c r="AC102" s="1"/>
      <c r="AD102" s="1">
        <f t="shared" si="17"/>
        <v>0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132</v>
      </c>
      <c r="B103" s="1" t="s">
        <v>38</v>
      </c>
      <c r="C103" s="1">
        <v>130</v>
      </c>
      <c r="D103" s="1">
        <v>43</v>
      </c>
      <c r="E103" s="1">
        <v>216</v>
      </c>
      <c r="F103" s="1">
        <v>-1</v>
      </c>
      <c r="G103" s="8">
        <v>0.3</v>
      </c>
      <c r="I103" s="1" t="str">
        <f>VLOOKUP(A103,[1]TDSheet!$A:$G,7,0)</f>
        <v>P003386</v>
      </c>
      <c r="J103" s="1"/>
      <c r="K103" s="1">
        <v>224</v>
      </c>
      <c r="L103" s="1">
        <f t="shared" si="21"/>
        <v>-8</v>
      </c>
      <c r="M103" s="1"/>
      <c r="N103" s="1"/>
      <c r="O103" s="1">
        <v>280</v>
      </c>
      <c r="P103" s="1">
        <v>140.16999999999999</v>
      </c>
      <c r="Q103" s="1">
        <f t="shared" si="13"/>
        <v>43.2</v>
      </c>
      <c r="R103" s="5">
        <f t="shared" si="14"/>
        <v>99.230000000000132</v>
      </c>
      <c r="S103" s="5">
        <f>T103</f>
        <v>150</v>
      </c>
      <c r="T103" s="14">
        <v>150</v>
      </c>
      <c r="U103" s="16"/>
      <c r="V103" s="1">
        <f t="shared" si="15"/>
        <v>13.175231481481479</v>
      </c>
      <c r="W103" s="1">
        <f t="shared" si="16"/>
        <v>9.7030092592592574</v>
      </c>
      <c r="X103" s="1">
        <v>43</v>
      </c>
      <c r="Y103" s="1">
        <v>39.6</v>
      </c>
      <c r="Z103" s="1">
        <v>39.200000000000003</v>
      </c>
      <c r="AA103" s="1">
        <v>38.200000000000003</v>
      </c>
      <c r="AB103" s="1">
        <v>36.6</v>
      </c>
      <c r="AC103" s="1"/>
      <c r="AD103" s="1">
        <f t="shared" si="17"/>
        <v>45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133</v>
      </c>
      <c r="B104" s="1" t="s">
        <v>38</v>
      </c>
      <c r="C104" s="1">
        <v>165</v>
      </c>
      <c r="D104" s="1">
        <v>1</v>
      </c>
      <c r="E104" s="1">
        <v>176</v>
      </c>
      <c r="F104" s="1">
        <v>7</v>
      </c>
      <c r="G104" s="8">
        <v>0.3</v>
      </c>
      <c r="I104" s="1" t="str">
        <f>VLOOKUP(A104,[1]TDSheet!$A:$G,7,0)</f>
        <v>P003385</v>
      </c>
      <c r="J104" s="1"/>
      <c r="K104" s="1">
        <v>210</v>
      </c>
      <c r="L104" s="1">
        <f t="shared" si="21"/>
        <v>-34</v>
      </c>
      <c r="M104" s="1"/>
      <c r="N104" s="1"/>
      <c r="O104" s="1">
        <v>30</v>
      </c>
      <c r="P104" s="1">
        <v>221.65199999999999</v>
      </c>
      <c r="Q104" s="1">
        <f t="shared" si="13"/>
        <v>35.200000000000003</v>
      </c>
      <c r="R104" s="5">
        <f t="shared" si="14"/>
        <v>163.74800000000005</v>
      </c>
      <c r="S104" s="5">
        <f t="shared" si="18"/>
        <v>163.74800000000005</v>
      </c>
      <c r="T104" s="5"/>
      <c r="U104" s="1"/>
      <c r="V104" s="1">
        <f t="shared" si="15"/>
        <v>12</v>
      </c>
      <c r="W104" s="1">
        <f t="shared" si="16"/>
        <v>7.3480681818181806</v>
      </c>
      <c r="X104" s="1">
        <v>25.2</v>
      </c>
      <c r="Y104" s="1">
        <v>23.4</v>
      </c>
      <c r="Z104" s="1">
        <v>17.399999999999999</v>
      </c>
      <c r="AA104" s="1">
        <v>19.8</v>
      </c>
      <c r="AB104" s="1">
        <v>3.8</v>
      </c>
      <c r="AC104" s="1"/>
      <c r="AD104" s="1">
        <f t="shared" si="17"/>
        <v>49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134</v>
      </c>
      <c r="B105" s="1" t="s">
        <v>33</v>
      </c>
      <c r="C105" s="1">
        <v>-1.121</v>
      </c>
      <c r="D105" s="1"/>
      <c r="E105" s="1">
        <v>5.1559999999999997</v>
      </c>
      <c r="F105" s="1">
        <v>-1.121</v>
      </c>
      <c r="G105" s="8">
        <v>1</v>
      </c>
      <c r="I105" s="1" t="str">
        <f>VLOOKUP(A105,[1]TDSheet!$A:$G,7,0)</f>
        <v>P004621</v>
      </c>
      <c r="J105" s="1"/>
      <c r="K105" s="1">
        <v>7.9</v>
      </c>
      <c r="L105" s="1">
        <f t="shared" si="21"/>
        <v>-2.7440000000000007</v>
      </c>
      <c r="M105" s="1"/>
      <c r="N105" s="1"/>
      <c r="O105" s="1">
        <v>0</v>
      </c>
      <c r="P105" s="1">
        <v>20.293734000000001</v>
      </c>
      <c r="Q105" s="1">
        <f t="shared" si="13"/>
        <v>1.0311999999999999</v>
      </c>
      <c r="R105" s="5"/>
      <c r="S105" s="5">
        <f t="shared" si="18"/>
        <v>0</v>
      </c>
      <c r="T105" s="5"/>
      <c r="U105" s="1"/>
      <c r="V105" s="1">
        <f t="shared" si="15"/>
        <v>18.592643522110166</v>
      </c>
      <c r="W105" s="1">
        <f t="shared" si="16"/>
        <v>18.592643522110166</v>
      </c>
      <c r="X105" s="1">
        <v>1.3064</v>
      </c>
      <c r="Y105" s="1">
        <v>4.3450000000000006</v>
      </c>
      <c r="Z105" s="1">
        <v>1.3715999999999999</v>
      </c>
      <c r="AA105" s="1">
        <v>2.7715999999999998</v>
      </c>
      <c r="AB105" s="1">
        <v>4.6696</v>
      </c>
      <c r="AC105" s="1"/>
      <c r="AD105" s="1">
        <f t="shared" si="17"/>
        <v>0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135</v>
      </c>
      <c r="B106" s="1" t="s">
        <v>38</v>
      </c>
      <c r="C106" s="1">
        <v>2</v>
      </c>
      <c r="D106" s="1">
        <v>90</v>
      </c>
      <c r="E106" s="1">
        <v>46</v>
      </c>
      <c r="F106" s="1">
        <v>30</v>
      </c>
      <c r="G106" s="8">
        <v>0.3</v>
      </c>
      <c r="I106" s="1" t="str">
        <f>VLOOKUP(A106,[1]TDSheet!$A:$G,7,0)</f>
        <v>P004890</v>
      </c>
      <c r="J106" s="1"/>
      <c r="K106" s="1">
        <v>65</v>
      </c>
      <c r="L106" s="1">
        <f t="shared" si="21"/>
        <v>-19</v>
      </c>
      <c r="M106" s="1"/>
      <c r="N106" s="1"/>
      <c r="O106" s="1">
        <v>120</v>
      </c>
      <c r="P106" s="1">
        <v>0</v>
      </c>
      <c r="Q106" s="1">
        <f t="shared" si="13"/>
        <v>9.1999999999999993</v>
      </c>
      <c r="R106" s="5"/>
      <c r="S106" s="5">
        <f t="shared" si="18"/>
        <v>0</v>
      </c>
      <c r="T106" s="5"/>
      <c r="U106" s="1"/>
      <c r="V106" s="1">
        <f t="shared" si="15"/>
        <v>16.304347826086957</v>
      </c>
      <c r="W106" s="1">
        <f t="shared" si="16"/>
        <v>16.304347826086957</v>
      </c>
      <c r="X106" s="1">
        <v>1</v>
      </c>
      <c r="Y106" s="1">
        <v>16.600000000000001</v>
      </c>
      <c r="Z106" s="1">
        <v>4.8</v>
      </c>
      <c r="AA106" s="1">
        <v>14.6</v>
      </c>
      <c r="AB106" s="1">
        <v>9.1999999999999993</v>
      </c>
      <c r="AC106" s="1"/>
      <c r="AD106" s="1">
        <f t="shared" si="17"/>
        <v>0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136</v>
      </c>
      <c r="B107" s="1" t="s">
        <v>38</v>
      </c>
      <c r="C107" s="1">
        <v>47</v>
      </c>
      <c r="D107" s="1">
        <v>1</v>
      </c>
      <c r="E107" s="1">
        <v>44</v>
      </c>
      <c r="F107" s="1">
        <v>12</v>
      </c>
      <c r="G107" s="8">
        <v>0.12</v>
      </c>
      <c r="I107" s="1" t="str">
        <f>VLOOKUP(A107,[1]TDSheet!$A:$G,7,0)</f>
        <v>P005060</v>
      </c>
      <c r="J107" s="1"/>
      <c r="K107" s="1">
        <v>45</v>
      </c>
      <c r="L107" s="1">
        <f t="shared" si="21"/>
        <v>-1</v>
      </c>
      <c r="M107" s="1"/>
      <c r="N107" s="1"/>
      <c r="O107" s="1">
        <v>40</v>
      </c>
      <c r="P107" s="1">
        <v>39.038000000000018</v>
      </c>
      <c r="Q107" s="1">
        <f t="shared" si="13"/>
        <v>8.8000000000000007</v>
      </c>
      <c r="R107" s="5">
        <f t="shared" si="14"/>
        <v>14.561999999999983</v>
      </c>
      <c r="S107" s="5">
        <f>T107</f>
        <v>25</v>
      </c>
      <c r="T107" s="14">
        <v>25</v>
      </c>
      <c r="U107" s="16"/>
      <c r="V107" s="1">
        <f t="shared" si="15"/>
        <v>13.186136363636363</v>
      </c>
      <c r="W107" s="1">
        <f t="shared" si="16"/>
        <v>10.345227272727273</v>
      </c>
      <c r="X107" s="1">
        <v>8.8000000000000007</v>
      </c>
      <c r="Y107" s="1">
        <v>3.6</v>
      </c>
      <c r="Z107" s="1">
        <v>9.4</v>
      </c>
      <c r="AA107" s="1">
        <v>0</v>
      </c>
      <c r="AB107" s="1">
        <v>9.1999999999999993</v>
      </c>
      <c r="AC107" s="1"/>
      <c r="AD107" s="1">
        <f t="shared" si="17"/>
        <v>3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0" t="s">
        <v>137</v>
      </c>
      <c r="B108" s="10" t="s">
        <v>38</v>
      </c>
      <c r="C108" s="10"/>
      <c r="D108" s="10"/>
      <c r="E108" s="10"/>
      <c r="F108" s="10"/>
      <c r="G108" s="11">
        <v>0.09</v>
      </c>
      <c r="H108" s="12"/>
      <c r="I108" s="10" t="str">
        <f>VLOOKUP(A108,[1]TDSheet!$A:$G,7,0)</f>
        <v>P004725</v>
      </c>
      <c r="J108" s="10"/>
      <c r="K108" s="10"/>
      <c r="L108" s="10">
        <f t="shared" si="21"/>
        <v>0</v>
      </c>
      <c r="M108" s="10"/>
      <c r="N108" s="10"/>
      <c r="O108" s="10">
        <v>0</v>
      </c>
      <c r="P108" s="10">
        <v>0</v>
      </c>
      <c r="Q108" s="10">
        <f t="shared" si="13"/>
        <v>0</v>
      </c>
      <c r="R108" s="13"/>
      <c r="S108" s="5">
        <f t="shared" si="18"/>
        <v>0</v>
      </c>
      <c r="T108" s="13"/>
      <c r="U108" s="10"/>
      <c r="V108" s="1" t="e">
        <f t="shared" si="15"/>
        <v>#DIV/0!</v>
      </c>
      <c r="W108" s="1" t="e">
        <f t="shared" si="16"/>
        <v>#DIV/0!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 t="s">
        <v>141</v>
      </c>
      <c r="AD108" s="10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0" t="s">
        <v>138</v>
      </c>
      <c r="B109" s="10" t="s">
        <v>38</v>
      </c>
      <c r="C109" s="10"/>
      <c r="D109" s="10"/>
      <c r="E109" s="10"/>
      <c r="F109" s="10"/>
      <c r="G109" s="11">
        <v>0.09</v>
      </c>
      <c r="H109" s="12"/>
      <c r="I109" s="10" t="str">
        <f>VLOOKUP(A109,[1]TDSheet!$A:$G,7,0)</f>
        <v>P005114</v>
      </c>
      <c r="J109" s="10"/>
      <c r="K109" s="10"/>
      <c r="L109" s="10">
        <f t="shared" si="21"/>
        <v>0</v>
      </c>
      <c r="M109" s="10"/>
      <c r="N109" s="10"/>
      <c r="O109" s="10">
        <v>0</v>
      </c>
      <c r="P109" s="10">
        <v>0</v>
      </c>
      <c r="Q109" s="10">
        <f t="shared" si="13"/>
        <v>0</v>
      </c>
      <c r="R109" s="13"/>
      <c r="S109" s="5">
        <f t="shared" si="18"/>
        <v>0</v>
      </c>
      <c r="T109" s="13"/>
      <c r="U109" s="10"/>
      <c r="V109" s="1" t="e">
        <f t="shared" si="15"/>
        <v>#DIV/0!</v>
      </c>
      <c r="W109" s="1" t="e">
        <f t="shared" si="16"/>
        <v>#DIV/0!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 t="s">
        <v>141</v>
      </c>
      <c r="AD109" s="10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0" t="s">
        <v>139</v>
      </c>
      <c r="B110" s="10" t="s">
        <v>38</v>
      </c>
      <c r="C110" s="10"/>
      <c r="D110" s="10"/>
      <c r="E110" s="10"/>
      <c r="F110" s="10"/>
      <c r="G110" s="11">
        <v>0.09</v>
      </c>
      <c r="H110" s="12"/>
      <c r="I110" s="10" t="str">
        <f>VLOOKUP(A110,[1]TDSheet!$A:$G,7,0)</f>
        <v>P004728</v>
      </c>
      <c r="J110" s="10"/>
      <c r="K110" s="10"/>
      <c r="L110" s="10">
        <f t="shared" si="21"/>
        <v>0</v>
      </c>
      <c r="M110" s="10"/>
      <c r="N110" s="10"/>
      <c r="O110" s="10">
        <v>0</v>
      </c>
      <c r="P110" s="10">
        <v>0</v>
      </c>
      <c r="Q110" s="10">
        <f t="shared" si="13"/>
        <v>0</v>
      </c>
      <c r="R110" s="13"/>
      <c r="S110" s="5">
        <f t="shared" si="18"/>
        <v>0</v>
      </c>
      <c r="T110" s="13"/>
      <c r="U110" s="10"/>
      <c r="V110" s="1" t="e">
        <f t="shared" si="15"/>
        <v>#DIV/0!</v>
      </c>
      <c r="W110" s="1" t="e">
        <f t="shared" si="16"/>
        <v>#DIV/0!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 t="s">
        <v>141</v>
      </c>
      <c r="AD110" s="10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0" t="s">
        <v>140</v>
      </c>
      <c r="B111" s="10" t="s">
        <v>38</v>
      </c>
      <c r="C111" s="10"/>
      <c r="D111" s="10"/>
      <c r="E111" s="10"/>
      <c r="F111" s="10"/>
      <c r="G111" s="11">
        <v>0.28000000000000003</v>
      </c>
      <c r="H111" s="12"/>
      <c r="I111" s="10" t="str">
        <f>VLOOKUP(A111,[1]TDSheet!$A:$G,7,0)</f>
        <v>P005169</v>
      </c>
      <c r="J111" s="10"/>
      <c r="K111" s="10"/>
      <c r="L111" s="10">
        <f t="shared" si="21"/>
        <v>0</v>
      </c>
      <c r="M111" s="10"/>
      <c r="N111" s="10"/>
      <c r="O111" s="10">
        <v>0</v>
      </c>
      <c r="P111" s="10">
        <v>0</v>
      </c>
      <c r="Q111" s="10">
        <f t="shared" si="13"/>
        <v>0</v>
      </c>
      <c r="R111" s="13"/>
      <c r="S111" s="5">
        <f t="shared" si="18"/>
        <v>0</v>
      </c>
      <c r="T111" s="13"/>
      <c r="U111" s="10"/>
      <c r="V111" s="1" t="e">
        <f t="shared" si="15"/>
        <v>#DIV/0!</v>
      </c>
      <c r="W111" s="1" t="e">
        <f t="shared" si="16"/>
        <v>#DIV/0!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 t="s">
        <v>141</v>
      </c>
      <c r="AD111" s="10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1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1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1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1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1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1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1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1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1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1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1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1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1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1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1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1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1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1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1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1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1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1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1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1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1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1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1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1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1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1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1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1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1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1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1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1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1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1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1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1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1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1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1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1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1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1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1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1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1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1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1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1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1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1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1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1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1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1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1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1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1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1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1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1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1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1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1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1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1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1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1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1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1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1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1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1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1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1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1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1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1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1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1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1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1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1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1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1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1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1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1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1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1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1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1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1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1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1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1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1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1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1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1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1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1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1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1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1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1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1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1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1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1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1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1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1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1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1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1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1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1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1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1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1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1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1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1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1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1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1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1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1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1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1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1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1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1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1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1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1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1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1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1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1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1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1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1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1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1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1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1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1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1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1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1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1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1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1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1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1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1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1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1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1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1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1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1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1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1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1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1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1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1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1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1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1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1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1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1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1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1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1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1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1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1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1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1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1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1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1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1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1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1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1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1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1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1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1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1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1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1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1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1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1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1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1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1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1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1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1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1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1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1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1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1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1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1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1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1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1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1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1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1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1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1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1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1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1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1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1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1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1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1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1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1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1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1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1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1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1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1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1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1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1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1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1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1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1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1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1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1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1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1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1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1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1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1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1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1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1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1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1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1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1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1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1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1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1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1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1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1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1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1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1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1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1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1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1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1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1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1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1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1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1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1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1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1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1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1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1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1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1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1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1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1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1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1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1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1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1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1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1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1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1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1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1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1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1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1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1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1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1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1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1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1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1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1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1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1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1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1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1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1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1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1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1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1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1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1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1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1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1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1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1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1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1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1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1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1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1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1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1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1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1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1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1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1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1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1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1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1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1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1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1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1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1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1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1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1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1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1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1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1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1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1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1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1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1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1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1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1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1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1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1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1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1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1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1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1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1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1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1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</sheetData>
  <autoFilter ref="A3:AD11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2026-06-25T10:59:39Z</dcterms:created>
  <dcterms:modified xsi:type="dcterms:W3CDTF">2026-06-26T06:22:01Z</dcterms:modified>
</cp:coreProperties>
</file>