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C91BE45-8908-40F3-81B2-37AE66CE13D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P526" i="2"/>
  <c r="BO525" i="2"/>
  <c r="BM525" i="2"/>
  <c r="Y525" i="2"/>
  <c r="P525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Y504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Y492" i="2" s="1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Z466" i="2" s="1"/>
  <c r="P466" i="2"/>
  <c r="BO465" i="2"/>
  <c r="BM465" i="2"/>
  <c r="Y465" i="2"/>
  <c r="Z465" i="2" s="1"/>
  <c r="P465" i="2"/>
  <c r="X462" i="2"/>
  <c r="X461" i="2"/>
  <c r="BO460" i="2"/>
  <c r="BM460" i="2"/>
  <c r="Y460" i="2"/>
  <c r="BN460" i="2" s="1"/>
  <c r="P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Y421" i="2"/>
  <c r="Z421" i="2" s="1"/>
  <c r="P421" i="2"/>
  <c r="BO420" i="2"/>
  <c r="BM420" i="2"/>
  <c r="Y420" i="2"/>
  <c r="P420" i="2"/>
  <c r="X417" i="2"/>
  <c r="X416" i="2"/>
  <c r="BO415" i="2"/>
  <c r="BM415" i="2"/>
  <c r="Y415" i="2"/>
  <c r="BP415" i="2" s="1"/>
  <c r="P415" i="2"/>
  <c r="BO414" i="2"/>
  <c r="BM414" i="2"/>
  <c r="Y414" i="2"/>
  <c r="P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BN373" i="2" s="1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P362" i="2"/>
  <c r="BO361" i="2"/>
  <c r="BM361" i="2"/>
  <c r="Y361" i="2"/>
  <c r="P361" i="2"/>
  <c r="BO360" i="2"/>
  <c r="BM360" i="2"/>
  <c r="Y360" i="2"/>
  <c r="Z360" i="2" s="1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Z351" i="2" s="1"/>
  <c r="Z352" i="2" s="1"/>
  <c r="P351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BP338" i="2" s="1"/>
  <c r="P338" i="2"/>
  <c r="BO337" i="2"/>
  <c r="BM337" i="2"/>
  <c r="Y337" i="2"/>
  <c r="BN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Y334" i="2" s="1"/>
  <c r="P330" i="2"/>
  <c r="X327" i="2"/>
  <c r="X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P293" i="2"/>
  <c r="BO292" i="2"/>
  <c r="BM292" i="2"/>
  <c r="Y292" i="2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BN263" i="2" s="1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Z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N251" i="2" s="1"/>
  <c r="BO250" i="2"/>
  <c r="BM250" i="2"/>
  <c r="Y250" i="2"/>
  <c r="BP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BP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P185" i="2"/>
  <c r="BO184" i="2"/>
  <c r="BM184" i="2"/>
  <c r="Y184" i="2"/>
  <c r="Y187" i="2" s="1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M160" i="2"/>
  <c r="Y160" i="2"/>
  <c r="Z160" i="2" s="1"/>
  <c r="P160" i="2"/>
  <c r="BO159" i="2"/>
  <c r="BM159" i="2"/>
  <c r="Y159" i="2"/>
  <c r="P159" i="2"/>
  <c r="BO158" i="2"/>
  <c r="BM158" i="2"/>
  <c r="Y158" i="2"/>
  <c r="BP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P147" i="2"/>
  <c r="BO146" i="2"/>
  <c r="BM146" i="2"/>
  <c r="Y146" i="2"/>
  <c r="P146" i="2"/>
  <c r="X143" i="2"/>
  <c r="X142" i="2"/>
  <c r="BO141" i="2"/>
  <c r="BM141" i="2"/>
  <c r="Y141" i="2"/>
  <c r="Z141" i="2" s="1"/>
  <c r="P141" i="2"/>
  <c r="BO140" i="2"/>
  <c r="BM140" i="2"/>
  <c r="Y140" i="2"/>
  <c r="Y143" i="2" s="1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X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BN119" i="2" s="1"/>
  <c r="P119" i="2"/>
  <c r="BO118" i="2"/>
  <c r="BM118" i="2"/>
  <c r="Y118" i="2"/>
  <c r="Z118" i="2" s="1"/>
  <c r="P118" i="2"/>
  <c r="X116" i="2"/>
  <c r="X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Y109" i="2" s="1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Z75" i="2" s="1"/>
  <c r="P73" i="2"/>
  <c r="X71" i="2"/>
  <c r="X70" i="2"/>
  <c r="BO69" i="2"/>
  <c r="BM69" i="2"/>
  <c r="Y69" i="2"/>
  <c r="Z69" i="2" s="1"/>
  <c r="P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Z373" i="2" l="1"/>
  <c r="Z90" i="2"/>
  <c r="Z216" i="2"/>
  <c r="BN216" i="2"/>
  <c r="Z282" i="2"/>
  <c r="Z23" i="2"/>
  <c r="Z177" i="2"/>
  <c r="Z224" i="2"/>
  <c r="BN224" i="2"/>
  <c r="Z234" i="2"/>
  <c r="Z262" i="2"/>
  <c r="Z67" i="2"/>
  <c r="BN67" i="2"/>
  <c r="Y71" i="2"/>
  <c r="BP149" i="2"/>
  <c r="Z201" i="2"/>
  <c r="Z221" i="2"/>
  <c r="Z337" i="2"/>
  <c r="Z367" i="2"/>
  <c r="Z381" i="2"/>
  <c r="Z439" i="2"/>
  <c r="Y498" i="2"/>
  <c r="Z22" i="2"/>
  <c r="Z57" i="2"/>
  <c r="Z80" i="2"/>
  <c r="Z200" i="2"/>
  <c r="Z218" i="2"/>
  <c r="Z223" i="2"/>
  <c r="Z251" i="2"/>
  <c r="Z263" i="2"/>
  <c r="Z325" i="2"/>
  <c r="BN325" i="2"/>
  <c r="Z338" i="2"/>
  <c r="BN338" i="2"/>
  <c r="S572" i="2"/>
  <c r="Z368" i="2"/>
  <c r="Z380" i="2"/>
  <c r="Z387" i="2"/>
  <c r="Z413" i="2"/>
  <c r="Z448" i="2"/>
  <c r="Y467" i="2"/>
  <c r="Z491" i="2"/>
  <c r="Z492" i="2" s="1"/>
  <c r="BP541" i="2"/>
  <c r="BN39" i="2"/>
  <c r="BP55" i="2"/>
  <c r="BN62" i="2"/>
  <c r="BN69" i="2"/>
  <c r="BN103" i="2"/>
  <c r="BN106" i="2"/>
  <c r="BN118" i="2"/>
  <c r="BN141" i="2"/>
  <c r="BN147" i="2"/>
  <c r="Z147" i="2"/>
  <c r="BN160" i="2"/>
  <c r="BN180" i="2"/>
  <c r="Z180" i="2"/>
  <c r="BP203" i="2"/>
  <c r="BN203" i="2"/>
  <c r="Z203" i="2"/>
  <c r="Y211" i="2"/>
  <c r="BN217" i="2"/>
  <c r="BP217" i="2"/>
  <c r="BN271" i="2"/>
  <c r="Z271" i="2"/>
  <c r="BP273" i="2"/>
  <c r="BN273" i="2"/>
  <c r="Z273" i="2"/>
  <c r="BP346" i="2"/>
  <c r="Z346" i="2"/>
  <c r="BN361" i="2"/>
  <c r="Z361" i="2"/>
  <c r="BN379" i="2"/>
  <c r="BP379" i="2"/>
  <c r="BN382" i="2"/>
  <c r="Z382" i="2"/>
  <c r="BN441" i="2"/>
  <c r="BN455" i="2"/>
  <c r="Z455" i="2"/>
  <c r="BN509" i="2"/>
  <c r="BP22" i="2"/>
  <c r="BN48" i="2"/>
  <c r="Z55" i="2"/>
  <c r="Z56" i="2"/>
  <c r="BP57" i="2"/>
  <c r="BN59" i="2"/>
  <c r="BN113" i="2"/>
  <c r="Z120" i="2"/>
  <c r="Y122" i="2"/>
  <c r="BP147" i="2"/>
  <c r="BN148" i="2"/>
  <c r="BN158" i="2"/>
  <c r="Z158" i="2"/>
  <c r="BP180" i="2"/>
  <c r="BN185" i="2"/>
  <c r="BP185" i="2"/>
  <c r="BN202" i="2"/>
  <c r="Z202" i="2"/>
  <c r="BN220" i="2"/>
  <c r="BP220" i="2"/>
  <c r="BP232" i="2"/>
  <c r="Z232" i="2"/>
  <c r="BN256" i="2"/>
  <c r="BP271" i="2"/>
  <c r="BN272" i="2"/>
  <c r="Z272" i="2"/>
  <c r="BN276" i="2"/>
  <c r="BP293" i="2"/>
  <c r="BN293" i="2"/>
  <c r="Z293" i="2"/>
  <c r="Y303" i="2"/>
  <c r="BP302" i="2"/>
  <c r="BN302" i="2"/>
  <c r="Z302" i="2"/>
  <c r="Z303" i="2" s="1"/>
  <c r="BN331" i="2"/>
  <c r="BP361" i="2"/>
  <c r="BP362" i="2"/>
  <c r="BN362" i="2"/>
  <c r="Z362" i="2"/>
  <c r="BP371" i="2"/>
  <c r="Z371" i="2"/>
  <c r="BP382" i="2"/>
  <c r="BP383" i="2"/>
  <c r="BN383" i="2"/>
  <c r="Z383" i="2"/>
  <c r="BP394" i="2"/>
  <c r="BN394" i="2"/>
  <c r="Z394" i="2"/>
  <c r="BN407" i="2"/>
  <c r="BN415" i="2"/>
  <c r="Z415" i="2"/>
  <c r="BP429" i="2"/>
  <c r="BN429" i="2"/>
  <c r="Z429" i="2"/>
  <c r="BP455" i="2"/>
  <c r="BN466" i="2"/>
  <c r="BN485" i="2"/>
  <c r="Z526" i="2"/>
  <c r="BP526" i="2"/>
  <c r="BN531" i="2"/>
  <c r="BN545" i="2"/>
  <c r="BN193" i="2"/>
  <c r="BP200" i="2"/>
  <c r="BN204" i="2"/>
  <c r="BP221" i="2"/>
  <c r="BP223" i="2"/>
  <c r="BN225" i="2"/>
  <c r="BP234" i="2"/>
  <c r="BP251" i="2"/>
  <c r="BN255" i="2"/>
  <c r="Y257" i="2"/>
  <c r="BP262" i="2"/>
  <c r="BP263" i="2"/>
  <c r="BN264" i="2"/>
  <c r="BP282" i="2"/>
  <c r="BN287" i="2"/>
  <c r="BN295" i="2"/>
  <c r="BN310" i="2"/>
  <c r="BP337" i="2"/>
  <c r="BP351" i="2"/>
  <c r="BN355" i="2"/>
  <c r="Y357" i="2"/>
  <c r="T572" i="2"/>
  <c r="BP367" i="2"/>
  <c r="BP373" i="2"/>
  <c r="BP380" i="2"/>
  <c r="BP387" i="2"/>
  <c r="BN400" i="2"/>
  <c r="BN443" i="2"/>
  <c r="BN484" i="2"/>
  <c r="BN510" i="2"/>
  <c r="BN521" i="2"/>
  <c r="BN527" i="2"/>
  <c r="BN549" i="2"/>
  <c r="BP24" i="2"/>
  <c r="BP37" i="2"/>
  <c r="BP49" i="2"/>
  <c r="BP74" i="2"/>
  <c r="BN79" i="2"/>
  <c r="BP121" i="2"/>
  <c r="Z121" i="2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Z142" i="2" s="1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BP340" i="2"/>
  <c r="Y347" i="2"/>
  <c r="U572" i="2"/>
  <c r="Y375" i="2"/>
  <c r="Y410" i="2"/>
  <c r="Y425" i="2"/>
  <c r="Y444" i="2"/>
  <c r="BP483" i="2"/>
  <c r="BP491" i="2"/>
  <c r="Z135" i="2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467" i="2"/>
  <c r="Z68" i="2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BN408" i="2"/>
  <c r="BP421" i="2"/>
  <c r="Z437" i="2"/>
  <c r="Z447" i="2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75" i="2"/>
  <c r="Z185" i="2"/>
  <c r="Y190" i="2"/>
  <c r="Z199" i="2"/>
  <c r="Z210" i="2"/>
  <c r="Z211" i="2" s="1"/>
  <c r="Z220" i="2"/>
  <c r="Z230" i="2"/>
  <c r="Z240" i="2"/>
  <c r="Z241" i="2" s="1"/>
  <c r="Y245" i="2"/>
  <c r="BP260" i="2"/>
  <c r="BN278" i="2"/>
  <c r="Y289" i="2"/>
  <c r="BN311" i="2"/>
  <c r="Y314" i="2"/>
  <c r="BN322" i="2"/>
  <c r="Z344" i="2"/>
  <c r="BP360" i="2"/>
  <c r="Z369" i="2"/>
  <c r="Z379" i="2"/>
  <c r="Z389" i="2"/>
  <c r="BN401" i="2"/>
  <c r="Y404" i="2"/>
  <c r="Z422" i="2"/>
  <c r="Z428" i="2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Z341" i="2" l="1"/>
  <c r="Z431" i="2"/>
  <c r="Z167" i="2"/>
  <c r="Z27" i="2"/>
  <c r="Z235" i="2"/>
  <c r="Z81" i="2"/>
  <c r="Z137" i="2"/>
  <c r="Z122" i="2"/>
  <c r="Z416" i="2"/>
  <c r="Z363" i="2"/>
  <c r="Z91" i="2"/>
  <c r="Z391" i="2"/>
  <c r="Z374" i="2"/>
  <c r="Z347" i="2"/>
  <c r="Z186" i="2"/>
  <c r="Z450" i="2"/>
  <c r="Z397" i="2"/>
  <c r="Z410" i="2"/>
  <c r="Z252" i="2"/>
  <c r="Z424" i="2"/>
  <c r="Z384" i="2"/>
  <c r="Z181" i="2"/>
  <c r="Z488" i="2"/>
  <c r="Z70" i="2"/>
  <c r="Y563" i="2"/>
  <c r="Z283" i="2"/>
  <c r="Z444" i="2"/>
  <c r="Y562" i="2"/>
  <c r="Z51" i="2"/>
  <c r="Z162" i="2"/>
  <c r="Z477" i="2"/>
  <c r="Y564" i="2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Y565" i="2" l="1"/>
  <c r="Z567" i="2"/>
</calcChain>
</file>

<file path=xl/sharedStrings.xml><?xml version="1.0" encoding="utf-8"?>
<sst xmlns="http://schemas.openxmlformats.org/spreadsheetml/2006/main" count="4249" uniqueCount="898">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</sst>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46327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880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Воскресенье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4.1666666666666664E-2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300</v>
      </c>
      <c r="Y47" s="55">
        <f>IFERROR(IF(X47="",0,CEILING((X47/$H47),1)*$H47),"")</f>
        <v>302.40000000000003</v>
      </c>
      <c r="Z47" s="41">
        <f>IFERROR(IF(Y47=0,"",ROUNDUP(Y47/H47,0)*0.01898),"")</f>
        <v>0.53144000000000002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311.38888888888891</v>
      </c>
      <c r="BN47" s="78">
        <f>IFERROR(Y47*I47/H47,"0")</f>
        <v>313.88</v>
      </c>
      <c r="BO47" s="78">
        <f>IFERROR(1/J47*(X47/H47),"0")</f>
        <v>0.43402777777777773</v>
      </c>
      <c r="BP47" s="78">
        <f>IFERROR(1/J47*(Y47/H47),"0")</f>
        <v>0.4375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72</v>
      </c>
      <c r="Y49" s="55">
        <f>IFERROR(IF(X49="",0,CEILING((X49/$H49),1)*$H49),"")</f>
        <v>72</v>
      </c>
      <c r="Z49" s="41">
        <f>IFERROR(IF(Y49=0,"",ROUNDUP(Y49/H49,0)*0.00902),"")</f>
        <v>0.16236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75.42</v>
      </c>
      <c r="BN49" s="78">
        <f>IFERROR(Y49*I49/H49,"0")</f>
        <v>75.42</v>
      </c>
      <c r="BO49" s="78">
        <f>IFERROR(1/J49*(X49/H49),"0")</f>
        <v>0.13636363636363635</v>
      </c>
      <c r="BP49" s="78">
        <f>IFERROR(1/J49*(Y49/H49),"0")</f>
        <v>0.13636363636363635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45.777777777777771</v>
      </c>
      <c r="Y51" s="43">
        <f>IFERROR(Y47/H47,"0")+IFERROR(Y48/H48,"0")+IFERROR(Y49/H49,"0")+IFERROR(Y50/H50,"0")</f>
        <v>46</v>
      </c>
      <c r="Z51" s="43">
        <f>IFERROR(IF(Z47="",0,Z47),"0")+IFERROR(IF(Z48="",0,Z48),"0")+IFERROR(IF(Z49="",0,Z49),"0")+IFERROR(IF(Z50="",0,Z50),"0")</f>
        <v>0.69379999999999997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372</v>
      </c>
      <c r="Y52" s="43">
        <f>IFERROR(SUM(Y47:Y50),"0")</f>
        <v>374.40000000000003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60</v>
      </c>
      <c r="Y56" s="55">
        <f t="shared" si="0"/>
        <v>64.800000000000011</v>
      </c>
      <c r="Z56" s="41">
        <f>IFERROR(IF(Y56=0,"",ROUNDUP(Y56/H56,0)*0.01898),"")</f>
        <v>0.11388000000000001</v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62.277777777777779</v>
      </c>
      <c r="BN56" s="78">
        <f t="shared" si="2"/>
        <v>67.260000000000005</v>
      </c>
      <c r="BO56" s="78">
        <f t="shared" si="3"/>
        <v>8.6805555555555552E-2</v>
      </c>
      <c r="BP56" s="78">
        <f t="shared" si="4"/>
        <v>9.3750000000000014E-2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54</v>
      </c>
      <c r="Y62" s="55">
        <f t="shared" si="0"/>
        <v>54</v>
      </c>
      <c r="Z62" s="41">
        <f>IFERROR(IF(Y62=0,"",ROUNDUP(Y62/H62,0)*0.00902),"")</f>
        <v>0.10824</v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56.28</v>
      </c>
      <c r="BN62" s="78">
        <f t="shared" si="2"/>
        <v>56.28</v>
      </c>
      <c r="BO62" s="78">
        <f t="shared" si="3"/>
        <v>9.0909090909090912E-2</v>
      </c>
      <c r="BP62" s="78">
        <f t="shared" si="4"/>
        <v>9.0909090909090912E-2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17.555555555555557</v>
      </c>
      <c r="Y63" s="43">
        <f>IFERROR(Y55/H55,"0")+IFERROR(Y56/H56,"0")+IFERROR(Y57/H57,"0")+IFERROR(Y58/H58,"0")+IFERROR(Y59/H59,"0")+IFERROR(Y60/H60,"0")+IFERROR(Y61/H61,"0")+IFERROR(Y62/H62,"0")</f>
        <v>18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0.22212000000000001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114</v>
      </c>
      <c r="Y64" s="43">
        <f>IFERROR(SUM(Y55:Y62),"0")</f>
        <v>118.80000000000001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120</v>
      </c>
      <c r="Y66" s="55">
        <f>IFERROR(IF(X66="",0,CEILING((X66/$H66),1)*$H66),"")</f>
        <v>129.60000000000002</v>
      </c>
      <c r="Z66" s="41">
        <f>IFERROR(IF(Y66=0,"",ROUNDUP(Y66/H66,0)*0.01898),"")</f>
        <v>0.22776000000000002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124.55555555555556</v>
      </c>
      <c r="BN66" s="78">
        <f>IFERROR(Y66*I66/H66,"0")</f>
        <v>134.52000000000001</v>
      </c>
      <c r="BO66" s="78">
        <f>IFERROR(1/J66*(X66/H66),"0")</f>
        <v>0.1736111111111111</v>
      </c>
      <c r="BP66" s="78">
        <f>IFERROR(1/J66*(Y66/H66),"0")</f>
        <v>0.18750000000000003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54</v>
      </c>
      <c r="Y69" s="55">
        <f>IFERROR(IF(X69="",0,CEILING((X69/$H69),1)*$H69),"")</f>
        <v>54</v>
      </c>
      <c r="Z69" s="41">
        <f>IFERROR(IF(Y69=0,"",ROUNDUP(Y69/H69,0)*0.00651),"")</f>
        <v>0.13020000000000001</v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57.599999999999987</v>
      </c>
      <c r="BN69" s="78">
        <f>IFERROR(Y69*I69/H69,"0")</f>
        <v>57.599999999999987</v>
      </c>
      <c r="BO69" s="78">
        <f>IFERROR(1/J69*(X69/H69),"0")</f>
        <v>0.1098901098901099</v>
      </c>
      <c r="BP69" s="78">
        <f>IFERROR(1/J69*(Y69/H69),"0")</f>
        <v>0.1098901098901099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31.111111111111111</v>
      </c>
      <c r="Y70" s="43">
        <f>IFERROR(Y66/H66,"0")+IFERROR(Y67/H67,"0")+IFERROR(Y68/H68,"0")+IFERROR(Y69/H69,"0")</f>
        <v>32</v>
      </c>
      <c r="Z70" s="43">
        <f>IFERROR(IF(Z66="",0,Z66),"0")+IFERROR(IF(Z67="",0,Z67),"0")+IFERROR(IF(Z68="",0,Z68),"0")+IFERROR(IF(Z69="",0,Z69),"0")</f>
        <v>0.35796000000000006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174</v>
      </c>
      <c r="Y71" s="43">
        <f>IFERROR(SUM(Y66:Y69),"0")</f>
        <v>183.60000000000002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60</v>
      </c>
      <c r="Y78" s="55">
        <f>IFERROR(IF(X78="",0,CEILING((X78/$H78),1)*$H78),"")</f>
        <v>62.4</v>
      </c>
      <c r="Z78" s="41">
        <f>IFERROR(IF(Y78=0,"",ROUNDUP(Y78/H78,0)*0.01898),"")</f>
        <v>0.15184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63.15384615384616</v>
      </c>
      <c r="BN78" s="78">
        <f>IFERROR(Y78*I78/H78,"0")</f>
        <v>65.680000000000007</v>
      </c>
      <c r="BO78" s="78">
        <f>IFERROR(1/J78*(X78/H78),"0")</f>
        <v>0.1201923076923077</v>
      </c>
      <c r="BP78" s="78">
        <f>IFERROR(1/J78*(Y78/H78),"0")</f>
        <v>0.125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7.6923076923076925</v>
      </c>
      <c r="Y81" s="43">
        <f>IFERROR(Y78/H78,"0")+IFERROR(Y79/H79,"0")+IFERROR(Y80/H80,"0")</f>
        <v>8</v>
      </c>
      <c r="Z81" s="43">
        <f>IFERROR(IF(Z78="",0,Z78),"0")+IFERROR(IF(Z79="",0,Z79),"0")+IFERROR(IF(Z80="",0,Z80),"0")</f>
        <v>0.15184</v>
      </c>
      <c r="AA81" s="67"/>
      <c r="AB81" s="67"/>
      <c r="AC81" s="67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60</v>
      </c>
      <c r="Y82" s="43">
        <f>IFERROR(SUM(Y78:Y80),"0")</f>
        <v>62.4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250</v>
      </c>
      <c r="Y85" s="55">
        <f t="shared" ref="Y85:Y90" si="5">IFERROR(IF(X85="",0,CEILING((X85/$H85),1)*$H85),"")</f>
        <v>259.20000000000005</v>
      </c>
      <c r="Z85" s="41">
        <f>IFERROR(IF(Y85=0,"",ROUNDUP(Y85/H85,0)*0.01898),"")</f>
        <v>0.45552000000000004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259.4907407407407</v>
      </c>
      <c r="BN85" s="78">
        <f t="shared" ref="BN85:BN90" si="7">IFERROR(Y85*I85/H85,"0")</f>
        <v>269.04000000000002</v>
      </c>
      <c r="BO85" s="78">
        <f t="shared" ref="BO85:BO90" si="8">IFERROR(1/J85*(X85/H85),"0")</f>
        <v>0.36168981481481477</v>
      </c>
      <c r="BP85" s="78">
        <f t="shared" ref="BP85:BP90" si="9">IFERROR(1/J85*(Y85/H85),"0")</f>
        <v>0.37500000000000006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36</v>
      </c>
      <c r="Y90" s="55">
        <f t="shared" si="5"/>
        <v>36</v>
      </c>
      <c r="Z90" s="41">
        <f>IFERROR(IF(Y90=0,"",ROUNDUP(Y90/H90,0)*0.00902),"")</f>
        <v>7.2160000000000002E-2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37.520000000000003</v>
      </c>
      <c r="BN90" s="78">
        <f t="shared" si="7"/>
        <v>37.520000000000003</v>
      </c>
      <c r="BO90" s="78">
        <f t="shared" si="8"/>
        <v>6.0606060606060608E-2</v>
      </c>
      <c r="BP90" s="78">
        <f t="shared" si="9"/>
        <v>6.0606060606060608E-2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31.148148148148145</v>
      </c>
      <c r="Y91" s="43">
        <f>IFERROR(Y85/H85,"0")+IFERROR(Y86/H86,"0")+IFERROR(Y87/H87,"0")+IFERROR(Y88/H88,"0")+IFERROR(Y89/H89,"0")+IFERROR(Y90/H90,"0")</f>
        <v>32</v>
      </c>
      <c r="Z91" s="43">
        <f>IFERROR(IF(Z85="",0,Z85),"0")+IFERROR(IF(Z86="",0,Z86),"0")+IFERROR(IF(Z87="",0,Z87),"0")+IFERROR(IF(Z88="",0,Z88),"0")+IFERROR(IF(Z89="",0,Z89),"0")+IFERROR(IF(Z90="",0,Z90),"0")</f>
        <v>0.52768000000000004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286</v>
      </c>
      <c r="Y92" s="43">
        <f>IFERROR(SUM(Y85:Y90),"0")</f>
        <v>295.20000000000005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200</v>
      </c>
      <c r="Y94" s="55">
        <f>IFERROR(IF(X94="",0,CEILING((X94/$H94),1)*$H94),"")</f>
        <v>202.5</v>
      </c>
      <c r="Z94" s="41">
        <f>IFERROR(IF(Y94=0,"",ROUNDUP(Y94/H94,0)*0.01898),"")</f>
        <v>0.47450000000000003</v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212.19753086419755</v>
      </c>
      <c r="BN94" s="78">
        <f>IFERROR(Y94*I94/H94,"0")</f>
        <v>214.85</v>
      </c>
      <c r="BO94" s="78">
        <f>IFERROR(1/J94*(X94/H94),"0")</f>
        <v>0.38580246913580246</v>
      </c>
      <c r="BP94" s="78">
        <f>IFERROR(1/J94*(Y94/H94),"0")</f>
        <v>0.390625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27</v>
      </c>
      <c r="Y96" s="55">
        <f>IFERROR(IF(X96="",0,CEILING((X96/$H96),1)*$H96),"")</f>
        <v>27</v>
      </c>
      <c r="Z96" s="41">
        <f>IFERROR(IF(Y96=0,"",ROUNDUP(Y96/H96,0)*0.00651),"")</f>
        <v>6.5100000000000005E-2</v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29.519999999999996</v>
      </c>
      <c r="BN96" s="78">
        <f>IFERROR(Y96*I96/H96,"0")</f>
        <v>29.519999999999996</v>
      </c>
      <c r="BO96" s="78">
        <f>IFERROR(1/J96*(X96/H96),"0")</f>
        <v>5.4945054945054951E-2</v>
      </c>
      <c r="BP96" s="78">
        <f>IFERROR(1/J96*(Y96/H96),"0")</f>
        <v>5.4945054945054951E-2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34.691358024691354</v>
      </c>
      <c r="Y98" s="43">
        <f>IFERROR(Y94/H94,"0")+IFERROR(Y95/H95,"0")+IFERROR(Y96/H96,"0")+IFERROR(Y97/H97,"0")</f>
        <v>35</v>
      </c>
      <c r="Z98" s="43">
        <f>IFERROR(IF(Z94="",0,Z94),"0")+IFERROR(IF(Z95="",0,Z95),"0")+IFERROR(IF(Z96="",0,Z96),"0")+IFERROR(IF(Z97="",0,Z97),"0")</f>
        <v>0.53960000000000008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227</v>
      </c>
      <c r="Y99" s="43">
        <f>IFERROR(SUM(Y94:Y97),"0")</f>
        <v>229.5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250</v>
      </c>
      <c r="Y102" s="55">
        <f t="shared" ref="Y102:Y108" si="10">IFERROR(IF(X102="",0,CEILING((X102/$H102),1)*$H102),"")</f>
        <v>259.20000000000005</v>
      </c>
      <c r="Z102" s="41">
        <f>IFERROR(IF(Y102=0,"",ROUNDUP(Y102/H102,0)*0.01898),"")</f>
        <v>0.45552000000000004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259.4907407407407</v>
      </c>
      <c r="BN102" s="78">
        <f t="shared" ref="BN102:BN108" si="12">IFERROR(Y102*I102/H102,"0")</f>
        <v>269.04000000000002</v>
      </c>
      <c r="BO102" s="78">
        <f t="shared" ref="BO102:BO108" si="13">IFERROR(1/J102*(X102/H102),"0")</f>
        <v>0.36168981481481477</v>
      </c>
      <c r="BP102" s="78">
        <f t="shared" ref="BP102:BP108" si="14">IFERROR(1/J102*(Y102/H102),"0")</f>
        <v>0.37500000000000006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23.148148148148145</v>
      </c>
      <c r="Y109" s="43">
        <f>IFERROR(Y102/H102,"0")+IFERROR(Y103/H103,"0")+IFERROR(Y104/H104,"0")+IFERROR(Y105/H105,"0")+IFERROR(Y106/H106,"0")+IFERROR(Y107/H107,"0")+IFERROR(Y108/H108,"0")</f>
        <v>24.000000000000004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0.45552000000000004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250</v>
      </c>
      <c r="Y110" s="43">
        <f>IFERROR(SUM(Y102:Y108),"0")</f>
        <v>259.20000000000005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500</v>
      </c>
      <c r="Y118" s="55">
        <f>IFERROR(IF(X118="",0,CEILING((X118/$H118),1)*$H118),"")</f>
        <v>502.2</v>
      </c>
      <c r="Z118" s="41">
        <f>IFERROR(IF(Y118=0,"",ROUNDUP(Y118/H118,0)*0.01898),"")</f>
        <v>1.17676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530.12345679012344</v>
      </c>
      <c r="BN118" s="78">
        <f>IFERROR(Y118*I118/H118,"0")</f>
        <v>532.4559999999999</v>
      </c>
      <c r="BO118" s="78">
        <f>IFERROR(1/J118*(X118/H118),"0")</f>
        <v>0.96450617283950624</v>
      </c>
      <c r="BP118" s="78">
        <f>IFERROR(1/J118*(Y118/H118),"0")</f>
        <v>0.96875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27</v>
      </c>
      <c r="Y120" s="55">
        <f>IFERROR(IF(X120="",0,CEILING((X120/$H120),1)*$H120),"")</f>
        <v>27</v>
      </c>
      <c r="Z120" s="41">
        <f>IFERROR(IF(Y120=0,"",ROUNDUP(Y120/H120,0)*0.00651),"")</f>
        <v>6.5100000000000005E-2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29.519999999999996</v>
      </c>
      <c r="BN120" s="78">
        <f>IFERROR(Y120*I120/H120,"0")</f>
        <v>29.519999999999996</v>
      </c>
      <c r="BO120" s="78">
        <f>IFERROR(1/J120*(X120/H120),"0")</f>
        <v>5.4945054945054951E-2</v>
      </c>
      <c r="BP120" s="78">
        <f>IFERROR(1/J120*(Y120/H120),"0")</f>
        <v>5.4945054945054951E-2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71.728395061728406</v>
      </c>
      <c r="Y122" s="43">
        <f>IFERROR(Y118/H118,"0")+IFERROR(Y119/H119,"0")+IFERROR(Y120/H120,"0")+IFERROR(Y121/H121,"0")</f>
        <v>72</v>
      </c>
      <c r="Z122" s="43">
        <f>IFERROR(IF(Z118="",0,Z118),"0")+IFERROR(IF(Z119="",0,Z119),"0")+IFERROR(IF(Z120="",0,Z120),"0")+IFERROR(IF(Z121="",0,Z121),"0")</f>
        <v>1.24186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527</v>
      </c>
      <c r="Y123" s="43">
        <f>IFERROR(SUM(Y118:Y121),"0")</f>
        <v>529.20000000000005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60</v>
      </c>
      <c r="Y216" s="55">
        <f t="shared" si="26"/>
        <v>63</v>
      </c>
      <c r="Z216" s="41">
        <f>IFERROR(IF(Y216=0,"",ROUNDUP(Y216/H216,0)*0.00902),"")</f>
        <v>0.1353</v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62.714285714285708</v>
      </c>
      <c r="BN216" s="78">
        <f t="shared" si="28"/>
        <v>65.849999999999994</v>
      </c>
      <c r="BO216" s="78">
        <f t="shared" si="29"/>
        <v>0.10822510822510822</v>
      </c>
      <c r="BP216" s="78">
        <f t="shared" si="30"/>
        <v>0.11363636363636365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14.285714285714285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0.1353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60</v>
      </c>
      <c r="Y228" s="43">
        <f>IFERROR(SUM(Y214:Y226),"0")</f>
        <v>63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150</v>
      </c>
      <c r="Y260" s="55">
        <f t="shared" ref="Y260:Y267" si="31">IFERROR(IF(X260="",0,CEILING((X260/$H260),1)*$H260),"")</f>
        <v>151.20000000000002</v>
      </c>
      <c r="Z260" s="41">
        <f>IFERROR(IF(Y260=0,"",ROUNDUP(Y260/H260,0)*0.00902),"")</f>
        <v>0.25256000000000001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155.27777777777777</v>
      </c>
      <c r="BN260" s="78">
        <f t="shared" ref="BN260:BN267" si="33">IFERROR(Y260*I260/H260,"0")</f>
        <v>156.52000000000001</v>
      </c>
      <c r="BO260" s="78">
        <f t="shared" ref="BO260:BO267" si="34">IFERROR(1/J260*(X260/H260),"0")</f>
        <v>0.21043771043771042</v>
      </c>
      <c r="BP260" s="78">
        <f t="shared" ref="BP260:BP267" si="35">IFERROR(1/J260*(Y260/H260),"0")</f>
        <v>0.21212121212121213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150</v>
      </c>
      <c r="Y262" s="55">
        <f t="shared" si="31"/>
        <v>151.20000000000002</v>
      </c>
      <c r="Z262" s="41">
        <f>IFERROR(IF(Y262=0,"",ROUNDUP(Y262/H262,0)*0.00902),"")</f>
        <v>0.25256000000000001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155.27777777777777</v>
      </c>
      <c r="BN262" s="78">
        <f t="shared" si="33"/>
        <v>156.52000000000001</v>
      </c>
      <c r="BO262" s="78">
        <f t="shared" si="34"/>
        <v>0.21043771043771042</v>
      </c>
      <c r="BP262" s="78">
        <f t="shared" si="35"/>
        <v>0.21212121212121213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150</v>
      </c>
      <c r="Y263" s="55">
        <f t="shared" si="31"/>
        <v>151.20000000000002</v>
      </c>
      <c r="Z263" s="41">
        <f>IFERROR(IF(Y263=0,"",ROUNDUP(Y263/H263,0)*0.00902),"")</f>
        <v>0.25256000000000001</v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155.27777777777777</v>
      </c>
      <c r="BN263" s="78">
        <f t="shared" si="33"/>
        <v>156.52000000000001</v>
      </c>
      <c r="BO263" s="78">
        <f t="shared" si="34"/>
        <v>0.21043771043771042</v>
      </c>
      <c r="BP263" s="78">
        <f t="shared" si="35"/>
        <v>0.21212121212121213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83.333333333333329</v>
      </c>
      <c r="Y268" s="43">
        <f>IFERROR(Y260/H260,"0")+IFERROR(Y261/H261,"0")+IFERROR(Y262/H262,"0")+IFERROR(Y263/H263,"0")+IFERROR(Y264/H264,"0")+IFERROR(Y265/H265,"0")+IFERROR(Y266/H266,"0")+IFERROR(Y267/H267,"0")</f>
        <v>84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0.75768000000000002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450</v>
      </c>
      <c r="Y269" s="43">
        <f>IFERROR(SUM(Y260:Y267),"0")</f>
        <v>453.6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48</v>
      </c>
      <c r="Y275" s="55">
        <f t="shared" si="36"/>
        <v>48</v>
      </c>
      <c r="Z275" s="41">
        <f>IFERROR(IF(Y275=0,"",ROUNDUP(Y275/H275,0)*0.00651),"")</f>
        <v>0.13020000000000001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53.4</v>
      </c>
      <c r="BN275" s="78">
        <f t="shared" si="38"/>
        <v>53.4</v>
      </c>
      <c r="BO275" s="78">
        <f t="shared" si="39"/>
        <v>0.1098901098901099</v>
      </c>
      <c r="BP275" s="78">
        <f t="shared" si="40"/>
        <v>0.1098901098901099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48</v>
      </c>
      <c r="Y279" s="55">
        <f t="shared" si="36"/>
        <v>48</v>
      </c>
      <c r="Z279" s="41">
        <f>IFERROR(IF(Y279=0,"",ROUNDUP(Y279/H279,0)*0.00651),"")</f>
        <v>0.13020000000000001</v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53.040000000000006</v>
      </c>
      <c r="BN279" s="78">
        <f t="shared" si="38"/>
        <v>53.040000000000006</v>
      </c>
      <c r="BO279" s="78">
        <f t="shared" si="39"/>
        <v>0.1098901098901099</v>
      </c>
      <c r="BP279" s="78">
        <f t="shared" si="40"/>
        <v>0.1098901098901099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48</v>
      </c>
      <c r="Y281" s="55">
        <f t="shared" si="36"/>
        <v>48</v>
      </c>
      <c r="Z281" s="41">
        <f>IFERROR(IF(Y281=0,"",ROUNDUP(Y281/H281,0)*0.00651),"")</f>
        <v>0.13020000000000001</v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53.160000000000004</v>
      </c>
      <c r="BN281" s="78">
        <f t="shared" si="38"/>
        <v>53.160000000000004</v>
      </c>
      <c r="BO281" s="78">
        <f t="shared" si="39"/>
        <v>0.1098901098901099</v>
      </c>
      <c r="BP281" s="78">
        <f t="shared" si="40"/>
        <v>0.1098901098901099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60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60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0.39060000000000006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144</v>
      </c>
      <c r="Y284" s="43">
        <f>IFERROR(SUM(Y271:Y282),"0")</f>
        <v>144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100</v>
      </c>
      <c r="Y377" s="55">
        <f t="shared" ref="Y377:Y383" si="57">IFERROR(IF(X377="",0,CEILING((X377/$H377),1)*$H377),"")</f>
        <v>100.80000000000001</v>
      </c>
      <c r="Z377" s="41">
        <f>IFERROR(IF(Y377=0,"",ROUNDUP(Y377/H377,0)*0.00902),"")</f>
        <v>0.21648000000000001</v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105.95238095238095</v>
      </c>
      <c r="BN377" s="78">
        <f t="shared" ref="BN377:BN383" si="59">IFERROR(Y377*I377/H377,"0")</f>
        <v>106.80000000000001</v>
      </c>
      <c r="BO377" s="78">
        <f t="shared" ref="BO377:BO383" si="60">IFERROR(1/J377*(X377/H377),"0")</f>
        <v>0.18037518037518038</v>
      </c>
      <c r="BP377" s="78">
        <f t="shared" ref="BP377:BP383" si="61">IFERROR(1/J377*(Y377/H377),"0")</f>
        <v>0.18181818181818182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23.80952380952381</v>
      </c>
      <c r="Y384" s="43">
        <f>IFERROR(Y377/H377,"0")+IFERROR(Y378/H378,"0")+IFERROR(Y379/H379,"0")+IFERROR(Y380/H380,"0")+IFERROR(Y381/H381,"0")+IFERROR(Y382/H382,"0")+IFERROR(Y383/H383,"0")</f>
        <v>24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0.21648000000000001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100</v>
      </c>
      <c r="Y385" s="43">
        <f>IFERROR(SUM(Y377:Y383),"0")</f>
        <v>100.80000000000001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160</v>
      </c>
      <c r="Y394" s="55">
        <f>IFERROR(IF(X394="",0,CEILING((X394/$H394),1)*$H394),"")</f>
        <v>168</v>
      </c>
      <c r="Z394" s="41">
        <f>IFERROR(IF(Y394=0,"",ROUNDUP(Y394/H394,0)*0.01898),"")</f>
        <v>0.37959999999999999</v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169.40952380952379</v>
      </c>
      <c r="BN394" s="78">
        <f>IFERROR(Y394*I394/H394,"0")</f>
        <v>177.88</v>
      </c>
      <c r="BO394" s="78">
        <f>IFERROR(1/J394*(X394/H394),"0")</f>
        <v>0.29761904761904762</v>
      </c>
      <c r="BP394" s="78">
        <f>IFERROR(1/J394*(Y394/H394),"0")</f>
        <v>0.3125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300</v>
      </c>
      <c r="Y395" s="55">
        <f>IFERROR(IF(X395="",0,CEILING((X395/$H395),1)*$H395),"")</f>
        <v>304.2</v>
      </c>
      <c r="Z395" s="41">
        <f>IFERROR(IF(Y395=0,"",ROUNDUP(Y395/H395,0)*0.01898),"")</f>
        <v>0.74021999999999999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319.00000000000006</v>
      </c>
      <c r="BN395" s="78">
        <f>IFERROR(Y395*I395/H395,"0")</f>
        <v>323.46600000000001</v>
      </c>
      <c r="BO395" s="78">
        <f>IFERROR(1/J395*(X395/H395),"0")</f>
        <v>0.60096153846153844</v>
      </c>
      <c r="BP395" s="78">
        <f>IFERROR(1/J395*(Y395/H395),"0")</f>
        <v>0.609375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150</v>
      </c>
      <c r="Y396" s="55">
        <f>IFERROR(IF(X396="",0,CEILING((X396/$H396),1)*$H396),"")</f>
        <v>151.20000000000002</v>
      </c>
      <c r="Z396" s="41">
        <f>IFERROR(IF(Y396=0,"",ROUNDUP(Y396/H396,0)*0.01898),"")</f>
        <v>0.34164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158.82142857142856</v>
      </c>
      <c r="BN396" s="78">
        <f>IFERROR(Y396*I396/H396,"0")</f>
        <v>160.09200000000001</v>
      </c>
      <c r="BO396" s="78">
        <f>IFERROR(1/J396*(X396/H396),"0")</f>
        <v>0.27901785714285715</v>
      </c>
      <c r="BP396" s="78">
        <f>IFERROR(1/J396*(Y396/H396),"0")</f>
        <v>0.28125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75.366300366300365</v>
      </c>
      <c r="Y397" s="43">
        <f>IFERROR(Y394/H394,"0")+IFERROR(Y395/H395,"0")+IFERROR(Y396/H396,"0")</f>
        <v>77</v>
      </c>
      <c r="Z397" s="43">
        <f>IFERROR(IF(Z394="",0,Z394),"0")+IFERROR(IF(Z395="",0,Z395),"0")+IFERROR(IF(Z396="",0,Z396),"0")</f>
        <v>1.46146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610</v>
      </c>
      <c r="Y398" s="43">
        <f>IFERROR(SUM(Y394:Y396),"0")</f>
        <v>623.4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42</v>
      </c>
      <c r="Y429" s="55">
        <f>IFERROR(IF(X429="",0,CEILING((X429/$H429),1)*$H429),"")</f>
        <v>42</v>
      </c>
      <c r="Z429" s="41">
        <f>IFERROR(IF(Y429=0,"",ROUNDUP(Y429/H429,0)*0.00651),"")</f>
        <v>0.13020000000000001</v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47.039999999999992</v>
      </c>
      <c r="BN429" s="78">
        <f>IFERROR(Y429*I429/H429,"0")</f>
        <v>47.039999999999992</v>
      </c>
      <c r="BO429" s="78">
        <f>IFERROR(1/J429*(X429/H429),"0")</f>
        <v>0.1098901098901099</v>
      </c>
      <c r="BP429" s="78">
        <f>IFERROR(1/J429*(Y429/H429),"0")</f>
        <v>0.1098901098901099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20</v>
      </c>
      <c r="Y431" s="43">
        <f>IFERROR(Y428/H428,"0")+IFERROR(Y429/H429,"0")+IFERROR(Y430/H430,"0")</f>
        <v>20</v>
      </c>
      <c r="Z431" s="43">
        <f>IFERROR(IF(Z428="",0,Z428),"0")+IFERROR(IF(Z429="",0,Z429),"0")+IFERROR(IF(Z430="",0,Z430),"0")</f>
        <v>0.13020000000000001</v>
      </c>
      <c r="AA431" s="67"/>
      <c r="AB431" s="67"/>
      <c r="AC431" s="67"/>
    </row>
    <row r="432" spans="1:68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42</v>
      </c>
      <c r="Y432" s="43">
        <f>IFERROR(SUM(Y428:Y430),"0")</f>
        <v>42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hidden="1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2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0</v>
      </c>
      <c r="BN437" s="78">
        <f t="shared" si="64"/>
        <v>0</v>
      </c>
      <c r="BO437" s="78">
        <f t="shared" si="65"/>
        <v>0</v>
      </c>
      <c r="BP437" s="78">
        <f t="shared" si="66"/>
        <v>0</v>
      </c>
    </row>
    <row r="438" spans="1:68" ht="27" hidden="1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2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0</v>
      </c>
      <c r="BN438" s="78">
        <f t="shared" si="64"/>
        <v>0</v>
      </c>
      <c r="BO438" s="78">
        <f t="shared" si="65"/>
        <v>0</v>
      </c>
      <c r="BP438" s="78">
        <f t="shared" si="66"/>
        <v>0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62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515.66666666666663</v>
      </c>
      <c r="BN439" s="78">
        <f t="shared" si="64"/>
        <v>525.98</v>
      </c>
      <c r="BO439" s="78">
        <f t="shared" si="65"/>
        <v>0.69444444444444442</v>
      </c>
      <c r="BP439" s="78">
        <f t="shared" si="66"/>
        <v>0.70833333333333326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33.333333333333336</v>
      </c>
      <c r="Y444" s="43">
        <f>IFERROR(Y436/H436,"0")+IFERROR(Y437/H437,"0")+IFERROR(Y438/H438,"0")+IFERROR(Y439/H439,"0")+IFERROR(Y440/H440,"0")+IFERROR(Y441/H441,"0")+IFERROR(Y442/H442,"0")+IFERROR(Y443/H443,"0")</f>
        <v>34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0.73949999999999994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500</v>
      </c>
      <c r="Y445" s="43">
        <f>IFERROR(SUM(Y436:Y443),"0")</f>
        <v>510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hidden="1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200</v>
      </c>
      <c r="Y460" s="55">
        <f>IFERROR(IF(X460="",0,CEILING((X460/$H460),1)*$H460),"")</f>
        <v>207</v>
      </c>
      <c r="Z460" s="41">
        <f>IFERROR(IF(Y460=0,"",ROUNDUP(Y460/H460,0)*0.01898),"")</f>
        <v>0.43653999999999998</v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210.97777777777776</v>
      </c>
      <c r="BN460" s="78">
        <f>IFERROR(Y460*I460/H460,"0")</f>
        <v>218.36199999999999</v>
      </c>
      <c r="BO460" s="78">
        <f>IFERROR(1/J460*(X460/H460),"0")</f>
        <v>0.34722222222222221</v>
      </c>
      <c r="BP460" s="78">
        <f>IFERROR(1/J460*(Y460/H460),"0")</f>
        <v>0.359375</v>
      </c>
    </row>
    <row r="461" spans="1:68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22.222222222222221</v>
      </c>
      <c r="Y461" s="43">
        <f>IFERROR(Y459/H459,"0")+IFERROR(Y460/H460,"0")</f>
        <v>23</v>
      </c>
      <c r="Z461" s="43">
        <f>IFERROR(IF(Z459="",0,Z459),"0")+IFERROR(IF(Z460="",0,Z460),"0")</f>
        <v>0.43653999999999998</v>
      </c>
      <c r="AA461" s="67"/>
      <c r="AB461" s="67"/>
      <c r="AC461" s="67"/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200</v>
      </c>
      <c r="Y462" s="43">
        <f>IFERROR(SUM(Y459:Y460),"0")</f>
        <v>207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150</v>
      </c>
      <c r="Y470" s="55">
        <f>IFERROR(IF(X470="",0,CEILING((X470/$H470),1)*$H470),"")</f>
        <v>151.20000000000002</v>
      </c>
      <c r="Z470" s="41">
        <f>IFERROR(IF(Y470=0,"",ROUNDUP(Y470/H470,0)*0.00902),"")</f>
        <v>0.32472000000000001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158.92857142857142</v>
      </c>
      <c r="BN470" s="78">
        <f>IFERROR(Y470*I470/H470,"0")</f>
        <v>160.20000000000002</v>
      </c>
      <c r="BO470" s="78">
        <f>IFERROR(1/J470*(X470/H470),"0")</f>
        <v>0.27056277056277056</v>
      </c>
      <c r="BP470" s="78">
        <f>IFERROR(1/J470*(Y470/H470),"0")</f>
        <v>0.27272727272727271</v>
      </c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35.714285714285715</v>
      </c>
      <c r="Y471" s="43">
        <f>IFERROR(Y470/H470,"0")</f>
        <v>36</v>
      </c>
      <c r="Z471" s="43">
        <f>IFERROR(IF(Z470="",0,Z470),"0")</f>
        <v>0.32472000000000001</v>
      </c>
      <c r="AA471" s="67"/>
      <c r="AB471" s="67"/>
      <c r="AC471" s="67"/>
    </row>
    <row r="472" spans="1:68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150</v>
      </c>
      <c r="Y472" s="43">
        <f>IFERROR(SUM(Y470:Y470),"0")</f>
        <v>151.20000000000002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300</v>
      </c>
      <c r="Y474" s="55">
        <f>IFERROR(IF(X474="",0,CEILING((X474/$H474),1)*$H474),"")</f>
        <v>306</v>
      </c>
      <c r="Z474" s="41">
        <f>IFERROR(IF(Y474=0,"",ROUNDUP(Y474/H474,0)*0.01898),"")</f>
        <v>0.64532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316.46666666666664</v>
      </c>
      <c r="BN474" s="78">
        <f>IFERROR(Y474*I474/H474,"0")</f>
        <v>322.79599999999999</v>
      </c>
      <c r="BO474" s="78">
        <f>IFERROR(1/J474*(X474/H474),"0")</f>
        <v>0.52083333333333337</v>
      </c>
      <c r="BP474" s="78">
        <f>IFERROR(1/J474*(Y474/H474),"0")</f>
        <v>0.53125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33.333333333333336</v>
      </c>
      <c r="Y477" s="43">
        <f>IFERROR(Y474/H474,"0")+IFERROR(Y475/H475,"0")+IFERROR(Y476/H476,"0")</f>
        <v>34</v>
      </c>
      <c r="Z477" s="43">
        <f>IFERROR(IF(Z474="",0,Z474),"0")+IFERROR(IF(Z475="",0,Z475),"0")+IFERROR(IF(Z476="",0,Z476),"0")</f>
        <v>0.64532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300</v>
      </c>
      <c r="Y478" s="43">
        <f>IFERROR(SUM(Y474:Y476),"0")</f>
        <v>306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50</v>
      </c>
      <c r="Y482" s="55">
        <f t="shared" ref="Y482:Y487" si="67">IFERROR(IF(X482="",0,CEILING((X482/$H482),1)*$H482),"")</f>
        <v>54</v>
      </c>
      <c r="Z482" s="41">
        <f>IFERROR(IF(Y482=0,"",ROUNDUP(Y482/H482,0)*0.00902),"")</f>
        <v>9.0200000000000002E-2</v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51.759259259259252</v>
      </c>
      <c r="BN482" s="78">
        <f t="shared" ref="BN482:BN487" si="69">IFERROR(Y482*I482/H482,"0")</f>
        <v>55.9</v>
      </c>
      <c r="BO482" s="78">
        <f t="shared" ref="BO482:BO487" si="70">IFERROR(1/J482*(X482/H482),"0")</f>
        <v>7.0145903479236812E-2</v>
      </c>
      <c r="BP482" s="78">
        <f t="shared" ref="BP482:BP487" si="71">IFERROR(1/J482*(Y482/H482),"0")</f>
        <v>7.575757575757576E-2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9.2592592592592595</v>
      </c>
      <c r="Y488" s="43">
        <f>IFERROR(Y482/H482,"0")+IFERROR(Y483/H483,"0")+IFERROR(Y484/H484,"0")+IFERROR(Y485/H485,"0")+IFERROR(Y486/H486,"0")+IFERROR(Y487/H487,"0")</f>
        <v>10</v>
      </c>
      <c r="Z488" s="43">
        <f>IFERROR(IF(Z482="",0,Z482),"0")+IFERROR(IF(Z483="",0,Z483),"0")+IFERROR(IF(Z484="",0,Z484),"0")+IFERROR(IF(Z485="",0,Z485),"0")+IFERROR(IF(Z486="",0,Z486),"0")+IFERROR(IF(Z487="",0,Z487),"0")</f>
        <v>9.0200000000000002E-2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50</v>
      </c>
      <c r="Y489" s="43">
        <f>IFERROR(SUM(Y482:Y487),"0")</f>
        <v>54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180</v>
      </c>
      <c r="Y500" s="55">
        <f>IFERROR(IF(X500="",0,CEILING((X500/$H500),1)*$H500),"")</f>
        <v>183.60000000000002</v>
      </c>
      <c r="Z500" s="41">
        <f>IFERROR(IF(Y500=0,"",ROUNDUP(Y500/H500,0)*0.00902),"")</f>
        <v>0.30668000000000001</v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186.33333333333331</v>
      </c>
      <c r="BN500" s="78">
        <f>IFERROR(Y500*I500/H500,"0")</f>
        <v>190.06</v>
      </c>
      <c r="BO500" s="78">
        <f>IFERROR(1/J500*(X500/H500),"0")</f>
        <v>0.25252525252525249</v>
      </c>
      <c r="BP500" s="78">
        <f>IFERROR(1/J500*(Y500/H500),"0")</f>
        <v>0.25757575757575757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33.333333333333329</v>
      </c>
      <c r="Y503" s="43">
        <f>IFERROR(Y500/H500,"0")+IFERROR(Y501/H501,"0")+IFERROR(Y502/H502,"0")</f>
        <v>34</v>
      </c>
      <c r="Z503" s="43">
        <f>IFERROR(IF(Z500="",0,Z500),"0")+IFERROR(IF(Z501="",0,Z501),"0")+IFERROR(IF(Z502="",0,Z502),"0")</f>
        <v>0.30668000000000001</v>
      </c>
      <c r="AA503" s="67"/>
      <c r="AB503" s="67"/>
      <c r="AC503" s="67"/>
    </row>
    <row r="504" spans="1:68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180</v>
      </c>
      <c r="Y504" s="43">
        <f>IFERROR(SUM(Y500:Y502),"0")</f>
        <v>183.60000000000002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100</v>
      </c>
      <c r="Y511" s="55">
        <f t="shared" si="72"/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106.62878787878788</v>
      </c>
      <c r="BN511" s="78">
        <f t="shared" si="74"/>
        <v>106.97</v>
      </c>
      <c r="BO511" s="78">
        <f t="shared" si="75"/>
        <v>0.18210955710955709</v>
      </c>
      <c r="BP511" s="78">
        <f t="shared" si="76"/>
        <v>0.18269230769230771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350</v>
      </c>
      <c r="Y512" s="55">
        <f t="shared" si="72"/>
        <v>353.76</v>
      </c>
      <c r="Z512" s="41">
        <f>IFERROR(IF(Y512=0,"",ROUNDUP(Y512/H512,0)*0.01196),"")</f>
        <v>0.80132000000000003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373.20075757575756</v>
      </c>
      <c r="BN512" s="78">
        <f t="shared" si="74"/>
        <v>377.21</v>
      </c>
      <c r="BO512" s="78">
        <f t="shared" si="75"/>
        <v>0.63738344988344986</v>
      </c>
      <c r="BP512" s="78">
        <f t="shared" si="76"/>
        <v>0.64423076923076927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85.22727272727272</v>
      </c>
      <c r="Y516" s="43">
        <f>IFERROR(Y508/H508,"0")+IFERROR(Y509/H509,"0")+IFERROR(Y510/H510,"0")+IFERROR(Y511/H511,"0")+IFERROR(Y512/H512,"0")+IFERROR(Y513/H513,"0")+IFERROR(Y514/H514,"0")+IFERROR(Y515/H515,"0")</f>
        <v>86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1.0285600000000001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450</v>
      </c>
      <c r="Y517" s="43">
        <f>IFERROR(SUM(Y508:Y515),"0")</f>
        <v>454.08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350</v>
      </c>
      <c r="Y519" s="55">
        <f>IFERROR(IF(X519="",0,CEILING((X519/$H519),1)*$H519),"")</f>
        <v>353.76</v>
      </c>
      <c r="Z519" s="41">
        <f>IFERROR(IF(Y519=0,"",ROUNDUP(Y519/H519,0)*0.01196),"")</f>
        <v>0.80132000000000003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373.20075757575756</v>
      </c>
      <c r="BN519" s="78">
        <f>IFERROR(Y519*I519/H519,"0")</f>
        <v>377.21</v>
      </c>
      <c r="BO519" s="78">
        <f>IFERROR(1/J519*(X519/H519),"0")</f>
        <v>0.63738344988344986</v>
      </c>
      <c r="BP519" s="78">
        <f>IFERROR(1/J519*(Y519/H519),"0")</f>
        <v>0.64423076923076927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66.287878787878782</v>
      </c>
      <c r="Y522" s="43">
        <f>IFERROR(Y519/H519,"0")+IFERROR(Y520/H520,"0")+IFERROR(Y521/H521,"0")</f>
        <v>67</v>
      </c>
      <c r="Z522" s="43">
        <f>IFERROR(IF(Z519="",0,Z519),"0")+IFERROR(IF(Z520="",0,Z520),"0")+IFERROR(IF(Z521="",0,Z521),"0")</f>
        <v>0.80132000000000003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350</v>
      </c>
      <c r="Y523" s="43">
        <f>IFERROR(SUM(Y519:Y521),"0")</f>
        <v>353.76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80</v>
      </c>
      <c r="Y525" s="55">
        <f t="shared" ref="Y525:Y531" si="77">IFERROR(IF(X525="",0,CEILING((X525/$H525),1)*$H525),"")</f>
        <v>84.48</v>
      </c>
      <c r="Z525" s="41">
        <f>IFERROR(IF(Y525=0,"",ROUNDUP(Y525/H525,0)*0.01196),"")</f>
        <v>0.19136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85.303030303030297</v>
      </c>
      <c r="BN525" s="78">
        <f t="shared" ref="BN525:BN531" si="79">IFERROR(Y525*I525/H525,"0")</f>
        <v>90.08</v>
      </c>
      <c r="BO525" s="78">
        <f t="shared" ref="BO525:BO531" si="80">IFERROR(1/J525*(X525/H525),"0")</f>
        <v>0.14568764568764569</v>
      </c>
      <c r="BP525" s="78">
        <f t="shared" ref="BP525:BP531" si="81">IFERROR(1/J525*(Y525/H525),"0")</f>
        <v>0.15384615384615385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80</v>
      </c>
      <c r="Y526" s="55">
        <f t="shared" si="77"/>
        <v>84.48</v>
      </c>
      <c r="Z526" s="41">
        <f>IFERROR(IF(Y526=0,"",ROUNDUP(Y526/H526,0)*0.01196),"")</f>
        <v>0.19136</v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85.303030303030297</v>
      </c>
      <c r="BN526" s="78">
        <f t="shared" si="79"/>
        <v>90.08</v>
      </c>
      <c r="BO526" s="78">
        <f t="shared" si="80"/>
        <v>0.14568764568764569</v>
      </c>
      <c r="BP526" s="78">
        <f t="shared" si="81"/>
        <v>0.15384615384615385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80</v>
      </c>
      <c r="Y527" s="55">
        <f t="shared" si="77"/>
        <v>84.48</v>
      </c>
      <c r="Z527" s="41">
        <f>IFERROR(IF(Y527=0,"",ROUNDUP(Y527/H527,0)*0.01196),"")</f>
        <v>0.19136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85.303030303030297</v>
      </c>
      <c r="BN527" s="78">
        <f t="shared" si="79"/>
        <v>90.08</v>
      </c>
      <c r="BO527" s="78">
        <f t="shared" si="80"/>
        <v>0.14568764568764569</v>
      </c>
      <c r="BP527" s="78">
        <f t="shared" si="81"/>
        <v>0.15384615384615385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45.454545454545453</v>
      </c>
      <c r="Y532" s="43">
        <f>IFERROR(Y525/H525,"0")+IFERROR(Y526/H526,"0")+IFERROR(Y527/H527,"0")+IFERROR(Y528/H528,"0")+IFERROR(Y529/H529,"0")+IFERROR(Y530/H530,"0")+IFERROR(Y531/H531,"0")</f>
        <v>48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0.57408000000000003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240</v>
      </c>
      <c r="Y533" s="43">
        <f>IFERROR(SUM(Y525:Y531),"0")</f>
        <v>253.44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150</v>
      </c>
      <c r="Y545" s="55">
        <f>IFERROR(IF(X545="",0,CEILING((X545/$H545),1)*$H545),"")</f>
        <v>151.20000000000002</v>
      </c>
      <c r="Z545" s="41">
        <f>IFERROR(IF(Y545=0,"",ROUNDUP(Y545/H545,0)*0.00902),"")</f>
        <v>0.32472000000000001</v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158.92857142857142</v>
      </c>
      <c r="BN545" s="78">
        <f>IFERROR(Y545*I545/H545,"0")</f>
        <v>160.20000000000002</v>
      </c>
      <c r="BO545" s="78">
        <f>IFERROR(1/J545*(X545/H545),"0")</f>
        <v>0.27056277056277056</v>
      </c>
      <c r="BP545" s="78">
        <f>IFERROR(1/J545*(Y545/H545),"0")</f>
        <v>0.27272727272727271</v>
      </c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35.714285714285715</v>
      </c>
      <c r="Y546" s="43">
        <f>IFERROR(Y545/H545,"0")</f>
        <v>36</v>
      </c>
      <c r="Z546" s="43">
        <f>IFERROR(IF(Z545="",0,Z545),"0")</f>
        <v>0.32472000000000001</v>
      </c>
      <c r="AA546" s="67"/>
      <c r="AB546" s="67"/>
      <c r="AC546" s="67"/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150</v>
      </c>
      <c r="Y547" s="43">
        <f>IFERROR(SUM(Y545:Y545),"0")</f>
        <v>151.20000000000002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500</v>
      </c>
      <c r="Y549" s="55">
        <f>IFERROR(IF(X549="",0,CEILING((X549/$H549),1)*$H549),"")</f>
        <v>504</v>
      </c>
      <c r="Z549" s="41">
        <f>IFERROR(IF(Y549=0,"",ROUNDUP(Y549/H549,0)*0.01898),"")</f>
        <v>1.06288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527.44444444444446</v>
      </c>
      <c r="BN549" s="78">
        <f>IFERROR(Y549*I549/H549,"0")</f>
        <v>531.66399999999999</v>
      </c>
      <c r="BO549" s="78">
        <f>IFERROR(1/J549*(X549/H549),"0")</f>
        <v>0.86805555555555558</v>
      </c>
      <c r="BP549" s="78">
        <f>IFERROR(1/J549*(Y549/H549),"0")</f>
        <v>0.875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55.555555555555557</v>
      </c>
      <c r="Y550" s="43">
        <f>IFERROR(Y549/H549,"0")</f>
        <v>56</v>
      </c>
      <c r="Z550" s="43">
        <f>IFERROR(IF(Z549="",0,Z549),"0")</f>
        <v>1.06288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500</v>
      </c>
      <c r="Y551" s="43">
        <f>IFERROR(SUM(Y549:Y549),"0")</f>
        <v>504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6486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6607.38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6832.3541748375073</v>
      </c>
      <c r="Y563" s="43">
        <f>IFERROR(SUM(BN22:BN559),"0")</f>
        <v>6959.6659999999993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12</v>
      </c>
      <c r="Y564" s="44">
        <f>ROUNDUP(SUM(BP22:BP559),0)</f>
        <v>12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7132.3541748375073</v>
      </c>
      <c r="Y565" s="43">
        <f>GrossWeightTotalR+PalletQtyTotalR*25</f>
        <v>7259.6659999999993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995.08297874964535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1011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13.616619999999999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374.40000000000003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364.8</v>
      </c>
      <c r="F572" s="52">
        <f>IFERROR(Y85*1,"0")+IFERROR(Y86*1,"0")+IFERROR(Y87*1,"0")+IFERROR(Y88*1,"0")+IFERROR(Y89*1,"0")+IFERROR(Y90*1,"0")+IFERROR(Y94*1,"0")+IFERROR(Y95*1,"0")+IFERROR(Y96*1,"0")+IFERROR(Y97*1,"0")</f>
        <v>524.70000000000005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788.40000000000009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63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597.6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724.2</v>
      </c>
      <c r="V572" s="52">
        <f>IFERROR(Y420*1,"0")+IFERROR(Y421*1,"0")+IFERROR(Y422*1,"0")+IFERROR(Y423*1,"0")</f>
        <v>0</v>
      </c>
      <c r="W572" s="52">
        <f>IFERROR(Y428*1,"0")+IFERROR(Y429*1,"0")+IFERROR(Y430*1,"0")</f>
        <v>42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717</v>
      </c>
      <c r="Y572" s="52">
        <f>IFERROR(Y465*1,"0")+IFERROR(Y466*1,"0")+IFERROR(Y470*1,"0")+IFERROR(Y474*1,"0")+IFERROR(Y475*1,"0")+IFERROR(Y476*1,"0")</f>
        <v>457.20000000000005</v>
      </c>
      <c r="Z572" s="52">
        <f>IFERROR(Y482*1,"0")+IFERROR(Y483*1,"0")+IFERROR(Y484*1,"0")+IFERROR(Y485*1,"0")+IFERROR(Y486*1,"0")+IFERROR(Y487*1,"0")+IFERROR(Y491*1,"0")</f>
        <v>54</v>
      </c>
      <c r="AA572" s="52">
        <f>IFERROR(Y496*1,"0")+IFERROR(Y500*1,"0")+IFERROR(Y501*1,"0")+IFERROR(Y502*1,"0")</f>
        <v>183.60000000000002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1061.28</v>
      </c>
      <c r="AC572" s="52">
        <f>IFERROR(Y537*1,"0")+IFERROR(Y541*1,"0")+IFERROR(Y545*1,"0")+IFERROR(Y549*1,"0")+IFERROR(Y553*1,"0")+IFERROR(Y554*1,"0")</f>
        <v>655.20000000000005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4,00"/>
        <filter val="12"/>
        <filter val="120,00"/>
        <filter val="14,29"/>
        <filter val="144,00"/>
        <filter val="150,00"/>
        <filter val="160,00"/>
        <filter val="17,56"/>
        <filter val="174,00"/>
        <filter val="180,00"/>
        <filter val="20,00"/>
        <filter val="200,00"/>
        <filter val="22,22"/>
        <filter val="227,00"/>
        <filter val="23,15"/>
        <filter val="23,81"/>
        <filter val="240,00"/>
        <filter val="250,00"/>
        <filter val="27,00"/>
        <filter val="286,00"/>
        <filter val="300,00"/>
        <filter val="31,11"/>
        <filter val="31,15"/>
        <filter val="33,33"/>
        <filter val="34,69"/>
        <filter val="35,71"/>
        <filter val="350,00"/>
        <filter val="36,00"/>
        <filter val="372,00"/>
        <filter val="42,00"/>
        <filter val="45,45"/>
        <filter val="45,78"/>
        <filter val="450,00"/>
        <filter val="48,00"/>
        <filter val="50,00"/>
        <filter val="500,00"/>
        <filter val="527,00"/>
        <filter val="54,00"/>
        <filter val="55,56"/>
        <filter val="6 486,00"/>
        <filter val="6 832,35"/>
        <filter val="60,00"/>
        <filter val="610,00"/>
        <filter val="66,29"/>
        <filter val="7 132,35"/>
        <filter val="7,69"/>
        <filter val="71,73"/>
        <filter val="72,00"/>
        <filter val="75,37"/>
        <filter val="80,00"/>
        <filter val="83,33"/>
        <filter val="85,23"/>
        <filter val="9,26"/>
        <filter val="995,08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2026-10-29T08:09:40Z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