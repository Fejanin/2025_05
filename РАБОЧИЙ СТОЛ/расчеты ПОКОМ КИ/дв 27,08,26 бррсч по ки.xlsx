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09A54471-AAE9-4756-8269-AE6A6797E3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4,08" sheetId="2" r:id="rId2"/>
  </sheets>
  <definedNames>
    <definedName name="_xlnm._FilterDatabase" localSheetId="0" hidden="1">Sheet!$A$3:$AI$129</definedName>
  </definedNames>
  <calcPr calcId="191029"/>
</workbook>
</file>

<file path=xl/calcChain.xml><?xml version="1.0" encoding="utf-8"?>
<calcChain xmlns="http://schemas.openxmlformats.org/spreadsheetml/2006/main">
  <c r="AI109" i="1" l="1"/>
  <c r="AI110" i="1"/>
  <c r="H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S129" i="1"/>
  <c r="V129" i="1" s="1"/>
  <c r="L129" i="1"/>
  <c r="S128" i="1"/>
  <c r="L128" i="1"/>
  <c r="S127" i="1"/>
  <c r="V127" i="1" s="1"/>
  <c r="L127" i="1"/>
  <c r="S126" i="1"/>
  <c r="V126" i="1" s="1"/>
  <c r="L126" i="1"/>
  <c r="S125" i="1"/>
  <c r="V125" i="1" s="1"/>
  <c r="L125" i="1"/>
  <c r="S124" i="1"/>
  <c r="L124" i="1"/>
  <c r="S123" i="1"/>
  <c r="V123" i="1" s="1"/>
  <c r="L123" i="1"/>
  <c r="F122" i="1"/>
  <c r="E122" i="1"/>
  <c r="S122" i="1" s="1"/>
  <c r="AI122" i="1" s="1"/>
  <c r="S121" i="1"/>
  <c r="V121" i="1" s="1"/>
  <c r="L121" i="1"/>
  <c r="S120" i="1"/>
  <c r="V120" i="1" s="1"/>
  <c r="L120" i="1"/>
  <c r="S119" i="1"/>
  <c r="V119" i="1" s="1"/>
  <c r="L119" i="1"/>
  <c r="S118" i="1"/>
  <c r="V118" i="1" s="1"/>
  <c r="L118" i="1"/>
  <c r="S117" i="1"/>
  <c r="V117" i="1" s="1"/>
  <c r="L117" i="1"/>
  <c r="S116" i="1"/>
  <c r="V116" i="1" s="1"/>
  <c r="L116" i="1"/>
  <c r="S115" i="1"/>
  <c r="V115" i="1" s="1"/>
  <c r="L115" i="1"/>
  <c r="S114" i="1"/>
  <c r="V114" i="1" s="1"/>
  <c r="L114" i="1"/>
  <c r="S113" i="1"/>
  <c r="V113" i="1" s="1"/>
  <c r="L113" i="1"/>
  <c r="S112" i="1"/>
  <c r="V112" i="1" s="1"/>
  <c r="L112" i="1"/>
  <c r="S111" i="1"/>
  <c r="V111" i="1" s="1"/>
  <c r="L111" i="1"/>
  <c r="S110" i="1"/>
  <c r="V110" i="1" s="1"/>
  <c r="L110" i="1"/>
  <c r="S109" i="1"/>
  <c r="V109" i="1" s="1"/>
  <c r="L109" i="1"/>
  <c r="S108" i="1"/>
  <c r="U108" i="1" s="1"/>
  <c r="L108" i="1"/>
  <c r="S107" i="1"/>
  <c r="V107" i="1" s="1"/>
  <c r="L107" i="1"/>
  <c r="S106" i="1"/>
  <c r="L106" i="1"/>
  <c r="S105" i="1"/>
  <c r="V105" i="1" s="1"/>
  <c r="L105" i="1"/>
  <c r="S104" i="1"/>
  <c r="V104" i="1" s="1"/>
  <c r="L104" i="1"/>
  <c r="S103" i="1"/>
  <c r="V103" i="1" s="1"/>
  <c r="L103" i="1"/>
  <c r="S102" i="1"/>
  <c r="L102" i="1"/>
  <c r="S101" i="1"/>
  <c r="L101" i="1"/>
  <c r="S100" i="1"/>
  <c r="V100" i="1" s="1"/>
  <c r="L100" i="1"/>
  <c r="S99" i="1"/>
  <c r="AI99" i="1" s="1"/>
  <c r="L99" i="1"/>
  <c r="S98" i="1"/>
  <c r="V98" i="1" s="1"/>
  <c r="L98" i="1"/>
  <c r="S97" i="1"/>
  <c r="V97" i="1" s="1"/>
  <c r="L97" i="1"/>
  <c r="S96" i="1"/>
  <c r="V96" i="1" s="1"/>
  <c r="L96" i="1"/>
  <c r="S95" i="1"/>
  <c r="V95" i="1" s="1"/>
  <c r="L95" i="1"/>
  <c r="S94" i="1"/>
  <c r="V94" i="1" s="1"/>
  <c r="L94" i="1"/>
  <c r="S93" i="1"/>
  <c r="V93" i="1" s="1"/>
  <c r="L93" i="1"/>
  <c r="S92" i="1"/>
  <c r="V92" i="1" s="1"/>
  <c r="L92" i="1"/>
  <c r="S91" i="1"/>
  <c r="L91" i="1"/>
  <c r="S90" i="1"/>
  <c r="U90" i="1" s="1"/>
  <c r="L90" i="1"/>
  <c r="S89" i="1"/>
  <c r="V89" i="1" s="1"/>
  <c r="L89" i="1"/>
  <c r="S88" i="1"/>
  <c r="V88" i="1" s="1"/>
  <c r="L88" i="1"/>
  <c r="S87" i="1"/>
  <c r="V87" i="1" s="1"/>
  <c r="L87" i="1"/>
  <c r="S86" i="1"/>
  <c r="V86" i="1" s="1"/>
  <c r="L86" i="1"/>
  <c r="S85" i="1"/>
  <c r="V85" i="1" s="1"/>
  <c r="L85" i="1"/>
  <c r="S84" i="1"/>
  <c r="V84" i="1" s="1"/>
  <c r="L84" i="1"/>
  <c r="S83" i="1"/>
  <c r="V83" i="1" s="1"/>
  <c r="L83" i="1"/>
  <c r="S82" i="1"/>
  <c r="U82" i="1" s="1"/>
  <c r="L82" i="1"/>
  <c r="S81" i="1"/>
  <c r="AI81" i="1" s="1"/>
  <c r="L81" i="1"/>
  <c r="S80" i="1"/>
  <c r="AI80" i="1" s="1"/>
  <c r="L80" i="1"/>
  <c r="S79" i="1"/>
  <c r="V79" i="1" s="1"/>
  <c r="L79" i="1"/>
  <c r="S78" i="1"/>
  <c r="T78" i="1" s="1"/>
  <c r="AI78" i="1" s="1"/>
  <c r="L78" i="1"/>
  <c r="S77" i="1"/>
  <c r="L77" i="1"/>
  <c r="S76" i="1"/>
  <c r="U76" i="1" s="1"/>
  <c r="L76" i="1"/>
  <c r="S75" i="1"/>
  <c r="V75" i="1" s="1"/>
  <c r="L75" i="1"/>
  <c r="S74" i="1"/>
  <c r="V74" i="1" s="1"/>
  <c r="L74" i="1"/>
  <c r="S73" i="1"/>
  <c r="V73" i="1" s="1"/>
  <c r="L73" i="1"/>
  <c r="S72" i="1"/>
  <c r="L72" i="1"/>
  <c r="S71" i="1"/>
  <c r="V71" i="1" s="1"/>
  <c r="L71" i="1"/>
  <c r="S70" i="1"/>
  <c r="V70" i="1" s="1"/>
  <c r="L70" i="1"/>
  <c r="S69" i="1"/>
  <c r="U69" i="1" s="1"/>
  <c r="L69" i="1"/>
  <c r="S68" i="1"/>
  <c r="V68" i="1" s="1"/>
  <c r="L68" i="1"/>
  <c r="S67" i="1"/>
  <c r="AI67" i="1" s="1"/>
  <c r="L67" i="1"/>
  <c r="S66" i="1"/>
  <c r="V66" i="1" s="1"/>
  <c r="L66" i="1"/>
  <c r="S65" i="1"/>
  <c r="L65" i="1"/>
  <c r="S64" i="1"/>
  <c r="V64" i="1" s="1"/>
  <c r="L64" i="1"/>
  <c r="S63" i="1"/>
  <c r="V63" i="1" s="1"/>
  <c r="L63" i="1"/>
  <c r="S62" i="1"/>
  <c r="V62" i="1" s="1"/>
  <c r="L62" i="1"/>
  <c r="S61" i="1"/>
  <c r="AI61" i="1" s="1"/>
  <c r="L61" i="1"/>
  <c r="S60" i="1"/>
  <c r="V60" i="1" s="1"/>
  <c r="L60" i="1"/>
  <c r="S59" i="1"/>
  <c r="T59" i="1" s="1"/>
  <c r="AI59" i="1" s="1"/>
  <c r="L59" i="1"/>
  <c r="S58" i="1"/>
  <c r="V58" i="1" s="1"/>
  <c r="L58" i="1"/>
  <c r="S57" i="1"/>
  <c r="V57" i="1" s="1"/>
  <c r="L57" i="1"/>
  <c r="S56" i="1"/>
  <c r="V56" i="1" s="1"/>
  <c r="L56" i="1"/>
  <c r="S55" i="1"/>
  <c r="L55" i="1"/>
  <c r="S54" i="1"/>
  <c r="V54" i="1" s="1"/>
  <c r="L54" i="1"/>
  <c r="AI53" i="1"/>
  <c r="S53" i="1"/>
  <c r="L53" i="1"/>
  <c r="S52" i="1"/>
  <c r="V52" i="1" s="1"/>
  <c r="L52" i="1"/>
  <c r="S51" i="1"/>
  <c r="V51" i="1" s="1"/>
  <c r="L51" i="1"/>
  <c r="S50" i="1"/>
  <c r="V50" i="1" s="1"/>
  <c r="L50" i="1"/>
  <c r="S49" i="1"/>
  <c r="T49" i="1" s="1"/>
  <c r="L49" i="1"/>
  <c r="S48" i="1"/>
  <c r="V48" i="1" s="1"/>
  <c r="L48" i="1"/>
  <c r="S47" i="1"/>
  <c r="V47" i="1" s="1"/>
  <c r="L47" i="1"/>
  <c r="S46" i="1"/>
  <c r="V46" i="1" s="1"/>
  <c r="L46" i="1"/>
  <c r="S45" i="1"/>
  <c r="AI45" i="1" s="1"/>
  <c r="L45" i="1"/>
  <c r="S44" i="1"/>
  <c r="V44" i="1" s="1"/>
  <c r="L44" i="1"/>
  <c r="S43" i="1"/>
  <c r="L43" i="1"/>
  <c r="S42" i="1"/>
  <c r="V42" i="1" s="1"/>
  <c r="L42" i="1"/>
  <c r="S41" i="1"/>
  <c r="V41" i="1" s="1"/>
  <c r="L41" i="1"/>
  <c r="S40" i="1"/>
  <c r="AI40" i="1" s="1"/>
  <c r="L40" i="1"/>
  <c r="S39" i="1"/>
  <c r="V39" i="1" s="1"/>
  <c r="L39" i="1"/>
  <c r="S38" i="1"/>
  <c r="V38" i="1" s="1"/>
  <c r="L38" i="1"/>
  <c r="S37" i="1"/>
  <c r="AI37" i="1" s="1"/>
  <c r="L37" i="1"/>
  <c r="S36" i="1"/>
  <c r="L36" i="1"/>
  <c r="S35" i="1"/>
  <c r="V35" i="1" s="1"/>
  <c r="L35" i="1"/>
  <c r="S34" i="1"/>
  <c r="V34" i="1" s="1"/>
  <c r="L34" i="1"/>
  <c r="S33" i="1"/>
  <c r="V33" i="1" s="1"/>
  <c r="L33" i="1"/>
  <c r="S32" i="1"/>
  <c r="L32" i="1"/>
  <c r="S31" i="1"/>
  <c r="V31" i="1" s="1"/>
  <c r="L31" i="1"/>
  <c r="S30" i="1"/>
  <c r="V30" i="1" s="1"/>
  <c r="L30" i="1"/>
  <c r="S29" i="1"/>
  <c r="V29" i="1" s="1"/>
  <c r="L29" i="1"/>
  <c r="S28" i="1"/>
  <c r="V28" i="1" s="1"/>
  <c r="L28" i="1"/>
  <c r="S27" i="1"/>
  <c r="V27" i="1" s="1"/>
  <c r="L27" i="1"/>
  <c r="S26" i="1"/>
  <c r="V26" i="1" s="1"/>
  <c r="L26" i="1"/>
  <c r="S25" i="1"/>
  <c r="V25" i="1" s="1"/>
  <c r="L25" i="1"/>
  <c r="S24" i="1"/>
  <c r="V24" i="1" s="1"/>
  <c r="L24" i="1"/>
  <c r="S23" i="1"/>
  <c r="V23" i="1" s="1"/>
  <c r="L23" i="1"/>
  <c r="S22" i="1"/>
  <c r="V22" i="1" s="1"/>
  <c r="L22" i="1"/>
  <c r="S21" i="1"/>
  <c r="V21" i="1" s="1"/>
  <c r="L21" i="1"/>
  <c r="S20" i="1"/>
  <c r="V20" i="1" s="1"/>
  <c r="L20" i="1"/>
  <c r="S19" i="1"/>
  <c r="V19" i="1" s="1"/>
  <c r="L19" i="1"/>
  <c r="S18" i="1"/>
  <c r="V18" i="1" s="1"/>
  <c r="L18" i="1"/>
  <c r="S17" i="1"/>
  <c r="V17" i="1" s="1"/>
  <c r="L17" i="1"/>
  <c r="S16" i="1"/>
  <c r="V16" i="1" s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V10" i="1" s="1"/>
  <c r="L10" i="1"/>
  <c r="S9" i="1"/>
  <c r="U9" i="1" s="1"/>
  <c r="L9" i="1"/>
  <c r="S8" i="1"/>
  <c r="L8" i="1"/>
  <c r="S7" i="1"/>
  <c r="L7" i="1"/>
  <c r="S6" i="1"/>
  <c r="V6" i="1" s="1"/>
  <c r="L6" i="1"/>
  <c r="AG5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F5" i="1"/>
  <c r="E5" i="1"/>
  <c r="T28" i="1" l="1"/>
  <c r="T57" i="1"/>
  <c r="V76" i="1"/>
  <c r="T14" i="1"/>
  <c r="AI14" i="1" s="1"/>
  <c r="T19" i="1"/>
  <c r="AI19" i="1" s="1"/>
  <c r="T20" i="1"/>
  <c r="AI20" i="1" s="1"/>
  <c r="AI35" i="1"/>
  <c r="AI56" i="1"/>
  <c r="T79" i="1"/>
  <c r="T87" i="1"/>
  <c r="AI87" i="1" s="1"/>
  <c r="T89" i="1"/>
  <c r="AI114" i="1"/>
  <c r="AI116" i="1"/>
  <c r="T123" i="1"/>
  <c r="AI123" i="1" s="1"/>
  <c r="AI32" i="1"/>
  <c r="AI91" i="1"/>
  <c r="AI36" i="1"/>
  <c r="AI105" i="1"/>
  <c r="U105" i="1"/>
  <c r="AI29" i="1"/>
  <c r="U29" i="1"/>
  <c r="AI106" i="1"/>
  <c r="U106" i="1"/>
  <c r="AI128" i="1"/>
  <c r="U128" i="1"/>
  <c r="AI101" i="1"/>
  <c r="U101" i="1"/>
  <c r="AI124" i="1"/>
  <c r="U124" i="1"/>
  <c r="AI102" i="1"/>
  <c r="U102" i="1"/>
  <c r="T15" i="1"/>
  <c r="AI15" i="1" s="1"/>
  <c r="AI57" i="1"/>
  <c r="V124" i="1"/>
  <c r="T16" i="1"/>
  <c r="AI16" i="1" s="1"/>
  <c r="AI58" i="1"/>
  <c r="T17" i="1"/>
  <c r="AI17" i="1" s="1"/>
  <c r="AI38" i="1"/>
  <c r="T112" i="1"/>
  <c r="AI112" i="1" s="1"/>
  <c r="T18" i="1"/>
  <c r="AI18" i="1" s="1"/>
  <c r="T39" i="1"/>
  <c r="AI39" i="1" s="1"/>
  <c r="T60" i="1"/>
  <c r="AI60" i="1" s="1"/>
  <c r="T85" i="1"/>
  <c r="AI85" i="1" s="1"/>
  <c r="AI113" i="1"/>
  <c r="U36" i="1"/>
  <c r="T62" i="1"/>
  <c r="AI62" i="1" s="1"/>
  <c r="T88" i="1"/>
  <c r="AI115" i="1"/>
  <c r="U43" i="1"/>
  <c r="T21" i="1"/>
  <c r="AI21" i="1" s="1"/>
  <c r="AI43" i="1"/>
  <c r="T63" i="1"/>
  <c r="AI63" i="1" s="1"/>
  <c r="U37" i="1"/>
  <c r="AI22" i="1"/>
  <c r="AI44" i="1"/>
  <c r="AI64" i="1"/>
  <c r="AI117" i="1"/>
  <c r="V72" i="1"/>
  <c r="AI23" i="1"/>
  <c r="AI65" i="1"/>
  <c r="AI93" i="1"/>
  <c r="T118" i="1"/>
  <c r="AI118" i="1" s="1"/>
  <c r="V101" i="1"/>
  <c r="V106" i="1"/>
  <c r="AI24" i="1"/>
  <c r="AI46" i="1"/>
  <c r="AI66" i="1"/>
  <c r="AI94" i="1"/>
  <c r="T119" i="1"/>
  <c r="AI119" i="1" s="1"/>
  <c r="U59" i="1"/>
  <c r="T26" i="1"/>
  <c r="AI26" i="1" s="1"/>
  <c r="AI47" i="1"/>
  <c r="T95" i="1"/>
  <c r="AI95" i="1" s="1"/>
  <c r="AI120" i="1"/>
  <c r="U45" i="1"/>
  <c r="AI27" i="1"/>
  <c r="T48" i="1"/>
  <c r="AI48" i="1" s="1"/>
  <c r="AI68" i="1"/>
  <c r="AI98" i="1"/>
  <c r="AI121" i="1"/>
  <c r="T6" i="1"/>
  <c r="AI28" i="1"/>
  <c r="AI49" i="1"/>
  <c r="T70" i="1"/>
  <c r="U67" i="1"/>
  <c r="V102" i="1"/>
  <c r="T7" i="1"/>
  <c r="AI7" i="1" s="1"/>
  <c r="AI50" i="1"/>
  <c r="AI71" i="1"/>
  <c r="U80" i="1"/>
  <c r="T8" i="1"/>
  <c r="AI8" i="1" s="1"/>
  <c r="AI30" i="1"/>
  <c r="T51" i="1"/>
  <c r="AI51" i="1" s="1"/>
  <c r="AI72" i="1"/>
  <c r="U53" i="1"/>
  <c r="V128" i="1"/>
  <c r="T10" i="1"/>
  <c r="AI10" i="1" s="1"/>
  <c r="T31" i="1"/>
  <c r="AI31" i="1" s="1"/>
  <c r="AI52" i="1"/>
  <c r="T73" i="1"/>
  <c r="AI73" i="1" s="1"/>
  <c r="AI103" i="1"/>
  <c r="AI125" i="1"/>
  <c r="U40" i="1"/>
  <c r="U61" i="1"/>
  <c r="T11" i="1"/>
  <c r="AI11" i="1" s="1"/>
  <c r="T74" i="1"/>
  <c r="AI126" i="1"/>
  <c r="V40" i="1"/>
  <c r="U81" i="1"/>
  <c r="T12" i="1"/>
  <c r="AI33" i="1"/>
  <c r="AI54" i="1"/>
  <c r="T75" i="1"/>
  <c r="AI75" i="1" s="1"/>
  <c r="AI127" i="1"/>
  <c r="AI13" i="1"/>
  <c r="AI34" i="1"/>
  <c r="AI55" i="1"/>
  <c r="T77" i="1"/>
  <c r="AI77" i="1" s="1"/>
  <c r="U32" i="1"/>
  <c r="U99" i="1"/>
  <c r="U91" i="1"/>
  <c r="U78" i="1"/>
  <c r="U20" i="1"/>
  <c r="V32" i="1"/>
  <c r="V37" i="1"/>
  <c r="V90" i="1"/>
  <c r="U107" i="1"/>
  <c r="U129" i="1"/>
  <c r="V7" i="1"/>
  <c r="U87" i="1"/>
  <c r="U71" i="1"/>
  <c r="V80" i="1"/>
  <c r="U92" i="1"/>
  <c r="U115" i="1"/>
  <c r="U122" i="1"/>
  <c r="U126" i="1"/>
  <c r="U24" i="1"/>
  <c r="U94" i="1"/>
  <c r="V36" i="1"/>
  <c r="V122" i="1"/>
  <c r="V61" i="1"/>
  <c r="V78" i="1"/>
  <c r="V108" i="1"/>
  <c r="U50" i="1"/>
  <c r="U54" i="1"/>
  <c r="U62" i="1"/>
  <c r="U100" i="1"/>
  <c r="V81" i="1"/>
  <c r="V53" i="1"/>
  <c r="V9" i="1"/>
  <c r="V82" i="1"/>
  <c r="V91" i="1"/>
  <c r="U26" i="1"/>
  <c r="U30" i="1"/>
  <c r="U38" i="1"/>
  <c r="U42" i="1"/>
  <c r="U14" i="1"/>
  <c r="U22" i="1"/>
  <c r="U83" i="1"/>
  <c r="U96" i="1"/>
  <c r="U109" i="1"/>
  <c r="U113" i="1"/>
  <c r="U121" i="1"/>
  <c r="V8" i="1"/>
  <c r="U25" i="1"/>
  <c r="U47" i="1"/>
  <c r="U35" i="1"/>
  <c r="V43" i="1"/>
  <c r="V55" i="1"/>
  <c r="V59" i="1"/>
  <c r="V67" i="1"/>
  <c r="U84" i="1"/>
  <c r="U97" i="1"/>
  <c r="S5" i="1"/>
  <c r="U19" i="1"/>
  <c r="U93" i="1"/>
  <c r="U110" i="1"/>
  <c r="U114" i="1"/>
  <c r="L122" i="1"/>
  <c r="L5" i="1" s="1"/>
  <c r="V77" i="1"/>
  <c r="V45" i="1"/>
  <c r="V69" i="1"/>
  <c r="V49" i="1"/>
  <c r="V65" i="1"/>
  <c r="V99" i="1"/>
  <c r="U44" i="1"/>
  <c r="U56" i="1"/>
  <c r="U64" i="1"/>
  <c r="U68" i="1"/>
  <c r="U86" i="1"/>
  <c r="U116" i="1"/>
  <c r="U120" i="1"/>
  <c r="U63" i="1" l="1"/>
  <c r="U57" i="1"/>
  <c r="U119" i="1"/>
  <c r="U118" i="1"/>
  <c r="U85" i="1"/>
  <c r="U52" i="1"/>
  <c r="U48" i="1"/>
  <c r="U17" i="1"/>
  <c r="U75" i="1"/>
  <c r="U39" i="1"/>
  <c r="U55" i="1"/>
  <c r="AI89" i="1"/>
  <c r="U89" i="1"/>
  <c r="U112" i="1"/>
  <c r="AI79" i="1"/>
  <c r="U79" i="1"/>
  <c r="U33" i="1"/>
  <c r="U23" i="1"/>
  <c r="U8" i="1"/>
  <c r="U51" i="1"/>
  <c r="U98" i="1"/>
  <c r="U15" i="1"/>
  <c r="U117" i="1"/>
  <c r="U60" i="1"/>
  <c r="U18" i="1"/>
  <c r="U123" i="1"/>
  <c r="AI70" i="1"/>
  <c r="U70" i="1"/>
  <c r="AI88" i="1"/>
  <c r="U88" i="1"/>
  <c r="U28" i="1"/>
  <c r="AI41" i="1"/>
  <c r="U41" i="1"/>
  <c r="AI104" i="1"/>
  <c r="U104" i="1"/>
  <c r="U16" i="1"/>
  <c r="U6" i="1"/>
  <c r="AI6" i="1"/>
  <c r="T5" i="1"/>
  <c r="U77" i="1"/>
  <c r="U66" i="1"/>
  <c r="U58" i="1"/>
  <c r="U13" i="1"/>
  <c r="U11" i="1"/>
  <c r="U49" i="1"/>
  <c r="U125" i="1"/>
  <c r="U72" i="1"/>
  <c r="U46" i="1"/>
  <c r="U73" i="1"/>
  <c r="AI12" i="1"/>
  <c r="U12" i="1"/>
  <c r="U65" i="1"/>
  <c r="AI74" i="1"/>
  <c r="U74" i="1"/>
  <c r="U21" i="1"/>
  <c r="U34" i="1"/>
  <c r="U103" i="1"/>
  <c r="U10" i="1"/>
  <c r="U7" i="1"/>
  <c r="U31" i="1"/>
  <c r="U95" i="1"/>
  <c r="U27" i="1"/>
  <c r="U127" i="1"/>
  <c r="AI111" i="1"/>
  <c r="U111" i="1"/>
  <c r="AI5" i="1" l="1"/>
</calcChain>
</file>

<file path=xl/sharedStrings.xml><?xml version="1.0" encoding="utf-8"?>
<sst xmlns="http://schemas.openxmlformats.org/spreadsheetml/2006/main" count="621" uniqueCount="276">
  <si>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</si>
  <si>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</si>
  <si>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</si>
  <si>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</si>
  <si>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</si>
  <si>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</si>
  <si>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</si>
  <si>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</si>
  <si>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</si>
  <si>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</si>
  <si>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</si>
  <si>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</si>
  <si>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</si>
  <si>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</si>
  <si>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</si>
  <si>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</si>
  <si>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</si>
  <si>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</si>
  <si>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</si>
  <si>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</si>
  <si>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</si>
  <si>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</si>
  <si>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</si>
  <si>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</si>
  <si>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</si>
  <si>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</si>
  <si>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</si>
  <si>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</si>
  <si>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</si>
  <si>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</si>
  <si>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</si>
  <si>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</si>
  <si>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</si>
  <si>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</si>
  <si>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</si>
  <si>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</si>
  <si>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</si>
  <si>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</si>
  <si>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</si>
  <si>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</si>
  <si>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</si>
  <si>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</si>
  <si>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</si>
  <si>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</si>
  <si>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</si>
  <si>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</si>
  <si>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</si>
  <si>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</si>
  <si>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</si>
  <si>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</si>
  <si>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</si>
  <si>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</si>
  <si>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</si>
  <si>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</si>
  <si>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</si>
  <si>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</si>
  <si>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</si>
  <si>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</si>
  <si>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</si>
  <si>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</si>
  <si>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</si>
  <si>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</si>
  <si>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</si>
  <si>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</si>
  <si>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</si>
  <si>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</si>
  <si>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</si>
  <si>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</si>
  <si>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</si>
  <si>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</si>
  <si>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</si>
  <si>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</si>
  <si>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</si>
  <si>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</si>
  <si>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</si>
  <si>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</si>
  <si>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</si>
  <si>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</si>
  <si>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</si>
  <si>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</si>
  <si>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</si>
  <si>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</si>
  <si>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</si>
  <si>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</si>
  <si>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</si>
  <si>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</si>
  <si>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</si>
  <si>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</si>
  <si>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</si>
  <si>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</si>
  <si>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</si>
  <si>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</si>
  <si>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</si>
  <si>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</si>
  <si>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</si>
  <si>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</si>
  <si>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</si>
  <si>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</si>
  <si>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</si>
  <si>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</si>
  <si>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</si>
  <si>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</si>
  <si>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</si>
  <si>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</si>
  <si>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</si>
  <si>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</si>
  <si>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</si>
  <si>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</si>
  <si>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</si>
  <si>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</si>
  <si>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</si>
  <si>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</si>
  <si>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</si>
  <si>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</si>
  <si>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</si>
  <si>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</si>
  <si>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</si>
  <si>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</si>
  <si>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</si>
  <si>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</si>
  <si>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</si>
  <si>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</si>
  <si>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</si>
  <si>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</si>
  <si>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</si>
  <si>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</si>
  <si>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</si>
  <si>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</si>
  <si>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</si>
  <si>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</si>
  <si>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</si>
  <si>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</si>
  <si>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</si>
  <si>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</si>
  <si>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</si>
  <si>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</si>
  <si>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</si>
  <si>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</si>
  <si>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</si>
  <si>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</si>
  <si>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</si>
  <si>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</si>
  <si>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</si>
  <si>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</si>
  <si>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</si>
  <si>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</si>
  <si>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</si>
  <si>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</si>
  <si>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</si>
  <si>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</si>
  <si>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</si>
  <si>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</si>
  <si>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</si>
  <si>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</si>
  <si>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</si>
  <si>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</si>
  <si>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</si>
  <si>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</si>
  <si>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</si>
  <si>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</si>
  <si>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</si>
  <si>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</si>
  <si>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</si>
  <si>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</si>
  <si>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</si>
  <si>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</si>
  <si>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</si>
  <si>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</si>
  <si>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</si>
  <si>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</si>
  <si>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</si>
  <si>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</si>
  <si>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</si>
  <si>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</si>
  <si>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</si>
  <si>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</si>
  <si>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</si>
  <si>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</si>
  <si>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 SU002151 </t>
  </si>
  <si>
    <t> В/к колбасы «Сервелат Запеченный» Весовые Вектор ТМ «Дугушка» </t>
  </si>
  <si>
    <t> 190 </t>
  </si>
  <si>
    <t> 0 </t>
  </si>
  <si>
    <t> -190 </t>
  </si>
  <si>
    <t> SU002158 </t>
  </si>
  <si>
    <t> В/к колбасы «Салями Запеченая» Весовые ТМ «Дугушка» </t>
  </si>
  <si>
    <t> 238 </t>
  </si>
  <si>
    <t> -238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</si>
  <si>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</si>
  <si>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</si>
  <si>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</si>
  <si>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</si>
  <si>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SU002252 </t>
  </si>
  <si>
    <t> П/к колбасы Кракушка пряная с сальцем Бавария Фикс.вес 0,3 н/о в/у Стародворье </t>
  </si>
  <si>
    <t> 9 </t>
  </si>
  <si>
    <t> -9 </t>
  </si>
  <si>
    <t> SU002287 </t>
  </si>
  <si>
    <t> Сардельки «Сочные» Весовой п/а ТМ «Особый рецепт» </t>
  </si>
  <si>
    <t> 36 </t>
  </si>
  <si>
    <t> -36 </t>
  </si>
  <si>
    <t> SU002612 </t>
  </si>
  <si>
    <t> Копченые колбасы «Балыкбургская» Весовой фиброуз ТМ «Баварушка» </t>
  </si>
  <si>
    <t> 130 </t>
  </si>
  <si>
    <t> 93 </t>
  </si>
  <si>
    <t> -37 </t>
  </si>
  <si>
    <t> SU002621 </t>
  </si>
  <si>
    <t> Сосиски «Сочинки с сочным окороком» Фикс.вес 0,4 П/а мгс ТМ «Стародворье» </t>
  </si>
  <si>
    <t> 55 </t>
  </si>
  <si>
    <t> -55 </t>
  </si>
  <si>
    <t> SU002655 </t>
  </si>
  <si>
    <t> Сосиски «Датские» Весовой п/а ТМ «Зареченские продукты» </t>
  </si>
  <si>
    <t> 45 </t>
  </si>
  <si>
    <t> -45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</si>
  <si>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</si>
  <si>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</si>
  <si>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 </t>
  </si>
  <si>
    <t> -11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</si>
  <si>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</si>
  <si>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</si>
  <si>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</si>
  <si>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-21 </t>
  </si>
  <si>
    <t> SU002847 </t>
  </si>
  <si>
    <t> В/к колбасы Сервелат Мясорубский с мелкорубленным окороком Бордо Весовой фиброуз Стародворье </t>
  </si>
  <si>
    <t> 25 </t>
  </si>
  <si>
    <t> -25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</si>
  <si>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</si>
  <si>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</si>
  <si>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SU002941 </t>
  </si>
  <si>
    <t> В/к колбасы «Сочинка по-европейски с сочной грудинкой» Весовой фиброуз ТМ «Стародворье» </t>
  </si>
  <si>
    <t> 211 </t>
  </si>
  <si>
    <t> -211 </t>
  </si>
  <si>
    <t> SU002942 </t>
  </si>
  <si>
    <t> В/к колбасы «Сочинка по-фински с сочным окороком» срез Фикс.вес 0,3 фиброуз ТМ «Стародворье»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</si>
  <si>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</si>
  <si>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</si>
  <si>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</si>
  <si>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</si>
  <si>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SU002944 </t>
  </si>
  <si>
    <t> В/к колбасы «Сочинка по-европейски с сочной грудинкой» срез Фикс.вес 0,3 фиброуз ТМ «Стародворье» </t>
  </si>
  <si>
    <t> 13 </t>
  </si>
  <si>
    <t> -13 </t>
  </si>
  <si>
    <t> SU002947 </t>
  </si>
  <si>
    <t> П/к колбасы «Сочинка рубленая с сочным окороком» Весовой фиброуз ТМ «Стародворье» </t>
  </si>
  <si>
    <t> 221 </t>
  </si>
  <si>
    <t> -221 </t>
  </si>
  <si>
    <t> SU002948 </t>
  </si>
  <si>
    <t> П/к колбасы «Сочинка рубленая с сочным окороком» срез Фикс.вес 0,3 фиброуз ТМ «Стародворье» </t>
  </si>
  <si>
    <t> SU003829 </t>
  </si>
  <si>
    <t> Копченые колбасы «Сервелат Мясорубский Делюкс» Фикс.вес 0,3 фиброуз ТМ «Стародворье» </t>
  </si>
  <si>
    <t> SU003893 </t>
  </si>
  <si>
    <t> Сырокопченые колбасы «Сальчичон» Фикс.вес 0,07 нарезка ТМ «Стародворье» </t>
  </si>
  <si>
    <t> 10 </t>
  </si>
  <si>
    <t> -10 </t>
  </si>
  <si>
    <t> SU003921 </t>
  </si>
  <si>
    <t> Деликатесы в/к «Грудинка копчено-вареная» Фикс.вес 0,12 нарезка ТМ «Стародворье» </t>
  </si>
  <si>
    <t> 4 </t>
  </si>
  <si>
    <t> -4 </t>
  </si>
  <si>
    <t> SU004039 </t>
  </si>
  <si>
    <t> Копченые колбасы «Балыковая» Фикс.вес 0,28 фиброуз срез ТМ «Вязанка» </t>
  </si>
  <si>
    <t> SU004041 </t>
  </si>
  <si>
    <t> Копченые колбасы «Балыковая» Весовой фиброуз ТМ «Вязанка» </t>
  </si>
  <si>
    <t> 28 </t>
  </si>
  <si>
    <t> -28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</si>
  <si>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</si>
  <si>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</si>
  <si>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</si>
  <si>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</si>
  <si>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SU004045 </t>
  </si>
  <si>
    <t> Копченые колбасы «Сервелат Финский» Фикс.вес 0,28 фиброуз срез ТМ «Вязанка» </t>
  </si>
  <si>
    <t> ИТОГО </t>
  </si>
  <si>
    <t> 10 936 </t>
  </si>
  <si>
    <t> 9 588 </t>
  </si>
  <si>
    <t> 9 591 </t>
  </si>
  <si>
    <t> -1 345 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</si>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</sst>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2C2D2E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7" borderId="1" xfId="1" applyNumberFormat="1" applyFont="1" applyFill="1"/>
    <xf numFmtId="0" fontId="4" fillId="4" borderId="2" xfId="0" applyFont="1" applyFill="1" applyBorder="1" applyAlignment="1">
      <alignment horizontal="right" vertical="center" wrapText="1"/>
    </xf>
    <xf numFmtId="0" fontId="0" fillId="0" borderId="4" xfId="0" applyBorder="1"/>
    <xf numFmtId="0" fontId="0" fillId="0" borderId="3" xfId="0" applyBorder="1"/>
    <xf numFmtId="164" fontId="1" fillId="8" borderId="1" xfId="1" applyNumberFormat="1" applyFill="1"/>
    <xf numFmtId="164" fontId="7" fillId="8" borderId="1" xfId="1" applyNumberFormat="1" applyFont="1" applyFill="1"/>
    <xf numFmtId="164" fontId="7" fillId="0" borderId="1" xfId="1" applyNumberFormat="1" applyFont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2851562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3" width="6" customWidth="1"/>
    <col min="34" max="34" width="37.5703125" customWidth="1"/>
    <col min="35" max="35" width="7" customWidth="1"/>
  </cols>
  <sheetData>
    <row r="1" spans="1:3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</row>
    <row r="4" spans="1:3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</row>
    <row r="5" spans="1:35" x14ac:dyDescent="0.25">
      <c r="A5" s="1"/>
      <c r="B5" s="1"/>
      <c r="C5" s="1"/>
      <c r="D5" s="1"/>
      <c r="E5" s="4">
        <f>SUM(E6:E499)</f>
        <v>18215.670999999998</v>
      </c>
      <c r="F5" s="4">
        <f>SUM(F6:F499)</f>
        <v>9215.3319999999967</v>
      </c>
      <c r="G5" s="7"/>
      <c r="H5" s="1"/>
      <c r="I5" s="1"/>
      <c r="J5" s="1"/>
      <c r="K5" s="4">
        <f t="shared" ref="K5:T5" si="0">SUM(K6:K499)</f>
        <v>22485.904000000002</v>
      </c>
      <c r="L5" s="4">
        <f t="shared" si="0"/>
        <v>-4270.2330000000002</v>
      </c>
      <c r="M5" s="4">
        <f t="shared" si="0"/>
        <v>0</v>
      </c>
      <c r="N5" s="4">
        <f t="shared" si="0"/>
        <v>0</v>
      </c>
      <c r="O5" s="4">
        <f t="shared" si="0"/>
        <v>13845.357700000002</v>
      </c>
      <c r="P5" s="4">
        <f t="shared" si="0"/>
        <v>-1920.738095238095</v>
      </c>
      <c r="Q5" s="4">
        <f t="shared" si="0"/>
        <v>1550</v>
      </c>
      <c r="R5" s="4">
        <f t="shared" si="0"/>
        <v>9542.0365139999994</v>
      </c>
      <c r="S5" s="4">
        <f t="shared" si="0"/>
        <v>3643.1342000000018</v>
      </c>
      <c r="T5" s="4">
        <f t="shared" si="0"/>
        <v>13976.591912000002</v>
      </c>
      <c r="U5" s="1"/>
      <c r="V5" s="1"/>
      <c r="W5" s="4">
        <f t="shared" ref="W5:AG5" si="1">SUM(W6:W499)</f>
        <v>4217.0311999999985</v>
      </c>
      <c r="X5" s="4">
        <f t="shared" si="1"/>
        <v>4217.0490000000009</v>
      </c>
      <c r="Y5" s="4">
        <f t="shared" si="1"/>
        <v>3809.9485999999984</v>
      </c>
      <c r="Z5" s="4">
        <f t="shared" si="1"/>
        <v>4467.6592000000001</v>
      </c>
      <c r="AA5" s="4">
        <f t="shared" si="1"/>
        <v>4046.9829999999988</v>
      </c>
      <c r="AB5" s="4">
        <f t="shared" si="1"/>
        <v>3390.857199999999</v>
      </c>
      <c r="AC5" s="4">
        <f t="shared" si="1"/>
        <v>3745.7852000000003</v>
      </c>
      <c r="AD5" s="4">
        <f t="shared" si="1"/>
        <v>4644.2882000000009</v>
      </c>
      <c r="AE5" s="4">
        <f t="shared" si="1"/>
        <v>4604.8541999999989</v>
      </c>
      <c r="AF5" s="4">
        <f t="shared" si="1"/>
        <v>4923.7491999999984</v>
      </c>
      <c r="AG5" s="4">
        <f t="shared" si="1"/>
        <v>4846.7421999999979</v>
      </c>
      <c r="AH5" s="1"/>
      <c r="AI5" s="4">
        <f>SUM(AI6:AI499)</f>
        <v>10946.024172000001</v>
      </c>
    </row>
    <row r="6" spans="1:35" x14ac:dyDescent="0.25">
      <c r="A6" s="1" t="s">
        <v>38</v>
      </c>
      <c r="B6" s="1" t="s">
        <v>39</v>
      </c>
      <c r="C6" s="1">
        <v>188.10300000000001</v>
      </c>
      <c r="D6" s="1">
        <v>422.721</v>
      </c>
      <c r="E6" s="1">
        <v>252.77500000000001</v>
      </c>
      <c r="F6" s="1">
        <v>243.14400000000001</v>
      </c>
      <c r="G6" s="7">
        <v>1</v>
      </c>
      <c r="H6" s="1">
        <v>50</v>
      </c>
      <c r="I6" s="1" t="s">
        <v>40</v>
      </c>
      <c r="J6" s="1"/>
      <c r="K6" s="1">
        <v>236.09399999999999</v>
      </c>
      <c r="L6" s="1">
        <f t="shared" ref="L6:L37" si="2">E6-K6</f>
        <v>16.681000000000012</v>
      </c>
      <c r="M6" s="1"/>
      <c r="N6" s="1"/>
      <c r="O6" s="1">
        <v>182.27207200000001</v>
      </c>
      <c r="P6" s="1"/>
      <c r="Q6" s="1"/>
      <c r="R6" s="1">
        <v>0</v>
      </c>
      <c r="S6" s="1">
        <f t="shared" ref="S6:S37" si="3">E6/5</f>
        <v>50.555</v>
      </c>
      <c r="T6" s="5">
        <f>12*S6-R6-Q6-P6-O6-F6</f>
        <v>181.24392799999998</v>
      </c>
      <c r="U6" s="1">
        <f t="shared" ref="U6:U37" si="4">(F6+O6+P6+Q6+R6+T6)/S6</f>
        <v>12</v>
      </c>
      <c r="V6" s="1">
        <f t="shared" ref="V6:V37" si="5">(F6+O6+P6+Q6+R6)/S6</f>
        <v>8.4149158738008101</v>
      </c>
      <c r="W6" s="1">
        <v>49.53</v>
      </c>
      <c r="X6" s="1">
        <v>63.962800000000001</v>
      </c>
      <c r="Y6" s="1">
        <v>58.955199999999998</v>
      </c>
      <c r="Z6" s="1">
        <v>54.327599999999997</v>
      </c>
      <c r="AA6" s="1">
        <v>47.706800000000001</v>
      </c>
      <c r="AB6" s="1">
        <v>28.063800000000001</v>
      </c>
      <c r="AC6" s="1">
        <v>26.715599999999998</v>
      </c>
      <c r="AD6" s="1">
        <v>48.6646</v>
      </c>
      <c r="AE6" s="1">
        <v>55.111400000000003</v>
      </c>
      <c r="AF6" s="1">
        <v>50.386399999999988</v>
      </c>
      <c r="AG6" s="1">
        <v>51.108400000000003</v>
      </c>
      <c r="AH6" s="1"/>
      <c r="AI6" s="1">
        <f>G6*T6</f>
        <v>181.24392799999998</v>
      </c>
    </row>
    <row r="7" spans="1:35" x14ac:dyDescent="0.25">
      <c r="A7" s="1" t="s">
        <v>41</v>
      </c>
      <c r="B7" s="1" t="s">
        <v>39</v>
      </c>
      <c r="C7" s="1">
        <v>540.31799999999998</v>
      </c>
      <c r="D7" s="1">
        <v>399.71300000000002</v>
      </c>
      <c r="E7" s="1">
        <v>653.41</v>
      </c>
      <c r="F7" s="1">
        <v>102.50700000000001</v>
      </c>
      <c r="G7" s="7">
        <v>1</v>
      </c>
      <c r="H7" s="1">
        <v>45</v>
      </c>
      <c r="I7" s="1" t="s">
        <v>40</v>
      </c>
      <c r="J7" s="1"/>
      <c r="K7" s="1">
        <v>689.9</v>
      </c>
      <c r="L7" s="1">
        <f t="shared" si="2"/>
        <v>-36.490000000000009</v>
      </c>
      <c r="M7" s="1"/>
      <c r="N7" s="1"/>
      <c r="O7" s="1">
        <v>37.594408000000207</v>
      </c>
      <c r="P7" s="1"/>
      <c r="Q7" s="1"/>
      <c r="R7" s="1">
        <v>874.63539199999968</v>
      </c>
      <c r="S7" s="1">
        <f t="shared" si="3"/>
        <v>130.68199999999999</v>
      </c>
      <c r="T7" s="5">
        <f t="shared" ref="T7:T8" si="6">12*S7-R7-Q7-P7-O7-F7</f>
        <v>553.44719999999984</v>
      </c>
      <c r="U7" s="1">
        <f t="shared" si="4"/>
        <v>12</v>
      </c>
      <c r="V7" s="1">
        <f t="shared" si="5"/>
        <v>7.7649316661820293</v>
      </c>
      <c r="W7" s="1">
        <v>153.03919999999999</v>
      </c>
      <c r="X7" s="1">
        <v>75.238799999999998</v>
      </c>
      <c r="Y7" s="1">
        <v>35.7254</v>
      </c>
      <c r="Z7" s="1">
        <v>94.933799999999991</v>
      </c>
      <c r="AA7" s="1">
        <v>81.040400000000005</v>
      </c>
      <c r="AB7" s="1">
        <v>58.811599999999999</v>
      </c>
      <c r="AC7" s="1">
        <v>63.0702</v>
      </c>
      <c r="AD7" s="1">
        <v>39.780999999999999</v>
      </c>
      <c r="AE7" s="1">
        <v>30.569600000000001</v>
      </c>
      <c r="AF7" s="1">
        <v>17.161999999999999</v>
      </c>
      <c r="AG7" s="1">
        <v>29.265599999999999</v>
      </c>
      <c r="AH7" s="1"/>
      <c r="AI7" s="1">
        <f>G7*T7</f>
        <v>553.44719999999984</v>
      </c>
    </row>
    <row r="8" spans="1:35" x14ac:dyDescent="0.25">
      <c r="A8" s="1" t="s">
        <v>42</v>
      </c>
      <c r="B8" s="1" t="s">
        <v>39</v>
      </c>
      <c r="C8" s="1">
        <v>637.67499999999995</v>
      </c>
      <c r="D8" s="1">
        <v>541.44899999999996</v>
      </c>
      <c r="E8" s="1">
        <v>508.42099999999999</v>
      </c>
      <c r="F8" s="1">
        <v>499.21600000000001</v>
      </c>
      <c r="G8" s="7">
        <v>1</v>
      </c>
      <c r="H8" s="1">
        <v>45</v>
      </c>
      <c r="I8" s="1" t="s">
        <v>40</v>
      </c>
      <c r="J8" s="1"/>
      <c r="K8" s="1">
        <v>542.37699999999995</v>
      </c>
      <c r="L8" s="1">
        <f t="shared" si="2"/>
        <v>-33.95599999999996</v>
      </c>
      <c r="M8" s="1"/>
      <c r="N8" s="1"/>
      <c r="O8" s="1">
        <v>0</v>
      </c>
      <c r="P8" s="1"/>
      <c r="Q8" s="1"/>
      <c r="R8" s="1">
        <v>351.69100000000009</v>
      </c>
      <c r="S8" s="1">
        <f t="shared" si="3"/>
        <v>101.6842</v>
      </c>
      <c r="T8" s="5">
        <f t="shared" si="6"/>
        <v>369.3033999999999</v>
      </c>
      <c r="U8" s="1">
        <f t="shared" si="4"/>
        <v>11.999999999999998</v>
      </c>
      <c r="V8" s="1">
        <f t="shared" si="5"/>
        <v>8.3681338890407773</v>
      </c>
      <c r="W8" s="1">
        <v>112.5746</v>
      </c>
      <c r="X8" s="1">
        <v>76.619600000000005</v>
      </c>
      <c r="Y8" s="1">
        <v>58.682200000000002</v>
      </c>
      <c r="Z8" s="1">
        <v>110.33499999999999</v>
      </c>
      <c r="AA8" s="1">
        <v>93.042000000000002</v>
      </c>
      <c r="AB8" s="1">
        <v>68.473199999999991</v>
      </c>
      <c r="AC8" s="1">
        <v>73.171999999999997</v>
      </c>
      <c r="AD8" s="1">
        <v>62.864999999999988</v>
      </c>
      <c r="AE8" s="1">
        <v>52.998600000000003</v>
      </c>
      <c r="AF8" s="1">
        <v>41.674400000000013</v>
      </c>
      <c r="AG8" s="1">
        <v>95.290599999999998</v>
      </c>
      <c r="AH8" s="1"/>
      <c r="AI8" s="1">
        <f>G8*T8</f>
        <v>369.3033999999999</v>
      </c>
    </row>
    <row r="9" spans="1:35" x14ac:dyDescent="0.25">
      <c r="A9" s="12" t="s">
        <v>43</v>
      </c>
      <c r="B9" s="12" t="s">
        <v>44</v>
      </c>
      <c r="C9" s="12"/>
      <c r="D9" s="12"/>
      <c r="E9" s="12"/>
      <c r="F9" s="12"/>
      <c r="G9" s="13">
        <v>0</v>
      </c>
      <c r="H9" s="12"/>
      <c r="I9" s="12" t="s">
        <v>40</v>
      </c>
      <c r="J9" s="12"/>
      <c r="K9" s="12"/>
      <c r="L9" s="12">
        <f t="shared" si="2"/>
        <v>0</v>
      </c>
      <c r="M9" s="12"/>
      <c r="N9" s="12"/>
      <c r="O9" s="12">
        <v>0</v>
      </c>
      <c r="P9" s="12"/>
      <c r="Q9" s="12"/>
      <c r="R9" s="12">
        <v>0</v>
      </c>
      <c r="S9" s="12">
        <f t="shared" si="3"/>
        <v>0</v>
      </c>
      <c r="T9" s="14"/>
      <c r="U9" s="12" t="e">
        <f t="shared" si="4"/>
        <v>#DIV/0!</v>
      </c>
      <c r="V9" s="12" t="e">
        <f t="shared" si="5"/>
        <v>#DIV/0!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 t="s">
        <v>45</v>
      </c>
      <c r="AI9" s="12"/>
    </row>
    <row r="10" spans="1:35" x14ac:dyDescent="0.25">
      <c r="A10" s="1" t="s">
        <v>46</v>
      </c>
      <c r="B10" s="1" t="s">
        <v>44</v>
      </c>
      <c r="C10" s="1">
        <v>293</v>
      </c>
      <c r="D10" s="1">
        <v>697</v>
      </c>
      <c r="E10" s="1">
        <v>382</v>
      </c>
      <c r="F10" s="1">
        <v>403</v>
      </c>
      <c r="G10" s="7">
        <v>0.45</v>
      </c>
      <c r="H10" s="1">
        <v>45</v>
      </c>
      <c r="I10" s="1" t="s">
        <v>40</v>
      </c>
      <c r="J10" s="1"/>
      <c r="K10" s="1">
        <v>736</v>
      </c>
      <c r="L10" s="1">
        <f t="shared" si="2"/>
        <v>-354</v>
      </c>
      <c r="M10" s="1"/>
      <c r="N10" s="1"/>
      <c r="O10" s="1">
        <v>0</v>
      </c>
      <c r="P10" s="1"/>
      <c r="Q10" s="1"/>
      <c r="R10" s="1">
        <v>0</v>
      </c>
      <c r="S10" s="1">
        <f t="shared" si="3"/>
        <v>76.400000000000006</v>
      </c>
      <c r="T10" s="5">
        <f t="shared" ref="T10:T24" si="7">12*S10-R10-Q10-P10-O10-F10</f>
        <v>513.80000000000007</v>
      </c>
      <c r="U10" s="1">
        <f t="shared" si="4"/>
        <v>12</v>
      </c>
      <c r="V10" s="1">
        <f t="shared" si="5"/>
        <v>5.2748691099476437</v>
      </c>
      <c r="W10" s="1">
        <v>41.6</v>
      </c>
      <c r="X10" s="1">
        <v>60.6</v>
      </c>
      <c r="Y10" s="1">
        <v>118.4</v>
      </c>
      <c r="Z10" s="1">
        <v>112.2</v>
      </c>
      <c r="AA10" s="1">
        <v>85.6</v>
      </c>
      <c r="AB10" s="1">
        <v>78.400000000000006</v>
      </c>
      <c r="AC10" s="1">
        <v>92.6</v>
      </c>
      <c r="AD10" s="1">
        <v>123.8</v>
      </c>
      <c r="AE10" s="1">
        <v>121.2</v>
      </c>
      <c r="AF10" s="1">
        <v>130.4</v>
      </c>
      <c r="AG10" s="1">
        <v>130.80000000000001</v>
      </c>
      <c r="AH10" s="1"/>
      <c r="AI10" s="1">
        <f t="shared" ref="AI10:AI24" si="8">G10*T10</f>
        <v>231.21000000000004</v>
      </c>
    </row>
    <row r="11" spans="1:35" x14ac:dyDescent="0.25">
      <c r="A11" s="1" t="s">
        <v>47</v>
      </c>
      <c r="B11" s="1" t="s">
        <v>44</v>
      </c>
      <c r="C11" s="1">
        <v>93</v>
      </c>
      <c r="D11" s="1">
        <v>779</v>
      </c>
      <c r="E11" s="1">
        <v>502</v>
      </c>
      <c r="F11" s="1">
        <v>120</v>
      </c>
      <c r="G11" s="7">
        <v>0.45</v>
      </c>
      <c r="H11" s="1">
        <v>45</v>
      </c>
      <c r="I11" s="1" t="s">
        <v>40</v>
      </c>
      <c r="J11" s="1"/>
      <c r="K11" s="1">
        <v>747</v>
      </c>
      <c r="L11" s="1">
        <f t="shared" si="2"/>
        <v>-245</v>
      </c>
      <c r="M11" s="1"/>
      <c r="N11" s="1"/>
      <c r="O11" s="1">
        <v>904.702</v>
      </c>
      <c r="P11" s="1"/>
      <c r="Q11" s="1"/>
      <c r="R11" s="1">
        <v>31.698000000000089</v>
      </c>
      <c r="S11" s="1">
        <f t="shared" si="3"/>
        <v>100.4</v>
      </c>
      <c r="T11" s="5">
        <f t="shared" si="7"/>
        <v>148.40000000000009</v>
      </c>
      <c r="U11" s="1">
        <f t="shared" si="4"/>
        <v>12.000000000000002</v>
      </c>
      <c r="V11" s="1">
        <f t="shared" si="5"/>
        <v>10.52191235059761</v>
      </c>
      <c r="W11" s="1">
        <v>145.4</v>
      </c>
      <c r="X11" s="1">
        <v>163</v>
      </c>
      <c r="Y11" s="1">
        <v>152.80000000000001</v>
      </c>
      <c r="Z11" s="1">
        <v>151.19999999999999</v>
      </c>
      <c r="AA11" s="1">
        <v>121.8</v>
      </c>
      <c r="AB11" s="1">
        <v>115.2</v>
      </c>
      <c r="AC11" s="1">
        <v>136.4</v>
      </c>
      <c r="AD11" s="1">
        <v>154.6</v>
      </c>
      <c r="AE11" s="1">
        <v>104</v>
      </c>
      <c r="AF11" s="1">
        <v>95.2</v>
      </c>
      <c r="AG11" s="1">
        <v>133.4</v>
      </c>
      <c r="AH11" s="1"/>
      <c r="AI11" s="1">
        <f t="shared" si="8"/>
        <v>66.780000000000044</v>
      </c>
    </row>
    <row r="12" spans="1:35" x14ac:dyDescent="0.25">
      <c r="A12" s="1" t="s">
        <v>48</v>
      </c>
      <c r="B12" s="1" t="s">
        <v>44</v>
      </c>
      <c r="C12" s="1">
        <v>-3</v>
      </c>
      <c r="D12" s="1">
        <v>105</v>
      </c>
      <c r="E12" s="1">
        <v>38</v>
      </c>
      <c r="F12" s="1">
        <v>41</v>
      </c>
      <c r="G12" s="7">
        <v>0.17</v>
      </c>
      <c r="H12" s="1">
        <v>180</v>
      </c>
      <c r="I12" s="1" t="s">
        <v>40</v>
      </c>
      <c r="J12" s="1"/>
      <c r="K12" s="1">
        <v>38</v>
      </c>
      <c r="L12" s="1">
        <f t="shared" si="2"/>
        <v>0</v>
      </c>
      <c r="M12" s="1"/>
      <c r="N12" s="1"/>
      <c r="O12" s="1">
        <v>17.100000000000009</v>
      </c>
      <c r="P12" s="1"/>
      <c r="Q12" s="1"/>
      <c r="R12" s="1">
        <v>0</v>
      </c>
      <c r="S12" s="1">
        <f t="shared" si="3"/>
        <v>7.6</v>
      </c>
      <c r="T12" s="5">
        <f t="shared" si="7"/>
        <v>33.09999999999998</v>
      </c>
      <c r="U12" s="1">
        <f t="shared" si="4"/>
        <v>11.999999999999998</v>
      </c>
      <c r="V12" s="1">
        <f t="shared" si="5"/>
        <v>7.6447368421052646</v>
      </c>
      <c r="W12" s="1">
        <v>9</v>
      </c>
      <c r="X12" s="1">
        <v>9.1999999999999993</v>
      </c>
      <c r="Y12" s="1">
        <v>6.6</v>
      </c>
      <c r="Z12" s="1">
        <v>19.399999999999999</v>
      </c>
      <c r="AA12" s="1">
        <v>18</v>
      </c>
      <c r="AB12" s="1">
        <v>11.6</v>
      </c>
      <c r="AC12" s="1">
        <v>15</v>
      </c>
      <c r="AD12" s="1">
        <v>14</v>
      </c>
      <c r="AE12" s="1">
        <v>14.8</v>
      </c>
      <c r="AF12" s="1">
        <v>20</v>
      </c>
      <c r="AG12" s="1">
        <v>20.2</v>
      </c>
      <c r="AH12" s="1"/>
      <c r="AI12" s="1">
        <f t="shared" si="8"/>
        <v>5.6269999999999971</v>
      </c>
    </row>
    <row r="13" spans="1:35" x14ac:dyDescent="0.25">
      <c r="A13" s="1" t="s">
        <v>49</v>
      </c>
      <c r="B13" s="1" t="s">
        <v>44</v>
      </c>
      <c r="C13" s="1">
        <v>6</v>
      </c>
      <c r="D13" s="1"/>
      <c r="E13" s="1">
        <v>17</v>
      </c>
      <c r="F13" s="1">
        <v>3</v>
      </c>
      <c r="G13" s="7">
        <v>0.3</v>
      </c>
      <c r="H13" s="1">
        <v>40</v>
      </c>
      <c r="I13" s="15" t="s">
        <v>50</v>
      </c>
      <c r="J13" s="1"/>
      <c r="K13" s="1">
        <v>70</v>
      </c>
      <c r="L13" s="1">
        <f t="shared" si="2"/>
        <v>-53</v>
      </c>
      <c r="M13" s="1"/>
      <c r="N13" s="1"/>
      <c r="O13" s="1">
        <v>30</v>
      </c>
      <c r="P13" s="1">
        <v>-30</v>
      </c>
      <c r="Q13" s="1"/>
      <c r="R13" s="1">
        <v>42</v>
      </c>
      <c r="S13" s="1">
        <f t="shared" si="3"/>
        <v>3.4</v>
      </c>
      <c r="T13" s="5">
        <v>50</v>
      </c>
      <c r="U13" s="1">
        <f t="shared" si="4"/>
        <v>27.941176470588236</v>
      </c>
      <c r="V13" s="1">
        <f t="shared" si="5"/>
        <v>13.23529411764706</v>
      </c>
      <c r="W13" s="1">
        <v>16.2</v>
      </c>
      <c r="X13" s="1">
        <v>21.6</v>
      </c>
      <c r="Y13" s="1">
        <v>18.399999999999999</v>
      </c>
      <c r="Z13" s="1">
        <v>34.4</v>
      </c>
      <c r="AA13" s="1">
        <v>29.2</v>
      </c>
      <c r="AB13" s="1">
        <v>16.399999999999999</v>
      </c>
      <c r="AC13" s="1">
        <v>19.8</v>
      </c>
      <c r="AD13" s="1">
        <v>23.6</v>
      </c>
      <c r="AE13" s="1">
        <v>21</v>
      </c>
      <c r="AF13" s="1">
        <v>13.6</v>
      </c>
      <c r="AG13" s="1">
        <v>30.4</v>
      </c>
      <c r="AH13" s="1"/>
      <c r="AI13" s="1">
        <f t="shared" si="8"/>
        <v>15</v>
      </c>
    </row>
    <row r="14" spans="1:35" x14ac:dyDescent="0.25">
      <c r="A14" s="1" t="s">
        <v>51</v>
      </c>
      <c r="B14" s="1" t="s">
        <v>44</v>
      </c>
      <c r="C14" s="1">
        <v>224</v>
      </c>
      <c r="D14" s="1">
        <v>310</v>
      </c>
      <c r="E14" s="1">
        <v>246</v>
      </c>
      <c r="F14" s="1">
        <v>258</v>
      </c>
      <c r="G14" s="7">
        <v>0.17</v>
      </c>
      <c r="H14" s="1">
        <v>180</v>
      </c>
      <c r="I14" s="1" t="s">
        <v>40</v>
      </c>
      <c r="J14" s="1"/>
      <c r="K14" s="1">
        <v>244</v>
      </c>
      <c r="L14" s="1">
        <f t="shared" si="2"/>
        <v>2</v>
      </c>
      <c r="M14" s="1"/>
      <c r="N14" s="1"/>
      <c r="O14" s="1">
        <v>0</v>
      </c>
      <c r="P14" s="1"/>
      <c r="Q14" s="1"/>
      <c r="R14" s="1">
        <v>238.4</v>
      </c>
      <c r="S14" s="1">
        <f t="shared" si="3"/>
        <v>49.2</v>
      </c>
      <c r="T14" s="5">
        <f t="shared" si="7"/>
        <v>94.000000000000114</v>
      </c>
      <c r="U14" s="1">
        <f t="shared" si="4"/>
        <v>12.000000000000002</v>
      </c>
      <c r="V14" s="1">
        <f t="shared" si="5"/>
        <v>10.089430894308942</v>
      </c>
      <c r="W14" s="1">
        <v>54.4</v>
      </c>
      <c r="X14" s="1">
        <v>24</v>
      </c>
      <c r="Y14" s="1">
        <v>26.8</v>
      </c>
      <c r="Z14" s="1">
        <v>45.6</v>
      </c>
      <c r="AA14" s="1">
        <v>32</v>
      </c>
      <c r="AB14" s="1">
        <v>21.4</v>
      </c>
      <c r="AC14" s="1">
        <v>18.2</v>
      </c>
      <c r="AD14" s="1">
        <v>21.2</v>
      </c>
      <c r="AE14" s="1">
        <v>27.6</v>
      </c>
      <c r="AF14" s="1">
        <v>28.6</v>
      </c>
      <c r="AG14" s="1">
        <v>30.2</v>
      </c>
      <c r="AH14" s="1"/>
      <c r="AI14" s="1">
        <f t="shared" si="8"/>
        <v>15.98000000000002</v>
      </c>
    </row>
    <row r="15" spans="1:35" x14ac:dyDescent="0.25">
      <c r="A15" s="1" t="s">
        <v>52</v>
      </c>
      <c r="B15" s="1" t="s">
        <v>39</v>
      </c>
      <c r="C15" s="1">
        <v>507.65499999999997</v>
      </c>
      <c r="D15" s="1">
        <v>374.28500000000003</v>
      </c>
      <c r="E15" s="1">
        <v>433.78699999999998</v>
      </c>
      <c r="F15" s="1">
        <v>379.15800000000002</v>
      </c>
      <c r="G15" s="7">
        <v>1</v>
      </c>
      <c r="H15" s="1">
        <v>70</v>
      </c>
      <c r="I15" s="1" t="s">
        <v>40</v>
      </c>
      <c r="J15" s="1"/>
      <c r="K15" s="1">
        <v>403.54</v>
      </c>
      <c r="L15" s="1">
        <f t="shared" si="2"/>
        <v>30.246999999999957</v>
      </c>
      <c r="M15" s="1"/>
      <c r="N15" s="1"/>
      <c r="O15" s="1">
        <v>13.43869800000007</v>
      </c>
      <c r="P15" s="1"/>
      <c r="Q15" s="1"/>
      <c r="R15" s="1">
        <v>327.32030200000003</v>
      </c>
      <c r="S15" s="1">
        <f t="shared" si="3"/>
        <v>86.75739999999999</v>
      </c>
      <c r="T15" s="5">
        <f t="shared" si="7"/>
        <v>321.17179999999985</v>
      </c>
      <c r="U15" s="1">
        <f t="shared" si="4"/>
        <v>12.000000000000002</v>
      </c>
      <c r="V15" s="1">
        <f t="shared" si="5"/>
        <v>8.2980471982793418</v>
      </c>
      <c r="W15" s="1">
        <v>84.37</v>
      </c>
      <c r="X15" s="1">
        <v>79.335000000000008</v>
      </c>
      <c r="Y15" s="1">
        <v>73.63</v>
      </c>
      <c r="Z15" s="1">
        <v>79.357799999999997</v>
      </c>
      <c r="AA15" s="1">
        <v>76.665199999999999</v>
      </c>
      <c r="AB15" s="1">
        <v>60.802999999999997</v>
      </c>
      <c r="AC15" s="1">
        <v>75.010400000000004</v>
      </c>
      <c r="AD15" s="1">
        <v>103.798</v>
      </c>
      <c r="AE15" s="1">
        <v>100.63639999999999</v>
      </c>
      <c r="AF15" s="1">
        <v>101.03440000000001</v>
      </c>
      <c r="AG15" s="1">
        <v>101.12820000000001</v>
      </c>
      <c r="AH15" s="1"/>
      <c r="AI15" s="1">
        <f t="shared" si="8"/>
        <v>321.17179999999985</v>
      </c>
    </row>
    <row r="16" spans="1:35" x14ac:dyDescent="0.25">
      <c r="A16" s="1" t="s">
        <v>53</v>
      </c>
      <c r="B16" s="1" t="s">
        <v>39</v>
      </c>
      <c r="C16" s="1">
        <v>2263.0709999999999</v>
      </c>
      <c r="D16" s="1">
        <v>1399.442</v>
      </c>
      <c r="E16" s="1">
        <v>2108.29</v>
      </c>
      <c r="F16" s="1">
        <v>665.68399999999997</v>
      </c>
      <c r="G16" s="7">
        <v>1</v>
      </c>
      <c r="H16" s="1">
        <v>50</v>
      </c>
      <c r="I16" s="1" t="s">
        <v>40</v>
      </c>
      <c r="J16" s="1"/>
      <c r="K16" s="1">
        <v>2125.241</v>
      </c>
      <c r="L16" s="1">
        <f t="shared" si="2"/>
        <v>-16.951000000000022</v>
      </c>
      <c r="M16" s="1"/>
      <c r="N16" s="1"/>
      <c r="O16" s="1">
        <v>1758.497486</v>
      </c>
      <c r="P16" s="1"/>
      <c r="Q16" s="1">
        <v>450</v>
      </c>
      <c r="R16" s="1">
        <v>550</v>
      </c>
      <c r="S16" s="1">
        <f t="shared" si="3"/>
        <v>421.65800000000002</v>
      </c>
      <c r="T16" s="5">
        <f t="shared" si="7"/>
        <v>1635.7145140000005</v>
      </c>
      <c r="U16" s="1">
        <f t="shared" si="4"/>
        <v>12.000000000000002</v>
      </c>
      <c r="V16" s="1">
        <f t="shared" si="5"/>
        <v>8.1207554131547361</v>
      </c>
      <c r="W16" s="1">
        <v>435.88019999999989</v>
      </c>
      <c r="X16" s="1">
        <v>443.73180000000002</v>
      </c>
      <c r="Y16" s="1">
        <v>379.55279999999999</v>
      </c>
      <c r="Z16" s="1">
        <v>332.78500000000003</v>
      </c>
      <c r="AA16" s="1">
        <v>290.48419999999999</v>
      </c>
      <c r="AB16" s="1">
        <v>294.3408</v>
      </c>
      <c r="AC16" s="1">
        <v>370.44220000000001</v>
      </c>
      <c r="AD16" s="1">
        <v>447.33139999999997</v>
      </c>
      <c r="AE16" s="1">
        <v>426.28320000000002</v>
      </c>
      <c r="AF16" s="1">
        <v>485.00200000000012</v>
      </c>
      <c r="AG16" s="1">
        <v>444.64399999999989</v>
      </c>
      <c r="AH16" s="1"/>
      <c r="AI16" s="1">
        <f t="shared" si="8"/>
        <v>1635.7145140000005</v>
      </c>
    </row>
    <row r="17" spans="1:35" x14ac:dyDescent="0.25">
      <c r="A17" s="1" t="s">
        <v>54</v>
      </c>
      <c r="B17" s="1" t="s">
        <v>39</v>
      </c>
      <c r="C17" s="1">
        <v>22.131</v>
      </c>
      <c r="D17" s="1">
        <v>89.406000000000006</v>
      </c>
      <c r="E17" s="1">
        <v>67.203999999999994</v>
      </c>
      <c r="F17" s="1">
        <v>38.192999999999998</v>
      </c>
      <c r="G17" s="7">
        <v>1</v>
      </c>
      <c r="H17" s="1">
        <v>60</v>
      </c>
      <c r="I17" s="1" t="s">
        <v>40</v>
      </c>
      <c r="J17" s="1"/>
      <c r="K17" s="1">
        <v>71.5</v>
      </c>
      <c r="L17" s="1">
        <f t="shared" si="2"/>
        <v>-4.2960000000000065</v>
      </c>
      <c r="M17" s="1"/>
      <c r="N17" s="1"/>
      <c r="O17" s="1">
        <v>50.121237999999991</v>
      </c>
      <c r="P17" s="1"/>
      <c r="Q17" s="1"/>
      <c r="R17" s="1">
        <v>28.90616200000002</v>
      </c>
      <c r="S17" s="1">
        <f t="shared" si="3"/>
        <v>13.440799999999999</v>
      </c>
      <c r="T17" s="5">
        <f t="shared" si="7"/>
        <v>44.069199999999995</v>
      </c>
      <c r="U17" s="1">
        <f t="shared" si="4"/>
        <v>12.000000000000002</v>
      </c>
      <c r="V17" s="1">
        <f t="shared" si="5"/>
        <v>8.7212368311410042</v>
      </c>
      <c r="W17" s="1">
        <v>13.439399999999999</v>
      </c>
      <c r="X17" s="1">
        <v>14.009399999999999</v>
      </c>
      <c r="Y17" s="1">
        <v>15.593999999999999</v>
      </c>
      <c r="Z17" s="1">
        <v>14.525</v>
      </c>
      <c r="AA17" s="1">
        <v>9.8002000000000002</v>
      </c>
      <c r="AB17" s="1">
        <v>6.9792000000000014</v>
      </c>
      <c r="AC17" s="1">
        <v>11.373200000000001</v>
      </c>
      <c r="AD17" s="1">
        <v>21.314399999999999</v>
      </c>
      <c r="AE17" s="1">
        <v>17.635999999999999</v>
      </c>
      <c r="AF17" s="1">
        <v>7.6536</v>
      </c>
      <c r="AG17" s="1">
        <v>10.663399999999999</v>
      </c>
      <c r="AH17" s="1"/>
      <c r="AI17" s="1">
        <f t="shared" si="8"/>
        <v>44.069199999999995</v>
      </c>
    </row>
    <row r="18" spans="1:35" x14ac:dyDescent="0.25">
      <c r="A18" s="1" t="s">
        <v>55</v>
      </c>
      <c r="B18" s="1" t="s">
        <v>39</v>
      </c>
      <c r="C18" s="1">
        <v>48.323</v>
      </c>
      <c r="D18" s="1"/>
      <c r="E18" s="1">
        <v>40.427999999999997</v>
      </c>
      <c r="F18" s="1">
        <v>0.93899999999999995</v>
      </c>
      <c r="G18" s="7">
        <v>1</v>
      </c>
      <c r="H18" s="1">
        <v>60</v>
      </c>
      <c r="I18" s="1" t="s">
        <v>40</v>
      </c>
      <c r="J18" s="1"/>
      <c r="K18" s="1">
        <v>34.9</v>
      </c>
      <c r="L18" s="1">
        <f t="shared" si="2"/>
        <v>5.5279999999999987</v>
      </c>
      <c r="M18" s="1"/>
      <c r="N18" s="1"/>
      <c r="O18" s="1">
        <v>39.327599999999997</v>
      </c>
      <c r="P18" s="1"/>
      <c r="Q18" s="1"/>
      <c r="R18" s="1">
        <v>21.379799999999999</v>
      </c>
      <c r="S18" s="1">
        <f t="shared" si="3"/>
        <v>8.0855999999999995</v>
      </c>
      <c r="T18" s="5">
        <f t="shared" si="7"/>
        <v>35.380799999999994</v>
      </c>
      <c r="U18" s="1">
        <f t="shared" si="4"/>
        <v>12</v>
      </c>
      <c r="V18" s="1">
        <f t="shared" si="5"/>
        <v>7.6242208370436337</v>
      </c>
      <c r="W18" s="1">
        <v>8.6264000000000003</v>
      </c>
      <c r="X18" s="1">
        <v>7.2308000000000003</v>
      </c>
      <c r="Y18" s="1">
        <v>4.5262000000000002</v>
      </c>
      <c r="Z18" s="1">
        <v>6.3393999999999986</v>
      </c>
      <c r="AA18" s="1">
        <v>6.4408000000000003</v>
      </c>
      <c r="AB18" s="1">
        <v>6.5603999999999996</v>
      </c>
      <c r="AC18" s="1">
        <v>4.7707999999999986</v>
      </c>
      <c r="AD18" s="1">
        <v>6.2031999999999998</v>
      </c>
      <c r="AE18" s="1">
        <v>6.2096</v>
      </c>
      <c r="AF18" s="1">
        <v>4.9654000000000007</v>
      </c>
      <c r="AG18" s="1">
        <v>3.7240000000000002</v>
      </c>
      <c r="AH18" s="1"/>
      <c r="AI18" s="1">
        <f t="shared" si="8"/>
        <v>35.380799999999994</v>
      </c>
    </row>
    <row r="19" spans="1:35" x14ac:dyDescent="0.25">
      <c r="A19" s="1" t="s">
        <v>56</v>
      </c>
      <c r="B19" s="1" t="s">
        <v>39</v>
      </c>
      <c r="C19" s="1">
        <v>27.722000000000001</v>
      </c>
      <c r="D19" s="1">
        <v>22.085000000000001</v>
      </c>
      <c r="E19" s="1">
        <v>30.602</v>
      </c>
      <c r="F19" s="1">
        <v>12.244</v>
      </c>
      <c r="G19" s="7">
        <v>1</v>
      </c>
      <c r="H19" s="1">
        <v>180</v>
      </c>
      <c r="I19" s="1" t="s">
        <v>40</v>
      </c>
      <c r="J19" s="1"/>
      <c r="K19" s="1">
        <v>27.13</v>
      </c>
      <c r="L19" s="1">
        <f t="shared" si="2"/>
        <v>3.4720000000000013</v>
      </c>
      <c r="M19" s="1"/>
      <c r="N19" s="1"/>
      <c r="O19" s="1">
        <v>11.591999999999979</v>
      </c>
      <c r="P19" s="1"/>
      <c r="Q19" s="1"/>
      <c r="R19" s="1">
        <v>16.924000000000031</v>
      </c>
      <c r="S19" s="1">
        <f t="shared" si="3"/>
        <v>6.1204000000000001</v>
      </c>
      <c r="T19" s="5">
        <f t="shared" si="7"/>
        <v>32.684799999999989</v>
      </c>
      <c r="U19" s="1">
        <f t="shared" si="4"/>
        <v>11.999999999999998</v>
      </c>
      <c r="V19" s="1">
        <f t="shared" si="5"/>
        <v>6.6596954447421748</v>
      </c>
      <c r="W19" s="1">
        <v>5.7140000000000004</v>
      </c>
      <c r="X19" s="1">
        <v>5.0237999999999996</v>
      </c>
      <c r="Y19" s="1">
        <v>4.1154000000000002</v>
      </c>
      <c r="Z19" s="1">
        <v>5.633</v>
      </c>
      <c r="AA19" s="1">
        <v>5.0154000000000014</v>
      </c>
      <c r="AB19" s="1">
        <v>2.7675999999999998</v>
      </c>
      <c r="AC19" s="1">
        <v>2.0844</v>
      </c>
      <c r="AD19" s="1">
        <v>1.048</v>
      </c>
      <c r="AE19" s="1">
        <v>2.5106000000000002</v>
      </c>
      <c r="AF19" s="1">
        <v>4.2141999999999999</v>
      </c>
      <c r="AG19" s="1">
        <v>3.7368000000000001</v>
      </c>
      <c r="AH19" s="1"/>
      <c r="AI19" s="1">
        <f t="shared" si="8"/>
        <v>32.684799999999989</v>
      </c>
    </row>
    <row r="20" spans="1:35" x14ac:dyDescent="0.25">
      <c r="A20" s="1" t="s">
        <v>57</v>
      </c>
      <c r="B20" s="1" t="s">
        <v>39</v>
      </c>
      <c r="C20" s="1">
        <v>103.63500000000001</v>
      </c>
      <c r="D20" s="1">
        <v>411.404</v>
      </c>
      <c r="E20" s="1">
        <v>305.166</v>
      </c>
      <c r="F20" s="1">
        <v>174.34700000000001</v>
      </c>
      <c r="G20" s="7">
        <v>1</v>
      </c>
      <c r="H20" s="1">
        <v>60</v>
      </c>
      <c r="I20" s="1" t="s">
        <v>40</v>
      </c>
      <c r="J20" s="1"/>
      <c r="K20" s="1">
        <v>321.2</v>
      </c>
      <c r="L20" s="1">
        <f t="shared" si="2"/>
        <v>-16.033999999999992</v>
      </c>
      <c r="M20" s="1"/>
      <c r="N20" s="1"/>
      <c r="O20" s="1">
        <v>343.26337199999989</v>
      </c>
      <c r="P20" s="1"/>
      <c r="Q20" s="1"/>
      <c r="R20" s="1">
        <v>0</v>
      </c>
      <c r="S20" s="1">
        <f t="shared" si="3"/>
        <v>61.033200000000001</v>
      </c>
      <c r="T20" s="5">
        <f t="shared" si="7"/>
        <v>214.78802800000014</v>
      </c>
      <c r="U20" s="1">
        <f t="shared" si="4"/>
        <v>12</v>
      </c>
      <c r="V20" s="1">
        <f t="shared" si="5"/>
        <v>8.4808001546699145</v>
      </c>
      <c r="W20" s="1">
        <v>58.342399999999998</v>
      </c>
      <c r="X20" s="1">
        <v>75.671999999999997</v>
      </c>
      <c r="Y20" s="1">
        <v>73.896600000000007</v>
      </c>
      <c r="Z20" s="1">
        <v>72.609400000000008</v>
      </c>
      <c r="AA20" s="1">
        <v>53.276200000000003</v>
      </c>
      <c r="AB20" s="1">
        <v>50.758800000000001</v>
      </c>
      <c r="AC20" s="1">
        <v>59.435799999999993</v>
      </c>
      <c r="AD20" s="1">
        <v>77.672799999999995</v>
      </c>
      <c r="AE20" s="1">
        <v>76.057199999999995</v>
      </c>
      <c r="AF20" s="1">
        <v>82.202399999999997</v>
      </c>
      <c r="AG20" s="1">
        <v>88.697599999999994</v>
      </c>
      <c r="AH20" s="1"/>
      <c r="AI20" s="1">
        <f t="shared" si="8"/>
        <v>214.78802800000014</v>
      </c>
    </row>
    <row r="21" spans="1:35" x14ac:dyDescent="0.25">
      <c r="A21" s="1" t="s">
        <v>58</v>
      </c>
      <c r="B21" s="1" t="s">
        <v>39</v>
      </c>
      <c r="C21" s="1">
        <v>123.371</v>
      </c>
      <c r="D21" s="1">
        <v>32.427</v>
      </c>
      <c r="E21" s="1">
        <v>99.85</v>
      </c>
      <c r="F21" s="1">
        <v>33.256</v>
      </c>
      <c r="G21" s="7">
        <v>1</v>
      </c>
      <c r="H21" s="1">
        <v>70</v>
      </c>
      <c r="I21" s="1" t="s">
        <v>40</v>
      </c>
      <c r="J21" s="1"/>
      <c r="K21" s="1">
        <v>104.4</v>
      </c>
      <c r="L21" s="1">
        <f t="shared" si="2"/>
        <v>-4.5500000000000114</v>
      </c>
      <c r="M21" s="1"/>
      <c r="N21" s="1"/>
      <c r="O21" s="1">
        <v>21.02104999999997</v>
      </c>
      <c r="P21" s="1"/>
      <c r="Q21" s="1"/>
      <c r="R21" s="1">
        <v>162.49295000000009</v>
      </c>
      <c r="S21" s="1">
        <f t="shared" si="3"/>
        <v>19.97</v>
      </c>
      <c r="T21" s="5">
        <f t="shared" si="7"/>
        <v>22.869999999999919</v>
      </c>
      <c r="U21" s="1">
        <f t="shared" si="4"/>
        <v>12</v>
      </c>
      <c r="V21" s="1">
        <f t="shared" si="5"/>
        <v>10.854782173259894</v>
      </c>
      <c r="W21" s="1">
        <v>26.1326</v>
      </c>
      <c r="X21" s="1">
        <v>13.5192</v>
      </c>
      <c r="Y21" s="1">
        <v>6.452</v>
      </c>
      <c r="Z21" s="1">
        <v>17.515000000000001</v>
      </c>
      <c r="AA21" s="1">
        <v>20.354600000000001</v>
      </c>
      <c r="AB21" s="1">
        <v>12.7774</v>
      </c>
      <c r="AC21" s="1">
        <v>14.9056</v>
      </c>
      <c r="AD21" s="1">
        <v>21.267399999999999</v>
      </c>
      <c r="AE21" s="1">
        <v>15.830399999999999</v>
      </c>
      <c r="AF21" s="1">
        <v>19.5242</v>
      </c>
      <c r="AG21" s="1">
        <v>23.744399999999999</v>
      </c>
      <c r="AH21" s="1"/>
      <c r="AI21" s="1">
        <f t="shared" si="8"/>
        <v>22.869999999999919</v>
      </c>
    </row>
    <row r="22" spans="1:35" x14ac:dyDescent="0.25">
      <c r="A22" s="1" t="s">
        <v>59</v>
      </c>
      <c r="B22" s="1" t="s">
        <v>39</v>
      </c>
      <c r="C22" s="1">
        <v>39</v>
      </c>
      <c r="D22" s="1">
        <v>200.31700000000001</v>
      </c>
      <c r="E22" s="1">
        <v>131.06700000000001</v>
      </c>
      <c r="F22" s="1">
        <v>61.686999999999998</v>
      </c>
      <c r="G22" s="7">
        <v>1</v>
      </c>
      <c r="H22" s="1">
        <v>70</v>
      </c>
      <c r="I22" s="15" t="s">
        <v>50</v>
      </c>
      <c r="J22" s="1"/>
      <c r="K22" s="1">
        <v>153.69999999999999</v>
      </c>
      <c r="L22" s="1">
        <f t="shared" si="2"/>
        <v>-22.632999999999981</v>
      </c>
      <c r="M22" s="1"/>
      <c r="N22" s="1"/>
      <c r="O22" s="1">
        <v>234.842062</v>
      </c>
      <c r="P22" s="1">
        <v>-238</v>
      </c>
      <c r="Q22" s="1"/>
      <c r="R22" s="1">
        <v>70</v>
      </c>
      <c r="S22" s="1">
        <f t="shared" si="3"/>
        <v>26.2134</v>
      </c>
      <c r="T22" s="5">
        <v>90</v>
      </c>
      <c r="U22" s="1">
        <f t="shared" si="4"/>
        <v>8.3365401664797396</v>
      </c>
      <c r="V22" s="1">
        <f t="shared" si="5"/>
        <v>4.9031816551839906</v>
      </c>
      <c r="W22" s="1">
        <v>29.136800000000001</v>
      </c>
      <c r="X22" s="1">
        <v>41.977400000000003</v>
      </c>
      <c r="Y22" s="1">
        <v>38.621600000000001</v>
      </c>
      <c r="Z22" s="1">
        <v>36.080399999999997</v>
      </c>
      <c r="AA22" s="1">
        <v>27.281199999999998</v>
      </c>
      <c r="AB22" s="1">
        <v>19.441600000000001</v>
      </c>
      <c r="AC22" s="1">
        <v>26.1462</v>
      </c>
      <c r="AD22" s="1">
        <v>35.3934</v>
      </c>
      <c r="AE22" s="1">
        <v>33.106000000000002</v>
      </c>
      <c r="AF22" s="1">
        <v>38.613</v>
      </c>
      <c r="AG22" s="1">
        <v>42.749600000000001</v>
      </c>
      <c r="AH22" s="1"/>
      <c r="AI22" s="1">
        <f t="shared" si="8"/>
        <v>90</v>
      </c>
    </row>
    <row r="23" spans="1:35" x14ac:dyDescent="0.25">
      <c r="A23" s="1" t="s">
        <v>60</v>
      </c>
      <c r="B23" s="1" t="s">
        <v>39</v>
      </c>
      <c r="C23" s="1">
        <v>56.646999999999998</v>
      </c>
      <c r="D23" s="1">
        <v>61.338000000000001</v>
      </c>
      <c r="E23" s="1">
        <v>26.789000000000001</v>
      </c>
      <c r="F23" s="1">
        <v>86.325000000000003</v>
      </c>
      <c r="G23" s="7">
        <v>1</v>
      </c>
      <c r="H23" s="1">
        <v>180</v>
      </c>
      <c r="I23" s="1" t="s">
        <v>40</v>
      </c>
      <c r="J23" s="1"/>
      <c r="K23" s="1">
        <v>25.28</v>
      </c>
      <c r="L23" s="1">
        <f t="shared" si="2"/>
        <v>1.5090000000000003</v>
      </c>
      <c r="M23" s="1"/>
      <c r="N23" s="1"/>
      <c r="O23" s="1">
        <v>0</v>
      </c>
      <c r="P23" s="1"/>
      <c r="Q23" s="1"/>
      <c r="R23" s="1">
        <v>0</v>
      </c>
      <c r="S23" s="1">
        <f t="shared" si="3"/>
        <v>5.3578000000000001</v>
      </c>
      <c r="T23" s="5"/>
      <c r="U23" s="1">
        <f t="shared" si="4"/>
        <v>16.112023591772743</v>
      </c>
      <c r="V23" s="1">
        <f t="shared" si="5"/>
        <v>16.112023591772743</v>
      </c>
      <c r="W23" s="1">
        <v>2.327</v>
      </c>
      <c r="X23" s="1">
        <v>0.27739999999999998</v>
      </c>
      <c r="Y23" s="1">
        <v>1.9434</v>
      </c>
      <c r="Z23" s="1">
        <v>9.5144000000000002</v>
      </c>
      <c r="AA23" s="1">
        <v>7.9891999999999994</v>
      </c>
      <c r="AB23" s="1">
        <v>1.3806</v>
      </c>
      <c r="AC23" s="1">
        <v>1.7283999999999999</v>
      </c>
      <c r="AD23" s="1">
        <v>4.5865999999999998</v>
      </c>
      <c r="AE23" s="1">
        <v>6.9908000000000001</v>
      </c>
      <c r="AF23" s="1">
        <v>5.9451999999999998</v>
      </c>
      <c r="AG23" s="1">
        <v>3.044</v>
      </c>
      <c r="AH23" s="1"/>
      <c r="AI23" s="1">
        <f t="shared" si="8"/>
        <v>0</v>
      </c>
    </row>
    <row r="24" spans="1:35" x14ac:dyDescent="0.25">
      <c r="A24" s="1" t="s">
        <v>61</v>
      </c>
      <c r="B24" s="1" t="s">
        <v>39</v>
      </c>
      <c r="C24" s="1">
        <v>154.22999999999999</v>
      </c>
      <c r="D24" s="1">
        <v>162.30600000000001</v>
      </c>
      <c r="E24" s="1">
        <v>180.70500000000001</v>
      </c>
      <c r="F24" s="1">
        <v>106.133</v>
      </c>
      <c r="G24" s="7">
        <v>1</v>
      </c>
      <c r="H24" s="1">
        <v>70</v>
      </c>
      <c r="I24" s="15" t="s">
        <v>50</v>
      </c>
      <c r="J24" s="1"/>
      <c r="K24" s="1">
        <v>178.2</v>
      </c>
      <c r="L24" s="1">
        <f t="shared" si="2"/>
        <v>2.5050000000000239</v>
      </c>
      <c r="M24" s="1"/>
      <c r="N24" s="1"/>
      <c r="O24" s="1">
        <v>188.37696199999999</v>
      </c>
      <c r="P24" s="1">
        <v>-190</v>
      </c>
      <c r="Q24" s="1"/>
      <c r="R24" s="1">
        <v>70</v>
      </c>
      <c r="S24" s="1">
        <f t="shared" si="3"/>
        <v>36.141000000000005</v>
      </c>
      <c r="T24" s="5">
        <v>90</v>
      </c>
      <c r="U24" s="1">
        <f t="shared" si="4"/>
        <v>7.3188335131844697</v>
      </c>
      <c r="V24" s="1">
        <f t="shared" si="5"/>
        <v>4.8285869787775644</v>
      </c>
      <c r="W24" s="1">
        <v>39.828000000000003</v>
      </c>
      <c r="X24" s="1">
        <v>44.405000000000001</v>
      </c>
      <c r="Y24" s="1">
        <v>38.7042</v>
      </c>
      <c r="Z24" s="1">
        <v>38.443199999999997</v>
      </c>
      <c r="AA24" s="1">
        <v>28.137799999999999</v>
      </c>
      <c r="AB24" s="1">
        <v>28.372</v>
      </c>
      <c r="AC24" s="1">
        <v>35.245800000000003</v>
      </c>
      <c r="AD24" s="1">
        <v>48.939599999999999</v>
      </c>
      <c r="AE24" s="1">
        <v>43.491199999999999</v>
      </c>
      <c r="AF24" s="1">
        <v>38.692599999999999</v>
      </c>
      <c r="AG24" s="1">
        <v>45.932200000000002</v>
      </c>
      <c r="AH24" s="1"/>
      <c r="AI24" s="1">
        <f t="shared" si="8"/>
        <v>90</v>
      </c>
    </row>
    <row r="25" spans="1:35" x14ac:dyDescent="0.25">
      <c r="A25" s="12" t="s">
        <v>62</v>
      </c>
      <c r="B25" s="12" t="s">
        <v>39</v>
      </c>
      <c r="C25" s="12"/>
      <c r="D25" s="12"/>
      <c r="E25" s="12"/>
      <c r="F25" s="12"/>
      <c r="G25" s="13">
        <v>0</v>
      </c>
      <c r="H25" s="12"/>
      <c r="I25" s="12" t="s">
        <v>40</v>
      </c>
      <c r="J25" s="12"/>
      <c r="K25" s="12"/>
      <c r="L25" s="12">
        <f t="shared" si="2"/>
        <v>0</v>
      </c>
      <c r="M25" s="12"/>
      <c r="N25" s="12"/>
      <c r="O25" s="12">
        <v>0</v>
      </c>
      <c r="P25" s="12"/>
      <c r="Q25" s="12"/>
      <c r="R25" s="12">
        <v>0</v>
      </c>
      <c r="S25" s="12">
        <f t="shared" si="3"/>
        <v>0</v>
      </c>
      <c r="T25" s="14"/>
      <c r="U25" s="12" t="e">
        <f t="shared" si="4"/>
        <v>#DIV/0!</v>
      </c>
      <c r="V25" s="12" t="e">
        <f t="shared" si="5"/>
        <v>#DIV/0!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 t="s">
        <v>45</v>
      </c>
      <c r="AI25" s="12"/>
    </row>
    <row r="26" spans="1:35" x14ac:dyDescent="0.25">
      <c r="A26" s="1" t="s">
        <v>63</v>
      </c>
      <c r="B26" s="1" t="s">
        <v>39</v>
      </c>
      <c r="C26" s="1">
        <v>244.36199999999999</v>
      </c>
      <c r="D26" s="1">
        <v>8.5609999999999999</v>
      </c>
      <c r="E26" s="1">
        <v>201.595</v>
      </c>
      <c r="F26" s="1">
        <v>24.396000000000001</v>
      </c>
      <c r="G26" s="7">
        <v>1</v>
      </c>
      <c r="H26" s="1"/>
      <c r="I26" s="1" t="s">
        <v>40</v>
      </c>
      <c r="J26" s="1"/>
      <c r="K26" s="1">
        <v>189.6</v>
      </c>
      <c r="L26" s="1">
        <f t="shared" si="2"/>
        <v>11.995000000000005</v>
      </c>
      <c r="M26" s="1"/>
      <c r="N26" s="1"/>
      <c r="O26" s="1">
        <v>0</v>
      </c>
      <c r="P26" s="1"/>
      <c r="Q26" s="1"/>
      <c r="R26" s="1">
        <v>270.10860000000002</v>
      </c>
      <c r="S26" s="1">
        <f t="shared" si="3"/>
        <v>40.319000000000003</v>
      </c>
      <c r="T26" s="5">
        <f t="shared" ref="T26:T41" si="9">12*S26-R26-Q26-P26-O26-F26</f>
        <v>189.32339999999999</v>
      </c>
      <c r="U26" s="1">
        <f t="shared" si="4"/>
        <v>12</v>
      </c>
      <c r="V26" s="1">
        <f t="shared" si="5"/>
        <v>7.3043627074084183</v>
      </c>
      <c r="W26" s="1">
        <v>42.488399999999999</v>
      </c>
      <c r="X26" s="1">
        <v>14.019600000000001</v>
      </c>
      <c r="Y26" s="1">
        <v>0.69540000000000002</v>
      </c>
      <c r="Z26" s="1">
        <v>3.7128000000000001</v>
      </c>
      <c r="AA26" s="1">
        <v>7.3063999999999991</v>
      </c>
      <c r="AB26" s="1">
        <v>22.351600000000001</v>
      </c>
      <c r="AC26" s="1">
        <v>23.732600000000001</v>
      </c>
      <c r="AD26" s="1">
        <v>5.7994000000000003</v>
      </c>
      <c r="AE26" s="1">
        <v>0</v>
      </c>
      <c r="AF26" s="1">
        <v>0</v>
      </c>
      <c r="AG26" s="1">
        <v>0</v>
      </c>
      <c r="AH26" s="1" t="s">
        <v>64</v>
      </c>
      <c r="AI26" s="1">
        <f t="shared" ref="AI26:AI41" si="10">G26*T26</f>
        <v>189.32339999999999</v>
      </c>
    </row>
    <row r="27" spans="1:35" x14ac:dyDescent="0.25">
      <c r="A27" s="1" t="s">
        <v>65</v>
      </c>
      <c r="B27" s="1" t="s">
        <v>39</v>
      </c>
      <c r="C27" s="1">
        <v>-2.5000000000000001E-2</v>
      </c>
      <c r="D27" s="1"/>
      <c r="E27" s="1">
        <v>-1.5549999999999999</v>
      </c>
      <c r="F27" s="1">
        <v>-2.5000000000000001E-2</v>
      </c>
      <c r="G27" s="7">
        <v>1</v>
      </c>
      <c r="H27" s="1">
        <v>40</v>
      </c>
      <c r="I27" s="15" t="s">
        <v>50</v>
      </c>
      <c r="J27" s="1"/>
      <c r="K27" s="1">
        <v>10.199999999999999</v>
      </c>
      <c r="L27" s="1">
        <f t="shared" si="2"/>
        <v>-11.754999999999999</v>
      </c>
      <c r="M27" s="1"/>
      <c r="N27" s="1"/>
      <c r="O27" s="1">
        <v>31.5</v>
      </c>
      <c r="P27" s="1">
        <v>-36</v>
      </c>
      <c r="Q27" s="1"/>
      <c r="R27" s="1">
        <v>70</v>
      </c>
      <c r="S27" s="1">
        <f t="shared" si="3"/>
        <v>-0.311</v>
      </c>
      <c r="T27" s="5">
        <v>90</v>
      </c>
      <c r="U27" s="1">
        <f t="shared" si="4"/>
        <v>-499.91961414790995</v>
      </c>
      <c r="V27" s="1">
        <f t="shared" si="5"/>
        <v>-210.53054662379421</v>
      </c>
      <c r="W27" s="1">
        <v>-0.96479999999999999</v>
      </c>
      <c r="X27" s="1">
        <v>-1.163</v>
      </c>
      <c r="Y27" s="1">
        <v>-0.50919999999999999</v>
      </c>
      <c r="Z27" s="1">
        <v>-0.21679999999999999</v>
      </c>
      <c r="AA27" s="1">
        <v>-0.21679999999999999</v>
      </c>
      <c r="AB27" s="1">
        <v>9.5777999999999999</v>
      </c>
      <c r="AC27" s="1">
        <v>37.691400000000002</v>
      </c>
      <c r="AD27" s="1">
        <v>56.543799999999997</v>
      </c>
      <c r="AE27" s="1">
        <v>34.541200000000003</v>
      </c>
      <c r="AF27" s="1">
        <v>38.505600000000001</v>
      </c>
      <c r="AG27" s="1">
        <v>32.977800000000002</v>
      </c>
      <c r="AH27" s="1"/>
      <c r="AI27" s="1">
        <f t="shared" si="10"/>
        <v>90</v>
      </c>
    </row>
    <row r="28" spans="1:35" x14ac:dyDescent="0.25">
      <c r="A28" s="1" t="s">
        <v>66</v>
      </c>
      <c r="B28" s="1" t="s">
        <v>39</v>
      </c>
      <c r="C28" s="1">
        <v>58.14</v>
      </c>
      <c r="D28" s="1">
        <v>242</v>
      </c>
      <c r="E28" s="1">
        <v>155.62799999999999</v>
      </c>
      <c r="F28" s="1">
        <v>8.218</v>
      </c>
      <c r="G28" s="7">
        <v>1</v>
      </c>
      <c r="H28" s="1">
        <v>30</v>
      </c>
      <c r="I28" s="1" t="s">
        <v>40</v>
      </c>
      <c r="J28" s="1"/>
      <c r="K28" s="1">
        <v>236.01599999999999</v>
      </c>
      <c r="L28" s="1">
        <f t="shared" si="2"/>
        <v>-80.388000000000005</v>
      </c>
      <c r="M28" s="1"/>
      <c r="N28" s="1"/>
      <c r="O28" s="1">
        <v>90</v>
      </c>
      <c r="P28" s="1"/>
      <c r="Q28" s="1"/>
      <c r="R28" s="1">
        <v>36.886399999999981</v>
      </c>
      <c r="S28" s="1">
        <f t="shared" si="3"/>
        <v>31.125599999999999</v>
      </c>
      <c r="T28" s="5">
        <f>11*S28-R28-Q28-P28-O28-F28</f>
        <v>207.27720000000002</v>
      </c>
      <c r="U28" s="1">
        <f t="shared" si="4"/>
        <v>11.000000000000002</v>
      </c>
      <c r="V28" s="1">
        <f t="shared" si="5"/>
        <v>4.3406199398565812</v>
      </c>
      <c r="W28" s="1">
        <v>27.609400000000001</v>
      </c>
      <c r="X28" s="1">
        <v>42.514200000000002</v>
      </c>
      <c r="Y28" s="1">
        <v>44.266199999999998</v>
      </c>
      <c r="Z28" s="1">
        <v>41.836200000000012</v>
      </c>
      <c r="AA28" s="1">
        <v>28.0486</v>
      </c>
      <c r="AB28" s="1">
        <v>11.816000000000001</v>
      </c>
      <c r="AC28" s="1">
        <v>3.6137999999999999</v>
      </c>
      <c r="AD28" s="1">
        <v>28.007400000000001</v>
      </c>
      <c r="AE28" s="1">
        <v>35.287799999999997</v>
      </c>
      <c r="AF28" s="1">
        <v>16.3886</v>
      </c>
      <c r="AG28" s="1">
        <v>14.622999999999999</v>
      </c>
      <c r="AH28" s="1"/>
      <c r="AI28" s="1">
        <f t="shared" si="10"/>
        <v>207.27720000000002</v>
      </c>
    </row>
    <row r="29" spans="1:35" x14ac:dyDescent="0.25">
      <c r="A29" s="1" t="s">
        <v>67</v>
      </c>
      <c r="B29" s="1" t="s">
        <v>39</v>
      </c>
      <c r="C29" s="1">
        <v>1.518</v>
      </c>
      <c r="D29" s="1"/>
      <c r="E29" s="1">
        <v>-0.77100000000000002</v>
      </c>
      <c r="F29" s="1">
        <v>1.518</v>
      </c>
      <c r="G29" s="7">
        <v>1</v>
      </c>
      <c r="H29" s="1">
        <v>40</v>
      </c>
      <c r="I29" s="15" t="s">
        <v>50</v>
      </c>
      <c r="J29" s="1"/>
      <c r="K29" s="1">
        <v>78.8</v>
      </c>
      <c r="L29" s="1">
        <f t="shared" si="2"/>
        <v>-79.570999999999998</v>
      </c>
      <c r="M29" s="1"/>
      <c r="N29" s="1"/>
      <c r="O29" s="1">
        <v>135</v>
      </c>
      <c r="P29" s="1"/>
      <c r="Q29" s="1"/>
      <c r="R29" s="1">
        <v>280</v>
      </c>
      <c r="S29" s="1">
        <f t="shared" si="3"/>
        <v>-0.1542</v>
      </c>
      <c r="T29" s="5">
        <v>360</v>
      </c>
      <c r="U29" s="1">
        <f t="shared" si="4"/>
        <v>-5035.7846952010377</v>
      </c>
      <c r="V29" s="1">
        <f t="shared" si="5"/>
        <v>-2701.1543450064851</v>
      </c>
      <c r="W29" s="1">
        <v>-1.585</v>
      </c>
      <c r="X29" s="1">
        <v>-2.5497999999999998</v>
      </c>
      <c r="Y29" s="1">
        <v>-1.9388000000000001</v>
      </c>
      <c r="Z29" s="1">
        <v>2.0426000000000002</v>
      </c>
      <c r="AA29" s="1">
        <v>72.69919999999999</v>
      </c>
      <c r="AB29" s="1">
        <v>116.389</v>
      </c>
      <c r="AC29" s="1">
        <v>99.9422</v>
      </c>
      <c r="AD29" s="1">
        <v>194.2286</v>
      </c>
      <c r="AE29" s="1">
        <v>221.15479999999999</v>
      </c>
      <c r="AF29" s="1">
        <v>290.73820000000001</v>
      </c>
      <c r="AG29" s="1">
        <v>221.20740000000001</v>
      </c>
      <c r="AH29" s="1"/>
      <c r="AI29" s="1">
        <f t="shared" si="10"/>
        <v>360</v>
      </c>
    </row>
    <row r="30" spans="1:35" x14ac:dyDescent="0.25">
      <c r="A30" s="1" t="s">
        <v>68</v>
      </c>
      <c r="B30" s="1" t="s">
        <v>39</v>
      </c>
      <c r="C30" s="1">
        <v>-0.03</v>
      </c>
      <c r="D30" s="1"/>
      <c r="E30" s="1"/>
      <c r="F30" s="1">
        <v>-0.03</v>
      </c>
      <c r="G30" s="7">
        <v>1</v>
      </c>
      <c r="H30" s="1">
        <v>40</v>
      </c>
      <c r="I30" s="15" t="s">
        <v>50</v>
      </c>
      <c r="J30" s="1"/>
      <c r="K30" s="1"/>
      <c r="L30" s="1">
        <f t="shared" si="2"/>
        <v>0</v>
      </c>
      <c r="M30" s="1"/>
      <c r="N30" s="1"/>
      <c r="O30" s="1">
        <v>10</v>
      </c>
      <c r="P30" s="1"/>
      <c r="Q30" s="1"/>
      <c r="R30" s="1">
        <v>10</v>
      </c>
      <c r="S30" s="1">
        <f t="shared" si="3"/>
        <v>0</v>
      </c>
      <c r="T30" s="5">
        <v>10</v>
      </c>
      <c r="U30" s="1" t="e">
        <f t="shared" si="4"/>
        <v>#DIV/0!</v>
      </c>
      <c r="V30" s="1" t="e">
        <f t="shared" si="5"/>
        <v>#DIV/0!</v>
      </c>
      <c r="W30" s="1">
        <v>0</v>
      </c>
      <c r="X30" s="1">
        <v>0.48099999999999998</v>
      </c>
      <c r="Y30" s="1">
        <v>1.6794</v>
      </c>
      <c r="Z30" s="1">
        <v>6.8876000000000008</v>
      </c>
      <c r="AA30" s="1">
        <v>7.1876000000000007</v>
      </c>
      <c r="AB30" s="1">
        <v>1.4984</v>
      </c>
      <c r="AC30" s="1">
        <v>0</v>
      </c>
      <c r="AD30" s="1">
        <v>0</v>
      </c>
      <c r="AE30" s="1">
        <v>0.90600000000000003</v>
      </c>
      <c r="AF30" s="1">
        <v>5.2767999999999997</v>
      </c>
      <c r="AG30" s="1">
        <v>4.3708</v>
      </c>
      <c r="AH30" s="1"/>
      <c r="AI30" s="1">
        <f t="shared" si="10"/>
        <v>10</v>
      </c>
    </row>
    <row r="31" spans="1:35" x14ac:dyDescent="0.25">
      <c r="A31" s="1" t="s">
        <v>69</v>
      </c>
      <c r="B31" s="1" t="s">
        <v>39</v>
      </c>
      <c r="C31" s="1">
        <v>152.22</v>
      </c>
      <c r="D31" s="1">
        <v>1.4419999999999999</v>
      </c>
      <c r="E31" s="1">
        <v>78.679000000000002</v>
      </c>
      <c r="F31" s="1">
        <v>32.463000000000001</v>
      </c>
      <c r="G31" s="7">
        <v>1</v>
      </c>
      <c r="H31" s="1">
        <v>30</v>
      </c>
      <c r="I31" s="1" t="s">
        <v>40</v>
      </c>
      <c r="J31" s="1"/>
      <c r="K31" s="1">
        <v>80.3</v>
      </c>
      <c r="L31" s="1">
        <f t="shared" si="2"/>
        <v>-1.6209999999999951</v>
      </c>
      <c r="M31" s="1"/>
      <c r="N31" s="1"/>
      <c r="O31" s="1">
        <v>0</v>
      </c>
      <c r="P31" s="1"/>
      <c r="Q31" s="1"/>
      <c r="R31" s="1">
        <v>116.123</v>
      </c>
      <c r="S31" s="1">
        <f t="shared" si="3"/>
        <v>15.735800000000001</v>
      </c>
      <c r="T31" s="5">
        <f t="shared" si="9"/>
        <v>40.243600000000022</v>
      </c>
      <c r="U31" s="1">
        <f t="shared" si="4"/>
        <v>12.000000000000002</v>
      </c>
      <c r="V31" s="1">
        <f t="shared" si="5"/>
        <v>9.442545024720701</v>
      </c>
      <c r="W31" s="1">
        <v>19.2578</v>
      </c>
      <c r="X31" s="1">
        <v>9.5378000000000007</v>
      </c>
      <c r="Y31" s="1">
        <v>4.1444000000000001</v>
      </c>
      <c r="Z31" s="1">
        <v>12.799799999999999</v>
      </c>
      <c r="AA31" s="1">
        <v>20.229199999999999</v>
      </c>
      <c r="AB31" s="1">
        <v>9.969199999999999</v>
      </c>
      <c r="AC31" s="1">
        <v>5.0338000000000003</v>
      </c>
      <c r="AD31" s="1">
        <v>7.6532</v>
      </c>
      <c r="AE31" s="1">
        <v>15.609400000000001</v>
      </c>
      <c r="AF31" s="1">
        <v>19.0808</v>
      </c>
      <c r="AG31" s="1">
        <v>10.242800000000001</v>
      </c>
      <c r="AH31" s="1"/>
      <c r="AI31" s="1">
        <f t="shared" si="10"/>
        <v>40.243600000000022</v>
      </c>
    </row>
    <row r="32" spans="1:35" x14ac:dyDescent="0.25">
      <c r="A32" s="1" t="s">
        <v>70</v>
      </c>
      <c r="B32" s="1" t="s">
        <v>39</v>
      </c>
      <c r="C32" s="1">
        <v>74.352999999999994</v>
      </c>
      <c r="D32" s="1">
        <v>6.3680000000000003</v>
      </c>
      <c r="E32" s="1">
        <v>10.128</v>
      </c>
      <c r="F32" s="1">
        <v>18.972000000000001</v>
      </c>
      <c r="G32" s="7">
        <v>1</v>
      </c>
      <c r="H32" s="1">
        <v>50</v>
      </c>
      <c r="I32" s="15" t="s">
        <v>50</v>
      </c>
      <c r="J32" s="1"/>
      <c r="K32" s="1">
        <v>87.2</v>
      </c>
      <c r="L32" s="1">
        <f t="shared" si="2"/>
        <v>-77.072000000000003</v>
      </c>
      <c r="M32" s="1"/>
      <c r="N32" s="1"/>
      <c r="O32" s="1">
        <v>127.560588</v>
      </c>
      <c r="P32" s="1">
        <v>-37</v>
      </c>
      <c r="Q32" s="1"/>
      <c r="R32" s="1">
        <v>0</v>
      </c>
      <c r="S32" s="1">
        <f t="shared" si="3"/>
        <v>2.0255999999999998</v>
      </c>
      <c r="T32" s="5">
        <v>30</v>
      </c>
      <c r="U32" s="1">
        <f t="shared" si="4"/>
        <v>68.884571484992108</v>
      </c>
      <c r="V32" s="1">
        <f t="shared" si="5"/>
        <v>54.074144944707747</v>
      </c>
      <c r="W32" s="1">
        <v>11.801600000000001</v>
      </c>
      <c r="X32" s="1">
        <v>21.644400000000001</v>
      </c>
      <c r="Y32" s="1">
        <v>16.348800000000001</v>
      </c>
      <c r="Z32" s="1">
        <v>13.0716</v>
      </c>
      <c r="AA32" s="1">
        <v>12.183</v>
      </c>
      <c r="AB32" s="1">
        <v>16.6722</v>
      </c>
      <c r="AC32" s="1">
        <v>19.813600000000001</v>
      </c>
      <c r="AD32" s="1">
        <v>12.786799999999999</v>
      </c>
      <c r="AE32" s="1">
        <v>7.3365999999999998</v>
      </c>
      <c r="AF32" s="1">
        <v>20.953199999999999</v>
      </c>
      <c r="AG32" s="1">
        <v>32.764400000000002</v>
      </c>
      <c r="AH32" s="1"/>
      <c r="AI32" s="1">
        <f t="shared" si="10"/>
        <v>30</v>
      </c>
    </row>
    <row r="33" spans="1:35" x14ac:dyDescent="0.25">
      <c r="A33" s="1" t="s">
        <v>71</v>
      </c>
      <c r="B33" s="1" t="s">
        <v>39</v>
      </c>
      <c r="C33" s="1">
        <v>83.65</v>
      </c>
      <c r="D33" s="1">
        <v>5.4050000000000002</v>
      </c>
      <c r="E33" s="1">
        <v>67.881</v>
      </c>
      <c r="F33" s="1">
        <v>6.1639999999999997</v>
      </c>
      <c r="G33" s="7">
        <v>1</v>
      </c>
      <c r="H33" s="1">
        <v>50</v>
      </c>
      <c r="I33" s="1" t="s">
        <v>40</v>
      </c>
      <c r="J33" s="1"/>
      <c r="K33" s="1">
        <v>61.5</v>
      </c>
      <c r="L33" s="1">
        <f t="shared" si="2"/>
        <v>6.3810000000000002</v>
      </c>
      <c r="M33" s="1"/>
      <c r="N33" s="1"/>
      <c r="O33" s="1">
        <v>70.642722000000006</v>
      </c>
      <c r="P33" s="1"/>
      <c r="Q33" s="1"/>
      <c r="R33" s="1">
        <v>123.816278</v>
      </c>
      <c r="S33" s="1">
        <f t="shared" si="3"/>
        <v>13.5762</v>
      </c>
      <c r="T33" s="5"/>
      <c r="U33" s="1">
        <f t="shared" si="4"/>
        <v>14.777551892282082</v>
      </c>
      <c r="V33" s="1">
        <f t="shared" si="5"/>
        <v>14.777551892282082</v>
      </c>
      <c r="W33" s="1">
        <v>20.1646</v>
      </c>
      <c r="X33" s="1">
        <v>12.2386</v>
      </c>
      <c r="Y33" s="1">
        <v>7.5937999999999999</v>
      </c>
      <c r="Z33" s="1">
        <v>11.585599999999999</v>
      </c>
      <c r="AA33" s="1">
        <v>11.974</v>
      </c>
      <c r="AB33" s="1">
        <v>13.573399999999999</v>
      </c>
      <c r="AC33" s="1">
        <v>14.6586</v>
      </c>
      <c r="AD33" s="1">
        <v>12.297599999999999</v>
      </c>
      <c r="AE33" s="1">
        <v>10.6524</v>
      </c>
      <c r="AF33" s="1">
        <v>7.8666</v>
      </c>
      <c r="AG33" s="1">
        <v>12.2232</v>
      </c>
      <c r="AH33" s="1"/>
      <c r="AI33" s="1">
        <f t="shared" si="10"/>
        <v>0</v>
      </c>
    </row>
    <row r="34" spans="1:35" x14ac:dyDescent="0.25">
      <c r="A34" s="1" t="s">
        <v>72</v>
      </c>
      <c r="B34" s="1" t="s">
        <v>44</v>
      </c>
      <c r="C34" s="1">
        <v>51.505000000000003</v>
      </c>
      <c r="D34" s="1">
        <v>1614</v>
      </c>
      <c r="E34" s="1">
        <v>847</v>
      </c>
      <c r="F34" s="1">
        <v>284.505</v>
      </c>
      <c r="G34" s="7">
        <v>0.4</v>
      </c>
      <c r="H34" s="1">
        <v>45</v>
      </c>
      <c r="I34" s="15" t="s">
        <v>50</v>
      </c>
      <c r="J34" s="1"/>
      <c r="K34" s="1">
        <v>1522</v>
      </c>
      <c r="L34" s="1">
        <f t="shared" si="2"/>
        <v>-675</v>
      </c>
      <c r="M34" s="1"/>
      <c r="N34" s="1"/>
      <c r="O34" s="1">
        <v>591.29775000000018</v>
      </c>
      <c r="P34" s="1"/>
      <c r="Q34" s="1"/>
      <c r="R34" s="1">
        <v>420</v>
      </c>
      <c r="S34" s="1">
        <f t="shared" si="3"/>
        <v>169.4</v>
      </c>
      <c r="T34" s="5">
        <v>550</v>
      </c>
      <c r="U34" s="1">
        <f t="shared" si="4"/>
        <v>10.89612012987013</v>
      </c>
      <c r="V34" s="1">
        <f t="shared" si="5"/>
        <v>7.6493668831168842</v>
      </c>
      <c r="W34" s="1">
        <v>158.80000000000001</v>
      </c>
      <c r="X34" s="1">
        <v>244.8</v>
      </c>
      <c r="Y34" s="1">
        <v>275.8</v>
      </c>
      <c r="Z34" s="1">
        <v>345</v>
      </c>
      <c r="AA34" s="1">
        <v>296.8</v>
      </c>
      <c r="AB34" s="1">
        <v>241.8</v>
      </c>
      <c r="AC34" s="1">
        <v>278.8</v>
      </c>
      <c r="AD34" s="1">
        <v>324.39999999999998</v>
      </c>
      <c r="AE34" s="1">
        <v>336.4</v>
      </c>
      <c r="AF34" s="1">
        <v>363</v>
      </c>
      <c r="AG34" s="1">
        <v>355.6</v>
      </c>
      <c r="AH34" s="1"/>
      <c r="AI34" s="1">
        <f t="shared" si="10"/>
        <v>220</v>
      </c>
    </row>
    <row r="35" spans="1:35" x14ac:dyDescent="0.25">
      <c r="A35" s="1" t="s">
        <v>73</v>
      </c>
      <c r="B35" s="1" t="s">
        <v>44</v>
      </c>
      <c r="C35" s="1">
        <v>378</v>
      </c>
      <c r="D35" s="1">
        <v>2</v>
      </c>
      <c r="E35" s="1">
        <v>235</v>
      </c>
      <c r="F35" s="1">
        <v>-56</v>
      </c>
      <c r="G35" s="7">
        <v>0.45</v>
      </c>
      <c r="H35" s="1">
        <v>50</v>
      </c>
      <c r="I35" s="1" t="s">
        <v>40</v>
      </c>
      <c r="J35" s="1"/>
      <c r="K35" s="1">
        <v>240</v>
      </c>
      <c r="L35" s="1">
        <f t="shared" si="2"/>
        <v>-5</v>
      </c>
      <c r="M35" s="1"/>
      <c r="N35" s="1"/>
      <c r="O35" s="1">
        <v>382.28</v>
      </c>
      <c r="P35" s="1"/>
      <c r="Q35" s="1"/>
      <c r="R35" s="1">
        <v>329.12000000000012</v>
      </c>
      <c r="S35" s="1">
        <f t="shared" si="3"/>
        <v>47</v>
      </c>
      <c r="T35" s="5"/>
      <c r="U35" s="1">
        <f t="shared" si="4"/>
        <v>13.944680851063831</v>
      </c>
      <c r="V35" s="1">
        <f t="shared" si="5"/>
        <v>13.944680851063831</v>
      </c>
      <c r="W35" s="1">
        <v>69.400000000000006</v>
      </c>
      <c r="X35" s="1">
        <v>64</v>
      </c>
      <c r="Y35" s="1">
        <v>59.8</v>
      </c>
      <c r="Z35" s="1">
        <v>55.6</v>
      </c>
      <c r="AA35" s="1">
        <v>41.6</v>
      </c>
      <c r="AB35" s="1">
        <v>39.4</v>
      </c>
      <c r="AC35" s="1">
        <v>68.8</v>
      </c>
      <c r="AD35" s="1">
        <v>92.6</v>
      </c>
      <c r="AE35" s="1">
        <v>61</v>
      </c>
      <c r="AF35" s="1">
        <v>66.8</v>
      </c>
      <c r="AG35" s="1">
        <v>81</v>
      </c>
      <c r="AH35" s="1"/>
      <c r="AI35" s="1">
        <f t="shared" si="10"/>
        <v>0</v>
      </c>
    </row>
    <row r="36" spans="1:35" x14ac:dyDescent="0.25">
      <c r="A36" s="1" t="s">
        <v>74</v>
      </c>
      <c r="B36" s="1" t="s">
        <v>44</v>
      </c>
      <c r="C36" s="1">
        <v>-14</v>
      </c>
      <c r="D36" s="1">
        <v>2</v>
      </c>
      <c r="E36" s="1">
        <v>1</v>
      </c>
      <c r="F36" s="1">
        <v>-14</v>
      </c>
      <c r="G36" s="7">
        <v>0.4</v>
      </c>
      <c r="H36" s="1">
        <v>45</v>
      </c>
      <c r="I36" s="15" t="s">
        <v>50</v>
      </c>
      <c r="J36" s="1"/>
      <c r="K36" s="1">
        <v>121</v>
      </c>
      <c r="L36" s="1">
        <f t="shared" si="2"/>
        <v>-120</v>
      </c>
      <c r="M36" s="1"/>
      <c r="N36" s="1"/>
      <c r="O36" s="1">
        <v>135</v>
      </c>
      <c r="P36" s="1">
        <v>-137.5</v>
      </c>
      <c r="Q36" s="1"/>
      <c r="R36" s="1">
        <v>175</v>
      </c>
      <c r="S36" s="1">
        <f t="shared" si="3"/>
        <v>0.2</v>
      </c>
      <c r="T36" s="5">
        <v>230</v>
      </c>
      <c r="U36" s="1">
        <f t="shared" si="4"/>
        <v>1942.5</v>
      </c>
      <c r="V36" s="1">
        <f t="shared" si="5"/>
        <v>792.5</v>
      </c>
      <c r="W36" s="1">
        <v>60.2</v>
      </c>
      <c r="X36" s="1">
        <v>66.2</v>
      </c>
      <c r="Y36" s="1">
        <v>45.2</v>
      </c>
      <c r="Z36" s="1">
        <v>106.8</v>
      </c>
      <c r="AA36" s="1">
        <v>113.8</v>
      </c>
      <c r="AB36" s="1">
        <v>107</v>
      </c>
      <c r="AC36" s="1">
        <v>101.8</v>
      </c>
      <c r="AD36" s="1">
        <v>124.8</v>
      </c>
      <c r="AE36" s="1">
        <v>136.80000000000001</v>
      </c>
      <c r="AF36" s="1">
        <v>134</v>
      </c>
      <c r="AG36" s="1">
        <v>123.8</v>
      </c>
      <c r="AH36" s="1"/>
      <c r="AI36" s="1">
        <f t="shared" si="10"/>
        <v>92</v>
      </c>
    </row>
    <row r="37" spans="1:35" x14ac:dyDescent="0.25">
      <c r="A37" s="1" t="s">
        <v>75</v>
      </c>
      <c r="B37" s="1" t="s">
        <v>44</v>
      </c>
      <c r="C37" s="1">
        <v>-6</v>
      </c>
      <c r="D37" s="1">
        <v>42</v>
      </c>
      <c r="E37" s="1">
        <v>28</v>
      </c>
      <c r="F37" s="1">
        <v>4</v>
      </c>
      <c r="G37" s="7">
        <v>0.4</v>
      </c>
      <c r="H37" s="1">
        <v>40</v>
      </c>
      <c r="I37" s="15" t="s">
        <v>50</v>
      </c>
      <c r="J37" s="1"/>
      <c r="K37" s="1">
        <v>84</v>
      </c>
      <c r="L37" s="1">
        <f t="shared" si="2"/>
        <v>-56</v>
      </c>
      <c r="M37" s="1"/>
      <c r="N37" s="1"/>
      <c r="O37" s="1">
        <v>25</v>
      </c>
      <c r="P37" s="1">
        <v>-30</v>
      </c>
      <c r="Q37" s="1"/>
      <c r="R37" s="1">
        <v>42</v>
      </c>
      <c r="S37" s="1">
        <f t="shared" si="3"/>
        <v>5.6</v>
      </c>
      <c r="T37" s="5">
        <v>50</v>
      </c>
      <c r="U37" s="1">
        <f t="shared" si="4"/>
        <v>16.25</v>
      </c>
      <c r="V37" s="1">
        <f t="shared" si="5"/>
        <v>7.3214285714285721</v>
      </c>
      <c r="W37" s="1">
        <v>12.6</v>
      </c>
      <c r="X37" s="1">
        <v>17.600000000000001</v>
      </c>
      <c r="Y37" s="1">
        <v>16.8</v>
      </c>
      <c r="Z37" s="1">
        <v>16.2</v>
      </c>
      <c r="AA37" s="1">
        <v>11.8</v>
      </c>
      <c r="AB37" s="1">
        <v>10.6</v>
      </c>
      <c r="AC37" s="1">
        <v>20.6</v>
      </c>
      <c r="AD37" s="1">
        <v>26</v>
      </c>
      <c r="AE37" s="1">
        <v>27.2</v>
      </c>
      <c r="AF37" s="1">
        <v>26</v>
      </c>
      <c r="AG37" s="1">
        <v>11</v>
      </c>
      <c r="AH37" s="1"/>
      <c r="AI37" s="1">
        <f t="shared" si="10"/>
        <v>20</v>
      </c>
    </row>
    <row r="38" spans="1:35" x14ac:dyDescent="0.25">
      <c r="A38" s="1" t="s">
        <v>76</v>
      </c>
      <c r="B38" s="1" t="s">
        <v>39</v>
      </c>
      <c r="C38" s="1">
        <v>39.874000000000002</v>
      </c>
      <c r="D38" s="1"/>
      <c r="E38" s="1">
        <v>48.18</v>
      </c>
      <c r="F38" s="1">
        <v>1.2509999999999999</v>
      </c>
      <c r="G38" s="7">
        <v>1</v>
      </c>
      <c r="H38" s="1">
        <v>45</v>
      </c>
      <c r="I38" s="1" t="s">
        <v>40</v>
      </c>
      <c r="J38" s="1"/>
      <c r="K38" s="1">
        <v>52.3</v>
      </c>
      <c r="L38" s="1">
        <f t="shared" ref="L38:L69" si="11">E38-K38</f>
        <v>-4.1199999999999974</v>
      </c>
      <c r="M38" s="1"/>
      <c r="N38" s="1"/>
      <c r="O38" s="1">
        <v>33.590000000000003</v>
      </c>
      <c r="P38" s="1"/>
      <c r="Q38" s="1"/>
      <c r="R38" s="1">
        <v>89.600599999999986</v>
      </c>
      <c r="S38" s="1">
        <f t="shared" ref="S38:S69" si="12">E38/5</f>
        <v>9.6359999999999992</v>
      </c>
      <c r="T38" s="5"/>
      <c r="U38" s="1">
        <f t="shared" ref="U38:U69" si="13">(F38+O38+P38+Q38+R38+T38)/S38</f>
        <v>12.914238273142383</v>
      </c>
      <c r="V38" s="1">
        <f t="shared" ref="V38:V69" si="14">(F38+O38+P38+Q38+R38)/S38</f>
        <v>12.914238273142383</v>
      </c>
      <c r="W38" s="1">
        <v>15.555199999999999</v>
      </c>
      <c r="X38" s="1">
        <v>6.1219999999999999</v>
      </c>
      <c r="Y38" s="1">
        <v>-6.3E-2</v>
      </c>
      <c r="Z38" s="1">
        <v>5.2148000000000003</v>
      </c>
      <c r="AA38" s="1">
        <v>6.1369999999999996</v>
      </c>
      <c r="AB38" s="1">
        <v>4.6671999999999993</v>
      </c>
      <c r="AC38" s="1">
        <v>6.0350000000000001</v>
      </c>
      <c r="AD38" s="1">
        <v>5.3391999999999999</v>
      </c>
      <c r="AE38" s="1">
        <v>4.4689999999999994</v>
      </c>
      <c r="AF38" s="1">
        <v>1.9303999999999999</v>
      </c>
      <c r="AG38" s="1">
        <v>2.2482000000000002</v>
      </c>
      <c r="AH38" s="1"/>
      <c r="AI38" s="1">
        <f t="shared" si="10"/>
        <v>0</v>
      </c>
    </row>
    <row r="39" spans="1:35" x14ac:dyDescent="0.25">
      <c r="A39" s="1" t="s">
        <v>77</v>
      </c>
      <c r="B39" s="1" t="s">
        <v>44</v>
      </c>
      <c r="C39" s="1">
        <v>230</v>
      </c>
      <c r="D39" s="1"/>
      <c r="E39" s="1">
        <v>103</v>
      </c>
      <c r="F39" s="1">
        <v>103</v>
      </c>
      <c r="G39" s="7">
        <v>0.1</v>
      </c>
      <c r="H39" s="1">
        <v>731</v>
      </c>
      <c r="I39" s="1" t="s">
        <v>40</v>
      </c>
      <c r="J39" s="1"/>
      <c r="K39" s="1">
        <v>106</v>
      </c>
      <c r="L39" s="1">
        <f t="shared" si="11"/>
        <v>-3</v>
      </c>
      <c r="M39" s="1"/>
      <c r="N39" s="1"/>
      <c r="O39" s="1">
        <v>0</v>
      </c>
      <c r="P39" s="1"/>
      <c r="Q39" s="1"/>
      <c r="R39" s="1">
        <v>33.800000000000011</v>
      </c>
      <c r="S39" s="1">
        <f t="shared" si="12"/>
        <v>20.6</v>
      </c>
      <c r="T39" s="5">
        <f t="shared" si="9"/>
        <v>110.4</v>
      </c>
      <c r="U39" s="1">
        <f t="shared" si="13"/>
        <v>12</v>
      </c>
      <c r="V39" s="1">
        <f t="shared" si="14"/>
        <v>6.6407766990291259</v>
      </c>
      <c r="W39" s="1">
        <v>18.8</v>
      </c>
      <c r="X39" s="1">
        <v>12.2</v>
      </c>
      <c r="Y39" s="1">
        <v>7.6</v>
      </c>
      <c r="Z39" s="1">
        <v>11.8</v>
      </c>
      <c r="AA39" s="1">
        <v>17.600000000000001</v>
      </c>
      <c r="AB39" s="1">
        <v>22.8</v>
      </c>
      <c r="AC39" s="1">
        <v>20.2</v>
      </c>
      <c r="AD39" s="1">
        <v>22</v>
      </c>
      <c r="AE39" s="1">
        <v>19.399999999999999</v>
      </c>
      <c r="AF39" s="1">
        <v>23.4</v>
      </c>
      <c r="AG39" s="1">
        <v>27.4</v>
      </c>
      <c r="AH39" s="1"/>
      <c r="AI39" s="1">
        <f t="shared" si="10"/>
        <v>11.040000000000001</v>
      </c>
    </row>
    <row r="40" spans="1:35" x14ac:dyDescent="0.25">
      <c r="A40" s="1" t="s">
        <v>78</v>
      </c>
      <c r="B40" s="1" t="s">
        <v>44</v>
      </c>
      <c r="C40" s="1"/>
      <c r="D40" s="1"/>
      <c r="E40" s="1">
        <v>-12</v>
      </c>
      <c r="F40" s="1"/>
      <c r="G40" s="7">
        <v>0.35</v>
      </c>
      <c r="H40" s="1">
        <v>40</v>
      </c>
      <c r="I40" s="15" t="s">
        <v>50</v>
      </c>
      <c r="J40" s="1"/>
      <c r="K40" s="1">
        <v>24</v>
      </c>
      <c r="L40" s="1">
        <f t="shared" si="11"/>
        <v>-36</v>
      </c>
      <c r="M40" s="1"/>
      <c r="N40" s="1"/>
      <c r="O40" s="1">
        <v>25</v>
      </c>
      <c r="P40" s="1">
        <v>-31.428571428571431</v>
      </c>
      <c r="Q40" s="1"/>
      <c r="R40" s="1">
        <v>42</v>
      </c>
      <c r="S40" s="1">
        <f t="shared" si="12"/>
        <v>-2.4</v>
      </c>
      <c r="T40" s="5">
        <v>50</v>
      </c>
      <c r="U40" s="1">
        <f t="shared" si="13"/>
        <v>-35.654761904761905</v>
      </c>
      <c r="V40" s="1">
        <f t="shared" si="14"/>
        <v>-14.821428571428571</v>
      </c>
      <c r="W40" s="1">
        <v>-2.8</v>
      </c>
      <c r="X40" s="1">
        <v>-1.6</v>
      </c>
      <c r="Y40" s="1">
        <v>-1</v>
      </c>
      <c r="Z40" s="1">
        <v>-1.4</v>
      </c>
      <c r="AA40" s="1">
        <v>-0.8</v>
      </c>
      <c r="AB40" s="1">
        <v>10.8</v>
      </c>
      <c r="AC40" s="1">
        <v>15.8</v>
      </c>
      <c r="AD40" s="1">
        <v>20.2</v>
      </c>
      <c r="AE40" s="1">
        <v>28.4</v>
      </c>
      <c r="AF40" s="1">
        <v>33</v>
      </c>
      <c r="AG40" s="1">
        <v>19.600000000000001</v>
      </c>
      <c r="AH40" s="1"/>
      <c r="AI40" s="1">
        <f t="shared" si="10"/>
        <v>17.5</v>
      </c>
    </row>
    <row r="41" spans="1:35" x14ac:dyDescent="0.25">
      <c r="A41" s="1" t="s">
        <v>79</v>
      </c>
      <c r="B41" s="1" t="s">
        <v>39</v>
      </c>
      <c r="C41" s="1">
        <v>23.353000000000002</v>
      </c>
      <c r="D41" s="1"/>
      <c r="E41" s="1">
        <v>27.029</v>
      </c>
      <c r="F41" s="1">
        <v>4.3559999999999999</v>
      </c>
      <c r="G41" s="7">
        <v>1</v>
      </c>
      <c r="H41" s="1">
        <v>40</v>
      </c>
      <c r="I41" s="15" t="s">
        <v>50</v>
      </c>
      <c r="J41" s="1"/>
      <c r="K41" s="1">
        <v>49.8</v>
      </c>
      <c r="L41" s="1">
        <f t="shared" si="11"/>
        <v>-22.770999999999997</v>
      </c>
      <c r="M41" s="1"/>
      <c r="N41" s="1"/>
      <c r="O41" s="1">
        <v>20</v>
      </c>
      <c r="P41" s="1">
        <v>-21</v>
      </c>
      <c r="Q41" s="1"/>
      <c r="R41" s="1">
        <v>30</v>
      </c>
      <c r="S41" s="1">
        <f t="shared" si="12"/>
        <v>5.4058000000000002</v>
      </c>
      <c r="T41" s="5">
        <v>40</v>
      </c>
      <c r="U41" s="1">
        <f t="shared" si="13"/>
        <v>13.569869399533832</v>
      </c>
      <c r="V41" s="1">
        <f t="shared" si="14"/>
        <v>6.1704095601021125</v>
      </c>
      <c r="W41" s="1">
        <v>14.0082</v>
      </c>
      <c r="X41" s="1">
        <v>16.4742</v>
      </c>
      <c r="Y41" s="1">
        <v>12.819800000000001</v>
      </c>
      <c r="Z41" s="1">
        <v>11.537800000000001</v>
      </c>
      <c r="AA41" s="1">
        <v>8.0475999999999992</v>
      </c>
      <c r="AB41" s="1">
        <v>10.005599999999999</v>
      </c>
      <c r="AC41" s="1">
        <v>12.919600000000001</v>
      </c>
      <c r="AD41" s="1">
        <v>11.806800000000001</v>
      </c>
      <c r="AE41" s="1">
        <v>7.1319999999999997</v>
      </c>
      <c r="AF41" s="1">
        <v>-0.14000000000000001</v>
      </c>
      <c r="AG41" s="1">
        <v>1.7484</v>
      </c>
      <c r="AH41" s="1"/>
      <c r="AI41" s="1">
        <f t="shared" si="10"/>
        <v>40</v>
      </c>
    </row>
    <row r="42" spans="1:35" x14ac:dyDescent="0.25">
      <c r="A42" s="12" t="s">
        <v>80</v>
      </c>
      <c r="B42" s="12" t="s">
        <v>44</v>
      </c>
      <c r="C42" s="12">
        <v>-1</v>
      </c>
      <c r="D42" s="12">
        <v>3</v>
      </c>
      <c r="E42" s="12"/>
      <c r="F42" s="12">
        <v>1</v>
      </c>
      <c r="G42" s="13">
        <v>0</v>
      </c>
      <c r="H42" s="12">
        <v>50</v>
      </c>
      <c r="I42" s="12" t="s">
        <v>81</v>
      </c>
      <c r="J42" s="12"/>
      <c r="K42" s="12">
        <v>13</v>
      </c>
      <c r="L42" s="12">
        <f t="shared" si="11"/>
        <v>-13</v>
      </c>
      <c r="M42" s="12"/>
      <c r="N42" s="12"/>
      <c r="O42" s="12">
        <v>0</v>
      </c>
      <c r="P42" s="12"/>
      <c r="Q42" s="12"/>
      <c r="R42" s="12">
        <v>0</v>
      </c>
      <c r="S42" s="12">
        <f t="shared" si="12"/>
        <v>0</v>
      </c>
      <c r="T42" s="14"/>
      <c r="U42" s="12" t="e">
        <f t="shared" si="13"/>
        <v>#DIV/0!</v>
      </c>
      <c r="V42" s="12" t="e">
        <f t="shared" si="14"/>
        <v>#DIV/0!</v>
      </c>
      <c r="W42" s="12">
        <v>1.4</v>
      </c>
      <c r="X42" s="12">
        <v>2.6</v>
      </c>
      <c r="Y42" s="12">
        <v>2.2000000000000002</v>
      </c>
      <c r="Z42" s="12">
        <v>4.4000000000000004</v>
      </c>
      <c r="AA42" s="12">
        <v>4</v>
      </c>
      <c r="AB42" s="12">
        <v>2.2000000000000002</v>
      </c>
      <c r="AC42" s="12">
        <v>3.2</v>
      </c>
      <c r="AD42" s="12">
        <v>7</v>
      </c>
      <c r="AE42" s="12">
        <v>7</v>
      </c>
      <c r="AF42" s="12">
        <v>4.5999999999999996</v>
      </c>
      <c r="AG42" s="12">
        <v>4.5999999999999996</v>
      </c>
      <c r="AH42" s="12"/>
      <c r="AI42" s="12"/>
    </row>
    <row r="43" spans="1:35" x14ac:dyDescent="0.25">
      <c r="A43" s="1" t="s">
        <v>82</v>
      </c>
      <c r="B43" s="1" t="s">
        <v>44</v>
      </c>
      <c r="C43" s="1">
        <v>60</v>
      </c>
      <c r="D43" s="1">
        <v>43</v>
      </c>
      <c r="E43" s="1">
        <v>44</v>
      </c>
      <c r="F43" s="1">
        <v>54</v>
      </c>
      <c r="G43" s="7">
        <v>0.4</v>
      </c>
      <c r="H43" s="1">
        <v>40</v>
      </c>
      <c r="I43" s="15" t="s">
        <v>50</v>
      </c>
      <c r="J43" s="1"/>
      <c r="K43" s="1">
        <v>227</v>
      </c>
      <c r="L43" s="1">
        <f t="shared" si="11"/>
        <v>-183</v>
      </c>
      <c r="M43" s="1"/>
      <c r="N43" s="1"/>
      <c r="O43" s="1">
        <v>30</v>
      </c>
      <c r="P43" s="1"/>
      <c r="Q43" s="1"/>
      <c r="R43" s="1">
        <v>70</v>
      </c>
      <c r="S43" s="1">
        <f t="shared" si="12"/>
        <v>8.8000000000000007</v>
      </c>
      <c r="T43" s="5">
        <v>50</v>
      </c>
      <c r="U43" s="1">
        <f t="shared" si="13"/>
        <v>23.18181818181818</v>
      </c>
      <c r="V43" s="1">
        <f t="shared" si="14"/>
        <v>17.5</v>
      </c>
      <c r="W43" s="1">
        <v>24.4</v>
      </c>
      <c r="X43" s="1">
        <v>15.4</v>
      </c>
      <c r="Y43" s="1">
        <v>-2.2000000000000002</v>
      </c>
      <c r="Z43" s="1">
        <v>-2.4</v>
      </c>
      <c r="AA43" s="1">
        <v>-3.6</v>
      </c>
      <c r="AB43" s="1">
        <v>-4.2</v>
      </c>
      <c r="AC43" s="1">
        <v>-3</v>
      </c>
      <c r="AD43" s="1">
        <v>8.4</v>
      </c>
      <c r="AE43" s="1">
        <v>11.2</v>
      </c>
      <c r="AF43" s="1">
        <v>18.8</v>
      </c>
      <c r="AG43" s="1">
        <v>25.6</v>
      </c>
      <c r="AH43" s="1"/>
      <c r="AI43" s="1">
        <f t="shared" ref="AI43:AI68" si="15">G43*T43</f>
        <v>20</v>
      </c>
    </row>
    <row r="44" spans="1:35" x14ac:dyDescent="0.25">
      <c r="A44" s="1" t="s">
        <v>83</v>
      </c>
      <c r="B44" s="1" t="s">
        <v>44</v>
      </c>
      <c r="C44" s="1">
        <v>202</v>
      </c>
      <c r="D44" s="1">
        <v>159</v>
      </c>
      <c r="E44" s="1">
        <v>212</v>
      </c>
      <c r="F44" s="1">
        <v>101</v>
      </c>
      <c r="G44" s="7">
        <v>0.4</v>
      </c>
      <c r="H44" s="1">
        <v>45</v>
      </c>
      <c r="I44" s="15" t="s">
        <v>50</v>
      </c>
      <c r="J44" s="1"/>
      <c r="K44" s="1">
        <v>240</v>
      </c>
      <c r="L44" s="1">
        <f t="shared" si="11"/>
        <v>-28</v>
      </c>
      <c r="M44" s="1"/>
      <c r="N44" s="1"/>
      <c r="O44" s="1">
        <v>45</v>
      </c>
      <c r="P44" s="1"/>
      <c r="Q44" s="1"/>
      <c r="R44" s="1">
        <v>84</v>
      </c>
      <c r="S44" s="1">
        <f t="shared" si="12"/>
        <v>42.4</v>
      </c>
      <c r="T44" s="5">
        <v>150</v>
      </c>
      <c r="U44" s="1">
        <f t="shared" si="13"/>
        <v>8.9622641509433958</v>
      </c>
      <c r="V44" s="1">
        <f t="shared" si="14"/>
        <v>5.4245283018867925</v>
      </c>
      <c r="W44" s="1">
        <v>40.799999999999997</v>
      </c>
      <c r="X44" s="1">
        <v>18.2</v>
      </c>
      <c r="Y44" s="1">
        <v>29.8</v>
      </c>
      <c r="Z44" s="1">
        <v>45.4</v>
      </c>
      <c r="AA44" s="1">
        <v>46.2</v>
      </c>
      <c r="AB44" s="1">
        <v>24.8</v>
      </c>
      <c r="AC44" s="1">
        <v>1</v>
      </c>
      <c r="AD44" s="1">
        <v>13.4</v>
      </c>
      <c r="AE44" s="1">
        <v>25.4</v>
      </c>
      <c r="AF44" s="1">
        <v>53.4</v>
      </c>
      <c r="AG44" s="1">
        <v>48.2</v>
      </c>
      <c r="AH44" s="1"/>
      <c r="AI44" s="1">
        <f t="shared" si="15"/>
        <v>60</v>
      </c>
    </row>
    <row r="45" spans="1:35" x14ac:dyDescent="0.25">
      <c r="A45" s="1" t="s">
        <v>84</v>
      </c>
      <c r="B45" s="1" t="s">
        <v>39</v>
      </c>
      <c r="C45" s="1">
        <v>-5.0670000000000002</v>
      </c>
      <c r="D45" s="1"/>
      <c r="E45" s="1">
        <v>8.7449999999999992</v>
      </c>
      <c r="F45" s="1">
        <v>-9.4359999999999999</v>
      </c>
      <c r="G45" s="7">
        <v>1</v>
      </c>
      <c r="H45" s="1">
        <v>40</v>
      </c>
      <c r="I45" s="15" t="s">
        <v>50</v>
      </c>
      <c r="J45" s="1"/>
      <c r="K45" s="1">
        <v>22.7</v>
      </c>
      <c r="L45" s="1">
        <f t="shared" si="11"/>
        <v>-13.955</v>
      </c>
      <c r="M45" s="1"/>
      <c r="N45" s="1"/>
      <c r="O45" s="1">
        <v>25</v>
      </c>
      <c r="P45" s="1">
        <v>-25</v>
      </c>
      <c r="Q45" s="1"/>
      <c r="R45" s="1">
        <v>42</v>
      </c>
      <c r="S45" s="1">
        <f t="shared" si="12"/>
        <v>1.7489999999999999</v>
      </c>
      <c r="T45" s="5">
        <v>55</v>
      </c>
      <c r="U45" s="1">
        <f t="shared" si="13"/>
        <v>50.065180102915953</v>
      </c>
      <c r="V45" s="1">
        <f t="shared" si="14"/>
        <v>18.61863922241281</v>
      </c>
      <c r="W45" s="1">
        <v>10.768800000000001</v>
      </c>
      <c r="X45" s="1">
        <v>16.7926</v>
      </c>
      <c r="Y45" s="1">
        <v>16.431999999999999</v>
      </c>
      <c r="Z45" s="1">
        <v>25.953600000000002</v>
      </c>
      <c r="AA45" s="1">
        <v>18.532599999999999</v>
      </c>
      <c r="AB45" s="1">
        <v>11.743399999999999</v>
      </c>
      <c r="AC45" s="1">
        <v>20.163799999999998</v>
      </c>
      <c r="AD45" s="1">
        <v>20.949200000000001</v>
      </c>
      <c r="AE45" s="1">
        <v>12.702400000000001</v>
      </c>
      <c r="AF45" s="1">
        <v>19.9008</v>
      </c>
      <c r="AG45" s="1">
        <v>25.02</v>
      </c>
      <c r="AH45" s="1"/>
      <c r="AI45" s="1">
        <f t="shared" si="15"/>
        <v>55</v>
      </c>
    </row>
    <row r="46" spans="1:35" x14ac:dyDescent="0.25">
      <c r="A46" s="1" t="s">
        <v>85</v>
      </c>
      <c r="B46" s="1" t="s">
        <v>44</v>
      </c>
      <c r="C46" s="1">
        <v>48</v>
      </c>
      <c r="D46" s="1">
        <v>1</v>
      </c>
      <c r="E46" s="1">
        <v>69</v>
      </c>
      <c r="F46" s="1">
        <v>-12</v>
      </c>
      <c r="G46" s="7">
        <v>0.35</v>
      </c>
      <c r="H46" s="1">
        <v>40</v>
      </c>
      <c r="I46" s="15" t="s">
        <v>50</v>
      </c>
      <c r="J46" s="1"/>
      <c r="K46" s="1">
        <v>139</v>
      </c>
      <c r="L46" s="1">
        <f t="shared" si="11"/>
        <v>-70</v>
      </c>
      <c r="M46" s="1"/>
      <c r="N46" s="1"/>
      <c r="O46" s="1">
        <v>54</v>
      </c>
      <c r="P46" s="1">
        <v>-60.000000000000007</v>
      </c>
      <c r="Q46" s="1"/>
      <c r="R46" s="1">
        <v>105</v>
      </c>
      <c r="S46" s="1">
        <f t="shared" si="12"/>
        <v>13.8</v>
      </c>
      <c r="T46" s="5">
        <v>140</v>
      </c>
      <c r="U46" s="1">
        <f t="shared" si="13"/>
        <v>16.44927536231884</v>
      </c>
      <c r="V46" s="1">
        <f t="shared" si="14"/>
        <v>6.3043478260869561</v>
      </c>
      <c r="W46" s="1">
        <v>44.6</v>
      </c>
      <c r="X46" s="1">
        <v>77</v>
      </c>
      <c r="Y46" s="1">
        <v>65.400000000000006</v>
      </c>
      <c r="Z46" s="1">
        <v>53.2</v>
      </c>
      <c r="AA46" s="1">
        <v>48.8</v>
      </c>
      <c r="AB46" s="1">
        <v>40.6</v>
      </c>
      <c r="AC46" s="1">
        <v>37.200000000000003</v>
      </c>
      <c r="AD46" s="1">
        <v>44</v>
      </c>
      <c r="AE46" s="1">
        <v>52.6</v>
      </c>
      <c r="AF46" s="1">
        <v>65.599999999999994</v>
      </c>
      <c r="AG46" s="1">
        <v>46.2</v>
      </c>
      <c r="AH46" s="1"/>
      <c r="AI46" s="1">
        <f t="shared" si="15"/>
        <v>49</v>
      </c>
    </row>
    <row r="47" spans="1:35" x14ac:dyDescent="0.25">
      <c r="A47" s="1" t="s">
        <v>86</v>
      </c>
      <c r="B47" s="1" t="s">
        <v>44</v>
      </c>
      <c r="C47" s="1">
        <v>141</v>
      </c>
      <c r="D47" s="1">
        <v>161</v>
      </c>
      <c r="E47" s="1">
        <v>297</v>
      </c>
      <c r="F47" s="1">
        <v>7</v>
      </c>
      <c r="G47" s="7">
        <v>0.4</v>
      </c>
      <c r="H47" s="1">
        <v>40</v>
      </c>
      <c r="I47" s="1" t="s">
        <v>40</v>
      </c>
      <c r="J47" s="1"/>
      <c r="K47" s="1">
        <v>379</v>
      </c>
      <c r="L47" s="1">
        <f t="shared" si="11"/>
        <v>-82</v>
      </c>
      <c r="M47" s="1"/>
      <c r="N47" s="1"/>
      <c r="O47" s="1">
        <v>298.42400000000009</v>
      </c>
      <c r="P47" s="1"/>
      <c r="Q47" s="1"/>
      <c r="R47" s="1">
        <v>422.976</v>
      </c>
      <c r="S47" s="1">
        <f t="shared" si="12"/>
        <v>59.4</v>
      </c>
      <c r="T47" s="5"/>
      <c r="U47" s="1">
        <f t="shared" si="13"/>
        <v>12.262626262626265</v>
      </c>
      <c r="V47" s="1">
        <f t="shared" si="14"/>
        <v>12.262626262626265</v>
      </c>
      <c r="W47" s="1">
        <v>74.400000000000006</v>
      </c>
      <c r="X47" s="1">
        <v>51.2</v>
      </c>
      <c r="Y47" s="1">
        <v>37.4</v>
      </c>
      <c r="Z47" s="1">
        <v>52.2</v>
      </c>
      <c r="AA47" s="1">
        <v>49.4</v>
      </c>
      <c r="AB47" s="1">
        <v>36</v>
      </c>
      <c r="AC47" s="1">
        <v>40.799999999999997</v>
      </c>
      <c r="AD47" s="1">
        <v>54</v>
      </c>
      <c r="AE47" s="1">
        <v>35.799999999999997</v>
      </c>
      <c r="AF47" s="1">
        <v>5.6</v>
      </c>
      <c r="AG47" s="1">
        <v>1</v>
      </c>
      <c r="AH47" s="1"/>
      <c r="AI47" s="1">
        <f t="shared" si="15"/>
        <v>0</v>
      </c>
    </row>
    <row r="48" spans="1:35" x14ac:dyDescent="0.25">
      <c r="A48" s="1" t="s">
        <v>87</v>
      </c>
      <c r="B48" s="1" t="s">
        <v>39</v>
      </c>
      <c r="C48" s="1">
        <v>47.493000000000002</v>
      </c>
      <c r="D48" s="1">
        <v>109.432</v>
      </c>
      <c r="E48" s="1">
        <v>79.418999999999997</v>
      </c>
      <c r="F48" s="1">
        <v>62.136000000000003</v>
      </c>
      <c r="G48" s="7">
        <v>1</v>
      </c>
      <c r="H48" s="1">
        <v>50</v>
      </c>
      <c r="I48" s="1" t="s">
        <v>40</v>
      </c>
      <c r="J48" s="1"/>
      <c r="K48" s="1">
        <v>75.7</v>
      </c>
      <c r="L48" s="1">
        <f t="shared" si="11"/>
        <v>3.7189999999999941</v>
      </c>
      <c r="M48" s="1"/>
      <c r="N48" s="1"/>
      <c r="O48" s="1">
        <v>45.780527999999983</v>
      </c>
      <c r="P48" s="1"/>
      <c r="Q48" s="1"/>
      <c r="R48" s="1">
        <v>0</v>
      </c>
      <c r="S48" s="1">
        <f t="shared" si="12"/>
        <v>15.883799999999999</v>
      </c>
      <c r="T48" s="5">
        <f t="shared" ref="T43:T68" si="16">12*S48-R48-Q48-P48-O48-F48</f>
        <v>82.68907200000001</v>
      </c>
      <c r="U48" s="1">
        <f t="shared" si="13"/>
        <v>12</v>
      </c>
      <c r="V48" s="1">
        <f t="shared" si="14"/>
        <v>6.7941253352472328</v>
      </c>
      <c r="W48" s="1">
        <v>13.0962</v>
      </c>
      <c r="X48" s="1">
        <v>16.213799999999999</v>
      </c>
      <c r="Y48" s="1">
        <v>20.591200000000001</v>
      </c>
      <c r="Z48" s="1">
        <v>19.520800000000001</v>
      </c>
      <c r="AA48" s="1">
        <v>15.0738</v>
      </c>
      <c r="AB48" s="1">
        <v>11.8742</v>
      </c>
      <c r="AC48" s="1">
        <v>13.991400000000001</v>
      </c>
      <c r="AD48" s="1">
        <v>17.976199999999999</v>
      </c>
      <c r="AE48" s="1">
        <v>14.181800000000001</v>
      </c>
      <c r="AF48" s="1">
        <v>13.4892</v>
      </c>
      <c r="AG48" s="1">
        <v>18.758400000000002</v>
      </c>
      <c r="AH48" s="1"/>
      <c r="AI48" s="1">
        <f t="shared" si="15"/>
        <v>82.68907200000001</v>
      </c>
    </row>
    <row r="49" spans="1:35" x14ac:dyDescent="0.25">
      <c r="A49" s="1" t="s">
        <v>88</v>
      </c>
      <c r="B49" s="1" t="s">
        <v>39</v>
      </c>
      <c r="C49" s="1">
        <v>28.358000000000001</v>
      </c>
      <c r="D49" s="1">
        <v>86.129000000000005</v>
      </c>
      <c r="E49" s="1">
        <v>81.900000000000006</v>
      </c>
      <c r="F49" s="1">
        <v>28.436</v>
      </c>
      <c r="G49" s="7">
        <v>1</v>
      </c>
      <c r="H49" s="1">
        <v>50</v>
      </c>
      <c r="I49" s="1" t="s">
        <v>40</v>
      </c>
      <c r="J49" s="1"/>
      <c r="K49" s="1">
        <v>167.7</v>
      </c>
      <c r="L49" s="1">
        <f t="shared" si="11"/>
        <v>-85.799999999999983</v>
      </c>
      <c r="M49" s="1"/>
      <c r="N49" s="1"/>
      <c r="O49" s="1">
        <v>0</v>
      </c>
      <c r="P49" s="1"/>
      <c r="Q49" s="1"/>
      <c r="R49" s="1">
        <v>0</v>
      </c>
      <c r="S49" s="1">
        <f t="shared" si="12"/>
        <v>16.380000000000003</v>
      </c>
      <c r="T49" s="5">
        <f>9*S49-R49-Q49-P49-O49-F49</f>
        <v>118.98400000000001</v>
      </c>
      <c r="U49" s="1">
        <f t="shared" si="13"/>
        <v>9</v>
      </c>
      <c r="V49" s="1">
        <f t="shared" si="14"/>
        <v>1.7360195360195358</v>
      </c>
      <c r="W49" s="1">
        <v>5.3814000000000002</v>
      </c>
      <c r="X49" s="1">
        <v>-1.0511999999999999</v>
      </c>
      <c r="Y49" s="1">
        <v>-0.624</v>
      </c>
      <c r="Z49" s="1">
        <v>14.5092</v>
      </c>
      <c r="AA49" s="1">
        <v>18.899000000000001</v>
      </c>
      <c r="AB49" s="1">
        <v>16.585999999999999</v>
      </c>
      <c r="AC49" s="1">
        <v>22.036000000000001</v>
      </c>
      <c r="AD49" s="1">
        <v>27.9922</v>
      </c>
      <c r="AE49" s="1">
        <v>30.0686</v>
      </c>
      <c r="AF49" s="1">
        <v>29.352599999999999</v>
      </c>
      <c r="AG49" s="1">
        <v>27.397400000000001</v>
      </c>
      <c r="AH49" s="1" t="s">
        <v>89</v>
      </c>
      <c r="AI49" s="1">
        <f t="shared" si="15"/>
        <v>118.98400000000001</v>
      </c>
    </row>
    <row r="50" spans="1:35" x14ac:dyDescent="0.25">
      <c r="A50" s="1" t="s">
        <v>90</v>
      </c>
      <c r="B50" s="1" t="s">
        <v>39</v>
      </c>
      <c r="C50" s="1">
        <v>0.434</v>
      </c>
      <c r="D50" s="1"/>
      <c r="E50" s="1">
        <v>-4.1429999999999998</v>
      </c>
      <c r="F50" s="1">
        <v>0.434</v>
      </c>
      <c r="G50" s="7">
        <v>1</v>
      </c>
      <c r="H50" s="1">
        <v>45</v>
      </c>
      <c r="I50" s="15" t="s">
        <v>50</v>
      </c>
      <c r="J50" s="1"/>
      <c r="K50" s="1">
        <v>19.899999999999999</v>
      </c>
      <c r="L50" s="1">
        <f t="shared" si="11"/>
        <v>-24.042999999999999</v>
      </c>
      <c r="M50" s="1"/>
      <c r="N50" s="1"/>
      <c r="O50" s="1">
        <v>45</v>
      </c>
      <c r="P50" s="1">
        <v>-45</v>
      </c>
      <c r="Q50" s="1"/>
      <c r="R50" s="1">
        <v>84</v>
      </c>
      <c r="S50" s="1">
        <f t="shared" si="12"/>
        <v>-0.8286</v>
      </c>
      <c r="T50" s="5">
        <v>110</v>
      </c>
      <c r="U50" s="1">
        <f t="shared" si="13"/>
        <v>-234.65363263335746</v>
      </c>
      <c r="V50" s="1">
        <f t="shared" si="14"/>
        <v>-101.89958966932174</v>
      </c>
      <c r="W50" s="1">
        <v>-1.7338</v>
      </c>
      <c r="X50" s="1">
        <v>-0.9052</v>
      </c>
      <c r="Y50" s="1">
        <v>-0.41320000000000001</v>
      </c>
      <c r="Z50" s="1">
        <v>43.441600000000001</v>
      </c>
      <c r="AA50" s="1">
        <v>47.674599999999998</v>
      </c>
      <c r="AB50" s="1">
        <v>5.6109999999999998</v>
      </c>
      <c r="AC50" s="1">
        <v>1.4787999999999999</v>
      </c>
      <c r="AD50" s="1">
        <v>26.138999999999999</v>
      </c>
      <c r="AE50" s="1">
        <v>35.246200000000002</v>
      </c>
      <c r="AF50" s="1">
        <v>41.248800000000003</v>
      </c>
      <c r="AG50" s="1">
        <v>33.955399999999997</v>
      </c>
      <c r="AH50" s="1"/>
      <c r="AI50" s="1">
        <f t="shared" si="15"/>
        <v>110</v>
      </c>
    </row>
    <row r="51" spans="1:35" x14ac:dyDescent="0.25">
      <c r="A51" s="1" t="s">
        <v>91</v>
      </c>
      <c r="B51" s="1" t="s">
        <v>44</v>
      </c>
      <c r="C51" s="1">
        <v>118</v>
      </c>
      <c r="D51" s="1">
        <v>51</v>
      </c>
      <c r="E51" s="1">
        <v>157</v>
      </c>
      <c r="F51" s="1">
        <v>-4</v>
      </c>
      <c r="G51" s="7">
        <v>0.45</v>
      </c>
      <c r="H51" s="1">
        <v>50</v>
      </c>
      <c r="I51" s="1" t="s">
        <v>40</v>
      </c>
      <c r="J51" s="1"/>
      <c r="K51" s="1">
        <v>169</v>
      </c>
      <c r="L51" s="1">
        <f t="shared" si="11"/>
        <v>-12</v>
      </c>
      <c r="M51" s="1"/>
      <c r="N51" s="1"/>
      <c r="O51" s="1">
        <v>182.78</v>
      </c>
      <c r="P51" s="1"/>
      <c r="Q51" s="1"/>
      <c r="R51" s="1">
        <v>137.62</v>
      </c>
      <c r="S51" s="1">
        <f t="shared" si="12"/>
        <v>31.4</v>
      </c>
      <c r="T51" s="5">
        <f t="shared" si="16"/>
        <v>60.399999999999949</v>
      </c>
      <c r="U51" s="1">
        <f t="shared" si="13"/>
        <v>11.999999999999998</v>
      </c>
      <c r="V51" s="1">
        <f t="shared" si="14"/>
        <v>10.076433121019107</v>
      </c>
      <c r="W51" s="1">
        <v>32.4</v>
      </c>
      <c r="X51" s="1">
        <v>34</v>
      </c>
      <c r="Y51" s="1">
        <v>40.4</v>
      </c>
      <c r="Z51" s="1">
        <v>25.2</v>
      </c>
      <c r="AA51" s="1">
        <v>18.399999999999999</v>
      </c>
      <c r="AB51" s="1">
        <v>19.8</v>
      </c>
      <c r="AC51" s="1">
        <v>29.6</v>
      </c>
      <c r="AD51" s="1">
        <v>39.4</v>
      </c>
      <c r="AE51" s="1">
        <v>27.6</v>
      </c>
      <c r="AF51" s="1">
        <v>20.8</v>
      </c>
      <c r="AG51" s="1">
        <v>35.4</v>
      </c>
      <c r="AH51" s="1"/>
      <c r="AI51" s="1">
        <f t="shared" si="15"/>
        <v>27.179999999999978</v>
      </c>
    </row>
    <row r="52" spans="1:35" x14ac:dyDescent="0.25">
      <c r="A52" s="1" t="s">
        <v>92</v>
      </c>
      <c r="B52" s="1" t="s">
        <v>44</v>
      </c>
      <c r="C52" s="1">
        <v>187</v>
      </c>
      <c r="D52" s="1">
        <v>75</v>
      </c>
      <c r="E52" s="1">
        <v>90</v>
      </c>
      <c r="F52" s="1">
        <v>-37</v>
      </c>
      <c r="G52" s="7">
        <v>0.45</v>
      </c>
      <c r="H52" s="1">
        <v>50</v>
      </c>
      <c r="I52" s="1" t="s">
        <v>40</v>
      </c>
      <c r="J52" s="1"/>
      <c r="K52" s="1">
        <v>126</v>
      </c>
      <c r="L52" s="1">
        <f t="shared" si="11"/>
        <v>-36</v>
      </c>
      <c r="M52" s="1"/>
      <c r="N52" s="1"/>
      <c r="O52" s="1">
        <v>357.81599999999997</v>
      </c>
      <c r="P52" s="1"/>
      <c r="Q52" s="1"/>
      <c r="R52" s="1">
        <v>76.384000000000071</v>
      </c>
      <c r="S52" s="1">
        <f t="shared" si="12"/>
        <v>18</v>
      </c>
      <c r="T52" s="5"/>
      <c r="U52" s="1">
        <f t="shared" si="13"/>
        <v>22.06666666666667</v>
      </c>
      <c r="V52" s="1">
        <f t="shared" si="14"/>
        <v>22.06666666666667</v>
      </c>
      <c r="W52" s="1">
        <v>39.200000000000003</v>
      </c>
      <c r="X52" s="1">
        <v>60.8</v>
      </c>
      <c r="Y52" s="1">
        <v>57.4</v>
      </c>
      <c r="Z52" s="1">
        <v>45.4</v>
      </c>
      <c r="AA52" s="1">
        <v>38.200000000000003</v>
      </c>
      <c r="AB52" s="1">
        <v>34.200000000000003</v>
      </c>
      <c r="AC52" s="1">
        <v>42.6</v>
      </c>
      <c r="AD52" s="1">
        <v>64.400000000000006</v>
      </c>
      <c r="AE52" s="1">
        <v>46.6</v>
      </c>
      <c r="AF52" s="1">
        <v>38.4</v>
      </c>
      <c r="AG52" s="1">
        <v>47.2</v>
      </c>
      <c r="AH52" s="1"/>
      <c r="AI52" s="1">
        <f t="shared" si="15"/>
        <v>0</v>
      </c>
    </row>
    <row r="53" spans="1:35" x14ac:dyDescent="0.25">
      <c r="A53" s="1" t="s">
        <v>93</v>
      </c>
      <c r="B53" s="1" t="s">
        <v>44</v>
      </c>
      <c r="C53" s="1">
        <v>98</v>
      </c>
      <c r="D53" s="1"/>
      <c r="E53" s="1">
        <v>71</v>
      </c>
      <c r="F53" s="1">
        <v>19</v>
      </c>
      <c r="G53" s="7">
        <v>0.4</v>
      </c>
      <c r="H53" s="1">
        <v>40</v>
      </c>
      <c r="I53" s="15" t="s">
        <v>50</v>
      </c>
      <c r="J53" s="1"/>
      <c r="K53" s="1">
        <v>70</v>
      </c>
      <c r="L53" s="1">
        <f t="shared" si="11"/>
        <v>1</v>
      </c>
      <c r="M53" s="1"/>
      <c r="N53" s="1"/>
      <c r="O53" s="1">
        <v>0</v>
      </c>
      <c r="P53" s="1"/>
      <c r="Q53" s="1"/>
      <c r="R53" s="1">
        <v>35</v>
      </c>
      <c r="S53" s="1">
        <f t="shared" si="12"/>
        <v>14.2</v>
      </c>
      <c r="T53" s="5">
        <v>50</v>
      </c>
      <c r="U53" s="1">
        <f t="shared" si="13"/>
        <v>7.323943661971831</v>
      </c>
      <c r="V53" s="1">
        <f t="shared" si="14"/>
        <v>3.802816901408451</v>
      </c>
      <c r="W53" s="1">
        <v>16.399999999999999</v>
      </c>
      <c r="X53" s="1">
        <v>5.4</v>
      </c>
      <c r="Y53" s="1">
        <v>1.4</v>
      </c>
      <c r="Z53" s="1">
        <v>11.6</v>
      </c>
      <c r="AA53" s="1">
        <v>12.6</v>
      </c>
      <c r="AB53" s="1">
        <v>5.4</v>
      </c>
      <c r="AC53" s="1">
        <v>5</v>
      </c>
      <c r="AD53" s="1">
        <v>4.8</v>
      </c>
      <c r="AE53" s="1">
        <v>5.2</v>
      </c>
      <c r="AF53" s="1">
        <v>8.4</v>
      </c>
      <c r="AG53" s="1">
        <v>6.2</v>
      </c>
      <c r="AH53" s="1"/>
      <c r="AI53" s="1">
        <f t="shared" si="15"/>
        <v>20</v>
      </c>
    </row>
    <row r="54" spans="1:35" x14ac:dyDescent="0.25">
      <c r="A54" s="1" t="s">
        <v>94</v>
      </c>
      <c r="B54" s="1" t="s">
        <v>44</v>
      </c>
      <c r="C54" s="1">
        <v>42</v>
      </c>
      <c r="D54" s="1">
        <v>24</v>
      </c>
      <c r="E54" s="1">
        <v>41</v>
      </c>
      <c r="F54" s="1">
        <v>15</v>
      </c>
      <c r="G54" s="7">
        <v>0.4</v>
      </c>
      <c r="H54" s="1">
        <v>40</v>
      </c>
      <c r="I54" s="15" t="s">
        <v>50</v>
      </c>
      <c r="J54" s="1"/>
      <c r="K54" s="1">
        <v>48</v>
      </c>
      <c r="L54" s="1">
        <f t="shared" si="11"/>
        <v>-7</v>
      </c>
      <c r="M54" s="1"/>
      <c r="N54" s="1"/>
      <c r="O54" s="1">
        <v>14.900000000000009</v>
      </c>
      <c r="P54" s="1"/>
      <c r="Q54" s="1"/>
      <c r="R54" s="1">
        <v>35</v>
      </c>
      <c r="S54" s="1">
        <f t="shared" si="12"/>
        <v>8.1999999999999993</v>
      </c>
      <c r="T54" s="5">
        <v>50</v>
      </c>
      <c r="U54" s="1">
        <f t="shared" si="13"/>
        <v>14.012195121951221</v>
      </c>
      <c r="V54" s="1">
        <f t="shared" si="14"/>
        <v>7.9146341463414647</v>
      </c>
      <c r="W54" s="1">
        <v>12.4</v>
      </c>
      <c r="X54" s="1">
        <v>6.4</v>
      </c>
      <c r="Y54" s="1">
        <v>1.6</v>
      </c>
      <c r="Z54" s="1">
        <v>2.6</v>
      </c>
      <c r="AA54" s="1">
        <v>2.4</v>
      </c>
      <c r="AB54" s="1">
        <v>5.6</v>
      </c>
      <c r="AC54" s="1">
        <v>7.2</v>
      </c>
      <c r="AD54" s="1">
        <v>17.2</v>
      </c>
      <c r="AE54" s="1">
        <v>18.600000000000001</v>
      </c>
      <c r="AF54" s="1">
        <v>9.4</v>
      </c>
      <c r="AG54" s="1">
        <v>6.2</v>
      </c>
      <c r="AH54" s="1"/>
      <c r="AI54" s="1">
        <f t="shared" si="15"/>
        <v>20</v>
      </c>
    </row>
    <row r="55" spans="1:35" x14ac:dyDescent="0.25">
      <c r="A55" s="1" t="s">
        <v>95</v>
      </c>
      <c r="B55" s="1" t="s">
        <v>39</v>
      </c>
      <c r="C55" s="1">
        <v>30.876999999999999</v>
      </c>
      <c r="D55" s="1">
        <v>33.503999999999998</v>
      </c>
      <c r="E55" s="1">
        <v>28.332999999999998</v>
      </c>
      <c r="F55" s="1">
        <v>2.3730000000000002</v>
      </c>
      <c r="G55" s="7">
        <v>1</v>
      </c>
      <c r="H55" s="1">
        <v>50</v>
      </c>
      <c r="I55" s="1" t="s">
        <v>40</v>
      </c>
      <c r="J55" s="1"/>
      <c r="K55" s="1">
        <v>36.4</v>
      </c>
      <c r="L55" s="1">
        <f t="shared" si="11"/>
        <v>-8.0670000000000002</v>
      </c>
      <c r="M55" s="1"/>
      <c r="N55" s="1"/>
      <c r="O55" s="1">
        <v>86.923036000000025</v>
      </c>
      <c r="P55" s="1"/>
      <c r="Q55" s="1"/>
      <c r="R55" s="1">
        <v>0</v>
      </c>
      <c r="S55" s="1">
        <f t="shared" si="12"/>
        <v>5.6665999999999999</v>
      </c>
      <c r="T55" s="5"/>
      <c r="U55" s="1">
        <f t="shared" si="13"/>
        <v>15.758309391875205</v>
      </c>
      <c r="V55" s="1">
        <f t="shared" si="14"/>
        <v>15.758309391875205</v>
      </c>
      <c r="W55" s="1">
        <v>8.1686000000000014</v>
      </c>
      <c r="X55" s="1">
        <v>15.286799999999999</v>
      </c>
      <c r="Y55" s="1">
        <v>16.098400000000002</v>
      </c>
      <c r="Z55" s="1">
        <v>11.240600000000001</v>
      </c>
      <c r="AA55" s="1">
        <v>10.952</v>
      </c>
      <c r="AB55" s="1">
        <v>10.156599999999999</v>
      </c>
      <c r="AC55" s="1">
        <v>6.9614000000000003</v>
      </c>
      <c r="AD55" s="1">
        <v>12.7996</v>
      </c>
      <c r="AE55" s="1">
        <v>15.9956</v>
      </c>
      <c r="AF55" s="1">
        <v>14.400600000000001</v>
      </c>
      <c r="AG55" s="1">
        <v>10.9184</v>
      </c>
      <c r="AH55" s="1"/>
      <c r="AI55" s="1">
        <f t="shared" si="15"/>
        <v>0</v>
      </c>
    </row>
    <row r="56" spans="1:35" x14ac:dyDescent="0.25">
      <c r="A56" s="1" t="s">
        <v>96</v>
      </c>
      <c r="B56" s="1" t="s">
        <v>44</v>
      </c>
      <c r="C56" s="1">
        <v>252</v>
      </c>
      <c r="D56" s="1"/>
      <c r="E56" s="1">
        <v>59</v>
      </c>
      <c r="F56" s="1">
        <v>176</v>
      </c>
      <c r="G56" s="7">
        <v>0.1</v>
      </c>
      <c r="H56" s="1">
        <v>731</v>
      </c>
      <c r="I56" s="1" t="s">
        <v>40</v>
      </c>
      <c r="J56" s="1"/>
      <c r="K56" s="1">
        <v>62</v>
      </c>
      <c r="L56" s="1">
        <f t="shared" si="11"/>
        <v>-3</v>
      </c>
      <c r="M56" s="1"/>
      <c r="N56" s="1"/>
      <c r="O56" s="1">
        <v>0</v>
      </c>
      <c r="P56" s="1"/>
      <c r="Q56" s="1"/>
      <c r="R56" s="1">
        <v>0</v>
      </c>
      <c r="S56" s="1">
        <f t="shared" si="12"/>
        <v>11.8</v>
      </c>
      <c r="T56" s="5"/>
      <c r="U56" s="1">
        <f t="shared" si="13"/>
        <v>14.915254237288135</v>
      </c>
      <c r="V56" s="1">
        <f t="shared" si="14"/>
        <v>14.915254237288135</v>
      </c>
      <c r="W56" s="1">
        <v>11</v>
      </c>
      <c r="X56" s="1">
        <v>8.8000000000000007</v>
      </c>
      <c r="Y56" s="1">
        <v>7.2</v>
      </c>
      <c r="Z56" s="1">
        <v>5.6</v>
      </c>
      <c r="AA56" s="1">
        <v>9</v>
      </c>
      <c r="AB56" s="1">
        <v>20</v>
      </c>
      <c r="AC56" s="1">
        <v>18.8</v>
      </c>
      <c r="AD56" s="1">
        <v>13.8</v>
      </c>
      <c r="AE56" s="1">
        <v>10.4</v>
      </c>
      <c r="AF56" s="1">
        <v>7.8</v>
      </c>
      <c r="AG56" s="1">
        <v>11</v>
      </c>
      <c r="AH56" s="1" t="s">
        <v>97</v>
      </c>
      <c r="AI56" s="1">
        <f t="shared" si="15"/>
        <v>0</v>
      </c>
    </row>
    <row r="57" spans="1:35" x14ac:dyDescent="0.25">
      <c r="A57" s="1" t="s">
        <v>98</v>
      </c>
      <c r="B57" s="1" t="s">
        <v>39</v>
      </c>
      <c r="C57" s="1">
        <v>44.87</v>
      </c>
      <c r="D57" s="1">
        <v>209.822</v>
      </c>
      <c r="E57" s="1">
        <v>131.68</v>
      </c>
      <c r="F57" s="1">
        <v>92.942999999999998</v>
      </c>
      <c r="G57" s="7">
        <v>1</v>
      </c>
      <c r="H57" s="1">
        <v>50</v>
      </c>
      <c r="I57" s="1" t="s">
        <v>40</v>
      </c>
      <c r="J57" s="1"/>
      <c r="K57" s="1">
        <v>137.30000000000001</v>
      </c>
      <c r="L57" s="1">
        <f t="shared" si="11"/>
        <v>-5.6200000000000045</v>
      </c>
      <c r="M57" s="1"/>
      <c r="N57" s="1"/>
      <c r="O57" s="1">
        <v>20.703184</v>
      </c>
      <c r="P57" s="1"/>
      <c r="Q57" s="1"/>
      <c r="R57" s="1">
        <v>0</v>
      </c>
      <c r="S57" s="1">
        <f t="shared" si="12"/>
        <v>26.336000000000002</v>
      </c>
      <c r="T57" s="5">
        <f>11*S57-R57-Q57-P57-O57-F57</f>
        <v>176.04981600000002</v>
      </c>
      <c r="U57" s="1">
        <f t="shared" si="13"/>
        <v>11</v>
      </c>
      <c r="V57" s="1">
        <f t="shared" si="14"/>
        <v>4.3152408869987848</v>
      </c>
      <c r="W57" s="1">
        <v>11.852399999999999</v>
      </c>
      <c r="X57" s="1">
        <v>21.3476</v>
      </c>
      <c r="Y57" s="1">
        <v>36.7468</v>
      </c>
      <c r="Z57" s="1">
        <v>31.912400000000002</v>
      </c>
      <c r="AA57" s="1">
        <v>21.061199999999999</v>
      </c>
      <c r="AB57" s="1">
        <v>16.559200000000001</v>
      </c>
      <c r="AC57" s="1">
        <v>14.959199999999999</v>
      </c>
      <c r="AD57" s="1">
        <v>24.415600000000001</v>
      </c>
      <c r="AE57" s="1">
        <v>28.695599999999999</v>
      </c>
      <c r="AF57" s="1">
        <v>35.496600000000001</v>
      </c>
      <c r="AG57" s="1">
        <v>35.494799999999998</v>
      </c>
      <c r="AH57" s="1"/>
      <c r="AI57" s="1">
        <f t="shared" si="15"/>
        <v>176.04981600000002</v>
      </c>
    </row>
    <row r="58" spans="1:35" x14ac:dyDescent="0.25">
      <c r="A58" s="1" t="s">
        <v>99</v>
      </c>
      <c r="B58" s="1" t="s">
        <v>39</v>
      </c>
      <c r="C58" s="1">
        <v>43.71</v>
      </c>
      <c r="D58" s="1">
        <v>10.741</v>
      </c>
      <c r="E58" s="1">
        <v>27.184000000000001</v>
      </c>
      <c r="F58" s="1">
        <v>17.635999999999999</v>
      </c>
      <c r="G58" s="7">
        <v>1</v>
      </c>
      <c r="H58" s="1">
        <v>55</v>
      </c>
      <c r="I58" s="1" t="s">
        <v>40</v>
      </c>
      <c r="J58" s="1"/>
      <c r="K58" s="1">
        <v>26</v>
      </c>
      <c r="L58" s="1">
        <f t="shared" si="11"/>
        <v>1.1840000000000011</v>
      </c>
      <c r="M58" s="1"/>
      <c r="N58" s="1"/>
      <c r="O58" s="1">
        <v>30.352399999999999</v>
      </c>
      <c r="P58" s="1"/>
      <c r="Q58" s="1"/>
      <c r="R58" s="1">
        <v>14.319399999999989</v>
      </c>
      <c r="S58" s="1">
        <f t="shared" si="12"/>
        <v>5.4367999999999999</v>
      </c>
      <c r="T58" s="5">
        <v>4</v>
      </c>
      <c r="U58" s="1">
        <f t="shared" si="13"/>
        <v>12.19610800470865</v>
      </c>
      <c r="V58" s="1">
        <f t="shared" si="14"/>
        <v>11.460381106533253</v>
      </c>
      <c r="W58" s="1">
        <v>7.0358000000000001</v>
      </c>
      <c r="X58" s="1">
        <v>6.7897999999999996</v>
      </c>
      <c r="Y58" s="1">
        <v>5.1970000000000001</v>
      </c>
      <c r="Z58" s="1">
        <v>6.2530000000000001</v>
      </c>
      <c r="AA58" s="1">
        <v>6.7727999999999993</v>
      </c>
      <c r="AB58" s="1">
        <v>5.6981999999999999</v>
      </c>
      <c r="AC58" s="1">
        <v>4.8959999999999999</v>
      </c>
      <c r="AD58" s="1">
        <v>5.1875999999999998</v>
      </c>
      <c r="AE58" s="1">
        <v>7.9328000000000003</v>
      </c>
      <c r="AF58" s="1">
        <v>9.3141999999999996</v>
      </c>
      <c r="AG58" s="1">
        <v>6.2875999999999994</v>
      </c>
      <c r="AH58" s="1"/>
      <c r="AI58" s="1">
        <f t="shared" si="15"/>
        <v>4</v>
      </c>
    </row>
    <row r="59" spans="1:35" x14ac:dyDescent="0.25">
      <c r="A59" s="1" t="s">
        <v>100</v>
      </c>
      <c r="B59" s="1" t="s">
        <v>44</v>
      </c>
      <c r="C59" s="1">
        <v>165</v>
      </c>
      <c r="D59" s="1"/>
      <c r="E59" s="1">
        <v>66</v>
      </c>
      <c r="F59" s="1">
        <v>85</v>
      </c>
      <c r="G59" s="7">
        <v>0.1</v>
      </c>
      <c r="H59" s="1">
        <v>731</v>
      </c>
      <c r="I59" s="1" t="s">
        <v>40</v>
      </c>
      <c r="J59" s="1"/>
      <c r="K59" s="1">
        <v>66</v>
      </c>
      <c r="L59" s="1">
        <f t="shared" si="11"/>
        <v>0</v>
      </c>
      <c r="M59" s="1"/>
      <c r="N59" s="1"/>
      <c r="O59" s="1">
        <v>0</v>
      </c>
      <c r="P59" s="1"/>
      <c r="Q59" s="1"/>
      <c r="R59" s="1">
        <v>55.199999999999989</v>
      </c>
      <c r="S59" s="1">
        <f t="shared" si="12"/>
        <v>13.2</v>
      </c>
      <c r="T59" s="5">
        <f t="shared" si="16"/>
        <v>18.199999999999989</v>
      </c>
      <c r="U59" s="1">
        <f t="shared" si="13"/>
        <v>11.999999999999998</v>
      </c>
      <c r="V59" s="1">
        <f t="shared" si="14"/>
        <v>10.621212121212121</v>
      </c>
      <c r="W59" s="1">
        <v>16.2</v>
      </c>
      <c r="X59" s="1">
        <v>10</v>
      </c>
      <c r="Y59" s="1">
        <v>5</v>
      </c>
      <c r="Z59" s="1">
        <v>10.199999999999999</v>
      </c>
      <c r="AA59" s="1">
        <v>8.1999999999999993</v>
      </c>
      <c r="AB59" s="1">
        <v>17.2</v>
      </c>
      <c r="AC59" s="1">
        <v>17.8</v>
      </c>
      <c r="AD59" s="1">
        <v>18.600000000000001</v>
      </c>
      <c r="AE59" s="1">
        <v>16.8</v>
      </c>
      <c r="AF59" s="1">
        <v>10.8</v>
      </c>
      <c r="AG59" s="1">
        <v>12.8</v>
      </c>
      <c r="AH59" s="1"/>
      <c r="AI59" s="1">
        <f t="shared" si="15"/>
        <v>1.819999999999999</v>
      </c>
    </row>
    <row r="60" spans="1:35" x14ac:dyDescent="0.25">
      <c r="A60" s="1" t="s">
        <v>101</v>
      </c>
      <c r="B60" s="1" t="s">
        <v>44</v>
      </c>
      <c r="C60" s="1">
        <v>16</v>
      </c>
      <c r="D60" s="1"/>
      <c r="E60" s="1">
        <v>15</v>
      </c>
      <c r="F60" s="1"/>
      <c r="G60" s="7">
        <v>0.4</v>
      </c>
      <c r="H60" s="1">
        <v>50</v>
      </c>
      <c r="I60" s="1" t="s">
        <v>40</v>
      </c>
      <c r="J60" s="1"/>
      <c r="K60" s="1">
        <v>34</v>
      </c>
      <c r="L60" s="1">
        <f t="shared" si="11"/>
        <v>-19</v>
      </c>
      <c r="M60" s="1"/>
      <c r="N60" s="1"/>
      <c r="O60" s="1">
        <v>8.6000000000000014</v>
      </c>
      <c r="P60" s="1"/>
      <c r="Q60" s="1"/>
      <c r="R60" s="1">
        <v>21</v>
      </c>
      <c r="S60" s="1">
        <f t="shared" si="12"/>
        <v>3</v>
      </c>
      <c r="T60" s="5">
        <f t="shared" si="16"/>
        <v>6.3999999999999986</v>
      </c>
      <c r="U60" s="1">
        <f t="shared" si="13"/>
        <v>12</v>
      </c>
      <c r="V60" s="1">
        <f t="shared" si="14"/>
        <v>9.8666666666666671</v>
      </c>
      <c r="W60" s="1">
        <v>3.4</v>
      </c>
      <c r="X60" s="1">
        <v>1.8</v>
      </c>
      <c r="Y60" s="1">
        <v>1.8</v>
      </c>
      <c r="Z60" s="1">
        <v>2</v>
      </c>
      <c r="AA60" s="1">
        <v>1.2</v>
      </c>
      <c r="AB60" s="1">
        <v>1</v>
      </c>
      <c r="AC60" s="1">
        <v>1.4</v>
      </c>
      <c r="AD60" s="1">
        <v>2.4</v>
      </c>
      <c r="AE60" s="1">
        <v>2</v>
      </c>
      <c r="AF60" s="1">
        <v>0.8</v>
      </c>
      <c r="AG60" s="1">
        <v>0.8</v>
      </c>
      <c r="AH60" s="1"/>
      <c r="AI60" s="1">
        <f t="shared" si="15"/>
        <v>2.5599999999999996</v>
      </c>
    </row>
    <row r="61" spans="1:35" x14ac:dyDescent="0.25">
      <c r="A61" s="1" t="s">
        <v>102</v>
      </c>
      <c r="B61" s="1" t="s">
        <v>39</v>
      </c>
      <c r="C61" s="1">
        <v>37.08</v>
      </c>
      <c r="D61" s="1">
        <v>3.2690000000000001</v>
      </c>
      <c r="E61" s="1">
        <v>71.981999999999999</v>
      </c>
      <c r="F61" s="1">
        <v>-19.175999999999998</v>
      </c>
      <c r="G61" s="7">
        <v>1</v>
      </c>
      <c r="H61" s="1">
        <v>40</v>
      </c>
      <c r="I61" s="15" t="s">
        <v>50</v>
      </c>
      <c r="J61" s="1"/>
      <c r="K61" s="1">
        <v>61.6</v>
      </c>
      <c r="L61" s="1">
        <f t="shared" si="11"/>
        <v>10.381999999999998</v>
      </c>
      <c r="M61" s="1"/>
      <c r="N61" s="1"/>
      <c r="O61" s="1">
        <v>58.5</v>
      </c>
      <c r="P61" s="1"/>
      <c r="Q61" s="1"/>
      <c r="R61" s="1">
        <v>105</v>
      </c>
      <c r="S61" s="1">
        <f t="shared" si="12"/>
        <v>14.3964</v>
      </c>
      <c r="T61" s="5">
        <v>60</v>
      </c>
      <c r="U61" s="1">
        <f t="shared" si="13"/>
        <v>14.192714845378012</v>
      </c>
      <c r="V61" s="1">
        <f t="shared" si="14"/>
        <v>10.025006251562891</v>
      </c>
      <c r="W61" s="1">
        <v>41.171799999999998</v>
      </c>
      <c r="X61" s="1">
        <v>27.4938</v>
      </c>
      <c r="Y61" s="1">
        <v>-0.44119999999999998</v>
      </c>
      <c r="Z61" s="1">
        <v>24.540400000000002</v>
      </c>
      <c r="AA61" s="1">
        <v>38.078800000000001</v>
      </c>
      <c r="AB61" s="1">
        <v>18.853999999999999</v>
      </c>
      <c r="AC61" s="1">
        <v>16.659800000000001</v>
      </c>
      <c r="AD61" s="1">
        <v>14.296200000000001</v>
      </c>
      <c r="AE61" s="1">
        <v>17.922999999999998</v>
      </c>
      <c r="AF61" s="1">
        <v>17.2974</v>
      </c>
      <c r="AG61" s="1">
        <v>4.2414000000000014</v>
      </c>
      <c r="AH61" s="1"/>
      <c r="AI61" s="1">
        <f t="shared" si="15"/>
        <v>60</v>
      </c>
    </row>
    <row r="62" spans="1:35" x14ac:dyDescent="0.25">
      <c r="A62" s="1" t="s">
        <v>103</v>
      </c>
      <c r="B62" s="1" t="s">
        <v>39</v>
      </c>
      <c r="C62" s="1">
        <v>76.606999999999999</v>
      </c>
      <c r="D62" s="1">
        <v>48.162999999999997</v>
      </c>
      <c r="E62" s="1">
        <v>139.64500000000001</v>
      </c>
      <c r="F62" s="1">
        <v>-8.2989999999999995</v>
      </c>
      <c r="G62" s="7">
        <v>1</v>
      </c>
      <c r="H62" s="1">
        <v>40</v>
      </c>
      <c r="I62" s="1" t="s">
        <v>40</v>
      </c>
      <c r="J62" s="1"/>
      <c r="K62" s="1">
        <v>146.69999999999999</v>
      </c>
      <c r="L62" s="1">
        <f t="shared" si="11"/>
        <v>-7.0549999999999784</v>
      </c>
      <c r="M62" s="1"/>
      <c r="N62" s="1"/>
      <c r="O62" s="1">
        <v>21.69334999999997</v>
      </c>
      <c r="P62" s="1"/>
      <c r="Q62" s="1"/>
      <c r="R62" s="1">
        <v>172.49244999999999</v>
      </c>
      <c r="S62" s="1">
        <f t="shared" si="12"/>
        <v>27.929000000000002</v>
      </c>
      <c r="T62" s="5">
        <f t="shared" si="16"/>
        <v>149.26120000000006</v>
      </c>
      <c r="U62" s="1">
        <f t="shared" si="13"/>
        <v>12</v>
      </c>
      <c r="V62" s="1">
        <f t="shared" si="14"/>
        <v>6.6556912170145708</v>
      </c>
      <c r="W62" s="1">
        <v>28.781600000000001</v>
      </c>
      <c r="X62" s="1">
        <v>10.379</v>
      </c>
      <c r="Y62" s="1">
        <v>0.11600000000000001</v>
      </c>
      <c r="Z62" s="1">
        <v>14.08</v>
      </c>
      <c r="AA62" s="1">
        <v>17.272600000000001</v>
      </c>
      <c r="AB62" s="1">
        <v>5.9125999999999994</v>
      </c>
      <c r="AC62" s="1">
        <v>4.6542000000000003</v>
      </c>
      <c r="AD62" s="1">
        <v>3.8302</v>
      </c>
      <c r="AE62" s="1">
        <v>5.4445999999999994</v>
      </c>
      <c r="AF62" s="1">
        <v>7.3133999999999997</v>
      </c>
      <c r="AG62" s="1">
        <v>8.4963999999999995</v>
      </c>
      <c r="AH62" s="1" t="s">
        <v>104</v>
      </c>
      <c r="AI62" s="1">
        <f t="shared" si="15"/>
        <v>149.26120000000006</v>
      </c>
    </row>
    <row r="63" spans="1:35" x14ac:dyDescent="0.25">
      <c r="A63" s="1" t="s">
        <v>105</v>
      </c>
      <c r="B63" s="1" t="s">
        <v>44</v>
      </c>
      <c r="C63" s="1">
        <v>297</v>
      </c>
      <c r="D63" s="1">
        <v>551</v>
      </c>
      <c r="E63" s="1">
        <v>398</v>
      </c>
      <c r="F63" s="1">
        <v>113</v>
      </c>
      <c r="G63" s="7">
        <v>0.4</v>
      </c>
      <c r="H63" s="1">
        <v>40</v>
      </c>
      <c r="I63" s="1" t="s">
        <v>40</v>
      </c>
      <c r="J63" s="1"/>
      <c r="K63" s="1">
        <v>705</v>
      </c>
      <c r="L63" s="1">
        <f t="shared" si="11"/>
        <v>-307</v>
      </c>
      <c r="M63" s="1"/>
      <c r="N63" s="1"/>
      <c r="O63" s="1">
        <v>415.50200000000001</v>
      </c>
      <c r="P63" s="1"/>
      <c r="Q63" s="1"/>
      <c r="R63" s="1">
        <v>0</v>
      </c>
      <c r="S63" s="1">
        <f t="shared" si="12"/>
        <v>79.599999999999994</v>
      </c>
      <c r="T63" s="5">
        <f t="shared" si="16"/>
        <v>426.69799999999987</v>
      </c>
      <c r="U63" s="1">
        <f t="shared" si="13"/>
        <v>11.999999999999998</v>
      </c>
      <c r="V63" s="1">
        <f t="shared" si="14"/>
        <v>6.6394723618090454</v>
      </c>
      <c r="W63" s="1">
        <v>77.400000000000006</v>
      </c>
      <c r="X63" s="1">
        <v>91.4</v>
      </c>
      <c r="Y63" s="1">
        <v>92.8</v>
      </c>
      <c r="Z63" s="1">
        <v>116.4</v>
      </c>
      <c r="AA63" s="1">
        <v>96.4</v>
      </c>
      <c r="AB63" s="1">
        <v>76.2</v>
      </c>
      <c r="AC63" s="1">
        <v>89.8</v>
      </c>
      <c r="AD63" s="1">
        <v>109.4</v>
      </c>
      <c r="AE63" s="1">
        <v>105.6</v>
      </c>
      <c r="AF63" s="1">
        <v>92.6</v>
      </c>
      <c r="AG63" s="1">
        <v>65.8</v>
      </c>
      <c r="AH63" s="1"/>
      <c r="AI63" s="1">
        <f t="shared" si="15"/>
        <v>170.67919999999995</v>
      </c>
    </row>
    <row r="64" spans="1:35" x14ac:dyDescent="0.25">
      <c r="A64" s="1" t="s">
        <v>106</v>
      </c>
      <c r="B64" s="1" t="s">
        <v>44</v>
      </c>
      <c r="C64" s="1">
        <v>55</v>
      </c>
      <c r="D64" s="1">
        <v>311</v>
      </c>
      <c r="E64" s="1">
        <v>217</v>
      </c>
      <c r="F64" s="1">
        <v>12</v>
      </c>
      <c r="G64" s="7">
        <v>0.4</v>
      </c>
      <c r="H64" s="1">
        <v>40</v>
      </c>
      <c r="I64" s="15" t="s">
        <v>50</v>
      </c>
      <c r="J64" s="1"/>
      <c r="K64" s="1">
        <v>354</v>
      </c>
      <c r="L64" s="1">
        <f t="shared" si="11"/>
        <v>-137</v>
      </c>
      <c r="M64" s="1"/>
      <c r="N64" s="1"/>
      <c r="O64" s="1">
        <v>84.780000000000015</v>
      </c>
      <c r="P64" s="1"/>
      <c r="Q64" s="1"/>
      <c r="R64" s="1">
        <v>118.59399999999999</v>
      </c>
      <c r="S64" s="1">
        <f t="shared" si="12"/>
        <v>43.4</v>
      </c>
      <c r="T64" s="5">
        <v>200</v>
      </c>
      <c r="U64" s="1">
        <f t="shared" si="13"/>
        <v>9.5708294930875581</v>
      </c>
      <c r="V64" s="1">
        <f t="shared" si="14"/>
        <v>4.9625345622119825</v>
      </c>
      <c r="W64" s="1">
        <v>48.2</v>
      </c>
      <c r="X64" s="1">
        <v>41.2</v>
      </c>
      <c r="Y64" s="1">
        <v>26.2</v>
      </c>
      <c r="Z64" s="1">
        <v>68.599999999999994</v>
      </c>
      <c r="AA64" s="1">
        <v>67</v>
      </c>
      <c r="AB64" s="1">
        <v>23</v>
      </c>
      <c r="AC64" s="1">
        <v>6</v>
      </c>
      <c r="AD64" s="1">
        <v>53.4</v>
      </c>
      <c r="AE64" s="1">
        <v>72</v>
      </c>
      <c r="AF64" s="1">
        <v>66.2</v>
      </c>
      <c r="AG64" s="1">
        <v>60.8</v>
      </c>
      <c r="AH64" s="1"/>
      <c r="AI64" s="1">
        <f t="shared" si="15"/>
        <v>80</v>
      </c>
    </row>
    <row r="65" spans="1:35" x14ac:dyDescent="0.25">
      <c r="A65" s="1" t="s">
        <v>107</v>
      </c>
      <c r="B65" s="1" t="s">
        <v>39</v>
      </c>
      <c r="C65" s="1">
        <v>-7.5179999999999998</v>
      </c>
      <c r="D65" s="1">
        <v>134.86500000000001</v>
      </c>
      <c r="E65" s="1">
        <v>103.31</v>
      </c>
      <c r="F65" s="1">
        <v>15.021000000000001</v>
      </c>
      <c r="G65" s="7">
        <v>1</v>
      </c>
      <c r="H65" s="1">
        <v>40</v>
      </c>
      <c r="I65" s="15" t="s">
        <v>50</v>
      </c>
      <c r="J65" s="1"/>
      <c r="K65" s="1">
        <v>95.3</v>
      </c>
      <c r="L65" s="1">
        <f t="shared" si="11"/>
        <v>8.0100000000000051</v>
      </c>
      <c r="M65" s="1"/>
      <c r="N65" s="1"/>
      <c r="O65" s="1">
        <v>205.625788</v>
      </c>
      <c r="P65" s="1">
        <v>-211</v>
      </c>
      <c r="Q65" s="1"/>
      <c r="R65" s="1">
        <v>70</v>
      </c>
      <c r="S65" s="1">
        <f t="shared" si="12"/>
        <v>20.661999999999999</v>
      </c>
      <c r="T65" s="5">
        <v>90</v>
      </c>
      <c r="U65" s="1">
        <f t="shared" si="13"/>
        <v>8.2105695479624448</v>
      </c>
      <c r="V65" s="1">
        <f t="shared" si="14"/>
        <v>3.854747265511568</v>
      </c>
      <c r="W65" s="1">
        <v>14.938599999999999</v>
      </c>
      <c r="X65" s="1">
        <v>33.050400000000003</v>
      </c>
      <c r="Y65" s="1">
        <v>30.191199999999998</v>
      </c>
      <c r="Z65" s="1">
        <v>25.393000000000001</v>
      </c>
      <c r="AA65" s="1">
        <v>20.536000000000001</v>
      </c>
      <c r="AB65" s="1">
        <v>16.688199999999998</v>
      </c>
      <c r="AC65" s="1">
        <v>22.345800000000001</v>
      </c>
      <c r="AD65" s="1">
        <v>30.636800000000001</v>
      </c>
      <c r="AE65" s="1">
        <v>29.345600000000001</v>
      </c>
      <c r="AF65" s="1">
        <v>27.9176</v>
      </c>
      <c r="AG65" s="1">
        <v>32.401799999999987</v>
      </c>
      <c r="AH65" s="1"/>
      <c r="AI65" s="1">
        <f t="shared" si="15"/>
        <v>90</v>
      </c>
    </row>
    <row r="66" spans="1:35" x14ac:dyDescent="0.25">
      <c r="A66" s="1" t="s">
        <v>108</v>
      </c>
      <c r="B66" s="1" t="s">
        <v>39</v>
      </c>
      <c r="C66" s="1">
        <v>17.106000000000002</v>
      </c>
      <c r="D66" s="1">
        <v>86.49</v>
      </c>
      <c r="E66" s="1">
        <v>62.374000000000002</v>
      </c>
      <c r="F66" s="1">
        <v>12.417999999999999</v>
      </c>
      <c r="G66" s="7">
        <v>1</v>
      </c>
      <c r="H66" s="1">
        <v>40</v>
      </c>
      <c r="I66" s="15" t="s">
        <v>50</v>
      </c>
      <c r="J66" s="1"/>
      <c r="K66" s="1">
        <v>144.209</v>
      </c>
      <c r="L66" s="1">
        <f t="shared" si="11"/>
        <v>-81.835000000000008</v>
      </c>
      <c r="M66" s="1"/>
      <c r="N66" s="1"/>
      <c r="O66" s="1">
        <v>99.934201999999971</v>
      </c>
      <c r="P66" s="1">
        <v>-103</v>
      </c>
      <c r="Q66" s="1"/>
      <c r="R66" s="1">
        <v>49</v>
      </c>
      <c r="S66" s="1">
        <f t="shared" si="12"/>
        <v>12.4748</v>
      </c>
      <c r="T66" s="5">
        <v>60</v>
      </c>
      <c r="U66" s="1">
        <f t="shared" si="13"/>
        <v>9.4873025619649187</v>
      </c>
      <c r="V66" s="1">
        <f t="shared" si="14"/>
        <v>4.67760621412768</v>
      </c>
      <c r="W66" s="1">
        <v>12.3028</v>
      </c>
      <c r="X66" s="1">
        <v>24.300599999999999</v>
      </c>
      <c r="Y66" s="1">
        <v>29.9604</v>
      </c>
      <c r="Z66" s="1">
        <v>28.129000000000001</v>
      </c>
      <c r="AA66" s="1">
        <v>21.1816</v>
      </c>
      <c r="AB66" s="1">
        <v>16.5672</v>
      </c>
      <c r="AC66" s="1">
        <v>20.6828</v>
      </c>
      <c r="AD66" s="1">
        <v>25.505199999999999</v>
      </c>
      <c r="AE66" s="1">
        <v>30.630400000000002</v>
      </c>
      <c r="AF66" s="1">
        <v>35.2286</v>
      </c>
      <c r="AG66" s="1">
        <v>27.577400000000001</v>
      </c>
      <c r="AH66" s="1"/>
      <c r="AI66" s="1">
        <f t="shared" si="15"/>
        <v>60</v>
      </c>
    </row>
    <row r="67" spans="1:35" x14ac:dyDescent="0.25">
      <c r="A67" s="1" t="s">
        <v>109</v>
      </c>
      <c r="B67" s="1" t="s">
        <v>39</v>
      </c>
      <c r="C67" s="1">
        <v>275.084</v>
      </c>
      <c r="D67" s="1">
        <v>444.66699999999997</v>
      </c>
      <c r="E67" s="1">
        <v>480.17099999999999</v>
      </c>
      <c r="F67" s="1">
        <v>65.328999999999994</v>
      </c>
      <c r="G67" s="7">
        <v>1</v>
      </c>
      <c r="H67" s="1">
        <v>40</v>
      </c>
      <c r="I67" s="15" t="s">
        <v>50</v>
      </c>
      <c r="J67" s="1"/>
      <c r="K67" s="1">
        <v>467.10199999999998</v>
      </c>
      <c r="L67" s="1">
        <f t="shared" si="11"/>
        <v>13.069000000000017</v>
      </c>
      <c r="M67" s="1"/>
      <c r="N67" s="1"/>
      <c r="O67" s="1">
        <v>0</v>
      </c>
      <c r="P67" s="1"/>
      <c r="Q67" s="1"/>
      <c r="R67" s="1">
        <v>280</v>
      </c>
      <c r="S67" s="1">
        <f t="shared" si="12"/>
        <v>96.034199999999998</v>
      </c>
      <c r="T67" s="5">
        <v>360</v>
      </c>
      <c r="U67" s="1">
        <f t="shared" si="13"/>
        <v>7.344560583625416</v>
      </c>
      <c r="V67" s="1">
        <f t="shared" si="14"/>
        <v>3.5958960453671716</v>
      </c>
      <c r="W67" s="1">
        <v>98.497799999999998</v>
      </c>
      <c r="X67" s="1">
        <v>30.181999999999999</v>
      </c>
      <c r="Y67" s="1">
        <v>6.6635999999999997</v>
      </c>
      <c r="Z67" s="1">
        <v>112.02800000000001</v>
      </c>
      <c r="AA67" s="1">
        <v>120.03919999999999</v>
      </c>
      <c r="AB67" s="1">
        <v>49.153199999999998</v>
      </c>
      <c r="AC67" s="1">
        <v>53.758000000000003</v>
      </c>
      <c r="AD67" s="1">
        <v>60.426599999999993</v>
      </c>
      <c r="AE67" s="1">
        <v>71.873000000000005</v>
      </c>
      <c r="AF67" s="1">
        <v>68.0488</v>
      </c>
      <c r="AG67" s="1">
        <v>44.416800000000002</v>
      </c>
      <c r="AH67" s="1"/>
      <c r="AI67" s="1">
        <f t="shared" si="15"/>
        <v>360</v>
      </c>
    </row>
    <row r="68" spans="1:35" x14ac:dyDescent="0.25">
      <c r="A68" s="1" t="s">
        <v>110</v>
      </c>
      <c r="B68" s="1" t="s">
        <v>39</v>
      </c>
      <c r="C68" s="1">
        <v>9.3160000000000007</v>
      </c>
      <c r="D68" s="1">
        <v>228.68799999999999</v>
      </c>
      <c r="E68" s="1">
        <v>177.435</v>
      </c>
      <c r="F68" s="1">
        <v>52.923000000000002</v>
      </c>
      <c r="G68" s="7">
        <v>1</v>
      </c>
      <c r="H68" s="1">
        <v>40</v>
      </c>
      <c r="I68" s="15" t="s">
        <v>50</v>
      </c>
      <c r="J68" s="1"/>
      <c r="K68" s="1">
        <v>266.70699999999999</v>
      </c>
      <c r="L68" s="1">
        <f t="shared" si="11"/>
        <v>-89.271999999999991</v>
      </c>
      <c r="M68" s="1"/>
      <c r="N68" s="1"/>
      <c r="O68" s="1">
        <v>220.32820599999991</v>
      </c>
      <c r="P68" s="1">
        <v>-221</v>
      </c>
      <c r="Q68" s="1"/>
      <c r="R68" s="1">
        <v>70</v>
      </c>
      <c r="S68" s="1">
        <f t="shared" si="12"/>
        <v>35.487000000000002</v>
      </c>
      <c r="T68" s="5">
        <v>90</v>
      </c>
      <c r="U68" s="1">
        <f t="shared" si="13"/>
        <v>5.9810974723138024</v>
      </c>
      <c r="V68" s="1">
        <f t="shared" si="14"/>
        <v>3.4449574773860823</v>
      </c>
      <c r="W68" s="1">
        <v>19.944600000000001</v>
      </c>
      <c r="X68" s="1">
        <v>39.397399999999998</v>
      </c>
      <c r="Y68" s="1">
        <v>36.114600000000003</v>
      </c>
      <c r="Z68" s="1">
        <v>34.558800000000012</v>
      </c>
      <c r="AA68" s="1">
        <v>25.469000000000001</v>
      </c>
      <c r="AB68" s="1">
        <v>24.119199999999999</v>
      </c>
      <c r="AC68" s="1">
        <v>27.015599999999999</v>
      </c>
      <c r="AD68" s="1">
        <v>23.341799999999999</v>
      </c>
      <c r="AE68" s="1">
        <v>16.409400000000002</v>
      </c>
      <c r="AF68" s="1">
        <v>37.777799999999999</v>
      </c>
      <c r="AG68" s="1">
        <v>58.898200000000003</v>
      </c>
      <c r="AH68" s="1"/>
      <c r="AI68" s="1">
        <f t="shared" si="15"/>
        <v>90</v>
      </c>
    </row>
    <row r="69" spans="1:35" x14ac:dyDescent="0.25">
      <c r="A69" s="12" t="s">
        <v>111</v>
      </c>
      <c r="B69" s="12" t="s">
        <v>44</v>
      </c>
      <c r="C69" s="12"/>
      <c r="D69" s="12"/>
      <c r="E69" s="12"/>
      <c r="F69" s="12"/>
      <c r="G69" s="13">
        <v>0</v>
      </c>
      <c r="H69" s="12"/>
      <c r="I69" s="12" t="s">
        <v>40</v>
      </c>
      <c r="J69" s="12"/>
      <c r="K69" s="12"/>
      <c r="L69" s="12">
        <f t="shared" si="11"/>
        <v>0</v>
      </c>
      <c r="M69" s="12"/>
      <c r="N69" s="12"/>
      <c r="O69" s="12">
        <v>0</v>
      </c>
      <c r="P69" s="12"/>
      <c r="Q69" s="12"/>
      <c r="R69" s="12">
        <v>0</v>
      </c>
      <c r="S69" s="12">
        <f t="shared" si="12"/>
        <v>0</v>
      </c>
      <c r="T69" s="14"/>
      <c r="U69" s="12" t="e">
        <f t="shared" si="13"/>
        <v>#DIV/0!</v>
      </c>
      <c r="V69" s="12" t="e">
        <f t="shared" si="14"/>
        <v>#DIV/0!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 t="s">
        <v>45</v>
      </c>
      <c r="AI69" s="12"/>
    </row>
    <row r="70" spans="1:35" x14ac:dyDescent="0.25">
      <c r="A70" s="1" t="s">
        <v>112</v>
      </c>
      <c r="B70" s="1" t="s">
        <v>39</v>
      </c>
      <c r="C70" s="1">
        <v>253.00800000000001</v>
      </c>
      <c r="D70" s="1">
        <v>13.194000000000001</v>
      </c>
      <c r="E70" s="1">
        <v>145.37799999999999</v>
      </c>
      <c r="F70" s="1">
        <v>99.566000000000003</v>
      </c>
      <c r="G70" s="7">
        <v>1</v>
      </c>
      <c r="H70" s="1">
        <v>30</v>
      </c>
      <c r="I70" s="1" t="s">
        <v>40</v>
      </c>
      <c r="J70" s="1"/>
      <c r="K70" s="1">
        <v>165.7</v>
      </c>
      <c r="L70" s="1">
        <f t="shared" ref="L70:L101" si="17">E70-K70</f>
        <v>-20.322000000000003</v>
      </c>
      <c r="M70" s="1"/>
      <c r="N70" s="1"/>
      <c r="O70" s="1">
        <v>0</v>
      </c>
      <c r="P70" s="1"/>
      <c r="Q70" s="1"/>
      <c r="R70" s="1">
        <v>204.42599999999999</v>
      </c>
      <c r="S70" s="1">
        <f t="shared" ref="S70:S101" si="18">E70/5</f>
        <v>29.075599999999998</v>
      </c>
      <c r="T70" s="5">
        <f t="shared" ref="T70:T75" si="19">12*S70-R70-Q70-P70-O70-F70</f>
        <v>44.915199999999999</v>
      </c>
      <c r="U70" s="1">
        <f t="shared" ref="U70:U101" si="20">(F70+O70+P70+Q70+R70+T70)/S70</f>
        <v>12</v>
      </c>
      <c r="V70" s="1">
        <f t="shared" ref="V70:V101" si="21">(F70+O70+P70+Q70+R70)/S70</f>
        <v>10.455227063242031</v>
      </c>
      <c r="W70" s="1">
        <v>33.2898</v>
      </c>
      <c r="X70" s="1">
        <v>11.0556</v>
      </c>
      <c r="Y70" s="1">
        <v>4.7800000000000002E-2</v>
      </c>
      <c r="Z70" s="1">
        <v>28.5642</v>
      </c>
      <c r="AA70" s="1">
        <v>35.5794</v>
      </c>
      <c r="AB70" s="1">
        <v>22.786799999999999</v>
      </c>
      <c r="AC70" s="1">
        <v>21.472200000000001</v>
      </c>
      <c r="AD70" s="1">
        <v>26.0868</v>
      </c>
      <c r="AE70" s="1">
        <v>29.864999999999998</v>
      </c>
      <c r="AF70" s="1">
        <v>35.738799999999998</v>
      </c>
      <c r="AG70" s="1">
        <v>40.323999999999977</v>
      </c>
      <c r="AH70" s="1"/>
      <c r="AI70" s="1">
        <f t="shared" ref="AI70:AI75" si="22">G70*T70</f>
        <v>44.915199999999999</v>
      </c>
    </row>
    <row r="71" spans="1:35" x14ac:dyDescent="0.25">
      <c r="A71" s="1" t="s">
        <v>113</v>
      </c>
      <c r="B71" s="1" t="s">
        <v>44</v>
      </c>
      <c r="C71" s="1">
        <v>9</v>
      </c>
      <c r="D71" s="1">
        <v>144</v>
      </c>
      <c r="E71" s="1">
        <v>43</v>
      </c>
      <c r="F71" s="1">
        <v>52</v>
      </c>
      <c r="G71" s="7">
        <v>0.6</v>
      </c>
      <c r="H71" s="1">
        <v>60</v>
      </c>
      <c r="I71" s="1" t="s">
        <v>40</v>
      </c>
      <c r="J71" s="1"/>
      <c r="K71" s="1">
        <v>46</v>
      </c>
      <c r="L71" s="1">
        <f t="shared" si="17"/>
        <v>-3</v>
      </c>
      <c r="M71" s="1"/>
      <c r="N71" s="1"/>
      <c r="O71" s="1">
        <v>81.680000000000049</v>
      </c>
      <c r="P71" s="1"/>
      <c r="Q71" s="1"/>
      <c r="R71" s="1">
        <v>0</v>
      </c>
      <c r="S71" s="1">
        <f t="shared" si="18"/>
        <v>8.6</v>
      </c>
      <c r="T71" s="5"/>
      <c r="U71" s="1">
        <f t="shared" si="20"/>
        <v>15.544186046511635</v>
      </c>
      <c r="V71" s="1">
        <f t="shared" si="21"/>
        <v>15.544186046511635</v>
      </c>
      <c r="W71" s="1">
        <v>18.600000000000001</v>
      </c>
      <c r="X71" s="1">
        <v>21.6</v>
      </c>
      <c r="Y71" s="1">
        <v>26</v>
      </c>
      <c r="Z71" s="1">
        <v>22.8</v>
      </c>
      <c r="AA71" s="1">
        <v>9.8000000000000007</v>
      </c>
      <c r="AB71" s="1">
        <v>15.2</v>
      </c>
      <c r="AC71" s="1">
        <v>27</v>
      </c>
      <c r="AD71" s="1">
        <v>26.6</v>
      </c>
      <c r="AE71" s="1">
        <v>13.2</v>
      </c>
      <c r="AF71" s="1">
        <v>11.8</v>
      </c>
      <c r="AG71" s="1">
        <v>20.399999999999999</v>
      </c>
      <c r="AH71" s="1"/>
      <c r="AI71" s="1">
        <f t="shared" si="22"/>
        <v>0</v>
      </c>
    </row>
    <row r="72" spans="1:35" x14ac:dyDescent="0.25">
      <c r="A72" s="1" t="s">
        <v>114</v>
      </c>
      <c r="B72" s="1" t="s">
        <v>44</v>
      </c>
      <c r="C72" s="1">
        <v>87</v>
      </c>
      <c r="D72" s="1">
        <v>208</v>
      </c>
      <c r="E72" s="1">
        <v>92</v>
      </c>
      <c r="F72" s="1">
        <v>125</v>
      </c>
      <c r="G72" s="7">
        <v>0.6</v>
      </c>
      <c r="H72" s="1">
        <v>60</v>
      </c>
      <c r="I72" s="1" t="s">
        <v>40</v>
      </c>
      <c r="J72" s="1"/>
      <c r="K72" s="1">
        <v>79</v>
      </c>
      <c r="L72" s="1">
        <f t="shared" si="17"/>
        <v>13</v>
      </c>
      <c r="M72" s="1"/>
      <c r="N72" s="1"/>
      <c r="O72" s="1">
        <v>24.875999999999969</v>
      </c>
      <c r="P72" s="1"/>
      <c r="Q72" s="1"/>
      <c r="R72" s="1">
        <v>74.124000000000024</v>
      </c>
      <c r="S72" s="1">
        <f t="shared" si="18"/>
        <v>18.399999999999999</v>
      </c>
      <c r="T72" s="5"/>
      <c r="U72" s="1">
        <f t="shared" si="20"/>
        <v>12.173913043478262</v>
      </c>
      <c r="V72" s="1">
        <f t="shared" si="21"/>
        <v>12.173913043478262</v>
      </c>
      <c r="W72" s="1">
        <v>32</v>
      </c>
      <c r="X72" s="1">
        <v>28.4</v>
      </c>
      <c r="Y72" s="1">
        <v>31.4</v>
      </c>
      <c r="Z72" s="1">
        <v>38.799999999999997</v>
      </c>
      <c r="AA72" s="1">
        <v>27.8</v>
      </c>
      <c r="AB72" s="1">
        <v>15.2</v>
      </c>
      <c r="AC72" s="1">
        <v>26.6</v>
      </c>
      <c r="AD72" s="1">
        <v>40.799999999999997</v>
      </c>
      <c r="AE72" s="1">
        <v>41.2</v>
      </c>
      <c r="AF72" s="1">
        <v>32.6</v>
      </c>
      <c r="AG72" s="1">
        <v>37.200000000000003</v>
      </c>
      <c r="AH72" s="1"/>
      <c r="AI72" s="1">
        <f t="shared" si="22"/>
        <v>0</v>
      </c>
    </row>
    <row r="73" spans="1:35" x14ac:dyDescent="0.25">
      <c r="A73" s="1" t="s">
        <v>115</v>
      </c>
      <c r="B73" s="1" t="s">
        <v>44</v>
      </c>
      <c r="C73" s="1">
        <v>69</v>
      </c>
      <c r="D73" s="1">
        <v>63</v>
      </c>
      <c r="E73" s="1">
        <v>121</v>
      </c>
      <c r="F73" s="1">
        <v>5</v>
      </c>
      <c r="G73" s="7">
        <v>0.4</v>
      </c>
      <c r="H73" s="1">
        <v>90</v>
      </c>
      <c r="I73" s="1" t="s">
        <v>40</v>
      </c>
      <c r="J73" s="1"/>
      <c r="K73" s="1">
        <v>126</v>
      </c>
      <c r="L73" s="1">
        <f t="shared" si="17"/>
        <v>-5</v>
      </c>
      <c r="M73" s="1"/>
      <c r="N73" s="1"/>
      <c r="O73" s="1">
        <v>130.97200000000001</v>
      </c>
      <c r="P73" s="1"/>
      <c r="Q73" s="1"/>
      <c r="R73" s="1">
        <v>81.22799999999998</v>
      </c>
      <c r="S73" s="1">
        <f t="shared" si="18"/>
        <v>24.2</v>
      </c>
      <c r="T73" s="5">
        <f t="shared" si="19"/>
        <v>73.199999999999989</v>
      </c>
      <c r="U73" s="1">
        <f t="shared" si="20"/>
        <v>12</v>
      </c>
      <c r="V73" s="1">
        <f t="shared" si="21"/>
        <v>8.9752066115702469</v>
      </c>
      <c r="W73" s="1">
        <v>25.2</v>
      </c>
      <c r="X73" s="1">
        <v>23.6</v>
      </c>
      <c r="Y73" s="1">
        <v>19</v>
      </c>
      <c r="Z73" s="1">
        <v>18.8</v>
      </c>
      <c r="AA73" s="1">
        <v>19.8</v>
      </c>
      <c r="AB73" s="1">
        <v>17.600000000000001</v>
      </c>
      <c r="AC73" s="1">
        <v>13.6</v>
      </c>
      <c r="AD73" s="1">
        <v>19</v>
      </c>
      <c r="AE73" s="1">
        <v>22.6</v>
      </c>
      <c r="AF73" s="1">
        <v>21.8</v>
      </c>
      <c r="AG73" s="1">
        <v>17.8</v>
      </c>
      <c r="AH73" s="1"/>
      <c r="AI73" s="1">
        <f t="shared" si="22"/>
        <v>29.279999999999998</v>
      </c>
    </row>
    <row r="74" spans="1:35" x14ac:dyDescent="0.25">
      <c r="A74" s="1" t="s">
        <v>116</v>
      </c>
      <c r="B74" s="1" t="s">
        <v>44</v>
      </c>
      <c r="C74" s="1">
        <v>144</v>
      </c>
      <c r="D74" s="1">
        <v>117</v>
      </c>
      <c r="E74" s="1">
        <v>232</v>
      </c>
      <c r="F74" s="1">
        <v>9</v>
      </c>
      <c r="G74" s="7">
        <v>0.33</v>
      </c>
      <c r="H74" s="1">
        <v>60</v>
      </c>
      <c r="I74" s="1" t="s">
        <v>40</v>
      </c>
      <c r="J74" s="1"/>
      <c r="K74" s="1">
        <v>242</v>
      </c>
      <c r="L74" s="1">
        <f t="shared" si="17"/>
        <v>-10</v>
      </c>
      <c r="M74" s="1"/>
      <c r="N74" s="1"/>
      <c r="O74" s="1">
        <v>173.726</v>
      </c>
      <c r="P74" s="1"/>
      <c r="Q74" s="1"/>
      <c r="R74" s="1">
        <v>268.87400000000002</v>
      </c>
      <c r="S74" s="1">
        <f t="shared" si="18"/>
        <v>46.4</v>
      </c>
      <c r="T74" s="5">
        <f t="shared" si="19"/>
        <v>105.19999999999993</v>
      </c>
      <c r="U74" s="1">
        <f t="shared" si="20"/>
        <v>12</v>
      </c>
      <c r="V74" s="1">
        <f t="shared" si="21"/>
        <v>9.7327586206896566</v>
      </c>
      <c r="W74" s="1">
        <v>50.6</v>
      </c>
      <c r="X74" s="1">
        <v>37.799999999999997</v>
      </c>
      <c r="Y74" s="1">
        <v>30.4</v>
      </c>
      <c r="Z74" s="1">
        <v>37</v>
      </c>
      <c r="AA74" s="1">
        <v>38.200000000000003</v>
      </c>
      <c r="AB74" s="1">
        <v>31.8</v>
      </c>
      <c r="AC74" s="1">
        <v>24.8</v>
      </c>
      <c r="AD74" s="1">
        <v>29.4</v>
      </c>
      <c r="AE74" s="1">
        <v>26.2</v>
      </c>
      <c r="AF74" s="1">
        <v>28.6</v>
      </c>
      <c r="AG74" s="1">
        <v>30.2</v>
      </c>
      <c r="AH74" s="1"/>
      <c r="AI74" s="1">
        <f t="shared" si="22"/>
        <v>34.71599999999998</v>
      </c>
    </row>
    <row r="75" spans="1:35" x14ac:dyDescent="0.25">
      <c r="A75" s="1" t="s">
        <v>117</v>
      </c>
      <c r="B75" s="1" t="s">
        <v>44</v>
      </c>
      <c r="C75" s="1">
        <v>217</v>
      </c>
      <c r="D75" s="1">
        <v>15</v>
      </c>
      <c r="E75" s="1">
        <v>136</v>
      </c>
      <c r="F75" s="1">
        <v>81</v>
      </c>
      <c r="G75" s="7">
        <v>0.35</v>
      </c>
      <c r="H75" s="1">
        <v>90</v>
      </c>
      <c r="I75" s="1" t="s">
        <v>40</v>
      </c>
      <c r="J75" s="1"/>
      <c r="K75" s="1">
        <v>141</v>
      </c>
      <c r="L75" s="1">
        <f t="shared" si="17"/>
        <v>-5</v>
      </c>
      <c r="M75" s="1"/>
      <c r="N75" s="1"/>
      <c r="O75" s="1">
        <v>59.911999999999807</v>
      </c>
      <c r="P75" s="1"/>
      <c r="Q75" s="1"/>
      <c r="R75" s="1">
        <v>120.8880000000002</v>
      </c>
      <c r="S75" s="1">
        <f t="shared" si="18"/>
        <v>27.2</v>
      </c>
      <c r="T75" s="5">
        <f t="shared" si="19"/>
        <v>64.599999999999966</v>
      </c>
      <c r="U75" s="1">
        <f t="shared" si="20"/>
        <v>12</v>
      </c>
      <c r="V75" s="1">
        <f t="shared" si="21"/>
        <v>9.625</v>
      </c>
      <c r="W75" s="1">
        <v>29.8</v>
      </c>
      <c r="X75" s="1">
        <v>25.6</v>
      </c>
      <c r="Y75" s="1">
        <v>21.8</v>
      </c>
      <c r="Z75" s="1">
        <v>26.8</v>
      </c>
      <c r="AA75" s="1">
        <v>32.6</v>
      </c>
      <c r="AB75" s="1">
        <v>30.2</v>
      </c>
      <c r="AC75" s="1">
        <v>21.8</v>
      </c>
      <c r="AD75" s="1">
        <v>25.6</v>
      </c>
      <c r="AE75" s="1">
        <v>22</v>
      </c>
      <c r="AF75" s="1">
        <v>30.2</v>
      </c>
      <c r="AG75" s="1">
        <v>31</v>
      </c>
      <c r="AH75" s="1"/>
      <c r="AI75" s="1">
        <f t="shared" si="22"/>
        <v>22.609999999999985</v>
      </c>
    </row>
    <row r="76" spans="1:35" x14ac:dyDescent="0.25">
      <c r="A76" s="12" t="s">
        <v>118</v>
      </c>
      <c r="B76" s="12" t="s">
        <v>44</v>
      </c>
      <c r="C76" s="12"/>
      <c r="D76" s="12"/>
      <c r="E76" s="12"/>
      <c r="F76" s="12"/>
      <c r="G76" s="13">
        <v>0</v>
      </c>
      <c r="H76" s="12"/>
      <c r="I76" s="12" t="s">
        <v>40</v>
      </c>
      <c r="J76" s="12"/>
      <c r="K76" s="12"/>
      <c r="L76" s="12">
        <f t="shared" si="17"/>
        <v>0</v>
      </c>
      <c r="M76" s="12"/>
      <c r="N76" s="12"/>
      <c r="O76" s="12">
        <v>0</v>
      </c>
      <c r="P76" s="12"/>
      <c r="Q76" s="12"/>
      <c r="R76" s="12">
        <v>0</v>
      </c>
      <c r="S76" s="12">
        <f t="shared" si="18"/>
        <v>0</v>
      </c>
      <c r="T76" s="14"/>
      <c r="U76" s="12" t="e">
        <f t="shared" si="20"/>
        <v>#DIV/0!</v>
      </c>
      <c r="V76" s="12" t="e">
        <f t="shared" si="21"/>
        <v>#DIV/0!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 t="s">
        <v>45</v>
      </c>
      <c r="AI76" s="12"/>
    </row>
    <row r="77" spans="1:35" x14ac:dyDescent="0.25">
      <c r="A77" s="1" t="s">
        <v>119</v>
      </c>
      <c r="B77" s="1" t="s">
        <v>44</v>
      </c>
      <c r="C77" s="1">
        <v>104</v>
      </c>
      <c r="D77" s="1">
        <v>16</v>
      </c>
      <c r="E77" s="1">
        <v>42</v>
      </c>
      <c r="F77" s="1">
        <v>60</v>
      </c>
      <c r="G77" s="7">
        <v>0.6</v>
      </c>
      <c r="H77" s="1">
        <v>70</v>
      </c>
      <c r="I77" s="1" t="s">
        <v>40</v>
      </c>
      <c r="J77" s="1"/>
      <c r="K77" s="1">
        <v>44</v>
      </c>
      <c r="L77" s="1">
        <f t="shared" si="17"/>
        <v>-2</v>
      </c>
      <c r="M77" s="1"/>
      <c r="N77" s="1"/>
      <c r="O77" s="1">
        <v>24</v>
      </c>
      <c r="P77" s="1"/>
      <c r="Q77" s="1"/>
      <c r="R77" s="1">
        <v>6.8000000000000114</v>
      </c>
      <c r="S77" s="1">
        <f t="shared" si="18"/>
        <v>8.4</v>
      </c>
      <c r="T77" s="5">
        <f t="shared" ref="T77:T81" si="23">12*S77-R77-Q77-P77-O77-F77</f>
        <v>10</v>
      </c>
      <c r="U77" s="1">
        <f t="shared" si="20"/>
        <v>12</v>
      </c>
      <c r="V77" s="1">
        <f t="shared" si="21"/>
        <v>10.80952380952381</v>
      </c>
      <c r="W77" s="1">
        <v>11.8</v>
      </c>
      <c r="X77" s="1">
        <v>10.6</v>
      </c>
      <c r="Y77" s="1">
        <v>8.6</v>
      </c>
      <c r="Z77" s="1">
        <v>14.6</v>
      </c>
      <c r="AA77" s="1">
        <v>17</v>
      </c>
      <c r="AB77" s="1">
        <v>8.1999999999999993</v>
      </c>
      <c r="AC77" s="1">
        <v>3</v>
      </c>
      <c r="AD77" s="1">
        <v>16</v>
      </c>
      <c r="AE77" s="1">
        <v>20.2</v>
      </c>
      <c r="AF77" s="1">
        <v>17.399999999999999</v>
      </c>
      <c r="AG77" s="1">
        <v>11.6</v>
      </c>
      <c r="AH77" s="1"/>
      <c r="AI77" s="1">
        <f>G77*T77</f>
        <v>6</v>
      </c>
    </row>
    <row r="78" spans="1:35" x14ac:dyDescent="0.25">
      <c r="A78" s="1" t="s">
        <v>120</v>
      </c>
      <c r="B78" s="1" t="s">
        <v>44</v>
      </c>
      <c r="C78" s="1">
        <v>104</v>
      </c>
      <c r="D78" s="1">
        <v>21</v>
      </c>
      <c r="E78" s="1">
        <v>55</v>
      </c>
      <c r="F78" s="1">
        <v>38</v>
      </c>
      <c r="G78" s="7">
        <v>0.33</v>
      </c>
      <c r="H78" s="1">
        <v>40</v>
      </c>
      <c r="I78" s="1" t="s">
        <v>40</v>
      </c>
      <c r="J78" s="1"/>
      <c r="K78" s="1">
        <v>69</v>
      </c>
      <c r="L78" s="1">
        <f t="shared" si="17"/>
        <v>-14</v>
      </c>
      <c r="M78" s="1"/>
      <c r="N78" s="1"/>
      <c r="O78" s="1">
        <v>0</v>
      </c>
      <c r="P78" s="1"/>
      <c r="Q78" s="1"/>
      <c r="R78" s="1">
        <v>77.800000000000011</v>
      </c>
      <c r="S78" s="1">
        <f t="shared" si="18"/>
        <v>11</v>
      </c>
      <c r="T78" s="5">
        <f t="shared" si="23"/>
        <v>16.199999999999989</v>
      </c>
      <c r="U78" s="1">
        <f t="shared" si="20"/>
        <v>12</v>
      </c>
      <c r="V78" s="1">
        <f t="shared" si="21"/>
        <v>10.527272727272729</v>
      </c>
      <c r="W78" s="1">
        <v>16.600000000000001</v>
      </c>
      <c r="X78" s="1">
        <v>4.8</v>
      </c>
      <c r="Y78" s="1">
        <v>3.2</v>
      </c>
      <c r="Z78" s="1">
        <v>4.8</v>
      </c>
      <c r="AA78" s="1">
        <v>6.8</v>
      </c>
      <c r="AB78" s="1">
        <v>9.8000000000000007</v>
      </c>
      <c r="AC78" s="1">
        <v>10.8</v>
      </c>
      <c r="AD78" s="1">
        <v>16.2</v>
      </c>
      <c r="AE78" s="1">
        <v>8.8000000000000007</v>
      </c>
      <c r="AF78" s="1">
        <v>5.4</v>
      </c>
      <c r="AG78" s="1">
        <v>11.6</v>
      </c>
      <c r="AH78" s="1"/>
      <c r="AI78" s="1">
        <f>G78*T78</f>
        <v>5.3459999999999965</v>
      </c>
    </row>
    <row r="79" spans="1:35" x14ac:dyDescent="0.25">
      <c r="A79" s="1" t="s">
        <v>121</v>
      </c>
      <c r="B79" s="1" t="s">
        <v>44</v>
      </c>
      <c r="C79" s="1">
        <v>91</v>
      </c>
      <c r="D79" s="1"/>
      <c r="E79" s="1">
        <v>31</v>
      </c>
      <c r="F79" s="1">
        <v>25</v>
      </c>
      <c r="G79" s="7">
        <v>0.4</v>
      </c>
      <c r="H79" s="1">
        <v>55</v>
      </c>
      <c r="I79" s="1" t="s">
        <v>40</v>
      </c>
      <c r="J79" s="1"/>
      <c r="K79" s="1">
        <v>61</v>
      </c>
      <c r="L79" s="1">
        <f t="shared" si="17"/>
        <v>-30</v>
      </c>
      <c r="M79" s="1"/>
      <c r="N79" s="1"/>
      <c r="O79" s="1">
        <v>0</v>
      </c>
      <c r="P79" s="1"/>
      <c r="Q79" s="1"/>
      <c r="R79" s="1">
        <v>22</v>
      </c>
      <c r="S79" s="1">
        <f t="shared" si="18"/>
        <v>6.2</v>
      </c>
      <c r="T79" s="5">
        <f t="shared" si="23"/>
        <v>27.400000000000006</v>
      </c>
      <c r="U79" s="1">
        <f t="shared" si="20"/>
        <v>12</v>
      </c>
      <c r="V79" s="1">
        <f t="shared" si="21"/>
        <v>7.5806451612903221</v>
      </c>
      <c r="W79" s="1">
        <v>7</v>
      </c>
      <c r="X79" s="1">
        <v>6.8</v>
      </c>
      <c r="Y79" s="1">
        <v>4.2</v>
      </c>
      <c r="Z79" s="1">
        <v>9</v>
      </c>
      <c r="AA79" s="1">
        <v>11.2</v>
      </c>
      <c r="AB79" s="1">
        <v>7.2</v>
      </c>
      <c r="AC79" s="1">
        <v>6</v>
      </c>
      <c r="AD79" s="1">
        <v>7.2</v>
      </c>
      <c r="AE79" s="1">
        <v>5.8</v>
      </c>
      <c r="AF79" s="1">
        <v>10.4</v>
      </c>
      <c r="AG79" s="1">
        <v>12.2</v>
      </c>
      <c r="AH79" s="1"/>
      <c r="AI79" s="1">
        <f>G79*T79</f>
        <v>10.960000000000003</v>
      </c>
    </row>
    <row r="80" spans="1:35" x14ac:dyDescent="0.25">
      <c r="A80" s="1" t="s">
        <v>122</v>
      </c>
      <c r="B80" s="1" t="s">
        <v>44</v>
      </c>
      <c r="C80" s="1">
        <v>-3</v>
      </c>
      <c r="D80" s="1">
        <v>24</v>
      </c>
      <c r="E80" s="1">
        <v>5</v>
      </c>
      <c r="F80" s="1">
        <v>15</v>
      </c>
      <c r="G80" s="7">
        <v>0.35</v>
      </c>
      <c r="H80" s="1">
        <v>40</v>
      </c>
      <c r="I80" s="1" t="s">
        <v>40</v>
      </c>
      <c r="J80" s="1"/>
      <c r="K80" s="1">
        <v>5</v>
      </c>
      <c r="L80" s="1">
        <f t="shared" si="17"/>
        <v>0</v>
      </c>
      <c r="M80" s="1"/>
      <c r="N80" s="1"/>
      <c r="O80" s="1">
        <v>0</v>
      </c>
      <c r="P80" s="1"/>
      <c r="Q80" s="1"/>
      <c r="R80" s="1">
        <v>0</v>
      </c>
      <c r="S80" s="1">
        <f t="shared" si="18"/>
        <v>1</v>
      </c>
      <c r="T80" s="5"/>
      <c r="U80" s="1">
        <f t="shared" si="20"/>
        <v>15</v>
      </c>
      <c r="V80" s="1">
        <f t="shared" si="21"/>
        <v>15</v>
      </c>
      <c r="W80" s="1">
        <v>-0.4</v>
      </c>
      <c r="X80" s="1">
        <v>-0.6</v>
      </c>
      <c r="Y80" s="1">
        <v>0.4</v>
      </c>
      <c r="Z80" s="1">
        <v>1.4</v>
      </c>
      <c r="AA80" s="1">
        <v>0.6</v>
      </c>
      <c r="AB80" s="1">
        <v>1.4</v>
      </c>
      <c r="AC80" s="1">
        <v>4</v>
      </c>
      <c r="AD80" s="1">
        <v>6.8</v>
      </c>
      <c r="AE80" s="1">
        <v>6.8</v>
      </c>
      <c r="AF80" s="1">
        <v>4.4000000000000004</v>
      </c>
      <c r="AG80" s="1">
        <v>3.8</v>
      </c>
      <c r="AH80" s="1" t="s">
        <v>123</v>
      </c>
      <c r="AI80" s="1">
        <f>G80*T80</f>
        <v>0</v>
      </c>
    </row>
    <row r="81" spans="1:35" x14ac:dyDescent="0.25">
      <c r="A81" s="1" t="s">
        <v>124</v>
      </c>
      <c r="B81" s="1" t="s">
        <v>44</v>
      </c>
      <c r="C81" s="1">
        <v>67</v>
      </c>
      <c r="D81" s="1">
        <v>60</v>
      </c>
      <c r="E81" s="1">
        <v>47</v>
      </c>
      <c r="F81" s="1">
        <v>72</v>
      </c>
      <c r="G81" s="7">
        <v>0.35</v>
      </c>
      <c r="H81" s="1">
        <v>45</v>
      </c>
      <c r="I81" s="1" t="s">
        <v>40</v>
      </c>
      <c r="J81" s="1"/>
      <c r="K81" s="1">
        <v>48</v>
      </c>
      <c r="L81" s="1">
        <f t="shared" si="17"/>
        <v>-1</v>
      </c>
      <c r="M81" s="1"/>
      <c r="N81" s="1"/>
      <c r="O81" s="1">
        <v>75.659999999999982</v>
      </c>
      <c r="P81" s="1"/>
      <c r="Q81" s="1"/>
      <c r="R81" s="1">
        <v>0</v>
      </c>
      <c r="S81" s="1">
        <f t="shared" si="18"/>
        <v>9.4</v>
      </c>
      <c r="T81" s="5"/>
      <c r="U81" s="1">
        <f t="shared" si="20"/>
        <v>15.708510638297868</v>
      </c>
      <c r="V81" s="1">
        <f t="shared" si="21"/>
        <v>15.708510638297868</v>
      </c>
      <c r="W81" s="1">
        <v>13</v>
      </c>
      <c r="X81" s="1">
        <v>18</v>
      </c>
      <c r="Y81" s="1">
        <v>20.6</v>
      </c>
      <c r="Z81" s="1">
        <v>16.600000000000001</v>
      </c>
      <c r="AA81" s="1">
        <v>12.4</v>
      </c>
      <c r="AB81" s="1">
        <v>5.6</v>
      </c>
      <c r="AC81" s="1">
        <v>14.8</v>
      </c>
      <c r="AD81" s="1">
        <v>33</v>
      </c>
      <c r="AE81" s="1">
        <v>26</v>
      </c>
      <c r="AF81" s="1">
        <v>36.6</v>
      </c>
      <c r="AG81" s="1">
        <v>33.4</v>
      </c>
      <c r="AH81" s="1"/>
      <c r="AI81" s="1">
        <f>G81*T81</f>
        <v>0</v>
      </c>
    </row>
    <row r="82" spans="1:35" x14ac:dyDescent="0.25">
      <c r="A82" s="12" t="s">
        <v>125</v>
      </c>
      <c r="B82" s="12" t="s">
        <v>44</v>
      </c>
      <c r="C82" s="12"/>
      <c r="D82" s="12"/>
      <c r="E82" s="12"/>
      <c r="F82" s="12"/>
      <c r="G82" s="13">
        <v>0</v>
      </c>
      <c r="H82" s="12"/>
      <c r="I82" s="12" t="s">
        <v>40</v>
      </c>
      <c r="J82" s="12"/>
      <c r="K82" s="12"/>
      <c r="L82" s="12">
        <f t="shared" si="17"/>
        <v>0</v>
      </c>
      <c r="M82" s="12"/>
      <c r="N82" s="12"/>
      <c r="O82" s="12">
        <v>0</v>
      </c>
      <c r="P82" s="12"/>
      <c r="Q82" s="12"/>
      <c r="R82" s="12">
        <v>0</v>
      </c>
      <c r="S82" s="12">
        <f t="shared" si="18"/>
        <v>0</v>
      </c>
      <c r="T82" s="14"/>
      <c r="U82" s="12" t="e">
        <f t="shared" si="20"/>
        <v>#DIV/0!</v>
      </c>
      <c r="V82" s="12" t="e">
        <f t="shared" si="21"/>
        <v>#DIV/0!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 t="s">
        <v>45</v>
      </c>
      <c r="AI82" s="12"/>
    </row>
    <row r="83" spans="1:35" x14ac:dyDescent="0.25">
      <c r="A83" s="12" t="s">
        <v>126</v>
      </c>
      <c r="B83" s="12" t="s">
        <v>39</v>
      </c>
      <c r="C83" s="12"/>
      <c r="D83" s="12"/>
      <c r="E83" s="12"/>
      <c r="F83" s="12"/>
      <c r="G83" s="13">
        <v>0</v>
      </c>
      <c r="H83" s="12"/>
      <c r="I83" s="12" t="s">
        <v>40</v>
      </c>
      <c r="J83" s="12"/>
      <c r="K83" s="12"/>
      <c r="L83" s="12">
        <f t="shared" si="17"/>
        <v>0</v>
      </c>
      <c r="M83" s="12"/>
      <c r="N83" s="12"/>
      <c r="O83" s="12">
        <v>0</v>
      </c>
      <c r="P83" s="12"/>
      <c r="Q83" s="12"/>
      <c r="R83" s="12">
        <v>0</v>
      </c>
      <c r="S83" s="12">
        <f t="shared" si="18"/>
        <v>0</v>
      </c>
      <c r="T83" s="14"/>
      <c r="U83" s="12" t="e">
        <f t="shared" si="20"/>
        <v>#DIV/0!</v>
      </c>
      <c r="V83" s="12" t="e">
        <f t="shared" si="21"/>
        <v>#DIV/0!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 t="s">
        <v>45</v>
      </c>
      <c r="AI83" s="12"/>
    </row>
    <row r="84" spans="1:35" x14ac:dyDescent="0.25">
      <c r="A84" s="12" t="s">
        <v>127</v>
      </c>
      <c r="B84" s="12" t="s">
        <v>39</v>
      </c>
      <c r="C84" s="12"/>
      <c r="D84" s="12"/>
      <c r="E84" s="12"/>
      <c r="F84" s="12"/>
      <c r="G84" s="13">
        <v>0</v>
      </c>
      <c r="H84" s="12"/>
      <c r="I84" s="12" t="s">
        <v>40</v>
      </c>
      <c r="J84" s="12"/>
      <c r="K84" s="12"/>
      <c r="L84" s="12">
        <f t="shared" si="17"/>
        <v>0</v>
      </c>
      <c r="M84" s="12"/>
      <c r="N84" s="12"/>
      <c r="O84" s="12">
        <v>0</v>
      </c>
      <c r="P84" s="12"/>
      <c r="Q84" s="12"/>
      <c r="R84" s="12">
        <v>0</v>
      </c>
      <c r="S84" s="12">
        <f t="shared" si="18"/>
        <v>0</v>
      </c>
      <c r="T84" s="14"/>
      <c r="U84" s="12" t="e">
        <f t="shared" si="20"/>
        <v>#DIV/0!</v>
      </c>
      <c r="V84" s="12" t="e">
        <f t="shared" si="21"/>
        <v>#DIV/0!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 t="s">
        <v>45</v>
      </c>
      <c r="AI84" s="12"/>
    </row>
    <row r="85" spans="1:35" x14ac:dyDescent="0.25">
      <c r="A85" s="1" t="s">
        <v>128</v>
      </c>
      <c r="B85" s="1" t="s">
        <v>39</v>
      </c>
      <c r="C85" s="1">
        <v>161.529</v>
      </c>
      <c r="D85" s="1">
        <v>137.74600000000001</v>
      </c>
      <c r="E85" s="1">
        <v>164.61799999999999</v>
      </c>
      <c r="F85" s="1">
        <v>112.962</v>
      </c>
      <c r="G85" s="7">
        <v>1</v>
      </c>
      <c r="H85" s="1">
        <v>60</v>
      </c>
      <c r="I85" s="1" t="s">
        <v>40</v>
      </c>
      <c r="J85" s="1"/>
      <c r="K85" s="1">
        <v>165.8</v>
      </c>
      <c r="L85" s="1">
        <f t="shared" si="17"/>
        <v>-1.1820000000000164</v>
      </c>
      <c r="M85" s="1"/>
      <c r="N85" s="1"/>
      <c r="O85" s="1">
        <v>80.011245999999971</v>
      </c>
      <c r="P85" s="1"/>
      <c r="Q85" s="1"/>
      <c r="R85" s="1">
        <v>120.8653540000001</v>
      </c>
      <c r="S85" s="1">
        <f t="shared" si="18"/>
        <v>32.9236</v>
      </c>
      <c r="T85" s="5">
        <f>12*S85-R85-Q85-P85-O85-F85</f>
        <v>81.244599999999977</v>
      </c>
      <c r="U85" s="1">
        <f t="shared" si="20"/>
        <v>12</v>
      </c>
      <c r="V85" s="1">
        <f t="shared" si="21"/>
        <v>9.5323293928974966</v>
      </c>
      <c r="W85" s="1">
        <v>36.190600000000003</v>
      </c>
      <c r="X85" s="1">
        <v>32.9358</v>
      </c>
      <c r="Y85" s="1">
        <v>27.771799999999999</v>
      </c>
      <c r="Z85" s="1">
        <v>31.998000000000001</v>
      </c>
      <c r="AA85" s="1">
        <v>23.875599999999999</v>
      </c>
      <c r="AB85" s="1">
        <v>20.068999999999999</v>
      </c>
      <c r="AC85" s="1">
        <v>23.865600000000001</v>
      </c>
      <c r="AD85" s="1">
        <v>32.620199999999997</v>
      </c>
      <c r="AE85" s="1">
        <v>28.968800000000002</v>
      </c>
      <c r="AF85" s="1">
        <v>43.807400000000001</v>
      </c>
      <c r="AG85" s="1">
        <v>49.8904</v>
      </c>
      <c r="AH85" s="1"/>
      <c r="AI85" s="1">
        <f>G85*T85</f>
        <v>81.244599999999977</v>
      </c>
    </row>
    <row r="86" spans="1:35" x14ac:dyDescent="0.25">
      <c r="A86" s="12" t="s">
        <v>129</v>
      </c>
      <c r="B86" s="12" t="s">
        <v>44</v>
      </c>
      <c r="C86" s="12"/>
      <c r="D86" s="12"/>
      <c r="E86" s="12"/>
      <c r="F86" s="12"/>
      <c r="G86" s="13">
        <v>0</v>
      </c>
      <c r="H86" s="12"/>
      <c r="I86" s="12" t="s">
        <v>40</v>
      </c>
      <c r="J86" s="12"/>
      <c r="K86" s="12"/>
      <c r="L86" s="12">
        <f t="shared" si="17"/>
        <v>0</v>
      </c>
      <c r="M86" s="12"/>
      <c r="N86" s="12"/>
      <c r="O86" s="12">
        <v>0</v>
      </c>
      <c r="P86" s="12"/>
      <c r="Q86" s="12"/>
      <c r="R86" s="12">
        <v>0</v>
      </c>
      <c r="S86" s="12">
        <f t="shared" si="18"/>
        <v>0</v>
      </c>
      <c r="T86" s="14"/>
      <c r="U86" s="12" t="e">
        <f t="shared" si="20"/>
        <v>#DIV/0!</v>
      </c>
      <c r="V86" s="12" t="e">
        <f t="shared" si="21"/>
        <v>#DIV/0!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 t="s">
        <v>45</v>
      </c>
      <c r="AI86" s="12"/>
    </row>
    <row r="87" spans="1:35" x14ac:dyDescent="0.25">
      <c r="A87" s="1" t="s">
        <v>130</v>
      </c>
      <c r="B87" s="1" t="s">
        <v>39</v>
      </c>
      <c r="C87" s="1">
        <v>1777.1669999999999</v>
      </c>
      <c r="D87" s="1">
        <v>1027.96</v>
      </c>
      <c r="E87" s="1">
        <v>1412.952</v>
      </c>
      <c r="F87" s="1">
        <v>594.94200000000001</v>
      </c>
      <c r="G87" s="7">
        <v>1</v>
      </c>
      <c r="H87" s="1">
        <v>60</v>
      </c>
      <c r="I87" s="1" t="s">
        <v>40</v>
      </c>
      <c r="J87" s="1"/>
      <c r="K87" s="1">
        <v>1420.1590000000001</v>
      </c>
      <c r="L87" s="1">
        <f t="shared" si="17"/>
        <v>-7.2070000000001073</v>
      </c>
      <c r="M87" s="1"/>
      <c r="N87" s="1"/>
      <c r="O87" s="1">
        <v>1227.13635</v>
      </c>
      <c r="P87" s="1"/>
      <c r="Q87" s="1">
        <v>300</v>
      </c>
      <c r="R87" s="1">
        <v>0</v>
      </c>
      <c r="S87" s="1">
        <f t="shared" si="18"/>
        <v>282.59039999999999</v>
      </c>
      <c r="T87" s="5">
        <f t="shared" ref="T87:T89" si="24">12*S87-R87-Q87-P87-O87-F87</f>
        <v>1269.0064499999996</v>
      </c>
      <c r="U87" s="1">
        <f t="shared" si="20"/>
        <v>12</v>
      </c>
      <c r="V87" s="1">
        <f t="shared" si="21"/>
        <v>7.5093787687055178</v>
      </c>
      <c r="W87" s="1">
        <v>311.91120000000001</v>
      </c>
      <c r="X87" s="1">
        <v>314.94979999999998</v>
      </c>
      <c r="Y87" s="1">
        <v>244.9546</v>
      </c>
      <c r="Z87" s="1">
        <v>250.4194</v>
      </c>
      <c r="AA87" s="1">
        <v>227.70859999999999</v>
      </c>
      <c r="AB87" s="1">
        <v>184.99260000000001</v>
      </c>
      <c r="AC87" s="1">
        <v>192.30119999999999</v>
      </c>
      <c r="AD87" s="1">
        <v>242.393</v>
      </c>
      <c r="AE87" s="1">
        <v>281.09039999999999</v>
      </c>
      <c r="AF87" s="1">
        <v>332.67239999999998</v>
      </c>
      <c r="AG87" s="1">
        <v>305.48419999999999</v>
      </c>
      <c r="AH87" s="1"/>
      <c r="AI87" s="1">
        <f>G87*T87</f>
        <v>1269.0064499999996</v>
      </c>
    </row>
    <row r="88" spans="1:35" x14ac:dyDescent="0.25">
      <c r="A88" s="1" t="s">
        <v>131</v>
      </c>
      <c r="B88" s="1" t="s">
        <v>39</v>
      </c>
      <c r="C88" s="1">
        <v>1667.742</v>
      </c>
      <c r="D88" s="1">
        <v>462.20400000000001</v>
      </c>
      <c r="E88" s="1">
        <v>805.375</v>
      </c>
      <c r="F88" s="1">
        <v>835.08799999999997</v>
      </c>
      <c r="G88" s="7">
        <v>1</v>
      </c>
      <c r="H88" s="1">
        <v>60</v>
      </c>
      <c r="I88" s="1" t="s">
        <v>40</v>
      </c>
      <c r="J88" s="1"/>
      <c r="K88" s="1">
        <v>819.52099999999996</v>
      </c>
      <c r="L88" s="1">
        <f t="shared" si="17"/>
        <v>-14.145999999999958</v>
      </c>
      <c r="M88" s="1"/>
      <c r="N88" s="1"/>
      <c r="O88" s="1">
        <v>229.23418799999979</v>
      </c>
      <c r="P88" s="1"/>
      <c r="Q88" s="1">
        <v>200</v>
      </c>
      <c r="R88" s="1">
        <v>0</v>
      </c>
      <c r="S88" s="1">
        <f t="shared" si="18"/>
        <v>161.07499999999999</v>
      </c>
      <c r="T88" s="5">
        <f t="shared" si="24"/>
        <v>668.57781200000022</v>
      </c>
      <c r="U88" s="1">
        <f t="shared" si="20"/>
        <v>12</v>
      </c>
      <c r="V88" s="1">
        <f t="shared" si="21"/>
        <v>7.8492763495266162</v>
      </c>
      <c r="W88" s="1">
        <v>169.74440000000001</v>
      </c>
      <c r="X88" s="1">
        <v>188.2424</v>
      </c>
      <c r="Y88" s="1">
        <v>175.36760000000001</v>
      </c>
      <c r="Z88" s="1">
        <v>241.06899999999999</v>
      </c>
      <c r="AA88" s="1">
        <v>210.56899999999999</v>
      </c>
      <c r="AB88" s="1">
        <v>112.8832</v>
      </c>
      <c r="AC88" s="1">
        <v>123.03279999999999</v>
      </c>
      <c r="AD88" s="1">
        <v>190.5642</v>
      </c>
      <c r="AE88" s="1">
        <v>220.67740000000001</v>
      </c>
      <c r="AF88" s="1">
        <v>250.80779999999999</v>
      </c>
      <c r="AG88" s="1">
        <v>213.42420000000001</v>
      </c>
      <c r="AH88" s="1"/>
      <c r="AI88" s="1">
        <f>G88*T88</f>
        <v>668.57781200000022</v>
      </c>
    </row>
    <row r="89" spans="1:35" x14ac:dyDescent="0.25">
      <c r="A89" s="1" t="s">
        <v>132</v>
      </c>
      <c r="B89" s="1" t="s">
        <v>39</v>
      </c>
      <c r="C89" s="1">
        <v>3137.7260000000001</v>
      </c>
      <c r="D89" s="1">
        <v>523.09699999999998</v>
      </c>
      <c r="E89" s="1">
        <v>1745.365</v>
      </c>
      <c r="F89" s="1">
        <v>1239.674</v>
      </c>
      <c r="G89" s="7">
        <v>1</v>
      </c>
      <c r="H89" s="1">
        <v>60</v>
      </c>
      <c r="I89" s="1" t="s">
        <v>40</v>
      </c>
      <c r="J89" s="1"/>
      <c r="K89" s="1">
        <v>1834.414</v>
      </c>
      <c r="L89" s="1">
        <f t="shared" si="17"/>
        <v>-89.048999999999978</v>
      </c>
      <c r="M89" s="1"/>
      <c r="N89" s="1"/>
      <c r="O89" s="1">
        <v>1528.9199080000001</v>
      </c>
      <c r="P89" s="1"/>
      <c r="Q89" s="1">
        <v>400</v>
      </c>
      <c r="R89" s="1">
        <v>0</v>
      </c>
      <c r="S89" s="1">
        <f t="shared" si="18"/>
        <v>349.07299999999998</v>
      </c>
      <c r="T89" s="5">
        <f t="shared" si="24"/>
        <v>1020.2820920000004</v>
      </c>
      <c r="U89" s="1">
        <f t="shared" si="20"/>
        <v>12.000000000000002</v>
      </c>
      <c r="V89" s="1">
        <f t="shared" si="21"/>
        <v>9.0771669765349934</v>
      </c>
      <c r="W89" s="1">
        <v>386.24540000000002</v>
      </c>
      <c r="X89" s="1">
        <v>423.5804</v>
      </c>
      <c r="Y89" s="1">
        <v>376.52600000000001</v>
      </c>
      <c r="Z89" s="1">
        <v>336.5274</v>
      </c>
      <c r="AA89" s="1">
        <v>281.4778</v>
      </c>
      <c r="AB89" s="1">
        <v>275.24520000000001</v>
      </c>
      <c r="AC89" s="1">
        <v>319.42960000000011</v>
      </c>
      <c r="AD89" s="1">
        <v>353.96559999999999</v>
      </c>
      <c r="AE89" s="1">
        <v>357.76280000000003</v>
      </c>
      <c r="AF89" s="1">
        <v>414.20119999999997</v>
      </c>
      <c r="AG89" s="1">
        <v>411.19539999999989</v>
      </c>
      <c r="AH89" s="1"/>
      <c r="AI89" s="1">
        <f>G89*T89</f>
        <v>1020.2820920000004</v>
      </c>
    </row>
    <row r="90" spans="1:35" x14ac:dyDescent="0.25">
      <c r="A90" s="12" t="s">
        <v>133</v>
      </c>
      <c r="B90" s="12" t="s">
        <v>39</v>
      </c>
      <c r="C90" s="12"/>
      <c r="D90" s="12"/>
      <c r="E90" s="12"/>
      <c r="F90" s="12"/>
      <c r="G90" s="13">
        <v>0</v>
      </c>
      <c r="H90" s="12"/>
      <c r="I90" s="12" t="s">
        <v>40</v>
      </c>
      <c r="J90" s="12"/>
      <c r="K90" s="12"/>
      <c r="L90" s="12">
        <f t="shared" si="17"/>
        <v>0</v>
      </c>
      <c r="M90" s="12"/>
      <c r="N90" s="12"/>
      <c r="O90" s="12">
        <v>0</v>
      </c>
      <c r="P90" s="12"/>
      <c r="Q90" s="12"/>
      <c r="R90" s="12">
        <v>0</v>
      </c>
      <c r="S90" s="12">
        <f t="shared" si="18"/>
        <v>0</v>
      </c>
      <c r="T90" s="14"/>
      <c r="U90" s="12" t="e">
        <f t="shared" si="20"/>
        <v>#DIV/0!</v>
      </c>
      <c r="V90" s="12" t="e">
        <f t="shared" si="21"/>
        <v>#DIV/0!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 t="s">
        <v>45</v>
      </c>
      <c r="AI90" s="12"/>
    </row>
    <row r="91" spans="1:35" x14ac:dyDescent="0.25">
      <c r="A91" s="1" t="s">
        <v>134</v>
      </c>
      <c r="B91" s="1" t="s">
        <v>44</v>
      </c>
      <c r="C91" s="1">
        <v>-4</v>
      </c>
      <c r="D91" s="1">
        <v>1</v>
      </c>
      <c r="E91" s="1">
        <v>-6</v>
      </c>
      <c r="F91" s="1">
        <v>-3</v>
      </c>
      <c r="G91" s="7">
        <v>0.3</v>
      </c>
      <c r="H91" s="1">
        <v>40</v>
      </c>
      <c r="I91" s="15" t="s">
        <v>50</v>
      </c>
      <c r="J91" s="1"/>
      <c r="K91" s="1">
        <v>22</v>
      </c>
      <c r="L91" s="1">
        <f t="shared" si="17"/>
        <v>-28</v>
      </c>
      <c r="M91" s="1"/>
      <c r="N91" s="1"/>
      <c r="O91" s="1">
        <v>25</v>
      </c>
      <c r="P91" s="1">
        <v>-30</v>
      </c>
      <c r="Q91" s="1"/>
      <c r="R91" s="1">
        <v>42</v>
      </c>
      <c r="S91" s="1">
        <f t="shared" si="18"/>
        <v>-1.2</v>
      </c>
      <c r="T91" s="5">
        <v>55</v>
      </c>
      <c r="U91" s="1">
        <f t="shared" si="20"/>
        <v>-74.166666666666671</v>
      </c>
      <c r="V91" s="1">
        <f t="shared" si="21"/>
        <v>-28.333333333333336</v>
      </c>
      <c r="W91" s="1">
        <v>-0.4</v>
      </c>
      <c r="X91" s="1">
        <v>10.8</v>
      </c>
      <c r="Y91" s="1">
        <v>19.399999999999999</v>
      </c>
      <c r="Z91" s="1">
        <v>20.2</v>
      </c>
      <c r="AA91" s="1">
        <v>9.8000000000000007</v>
      </c>
      <c r="AB91" s="1">
        <v>5.4</v>
      </c>
      <c r="AC91" s="1">
        <v>12.2</v>
      </c>
      <c r="AD91" s="1">
        <v>28.4</v>
      </c>
      <c r="AE91" s="1">
        <v>31.2</v>
      </c>
      <c r="AF91" s="1">
        <v>25.6</v>
      </c>
      <c r="AG91" s="1">
        <v>17</v>
      </c>
      <c r="AH91" s="1"/>
      <c r="AI91" s="1">
        <f>G91*T91</f>
        <v>16.5</v>
      </c>
    </row>
    <row r="92" spans="1:35" x14ac:dyDescent="0.25">
      <c r="A92" s="12" t="s">
        <v>135</v>
      </c>
      <c r="B92" s="12" t="s">
        <v>44</v>
      </c>
      <c r="C92" s="12"/>
      <c r="D92" s="12"/>
      <c r="E92" s="12"/>
      <c r="F92" s="12"/>
      <c r="G92" s="13">
        <v>0</v>
      </c>
      <c r="H92" s="12"/>
      <c r="I92" s="12" t="s">
        <v>40</v>
      </c>
      <c r="J92" s="12"/>
      <c r="K92" s="12"/>
      <c r="L92" s="12">
        <f t="shared" si="17"/>
        <v>0</v>
      </c>
      <c r="M92" s="12"/>
      <c r="N92" s="12"/>
      <c r="O92" s="12">
        <v>0</v>
      </c>
      <c r="P92" s="12"/>
      <c r="Q92" s="12"/>
      <c r="R92" s="12">
        <v>0</v>
      </c>
      <c r="S92" s="12">
        <f t="shared" si="18"/>
        <v>0</v>
      </c>
      <c r="T92" s="14"/>
      <c r="U92" s="12" t="e">
        <f t="shared" si="20"/>
        <v>#DIV/0!</v>
      </c>
      <c r="V92" s="12" t="e">
        <f t="shared" si="21"/>
        <v>#DIV/0!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 t="s">
        <v>45</v>
      </c>
      <c r="AI92" s="12"/>
    </row>
    <row r="93" spans="1:35" x14ac:dyDescent="0.25">
      <c r="A93" s="1" t="s">
        <v>136</v>
      </c>
      <c r="B93" s="1" t="s">
        <v>44</v>
      </c>
      <c r="C93" s="1">
        <v>132</v>
      </c>
      <c r="D93" s="1">
        <v>10</v>
      </c>
      <c r="E93" s="1">
        <v>106</v>
      </c>
      <c r="F93" s="1">
        <v>6</v>
      </c>
      <c r="G93" s="7">
        <v>7.0000000000000007E-2</v>
      </c>
      <c r="H93" s="1">
        <v>90</v>
      </c>
      <c r="I93" s="15" t="s">
        <v>50</v>
      </c>
      <c r="J93" s="1"/>
      <c r="K93" s="1">
        <v>117</v>
      </c>
      <c r="L93" s="1">
        <f t="shared" si="17"/>
        <v>-11</v>
      </c>
      <c r="M93" s="1"/>
      <c r="N93" s="1"/>
      <c r="O93" s="1">
        <v>137.11199999999999</v>
      </c>
      <c r="P93" s="1">
        <v>-142.8571428571428</v>
      </c>
      <c r="Q93" s="1"/>
      <c r="R93" s="1">
        <v>49</v>
      </c>
      <c r="S93" s="1">
        <f t="shared" si="18"/>
        <v>21.2</v>
      </c>
      <c r="T93" s="5">
        <v>60</v>
      </c>
      <c r="U93" s="1">
        <f t="shared" si="20"/>
        <v>5.1535309973045846</v>
      </c>
      <c r="V93" s="1">
        <f t="shared" si="21"/>
        <v>2.3233423180593014</v>
      </c>
      <c r="W93" s="1">
        <v>22.4</v>
      </c>
      <c r="X93" s="1">
        <v>25.6</v>
      </c>
      <c r="Y93" s="1">
        <v>25.4</v>
      </c>
      <c r="Z93" s="1">
        <v>15.4</v>
      </c>
      <c r="AA93" s="1">
        <v>12.2</v>
      </c>
      <c r="AB93" s="1">
        <v>8.4</v>
      </c>
      <c r="AC93" s="1">
        <v>10.8</v>
      </c>
      <c r="AD93" s="1">
        <v>19.600000000000001</v>
      </c>
      <c r="AE93" s="1">
        <v>20.399999999999999</v>
      </c>
      <c r="AF93" s="1">
        <v>13</v>
      </c>
      <c r="AG93" s="1">
        <v>11</v>
      </c>
      <c r="AH93" s="1" t="s">
        <v>137</v>
      </c>
      <c r="AI93" s="1">
        <f>G93*T93</f>
        <v>4.2</v>
      </c>
    </row>
    <row r="94" spans="1:35" x14ac:dyDescent="0.25">
      <c r="A94" s="1" t="s">
        <v>138</v>
      </c>
      <c r="B94" s="1" t="s">
        <v>44</v>
      </c>
      <c r="C94" s="1">
        <v>81</v>
      </c>
      <c r="D94" s="1">
        <v>5</v>
      </c>
      <c r="E94" s="1">
        <v>63</v>
      </c>
      <c r="F94" s="1">
        <v>15</v>
      </c>
      <c r="G94" s="7">
        <v>7.0000000000000007E-2</v>
      </c>
      <c r="H94" s="1">
        <v>90</v>
      </c>
      <c r="I94" s="15" t="s">
        <v>50</v>
      </c>
      <c r="J94" s="1"/>
      <c r="K94" s="1">
        <v>145</v>
      </c>
      <c r="L94" s="1">
        <f t="shared" si="17"/>
        <v>-82</v>
      </c>
      <c r="M94" s="1"/>
      <c r="N94" s="1"/>
      <c r="O94" s="1">
        <v>15</v>
      </c>
      <c r="P94" s="1"/>
      <c r="Q94" s="1"/>
      <c r="R94" s="1">
        <v>56</v>
      </c>
      <c r="S94" s="1">
        <f t="shared" si="18"/>
        <v>12.6</v>
      </c>
      <c r="T94" s="5">
        <v>70</v>
      </c>
      <c r="U94" s="1">
        <f t="shared" si="20"/>
        <v>12.380952380952381</v>
      </c>
      <c r="V94" s="1">
        <f t="shared" si="21"/>
        <v>6.825396825396826</v>
      </c>
      <c r="W94" s="1">
        <v>13.6</v>
      </c>
      <c r="X94" s="1">
        <v>1.6</v>
      </c>
      <c r="Y94" s="1">
        <v>0.4</v>
      </c>
      <c r="Z94" s="1">
        <v>9.8000000000000007</v>
      </c>
      <c r="AA94" s="1">
        <v>13.8</v>
      </c>
      <c r="AB94" s="1">
        <v>17.8</v>
      </c>
      <c r="AC94" s="1">
        <v>18.8</v>
      </c>
      <c r="AD94" s="1">
        <v>16.399999999999999</v>
      </c>
      <c r="AE94" s="1">
        <v>14</v>
      </c>
      <c r="AF94" s="1">
        <v>15</v>
      </c>
      <c r="AG94" s="1">
        <v>20.8</v>
      </c>
      <c r="AH94" s="1" t="s">
        <v>137</v>
      </c>
      <c r="AI94" s="1">
        <f>G94*T94</f>
        <v>4.9000000000000004</v>
      </c>
    </row>
    <row r="95" spans="1:35" x14ac:dyDescent="0.25">
      <c r="A95" s="1" t="s">
        <v>139</v>
      </c>
      <c r="B95" s="1" t="s">
        <v>44</v>
      </c>
      <c r="C95" s="1">
        <v>154</v>
      </c>
      <c r="D95" s="1">
        <v>2</v>
      </c>
      <c r="E95" s="1">
        <v>87</v>
      </c>
      <c r="F95" s="1">
        <v>40</v>
      </c>
      <c r="G95" s="7">
        <v>7.0000000000000007E-2</v>
      </c>
      <c r="H95" s="1">
        <v>90</v>
      </c>
      <c r="I95" s="1" t="s">
        <v>40</v>
      </c>
      <c r="J95" s="1"/>
      <c r="K95" s="1">
        <v>89</v>
      </c>
      <c r="L95" s="1">
        <f t="shared" si="17"/>
        <v>-2</v>
      </c>
      <c r="M95" s="1"/>
      <c r="N95" s="1"/>
      <c r="O95" s="1">
        <v>120.94199999999999</v>
      </c>
      <c r="P95" s="1"/>
      <c r="Q95" s="1"/>
      <c r="R95" s="1">
        <v>0</v>
      </c>
      <c r="S95" s="1">
        <f t="shared" si="18"/>
        <v>17.399999999999999</v>
      </c>
      <c r="T95" s="5">
        <f t="shared" ref="T93:T95" si="25">12*S95-R95-Q95-P95-O95-F95</f>
        <v>47.85799999999999</v>
      </c>
      <c r="U95" s="1">
        <f t="shared" si="20"/>
        <v>12.000000000000002</v>
      </c>
      <c r="V95" s="1">
        <f t="shared" si="21"/>
        <v>9.2495402298850582</v>
      </c>
      <c r="W95" s="1">
        <v>16.8</v>
      </c>
      <c r="X95" s="1">
        <v>24.6</v>
      </c>
      <c r="Y95" s="1">
        <v>23.6</v>
      </c>
      <c r="Z95" s="1">
        <v>12.4</v>
      </c>
      <c r="AA95" s="1">
        <v>7.2</v>
      </c>
      <c r="AB95" s="1">
        <v>6.8</v>
      </c>
      <c r="AC95" s="1">
        <v>10</v>
      </c>
      <c r="AD95" s="1">
        <v>18.399999999999999</v>
      </c>
      <c r="AE95" s="1">
        <v>16.399999999999999</v>
      </c>
      <c r="AF95" s="1">
        <v>10.199999999999999</v>
      </c>
      <c r="AG95" s="1">
        <v>12</v>
      </c>
      <c r="AH95" s="1" t="s">
        <v>137</v>
      </c>
      <c r="AI95" s="1">
        <f>G95*T95</f>
        <v>3.3500599999999996</v>
      </c>
    </row>
    <row r="96" spans="1:35" x14ac:dyDescent="0.25">
      <c r="A96" s="12" t="s">
        <v>140</v>
      </c>
      <c r="B96" s="12" t="s">
        <v>44</v>
      </c>
      <c r="C96" s="12">
        <v>2</v>
      </c>
      <c r="D96" s="12">
        <v>2</v>
      </c>
      <c r="E96" s="12">
        <v>7</v>
      </c>
      <c r="F96" s="12">
        <v>1</v>
      </c>
      <c r="G96" s="13">
        <v>0</v>
      </c>
      <c r="H96" s="12">
        <v>90</v>
      </c>
      <c r="I96" s="12" t="s">
        <v>81</v>
      </c>
      <c r="J96" s="12"/>
      <c r="K96" s="12">
        <v>31</v>
      </c>
      <c r="L96" s="12">
        <f t="shared" si="17"/>
        <v>-24</v>
      </c>
      <c r="M96" s="12"/>
      <c r="N96" s="12"/>
      <c r="O96" s="12">
        <v>0</v>
      </c>
      <c r="P96" s="12"/>
      <c r="Q96" s="12"/>
      <c r="R96" s="12">
        <v>0</v>
      </c>
      <c r="S96" s="12">
        <f t="shared" si="18"/>
        <v>1.4</v>
      </c>
      <c r="T96" s="14"/>
      <c r="U96" s="12">
        <f t="shared" si="20"/>
        <v>0.7142857142857143</v>
      </c>
      <c r="V96" s="12">
        <f t="shared" si="21"/>
        <v>0.7142857142857143</v>
      </c>
      <c r="W96" s="12">
        <v>3.8</v>
      </c>
      <c r="X96" s="12">
        <v>10</v>
      </c>
      <c r="Y96" s="12">
        <v>11.2</v>
      </c>
      <c r="Z96" s="12">
        <v>9.8000000000000007</v>
      </c>
      <c r="AA96" s="12">
        <v>9</v>
      </c>
      <c r="AB96" s="12">
        <v>7.4</v>
      </c>
      <c r="AC96" s="12">
        <v>7.4</v>
      </c>
      <c r="AD96" s="12">
        <v>8.6</v>
      </c>
      <c r="AE96" s="12">
        <v>12</v>
      </c>
      <c r="AF96" s="12">
        <v>14.4</v>
      </c>
      <c r="AG96" s="12">
        <v>13.8</v>
      </c>
      <c r="AH96" s="12"/>
      <c r="AI96" s="12"/>
    </row>
    <row r="97" spans="1:35" x14ac:dyDescent="0.25">
      <c r="A97" s="12" t="s">
        <v>141</v>
      </c>
      <c r="B97" s="12" t="s">
        <v>44</v>
      </c>
      <c r="C97" s="12"/>
      <c r="D97" s="12"/>
      <c r="E97" s="12"/>
      <c r="F97" s="12"/>
      <c r="G97" s="13">
        <v>0</v>
      </c>
      <c r="H97" s="12"/>
      <c r="I97" s="12" t="s">
        <v>40</v>
      </c>
      <c r="J97" s="12"/>
      <c r="K97" s="12"/>
      <c r="L97" s="12">
        <f t="shared" si="17"/>
        <v>0</v>
      </c>
      <c r="M97" s="12"/>
      <c r="N97" s="12"/>
      <c r="O97" s="12">
        <v>0</v>
      </c>
      <c r="P97" s="12"/>
      <c r="Q97" s="12"/>
      <c r="R97" s="12">
        <v>0</v>
      </c>
      <c r="S97" s="12">
        <f t="shared" si="18"/>
        <v>0</v>
      </c>
      <c r="T97" s="14"/>
      <c r="U97" s="12" t="e">
        <f t="shared" si="20"/>
        <v>#DIV/0!</v>
      </c>
      <c r="V97" s="12" t="e">
        <f t="shared" si="21"/>
        <v>#DIV/0!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 t="s">
        <v>45</v>
      </c>
      <c r="AI97" s="12"/>
    </row>
    <row r="98" spans="1:35" x14ac:dyDescent="0.25">
      <c r="A98" s="1" t="s">
        <v>142</v>
      </c>
      <c r="B98" s="1" t="s">
        <v>39</v>
      </c>
      <c r="C98" s="1">
        <v>4.0960000000000001</v>
      </c>
      <c r="D98" s="1">
        <v>12.22</v>
      </c>
      <c r="E98" s="1">
        <v>2.0390000000000001</v>
      </c>
      <c r="F98" s="1">
        <v>14.276999999999999</v>
      </c>
      <c r="G98" s="7">
        <v>1</v>
      </c>
      <c r="H98" s="1">
        <v>55</v>
      </c>
      <c r="I98" s="1" t="s">
        <v>40</v>
      </c>
      <c r="J98" s="1"/>
      <c r="K98" s="1">
        <v>2.6</v>
      </c>
      <c r="L98" s="1">
        <f t="shared" si="17"/>
        <v>-0.56099999999999994</v>
      </c>
      <c r="M98" s="1"/>
      <c r="N98" s="1"/>
      <c r="O98" s="1">
        <v>0</v>
      </c>
      <c r="P98" s="1"/>
      <c r="Q98" s="1"/>
      <c r="R98" s="1">
        <v>0</v>
      </c>
      <c r="S98" s="1">
        <f t="shared" si="18"/>
        <v>0.40780000000000005</v>
      </c>
      <c r="T98" s="5"/>
      <c r="U98" s="1">
        <f t="shared" si="20"/>
        <v>35.009808729769489</v>
      </c>
      <c r="V98" s="1">
        <f t="shared" si="21"/>
        <v>35.009808729769489</v>
      </c>
      <c r="W98" s="1">
        <v>-0.11600000000000001</v>
      </c>
      <c r="X98" s="1">
        <v>-0.64339999999999997</v>
      </c>
      <c r="Y98" s="1">
        <v>-0.32300000000000001</v>
      </c>
      <c r="Z98" s="1">
        <v>0</v>
      </c>
      <c r="AA98" s="1">
        <v>2.1076000000000001</v>
      </c>
      <c r="AB98" s="1">
        <v>1.9372</v>
      </c>
      <c r="AC98" s="1">
        <v>2.2138</v>
      </c>
      <c r="AD98" s="1">
        <v>4.1204000000000001</v>
      </c>
      <c r="AE98" s="1">
        <v>3.4714</v>
      </c>
      <c r="AF98" s="1">
        <v>2.1972</v>
      </c>
      <c r="AG98" s="1">
        <v>3.1594000000000002</v>
      </c>
      <c r="AH98" s="20" t="s">
        <v>143</v>
      </c>
      <c r="AI98" s="1">
        <f>G98*T98</f>
        <v>0</v>
      </c>
    </row>
    <row r="99" spans="1:35" x14ac:dyDescent="0.25">
      <c r="A99" s="1" t="s">
        <v>144</v>
      </c>
      <c r="B99" s="1" t="s">
        <v>44</v>
      </c>
      <c r="C99" s="1">
        <v>53</v>
      </c>
      <c r="D99" s="1"/>
      <c r="E99" s="1">
        <v>2</v>
      </c>
      <c r="F99" s="1">
        <v>48</v>
      </c>
      <c r="G99" s="7">
        <v>0.11</v>
      </c>
      <c r="H99" s="1">
        <v>30</v>
      </c>
      <c r="I99" s="1" t="s">
        <v>40</v>
      </c>
      <c r="J99" s="1"/>
      <c r="K99" s="1">
        <v>12</v>
      </c>
      <c r="L99" s="1">
        <f t="shared" si="17"/>
        <v>-10</v>
      </c>
      <c r="M99" s="1"/>
      <c r="N99" s="1"/>
      <c r="O99" s="1">
        <v>69.778000000000006</v>
      </c>
      <c r="P99" s="1"/>
      <c r="Q99" s="1"/>
      <c r="R99" s="1">
        <v>0</v>
      </c>
      <c r="S99" s="1">
        <f t="shared" si="18"/>
        <v>0.4</v>
      </c>
      <c r="T99" s="5"/>
      <c r="U99" s="1">
        <f t="shared" si="20"/>
        <v>294.44499999999999</v>
      </c>
      <c r="V99" s="1">
        <f t="shared" si="21"/>
        <v>294.44499999999999</v>
      </c>
      <c r="W99" s="1">
        <v>1.6</v>
      </c>
      <c r="X99" s="1">
        <v>11.4</v>
      </c>
      <c r="Y99" s="1">
        <v>0</v>
      </c>
      <c r="Z99" s="1">
        <v>0</v>
      </c>
      <c r="AA99" s="1">
        <v>0</v>
      </c>
      <c r="AB99" s="1">
        <v>0</v>
      </c>
      <c r="AC99" s="1">
        <v>3.2</v>
      </c>
      <c r="AD99" s="1">
        <v>3.2</v>
      </c>
      <c r="AE99" s="1">
        <v>0</v>
      </c>
      <c r="AF99" s="1">
        <v>0</v>
      </c>
      <c r="AG99" s="1">
        <v>0</v>
      </c>
      <c r="AH99" s="21" t="s">
        <v>273</v>
      </c>
      <c r="AI99" s="1">
        <f>G99*T99</f>
        <v>0</v>
      </c>
    </row>
    <row r="100" spans="1:35" x14ac:dyDescent="0.25">
      <c r="A100" s="12" t="s">
        <v>145</v>
      </c>
      <c r="B100" s="12" t="s">
        <v>44</v>
      </c>
      <c r="C100" s="12"/>
      <c r="D100" s="12"/>
      <c r="E100" s="12"/>
      <c r="F100" s="12"/>
      <c r="G100" s="13">
        <v>0</v>
      </c>
      <c r="H100" s="12"/>
      <c r="I100" s="12" t="s">
        <v>40</v>
      </c>
      <c r="J100" s="12"/>
      <c r="K100" s="12"/>
      <c r="L100" s="12">
        <f t="shared" si="17"/>
        <v>0</v>
      </c>
      <c r="M100" s="12"/>
      <c r="N100" s="12"/>
      <c r="O100" s="12">
        <v>0</v>
      </c>
      <c r="P100" s="12"/>
      <c r="Q100" s="12"/>
      <c r="R100" s="12">
        <v>0</v>
      </c>
      <c r="S100" s="12">
        <f t="shared" si="18"/>
        <v>0</v>
      </c>
      <c r="T100" s="14"/>
      <c r="U100" s="12" t="e">
        <f t="shared" si="20"/>
        <v>#DIV/0!</v>
      </c>
      <c r="V100" s="12" t="e">
        <f t="shared" si="21"/>
        <v>#DIV/0!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 t="s">
        <v>45</v>
      </c>
      <c r="AI100" s="12"/>
    </row>
    <row r="101" spans="1:35" x14ac:dyDescent="0.25">
      <c r="A101" s="1" t="s">
        <v>146</v>
      </c>
      <c r="B101" s="1" t="s">
        <v>44</v>
      </c>
      <c r="C101" s="1">
        <v>117</v>
      </c>
      <c r="D101" s="1">
        <v>57</v>
      </c>
      <c r="E101" s="1">
        <v>72</v>
      </c>
      <c r="F101" s="1">
        <v>76</v>
      </c>
      <c r="G101" s="7">
        <v>0.08</v>
      </c>
      <c r="H101" s="1">
        <v>45</v>
      </c>
      <c r="I101" s="1" t="s">
        <v>40</v>
      </c>
      <c r="J101" s="1"/>
      <c r="K101" s="1">
        <v>81</v>
      </c>
      <c r="L101" s="1">
        <f t="shared" si="17"/>
        <v>-9</v>
      </c>
      <c r="M101" s="1"/>
      <c r="N101" s="1"/>
      <c r="O101" s="1">
        <v>131.17400000000001</v>
      </c>
      <c r="P101" s="1"/>
      <c r="Q101" s="1"/>
      <c r="R101" s="1">
        <v>0</v>
      </c>
      <c r="S101" s="1">
        <f t="shared" si="18"/>
        <v>14.4</v>
      </c>
      <c r="T101" s="5"/>
      <c r="U101" s="1">
        <f t="shared" si="20"/>
        <v>14.387083333333333</v>
      </c>
      <c r="V101" s="1">
        <f t="shared" si="21"/>
        <v>14.387083333333333</v>
      </c>
      <c r="W101" s="1">
        <v>21.6</v>
      </c>
      <c r="X101" s="1">
        <v>26.2</v>
      </c>
      <c r="Y101" s="1">
        <v>19.600000000000001</v>
      </c>
      <c r="Z101" s="1">
        <v>16.399999999999999</v>
      </c>
      <c r="AA101" s="1">
        <v>14.8</v>
      </c>
      <c r="AB101" s="1">
        <v>14</v>
      </c>
      <c r="AC101" s="1">
        <v>17.399999999999999</v>
      </c>
      <c r="AD101" s="1">
        <v>23</v>
      </c>
      <c r="AE101" s="1">
        <v>22.2</v>
      </c>
      <c r="AF101" s="1">
        <v>15.4</v>
      </c>
      <c r="AG101" s="1">
        <v>9.8000000000000007</v>
      </c>
      <c r="AH101" s="1" t="s">
        <v>147</v>
      </c>
      <c r="AI101" s="1">
        <f t="shared" ref="AI101:AI106" si="26">G101*T101</f>
        <v>0</v>
      </c>
    </row>
    <row r="102" spans="1:35" x14ac:dyDescent="0.25">
      <c r="A102" s="1" t="s">
        <v>148</v>
      </c>
      <c r="B102" s="1" t="s">
        <v>44</v>
      </c>
      <c r="C102" s="1">
        <v>165</v>
      </c>
      <c r="D102" s="1">
        <v>10</v>
      </c>
      <c r="E102" s="1">
        <v>58</v>
      </c>
      <c r="F102" s="1">
        <v>102</v>
      </c>
      <c r="G102" s="7">
        <v>0.08</v>
      </c>
      <c r="H102" s="1">
        <v>45</v>
      </c>
      <c r="I102" s="1" t="s">
        <v>40</v>
      </c>
      <c r="J102" s="1"/>
      <c r="K102" s="1">
        <v>66</v>
      </c>
      <c r="L102" s="1">
        <f t="shared" ref="L102:L133" si="27">E102-K102</f>
        <v>-8</v>
      </c>
      <c r="M102" s="1"/>
      <c r="N102" s="1"/>
      <c r="O102" s="1">
        <v>37.200000000000017</v>
      </c>
      <c r="P102" s="1"/>
      <c r="Q102" s="1"/>
      <c r="R102" s="1">
        <v>0</v>
      </c>
      <c r="S102" s="1">
        <f t="shared" ref="S102:S129" si="28">E102/5</f>
        <v>11.6</v>
      </c>
      <c r="T102" s="5"/>
      <c r="U102" s="1">
        <f t="shared" ref="U102:U133" si="29">(F102+O102+P102+Q102+R102+T102)/S102</f>
        <v>12.000000000000002</v>
      </c>
      <c r="V102" s="1">
        <f t="shared" ref="V102:V129" si="30">(F102+O102+P102+Q102+R102)/S102</f>
        <v>12.000000000000002</v>
      </c>
      <c r="W102" s="1">
        <v>11.6</v>
      </c>
      <c r="X102" s="1">
        <v>16.600000000000001</v>
      </c>
      <c r="Y102" s="1">
        <v>15.2</v>
      </c>
      <c r="Z102" s="1">
        <v>10.199999999999999</v>
      </c>
      <c r="AA102" s="1">
        <v>18.2</v>
      </c>
      <c r="AB102" s="1">
        <v>15.6</v>
      </c>
      <c r="AC102" s="1">
        <v>12</v>
      </c>
      <c r="AD102" s="1">
        <v>14</v>
      </c>
      <c r="AE102" s="1">
        <v>14</v>
      </c>
      <c r="AF102" s="1">
        <v>12.4</v>
      </c>
      <c r="AG102" s="1">
        <v>17.399999999999999</v>
      </c>
      <c r="AH102" s="1" t="s">
        <v>147</v>
      </c>
      <c r="AI102" s="1">
        <f t="shared" si="26"/>
        <v>0</v>
      </c>
    </row>
    <row r="103" spans="1:35" x14ac:dyDescent="0.25">
      <c r="A103" s="1" t="s">
        <v>149</v>
      </c>
      <c r="B103" s="1" t="s">
        <v>44</v>
      </c>
      <c r="C103" s="1">
        <v>63</v>
      </c>
      <c r="D103" s="1">
        <v>10</v>
      </c>
      <c r="E103" s="1">
        <v>2</v>
      </c>
      <c r="F103" s="1">
        <v>67</v>
      </c>
      <c r="G103" s="7">
        <v>0.17</v>
      </c>
      <c r="H103" s="1">
        <v>30</v>
      </c>
      <c r="I103" s="1" t="s">
        <v>40</v>
      </c>
      <c r="J103" s="1"/>
      <c r="K103" s="1">
        <v>13</v>
      </c>
      <c r="L103" s="1">
        <f t="shared" si="27"/>
        <v>-11</v>
      </c>
      <c r="M103" s="1"/>
      <c r="N103" s="1"/>
      <c r="O103" s="1">
        <v>0</v>
      </c>
      <c r="P103" s="1"/>
      <c r="Q103" s="1"/>
      <c r="R103" s="1">
        <v>0</v>
      </c>
      <c r="S103" s="1">
        <f t="shared" si="28"/>
        <v>0.4</v>
      </c>
      <c r="T103" s="5"/>
      <c r="U103" s="1">
        <f t="shared" si="29"/>
        <v>167.5</v>
      </c>
      <c r="V103" s="1">
        <f t="shared" si="30"/>
        <v>167.5</v>
      </c>
      <c r="W103" s="1">
        <v>3.6</v>
      </c>
      <c r="X103" s="1">
        <v>3.4</v>
      </c>
      <c r="Y103" s="1">
        <v>0</v>
      </c>
      <c r="Z103" s="1">
        <v>0</v>
      </c>
      <c r="AA103" s="1">
        <v>0</v>
      </c>
      <c r="AB103" s="1">
        <v>0.4</v>
      </c>
      <c r="AC103" s="1">
        <v>0.8</v>
      </c>
      <c r="AD103" s="1">
        <v>0.4</v>
      </c>
      <c r="AE103" s="1">
        <v>0.2</v>
      </c>
      <c r="AF103" s="1">
        <v>0.4</v>
      </c>
      <c r="AG103" s="1">
        <v>0.2</v>
      </c>
      <c r="AH103" s="21" t="s">
        <v>274</v>
      </c>
      <c r="AI103" s="1">
        <f t="shared" si="26"/>
        <v>0</v>
      </c>
    </row>
    <row r="104" spans="1:35" x14ac:dyDescent="0.25">
      <c r="A104" s="1" t="s">
        <v>150</v>
      </c>
      <c r="B104" s="1" t="s">
        <v>39</v>
      </c>
      <c r="C104" s="1">
        <v>-21.622</v>
      </c>
      <c r="D104" s="1"/>
      <c r="E104" s="1">
        <v>5.75</v>
      </c>
      <c r="F104" s="1">
        <v>-37.613</v>
      </c>
      <c r="G104" s="7">
        <v>1</v>
      </c>
      <c r="H104" s="1">
        <v>40</v>
      </c>
      <c r="I104" s="15" t="s">
        <v>50</v>
      </c>
      <c r="J104" s="1"/>
      <c r="K104" s="1">
        <v>30.4</v>
      </c>
      <c r="L104" s="1">
        <f t="shared" si="27"/>
        <v>-24.65</v>
      </c>
      <c r="M104" s="1"/>
      <c r="N104" s="1"/>
      <c r="O104" s="1">
        <v>25</v>
      </c>
      <c r="P104" s="1">
        <v>-28</v>
      </c>
      <c r="Q104" s="1"/>
      <c r="R104" s="1">
        <v>70</v>
      </c>
      <c r="S104" s="1">
        <f t="shared" si="28"/>
        <v>1.1499999999999999</v>
      </c>
      <c r="T104" s="5">
        <v>60</v>
      </c>
      <c r="U104" s="1">
        <f t="shared" si="29"/>
        <v>77.727826086956526</v>
      </c>
      <c r="V104" s="1">
        <f t="shared" si="30"/>
        <v>25.553913043478264</v>
      </c>
      <c r="W104" s="1">
        <v>11.496</v>
      </c>
      <c r="X104" s="1">
        <v>18.886600000000001</v>
      </c>
      <c r="Y104" s="1">
        <v>18.115600000000001</v>
      </c>
      <c r="Z104" s="1">
        <v>24.947399999999998</v>
      </c>
      <c r="AA104" s="1">
        <v>22.3066</v>
      </c>
      <c r="AB104" s="1">
        <v>15.290800000000001</v>
      </c>
      <c r="AC104" s="1">
        <v>20.459199999999999</v>
      </c>
      <c r="AD104" s="1">
        <v>22.341999999999999</v>
      </c>
      <c r="AE104" s="1">
        <v>26.3384</v>
      </c>
      <c r="AF104" s="1">
        <v>31.392800000000001</v>
      </c>
      <c r="AG104" s="1">
        <v>26.237200000000001</v>
      </c>
      <c r="AH104" s="1"/>
      <c r="AI104" s="1">
        <f t="shared" si="26"/>
        <v>60</v>
      </c>
    </row>
    <row r="105" spans="1:35" x14ac:dyDescent="0.25">
      <c r="A105" s="1" t="s">
        <v>151</v>
      </c>
      <c r="B105" s="1" t="s">
        <v>39</v>
      </c>
      <c r="C105" s="1">
        <v>30</v>
      </c>
      <c r="D105" s="1">
        <v>6.9359999999999999</v>
      </c>
      <c r="E105" s="1">
        <v>26.809000000000001</v>
      </c>
      <c r="F105" s="1">
        <v>3.0009999999999999</v>
      </c>
      <c r="G105" s="7">
        <v>1</v>
      </c>
      <c r="H105" s="1">
        <v>40</v>
      </c>
      <c r="I105" s="15" t="s">
        <v>50</v>
      </c>
      <c r="J105" s="1"/>
      <c r="K105" s="1">
        <v>50.7</v>
      </c>
      <c r="L105" s="1">
        <f t="shared" si="27"/>
        <v>-23.891000000000002</v>
      </c>
      <c r="M105" s="1"/>
      <c r="N105" s="1"/>
      <c r="O105" s="1">
        <v>25</v>
      </c>
      <c r="P105" s="1"/>
      <c r="Q105" s="1"/>
      <c r="R105" s="1">
        <v>56</v>
      </c>
      <c r="S105" s="1">
        <f t="shared" si="28"/>
        <v>5.3618000000000006</v>
      </c>
      <c r="T105" s="5">
        <v>70</v>
      </c>
      <c r="U105" s="1">
        <f t="shared" si="29"/>
        <v>28.721884441791932</v>
      </c>
      <c r="V105" s="1">
        <f t="shared" si="30"/>
        <v>15.6665671975829</v>
      </c>
      <c r="W105" s="1">
        <v>15.671200000000001</v>
      </c>
      <c r="X105" s="1">
        <v>16.325800000000001</v>
      </c>
      <c r="Y105" s="1">
        <v>12.1866</v>
      </c>
      <c r="Z105" s="1">
        <v>20.2988</v>
      </c>
      <c r="AA105" s="1">
        <v>19.150400000000001</v>
      </c>
      <c r="AB105" s="1">
        <v>10.0184</v>
      </c>
      <c r="AC105" s="1">
        <v>10.5992</v>
      </c>
      <c r="AD105" s="1">
        <v>15.360799999999999</v>
      </c>
      <c r="AE105" s="1">
        <v>21.815000000000001</v>
      </c>
      <c r="AF105" s="1">
        <v>26.238600000000002</v>
      </c>
      <c r="AG105" s="1">
        <v>26.207999999999998</v>
      </c>
      <c r="AH105" s="1"/>
      <c r="AI105" s="1">
        <f t="shared" si="26"/>
        <v>70</v>
      </c>
    </row>
    <row r="106" spans="1:35" x14ac:dyDescent="0.25">
      <c r="A106" s="1" t="s">
        <v>152</v>
      </c>
      <c r="B106" s="1" t="s">
        <v>39</v>
      </c>
      <c r="C106" s="1">
        <v>3.3460000000000001</v>
      </c>
      <c r="D106" s="1">
        <v>39.023000000000003</v>
      </c>
      <c r="E106" s="1">
        <v>20.495999999999999</v>
      </c>
      <c r="F106" s="1">
        <v>1.91</v>
      </c>
      <c r="G106" s="7">
        <v>1</v>
      </c>
      <c r="H106" s="1">
        <v>40</v>
      </c>
      <c r="I106" s="15" t="s">
        <v>50</v>
      </c>
      <c r="J106" s="1"/>
      <c r="K106" s="1">
        <v>46.3</v>
      </c>
      <c r="L106" s="1">
        <f t="shared" si="27"/>
        <v>-25.803999999999998</v>
      </c>
      <c r="M106" s="1"/>
      <c r="N106" s="1"/>
      <c r="O106" s="1">
        <v>25</v>
      </c>
      <c r="P106" s="1">
        <v>-28</v>
      </c>
      <c r="Q106" s="1"/>
      <c r="R106" s="1">
        <v>56</v>
      </c>
      <c r="S106" s="1">
        <f t="shared" si="28"/>
        <v>4.0991999999999997</v>
      </c>
      <c r="T106" s="5">
        <v>70</v>
      </c>
      <c r="U106" s="1">
        <f t="shared" si="29"/>
        <v>30.471799375487901</v>
      </c>
      <c r="V106" s="1">
        <f t="shared" si="30"/>
        <v>13.395296643247462</v>
      </c>
      <c r="W106" s="1">
        <v>11.083399999999999</v>
      </c>
      <c r="X106" s="1">
        <v>18.302600000000002</v>
      </c>
      <c r="Y106" s="1">
        <v>15.167199999999999</v>
      </c>
      <c r="Z106" s="1">
        <v>24.976800000000001</v>
      </c>
      <c r="AA106" s="1">
        <v>27.531199999999998</v>
      </c>
      <c r="AB106" s="1">
        <v>20.959199999999999</v>
      </c>
      <c r="AC106" s="1">
        <v>21.774000000000001</v>
      </c>
      <c r="AD106" s="1">
        <v>25.6434</v>
      </c>
      <c r="AE106" s="1">
        <v>20.285</v>
      </c>
      <c r="AF106" s="1">
        <v>3.4573999999999998</v>
      </c>
      <c r="AG106" s="1">
        <v>9.8133999999999997</v>
      </c>
      <c r="AH106" s="1"/>
      <c r="AI106" s="1">
        <f t="shared" si="26"/>
        <v>70</v>
      </c>
    </row>
    <row r="107" spans="1:35" x14ac:dyDescent="0.25">
      <c r="A107" s="12" t="s">
        <v>153</v>
      </c>
      <c r="B107" s="12" t="s">
        <v>44</v>
      </c>
      <c r="C107" s="12"/>
      <c r="D107" s="12"/>
      <c r="E107" s="12"/>
      <c r="F107" s="12"/>
      <c r="G107" s="13">
        <v>0</v>
      </c>
      <c r="H107" s="12"/>
      <c r="I107" s="12" t="s">
        <v>40</v>
      </c>
      <c r="J107" s="12"/>
      <c r="K107" s="12"/>
      <c r="L107" s="12">
        <f t="shared" si="27"/>
        <v>0</v>
      </c>
      <c r="M107" s="12"/>
      <c r="N107" s="12"/>
      <c r="O107" s="12">
        <v>0</v>
      </c>
      <c r="P107" s="12"/>
      <c r="Q107" s="12"/>
      <c r="R107" s="12">
        <v>0</v>
      </c>
      <c r="S107" s="12">
        <f t="shared" si="28"/>
        <v>0</v>
      </c>
      <c r="T107" s="14"/>
      <c r="U107" s="12" t="e">
        <f t="shared" si="29"/>
        <v>#DIV/0!</v>
      </c>
      <c r="V107" s="12" t="e">
        <f t="shared" si="30"/>
        <v>#DIV/0!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 t="s">
        <v>45</v>
      </c>
      <c r="AI107" s="12"/>
    </row>
    <row r="108" spans="1:35" x14ac:dyDescent="0.25">
      <c r="A108" s="12" t="s">
        <v>154</v>
      </c>
      <c r="B108" s="12" t="s">
        <v>39</v>
      </c>
      <c r="C108" s="12"/>
      <c r="D108" s="12"/>
      <c r="E108" s="12"/>
      <c r="F108" s="12"/>
      <c r="G108" s="13">
        <v>0</v>
      </c>
      <c r="H108" s="12"/>
      <c r="I108" s="12" t="s">
        <v>40</v>
      </c>
      <c r="J108" s="12"/>
      <c r="K108" s="12"/>
      <c r="L108" s="12">
        <f t="shared" si="27"/>
        <v>0</v>
      </c>
      <c r="M108" s="12"/>
      <c r="N108" s="12"/>
      <c r="O108" s="12">
        <v>0</v>
      </c>
      <c r="P108" s="12"/>
      <c r="Q108" s="12"/>
      <c r="R108" s="12">
        <v>0</v>
      </c>
      <c r="S108" s="12">
        <f t="shared" si="28"/>
        <v>0</v>
      </c>
      <c r="T108" s="14"/>
      <c r="U108" s="12" t="e">
        <f t="shared" si="29"/>
        <v>#DIV/0!</v>
      </c>
      <c r="V108" s="12" t="e">
        <f t="shared" si="30"/>
        <v>#DIV/0!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 t="s">
        <v>45</v>
      </c>
      <c r="AI108" s="12"/>
    </row>
    <row r="109" spans="1:35" x14ac:dyDescent="0.25">
      <c r="A109" s="1" t="s">
        <v>155</v>
      </c>
      <c r="B109" s="1" t="s">
        <v>44</v>
      </c>
      <c r="C109" s="1">
        <v>25</v>
      </c>
      <c r="D109" s="1">
        <v>3</v>
      </c>
      <c r="E109" s="1">
        <v>-17</v>
      </c>
      <c r="F109" s="1">
        <v>3</v>
      </c>
      <c r="G109" s="7">
        <v>0.28000000000000003</v>
      </c>
      <c r="H109" s="1">
        <v>40</v>
      </c>
      <c r="I109" s="15" t="s">
        <v>50</v>
      </c>
      <c r="J109" s="1"/>
      <c r="K109" s="1">
        <v>132</v>
      </c>
      <c r="L109" s="1">
        <f t="shared" si="27"/>
        <v>-149</v>
      </c>
      <c r="M109" s="1"/>
      <c r="N109" s="1"/>
      <c r="O109" s="1">
        <v>45</v>
      </c>
      <c r="P109" s="1">
        <v>-46.428571428571423</v>
      </c>
      <c r="Q109" s="1"/>
      <c r="R109" s="1">
        <v>70</v>
      </c>
      <c r="S109" s="1">
        <f t="shared" si="28"/>
        <v>-3.4</v>
      </c>
      <c r="T109" s="5">
        <v>90</v>
      </c>
      <c r="U109" s="1">
        <f t="shared" si="29"/>
        <v>-47.52100840336135</v>
      </c>
      <c r="V109" s="1">
        <f t="shared" si="30"/>
        <v>-21.05042016806723</v>
      </c>
      <c r="W109" s="1">
        <v>-3.8</v>
      </c>
      <c r="X109" s="1">
        <v>18.399999999999999</v>
      </c>
      <c r="Y109" s="1">
        <v>41</v>
      </c>
      <c r="Z109" s="1">
        <v>43.2</v>
      </c>
      <c r="AA109" s="1">
        <v>41</v>
      </c>
      <c r="AB109" s="1">
        <v>34</v>
      </c>
      <c r="AC109" s="1">
        <v>24.2</v>
      </c>
      <c r="AD109" s="1">
        <v>32.6</v>
      </c>
      <c r="AE109" s="1">
        <v>45.6</v>
      </c>
      <c r="AF109" s="1">
        <v>52.8</v>
      </c>
      <c r="AG109" s="1">
        <v>57.2</v>
      </c>
      <c r="AH109" s="1"/>
      <c r="AI109" s="1">
        <f t="shared" ref="AI109:AI128" si="31">G109*T109</f>
        <v>25.200000000000003</v>
      </c>
    </row>
    <row r="110" spans="1:35" x14ac:dyDescent="0.25">
      <c r="A110" s="1" t="s">
        <v>156</v>
      </c>
      <c r="B110" s="1" t="s">
        <v>44</v>
      </c>
      <c r="C110" s="1">
        <v>3</v>
      </c>
      <c r="D110" s="1"/>
      <c r="E110" s="1">
        <v>-7</v>
      </c>
      <c r="F110" s="1">
        <v>1</v>
      </c>
      <c r="G110" s="7">
        <v>0.28000000000000003</v>
      </c>
      <c r="H110" s="1">
        <v>40</v>
      </c>
      <c r="I110" s="15" t="s">
        <v>50</v>
      </c>
      <c r="J110" s="1"/>
      <c r="K110" s="1">
        <v>58</v>
      </c>
      <c r="L110" s="1">
        <f t="shared" si="27"/>
        <v>-65</v>
      </c>
      <c r="M110" s="1"/>
      <c r="N110" s="1"/>
      <c r="O110" s="1">
        <v>45</v>
      </c>
      <c r="P110" s="1">
        <v>-46.428571428571423</v>
      </c>
      <c r="Q110" s="1"/>
      <c r="R110" s="1">
        <v>70</v>
      </c>
      <c r="S110" s="1">
        <f t="shared" si="28"/>
        <v>-1.4</v>
      </c>
      <c r="T110" s="5">
        <v>90</v>
      </c>
      <c r="U110" s="1">
        <f t="shared" si="29"/>
        <v>-113.97959183673471</v>
      </c>
      <c r="V110" s="1">
        <f t="shared" si="30"/>
        <v>-49.693877551020421</v>
      </c>
      <c r="W110" s="1">
        <v>0.6</v>
      </c>
      <c r="X110" s="1">
        <v>27.6</v>
      </c>
      <c r="Y110" s="1">
        <v>49.6</v>
      </c>
      <c r="Z110" s="1">
        <v>46.2</v>
      </c>
      <c r="AA110" s="1">
        <v>36</v>
      </c>
      <c r="AB110" s="1">
        <v>21</v>
      </c>
      <c r="AC110" s="1">
        <v>19.399999999999999</v>
      </c>
      <c r="AD110" s="1">
        <v>32.799999999999997</v>
      </c>
      <c r="AE110" s="1">
        <v>43.4</v>
      </c>
      <c r="AF110" s="1">
        <v>46.6</v>
      </c>
      <c r="AG110" s="1">
        <v>24</v>
      </c>
      <c r="AH110" s="1"/>
      <c r="AI110" s="1">
        <f t="shared" si="31"/>
        <v>25.200000000000003</v>
      </c>
    </row>
    <row r="111" spans="1:35" x14ac:dyDescent="0.25">
      <c r="A111" s="1" t="s">
        <v>157</v>
      </c>
      <c r="B111" s="1" t="s">
        <v>44</v>
      </c>
      <c r="C111" s="1">
        <v>4</v>
      </c>
      <c r="D111" s="1"/>
      <c r="E111" s="1">
        <v>6</v>
      </c>
      <c r="F111" s="1">
        <v>-6</v>
      </c>
      <c r="G111" s="7">
        <v>0.28000000000000003</v>
      </c>
      <c r="H111" s="1">
        <v>40</v>
      </c>
      <c r="I111" s="15" t="s">
        <v>50</v>
      </c>
      <c r="J111" s="1"/>
      <c r="K111" s="1">
        <v>77</v>
      </c>
      <c r="L111" s="1">
        <f t="shared" si="27"/>
        <v>-71</v>
      </c>
      <c r="M111" s="1"/>
      <c r="N111" s="1"/>
      <c r="O111" s="1">
        <v>45</v>
      </c>
      <c r="P111" s="1">
        <v>-46.428571428571423</v>
      </c>
      <c r="Q111" s="1"/>
      <c r="R111" s="1">
        <v>49</v>
      </c>
      <c r="S111" s="1">
        <f t="shared" si="28"/>
        <v>1.2</v>
      </c>
      <c r="T111" s="5">
        <v>60</v>
      </c>
      <c r="U111" s="1">
        <f t="shared" si="29"/>
        <v>84.642857142857153</v>
      </c>
      <c r="V111" s="1">
        <f t="shared" si="30"/>
        <v>34.642857142857146</v>
      </c>
      <c r="W111" s="1">
        <v>1.2</v>
      </c>
      <c r="X111" s="1">
        <v>7.4</v>
      </c>
      <c r="Y111" s="1">
        <v>32.6</v>
      </c>
      <c r="Z111" s="1">
        <v>47</v>
      </c>
      <c r="AA111" s="1">
        <v>37.200000000000003</v>
      </c>
      <c r="AB111" s="1">
        <v>34.799999999999997</v>
      </c>
      <c r="AC111" s="1">
        <v>33.200000000000003</v>
      </c>
      <c r="AD111" s="1">
        <v>37.799999999999997</v>
      </c>
      <c r="AE111" s="1">
        <v>41.6</v>
      </c>
      <c r="AF111" s="1">
        <v>45</v>
      </c>
      <c r="AG111" s="1">
        <v>46</v>
      </c>
      <c r="AH111" s="1"/>
      <c r="AI111" s="1">
        <f t="shared" si="31"/>
        <v>16.8</v>
      </c>
    </row>
    <row r="112" spans="1:35" x14ac:dyDescent="0.25">
      <c r="A112" s="1" t="s">
        <v>158</v>
      </c>
      <c r="B112" s="1" t="s">
        <v>44</v>
      </c>
      <c r="C112" s="1">
        <v>104</v>
      </c>
      <c r="D112" s="1">
        <v>52</v>
      </c>
      <c r="E112" s="1">
        <v>50</v>
      </c>
      <c r="F112" s="1">
        <v>80</v>
      </c>
      <c r="G112" s="7">
        <v>0.09</v>
      </c>
      <c r="H112" s="1">
        <v>45</v>
      </c>
      <c r="I112" s="1" t="s">
        <v>40</v>
      </c>
      <c r="J112" s="1"/>
      <c r="K112" s="1">
        <v>49</v>
      </c>
      <c r="L112" s="1">
        <f t="shared" si="27"/>
        <v>1</v>
      </c>
      <c r="M112" s="1"/>
      <c r="N112" s="1"/>
      <c r="O112" s="1">
        <v>0</v>
      </c>
      <c r="P112" s="1"/>
      <c r="Q112" s="1"/>
      <c r="R112" s="1">
        <v>0</v>
      </c>
      <c r="S112" s="1">
        <f t="shared" si="28"/>
        <v>10</v>
      </c>
      <c r="T112" s="5">
        <f t="shared" ref="T109:T128" si="32">12*S112-R112-Q112-P112-O112-F112</f>
        <v>40</v>
      </c>
      <c r="U112" s="1">
        <f t="shared" si="29"/>
        <v>12</v>
      </c>
      <c r="V112" s="1">
        <f t="shared" si="30"/>
        <v>8</v>
      </c>
      <c r="W112" s="1">
        <v>8.1999999999999993</v>
      </c>
      <c r="X112" s="1">
        <v>8.4</v>
      </c>
      <c r="Y112" s="1">
        <v>9.4</v>
      </c>
      <c r="Z112" s="1">
        <v>10</v>
      </c>
      <c r="AA112" s="1">
        <v>5.6</v>
      </c>
      <c r="AB112" s="1">
        <v>2.4</v>
      </c>
      <c r="AC112" s="1">
        <v>3.6</v>
      </c>
      <c r="AD112" s="1">
        <v>8.1999999999999993</v>
      </c>
      <c r="AE112" s="1">
        <v>9.6</v>
      </c>
      <c r="AF112" s="1">
        <v>6.6</v>
      </c>
      <c r="AG112" s="1">
        <v>2.8</v>
      </c>
      <c r="AH112" s="22" t="s">
        <v>147</v>
      </c>
      <c r="AI112" s="1">
        <f t="shared" si="31"/>
        <v>3.5999999999999996</v>
      </c>
    </row>
    <row r="113" spans="1:35" x14ac:dyDescent="0.25">
      <c r="A113" s="1" t="s">
        <v>159</v>
      </c>
      <c r="B113" s="1" t="s">
        <v>39</v>
      </c>
      <c r="C113" s="1">
        <v>94.930999999999997</v>
      </c>
      <c r="D113" s="1"/>
      <c r="E113" s="1">
        <v>35.034999999999997</v>
      </c>
      <c r="F113" s="1">
        <v>55.14</v>
      </c>
      <c r="G113" s="7">
        <v>1</v>
      </c>
      <c r="H113" s="1">
        <v>60</v>
      </c>
      <c r="I113" s="1" t="s">
        <v>40</v>
      </c>
      <c r="J113" s="1"/>
      <c r="K113" s="1">
        <v>32.514000000000003</v>
      </c>
      <c r="L113" s="1">
        <f t="shared" si="27"/>
        <v>2.5209999999999937</v>
      </c>
      <c r="M113" s="1"/>
      <c r="N113" s="1"/>
      <c r="O113" s="1">
        <v>47.600199999999987</v>
      </c>
      <c r="P113" s="1"/>
      <c r="Q113" s="1"/>
      <c r="R113" s="1">
        <v>0</v>
      </c>
      <c r="S113" s="1">
        <f t="shared" si="28"/>
        <v>7.0069999999999997</v>
      </c>
      <c r="T113" s="5"/>
      <c r="U113" s="1">
        <f t="shared" si="29"/>
        <v>14.662508919651776</v>
      </c>
      <c r="V113" s="1">
        <f t="shared" si="30"/>
        <v>14.662508919651776</v>
      </c>
      <c r="W113" s="1">
        <v>6.0356000000000014</v>
      </c>
      <c r="X113" s="1">
        <v>11.877599999999999</v>
      </c>
      <c r="Y113" s="1">
        <v>12.359</v>
      </c>
      <c r="Z113" s="1">
        <v>9.2641999999999989</v>
      </c>
      <c r="AA113" s="1">
        <v>7.4257999999999997</v>
      </c>
      <c r="AB113" s="1">
        <v>8.0817999999999994</v>
      </c>
      <c r="AC113" s="1">
        <v>7.9066000000000001</v>
      </c>
      <c r="AD113" s="1">
        <v>7.5061999999999998</v>
      </c>
      <c r="AE113" s="1">
        <v>11.083399999999999</v>
      </c>
      <c r="AF113" s="1">
        <v>18.972999999999999</v>
      </c>
      <c r="AG113" s="1">
        <v>21.614599999999999</v>
      </c>
      <c r="AH113" s="20" t="s">
        <v>97</v>
      </c>
      <c r="AI113" s="1">
        <f t="shared" si="31"/>
        <v>0</v>
      </c>
    </row>
    <row r="114" spans="1:35" x14ac:dyDescent="0.25">
      <c r="A114" s="1" t="s">
        <v>160</v>
      </c>
      <c r="B114" s="1" t="s">
        <v>39</v>
      </c>
      <c r="C114" s="1">
        <v>49.859000000000002</v>
      </c>
      <c r="D114" s="1">
        <v>29.864999999999998</v>
      </c>
      <c r="E114" s="1">
        <v>32.406999999999996</v>
      </c>
      <c r="F114" s="1">
        <v>34.905000000000001</v>
      </c>
      <c r="G114" s="7">
        <v>1</v>
      </c>
      <c r="H114" s="1">
        <v>50</v>
      </c>
      <c r="I114" s="1" t="s">
        <v>40</v>
      </c>
      <c r="J114" s="1"/>
      <c r="K114" s="1">
        <v>30</v>
      </c>
      <c r="L114" s="1">
        <f t="shared" si="27"/>
        <v>2.4069999999999965</v>
      </c>
      <c r="M114" s="1"/>
      <c r="N114" s="1"/>
      <c r="O114" s="1">
        <v>117.28619999999999</v>
      </c>
      <c r="P114" s="1"/>
      <c r="Q114" s="1"/>
      <c r="R114" s="1">
        <v>0</v>
      </c>
      <c r="S114" s="1">
        <f t="shared" si="28"/>
        <v>6.4813999999999989</v>
      </c>
      <c r="T114" s="5"/>
      <c r="U114" s="1">
        <f t="shared" si="29"/>
        <v>23.481223192520137</v>
      </c>
      <c r="V114" s="1">
        <f t="shared" si="30"/>
        <v>23.481223192520137</v>
      </c>
      <c r="W114" s="1">
        <v>7.4802000000000008</v>
      </c>
      <c r="X114" s="1">
        <v>18.96</v>
      </c>
      <c r="Y114" s="1">
        <v>21.4636</v>
      </c>
      <c r="Z114" s="1">
        <v>13.702</v>
      </c>
      <c r="AA114" s="1">
        <v>12.7056</v>
      </c>
      <c r="AB114" s="1">
        <v>13.9284</v>
      </c>
      <c r="AC114" s="1">
        <v>8.4375999999999998</v>
      </c>
      <c r="AD114" s="1">
        <v>7.9498000000000006</v>
      </c>
      <c r="AE114" s="1">
        <v>13.4292</v>
      </c>
      <c r="AF114" s="1">
        <v>21.123000000000001</v>
      </c>
      <c r="AG114" s="1">
        <v>25.892800000000001</v>
      </c>
      <c r="AH114" s="23" t="s">
        <v>275</v>
      </c>
      <c r="AI114" s="1">
        <f t="shared" si="31"/>
        <v>0</v>
      </c>
    </row>
    <row r="115" spans="1:35" x14ac:dyDescent="0.25">
      <c r="A115" s="1" t="s">
        <v>161</v>
      </c>
      <c r="B115" s="1" t="s">
        <v>44</v>
      </c>
      <c r="C115" s="1">
        <v>88</v>
      </c>
      <c r="D115" s="1">
        <v>20</v>
      </c>
      <c r="E115" s="1">
        <v>35</v>
      </c>
      <c r="F115" s="1">
        <v>55</v>
      </c>
      <c r="G115" s="7">
        <v>0.09</v>
      </c>
      <c r="H115" s="1">
        <v>45</v>
      </c>
      <c r="I115" s="1" t="s">
        <v>40</v>
      </c>
      <c r="J115" s="1"/>
      <c r="K115" s="1">
        <v>37</v>
      </c>
      <c r="L115" s="1">
        <f t="shared" si="27"/>
        <v>-2</v>
      </c>
      <c r="M115" s="1"/>
      <c r="N115" s="1"/>
      <c r="O115" s="1">
        <v>31</v>
      </c>
      <c r="P115" s="1"/>
      <c r="Q115" s="1"/>
      <c r="R115" s="1">
        <v>0</v>
      </c>
      <c r="S115" s="1">
        <f t="shared" si="28"/>
        <v>7</v>
      </c>
      <c r="T115" s="5"/>
      <c r="U115" s="1">
        <f t="shared" si="29"/>
        <v>12.285714285714286</v>
      </c>
      <c r="V115" s="1">
        <f t="shared" si="30"/>
        <v>12.285714285714286</v>
      </c>
      <c r="W115" s="1">
        <v>7.6</v>
      </c>
      <c r="X115" s="1">
        <v>10.8</v>
      </c>
      <c r="Y115" s="1">
        <v>11</v>
      </c>
      <c r="Z115" s="1">
        <v>11.8</v>
      </c>
      <c r="AA115" s="1">
        <v>6</v>
      </c>
      <c r="AB115" s="1">
        <v>3.4</v>
      </c>
      <c r="AC115" s="1">
        <v>6.2</v>
      </c>
      <c r="AD115" s="1">
        <v>9.4</v>
      </c>
      <c r="AE115" s="1">
        <v>6</v>
      </c>
      <c r="AF115" s="1">
        <v>3.8</v>
      </c>
      <c r="AG115" s="1">
        <v>5.2</v>
      </c>
      <c r="AH115" s="1" t="s">
        <v>147</v>
      </c>
      <c r="AI115" s="1">
        <f t="shared" si="31"/>
        <v>0</v>
      </c>
    </row>
    <row r="116" spans="1:35" x14ac:dyDescent="0.25">
      <c r="A116" s="1" t="s">
        <v>162</v>
      </c>
      <c r="B116" s="1" t="s">
        <v>44</v>
      </c>
      <c r="C116" s="1">
        <v>54</v>
      </c>
      <c r="D116" s="1">
        <v>100</v>
      </c>
      <c r="E116" s="1">
        <v>46</v>
      </c>
      <c r="F116" s="1">
        <v>80</v>
      </c>
      <c r="G116" s="7">
        <v>0.09</v>
      </c>
      <c r="H116" s="1">
        <v>45</v>
      </c>
      <c r="I116" s="1" t="s">
        <v>40</v>
      </c>
      <c r="J116" s="1"/>
      <c r="K116" s="1">
        <v>57</v>
      </c>
      <c r="L116" s="1">
        <f t="shared" si="27"/>
        <v>-11</v>
      </c>
      <c r="M116" s="1"/>
      <c r="N116" s="1"/>
      <c r="O116" s="1">
        <v>0</v>
      </c>
      <c r="P116" s="1"/>
      <c r="Q116" s="1"/>
      <c r="R116" s="1">
        <v>33.199999999999989</v>
      </c>
      <c r="S116" s="1">
        <f t="shared" si="28"/>
        <v>9.1999999999999993</v>
      </c>
      <c r="T116" s="5"/>
      <c r="U116" s="1">
        <f t="shared" si="29"/>
        <v>12.304347826086957</v>
      </c>
      <c r="V116" s="1">
        <f t="shared" si="30"/>
        <v>12.304347826086957</v>
      </c>
      <c r="W116" s="1">
        <v>12.2</v>
      </c>
      <c r="X116" s="1">
        <v>5.8</v>
      </c>
      <c r="Y116" s="1">
        <v>10</v>
      </c>
      <c r="Z116" s="1">
        <v>13.4</v>
      </c>
      <c r="AA116" s="1">
        <v>7.2</v>
      </c>
      <c r="AB116" s="1">
        <v>5.6</v>
      </c>
      <c r="AC116" s="1">
        <v>5.6</v>
      </c>
      <c r="AD116" s="1">
        <v>7.8</v>
      </c>
      <c r="AE116" s="1">
        <v>6</v>
      </c>
      <c r="AF116" s="1">
        <v>3.2</v>
      </c>
      <c r="AG116" s="1">
        <v>3.8</v>
      </c>
      <c r="AH116" s="1" t="s">
        <v>147</v>
      </c>
      <c r="AI116" s="1">
        <f t="shared" si="31"/>
        <v>0</v>
      </c>
    </row>
    <row r="117" spans="1:35" x14ac:dyDescent="0.25">
      <c r="A117" s="1" t="s">
        <v>163</v>
      </c>
      <c r="B117" s="1" t="s">
        <v>39</v>
      </c>
      <c r="C117" s="1">
        <v>36.042999999999999</v>
      </c>
      <c r="D117" s="1">
        <v>59.15</v>
      </c>
      <c r="E117" s="1">
        <v>49.884</v>
      </c>
      <c r="F117" s="1">
        <v>24.207999999999998</v>
      </c>
      <c r="G117" s="7">
        <v>1</v>
      </c>
      <c r="H117" s="1">
        <v>60</v>
      </c>
      <c r="I117" s="1" t="s">
        <v>40</v>
      </c>
      <c r="J117" s="1"/>
      <c r="K117" s="1">
        <v>46</v>
      </c>
      <c r="L117" s="1">
        <f t="shared" si="27"/>
        <v>3.8840000000000003</v>
      </c>
      <c r="M117" s="1"/>
      <c r="N117" s="1"/>
      <c r="O117" s="1">
        <v>113.9771319999999</v>
      </c>
      <c r="P117" s="1"/>
      <c r="Q117" s="1"/>
      <c r="R117" s="1">
        <v>0</v>
      </c>
      <c r="S117" s="1">
        <f t="shared" si="28"/>
        <v>9.9768000000000008</v>
      </c>
      <c r="T117" s="5"/>
      <c r="U117" s="1">
        <f t="shared" si="29"/>
        <v>13.850646700344788</v>
      </c>
      <c r="V117" s="1">
        <f t="shared" si="30"/>
        <v>13.850646700344788</v>
      </c>
      <c r="W117" s="1">
        <v>13.449199999999999</v>
      </c>
      <c r="X117" s="1">
        <v>20.5716</v>
      </c>
      <c r="Y117" s="1">
        <v>16.994599999999998</v>
      </c>
      <c r="Z117" s="1">
        <v>15.692399999999999</v>
      </c>
      <c r="AA117" s="1">
        <v>14.6084</v>
      </c>
      <c r="AB117" s="1">
        <v>7.5492000000000008</v>
      </c>
      <c r="AC117" s="1">
        <v>5.8979999999999997</v>
      </c>
      <c r="AD117" s="1">
        <v>11.662599999999999</v>
      </c>
      <c r="AE117" s="1">
        <v>14.193199999999999</v>
      </c>
      <c r="AF117" s="1">
        <v>18.148800000000001</v>
      </c>
      <c r="AG117" s="1">
        <v>14.731400000000001</v>
      </c>
      <c r="AH117" s="1"/>
      <c r="AI117" s="1">
        <f t="shared" si="31"/>
        <v>0</v>
      </c>
    </row>
    <row r="118" spans="1:35" x14ac:dyDescent="0.25">
      <c r="A118" s="1" t="s">
        <v>164</v>
      </c>
      <c r="B118" s="1" t="s">
        <v>39</v>
      </c>
      <c r="C118" s="1">
        <v>118.46599999999999</v>
      </c>
      <c r="D118" s="1">
        <v>150.33799999999999</v>
      </c>
      <c r="E118" s="1">
        <v>137.25200000000001</v>
      </c>
      <c r="F118" s="1">
        <v>81.775999999999996</v>
      </c>
      <c r="G118" s="7">
        <v>1</v>
      </c>
      <c r="H118" s="1">
        <v>60</v>
      </c>
      <c r="I118" s="1" t="s">
        <v>40</v>
      </c>
      <c r="J118" s="1"/>
      <c r="K118" s="1">
        <v>142.4</v>
      </c>
      <c r="L118" s="1">
        <f t="shared" si="27"/>
        <v>-5.1479999999999961</v>
      </c>
      <c r="M118" s="1"/>
      <c r="N118" s="1"/>
      <c r="O118" s="1">
        <v>0</v>
      </c>
      <c r="P118" s="1"/>
      <c r="Q118" s="1"/>
      <c r="R118" s="1">
        <v>89.335400000000021</v>
      </c>
      <c r="S118" s="1">
        <f t="shared" si="28"/>
        <v>27.450400000000002</v>
      </c>
      <c r="T118" s="5">
        <f t="shared" si="32"/>
        <v>158.29340000000002</v>
      </c>
      <c r="U118" s="1">
        <f t="shared" si="29"/>
        <v>12</v>
      </c>
      <c r="V118" s="1">
        <f t="shared" si="30"/>
        <v>6.2334756506280415</v>
      </c>
      <c r="W118" s="1">
        <v>22.645399999999999</v>
      </c>
      <c r="X118" s="1">
        <v>19.9846</v>
      </c>
      <c r="Y118" s="1">
        <v>26.598199999999999</v>
      </c>
      <c r="Z118" s="1">
        <v>30.647200000000002</v>
      </c>
      <c r="AA118" s="1">
        <v>27.384</v>
      </c>
      <c r="AB118" s="1">
        <v>11.255599999999999</v>
      </c>
      <c r="AC118" s="1">
        <v>13.8432</v>
      </c>
      <c r="AD118" s="1">
        <v>24.488800000000001</v>
      </c>
      <c r="AE118" s="1">
        <v>27.658799999999999</v>
      </c>
      <c r="AF118" s="1">
        <v>32.487400000000001</v>
      </c>
      <c r="AG118" s="1">
        <v>32.491</v>
      </c>
      <c r="AH118" s="1"/>
      <c r="AI118" s="1">
        <f t="shared" si="31"/>
        <v>158.29340000000002</v>
      </c>
    </row>
    <row r="119" spans="1:35" x14ac:dyDescent="0.25">
      <c r="A119" s="1" t="s">
        <v>165</v>
      </c>
      <c r="B119" s="1" t="s">
        <v>39</v>
      </c>
      <c r="C119" s="1">
        <v>55.319000000000003</v>
      </c>
      <c r="D119" s="1">
        <v>8.4580000000000002</v>
      </c>
      <c r="E119" s="1">
        <v>36.499000000000002</v>
      </c>
      <c r="F119" s="1">
        <v>9.1430000000000007</v>
      </c>
      <c r="G119" s="7">
        <v>1</v>
      </c>
      <c r="H119" s="1">
        <v>60</v>
      </c>
      <c r="I119" s="1" t="s">
        <v>40</v>
      </c>
      <c r="J119" s="1"/>
      <c r="K119" s="1">
        <v>37.700000000000003</v>
      </c>
      <c r="L119" s="1">
        <f t="shared" si="27"/>
        <v>-1.2010000000000005</v>
      </c>
      <c r="M119" s="1"/>
      <c r="N119" s="1"/>
      <c r="O119" s="1">
        <v>9.7018000000000058</v>
      </c>
      <c r="P119" s="1"/>
      <c r="Q119" s="1"/>
      <c r="R119" s="1">
        <v>48.038400000000003</v>
      </c>
      <c r="S119" s="1">
        <f t="shared" si="28"/>
        <v>7.2998000000000003</v>
      </c>
      <c r="T119" s="5">
        <f t="shared" si="32"/>
        <v>20.714399999999991</v>
      </c>
      <c r="U119" s="1">
        <f t="shared" si="29"/>
        <v>12</v>
      </c>
      <c r="V119" s="1">
        <f t="shared" si="30"/>
        <v>9.1623332146086209</v>
      </c>
      <c r="W119" s="1">
        <v>8.6598000000000006</v>
      </c>
      <c r="X119" s="1">
        <v>5.4184000000000001</v>
      </c>
      <c r="Y119" s="1">
        <v>5.4029999999999996</v>
      </c>
      <c r="Z119" s="1">
        <v>3.9361999999999999</v>
      </c>
      <c r="AA119" s="1">
        <v>5.5831999999999997</v>
      </c>
      <c r="AB119" s="1">
        <v>5.3019999999999996</v>
      </c>
      <c r="AC119" s="1">
        <v>3.3967999999999998</v>
      </c>
      <c r="AD119" s="1">
        <v>6.5150000000000006</v>
      </c>
      <c r="AE119" s="1">
        <v>7.4676</v>
      </c>
      <c r="AF119" s="1">
        <v>6.0911999999999997</v>
      </c>
      <c r="AG119" s="1">
        <v>8.3735999999999997</v>
      </c>
      <c r="AH119" s="1"/>
      <c r="AI119" s="1">
        <f t="shared" si="31"/>
        <v>20.714399999999991</v>
      </c>
    </row>
    <row r="120" spans="1:35" x14ac:dyDescent="0.25">
      <c r="A120" s="1" t="s">
        <v>166</v>
      </c>
      <c r="B120" s="1" t="s">
        <v>39</v>
      </c>
      <c r="C120" s="1">
        <v>1052.8050000000001</v>
      </c>
      <c r="D120" s="1">
        <v>4.9889999999999999</v>
      </c>
      <c r="E120" s="1">
        <v>507.053</v>
      </c>
      <c r="F120" s="1">
        <v>540.75599999999997</v>
      </c>
      <c r="G120" s="7">
        <v>1</v>
      </c>
      <c r="H120" s="1">
        <v>60</v>
      </c>
      <c r="I120" s="1" t="s">
        <v>40</v>
      </c>
      <c r="J120" s="1"/>
      <c r="K120" s="1">
        <v>817.5</v>
      </c>
      <c r="L120" s="1">
        <f t="shared" si="27"/>
        <v>-310.447</v>
      </c>
      <c r="M120" s="1"/>
      <c r="N120" s="1"/>
      <c r="O120" s="1">
        <v>1120.4055739999999</v>
      </c>
      <c r="P120" s="1"/>
      <c r="Q120" s="1">
        <v>200</v>
      </c>
      <c r="R120" s="1">
        <v>30.169026000000031</v>
      </c>
      <c r="S120" s="1">
        <f t="shared" si="28"/>
        <v>101.4106</v>
      </c>
      <c r="T120" s="5"/>
      <c r="U120" s="1">
        <f t="shared" si="29"/>
        <v>18.650225913267448</v>
      </c>
      <c r="V120" s="1">
        <f t="shared" si="30"/>
        <v>18.650225913267448</v>
      </c>
      <c r="W120" s="1">
        <v>172.1686</v>
      </c>
      <c r="X120" s="1">
        <v>194.34620000000001</v>
      </c>
      <c r="Y120" s="1">
        <v>173.6292</v>
      </c>
      <c r="Z120" s="1">
        <v>165.13419999999999</v>
      </c>
      <c r="AA120" s="1">
        <v>149.19040000000001</v>
      </c>
      <c r="AB120" s="1">
        <v>130.2586</v>
      </c>
      <c r="AC120" s="1">
        <v>161.93</v>
      </c>
      <c r="AD120" s="1">
        <v>151.02940000000001</v>
      </c>
      <c r="AE120" s="1">
        <v>117.4376</v>
      </c>
      <c r="AF120" s="1">
        <v>168.51339999999999</v>
      </c>
      <c r="AG120" s="1">
        <v>198.84460000000001</v>
      </c>
      <c r="AH120" s="20" t="s">
        <v>97</v>
      </c>
      <c r="AI120" s="1">
        <f t="shared" si="31"/>
        <v>0</v>
      </c>
    </row>
    <row r="121" spans="1:35" x14ac:dyDescent="0.25">
      <c r="A121" s="1" t="s">
        <v>167</v>
      </c>
      <c r="B121" s="1" t="s">
        <v>44</v>
      </c>
      <c r="C121" s="1">
        <v>146</v>
      </c>
      <c r="D121" s="1">
        <v>3</v>
      </c>
      <c r="E121" s="1">
        <v>141</v>
      </c>
      <c r="F121" s="1">
        <v>5</v>
      </c>
      <c r="G121" s="7">
        <v>0.25</v>
      </c>
      <c r="H121" s="1">
        <v>1096</v>
      </c>
      <c r="I121" s="15" t="s">
        <v>50</v>
      </c>
      <c r="J121" s="1"/>
      <c r="K121" s="1">
        <v>177</v>
      </c>
      <c r="L121" s="1">
        <f t="shared" si="27"/>
        <v>-36</v>
      </c>
      <c r="M121" s="1"/>
      <c r="N121" s="1"/>
      <c r="O121" s="1">
        <v>25</v>
      </c>
      <c r="P121" s="1"/>
      <c r="Q121" s="1"/>
      <c r="R121" s="1">
        <v>140</v>
      </c>
      <c r="S121" s="1">
        <f t="shared" si="28"/>
        <v>28.2</v>
      </c>
      <c r="T121" s="5">
        <v>180</v>
      </c>
      <c r="U121" s="1">
        <f t="shared" si="29"/>
        <v>12.411347517730496</v>
      </c>
      <c r="V121" s="1">
        <f t="shared" si="30"/>
        <v>6.0283687943262416</v>
      </c>
      <c r="W121" s="1">
        <v>28.8</v>
      </c>
      <c r="X121" s="1">
        <v>0</v>
      </c>
      <c r="Y121" s="1">
        <v>0</v>
      </c>
      <c r="Z121" s="1">
        <v>1.8</v>
      </c>
      <c r="AA121" s="1">
        <v>8.1999999999999993</v>
      </c>
      <c r="AB121" s="1">
        <v>40.200000000000003</v>
      </c>
      <c r="AC121" s="1">
        <v>33.799999999999997</v>
      </c>
      <c r="AD121" s="1">
        <v>0</v>
      </c>
      <c r="AE121" s="1">
        <v>0</v>
      </c>
      <c r="AF121" s="1">
        <v>0</v>
      </c>
      <c r="AG121" s="1">
        <v>0.05</v>
      </c>
      <c r="AH121" s="1" t="s">
        <v>168</v>
      </c>
      <c r="AI121" s="1">
        <f t="shared" si="31"/>
        <v>45</v>
      </c>
    </row>
    <row r="122" spans="1:35" x14ac:dyDescent="0.25">
      <c r="A122" s="1" t="s">
        <v>169</v>
      </c>
      <c r="B122" s="1" t="s">
        <v>44</v>
      </c>
      <c r="C122" s="1">
        <v>68</v>
      </c>
      <c r="D122" s="1">
        <v>108</v>
      </c>
      <c r="E122" s="16">
        <f>55+E129</f>
        <v>100</v>
      </c>
      <c r="F122" s="16">
        <f>117+F129</f>
        <v>41</v>
      </c>
      <c r="G122" s="7">
        <v>0.32500000000000001</v>
      </c>
      <c r="H122" s="1">
        <v>1096</v>
      </c>
      <c r="I122" s="15" t="s">
        <v>50</v>
      </c>
      <c r="J122" s="1"/>
      <c r="K122" s="1">
        <v>63</v>
      </c>
      <c r="L122" s="1">
        <f t="shared" si="27"/>
        <v>37</v>
      </c>
      <c r="M122" s="1"/>
      <c r="N122" s="1"/>
      <c r="O122" s="1">
        <v>0</v>
      </c>
      <c r="P122" s="1"/>
      <c r="Q122" s="1"/>
      <c r="R122" s="1">
        <v>87.399999999999977</v>
      </c>
      <c r="S122" s="1">
        <f t="shared" si="28"/>
        <v>20</v>
      </c>
      <c r="T122" s="5">
        <v>110</v>
      </c>
      <c r="U122" s="1">
        <f t="shared" si="29"/>
        <v>11.919999999999998</v>
      </c>
      <c r="V122" s="1">
        <f t="shared" si="30"/>
        <v>6.419999999999999</v>
      </c>
      <c r="W122" s="1">
        <v>16.399999999999999</v>
      </c>
      <c r="X122" s="1">
        <v>4.2</v>
      </c>
      <c r="Y122" s="1">
        <v>4.2</v>
      </c>
      <c r="Z122" s="1">
        <v>5.8</v>
      </c>
      <c r="AA122" s="1">
        <v>7.2</v>
      </c>
      <c r="AB122" s="1">
        <v>21.2</v>
      </c>
      <c r="AC122" s="1">
        <v>15.8</v>
      </c>
      <c r="AD122" s="1">
        <v>0</v>
      </c>
      <c r="AE122" s="1">
        <v>0</v>
      </c>
      <c r="AF122" s="1">
        <v>0</v>
      </c>
      <c r="AG122" s="1">
        <v>6.5000000000000002E-2</v>
      </c>
      <c r="AH122" s="1" t="s">
        <v>168</v>
      </c>
      <c r="AI122" s="1">
        <f t="shared" si="31"/>
        <v>35.75</v>
      </c>
    </row>
    <row r="123" spans="1:35" x14ac:dyDescent="0.25">
      <c r="A123" s="1" t="s">
        <v>170</v>
      </c>
      <c r="B123" s="1" t="s">
        <v>44</v>
      </c>
      <c r="C123" s="1">
        <v>464</v>
      </c>
      <c r="D123" s="1"/>
      <c r="E123" s="1">
        <v>314</v>
      </c>
      <c r="F123" s="1">
        <v>84</v>
      </c>
      <c r="G123" s="7">
        <v>0.25</v>
      </c>
      <c r="H123" s="1">
        <v>1096</v>
      </c>
      <c r="I123" s="1" t="s">
        <v>40</v>
      </c>
      <c r="J123" s="1"/>
      <c r="K123" s="1">
        <v>312</v>
      </c>
      <c r="L123" s="1">
        <f t="shared" si="27"/>
        <v>2</v>
      </c>
      <c r="M123" s="1"/>
      <c r="N123" s="1"/>
      <c r="O123" s="1">
        <v>0</v>
      </c>
      <c r="P123" s="1"/>
      <c r="Q123" s="1"/>
      <c r="R123" s="1">
        <v>480.4</v>
      </c>
      <c r="S123" s="1">
        <f t="shared" si="28"/>
        <v>62.8</v>
      </c>
      <c r="T123" s="5">
        <f t="shared" si="32"/>
        <v>189.19999999999993</v>
      </c>
      <c r="U123" s="1">
        <f t="shared" si="29"/>
        <v>11.999999999999998</v>
      </c>
      <c r="V123" s="1">
        <f t="shared" si="30"/>
        <v>8.9872611464968148</v>
      </c>
      <c r="W123" s="1">
        <v>77.599999999999994</v>
      </c>
      <c r="X123" s="1">
        <v>29.6</v>
      </c>
      <c r="Y123" s="1">
        <v>1.2</v>
      </c>
      <c r="Z123" s="1">
        <v>1.8</v>
      </c>
      <c r="AA123" s="1">
        <v>8</v>
      </c>
      <c r="AB123" s="1">
        <v>40.4</v>
      </c>
      <c r="AC123" s="1">
        <v>34.4</v>
      </c>
      <c r="AD123" s="1">
        <v>0</v>
      </c>
      <c r="AE123" s="1">
        <v>0</v>
      </c>
      <c r="AF123" s="1">
        <v>0</v>
      </c>
      <c r="AG123" s="1">
        <v>0.05</v>
      </c>
      <c r="AH123" s="1" t="s">
        <v>168</v>
      </c>
      <c r="AI123" s="1">
        <f t="shared" si="31"/>
        <v>47.299999999999983</v>
      </c>
    </row>
    <row r="124" spans="1:35" x14ac:dyDescent="0.25">
      <c r="A124" s="1" t="s">
        <v>171</v>
      </c>
      <c r="B124" s="1" t="s">
        <v>44</v>
      </c>
      <c r="C124" s="1">
        <v>96</v>
      </c>
      <c r="D124" s="1">
        <v>6</v>
      </c>
      <c r="E124" s="1">
        <v>109</v>
      </c>
      <c r="F124" s="1">
        <v>-13</v>
      </c>
      <c r="G124" s="7">
        <v>0.3</v>
      </c>
      <c r="H124" s="1">
        <v>40</v>
      </c>
      <c r="I124" s="15" t="s">
        <v>50</v>
      </c>
      <c r="J124" s="1"/>
      <c r="K124" s="1">
        <v>158</v>
      </c>
      <c r="L124" s="1">
        <f t="shared" si="27"/>
        <v>-49</v>
      </c>
      <c r="M124" s="1"/>
      <c r="N124" s="1"/>
      <c r="O124" s="1">
        <v>36</v>
      </c>
      <c r="P124" s="1">
        <v>-43.333333333333343</v>
      </c>
      <c r="Q124" s="1"/>
      <c r="R124" s="1">
        <v>84</v>
      </c>
      <c r="S124" s="1">
        <f t="shared" si="28"/>
        <v>21.8</v>
      </c>
      <c r="T124" s="5">
        <v>110</v>
      </c>
      <c r="U124" s="1">
        <f t="shared" si="29"/>
        <v>7.9663608562691124</v>
      </c>
      <c r="V124" s="1">
        <f t="shared" si="30"/>
        <v>2.9204892966360849</v>
      </c>
      <c r="W124" s="1">
        <v>46.2</v>
      </c>
      <c r="X124" s="1">
        <v>55.2</v>
      </c>
      <c r="Y124" s="1">
        <v>43.487000000000002</v>
      </c>
      <c r="Z124" s="1">
        <v>36.4</v>
      </c>
      <c r="AA124" s="1">
        <v>33.200000000000003</v>
      </c>
      <c r="AB124" s="1">
        <v>32.200000000000003</v>
      </c>
      <c r="AC124" s="1">
        <v>32</v>
      </c>
      <c r="AD124" s="1">
        <v>44.4</v>
      </c>
      <c r="AE124" s="1">
        <v>38.4</v>
      </c>
      <c r="AF124" s="1">
        <v>19.399999999999999</v>
      </c>
      <c r="AG124" s="1">
        <v>29</v>
      </c>
      <c r="AH124" s="1"/>
      <c r="AI124" s="1">
        <f t="shared" si="31"/>
        <v>33</v>
      </c>
    </row>
    <row r="125" spans="1:35" x14ac:dyDescent="0.25">
      <c r="A125" s="1" t="s">
        <v>172</v>
      </c>
      <c r="B125" s="1" t="s">
        <v>44</v>
      </c>
      <c r="C125" s="1">
        <v>5</v>
      </c>
      <c r="D125" s="1"/>
      <c r="E125" s="1">
        <v>-10</v>
      </c>
      <c r="F125" s="1">
        <v>3</v>
      </c>
      <c r="G125" s="7">
        <v>0.3</v>
      </c>
      <c r="H125" s="1">
        <v>40</v>
      </c>
      <c r="I125" s="15" t="s">
        <v>50</v>
      </c>
      <c r="J125" s="1"/>
      <c r="K125" s="1">
        <v>85</v>
      </c>
      <c r="L125" s="1">
        <f t="shared" si="27"/>
        <v>-95</v>
      </c>
      <c r="M125" s="1"/>
      <c r="N125" s="1"/>
      <c r="O125" s="1">
        <v>30</v>
      </c>
      <c r="P125" s="1">
        <v>-30</v>
      </c>
      <c r="Q125" s="1"/>
      <c r="R125" s="1">
        <v>49</v>
      </c>
      <c r="S125" s="1">
        <f t="shared" si="28"/>
        <v>-2</v>
      </c>
      <c r="T125" s="5">
        <v>60</v>
      </c>
      <c r="U125" s="1">
        <f t="shared" si="29"/>
        <v>-56</v>
      </c>
      <c r="V125" s="1">
        <f t="shared" si="30"/>
        <v>-26</v>
      </c>
      <c r="W125" s="1">
        <v>-1.6</v>
      </c>
      <c r="X125" s="1">
        <v>9.4</v>
      </c>
      <c r="Y125" s="1">
        <v>19</v>
      </c>
      <c r="Z125" s="1">
        <v>30.6</v>
      </c>
      <c r="AA125" s="1">
        <v>31</v>
      </c>
      <c r="AB125" s="1">
        <v>25.2</v>
      </c>
      <c r="AC125" s="1">
        <v>24.6</v>
      </c>
      <c r="AD125" s="1">
        <v>23.6</v>
      </c>
      <c r="AE125" s="1">
        <v>18.399999999999999</v>
      </c>
      <c r="AF125" s="1">
        <v>7.4</v>
      </c>
      <c r="AG125" s="1">
        <v>13.2</v>
      </c>
      <c r="AH125" s="1"/>
      <c r="AI125" s="1">
        <f t="shared" si="31"/>
        <v>18</v>
      </c>
    </row>
    <row r="126" spans="1:35" x14ac:dyDescent="0.25">
      <c r="A126" s="1" t="s">
        <v>173</v>
      </c>
      <c r="B126" s="1" t="s">
        <v>39</v>
      </c>
      <c r="C126" s="1">
        <v>8.31</v>
      </c>
      <c r="D126" s="1"/>
      <c r="E126" s="1">
        <v>9.4359999999999999</v>
      </c>
      <c r="F126" s="1">
        <v>0.23799999999999999</v>
      </c>
      <c r="G126" s="7">
        <v>1</v>
      </c>
      <c r="H126" s="1">
        <v>50</v>
      </c>
      <c r="I126" s="1" t="s">
        <v>40</v>
      </c>
      <c r="J126" s="1"/>
      <c r="K126" s="1">
        <v>10.7</v>
      </c>
      <c r="L126" s="1">
        <f t="shared" si="27"/>
        <v>-1.2639999999999993</v>
      </c>
      <c r="M126" s="1"/>
      <c r="N126" s="1"/>
      <c r="O126" s="1">
        <v>33.590400000000002</v>
      </c>
      <c r="P126" s="1"/>
      <c r="Q126" s="1"/>
      <c r="R126" s="1">
        <v>0</v>
      </c>
      <c r="S126" s="1">
        <f t="shared" si="28"/>
        <v>1.8872</v>
      </c>
      <c r="T126" s="5"/>
      <c r="U126" s="1">
        <f t="shared" si="29"/>
        <v>17.925180161085208</v>
      </c>
      <c r="V126" s="1">
        <f t="shared" si="30"/>
        <v>17.925180161085208</v>
      </c>
      <c r="W126" s="1">
        <v>2.9937999999999998</v>
      </c>
      <c r="X126" s="1">
        <v>4.6555999999999997</v>
      </c>
      <c r="Y126" s="1">
        <v>3.5312000000000001</v>
      </c>
      <c r="Z126" s="1">
        <v>1.0506</v>
      </c>
      <c r="AA126" s="1">
        <v>1.6064000000000001</v>
      </c>
      <c r="AB126" s="1">
        <v>2.1257999999999999</v>
      </c>
      <c r="AC126" s="1">
        <v>2.6814</v>
      </c>
      <c r="AD126" s="1">
        <v>3.0156000000000001</v>
      </c>
      <c r="AE126" s="1">
        <v>2.7410000000000001</v>
      </c>
      <c r="AF126" s="1">
        <v>3.8424</v>
      </c>
      <c r="AG126" s="1">
        <v>3.2942</v>
      </c>
      <c r="AH126" s="1"/>
      <c r="AI126" s="1">
        <f t="shared" si="31"/>
        <v>0</v>
      </c>
    </row>
    <row r="127" spans="1:35" x14ac:dyDescent="0.25">
      <c r="A127" s="1" t="s">
        <v>174</v>
      </c>
      <c r="B127" s="1" t="s">
        <v>44</v>
      </c>
      <c r="C127" s="1">
        <v>80</v>
      </c>
      <c r="D127" s="1">
        <v>7</v>
      </c>
      <c r="E127" s="1">
        <v>89</v>
      </c>
      <c r="F127" s="1">
        <v>2</v>
      </c>
      <c r="G127" s="7">
        <v>0.3</v>
      </c>
      <c r="H127" s="1">
        <v>40</v>
      </c>
      <c r="I127" s="15" t="s">
        <v>50</v>
      </c>
      <c r="J127" s="1"/>
      <c r="K127" s="1">
        <v>97</v>
      </c>
      <c r="L127" s="1">
        <f t="shared" si="27"/>
        <v>-8</v>
      </c>
      <c r="M127" s="1"/>
      <c r="N127" s="1"/>
      <c r="O127" s="1">
        <v>25</v>
      </c>
      <c r="P127" s="1">
        <v>-30</v>
      </c>
      <c r="Q127" s="1"/>
      <c r="R127" s="1">
        <v>70</v>
      </c>
      <c r="S127" s="1">
        <f t="shared" si="28"/>
        <v>17.8</v>
      </c>
      <c r="T127" s="5">
        <v>90</v>
      </c>
      <c r="U127" s="1">
        <f t="shared" si="29"/>
        <v>8.8202247191011232</v>
      </c>
      <c r="V127" s="1">
        <f t="shared" si="30"/>
        <v>3.7640449438202244</v>
      </c>
      <c r="W127" s="1">
        <v>33.4</v>
      </c>
      <c r="X127" s="1">
        <v>17.8</v>
      </c>
      <c r="Y127" s="1">
        <v>5.4</v>
      </c>
      <c r="Z127" s="1">
        <v>17.8</v>
      </c>
      <c r="AA127" s="1">
        <v>18.600000000000001</v>
      </c>
      <c r="AB127" s="1">
        <v>19.600000000000001</v>
      </c>
      <c r="AC127" s="1">
        <v>19.8</v>
      </c>
      <c r="AD127" s="1">
        <v>17.600000000000001</v>
      </c>
      <c r="AE127" s="1">
        <v>21.6</v>
      </c>
      <c r="AF127" s="1">
        <v>22.8</v>
      </c>
      <c r="AG127" s="1">
        <v>13.4</v>
      </c>
      <c r="AH127" s="1"/>
      <c r="AI127" s="1">
        <f t="shared" si="31"/>
        <v>27</v>
      </c>
    </row>
    <row r="128" spans="1:35" x14ac:dyDescent="0.25">
      <c r="A128" s="1" t="s">
        <v>175</v>
      </c>
      <c r="B128" s="1" t="s">
        <v>44</v>
      </c>
      <c r="C128" s="1">
        <v>38</v>
      </c>
      <c r="D128" s="1">
        <v>45</v>
      </c>
      <c r="E128" s="1">
        <v>47</v>
      </c>
      <c r="F128" s="1">
        <v>23</v>
      </c>
      <c r="G128" s="7">
        <v>0.12</v>
      </c>
      <c r="H128" s="1">
        <v>45</v>
      </c>
      <c r="I128" s="15" t="s">
        <v>50</v>
      </c>
      <c r="J128" s="1"/>
      <c r="K128" s="1">
        <v>47</v>
      </c>
      <c r="L128" s="1">
        <f t="shared" si="27"/>
        <v>0</v>
      </c>
      <c r="M128" s="1"/>
      <c r="N128" s="1"/>
      <c r="O128" s="1">
        <v>12.8</v>
      </c>
      <c r="P128" s="1">
        <v>-33.333333333333343</v>
      </c>
      <c r="Q128" s="1"/>
      <c r="R128" s="1">
        <v>34</v>
      </c>
      <c r="S128" s="1">
        <f t="shared" si="28"/>
        <v>9.4</v>
      </c>
      <c r="T128" s="5">
        <v>70</v>
      </c>
      <c r="U128" s="1">
        <f t="shared" si="29"/>
        <v>11.326241134751772</v>
      </c>
      <c r="V128" s="1">
        <f t="shared" si="30"/>
        <v>3.8794326241134738</v>
      </c>
      <c r="W128" s="1">
        <v>6.8</v>
      </c>
      <c r="X128" s="1">
        <v>6.6</v>
      </c>
      <c r="Y128" s="1">
        <v>7</v>
      </c>
      <c r="Z128" s="1">
        <v>9.1999999999999993</v>
      </c>
      <c r="AA128" s="1">
        <v>9</v>
      </c>
      <c r="AB128" s="1">
        <v>5.6</v>
      </c>
      <c r="AC128" s="1">
        <v>5.4</v>
      </c>
      <c r="AD128" s="1">
        <v>8</v>
      </c>
      <c r="AE128" s="1">
        <v>11.2</v>
      </c>
      <c r="AF128" s="1">
        <v>9.1999999999999993</v>
      </c>
      <c r="AG128" s="1">
        <v>4.5999999999999996</v>
      </c>
      <c r="AH128" s="1"/>
      <c r="AI128" s="1">
        <f t="shared" si="31"/>
        <v>8.4</v>
      </c>
    </row>
    <row r="129" spans="1:35" x14ac:dyDescent="0.25">
      <c r="A129" s="12" t="s">
        <v>176</v>
      </c>
      <c r="B129" s="12" t="s">
        <v>44</v>
      </c>
      <c r="C129" s="12">
        <v>-21</v>
      </c>
      <c r="D129" s="12"/>
      <c r="E129" s="16">
        <v>45</v>
      </c>
      <c r="F129" s="16">
        <v>-76</v>
      </c>
      <c r="G129" s="13">
        <v>0</v>
      </c>
      <c r="H129" s="12"/>
      <c r="I129" s="12" t="s">
        <v>177</v>
      </c>
      <c r="J129" s="12" t="s">
        <v>169</v>
      </c>
      <c r="K129" s="12">
        <v>57</v>
      </c>
      <c r="L129" s="12">
        <f t="shared" si="27"/>
        <v>-12</v>
      </c>
      <c r="M129" s="12"/>
      <c r="N129" s="12"/>
      <c r="O129" s="12">
        <v>0</v>
      </c>
      <c r="P129" s="12"/>
      <c r="Q129" s="12"/>
      <c r="R129" s="12">
        <v>0</v>
      </c>
      <c r="S129" s="12">
        <f t="shared" si="28"/>
        <v>9</v>
      </c>
      <c r="T129" s="14"/>
      <c r="U129" s="12">
        <f t="shared" si="29"/>
        <v>-8.4444444444444446</v>
      </c>
      <c r="V129" s="12">
        <f t="shared" si="30"/>
        <v>-8.4444444444444446</v>
      </c>
      <c r="W129" s="12">
        <v>12.4</v>
      </c>
      <c r="X129" s="12">
        <v>4.2</v>
      </c>
      <c r="Y129" s="12">
        <v>0.2</v>
      </c>
      <c r="Z129" s="12">
        <v>0</v>
      </c>
      <c r="AA129" s="12">
        <v>0.8</v>
      </c>
      <c r="AB129" s="12">
        <v>1.8</v>
      </c>
      <c r="AC129" s="12">
        <v>1</v>
      </c>
      <c r="AD129" s="12">
        <v>0</v>
      </c>
      <c r="AE129" s="12">
        <v>0</v>
      </c>
      <c r="AF129" s="12">
        <v>0</v>
      </c>
      <c r="AG129" s="12">
        <v>0</v>
      </c>
      <c r="AH129" s="12"/>
      <c r="AI129" s="12"/>
    </row>
    <row r="130" spans="1:3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</sheetData>
  <autoFilter ref="A3:AI12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I1" sqref="I1"/>
    </sheetView>
  </sheetViews>
  <sheetFormatPr defaultRowHeight="15" x14ac:dyDescent="0.25"/>
  <cols>
    <col min="1" max="1" width="11.140625" customWidth="1"/>
    <col min="2" max="2" width="11.140625" style="11" customWidth="1"/>
    <col min="3" max="3" width="81.5703125" customWidth="1"/>
  </cols>
  <sheetData>
    <row r="1" spans="1:8" x14ac:dyDescent="0.25">
      <c r="A1" s="9" t="s">
        <v>178</v>
      </c>
      <c r="B1" s="9" t="str">
        <f t="shared" ref="B1:B26" si="0">SUBSTITUTE(A1," ","")</f>
        <v>SU002151</v>
      </c>
      <c r="C1" s="9" t="s">
        <v>179</v>
      </c>
      <c r="D1" s="10" t="s">
        <v>180</v>
      </c>
      <c r="E1" s="10" t="s">
        <v>181</v>
      </c>
      <c r="F1" s="10" t="s">
        <v>181</v>
      </c>
      <c r="G1" s="10" t="s">
        <v>182</v>
      </c>
      <c r="H1">
        <f t="shared" ref="H1:H27" si="1">--SUBSTITUTE(G1," ","")</f>
        <v>-190</v>
      </c>
    </row>
    <row r="2" spans="1:8" x14ac:dyDescent="0.25">
      <c r="A2" s="9" t="s">
        <v>183</v>
      </c>
      <c r="B2" s="9" t="str">
        <f t="shared" si="0"/>
        <v>SU002158</v>
      </c>
      <c r="C2" s="9" t="s">
        <v>184</v>
      </c>
      <c r="D2" s="10" t="s">
        <v>185</v>
      </c>
      <c r="E2" s="10" t="s">
        <v>181</v>
      </c>
      <c r="F2" s="10" t="s">
        <v>181</v>
      </c>
      <c r="G2" s="10" t="s">
        <v>186</v>
      </c>
      <c r="H2">
        <f t="shared" si="1"/>
        <v>-238</v>
      </c>
    </row>
    <row r="3" spans="1:8" x14ac:dyDescent="0.25">
      <c r="A3" s="9" t="s">
        <v>187</v>
      </c>
      <c r="B3" s="9" t="str">
        <f t="shared" si="0"/>
        <v>SU002205</v>
      </c>
      <c r="C3" s="9" t="s">
        <v>188</v>
      </c>
      <c r="D3" s="10" t="s">
        <v>189</v>
      </c>
      <c r="E3" s="10" t="s">
        <v>181</v>
      </c>
      <c r="F3" s="10" t="s">
        <v>181</v>
      </c>
      <c r="G3" s="10" t="s">
        <v>190</v>
      </c>
      <c r="H3">
        <f t="shared" si="1"/>
        <v>-12</v>
      </c>
    </row>
    <row r="4" spans="1:8" x14ac:dyDescent="0.25">
      <c r="A4" s="9" t="s">
        <v>191</v>
      </c>
      <c r="B4" s="9" t="str">
        <f t="shared" si="0"/>
        <v>SU002252</v>
      </c>
      <c r="C4" s="9" t="s">
        <v>192</v>
      </c>
      <c r="D4" s="10" t="s">
        <v>193</v>
      </c>
      <c r="E4" s="10" t="s">
        <v>181</v>
      </c>
      <c r="F4" s="10" t="s">
        <v>181</v>
      </c>
      <c r="G4" s="10" t="s">
        <v>194</v>
      </c>
      <c r="H4">
        <f t="shared" si="1"/>
        <v>-9</v>
      </c>
    </row>
    <row r="5" spans="1:8" x14ac:dyDescent="0.25">
      <c r="A5" s="9" t="s">
        <v>195</v>
      </c>
      <c r="B5" s="9" t="str">
        <f t="shared" si="0"/>
        <v>SU002287</v>
      </c>
      <c r="C5" s="9" t="s">
        <v>196</v>
      </c>
      <c r="D5" s="10" t="s">
        <v>197</v>
      </c>
      <c r="E5" s="10" t="s">
        <v>181</v>
      </c>
      <c r="F5" s="10" t="s">
        <v>181</v>
      </c>
      <c r="G5" s="10" t="s">
        <v>198</v>
      </c>
      <c r="H5">
        <f t="shared" si="1"/>
        <v>-36</v>
      </c>
    </row>
    <row r="6" spans="1:8" x14ac:dyDescent="0.25">
      <c r="A6" s="9" t="s">
        <v>199</v>
      </c>
      <c r="B6" s="9" t="str">
        <f t="shared" si="0"/>
        <v>SU002612</v>
      </c>
      <c r="C6" s="9" t="s">
        <v>200</v>
      </c>
      <c r="D6" s="10" t="s">
        <v>201</v>
      </c>
      <c r="E6" s="10" t="s">
        <v>201</v>
      </c>
      <c r="F6" s="10" t="s">
        <v>202</v>
      </c>
      <c r="G6" s="10" t="s">
        <v>203</v>
      </c>
      <c r="H6">
        <f t="shared" si="1"/>
        <v>-37</v>
      </c>
    </row>
    <row r="7" spans="1:8" x14ac:dyDescent="0.25">
      <c r="A7" s="9" t="s">
        <v>204</v>
      </c>
      <c r="B7" s="9" t="str">
        <f t="shared" si="0"/>
        <v>SU002621</v>
      </c>
      <c r="C7" s="9" t="s">
        <v>205</v>
      </c>
      <c r="D7" s="10" t="s">
        <v>206</v>
      </c>
      <c r="E7" s="10" t="s">
        <v>181</v>
      </c>
      <c r="F7" s="10" t="s">
        <v>181</v>
      </c>
      <c r="G7" s="10" t="s">
        <v>207</v>
      </c>
      <c r="H7">
        <f t="shared" si="1"/>
        <v>-55</v>
      </c>
    </row>
    <row r="8" spans="1:8" x14ac:dyDescent="0.25">
      <c r="A8" s="9" t="s">
        <v>208</v>
      </c>
      <c r="B8" s="9" t="str">
        <f t="shared" si="0"/>
        <v>SU002655</v>
      </c>
      <c r="C8" s="9" t="s">
        <v>209</v>
      </c>
      <c r="D8" s="10" t="s">
        <v>210</v>
      </c>
      <c r="E8" s="10" t="s">
        <v>181</v>
      </c>
      <c r="F8" s="10" t="s">
        <v>181</v>
      </c>
      <c r="G8" s="10" t="s">
        <v>211</v>
      </c>
      <c r="H8">
        <f t="shared" si="1"/>
        <v>-45</v>
      </c>
    </row>
    <row r="9" spans="1:8" ht="30" customHeight="1" x14ac:dyDescent="0.25">
      <c r="A9" s="9" t="s">
        <v>212</v>
      </c>
      <c r="B9" s="9" t="str">
        <f t="shared" si="0"/>
        <v>SU002660</v>
      </c>
      <c r="C9" s="9" t="s">
        <v>213</v>
      </c>
      <c r="D9" s="10" t="s">
        <v>214</v>
      </c>
      <c r="E9" s="10" t="s">
        <v>181</v>
      </c>
      <c r="F9" s="10" t="s">
        <v>181</v>
      </c>
      <c r="G9" s="10" t="s">
        <v>215</v>
      </c>
      <c r="H9">
        <f t="shared" si="1"/>
        <v>-11</v>
      </c>
    </row>
    <row r="10" spans="1:8" ht="30" customHeight="1" x14ac:dyDescent="0.25">
      <c r="A10" s="9" t="s">
        <v>216</v>
      </c>
      <c r="B10" s="9" t="str">
        <f t="shared" si="0"/>
        <v>SU002756</v>
      </c>
      <c r="C10" s="9" t="s">
        <v>217</v>
      </c>
      <c r="D10" s="10" t="s">
        <v>218</v>
      </c>
      <c r="E10" s="10" t="s">
        <v>181</v>
      </c>
      <c r="F10" s="10" t="s">
        <v>181</v>
      </c>
      <c r="G10" s="10" t="s">
        <v>219</v>
      </c>
      <c r="H10">
        <f t="shared" si="1"/>
        <v>-21</v>
      </c>
    </row>
    <row r="11" spans="1:8" ht="30" customHeight="1" x14ac:dyDescent="0.25">
      <c r="A11" s="9" t="s">
        <v>220</v>
      </c>
      <c r="B11" s="9" t="str">
        <f t="shared" si="0"/>
        <v>SU002847</v>
      </c>
      <c r="C11" s="9" t="s">
        <v>221</v>
      </c>
      <c r="D11" s="10" t="s">
        <v>222</v>
      </c>
      <c r="E11" s="10" t="s">
        <v>181</v>
      </c>
      <c r="F11" s="10" t="s">
        <v>181</v>
      </c>
      <c r="G11" s="10" t="s">
        <v>223</v>
      </c>
      <c r="H11">
        <f t="shared" si="1"/>
        <v>-25</v>
      </c>
    </row>
    <row r="12" spans="1:8" ht="30" customHeight="1" x14ac:dyDescent="0.25">
      <c r="A12" s="9" t="s">
        <v>224</v>
      </c>
      <c r="B12" s="9" t="str">
        <f t="shared" si="0"/>
        <v>SU002848</v>
      </c>
      <c r="C12" s="9" t="s">
        <v>225</v>
      </c>
      <c r="D12" s="10" t="s">
        <v>218</v>
      </c>
      <c r="E12" s="10" t="s">
        <v>181</v>
      </c>
      <c r="F12" s="10" t="s">
        <v>181</v>
      </c>
      <c r="G12" s="10" t="s">
        <v>219</v>
      </c>
      <c r="H12">
        <f t="shared" si="1"/>
        <v>-21</v>
      </c>
    </row>
    <row r="13" spans="1:8" ht="30" customHeight="1" x14ac:dyDescent="0.25">
      <c r="A13" s="9" t="s">
        <v>226</v>
      </c>
      <c r="B13" s="9" t="str">
        <f t="shared" si="0"/>
        <v>SU002941</v>
      </c>
      <c r="C13" s="9" t="s">
        <v>227</v>
      </c>
      <c r="D13" s="10" t="s">
        <v>228</v>
      </c>
      <c r="E13" s="10" t="s">
        <v>181</v>
      </c>
      <c r="F13" s="10" t="s">
        <v>181</v>
      </c>
      <c r="G13" s="10" t="s">
        <v>229</v>
      </c>
      <c r="H13">
        <f t="shared" si="1"/>
        <v>-211</v>
      </c>
    </row>
    <row r="14" spans="1:8" ht="30" customHeight="1" x14ac:dyDescent="0.25">
      <c r="A14" s="9" t="s">
        <v>230</v>
      </c>
      <c r="B14" s="9" t="str">
        <f t="shared" si="0"/>
        <v>SU002942</v>
      </c>
      <c r="C14" s="9" t="s">
        <v>231</v>
      </c>
      <c r="D14" s="10" t="s">
        <v>193</v>
      </c>
      <c r="E14" s="10" t="s">
        <v>181</v>
      </c>
      <c r="F14" s="10" t="s">
        <v>181</v>
      </c>
      <c r="G14" s="10" t="s">
        <v>194</v>
      </c>
      <c r="H14">
        <f t="shared" si="1"/>
        <v>-9</v>
      </c>
    </row>
    <row r="15" spans="1:8" ht="30" customHeight="1" x14ac:dyDescent="0.25">
      <c r="A15" s="9" t="s">
        <v>232</v>
      </c>
      <c r="B15" s="9" t="str">
        <f t="shared" si="0"/>
        <v>SU002943</v>
      </c>
      <c r="C15" s="9" t="s">
        <v>233</v>
      </c>
      <c r="D15" s="10" t="s">
        <v>234</v>
      </c>
      <c r="E15" s="10" t="s">
        <v>181</v>
      </c>
      <c r="F15" s="10" t="s">
        <v>181</v>
      </c>
      <c r="G15" s="10" t="s">
        <v>235</v>
      </c>
      <c r="H15">
        <f t="shared" si="1"/>
        <v>-103</v>
      </c>
    </row>
    <row r="16" spans="1:8" ht="30" customHeight="1" x14ac:dyDescent="0.25">
      <c r="A16" s="9" t="s">
        <v>236</v>
      </c>
      <c r="B16" s="9" t="str">
        <f t="shared" si="0"/>
        <v>SU002944</v>
      </c>
      <c r="C16" s="9" t="s">
        <v>237</v>
      </c>
      <c r="D16" s="10" t="s">
        <v>238</v>
      </c>
      <c r="E16" s="10" t="s">
        <v>181</v>
      </c>
      <c r="F16" s="10" t="s">
        <v>181</v>
      </c>
      <c r="G16" s="10" t="s">
        <v>239</v>
      </c>
      <c r="H16">
        <f t="shared" si="1"/>
        <v>-13</v>
      </c>
    </row>
    <row r="17" spans="1:8" ht="30" customHeight="1" x14ac:dyDescent="0.25">
      <c r="A17" s="9" t="s">
        <v>240</v>
      </c>
      <c r="B17" s="9" t="str">
        <f t="shared" si="0"/>
        <v>SU002947</v>
      </c>
      <c r="C17" s="9" t="s">
        <v>241</v>
      </c>
      <c r="D17" s="10" t="s">
        <v>242</v>
      </c>
      <c r="E17" s="10" t="s">
        <v>181</v>
      </c>
      <c r="F17" s="10" t="s">
        <v>181</v>
      </c>
      <c r="G17" s="10" t="s">
        <v>243</v>
      </c>
      <c r="H17">
        <f t="shared" si="1"/>
        <v>-221</v>
      </c>
    </row>
    <row r="18" spans="1:8" ht="30" customHeight="1" x14ac:dyDescent="0.25">
      <c r="A18" s="9" t="s">
        <v>244</v>
      </c>
      <c r="B18" s="9" t="str">
        <f t="shared" si="0"/>
        <v>SU002948</v>
      </c>
      <c r="C18" s="9" t="s">
        <v>245</v>
      </c>
      <c r="D18" s="10" t="s">
        <v>193</v>
      </c>
      <c r="E18" s="10" t="s">
        <v>181</v>
      </c>
      <c r="F18" s="10" t="s">
        <v>181</v>
      </c>
      <c r="G18" s="10" t="s">
        <v>194</v>
      </c>
      <c r="H18">
        <f t="shared" si="1"/>
        <v>-9</v>
      </c>
    </row>
    <row r="19" spans="1:8" ht="30" customHeight="1" x14ac:dyDescent="0.25">
      <c r="A19" s="9" t="s">
        <v>246</v>
      </c>
      <c r="B19" s="9" t="str">
        <f t="shared" si="0"/>
        <v>SU003829</v>
      </c>
      <c r="C19" s="9" t="s">
        <v>247</v>
      </c>
      <c r="D19" s="10" t="s">
        <v>193</v>
      </c>
      <c r="E19" s="10" t="s">
        <v>181</v>
      </c>
      <c r="F19" s="10" t="s">
        <v>181</v>
      </c>
      <c r="G19" s="10" t="s">
        <v>194</v>
      </c>
      <c r="H19">
        <f t="shared" si="1"/>
        <v>-9</v>
      </c>
    </row>
    <row r="20" spans="1:8" x14ac:dyDescent="0.25">
      <c r="A20" s="9" t="s">
        <v>248</v>
      </c>
      <c r="B20" s="9" t="str">
        <f t="shared" si="0"/>
        <v>SU003893</v>
      </c>
      <c r="C20" s="9" t="s">
        <v>249</v>
      </c>
      <c r="D20" s="10" t="s">
        <v>250</v>
      </c>
      <c r="E20" s="10" t="s">
        <v>181</v>
      </c>
      <c r="F20" s="10" t="s">
        <v>181</v>
      </c>
      <c r="G20" s="10" t="s">
        <v>251</v>
      </c>
      <c r="H20">
        <f t="shared" si="1"/>
        <v>-10</v>
      </c>
    </row>
    <row r="21" spans="1:8" ht="30" customHeight="1" x14ac:dyDescent="0.25">
      <c r="A21" s="9" t="s">
        <v>252</v>
      </c>
      <c r="B21" s="9" t="str">
        <f t="shared" si="0"/>
        <v>SU003921</v>
      </c>
      <c r="C21" s="9" t="s">
        <v>253</v>
      </c>
      <c r="D21" s="10" t="s">
        <v>254</v>
      </c>
      <c r="E21" s="10" t="s">
        <v>181</v>
      </c>
      <c r="F21" s="10" t="s">
        <v>181</v>
      </c>
      <c r="G21" s="10" t="s">
        <v>255</v>
      </c>
      <c r="H21">
        <f t="shared" si="1"/>
        <v>-4</v>
      </c>
    </row>
    <row r="22" spans="1:8" x14ac:dyDescent="0.25">
      <c r="A22" s="9" t="s">
        <v>256</v>
      </c>
      <c r="B22" s="9" t="str">
        <f t="shared" si="0"/>
        <v>SU004039</v>
      </c>
      <c r="C22" s="9" t="s">
        <v>257</v>
      </c>
      <c r="D22" s="10" t="s">
        <v>238</v>
      </c>
      <c r="E22" s="10" t="s">
        <v>181</v>
      </c>
      <c r="F22" s="10" t="s">
        <v>181</v>
      </c>
      <c r="G22" s="10" t="s">
        <v>239</v>
      </c>
      <c r="H22">
        <f t="shared" si="1"/>
        <v>-13</v>
      </c>
    </row>
    <row r="23" spans="1:8" x14ac:dyDescent="0.25">
      <c r="A23" s="9" t="s">
        <v>258</v>
      </c>
      <c r="B23" s="9" t="str">
        <f t="shared" si="0"/>
        <v>SU004041</v>
      </c>
      <c r="C23" s="9" t="s">
        <v>259</v>
      </c>
      <c r="D23" s="10" t="s">
        <v>260</v>
      </c>
      <c r="E23" s="10" t="s">
        <v>181</v>
      </c>
      <c r="F23" s="10" t="s">
        <v>181</v>
      </c>
      <c r="G23" s="10" t="s">
        <v>261</v>
      </c>
      <c r="H23">
        <f t="shared" si="1"/>
        <v>-28</v>
      </c>
    </row>
    <row r="24" spans="1:8" x14ac:dyDescent="0.25">
      <c r="A24" s="9" t="s">
        <v>262</v>
      </c>
      <c r="B24" s="9" t="str">
        <f t="shared" si="0"/>
        <v>SU004042</v>
      </c>
      <c r="C24" s="9" t="s">
        <v>263</v>
      </c>
      <c r="D24" s="10" t="s">
        <v>238</v>
      </c>
      <c r="E24" s="10" t="s">
        <v>181</v>
      </c>
      <c r="F24" s="10" t="s">
        <v>181</v>
      </c>
      <c r="G24" s="10" t="s">
        <v>239</v>
      </c>
      <c r="H24">
        <f t="shared" si="1"/>
        <v>-13</v>
      </c>
    </row>
    <row r="25" spans="1:8" x14ac:dyDescent="0.25">
      <c r="A25" s="9" t="s">
        <v>264</v>
      </c>
      <c r="B25" s="9" t="str">
        <f t="shared" si="0"/>
        <v>SU004044</v>
      </c>
      <c r="C25" s="9" t="s">
        <v>265</v>
      </c>
      <c r="D25" s="10" t="s">
        <v>260</v>
      </c>
      <c r="E25" s="10" t="s">
        <v>181</v>
      </c>
      <c r="F25" s="10" t="s">
        <v>181</v>
      </c>
      <c r="G25" s="10" t="s">
        <v>261</v>
      </c>
      <c r="H25">
        <f t="shared" si="1"/>
        <v>-28</v>
      </c>
    </row>
    <row r="26" spans="1:8" x14ac:dyDescent="0.25">
      <c r="A26" s="9" t="s">
        <v>266</v>
      </c>
      <c r="B26" s="9" t="str">
        <f t="shared" si="0"/>
        <v>SU004045</v>
      </c>
      <c r="C26" s="9" t="s">
        <v>267</v>
      </c>
      <c r="D26" s="10" t="s">
        <v>238</v>
      </c>
      <c r="E26" s="10" t="s">
        <v>181</v>
      </c>
      <c r="F26" s="10" t="s">
        <v>181</v>
      </c>
      <c r="G26" s="10" t="s">
        <v>239</v>
      </c>
      <c r="H26">
        <f t="shared" si="1"/>
        <v>-13</v>
      </c>
    </row>
    <row r="27" spans="1:8" x14ac:dyDescent="0.25">
      <c r="A27" s="17" t="s">
        <v>268</v>
      </c>
      <c r="B27" s="18"/>
      <c r="C27" s="19"/>
      <c r="D27" s="10" t="s">
        <v>269</v>
      </c>
      <c r="E27" s="10" t="s">
        <v>270</v>
      </c>
      <c r="F27" s="10" t="s">
        <v>271</v>
      </c>
      <c r="G27" s="10" t="s">
        <v>272</v>
      </c>
      <c r="H27">
        <f t="shared" si="1"/>
        <v>-1345</v>
      </c>
    </row>
  </sheetData>
  <mergeCells count="1"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24,08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2026-08-27T17:14:17Z</dcterms:created>
  <dcterms:modified xsi:type="dcterms:W3CDTF">2026-08-27T17:40:09Z</dcterms:modified>
</cp:coreProperties>
</file>