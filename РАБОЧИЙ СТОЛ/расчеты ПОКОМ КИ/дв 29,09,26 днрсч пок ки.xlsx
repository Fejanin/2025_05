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23AC0B62-D69E-46A4-954A-8F33B79EAB1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Sheet!$A$3:$AH$130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16" i="1" l="1"/>
  <c r="W16" i="1" s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6" i="1"/>
  <c r="W7" i="1"/>
  <c r="W8" i="1"/>
  <c r="W9" i="1"/>
  <c r="W10" i="1"/>
  <c r="W11" i="1"/>
  <c r="W12" i="1"/>
  <c r="W13" i="1"/>
  <c r="W14" i="1"/>
  <c r="W15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6" i="1"/>
  <c r="T5" i="1" l="1"/>
  <c r="AH125" i="1" l="1"/>
  <c r="AH103" i="1"/>
  <c r="AH94" i="1"/>
  <c r="AH45" i="1"/>
  <c r="AH41" i="1"/>
  <c r="AH37" i="1"/>
  <c r="AH13" i="1"/>
  <c r="M130" i="1"/>
  <c r="U130" i="1" s="1"/>
  <c r="L130" i="1"/>
  <c r="M129" i="1"/>
  <c r="U129" i="1" s="1"/>
  <c r="L129" i="1"/>
  <c r="M128" i="1"/>
  <c r="U128" i="1" s="1"/>
  <c r="AH128" i="1" s="1"/>
  <c r="L128" i="1"/>
  <c r="AH127" i="1"/>
  <c r="M127" i="1"/>
  <c r="U127" i="1" s="1"/>
  <c r="L127" i="1"/>
  <c r="M126" i="1"/>
  <c r="U126" i="1" s="1"/>
  <c r="L126" i="1"/>
  <c r="M125" i="1"/>
  <c r="U125" i="1" s="1"/>
  <c r="L125" i="1"/>
  <c r="M124" i="1"/>
  <c r="U124" i="1" s="1"/>
  <c r="AH124" i="1" s="1"/>
  <c r="L124" i="1"/>
  <c r="M123" i="1"/>
  <c r="U123" i="1" s="1"/>
  <c r="L123" i="1"/>
  <c r="M122" i="1"/>
  <c r="U122" i="1" s="1"/>
  <c r="L122" i="1"/>
  <c r="F121" i="1"/>
  <c r="E121" i="1"/>
  <c r="L121" i="1" s="1"/>
  <c r="M120" i="1"/>
  <c r="U120" i="1" s="1"/>
  <c r="AH120" i="1" s="1"/>
  <c r="L120" i="1"/>
  <c r="M119" i="1"/>
  <c r="U119" i="1" s="1"/>
  <c r="V119" i="1" s="1"/>
  <c r="AH119" i="1" s="1"/>
  <c r="L119" i="1"/>
  <c r="M118" i="1"/>
  <c r="U118" i="1" s="1"/>
  <c r="V118" i="1" s="1"/>
  <c r="AH118" i="1" s="1"/>
  <c r="L118" i="1"/>
  <c r="M117" i="1"/>
  <c r="U117" i="1" s="1"/>
  <c r="V117" i="1" s="1"/>
  <c r="AH117" i="1" s="1"/>
  <c r="L117" i="1"/>
  <c r="M116" i="1"/>
  <c r="U116" i="1" s="1"/>
  <c r="V116" i="1" s="1"/>
  <c r="AH116" i="1" s="1"/>
  <c r="L116" i="1"/>
  <c r="M115" i="1"/>
  <c r="U115" i="1" s="1"/>
  <c r="AH115" i="1" s="1"/>
  <c r="L115" i="1"/>
  <c r="M114" i="1"/>
  <c r="U114" i="1" s="1"/>
  <c r="AH114" i="1" s="1"/>
  <c r="L114" i="1"/>
  <c r="M113" i="1"/>
  <c r="U113" i="1" s="1"/>
  <c r="AH113" i="1" s="1"/>
  <c r="L113" i="1"/>
  <c r="M112" i="1"/>
  <c r="U112" i="1" s="1"/>
  <c r="V112" i="1" s="1"/>
  <c r="AH112" i="1" s="1"/>
  <c r="L112" i="1"/>
  <c r="M111" i="1"/>
  <c r="U111" i="1" s="1"/>
  <c r="L111" i="1"/>
  <c r="M110" i="1"/>
  <c r="U110" i="1" s="1"/>
  <c r="AH110" i="1" s="1"/>
  <c r="L110" i="1"/>
  <c r="M109" i="1"/>
  <c r="U109" i="1" s="1"/>
  <c r="V109" i="1" s="1"/>
  <c r="AH109" i="1" s="1"/>
  <c r="L109" i="1"/>
  <c r="M108" i="1"/>
  <c r="U108" i="1" s="1"/>
  <c r="AH108" i="1" s="1"/>
  <c r="L108" i="1"/>
  <c r="AH107" i="1"/>
  <c r="M107" i="1"/>
  <c r="U107" i="1" s="1"/>
  <c r="L107" i="1"/>
  <c r="M106" i="1"/>
  <c r="U106" i="1" s="1"/>
  <c r="AH106" i="1" s="1"/>
  <c r="L106" i="1"/>
  <c r="M105" i="1"/>
  <c r="U105" i="1" s="1"/>
  <c r="AH105" i="1" s="1"/>
  <c r="L105" i="1"/>
  <c r="AH104" i="1"/>
  <c r="M104" i="1"/>
  <c r="U104" i="1" s="1"/>
  <c r="L104" i="1"/>
  <c r="M103" i="1"/>
  <c r="U103" i="1" s="1"/>
  <c r="L103" i="1"/>
  <c r="M102" i="1"/>
  <c r="U102" i="1" s="1"/>
  <c r="AH102" i="1" s="1"/>
  <c r="L102" i="1"/>
  <c r="M101" i="1"/>
  <c r="U101" i="1" s="1"/>
  <c r="AH101" i="1" s="1"/>
  <c r="L101" i="1"/>
  <c r="M100" i="1"/>
  <c r="U100" i="1" s="1"/>
  <c r="AH100" i="1" s="1"/>
  <c r="L100" i="1"/>
  <c r="M99" i="1"/>
  <c r="U99" i="1" s="1"/>
  <c r="AH99" i="1" s="1"/>
  <c r="L99" i="1"/>
  <c r="M98" i="1"/>
  <c r="U98" i="1" s="1"/>
  <c r="L98" i="1"/>
  <c r="M97" i="1"/>
  <c r="U97" i="1" s="1"/>
  <c r="L97" i="1"/>
  <c r="M96" i="1"/>
  <c r="U96" i="1" s="1"/>
  <c r="L96" i="1"/>
  <c r="F96" i="1"/>
  <c r="M95" i="1"/>
  <c r="U95" i="1" s="1"/>
  <c r="AH95" i="1" s="1"/>
  <c r="L95" i="1"/>
  <c r="M94" i="1"/>
  <c r="U94" i="1" s="1"/>
  <c r="L94" i="1"/>
  <c r="U93" i="1"/>
  <c r="AH93" i="1" s="1"/>
  <c r="M93" i="1"/>
  <c r="L93" i="1"/>
  <c r="M92" i="1"/>
  <c r="U92" i="1" s="1"/>
  <c r="AH92" i="1" s="1"/>
  <c r="L92" i="1"/>
  <c r="M91" i="1"/>
  <c r="U91" i="1" s="1"/>
  <c r="AH91" i="1" s="1"/>
  <c r="L91" i="1"/>
  <c r="M90" i="1"/>
  <c r="U90" i="1" s="1"/>
  <c r="AH90" i="1" s="1"/>
  <c r="L90" i="1"/>
  <c r="M89" i="1"/>
  <c r="U89" i="1" s="1"/>
  <c r="AH89" i="1" s="1"/>
  <c r="L89" i="1"/>
  <c r="M88" i="1"/>
  <c r="U88" i="1" s="1"/>
  <c r="L88" i="1"/>
  <c r="M87" i="1"/>
  <c r="U87" i="1" s="1"/>
  <c r="L87" i="1"/>
  <c r="M86" i="1"/>
  <c r="U86" i="1" s="1"/>
  <c r="L86" i="1"/>
  <c r="M85" i="1"/>
  <c r="U85" i="1" s="1"/>
  <c r="AH85" i="1" s="1"/>
  <c r="L85" i="1"/>
  <c r="M84" i="1"/>
  <c r="U84" i="1" s="1"/>
  <c r="V84" i="1" s="1"/>
  <c r="AH84" i="1" s="1"/>
  <c r="L84" i="1"/>
  <c r="M83" i="1"/>
  <c r="U83" i="1" s="1"/>
  <c r="L83" i="1"/>
  <c r="M82" i="1"/>
  <c r="U82" i="1" s="1"/>
  <c r="L82" i="1"/>
  <c r="M81" i="1"/>
  <c r="U81" i="1" s="1"/>
  <c r="L81" i="1"/>
  <c r="M80" i="1"/>
  <c r="U80" i="1" s="1"/>
  <c r="L80" i="1"/>
  <c r="M79" i="1"/>
  <c r="U79" i="1" s="1"/>
  <c r="L79" i="1"/>
  <c r="M78" i="1"/>
  <c r="U78" i="1" s="1"/>
  <c r="L78" i="1"/>
  <c r="M77" i="1"/>
  <c r="U77" i="1" s="1"/>
  <c r="L77" i="1"/>
  <c r="M76" i="1"/>
  <c r="U76" i="1" s="1"/>
  <c r="L76" i="1"/>
  <c r="M75" i="1"/>
  <c r="U75" i="1" s="1"/>
  <c r="L75" i="1"/>
  <c r="M74" i="1"/>
  <c r="U74" i="1" s="1"/>
  <c r="L74" i="1"/>
  <c r="M73" i="1"/>
  <c r="U73" i="1" s="1"/>
  <c r="L73" i="1"/>
  <c r="M72" i="1"/>
  <c r="U72" i="1" s="1"/>
  <c r="AH72" i="1" s="1"/>
  <c r="L72" i="1"/>
  <c r="M71" i="1"/>
  <c r="U71" i="1" s="1"/>
  <c r="L71" i="1"/>
  <c r="M70" i="1"/>
  <c r="U70" i="1" s="1"/>
  <c r="V70" i="1" s="1"/>
  <c r="AH70" i="1" s="1"/>
  <c r="L70" i="1"/>
  <c r="M69" i="1"/>
  <c r="U69" i="1" s="1"/>
  <c r="L69" i="1"/>
  <c r="M68" i="1"/>
  <c r="U68" i="1" s="1"/>
  <c r="L68" i="1"/>
  <c r="AH67" i="1"/>
  <c r="M67" i="1"/>
  <c r="U67" i="1" s="1"/>
  <c r="L67" i="1"/>
  <c r="M66" i="1"/>
  <c r="U66" i="1" s="1"/>
  <c r="L66" i="1"/>
  <c r="M65" i="1"/>
  <c r="U65" i="1" s="1"/>
  <c r="L65" i="1"/>
  <c r="M64" i="1"/>
  <c r="U64" i="1" s="1"/>
  <c r="L64" i="1"/>
  <c r="M63" i="1"/>
  <c r="U63" i="1" s="1"/>
  <c r="L63" i="1"/>
  <c r="M62" i="1"/>
  <c r="U62" i="1" s="1"/>
  <c r="L62" i="1"/>
  <c r="M61" i="1"/>
  <c r="U61" i="1" s="1"/>
  <c r="L61" i="1"/>
  <c r="M60" i="1"/>
  <c r="U60" i="1" s="1"/>
  <c r="L60" i="1"/>
  <c r="M59" i="1"/>
  <c r="U59" i="1" s="1"/>
  <c r="L59" i="1"/>
  <c r="M58" i="1"/>
  <c r="U58" i="1" s="1"/>
  <c r="L58" i="1"/>
  <c r="M57" i="1"/>
  <c r="U57" i="1" s="1"/>
  <c r="L57" i="1"/>
  <c r="M56" i="1"/>
  <c r="U56" i="1" s="1"/>
  <c r="L56" i="1"/>
  <c r="F55" i="1"/>
  <c r="E55" i="1"/>
  <c r="L55" i="1" s="1"/>
  <c r="M54" i="1"/>
  <c r="U54" i="1" s="1"/>
  <c r="L54" i="1"/>
  <c r="M53" i="1"/>
  <c r="U53" i="1" s="1"/>
  <c r="L53" i="1"/>
  <c r="M52" i="1"/>
  <c r="U52" i="1" s="1"/>
  <c r="L52" i="1"/>
  <c r="M51" i="1"/>
  <c r="U51" i="1" s="1"/>
  <c r="AH51" i="1" s="1"/>
  <c r="L51" i="1"/>
  <c r="M50" i="1"/>
  <c r="U50" i="1" s="1"/>
  <c r="V50" i="1" s="1"/>
  <c r="AH50" i="1" s="1"/>
  <c r="L50" i="1"/>
  <c r="M49" i="1"/>
  <c r="U49" i="1" s="1"/>
  <c r="L49" i="1"/>
  <c r="M48" i="1"/>
  <c r="U48" i="1" s="1"/>
  <c r="L48" i="1"/>
  <c r="M47" i="1"/>
  <c r="U47" i="1" s="1"/>
  <c r="L47" i="1"/>
  <c r="M46" i="1"/>
  <c r="U46" i="1" s="1"/>
  <c r="L46" i="1"/>
  <c r="M45" i="1"/>
  <c r="U45" i="1" s="1"/>
  <c r="L45" i="1"/>
  <c r="M44" i="1"/>
  <c r="U44" i="1" s="1"/>
  <c r="L44" i="1"/>
  <c r="M43" i="1"/>
  <c r="U43" i="1" s="1"/>
  <c r="L43" i="1"/>
  <c r="M42" i="1"/>
  <c r="U42" i="1" s="1"/>
  <c r="L42" i="1"/>
  <c r="M41" i="1"/>
  <c r="U41" i="1" s="1"/>
  <c r="L41" i="1"/>
  <c r="M40" i="1"/>
  <c r="U40" i="1" s="1"/>
  <c r="L40" i="1"/>
  <c r="M39" i="1"/>
  <c r="U39" i="1" s="1"/>
  <c r="AH39" i="1" s="1"/>
  <c r="L39" i="1"/>
  <c r="AH38" i="1"/>
  <c r="M38" i="1"/>
  <c r="U38" i="1" s="1"/>
  <c r="L38" i="1"/>
  <c r="M37" i="1"/>
  <c r="U37" i="1" s="1"/>
  <c r="L37" i="1"/>
  <c r="M36" i="1"/>
  <c r="U36" i="1" s="1"/>
  <c r="AH36" i="1" s="1"/>
  <c r="L36" i="1"/>
  <c r="M35" i="1"/>
  <c r="U35" i="1" s="1"/>
  <c r="AH35" i="1" s="1"/>
  <c r="L35" i="1"/>
  <c r="AH34" i="1"/>
  <c r="M34" i="1"/>
  <c r="U34" i="1" s="1"/>
  <c r="L34" i="1"/>
  <c r="M33" i="1"/>
  <c r="U33" i="1" s="1"/>
  <c r="L33" i="1"/>
  <c r="M32" i="1"/>
  <c r="U32" i="1" s="1"/>
  <c r="L32" i="1"/>
  <c r="M31" i="1"/>
  <c r="U31" i="1" s="1"/>
  <c r="L31" i="1"/>
  <c r="M30" i="1"/>
  <c r="U30" i="1" s="1"/>
  <c r="L30" i="1"/>
  <c r="AH29" i="1"/>
  <c r="M29" i="1"/>
  <c r="U29" i="1" s="1"/>
  <c r="L29" i="1"/>
  <c r="M28" i="1"/>
  <c r="U28" i="1" s="1"/>
  <c r="V28" i="1" s="1"/>
  <c r="AH28" i="1" s="1"/>
  <c r="L28" i="1"/>
  <c r="M27" i="1"/>
  <c r="U27" i="1" s="1"/>
  <c r="L27" i="1"/>
  <c r="M26" i="1"/>
  <c r="U26" i="1" s="1"/>
  <c r="L26" i="1"/>
  <c r="M25" i="1"/>
  <c r="U25" i="1" s="1"/>
  <c r="AH25" i="1" s="1"/>
  <c r="L25" i="1"/>
  <c r="M24" i="1"/>
  <c r="U24" i="1" s="1"/>
  <c r="V24" i="1" s="1"/>
  <c r="AH24" i="1" s="1"/>
  <c r="L24" i="1"/>
  <c r="M23" i="1"/>
  <c r="U23" i="1" s="1"/>
  <c r="L23" i="1"/>
  <c r="M22" i="1"/>
  <c r="U22" i="1" s="1"/>
  <c r="L22" i="1"/>
  <c r="M21" i="1"/>
  <c r="U21" i="1" s="1"/>
  <c r="L21" i="1"/>
  <c r="M20" i="1"/>
  <c r="U20" i="1" s="1"/>
  <c r="V20" i="1" s="1"/>
  <c r="L20" i="1"/>
  <c r="M19" i="1"/>
  <c r="U19" i="1" s="1"/>
  <c r="L19" i="1"/>
  <c r="M18" i="1"/>
  <c r="U18" i="1" s="1"/>
  <c r="L18" i="1"/>
  <c r="M17" i="1"/>
  <c r="U17" i="1" s="1"/>
  <c r="V17" i="1" s="1"/>
  <c r="AH17" i="1" s="1"/>
  <c r="L17" i="1"/>
  <c r="M16" i="1"/>
  <c r="U16" i="1" s="1"/>
  <c r="L16" i="1"/>
  <c r="M15" i="1"/>
  <c r="U15" i="1" s="1"/>
  <c r="V15" i="1" s="1"/>
  <c r="L15" i="1"/>
  <c r="M14" i="1"/>
  <c r="U14" i="1" s="1"/>
  <c r="V14" i="1" s="1"/>
  <c r="AH14" i="1" s="1"/>
  <c r="L14" i="1"/>
  <c r="M13" i="1"/>
  <c r="U13" i="1" s="1"/>
  <c r="L13" i="1"/>
  <c r="M12" i="1"/>
  <c r="U12" i="1" s="1"/>
  <c r="AH12" i="1" s="1"/>
  <c r="L12" i="1"/>
  <c r="M11" i="1"/>
  <c r="U11" i="1" s="1"/>
  <c r="AH11" i="1" s="1"/>
  <c r="L11" i="1"/>
  <c r="M10" i="1"/>
  <c r="U10" i="1" s="1"/>
  <c r="AH10" i="1" s="1"/>
  <c r="L10" i="1"/>
  <c r="M9" i="1"/>
  <c r="U9" i="1" s="1"/>
  <c r="AH9" i="1" s="1"/>
  <c r="L9" i="1"/>
  <c r="M8" i="1"/>
  <c r="U8" i="1" s="1"/>
  <c r="V8" i="1" s="1"/>
  <c r="AH8" i="1" s="1"/>
  <c r="L8" i="1"/>
  <c r="M7" i="1"/>
  <c r="U7" i="1" s="1"/>
  <c r="L7" i="1"/>
  <c r="M6" i="1"/>
  <c r="U6" i="1" s="1"/>
  <c r="V6" i="1" s="1"/>
  <c r="AH6" i="1" s="1"/>
  <c r="L6" i="1"/>
  <c r="AF5" i="1"/>
  <c r="AE5" i="1"/>
  <c r="AD5" i="1"/>
  <c r="AC5" i="1"/>
  <c r="AB5" i="1"/>
  <c r="AA5" i="1"/>
  <c r="Z5" i="1"/>
  <c r="Y5" i="1"/>
  <c r="S5" i="1"/>
  <c r="R5" i="1"/>
  <c r="Q5" i="1"/>
  <c r="P5" i="1"/>
  <c r="O5" i="1"/>
  <c r="N5" i="1"/>
  <c r="K5" i="1"/>
  <c r="V86" i="1" l="1"/>
  <c r="AH86" i="1" s="1"/>
  <c r="V87" i="1"/>
  <c r="AH87" i="1" s="1"/>
  <c r="V88" i="1"/>
  <c r="AH88" i="1" s="1"/>
  <c r="V81" i="1"/>
  <c r="V47" i="1"/>
  <c r="AH16" i="1"/>
  <c r="V96" i="1"/>
  <c r="AH96" i="1" s="1"/>
  <c r="F5" i="1"/>
  <c r="V63" i="1"/>
  <c r="AH63" i="1" s="1"/>
  <c r="E5" i="1"/>
  <c r="AH59" i="1"/>
  <c r="AH15" i="1"/>
  <c r="AH7" i="1"/>
  <c r="V21" i="1"/>
  <c r="AH21" i="1" s="1"/>
  <c r="V22" i="1"/>
  <c r="AH22" i="1" s="1"/>
  <c r="AH71" i="1"/>
  <c r="AH19" i="1"/>
  <c r="AH40" i="1"/>
  <c r="AH44" i="1"/>
  <c r="AH48" i="1"/>
  <c r="V54" i="1"/>
  <c r="AH54" i="1" s="1"/>
  <c r="V56" i="1"/>
  <c r="AH56" i="1" s="1"/>
  <c r="AH58" i="1"/>
  <c r="AH60" i="1"/>
  <c r="V62" i="1"/>
  <c r="AH62" i="1" s="1"/>
  <c r="V64" i="1"/>
  <c r="AH64" i="1" s="1"/>
  <c r="AH66" i="1"/>
  <c r="AH69" i="1"/>
  <c r="AH126" i="1"/>
  <c r="L5" i="1"/>
  <c r="AH42" i="1"/>
  <c r="AH46" i="1"/>
  <c r="AH20" i="1"/>
  <c r="V43" i="1"/>
  <c r="AH43" i="1" s="1"/>
  <c r="AH47" i="1"/>
  <c r="AH53" i="1"/>
  <c r="AH57" i="1"/>
  <c r="AH61" i="1"/>
  <c r="AH65" i="1"/>
  <c r="M121" i="1"/>
  <c r="U121" i="1" s="1"/>
  <c r="M55" i="1"/>
  <c r="U55" i="1" s="1"/>
  <c r="AH55" i="1" s="1"/>
  <c r="AH81" i="1" l="1"/>
  <c r="M5" i="1"/>
  <c r="AH122" i="1"/>
  <c r="AH77" i="1"/>
  <c r="AH121" i="1"/>
  <c r="AH79" i="1"/>
  <c r="U5" i="1"/>
  <c r="AH82" i="1"/>
  <c r="AH75" i="1"/>
  <c r="AH80" i="1"/>
  <c r="AH76" i="1"/>
  <c r="AH97" i="1"/>
  <c r="AH78" i="1"/>
  <c r="AH74" i="1"/>
  <c r="AH5" i="1" l="1"/>
  <c r="V5" i="1"/>
</calcChain>
</file>

<file path=xl/sharedStrings.xml><?xml version="1.0" encoding="utf-8"?>
<sst xmlns="http://schemas.openxmlformats.org/spreadsheetml/2006/main" count="481" uniqueCount="180">
  <si>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</si>
  <si>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</si>
  <si>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</si>
  <si>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</si>
  <si>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</si>
  <si>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</si>
  <si>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</si>
  <si>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</si>
  <si>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</si>
  <si>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</si>
  <si>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</si>
  <si>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</si>
  <si>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</si>
  <si>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</si>
  <si>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</si>
  <si>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</si>
  <si>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</si>
  <si>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</si>
  <si>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</si>
  <si>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</si>
  <si>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</si>
  <si>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</si>
  <si>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26,09,</t>
  </si>
  <si>
    <t>26,09,доз</t>
  </si>
  <si>
    <t>27,09,</t>
  </si>
  <si>
    <t>27,09,недогр</t>
  </si>
  <si>
    <t>28,09,</t>
  </si>
  <si>
    <t>29,09,</t>
  </si>
  <si>
    <t>24,09,</t>
  </si>
  <si>
    <t>22,09,</t>
  </si>
  <si>
    <t>17,09,</t>
  </si>
  <si>
    <t>15,09,</t>
  </si>
  <si>
    <t>10,09,</t>
  </si>
  <si>
    <t>08,09,</t>
  </si>
  <si>
    <t>03,09,</t>
  </si>
  <si>
    <t>01,09,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</si>
  <si>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</si>
  <si>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</si>
  <si>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</si>
  <si>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</si>
  <si>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ПРОМО сентябрь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</si>
  <si>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</si>
  <si>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</si>
  <si>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</si>
  <si>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18шт списано (19,09,26) / 19 шт списано (12,07,26)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</si>
  <si>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</si>
  <si>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</si>
  <si>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</si>
  <si>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</si>
  <si>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</si>
  <si>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</si>
  <si>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</si>
  <si>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</si>
  <si>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</si>
  <si>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</si>
  <si>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</si>
  <si>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</si>
  <si>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</si>
  <si>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</si>
  <si>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</si>
  <si>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</si>
  <si>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</si>
  <si>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</si>
  <si>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</si>
  <si>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</si>
  <si>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</si>
  <si>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</si>
  <si>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</si>
  <si>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</si>
  <si>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</si>
  <si>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</si>
  <si>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</si>
  <si>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</si>
  <si>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</si>
  <si>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</si>
  <si>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</si>
  <si>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нужно увеличить продажи!!!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</si>
  <si>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</si>
  <si>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</si>
  <si>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</si>
  <si>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</si>
  <si>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</si>
  <si>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</si>
  <si>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</si>
  <si>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1000шт под сети (Хмель 01,09,26)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</si>
  <si>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</si>
  <si>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</si>
  <si>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</si>
  <si>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</si>
  <si>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</si>
  <si>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</si>
  <si>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</si>
  <si>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</si>
  <si>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нужно увеличить продажи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</si>
  <si>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</si>
  <si>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</si>
  <si>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</si>
  <si>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</si>
  <si>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</si>
  <si>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</si>
  <si>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15шт списано (19,09,26)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</si>
  <si>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</si>
  <si>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</si>
  <si>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</si>
  <si>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</si>
  <si>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</si>
  <si>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</si>
  <si>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</si>
  <si>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</si>
  <si>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</si>
  <si>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</si>
  <si>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</si>
  <si>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</si>
  <si>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</si>
  <si>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</si>
  <si>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</si>
  <si>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</si>
  <si>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</si>
  <si>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</si>
  <si>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</si>
  <si>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</si>
  <si>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</si>
  <si>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</si>
  <si>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</si>
  <si>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14 кг списано (19,09,26)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</si>
  <si>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</si>
  <si>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</si>
  <si>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</si>
  <si>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</si>
  <si>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</si>
  <si>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</si>
  <si>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</si>
  <si>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</si>
  <si>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</si>
  <si>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</si>
  <si>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</si>
  <si>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</si>
  <si>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</si>
  <si>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</si>
  <si>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</si>
  <si>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</si>
  <si>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</si>
  <si>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</si>
  <si>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</si>
  <si>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</si>
  <si>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</si>
  <si>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</si>
  <si>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</si>
  <si>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</si>
  <si>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</si>
  <si>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</si>
  <si>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</si>
  <si>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</si>
  <si>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</si>
  <si>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>не в матрице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</si>
  <si>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</si>
  <si>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</si>
  <si>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</si>
  <si>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</si>
  <si>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</si>
  <si>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</si>
  <si>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</si>
  <si>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</si>
  <si>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</si>
  <si>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</si>
  <si>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</si>
  <si>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</si>
  <si>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</si>
  <si>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</si>
  <si>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</si>
  <si>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</si>
  <si>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</si>
  <si>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</si>
  <si>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</si>
  <si>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</si>
  <si>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</si>
  <si>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298шт списано (29,09,26)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</si>
  <si>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ПРОМО сентябрь</t>
    </r>
  </si>
  <si>
    <t>403шт списано (29,09,26)</t>
  </si>
  <si>
    <t>28,09,доз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</si>
</sst>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2" fontId="1" fillId="4" borderId="1" xfId="1" applyNumberFormat="1" applyFill="1"/>
    <xf numFmtId="164" fontId="1" fillId="4" borderId="1" xfId="1" applyNumberFormat="1" applyFill="1"/>
    <xf numFmtId="164" fontId="1" fillId="5" borderId="1" xfId="1" applyNumberFormat="1" applyFill="1"/>
    <xf numFmtId="164" fontId="1" fillId="4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1" fillId="0" borderId="1" xfId="1" applyNumberFormat="1" applyFill="1"/>
    <xf numFmtId="164" fontId="6" fillId="0" borderId="1" xfId="1" applyNumberFormat="1" applyFont="1"/>
    <xf numFmtId="164" fontId="6" fillId="7" borderId="1" xfId="1" applyNumberFormat="1" applyFont="1" applyFill="1"/>
    <xf numFmtId="164" fontId="8" fillId="0" borderId="1" xfId="1" applyNumberFormat="1" applyFont="1"/>
    <xf numFmtId="164" fontId="8" fillId="3" borderId="1" xfId="1" applyNumberFormat="1" applyFont="1" applyFill="1"/>
    <xf numFmtId="164" fontId="8" fillId="4" borderId="1" xfId="1" applyNumberFormat="1" applyFont="1" applyFill="1"/>
    <xf numFmtId="0" fontId="7" fillId="0" borderId="1" xfId="0" applyFon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91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5" sqref="AG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140625" customWidth="1"/>
    <col min="10" max="10" width="1" customWidth="1"/>
    <col min="11" max="19" width="7" customWidth="1"/>
    <col min="20" max="20" width="7" style="22" customWidth="1"/>
    <col min="21" max="22" width="7" customWidth="1"/>
    <col min="23" max="24" width="5" customWidth="1"/>
    <col min="25" max="31" width="6.7109375" customWidth="1"/>
    <col min="32" max="32" width="6" customWidth="1"/>
    <col min="33" max="33" width="38.42578125" customWidth="1"/>
    <col min="34" max="34" width="7" customWidth="1"/>
    <col min="35" max="45" width="8" customWidth="1"/>
  </cols>
  <sheetData>
    <row r="1" spans="1:45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9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9">
        <v>500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15</v>
      </c>
      <c r="V3" s="3" t="s">
        <v>16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9" t="s">
        <v>179</v>
      </c>
      <c r="U4" s="1" t="s">
        <v>27</v>
      </c>
      <c r="V4" s="1"/>
      <c r="W4" s="1"/>
      <c r="X4" s="1"/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x14ac:dyDescent="0.25">
      <c r="A5" s="1"/>
      <c r="B5" s="1"/>
      <c r="C5" s="1"/>
      <c r="D5" s="1"/>
      <c r="E5" s="4">
        <f>SUM(E6:E491)</f>
        <v>67617.34199999999</v>
      </c>
      <c r="F5" s="4">
        <f>SUM(F6:F491)</f>
        <v>61421.081000000006</v>
      </c>
      <c r="G5" s="7"/>
      <c r="H5" s="1"/>
      <c r="I5" s="1"/>
      <c r="J5" s="1"/>
      <c r="K5" s="4">
        <f t="shared" ref="K5:V5" si="0">SUM(K6:K491)</f>
        <v>72126.541999999972</v>
      </c>
      <c r="L5" s="4">
        <f t="shared" si="0"/>
        <v>-4509.1999999999989</v>
      </c>
      <c r="M5" s="4">
        <f t="shared" si="0"/>
        <v>62083.496999999996</v>
      </c>
      <c r="N5" s="4">
        <f t="shared" si="0"/>
        <v>5533.8450000000003</v>
      </c>
      <c r="O5" s="4">
        <f t="shared" si="0"/>
        <v>15056.35513152</v>
      </c>
      <c r="P5" s="4">
        <f t="shared" si="0"/>
        <v>810</v>
      </c>
      <c r="Q5" s="4">
        <f t="shared" si="0"/>
        <v>21836.157566080001</v>
      </c>
      <c r="R5" s="4">
        <f t="shared" si="0"/>
        <v>-630</v>
      </c>
      <c r="S5" s="4">
        <f t="shared" si="0"/>
        <v>23324.568955999999</v>
      </c>
      <c r="T5" s="20">
        <f t="shared" ref="T5" si="1">SUM(T6:T491)</f>
        <v>510</v>
      </c>
      <c r="U5" s="4">
        <f t="shared" si="0"/>
        <v>12416.699399999992</v>
      </c>
      <c r="V5" s="4">
        <f t="shared" si="0"/>
        <v>27416.264769828569</v>
      </c>
      <c r="W5" s="1"/>
      <c r="X5" s="1"/>
      <c r="Y5" s="4">
        <f t="shared" ref="Y5:AF5" si="2">SUM(Y6:Y491)</f>
        <v>11708.138999999994</v>
      </c>
      <c r="Z5" s="4">
        <f t="shared" si="2"/>
        <v>12733.619199999997</v>
      </c>
      <c r="AA5" s="4">
        <f t="shared" si="2"/>
        <v>12494.7556</v>
      </c>
      <c r="AB5" s="4">
        <f t="shared" si="2"/>
        <v>12634.5478</v>
      </c>
      <c r="AC5" s="4">
        <f t="shared" si="2"/>
        <v>13008.017799999998</v>
      </c>
      <c r="AD5" s="4">
        <f t="shared" si="2"/>
        <v>13739.4306</v>
      </c>
      <c r="AE5" s="4">
        <f t="shared" si="2"/>
        <v>10909.968200000003</v>
      </c>
      <c r="AF5" s="4">
        <f t="shared" si="2"/>
        <v>9134.4642000000094</v>
      </c>
      <c r="AG5" s="1"/>
      <c r="AH5" s="4">
        <f>SUM(AH6:AH491)</f>
        <v>24450.530730999995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x14ac:dyDescent="0.25">
      <c r="A6" s="1" t="s">
        <v>36</v>
      </c>
      <c r="B6" s="1" t="s">
        <v>37</v>
      </c>
      <c r="C6" s="1">
        <v>862.44399999999996</v>
      </c>
      <c r="D6" s="1">
        <v>3087.5439999999999</v>
      </c>
      <c r="E6" s="1">
        <v>1983.1590000000001</v>
      </c>
      <c r="F6" s="1">
        <v>1275.809</v>
      </c>
      <c r="G6" s="7">
        <v>1</v>
      </c>
      <c r="H6" s="1">
        <v>50</v>
      </c>
      <c r="I6" s="1" t="s">
        <v>38</v>
      </c>
      <c r="J6" s="1"/>
      <c r="K6" s="1">
        <v>1927.944</v>
      </c>
      <c r="L6" s="1">
        <f t="shared" ref="L6:L37" si="3">E6-K6</f>
        <v>55.215000000000146</v>
      </c>
      <c r="M6" s="1">
        <f t="shared" ref="M6:M37" si="4">E6-N6</f>
        <v>1736.355</v>
      </c>
      <c r="N6" s="1">
        <v>246.804</v>
      </c>
      <c r="O6" s="1">
        <v>120.5374480000002</v>
      </c>
      <c r="P6" s="1"/>
      <c r="Q6" s="1">
        <v>482.14979200000067</v>
      </c>
      <c r="R6" s="1"/>
      <c r="S6" s="1">
        <v>351.91381799999999</v>
      </c>
      <c r="T6" s="19"/>
      <c r="U6" s="1">
        <f t="shared" ref="U6:U37" si="5">M6/5</f>
        <v>347.27100000000002</v>
      </c>
      <c r="V6" s="5">
        <f>11*U6-S6-R6-Q6-P6-O6-F6</f>
        <v>1589.5709419999996</v>
      </c>
      <c r="W6" s="1">
        <f>(F6+O6+P6+Q6+R6+S6+T6+V6)/U6</f>
        <v>11.000000000000002</v>
      </c>
      <c r="X6" s="1">
        <f>(F6+O6+P6+Q6+R6+S6+T6)/U6</f>
        <v>6.4226787091349431</v>
      </c>
      <c r="Y6" s="1">
        <v>256.87139999999999</v>
      </c>
      <c r="Z6" s="1">
        <v>307.10719999999998</v>
      </c>
      <c r="AA6" s="1">
        <v>314.50659999999999</v>
      </c>
      <c r="AB6" s="1">
        <v>330.37540000000001</v>
      </c>
      <c r="AC6" s="1">
        <v>323.59899999999999</v>
      </c>
      <c r="AD6" s="1">
        <v>328.35</v>
      </c>
      <c r="AE6" s="1">
        <v>238.09880000000001</v>
      </c>
      <c r="AF6" s="1">
        <v>226.9384</v>
      </c>
      <c r="AG6" s="1"/>
      <c r="AH6" s="1">
        <f t="shared" ref="AH6:AH17" si="6">G6*V6</f>
        <v>1589.5709419999996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x14ac:dyDescent="0.25">
      <c r="A7" s="1" t="s">
        <v>39</v>
      </c>
      <c r="B7" s="1" t="s">
        <v>37</v>
      </c>
      <c r="C7" s="1">
        <v>1238.779</v>
      </c>
      <c r="D7" s="1">
        <v>2568.0940000000001</v>
      </c>
      <c r="E7" s="1">
        <v>998.72799999999995</v>
      </c>
      <c r="F7" s="1">
        <v>2634.1480000000001</v>
      </c>
      <c r="G7" s="7">
        <v>1</v>
      </c>
      <c r="H7" s="1">
        <v>45</v>
      </c>
      <c r="I7" s="1" t="s">
        <v>38</v>
      </c>
      <c r="J7" s="1"/>
      <c r="K7" s="1">
        <v>975.39</v>
      </c>
      <c r="L7" s="1">
        <f t="shared" si="3"/>
        <v>23.337999999999965</v>
      </c>
      <c r="M7" s="1">
        <f t="shared" si="4"/>
        <v>998.72799999999995</v>
      </c>
      <c r="N7" s="1"/>
      <c r="O7" s="1"/>
      <c r="P7" s="1"/>
      <c r="Q7" s="1"/>
      <c r="R7" s="1"/>
      <c r="S7" s="1">
        <v>0</v>
      </c>
      <c r="T7" s="19"/>
      <c r="U7" s="1">
        <f t="shared" si="5"/>
        <v>199.7456</v>
      </c>
      <c r="V7" s="5"/>
      <c r="W7" s="1">
        <f t="shared" ref="W7:W70" si="7">(F7+O7+P7+Q7+R7+S7+T7+V7)/U7</f>
        <v>13.187514518467491</v>
      </c>
      <c r="X7" s="1">
        <f t="shared" ref="X7:X70" si="8">(F7+O7+P7+Q7+R7+S7+T7)/U7</f>
        <v>13.187514518467491</v>
      </c>
      <c r="Y7" s="1">
        <v>203.16059999999999</v>
      </c>
      <c r="Z7" s="1">
        <v>215.5368</v>
      </c>
      <c r="AA7" s="1">
        <v>330.04300000000001</v>
      </c>
      <c r="AB7" s="1">
        <v>367.75</v>
      </c>
      <c r="AC7" s="1">
        <v>250.43219999999999</v>
      </c>
      <c r="AD7" s="1">
        <v>253.25299999999999</v>
      </c>
      <c r="AE7" s="1">
        <v>222.0264</v>
      </c>
      <c r="AF7" s="1">
        <v>176.40700000000001</v>
      </c>
      <c r="AG7" s="1" t="s">
        <v>40</v>
      </c>
      <c r="AH7" s="1">
        <f t="shared" si="6"/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x14ac:dyDescent="0.25">
      <c r="A8" s="1" t="s">
        <v>41</v>
      </c>
      <c r="B8" s="1" t="s">
        <v>37</v>
      </c>
      <c r="C8" s="1">
        <v>3302.181</v>
      </c>
      <c r="D8" s="1">
        <v>6621.933</v>
      </c>
      <c r="E8" s="1">
        <v>3619.67</v>
      </c>
      <c r="F8" s="1">
        <v>5265.4709999999995</v>
      </c>
      <c r="G8" s="7">
        <v>1</v>
      </c>
      <c r="H8" s="1">
        <v>45</v>
      </c>
      <c r="I8" s="1" t="s">
        <v>38</v>
      </c>
      <c r="J8" s="1"/>
      <c r="K8" s="1">
        <v>3622.6579999999999</v>
      </c>
      <c r="L8" s="1">
        <f t="shared" si="3"/>
        <v>-2.987999999999829</v>
      </c>
      <c r="M8" s="1">
        <f t="shared" si="4"/>
        <v>3619.67</v>
      </c>
      <c r="N8" s="1"/>
      <c r="O8" s="1"/>
      <c r="P8" s="1"/>
      <c r="Q8" s="1"/>
      <c r="R8" s="1"/>
      <c r="S8" s="1">
        <v>794.63644199999999</v>
      </c>
      <c r="T8" s="19"/>
      <c r="U8" s="1">
        <f t="shared" si="5"/>
        <v>723.93399999999997</v>
      </c>
      <c r="V8" s="5">
        <f t="shared" ref="V8:V17" si="9">11*U8-S8-R8-Q8-P8-O8-F8</f>
        <v>1903.1665579999999</v>
      </c>
      <c r="W8" s="1">
        <f t="shared" si="7"/>
        <v>11</v>
      </c>
      <c r="X8" s="1">
        <f t="shared" si="8"/>
        <v>8.3710772556614277</v>
      </c>
      <c r="Y8" s="1">
        <v>580.02659999999992</v>
      </c>
      <c r="Z8" s="1">
        <v>625.75400000000002</v>
      </c>
      <c r="AA8" s="1">
        <v>800.88400000000001</v>
      </c>
      <c r="AB8" s="1">
        <v>833.0154</v>
      </c>
      <c r="AC8" s="1">
        <v>751.53280000000007</v>
      </c>
      <c r="AD8" s="1">
        <v>847.03899999999999</v>
      </c>
      <c r="AE8" s="1">
        <v>565.60299999999995</v>
      </c>
      <c r="AF8" s="1">
        <v>418.56079999999997</v>
      </c>
      <c r="AG8" s="1" t="s">
        <v>40</v>
      </c>
      <c r="AH8" s="1">
        <f t="shared" si="6"/>
        <v>1903.1665579999999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x14ac:dyDescent="0.25">
      <c r="A9" s="1" t="s">
        <v>42</v>
      </c>
      <c r="B9" s="1" t="s">
        <v>43</v>
      </c>
      <c r="C9" s="1">
        <v>2</v>
      </c>
      <c r="D9" s="1">
        <v>1</v>
      </c>
      <c r="E9" s="1">
        <v>1</v>
      </c>
      <c r="F9" s="1">
        <v>1</v>
      </c>
      <c r="G9" s="7">
        <v>0.4</v>
      </c>
      <c r="H9" s="1">
        <v>50</v>
      </c>
      <c r="I9" s="1" t="s">
        <v>38</v>
      </c>
      <c r="J9" s="1"/>
      <c r="K9" s="1">
        <v>2</v>
      </c>
      <c r="L9" s="1">
        <f t="shared" si="3"/>
        <v>-1</v>
      </c>
      <c r="M9" s="1">
        <f t="shared" si="4"/>
        <v>1</v>
      </c>
      <c r="N9" s="1"/>
      <c r="O9" s="1">
        <v>15</v>
      </c>
      <c r="P9" s="1"/>
      <c r="Q9" s="1"/>
      <c r="R9" s="1"/>
      <c r="S9" s="1">
        <v>13.414</v>
      </c>
      <c r="T9" s="19"/>
      <c r="U9" s="1">
        <f t="shared" si="5"/>
        <v>0.2</v>
      </c>
      <c r="V9" s="5"/>
      <c r="W9" s="1">
        <f t="shared" si="7"/>
        <v>147.07</v>
      </c>
      <c r="X9" s="1">
        <f t="shared" si="8"/>
        <v>147.07</v>
      </c>
      <c r="Y9" s="1">
        <v>2.2000000000000002</v>
      </c>
      <c r="Z9" s="1">
        <v>2</v>
      </c>
      <c r="AA9" s="1">
        <v>0</v>
      </c>
      <c r="AB9" s="1">
        <v>0.2</v>
      </c>
      <c r="AC9" s="1">
        <v>2.4</v>
      </c>
      <c r="AD9" s="1">
        <v>1.8</v>
      </c>
      <c r="AE9" s="1">
        <v>-0.2</v>
      </c>
      <c r="AF9" s="1">
        <v>0.2</v>
      </c>
      <c r="AG9" s="1" t="s">
        <v>44</v>
      </c>
      <c r="AH9" s="1">
        <f t="shared" si="6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x14ac:dyDescent="0.25">
      <c r="A10" s="1" t="s">
        <v>45</v>
      </c>
      <c r="B10" s="1" t="s">
        <v>43</v>
      </c>
      <c r="C10" s="1">
        <v>2660</v>
      </c>
      <c r="D10" s="1">
        <v>4121</v>
      </c>
      <c r="E10" s="1">
        <v>1630</v>
      </c>
      <c r="F10" s="1">
        <v>3208</v>
      </c>
      <c r="G10" s="7">
        <v>0.45</v>
      </c>
      <c r="H10" s="1">
        <v>45</v>
      </c>
      <c r="I10" s="1" t="s">
        <v>38</v>
      </c>
      <c r="J10" s="1"/>
      <c r="K10" s="1">
        <v>1750</v>
      </c>
      <c r="L10" s="1">
        <f t="shared" si="3"/>
        <v>-120</v>
      </c>
      <c r="M10" s="1">
        <f t="shared" si="4"/>
        <v>1630</v>
      </c>
      <c r="N10" s="1"/>
      <c r="O10" s="1">
        <v>400</v>
      </c>
      <c r="P10" s="1"/>
      <c r="Q10" s="1">
        <v>1600</v>
      </c>
      <c r="R10" s="1"/>
      <c r="S10" s="1">
        <v>2688.0284000000011</v>
      </c>
      <c r="T10" s="19"/>
      <c r="U10" s="1">
        <f t="shared" si="5"/>
        <v>326</v>
      </c>
      <c r="V10" s="5"/>
      <c r="W10" s="1">
        <f t="shared" si="7"/>
        <v>24.220946012269941</v>
      </c>
      <c r="X10" s="1">
        <f t="shared" si="8"/>
        <v>24.220946012269941</v>
      </c>
      <c r="Y10" s="1">
        <v>640.6</v>
      </c>
      <c r="Z10" s="1">
        <v>845.8</v>
      </c>
      <c r="AA10" s="1">
        <v>569</v>
      </c>
      <c r="AB10" s="1">
        <v>530.86719999999991</v>
      </c>
      <c r="AC10" s="1">
        <v>514.46719999999993</v>
      </c>
      <c r="AD10" s="1">
        <v>409.86599999999999</v>
      </c>
      <c r="AE10" s="1">
        <v>437.2</v>
      </c>
      <c r="AF10" s="1">
        <v>412</v>
      </c>
      <c r="AG10" s="14" t="s">
        <v>93</v>
      </c>
      <c r="AH10" s="1">
        <f t="shared" si="6"/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 x14ac:dyDescent="0.25">
      <c r="A11" s="1" t="s">
        <v>46</v>
      </c>
      <c r="B11" s="1" t="s">
        <v>43</v>
      </c>
      <c r="C11" s="1">
        <v>2792</v>
      </c>
      <c r="D11" s="1">
        <v>4979</v>
      </c>
      <c r="E11" s="1">
        <v>2513</v>
      </c>
      <c r="F11" s="1">
        <v>4763</v>
      </c>
      <c r="G11" s="7">
        <v>0.45</v>
      </c>
      <c r="H11" s="1">
        <v>45</v>
      </c>
      <c r="I11" s="1" t="s">
        <v>38</v>
      </c>
      <c r="J11" s="1"/>
      <c r="K11" s="1">
        <v>2591</v>
      </c>
      <c r="L11" s="1">
        <f t="shared" si="3"/>
        <v>-78</v>
      </c>
      <c r="M11" s="1">
        <f t="shared" si="4"/>
        <v>2513</v>
      </c>
      <c r="N11" s="1"/>
      <c r="O11" s="1">
        <v>226.0319999999999</v>
      </c>
      <c r="P11" s="1"/>
      <c r="Q11" s="1">
        <v>904.12799999999993</v>
      </c>
      <c r="R11" s="1"/>
      <c r="S11" s="1">
        <v>0</v>
      </c>
      <c r="T11" s="19"/>
      <c r="U11" s="1">
        <f t="shared" si="5"/>
        <v>502.6</v>
      </c>
      <c r="V11" s="5"/>
      <c r="W11" s="1">
        <f t="shared" si="7"/>
        <v>11.72534818941504</v>
      </c>
      <c r="X11" s="1">
        <f t="shared" si="8"/>
        <v>11.72534818941504</v>
      </c>
      <c r="Y11" s="1">
        <v>524</v>
      </c>
      <c r="Z11" s="1">
        <v>664.8</v>
      </c>
      <c r="AA11" s="1">
        <v>660.6</v>
      </c>
      <c r="AB11" s="1">
        <v>572.67619999999999</v>
      </c>
      <c r="AC11" s="1">
        <v>553.87619999999993</v>
      </c>
      <c r="AD11" s="1">
        <v>632.423</v>
      </c>
      <c r="AE11" s="1">
        <v>674.2</v>
      </c>
      <c r="AF11" s="1">
        <v>625.20000000000005</v>
      </c>
      <c r="AG11" s="1"/>
      <c r="AH11" s="1">
        <f t="shared" si="6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x14ac:dyDescent="0.25">
      <c r="A12" s="1" t="s">
        <v>47</v>
      </c>
      <c r="B12" s="1" t="s">
        <v>43</v>
      </c>
      <c r="C12" s="1">
        <v>63</v>
      </c>
      <c r="D12" s="1">
        <v>152</v>
      </c>
      <c r="E12" s="1">
        <v>74</v>
      </c>
      <c r="F12" s="1">
        <v>135</v>
      </c>
      <c r="G12" s="7">
        <v>0.17</v>
      </c>
      <c r="H12" s="1">
        <v>180</v>
      </c>
      <c r="I12" s="1" t="s">
        <v>38</v>
      </c>
      <c r="J12" s="1"/>
      <c r="K12" s="1">
        <v>78</v>
      </c>
      <c r="L12" s="1">
        <f t="shared" si="3"/>
        <v>-4</v>
      </c>
      <c r="M12" s="1">
        <f t="shared" si="4"/>
        <v>74</v>
      </c>
      <c r="N12" s="1"/>
      <c r="O12" s="1">
        <v>88.200000000000045</v>
      </c>
      <c r="P12" s="1"/>
      <c r="Q12" s="1"/>
      <c r="R12" s="1"/>
      <c r="S12" s="1">
        <v>71.813999999999965</v>
      </c>
      <c r="T12" s="19"/>
      <c r="U12" s="1">
        <f t="shared" si="5"/>
        <v>14.8</v>
      </c>
      <c r="V12" s="5"/>
      <c r="W12" s="1">
        <f t="shared" si="7"/>
        <v>19.933378378378379</v>
      </c>
      <c r="X12" s="1">
        <f t="shared" si="8"/>
        <v>19.933378378378379</v>
      </c>
      <c r="Y12" s="1">
        <v>22.2</v>
      </c>
      <c r="Z12" s="1">
        <v>26</v>
      </c>
      <c r="AA12" s="1">
        <v>20.399999999999999</v>
      </c>
      <c r="AB12" s="1">
        <v>9.4</v>
      </c>
      <c r="AC12" s="1">
        <v>17.2</v>
      </c>
      <c r="AD12" s="1">
        <v>19.600000000000001</v>
      </c>
      <c r="AE12" s="1">
        <v>12.4</v>
      </c>
      <c r="AF12" s="1">
        <v>8.6</v>
      </c>
      <c r="AG12" s="1"/>
      <c r="AH12" s="1">
        <f t="shared" si="6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 x14ac:dyDescent="0.25">
      <c r="A13" s="1" t="s">
        <v>48</v>
      </c>
      <c r="B13" s="1" t="s">
        <v>43</v>
      </c>
      <c r="C13" s="1">
        <v>56</v>
      </c>
      <c r="D13" s="1">
        <v>26</v>
      </c>
      <c r="E13" s="1">
        <v>38</v>
      </c>
      <c r="F13" s="1">
        <v>31</v>
      </c>
      <c r="G13" s="7">
        <v>0.3</v>
      </c>
      <c r="H13" s="1">
        <v>40</v>
      </c>
      <c r="I13" s="11" t="s">
        <v>49</v>
      </c>
      <c r="J13" s="1"/>
      <c r="K13" s="1">
        <v>50</v>
      </c>
      <c r="L13" s="1">
        <f t="shared" si="3"/>
        <v>-12</v>
      </c>
      <c r="M13" s="1">
        <f t="shared" si="4"/>
        <v>38</v>
      </c>
      <c r="N13" s="1"/>
      <c r="O13" s="1">
        <v>13</v>
      </c>
      <c r="P13" s="1"/>
      <c r="Q13" s="1"/>
      <c r="R13" s="1"/>
      <c r="S13" s="1">
        <v>72.54000000000002</v>
      </c>
      <c r="T13" s="19"/>
      <c r="U13" s="1">
        <f t="shared" si="5"/>
        <v>7.6</v>
      </c>
      <c r="V13" s="5">
        <v>20</v>
      </c>
      <c r="W13" s="1">
        <f t="shared" si="7"/>
        <v>17.965789473684215</v>
      </c>
      <c r="X13" s="1">
        <f t="shared" si="8"/>
        <v>15.334210526315793</v>
      </c>
      <c r="Y13" s="1">
        <v>9.4</v>
      </c>
      <c r="Z13" s="1">
        <v>6.8</v>
      </c>
      <c r="AA13" s="1">
        <v>5.8</v>
      </c>
      <c r="AB13" s="1">
        <v>9.1999999999999993</v>
      </c>
      <c r="AC13" s="1">
        <v>8.6</v>
      </c>
      <c r="AD13" s="1">
        <v>7</v>
      </c>
      <c r="AE13" s="1">
        <v>4</v>
      </c>
      <c r="AF13" s="1">
        <v>3</v>
      </c>
      <c r="AG13" s="1"/>
      <c r="AH13" s="1">
        <f t="shared" si="6"/>
        <v>6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x14ac:dyDescent="0.25">
      <c r="A14" s="1" t="s">
        <v>50</v>
      </c>
      <c r="B14" s="1" t="s">
        <v>43</v>
      </c>
      <c r="C14" s="1">
        <v>114</v>
      </c>
      <c r="D14" s="1">
        <v>303</v>
      </c>
      <c r="E14" s="1">
        <v>178</v>
      </c>
      <c r="F14" s="1">
        <v>167</v>
      </c>
      <c r="G14" s="7">
        <v>0.17</v>
      </c>
      <c r="H14" s="1">
        <v>180</v>
      </c>
      <c r="I14" s="1" t="s">
        <v>38</v>
      </c>
      <c r="J14" s="1"/>
      <c r="K14" s="1">
        <v>185</v>
      </c>
      <c r="L14" s="1">
        <f t="shared" si="3"/>
        <v>-7</v>
      </c>
      <c r="M14" s="1">
        <f t="shared" si="4"/>
        <v>178</v>
      </c>
      <c r="N14" s="1"/>
      <c r="O14" s="1">
        <v>66.399999999999977</v>
      </c>
      <c r="P14" s="1"/>
      <c r="Q14" s="1"/>
      <c r="R14" s="1"/>
      <c r="S14" s="1">
        <v>68.997999999999678</v>
      </c>
      <c r="T14" s="19"/>
      <c r="U14" s="1">
        <f t="shared" si="5"/>
        <v>35.6</v>
      </c>
      <c r="V14" s="5">
        <f t="shared" si="9"/>
        <v>89.202000000000339</v>
      </c>
      <c r="W14" s="1">
        <f t="shared" si="7"/>
        <v>11</v>
      </c>
      <c r="X14" s="1">
        <f t="shared" si="8"/>
        <v>8.4943258426966199</v>
      </c>
      <c r="Y14" s="1">
        <v>33.4</v>
      </c>
      <c r="Z14" s="1">
        <v>40.6</v>
      </c>
      <c r="AA14" s="1">
        <v>38.6</v>
      </c>
      <c r="AB14" s="1">
        <v>32.799999999999997</v>
      </c>
      <c r="AC14" s="1">
        <v>33.200000000000003</v>
      </c>
      <c r="AD14" s="1">
        <v>32.799999999999997</v>
      </c>
      <c r="AE14" s="1">
        <v>30.2</v>
      </c>
      <c r="AF14" s="1">
        <v>29.8</v>
      </c>
      <c r="AG14" s="1"/>
      <c r="AH14" s="1">
        <f t="shared" si="6"/>
        <v>15.164340000000058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 x14ac:dyDescent="0.25">
      <c r="A15" s="1" t="s">
        <v>51</v>
      </c>
      <c r="B15" s="1" t="s">
        <v>37</v>
      </c>
      <c r="C15" s="1">
        <v>4343.6549999999997</v>
      </c>
      <c r="D15" s="1">
        <v>7608.8220000000001</v>
      </c>
      <c r="E15" s="1">
        <v>4572.41</v>
      </c>
      <c r="F15" s="1">
        <v>5761.88</v>
      </c>
      <c r="G15" s="7">
        <v>1</v>
      </c>
      <c r="H15" s="1">
        <v>70</v>
      </c>
      <c r="I15" s="11" t="s">
        <v>49</v>
      </c>
      <c r="J15" s="1"/>
      <c r="K15" s="1">
        <v>4402.3729999999996</v>
      </c>
      <c r="L15" s="1">
        <f t="shared" si="3"/>
        <v>170.03700000000026</v>
      </c>
      <c r="M15" s="1">
        <f t="shared" si="4"/>
        <v>4572.41</v>
      </c>
      <c r="N15" s="1"/>
      <c r="O15" s="1">
        <v>0</v>
      </c>
      <c r="P15" s="1"/>
      <c r="Q15" s="1"/>
      <c r="R15" s="1"/>
      <c r="S15" s="1">
        <v>0</v>
      </c>
      <c r="T15" s="19"/>
      <c r="U15" s="1">
        <f t="shared" si="5"/>
        <v>914.48199999999997</v>
      </c>
      <c r="V15" s="5">
        <f>10*U15-S15-R15-Q15-P15-O15-F15</f>
        <v>3382.9399999999996</v>
      </c>
      <c r="W15" s="1">
        <f t="shared" si="7"/>
        <v>10</v>
      </c>
      <c r="X15" s="1">
        <f t="shared" si="8"/>
        <v>6.3007035677028087</v>
      </c>
      <c r="Y15" s="1">
        <v>675.87339999999995</v>
      </c>
      <c r="Z15" s="1">
        <v>648.81240000000003</v>
      </c>
      <c r="AA15" s="1">
        <v>873.28039999999999</v>
      </c>
      <c r="AB15" s="1">
        <v>934.93299999999999</v>
      </c>
      <c r="AC15" s="1">
        <v>830.74639999999999</v>
      </c>
      <c r="AD15" s="1">
        <v>811.17699999999991</v>
      </c>
      <c r="AE15" s="1">
        <v>526.53639999999996</v>
      </c>
      <c r="AF15" s="1">
        <v>424.87459999999999</v>
      </c>
      <c r="AG15" s="1" t="s">
        <v>40</v>
      </c>
      <c r="AH15" s="1">
        <f t="shared" si="6"/>
        <v>3382.9399999999996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x14ac:dyDescent="0.25">
      <c r="A16" s="1" t="s">
        <v>52</v>
      </c>
      <c r="B16" s="1" t="s">
        <v>37</v>
      </c>
      <c r="C16" s="1">
        <v>5271.6090000000004</v>
      </c>
      <c r="D16" s="1">
        <v>7028.6639999999998</v>
      </c>
      <c r="E16" s="1">
        <v>3769.027</v>
      </c>
      <c r="F16" s="1">
        <v>5110</v>
      </c>
      <c r="G16" s="7">
        <v>1</v>
      </c>
      <c r="H16" s="1">
        <v>50</v>
      </c>
      <c r="I16" s="1" t="s">
        <v>38</v>
      </c>
      <c r="J16" s="1"/>
      <c r="K16" s="1">
        <v>3819.3330000000001</v>
      </c>
      <c r="L16" s="1">
        <f t="shared" si="3"/>
        <v>-50.30600000000004</v>
      </c>
      <c r="M16" s="1">
        <f t="shared" si="4"/>
        <v>3769.027</v>
      </c>
      <c r="N16" s="1"/>
      <c r="O16" s="1">
        <v>120</v>
      </c>
      <c r="P16" s="1"/>
      <c r="Q16" s="1">
        <v>480</v>
      </c>
      <c r="R16" s="1"/>
      <c r="S16" s="1">
        <v>854.64764800000012</v>
      </c>
      <c r="T16" s="19">
        <v>510</v>
      </c>
      <c r="U16" s="1">
        <f t="shared" si="5"/>
        <v>753.80539999999996</v>
      </c>
      <c r="V16" s="5">
        <f>10*U16-T16-S16-R16-Q16-P16-O16-F16</f>
        <v>463.40635199999997</v>
      </c>
      <c r="W16" s="1">
        <f t="shared" si="7"/>
        <v>10</v>
      </c>
      <c r="X16" s="1">
        <f t="shared" si="8"/>
        <v>9.3852440537040476</v>
      </c>
      <c r="Y16" s="1">
        <v>623.83040000000005</v>
      </c>
      <c r="Z16" s="1">
        <v>608.67060000000004</v>
      </c>
      <c r="AA16" s="1">
        <v>760.83500000000004</v>
      </c>
      <c r="AB16" s="1">
        <v>778.13599999999997</v>
      </c>
      <c r="AC16" s="1">
        <v>651.7174</v>
      </c>
      <c r="AD16" s="1">
        <v>634.69460000000004</v>
      </c>
      <c r="AE16" s="1">
        <v>404.84399999999988</v>
      </c>
      <c r="AF16" s="1">
        <v>323.94799999999998</v>
      </c>
      <c r="AG16" s="1" t="s">
        <v>40</v>
      </c>
      <c r="AH16" s="1">
        <f t="shared" si="6"/>
        <v>463.40635199999997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x14ac:dyDescent="0.25">
      <c r="A17" s="1" t="s">
        <v>53</v>
      </c>
      <c r="B17" s="1" t="s">
        <v>37</v>
      </c>
      <c r="C17" s="1">
        <v>481.67399999999998</v>
      </c>
      <c r="D17" s="1">
        <v>21.334</v>
      </c>
      <c r="E17" s="1">
        <v>404.88600000000002</v>
      </c>
      <c r="F17" s="1">
        <v>92.783000000000001</v>
      </c>
      <c r="G17" s="7">
        <v>1</v>
      </c>
      <c r="H17" s="1">
        <v>60</v>
      </c>
      <c r="I17" s="1" t="s">
        <v>38</v>
      </c>
      <c r="J17" s="1"/>
      <c r="K17" s="1">
        <v>395</v>
      </c>
      <c r="L17" s="1">
        <f t="shared" si="3"/>
        <v>9.8860000000000241</v>
      </c>
      <c r="M17" s="1">
        <f t="shared" si="4"/>
        <v>404.88600000000002</v>
      </c>
      <c r="N17" s="1"/>
      <c r="O17" s="1">
        <v>32.23620000000011</v>
      </c>
      <c r="P17" s="1"/>
      <c r="Q17" s="1">
        <v>20</v>
      </c>
      <c r="R17" s="1"/>
      <c r="S17" s="1">
        <v>230.51743200000001</v>
      </c>
      <c r="T17" s="19"/>
      <c r="U17" s="1">
        <f t="shared" si="5"/>
        <v>80.977200000000011</v>
      </c>
      <c r="V17" s="5">
        <f t="shared" si="9"/>
        <v>515.21256800000003</v>
      </c>
      <c r="W17" s="1">
        <f t="shared" si="7"/>
        <v>11.000000000000002</v>
      </c>
      <c r="X17" s="1">
        <f t="shared" si="8"/>
        <v>4.6375601033377309</v>
      </c>
      <c r="Y17" s="1">
        <v>49.133600000000001</v>
      </c>
      <c r="Z17" s="1">
        <v>48.952800000000003</v>
      </c>
      <c r="AA17" s="1">
        <v>44.703800000000001</v>
      </c>
      <c r="AB17" s="1">
        <v>25.674399999999999</v>
      </c>
      <c r="AC17" s="1">
        <v>21.1402</v>
      </c>
      <c r="AD17" s="1">
        <v>46.889800000000001</v>
      </c>
      <c r="AE17" s="1">
        <v>48.151600000000002</v>
      </c>
      <c r="AF17" s="1">
        <v>42.8626</v>
      </c>
      <c r="AG17" s="1"/>
      <c r="AH17" s="1">
        <f t="shared" si="6"/>
        <v>515.21256800000003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x14ac:dyDescent="0.25">
      <c r="A18" s="10" t="s">
        <v>54</v>
      </c>
      <c r="B18" s="10" t="s">
        <v>37</v>
      </c>
      <c r="C18" s="10"/>
      <c r="D18" s="10"/>
      <c r="E18" s="10"/>
      <c r="F18" s="10"/>
      <c r="G18" s="9">
        <v>0</v>
      </c>
      <c r="H18" s="10"/>
      <c r="I18" s="10" t="s">
        <v>38</v>
      </c>
      <c r="J18" s="10"/>
      <c r="K18" s="10"/>
      <c r="L18" s="10">
        <f t="shared" si="3"/>
        <v>0</v>
      </c>
      <c r="M18" s="10">
        <f t="shared" si="4"/>
        <v>0</v>
      </c>
      <c r="N18" s="10"/>
      <c r="O18" s="10"/>
      <c r="P18" s="10"/>
      <c r="Q18" s="10"/>
      <c r="R18" s="10"/>
      <c r="S18" s="10">
        <v>0</v>
      </c>
      <c r="T18" s="21"/>
      <c r="U18" s="10">
        <f t="shared" si="5"/>
        <v>0</v>
      </c>
      <c r="V18" s="12"/>
      <c r="W18" s="10" t="e">
        <f t="shared" si="7"/>
        <v>#DIV/0!</v>
      </c>
      <c r="X18" s="10" t="e">
        <f t="shared" si="8"/>
        <v>#DIV/0!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 t="s">
        <v>55</v>
      </c>
      <c r="AH18" s="10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x14ac:dyDescent="0.25">
      <c r="A19" s="1" t="s">
        <v>56</v>
      </c>
      <c r="B19" s="1" t="s">
        <v>37</v>
      </c>
      <c r="C19" s="1">
        <v>15.747999999999999</v>
      </c>
      <c r="D19" s="1">
        <v>0.34499999999999997</v>
      </c>
      <c r="E19" s="1">
        <v>3.4009999999999998</v>
      </c>
      <c r="F19" s="1">
        <v>11.653</v>
      </c>
      <c r="G19" s="7">
        <v>1</v>
      </c>
      <c r="H19" s="1">
        <v>180</v>
      </c>
      <c r="I19" s="1" t="s">
        <v>38</v>
      </c>
      <c r="J19" s="1"/>
      <c r="K19" s="1">
        <v>4.0140000000000002</v>
      </c>
      <c r="L19" s="1">
        <f t="shared" si="3"/>
        <v>-0.61300000000000043</v>
      </c>
      <c r="M19" s="1">
        <f t="shared" si="4"/>
        <v>3.4009999999999998</v>
      </c>
      <c r="N19" s="1"/>
      <c r="O19" s="1"/>
      <c r="P19" s="1"/>
      <c r="Q19" s="1"/>
      <c r="R19" s="1"/>
      <c r="S19" s="1">
        <v>0</v>
      </c>
      <c r="T19" s="19"/>
      <c r="U19" s="1">
        <f t="shared" si="5"/>
        <v>0.68019999999999992</v>
      </c>
      <c r="V19" s="5"/>
      <c r="W19" s="1">
        <f t="shared" si="7"/>
        <v>17.131725962952075</v>
      </c>
      <c r="X19" s="1">
        <f t="shared" si="8"/>
        <v>17.131725962952075</v>
      </c>
      <c r="Y19" s="1">
        <v>0.82240000000000002</v>
      </c>
      <c r="Z19" s="1">
        <v>0.69000000000000006</v>
      </c>
      <c r="AA19" s="1">
        <v>0.41899999999999998</v>
      </c>
      <c r="AB19" s="1">
        <v>0.92219999999999991</v>
      </c>
      <c r="AC19" s="1">
        <v>1.4359999999999999</v>
      </c>
      <c r="AD19" s="1">
        <v>1.0902000000000001</v>
      </c>
      <c r="AE19" s="1">
        <v>0.64900000000000002</v>
      </c>
      <c r="AF19" s="1">
        <v>0.70140000000000002</v>
      </c>
      <c r="AG19" s="1"/>
      <c r="AH19" s="1">
        <f>G19*V19</f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x14ac:dyDescent="0.25">
      <c r="A20" s="1" t="s">
        <v>57</v>
      </c>
      <c r="B20" s="1" t="s">
        <v>37</v>
      </c>
      <c r="C20" s="1">
        <v>4473.97</v>
      </c>
      <c r="D20" s="1">
        <v>4271.4949999999999</v>
      </c>
      <c r="E20" s="1">
        <v>5044.7830000000004</v>
      </c>
      <c r="F20" s="1">
        <v>2340.9650000000001</v>
      </c>
      <c r="G20" s="7">
        <v>1</v>
      </c>
      <c r="H20" s="1">
        <v>60</v>
      </c>
      <c r="I20" s="1" t="s">
        <v>38</v>
      </c>
      <c r="J20" s="1"/>
      <c r="K20" s="1">
        <v>4886.9939999999997</v>
      </c>
      <c r="L20" s="1">
        <f t="shared" si="3"/>
        <v>157.78900000000067</v>
      </c>
      <c r="M20" s="1">
        <f t="shared" si="4"/>
        <v>4586.8690000000006</v>
      </c>
      <c r="N20" s="1">
        <v>457.91399999999999</v>
      </c>
      <c r="O20" s="1">
        <v>383.429576</v>
      </c>
      <c r="P20" s="1"/>
      <c r="Q20" s="1">
        <v>1533.718304</v>
      </c>
      <c r="R20" s="1"/>
      <c r="S20" s="1">
        <v>1732.5915939999979</v>
      </c>
      <c r="T20" s="19"/>
      <c r="U20" s="1">
        <f t="shared" si="5"/>
        <v>917.37380000000007</v>
      </c>
      <c r="V20" s="5">
        <f>10*U20-S20-R20-Q20-P20-O20-F20</f>
        <v>3183.0335260000029</v>
      </c>
      <c r="W20" s="1">
        <f t="shared" si="7"/>
        <v>10</v>
      </c>
      <c r="X20" s="1">
        <f t="shared" si="8"/>
        <v>6.5302763976908844</v>
      </c>
      <c r="Y20" s="1">
        <v>723.88019999999995</v>
      </c>
      <c r="Z20" s="1">
        <v>773.48840000000007</v>
      </c>
      <c r="AA20" s="1">
        <v>732.97140000000002</v>
      </c>
      <c r="AB20" s="1">
        <v>804.43240000000003</v>
      </c>
      <c r="AC20" s="1">
        <v>875.02719999999988</v>
      </c>
      <c r="AD20" s="1">
        <v>948.69040000000007</v>
      </c>
      <c r="AE20" s="1">
        <v>609.16740000000004</v>
      </c>
      <c r="AF20" s="1">
        <v>570.25739999999996</v>
      </c>
      <c r="AG20" s="1"/>
      <c r="AH20" s="1">
        <f>G20*V20</f>
        <v>3183.0335260000029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x14ac:dyDescent="0.25">
      <c r="A21" s="1" t="s">
        <v>58</v>
      </c>
      <c r="B21" s="1" t="s">
        <v>37</v>
      </c>
      <c r="C21" s="1">
        <v>403.18799999999999</v>
      </c>
      <c r="D21" s="1">
        <v>3.5150000000000001</v>
      </c>
      <c r="E21" s="1">
        <v>379.65499999999997</v>
      </c>
      <c r="F21" s="1">
        <v>20.548999999999999</v>
      </c>
      <c r="G21" s="7">
        <v>1</v>
      </c>
      <c r="H21" s="1">
        <v>70</v>
      </c>
      <c r="I21" s="1" t="s">
        <v>38</v>
      </c>
      <c r="J21" s="1"/>
      <c r="K21" s="1">
        <v>384.85</v>
      </c>
      <c r="L21" s="1">
        <f t="shared" si="3"/>
        <v>-5.19500000000005</v>
      </c>
      <c r="M21" s="1">
        <f t="shared" si="4"/>
        <v>379.65499999999997</v>
      </c>
      <c r="N21" s="1"/>
      <c r="O21" s="1">
        <v>50.011239999999987</v>
      </c>
      <c r="P21" s="1"/>
      <c r="Q21" s="1">
        <v>200.04495999999989</v>
      </c>
      <c r="R21" s="1"/>
      <c r="S21" s="1">
        <v>548.98065400000019</v>
      </c>
      <c r="T21" s="19"/>
      <c r="U21" s="1">
        <f t="shared" si="5"/>
        <v>75.930999999999997</v>
      </c>
      <c r="V21" s="5">
        <f t="shared" ref="V21:V22" si="10">11*U21-S21-R21-Q21-P21-O21-F21</f>
        <v>15.655145999999924</v>
      </c>
      <c r="W21" s="1">
        <f t="shared" si="7"/>
        <v>11</v>
      </c>
      <c r="X21" s="1">
        <f t="shared" si="8"/>
        <v>10.793824050782948</v>
      </c>
      <c r="Y21" s="1">
        <v>74.3142</v>
      </c>
      <c r="Z21" s="1">
        <v>56.826199999999993</v>
      </c>
      <c r="AA21" s="1">
        <v>33.156399999999998</v>
      </c>
      <c r="AB21" s="1">
        <v>51.611800000000002</v>
      </c>
      <c r="AC21" s="1">
        <v>86.94680000000001</v>
      </c>
      <c r="AD21" s="1">
        <v>92.600200000000001</v>
      </c>
      <c r="AE21" s="1">
        <v>51.805600000000013</v>
      </c>
      <c r="AF21" s="1">
        <v>47.665999999999997</v>
      </c>
      <c r="AG21" s="1"/>
      <c r="AH21" s="1">
        <f>G21*V21</f>
        <v>15.655145999999924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x14ac:dyDescent="0.25">
      <c r="A22" s="1" t="s">
        <v>59</v>
      </c>
      <c r="B22" s="1" t="s">
        <v>37</v>
      </c>
      <c r="C22" s="1">
        <v>1310.7180000000001</v>
      </c>
      <c r="D22" s="1">
        <v>2087.134</v>
      </c>
      <c r="E22" s="1">
        <v>1638.395</v>
      </c>
      <c r="F22" s="1">
        <v>944.15300000000002</v>
      </c>
      <c r="G22" s="7">
        <v>1</v>
      </c>
      <c r="H22" s="1">
        <v>70</v>
      </c>
      <c r="I22" s="11" t="s">
        <v>49</v>
      </c>
      <c r="J22" s="1"/>
      <c r="K22" s="1">
        <v>1573.7370000000001</v>
      </c>
      <c r="L22" s="1">
        <f t="shared" si="3"/>
        <v>64.657999999999902</v>
      </c>
      <c r="M22" s="1">
        <f t="shared" si="4"/>
        <v>1638.395</v>
      </c>
      <c r="N22" s="1"/>
      <c r="O22" s="1">
        <v>0</v>
      </c>
      <c r="P22" s="1"/>
      <c r="Q22" s="1"/>
      <c r="R22" s="1"/>
      <c r="S22" s="1">
        <v>808.92558760000065</v>
      </c>
      <c r="T22" s="19"/>
      <c r="U22" s="1">
        <f t="shared" si="5"/>
        <v>327.67899999999997</v>
      </c>
      <c r="V22" s="5">
        <f t="shared" si="10"/>
        <v>1851.3904123999989</v>
      </c>
      <c r="W22" s="1">
        <f t="shared" si="7"/>
        <v>11</v>
      </c>
      <c r="X22" s="1">
        <f t="shared" si="8"/>
        <v>5.3499876025012307</v>
      </c>
      <c r="Y22" s="1">
        <v>251.3426</v>
      </c>
      <c r="Z22" s="1">
        <v>229.2002</v>
      </c>
      <c r="AA22" s="1">
        <v>266.73680000000002</v>
      </c>
      <c r="AB22" s="1">
        <v>285.91019999999997</v>
      </c>
      <c r="AC22" s="1">
        <v>266.63159999999999</v>
      </c>
      <c r="AD22" s="1">
        <v>281.76</v>
      </c>
      <c r="AE22" s="1">
        <v>176.75880000000001</v>
      </c>
      <c r="AF22" s="1">
        <v>148.90860000000001</v>
      </c>
      <c r="AG22" s="1" t="s">
        <v>40</v>
      </c>
      <c r="AH22" s="1">
        <f>G22*V22</f>
        <v>1851.3904123999989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 x14ac:dyDescent="0.25">
      <c r="A23" s="10" t="s">
        <v>60</v>
      </c>
      <c r="B23" s="10" t="s">
        <v>37</v>
      </c>
      <c r="C23" s="10"/>
      <c r="D23" s="10"/>
      <c r="E23" s="10"/>
      <c r="F23" s="10"/>
      <c r="G23" s="9">
        <v>0</v>
      </c>
      <c r="H23" s="10"/>
      <c r="I23" s="10" t="s">
        <v>38</v>
      </c>
      <c r="J23" s="10"/>
      <c r="K23" s="10"/>
      <c r="L23" s="10">
        <f t="shared" si="3"/>
        <v>0</v>
      </c>
      <c r="M23" s="10">
        <f t="shared" si="4"/>
        <v>0</v>
      </c>
      <c r="N23" s="10"/>
      <c r="O23" s="10"/>
      <c r="P23" s="10"/>
      <c r="Q23" s="10"/>
      <c r="R23" s="10"/>
      <c r="S23" s="10">
        <v>0</v>
      </c>
      <c r="T23" s="21"/>
      <c r="U23" s="10">
        <f t="shared" si="5"/>
        <v>0</v>
      </c>
      <c r="V23" s="12"/>
      <c r="W23" s="10" t="e">
        <f t="shared" si="7"/>
        <v>#DIV/0!</v>
      </c>
      <c r="X23" s="10" t="e">
        <f t="shared" si="8"/>
        <v>#DIV/0!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 t="s">
        <v>55</v>
      </c>
      <c r="AH23" s="10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 x14ac:dyDescent="0.25">
      <c r="A24" s="1" t="s">
        <v>61</v>
      </c>
      <c r="B24" s="1" t="s">
        <v>37</v>
      </c>
      <c r="C24" s="1">
        <v>2087.9839999999999</v>
      </c>
      <c r="D24" s="1">
        <v>4641.5079999999998</v>
      </c>
      <c r="E24" s="1">
        <v>2549.6080000000002</v>
      </c>
      <c r="F24" s="1">
        <v>3469.8969999999999</v>
      </c>
      <c r="G24" s="7">
        <v>1</v>
      </c>
      <c r="H24" s="1">
        <v>70</v>
      </c>
      <c r="I24" s="11" t="s">
        <v>49</v>
      </c>
      <c r="J24" s="1"/>
      <c r="K24" s="1">
        <v>2437.569</v>
      </c>
      <c r="L24" s="1">
        <f t="shared" si="3"/>
        <v>112.03900000000021</v>
      </c>
      <c r="M24" s="1">
        <f t="shared" si="4"/>
        <v>2549.6080000000002</v>
      </c>
      <c r="N24" s="1"/>
      <c r="O24" s="1">
        <v>0</v>
      </c>
      <c r="P24" s="1"/>
      <c r="Q24" s="1"/>
      <c r="R24" s="1"/>
      <c r="S24" s="1">
        <v>0</v>
      </c>
      <c r="T24" s="19"/>
      <c r="U24" s="1">
        <f t="shared" si="5"/>
        <v>509.92160000000001</v>
      </c>
      <c r="V24" s="5">
        <f t="shared" ref="V24" si="11">11*U24-S24-R24-Q24-P24-O24-F24</f>
        <v>2139.2406000000001</v>
      </c>
      <c r="W24" s="1">
        <f t="shared" si="7"/>
        <v>11</v>
      </c>
      <c r="X24" s="1">
        <f t="shared" si="8"/>
        <v>6.8047656737820086</v>
      </c>
      <c r="Y24" s="1">
        <v>404.24360000000001</v>
      </c>
      <c r="Z24" s="1">
        <v>396.53120000000001</v>
      </c>
      <c r="AA24" s="1">
        <v>524.30680000000007</v>
      </c>
      <c r="AB24" s="1">
        <v>537.15940000000001</v>
      </c>
      <c r="AC24" s="1">
        <v>473.22160000000002</v>
      </c>
      <c r="AD24" s="1">
        <v>516.05320000000006</v>
      </c>
      <c r="AE24" s="1">
        <v>310.26479999999998</v>
      </c>
      <c r="AF24" s="1">
        <v>281.95979999999997</v>
      </c>
      <c r="AG24" s="1" t="s">
        <v>40</v>
      </c>
      <c r="AH24" s="1">
        <f>G24*V24</f>
        <v>2139.2406000000001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 x14ac:dyDescent="0.25">
      <c r="A25" s="1" t="s">
        <v>62</v>
      </c>
      <c r="B25" s="1" t="s">
        <v>37</v>
      </c>
      <c r="C25" s="1">
        <v>29.001000000000001</v>
      </c>
      <c r="D25" s="1"/>
      <c r="E25" s="1">
        <v>1.4430000000000001</v>
      </c>
      <c r="F25" s="1">
        <v>-1.0999999999999999E-2</v>
      </c>
      <c r="G25" s="7">
        <v>1</v>
      </c>
      <c r="H25" s="1">
        <v>40</v>
      </c>
      <c r="I25" s="11" t="s">
        <v>49</v>
      </c>
      <c r="J25" s="1"/>
      <c r="K25" s="1">
        <v>37.4</v>
      </c>
      <c r="L25" s="1">
        <f t="shared" si="3"/>
        <v>-35.957000000000001</v>
      </c>
      <c r="M25" s="1">
        <f t="shared" si="4"/>
        <v>1.4430000000000001</v>
      </c>
      <c r="N25" s="1"/>
      <c r="O25" s="1">
        <v>18.307639999999999</v>
      </c>
      <c r="P25" s="1"/>
      <c r="Q25" s="1"/>
      <c r="R25" s="1"/>
      <c r="S25" s="1">
        <v>7.2081879999999954</v>
      </c>
      <c r="T25" s="19"/>
      <c r="U25" s="1">
        <f t="shared" si="5"/>
        <v>0.28860000000000002</v>
      </c>
      <c r="V25" s="5">
        <v>30</v>
      </c>
      <c r="W25" s="1">
        <f t="shared" si="7"/>
        <v>192.32442134442132</v>
      </c>
      <c r="X25" s="1">
        <f t="shared" si="8"/>
        <v>88.374317394317373</v>
      </c>
      <c r="Y25" s="1">
        <v>4.2222</v>
      </c>
      <c r="Z25" s="1">
        <v>3.7848000000000002</v>
      </c>
      <c r="AA25" s="1">
        <v>-0.29299999999999998</v>
      </c>
      <c r="AB25" s="1">
        <v>1.601</v>
      </c>
      <c r="AC25" s="1">
        <v>4.3630000000000004</v>
      </c>
      <c r="AD25" s="1">
        <v>3.4885999999999999</v>
      </c>
      <c r="AE25" s="1">
        <v>2.0396000000000001</v>
      </c>
      <c r="AF25" s="1">
        <v>1.6052</v>
      </c>
      <c r="AG25" s="1"/>
      <c r="AH25" s="1">
        <f>G25*V25</f>
        <v>30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 x14ac:dyDescent="0.25">
      <c r="A26" s="10" t="s">
        <v>63</v>
      </c>
      <c r="B26" s="10" t="s">
        <v>37</v>
      </c>
      <c r="C26" s="10"/>
      <c r="D26" s="10"/>
      <c r="E26" s="10"/>
      <c r="F26" s="10"/>
      <c r="G26" s="9">
        <v>0</v>
      </c>
      <c r="H26" s="10"/>
      <c r="I26" s="10" t="s">
        <v>38</v>
      </c>
      <c r="J26" s="10"/>
      <c r="K26" s="10"/>
      <c r="L26" s="10">
        <f t="shared" si="3"/>
        <v>0</v>
      </c>
      <c r="M26" s="10">
        <f t="shared" si="4"/>
        <v>0</v>
      </c>
      <c r="N26" s="10"/>
      <c r="O26" s="10"/>
      <c r="P26" s="10"/>
      <c r="Q26" s="10"/>
      <c r="R26" s="10"/>
      <c r="S26" s="10">
        <v>0</v>
      </c>
      <c r="T26" s="21"/>
      <c r="U26" s="10">
        <f t="shared" si="5"/>
        <v>0</v>
      </c>
      <c r="V26" s="12"/>
      <c r="W26" s="10" t="e">
        <f t="shared" si="7"/>
        <v>#DIV/0!</v>
      </c>
      <c r="X26" s="10" t="e">
        <f t="shared" si="8"/>
        <v>#DIV/0!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 t="s">
        <v>55</v>
      </c>
      <c r="AH26" s="10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 x14ac:dyDescent="0.25">
      <c r="A27" s="10" t="s">
        <v>64</v>
      </c>
      <c r="B27" s="10" t="s">
        <v>37</v>
      </c>
      <c r="C27" s="10"/>
      <c r="D27" s="10"/>
      <c r="E27" s="10"/>
      <c r="F27" s="10"/>
      <c r="G27" s="9">
        <v>0</v>
      </c>
      <c r="H27" s="10"/>
      <c r="I27" s="10" t="s">
        <v>38</v>
      </c>
      <c r="J27" s="10"/>
      <c r="K27" s="10"/>
      <c r="L27" s="10">
        <f t="shared" si="3"/>
        <v>0</v>
      </c>
      <c r="M27" s="10">
        <f t="shared" si="4"/>
        <v>0</v>
      </c>
      <c r="N27" s="10"/>
      <c r="O27" s="10"/>
      <c r="P27" s="10"/>
      <c r="Q27" s="10"/>
      <c r="R27" s="10"/>
      <c r="S27" s="10">
        <v>0</v>
      </c>
      <c r="T27" s="21"/>
      <c r="U27" s="10">
        <f t="shared" si="5"/>
        <v>0</v>
      </c>
      <c r="V27" s="12"/>
      <c r="W27" s="10" t="e">
        <f t="shared" si="7"/>
        <v>#DIV/0!</v>
      </c>
      <c r="X27" s="10" t="e">
        <f t="shared" si="8"/>
        <v>#DIV/0!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 t="s">
        <v>55</v>
      </c>
      <c r="AH27" s="10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x14ac:dyDescent="0.25">
      <c r="A28" s="1" t="s">
        <v>65</v>
      </c>
      <c r="B28" s="1" t="s">
        <v>37</v>
      </c>
      <c r="C28" s="1">
        <v>915.96400000000006</v>
      </c>
      <c r="D28" s="1">
        <v>2208.4279999999999</v>
      </c>
      <c r="E28" s="1">
        <v>1098.1289999999999</v>
      </c>
      <c r="F28" s="1">
        <v>1675.14</v>
      </c>
      <c r="G28" s="7">
        <v>1</v>
      </c>
      <c r="H28" s="1">
        <v>30</v>
      </c>
      <c r="I28" s="11" t="s">
        <v>49</v>
      </c>
      <c r="J28" s="1"/>
      <c r="K28" s="1">
        <v>1211.06</v>
      </c>
      <c r="L28" s="1">
        <f t="shared" si="3"/>
        <v>-112.93100000000004</v>
      </c>
      <c r="M28" s="1">
        <f t="shared" si="4"/>
        <v>1098.1289999999999</v>
      </c>
      <c r="N28" s="1"/>
      <c r="O28" s="1">
        <v>0</v>
      </c>
      <c r="P28" s="1"/>
      <c r="Q28" s="1"/>
      <c r="R28" s="1"/>
      <c r="S28" s="1">
        <v>0</v>
      </c>
      <c r="T28" s="19"/>
      <c r="U28" s="1">
        <f t="shared" si="5"/>
        <v>219.62579999999997</v>
      </c>
      <c r="V28" s="5">
        <f t="shared" ref="V28" si="12">11*U28-S28-R28-Q28-P28-O28-F28</f>
        <v>740.74379999999951</v>
      </c>
      <c r="W28" s="1">
        <f t="shared" si="7"/>
        <v>11</v>
      </c>
      <c r="X28" s="1">
        <f t="shared" si="8"/>
        <v>7.6272459792975154</v>
      </c>
      <c r="Y28" s="1">
        <v>196.6198</v>
      </c>
      <c r="Z28" s="1">
        <v>221.1712</v>
      </c>
      <c r="AA28" s="1">
        <v>225.0454</v>
      </c>
      <c r="AB28" s="1">
        <v>231.65860000000001</v>
      </c>
      <c r="AC28" s="1">
        <v>235.7996</v>
      </c>
      <c r="AD28" s="1">
        <v>278.0154</v>
      </c>
      <c r="AE28" s="1">
        <v>227.65520000000001</v>
      </c>
      <c r="AF28" s="1">
        <v>207.39060000000001</v>
      </c>
      <c r="AG28" s="1"/>
      <c r="AH28" s="1">
        <f>G28*V28</f>
        <v>740.74379999999951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x14ac:dyDescent="0.25">
      <c r="A29" s="1" t="s">
        <v>66</v>
      </c>
      <c r="B29" s="1" t="s">
        <v>37</v>
      </c>
      <c r="C29" s="1">
        <v>69.906999999999996</v>
      </c>
      <c r="D29" s="1">
        <v>3822.8780000000002</v>
      </c>
      <c r="E29" s="1">
        <v>2943.9430000000002</v>
      </c>
      <c r="F29" s="1">
        <v>686.125</v>
      </c>
      <c r="G29" s="7">
        <v>1</v>
      </c>
      <c r="H29" s="1">
        <v>40</v>
      </c>
      <c r="I29" s="11" t="s">
        <v>49</v>
      </c>
      <c r="J29" s="1"/>
      <c r="K29" s="1">
        <v>2960.4119999999998</v>
      </c>
      <c r="L29" s="1">
        <f t="shared" si="3"/>
        <v>-16.468999999999596</v>
      </c>
      <c r="M29" s="1">
        <f t="shared" si="4"/>
        <v>2857.7310000000002</v>
      </c>
      <c r="N29" s="1">
        <v>86.212000000000003</v>
      </c>
      <c r="O29" s="1">
        <v>3710</v>
      </c>
      <c r="P29" s="1"/>
      <c r="Q29" s="1">
        <v>3505</v>
      </c>
      <c r="R29" s="1"/>
      <c r="S29" s="1">
        <v>0</v>
      </c>
      <c r="T29" s="19"/>
      <c r="U29" s="1">
        <f t="shared" si="5"/>
        <v>571.5462</v>
      </c>
      <c r="V29" s="5"/>
      <c r="W29" s="1">
        <f t="shared" si="7"/>
        <v>13.824123054269279</v>
      </c>
      <c r="X29" s="1">
        <f t="shared" si="8"/>
        <v>13.824123054269279</v>
      </c>
      <c r="Y29" s="1">
        <v>586.11699999999996</v>
      </c>
      <c r="Z29" s="1">
        <v>710.12940000000003</v>
      </c>
      <c r="AA29" s="1">
        <v>412.98540000000003</v>
      </c>
      <c r="AB29" s="1">
        <v>192.2834</v>
      </c>
      <c r="AC29" s="1">
        <v>374.25259999999997</v>
      </c>
      <c r="AD29" s="1">
        <v>576.91759999999999</v>
      </c>
      <c r="AE29" s="1">
        <v>427.83499999999998</v>
      </c>
      <c r="AF29" s="1">
        <v>330.09280000000001</v>
      </c>
      <c r="AG29" s="1"/>
      <c r="AH29" s="1">
        <f>G29*V29</f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x14ac:dyDescent="0.25">
      <c r="A30" s="10" t="s">
        <v>67</v>
      </c>
      <c r="B30" s="10" t="s">
        <v>37</v>
      </c>
      <c r="C30" s="10"/>
      <c r="D30" s="10"/>
      <c r="E30" s="10"/>
      <c r="F30" s="10"/>
      <c r="G30" s="9">
        <v>0</v>
      </c>
      <c r="H30" s="10"/>
      <c r="I30" s="10" t="s">
        <v>38</v>
      </c>
      <c r="J30" s="10"/>
      <c r="K30" s="10"/>
      <c r="L30" s="10">
        <f t="shared" si="3"/>
        <v>0</v>
      </c>
      <c r="M30" s="10">
        <f t="shared" si="4"/>
        <v>0</v>
      </c>
      <c r="N30" s="10"/>
      <c r="O30" s="10"/>
      <c r="P30" s="10"/>
      <c r="Q30" s="10"/>
      <c r="R30" s="10"/>
      <c r="S30" s="10">
        <v>0</v>
      </c>
      <c r="T30" s="21"/>
      <c r="U30" s="10">
        <f t="shared" si="5"/>
        <v>0</v>
      </c>
      <c r="V30" s="12"/>
      <c r="W30" s="10" t="e">
        <f t="shared" si="7"/>
        <v>#DIV/0!</v>
      </c>
      <c r="X30" s="10" t="e">
        <f t="shared" si="8"/>
        <v>#DIV/0!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 t="s">
        <v>55</v>
      </c>
      <c r="AH30" s="10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 x14ac:dyDescent="0.25">
      <c r="A31" s="10" t="s">
        <v>68</v>
      </c>
      <c r="B31" s="10" t="s">
        <v>37</v>
      </c>
      <c r="C31" s="10"/>
      <c r="D31" s="10"/>
      <c r="E31" s="10"/>
      <c r="F31" s="10"/>
      <c r="G31" s="9">
        <v>0</v>
      </c>
      <c r="H31" s="10"/>
      <c r="I31" s="10" t="s">
        <v>38</v>
      </c>
      <c r="J31" s="10"/>
      <c r="K31" s="10"/>
      <c r="L31" s="10">
        <f t="shared" si="3"/>
        <v>0</v>
      </c>
      <c r="M31" s="10">
        <f t="shared" si="4"/>
        <v>0</v>
      </c>
      <c r="N31" s="10"/>
      <c r="O31" s="10"/>
      <c r="P31" s="10"/>
      <c r="Q31" s="10"/>
      <c r="R31" s="10"/>
      <c r="S31" s="10">
        <v>0</v>
      </c>
      <c r="T31" s="21"/>
      <c r="U31" s="10">
        <f t="shared" si="5"/>
        <v>0</v>
      </c>
      <c r="V31" s="12"/>
      <c r="W31" s="10" t="e">
        <f t="shared" si="7"/>
        <v>#DIV/0!</v>
      </c>
      <c r="X31" s="10" t="e">
        <f t="shared" si="8"/>
        <v>#DIV/0!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 t="s">
        <v>55</v>
      </c>
      <c r="AH31" s="10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x14ac:dyDescent="0.25">
      <c r="A32" s="10" t="s">
        <v>69</v>
      </c>
      <c r="B32" s="10" t="s">
        <v>37</v>
      </c>
      <c r="C32" s="10"/>
      <c r="D32" s="10"/>
      <c r="E32" s="10"/>
      <c r="F32" s="10"/>
      <c r="G32" s="9">
        <v>0</v>
      </c>
      <c r="H32" s="10"/>
      <c r="I32" s="10" t="s">
        <v>38</v>
      </c>
      <c r="J32" s="10"/>
      <c r="K32" s="10"/>
      <c r="L32" s="10">
        <f t="shared" si="3"/>
        <v>0</v>
      </c>
      <c r="M32" s="10">
        <f t="shared" si="4"/>
        <v>0</v>
      </c>
      <c r="N32" s="10"/>
      <c r="O32" s="10"/>
      <c r="P32" s="10"/>
      <c r="Q32" s="10"/>
      <c r="R32" s="10"/>
      <c r="S32" s="10">
        <v>0</v>
      </c>
      <c r="T32" s="21"/>
      <c r="U32" s="10">
        <f t="shared" si="5"/>
        <v>0</v>
      </c>
      <c r="V32" s="12"/>
      <c r="W32" s="10" t="e">
        <f t="shared" si="7"/>
        <v>#DIV/0!</v>
      </c>
      <c r="X32" s="10" t="e">
        <f t="shared" si="8"/>
        <v>#DIV/0!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 t="s">
        <v>55</v>
      </c>
      <c r="AH32" s="10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 x14ac:dyDescent="0.25">
      <c r="A33" s="10" t="s">
        <v>70</v>
      </c>
      <c r="B33" s="10" t="s">
        <v>37</v>
      </c>
      <c r="C33" s="10"/>
      <c r="D33" s="10"/>
      <c r="E33" s="10"/>
      <c r="F33" s="10"/>
      <c r="G33" s="9">
        <v>0</v>
      </c>
      <c r="H33" s="10"/>
      <c r="I33" s="10" t="s">
        <v>38</v>
      </c>
      <c r="J33" s="10"/>
      <c r="K33" s="10"/>
      <c r="L33" s="10">
        <f t="shared" si="3"/>
        <v>0</v>
      </c>
      <c r="M33" s="10">
        <f t="shared" si="4"/>
        <v>0</v>
      </c>
      <c r="N33" s="10"/>
      <c r="O33" s="10"/>
      <c r="P33" s="10"/>
      <c r="Q33" s="10"/>
      <c r="R33" s="10"/>
      <c r="S33" s="10">
        <v>0</v>
      </c>
      <c r="T33" s="21"/>
      <c r="U33" s="10">
        <f t="shared" si="5"/>
        <v>0</v>
      </c>
      <c r="V33" s="12"/>
      <c r="W33" s="10" t="e">
        <f t="shared" si="7"/>
        <v>#DIV/0!</v>
      </c>
      <c r="X33" s="10" t="e">
        <f t="shared" si="8"/>
        <v>#DIV/0!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 t="s">
        <v>55</v>
      </c>
      <c r="AH33" s="10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x14ac:dyDescent="0.25">
      <c r="A34" s="1" t="s">
        <v>71</v>
      </c>
      <c r="B34" s="1" t="s">
        <v>43</v>
      </c>
      <c r="C34" s="1">
        <v>2492</v>
      </c>
      <c r="D34" s="1">
        <v>2381</v>
      </c>
      <c r="E34" s="1">
        <v>3556</v>
      </c>
      <c r="F34" s="1">
        <v>615</v>
      </c>
      <c r="G34" s="7">
        <v>0.4</v>
      </c>
      <c r="H34" s="1">
        <v>45</v>
      </c>
      <c r="I34" s="11" t="s">
        <v>49</v>
      </c>
      <c r="J34" s="1"/>
      <c r="K34" s="1">
        <v>3873</v>
      </c>
      <c r="L34" s="1">
        <f t="shared" si="3"/>
        <v>-317</v>
      </c>
      <c r="M34" s="1">
        <f t="shared" si="4"/>
        <v>3430</v>
      </c>
      <c r="N34" s="1">
        <v>126</v>
      </c>
      <c r="O34" s="1">
        <v>1600</v>
      </c>
      <c r="P34" s="1"/>
      <c r="Q34" s="1">
        <v>2300</v>
      </c>
      <c r="R34" s="1"/>
      <c r="S34" s="1">
        <v>2604.4512000000009</v>
      </c>
      <c r="T34" s="19"/>
      <c r="U34" s="1">
        <f t="shared" si="5"/>
        <v>686</v>
      </c>
      <c r="V34" s="5">
        <v>700</v>
      </c>
      <c r="W34" s="1">
        <f t="shared" si="7"/>
        <v>11.398616909620992</v>
      </c>
      <c r="X34" s="1">
        <f t="shared" si="8"/>
        <v>10.378208746355687</v>
      </c>
      <c r="Y34" s="1">
        <v>679.4</v>
      </c>
      <c r="Z34" s="1">
        <v>754.6</v>
      </c>
      <c r="AA34" s="1">
        <v>654.79999999999995</v>
      </c>
      <c r="AB34" s="1">
        <v>869.4</v>
      </c>
      <c r="AC34" s="1">
        <v>631</v>
      </c>
      <c r="AD34" s="1">
        <v>648.4</v>
      </c>
      <c r="AE34" s="1">
        <v>1337.6</v>
      </c>
      <c r="AF34" s="1">
        <v>1183.5999999999999</v>
      </c>
      <c r="AG34" s="1" t="s">
        <v>40</v>
      </c>
      <c r="AH34" s="1">
        <f t="shared" ref="AH34:AH48" si="13">G34*V34</f>
        <v>280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 x14ac:dyDescent="0.25">
      <c r="A35" s="1" t="s">
        <v>72</v>
      </c>
      <c r="B35" s="1" t="s">
        <v>43</v>
      </c>
      <c r="C35" s="1">
        <v>396</v>
      </c>
      <c r="D35" s="1">
        <v>902</v>
      </c>
      <c r="E35" s="1">
        <v>537</v>
      </c>
      <c r="F35" s="1">
        <v>631</v>
      </c>
      <c r="G35" s="7">
        <v>0.45</v>
      </c>
      <c r="H35" s="1">
        <v>50</v>
      </c>
      <c r="I35" s="1" t="s">
        <v>38</v>
      </c>
      <c r="J35" s="1"/>
      <c r="K35" s="1">
        <v>691</v>
      </c>
      <c r="L35" s="1">
        <f t="shared" si="3"/>
        <v>-154</v>
      </c>
      <c r="M35" s="1">
        <f t="shared" si="4"/>
        <v>537</v>
      </c>
      <c r="N35" s="1"/>
      <c r="O35" s="1">
        <v>71.217999999999961</v>
      </c>
      <c r="P35" s="1"/>
      <c r="Q35" s="1">
        <v>284.87200000000001</v>
      </c>
      <c r="R35" s="1"/>
      <c r="S35" s="1">
        <v>372.40800000000002</v>
      </c>
      <c r="T35" s="19"/>
      <c r="U35" s="1">
        <f t="shared" si="5"/>
        <v>107.4</v>
      </c>
      <c r="V35" s="5"/>
      <c r="W35" s="1">
        <f t="shared" si="7"/>
        <v>12.658268156424581</v>
      </c>
      <c r="X35" s="1">
        <f t="shared" si="8"/>
        <v>12.658268156424581</v>
      </c>
      <c r="Y35" s="1">
        <v>120.4</v>
      </c>
      <c r="Z35" s="1">
        <v>124.2</v>
      </c>
      <c r="AA35" s="1">
        <v>129</v>
      </c>
      <c r="AB35" s="1">
        <v>84</v>
      </c>
      <c r="AC35" s="1">
        <v>83.2</v>
      </c>
      <c r="AD35" s="1">
        <v>183.328</v>
      </c>
      <c r="AE35" s="1">
        <v>310.8</v>
      </c>
      <c r="AF35" s="1">
        <v>224.2</v>
      </c>
      <c r="AG35" s="1"/>
      <c r="AH35" s="1">
        <f t="shared" si="13"/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x14ac:dyDescent="0.25">
      <c r="A36" s="1" t="s">
        <v>73</v>
      </c>
      <c r="B36" s="1" t="s">
        <v>43</v>
      </c>
      <c r="C36" s="1">
        <v>333</v>
      </c>
      <c r="D36" s="1">
        <v>2322</v>
      </c>
      <c r="E36" s="1">
        <v>867</v>
      </c>
      <c r="F36" s="1">
        <v>1701</v>
      </c>
      <c r="G36" s="7">
        <v>0.4</v>
      </c>
      <c r="H36" s="1">
        <v>45</v>
      </c>
      <c r="I36" s="11" t="s">
        <v>49</v>
      </c>
      <c r="J36" s="1"/>
      <c r="K36" s="1">
        <v>942</v>
      </c>
      <c r="L36" s="1">
        <f t="shared" si="3"/>
        <v>-75</v>
      </c>
      <c r="M36" s="1">
        <f t="shared" si="4"/>
        <v>867</v>
      </c>
      <c r="N36" s="1"/>
      <c r="O36" s="1">
        <v>0</v>
      </c>
      <c r="P36" s="1"/>
      <c r="Q36" s="1"/>
      <c r="R36" s="1"/>
      <c r="S36" s="1">
        <v>0</v>
      </c>
      <c r="T36" s="19"/>
      <c r="U36" s="1">
        <f t="shared" si="5"/>
        <v>173.4</v>
      </c>
      <c r="V36" s="5">
        <v>300</v>
      </c>
      <c r="W36" s="1">
        <f t="shared" si="7"/>
        <v>11.539792387543253</v>
      </c>
      <c r="X36" s="1">
        <f t="shared" si="8"/>
        <v>9.8096885813148784</v>
      </c>
      <c r="Y36" s="1">
        <v>179.2</v>
      </c>
      <c r="Z36" s="1">
        <v>210.4</v>
      </c>
      <c r="AA36" s="1">
        <v>192</v>
      </c>
      <c r="AB36" s="1">
        <v>152.4</v>
      </c>
      <c r="AC36" s="1">
        <v>151.6</v>
      </c>
      <c r="AD36" s="1">
        <v>137</v>
      </c>
      <c r="AE36" s="1">
        <v>55.2</v>
      </c>
      <c r="AF36" s="1">
        <v>16.600000000000001</v>
      </c>
      <c r="AG36" s="1"/>
      <c r="AH36" s="1">
        <f t="shared" si="13"/>
        <v>120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 x14ac:dyDescent="0.25">
      <c r="A37" s="1" t="s">
        <v>74</v>
      </c>
      <c r="B37" s="1" t="s">
        <v>43</v>
      </c>
      <c r="C37" s="1"/>
      <c r="D37" s="1">
        <v>258</v>
      </c>
      <c r="E37" s="1">
        <v>152</v>
      </c>
      <c r="F37" s="1">
        <v>33</v>
      </c>
      <c r="G37" s="7">
        <v>0.4</v>
      </c>
      <c r="H37" s="1">
        <v>40</v>
      </c>
      <c r="I37" s="11" t="s">
        <v>49</v>
      </c>
      <c r="J37" s="1"/>
      <c r="K37" s="1">
        <v>652</v>
      </c>
      <c r="L37" s="1">
        <f t="shared" si="3"/>
        <v>-500</v>
      </c>
      <c r="M37" s="1">
        <f t="shared" si="4"/>
        <v>152</v>
      </c>
      <c r="N37" s="1"/>
      <c r="O37" s="1">
        <v>65</v>
      </c>
      <c r="P37" s="1"/>
      <c r="Q37" s="1"/>
      <c r="R37" s="1"/>
      <c r="S37" s="1">
        <v>38.739999999999981</v>
      </c>
      <c r="T37" s="19"/>
      <c r="U37" s="1">
        <f t="shared" si="5"/>
        <v>30.4</v>
      </c>
      <c r="V37" s="5">
        <v>300</v>
      </c>
      <c r="W37" s="1">
        <f t="shared" si="7"/>
        <v>14.366447368421053</v>
      </c>
      <c r="X37" s="1">
        <f t="shared" si="8"/>
        <v>4.4980263157894731</v>
      </c>
      <c r="Y37" s="1">
        <v>20.399999999999999</v>
      </c>
      <c r="Z37" s="1">
        <v>0</v>
      </c>
      <c r="AA37" s="1">
        <v>1.8</v>
      </c>
      <c r="AB37" s="1">
        <v>13.6</v>
      </c>
      <c r="AC37" s="1">
        <v>18.8</v>
      </c>
      <c r="AD37" s="1">
        <v>7.4</v>
      </c>
      <c r="AE37" s="1">
        <v>-0.2</v>
      </c>
      <c r="AF37" s="1">
        <v>-0.2</v>
      </c>
      <c r="AG37" s="1"/>
      <c r="AH37" s="1">
        <f t="shared" si="13"/>
        <v>120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x14ac:dyDescent="0.25">
      <c r="A38" s="1" t="s">
        <v>75</v>
      </c>
      <c r="B38" s="1" t="s">
        <v>37</v>
      </c>
      <c r="C38" s="1">
        <v>167.244</v>
      </c>
      <c r="D38" s="1"/>
      <c r="E38" s="1">
        <v>14.316000000000001</v>
      </c>
      <c r="F38" s="1">
        <v>154.35400000000001</v>
      </c>
      <c r="G38" s="7">
        <v>1</v>
      </c>
      <c r="H38" s="1"/>
      <c r="I38" s="11" t="s">
        <v>49</v>
      </c>
      <c r="J38" s="1"/>
      <c r="K38" s="1">
        <v>11.4</v>
      </c>
      <c r="L38" s="1">
        <f t="shared" ref="L38:L69" si="14">E38-K38</f>
        <v>2.9160000000000004</v>
      </c>
      <c r="M38" s="1">
        <f t="shared" ref="M38:M69" si="15">E38-N38</f>
        <v>14.316000000000001</v>
      </c>
      <c r="N38" s="1"/>
      <c r="O38" s="1">
        <v>0</v>
      </c>
      <c r="P38" s="1"/>
      <c r="Q38" s="1"/>
      <c r="R38" s="1"/>
      <c r="S38" s="1">
        <v>0</v>
      </c>
      <c r="T38" s="19"/>
      <c r="U38" s="1">
        <f t="shared" ref="U38:U69" si="16">M38/5</f>
        <v>2.8632</v>
      </c>
      <c r="V38" s="5"/>
      <c r="W38" s="1">
        <f t="shared" si="7"/>
        <v>53.909611623358487</v>
      </c>
      <c r="X38" s="1">
        <f t="shared" si="8"/>
        <v>53.909611623358487</v>
      </c>
      <c r="Y38" s="1">
        <v>2.0015999999999998</v>
      </c>
      <c r="Z38" s="1">
        <v>2.2812000000000001</v>
      </c>
      <c r="AA38" s="1">
        <v>4.6482000000000001</v>
      </c>
      <c r="AB38" s="1">
        <v>6.3221999999999996</v>
      </c>
      <c r="AC38" s="1">
        <v>11.244199999999999</v>
      </c>
      <c r="AD38" s="1">
        <v>18.956</v>
      </c>
      <c r="AE38" s="1">
        <v>4.8393999999999986</v>
      </c>
      <c r="AF38" s="1">
        <v>5.6033999999999997</v>
      </c>
      <c r="AG38" s="15" t="s">
        <v>76</v>
      </c>
      <c r="AH38" s="1">
        <f t="shared" si="13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 x14ac:dyDescent="0.25">
      <c r="A39" s="1" t="s">
        <v>77</v>
      </c>
      <c r="B39" s="1" t="s">
        <v>43</v>
      </c>
      <c r="C39" s="1">
        <v>539</v>
      </c>
      <c r="D39" s="1">
        <v>208</v>
      </c>
      <c r="E39" s="1">
        <v>235</v>
      </c>
      <c r="F39" s="1">
        <v>493</v>
      </c>
      <c r="G39" s="7">
        <v>0.1</v>
      </c>
      <c r="H39" s="1">
        <v>731</v>
      </c>
      <c r="I39" s="1" t="s">
        <v>38</v>
      </c>
      <c r="J39" s="1"/>
      <c r="K39" s="1">
        <v>248</v>
      </c>
      <c r="L39" s="1">
        <f t="shared" si="14"/>
        <v>-13</v>
      </c>
      <c r="M39" s="1">
        <f t="shared" si="15"/>
        <v>235</v>
      </c>
      <c r="N39" s="1"/>
      <c r="O39" s="1"/>
      <c r="P39" s="1"/>
      <c r="Q39" s="1"/>
      <c r="R39" s="1"/>
      <c r="S39" s="1">
        <v>177.04599999999991</v>
      </c>
      <c r="T39" s="19"/>
      <c r="U39" s="1">
        <f t="shared" si="16"/>
        <v>47</v>
      </c>
      <c r="V39" s="5"/>
      <c r="W39" s="1">
        <f t="shared" si="7"/>
        <v>14.256297872340424</v>
      </c>
      <c r="X39" s="1">
        <f t="shared" si="8"/>
        <v>14.256297872340424</v>
      </c>
      <c r="Y39" s="1">
        <v>55.8</v>
      </c>
      <c r="Z39" s="1">
        <v>66.2</v>
      </c>
      <c r="AA39" s="1">
        <v>60.8</v>
      </c>
      <c r="AB39" s="1">
        <v>56</v>
      </c>
      <c r="AC39" s="1">
        <v>60</v>
      </c>
      <c r="AD39" s="1">
        <v>69.400000000000006</v>
      </c>
      <c r="AE39" s="1">
        <v>43</v>
      </c>
      <c r="AF39" s="1">
        <v>24</v>
      </c>
      <c r="AG39" s="1"/>
      <c r="AH39" s="1">
        <f t="shared" si="13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 x14ac:dyDescent="0.25">
      <c r="A40" s="1" t="s">
        <v>78</v>
      </c>
      <c r="B40" s="1" t="s">
        <v>43</v>
      </c>
      <c r="C40" s="1">
        <v>7</v>
      </c>
      <c r="D40" s="1"/>
      <c r="E40" s="1">
        <v>1.169</v>
      </c>
      <c r="F40" s="1">
        <v>1.831</v>
      </c>
      <c r="G40" s="7">
        <v>0.35</v>
      </c>
      <c r="H40" s="1">
        <v>40</v>
      </c>
      <c r="I40" s="11" t="s">
        <v>49</v>
      </c>
      <c r="J40" s="1"/>
      <c r="K40" s="1">
        <v>33</v>
      </c>
      <c r="L40" s="1">
        <f t="shared" si="14"/>
        <v>-31.831</v>
      </c>
      <c r="M40" s="1">
        <f t="shared" si="15"/>
        <v>1.169</v>
      </c>
      <c r="N40" s="1"/>
      <c r="O40" s="1">
        <v>52</v>
      </c>
      <c r="P40" s="1"/>
      <c r="Q40" s="1"/>
      <c r="R40" s="1"/>
      <c r="S40" s="1">
        <v>39</v>
      </c>
      <c r="T40" s="19"/>
      <c r="U40" s="1">
        <f t="shared" si="16"/>
        <v>0.23380000000000001</v>
      </c>
      <c r="V40" s="5"/>
      <c r="W40" s="1">
        <f t="shared" si="7"/>
        <v>397.05303678357569</v>
      </c>
      <c r="X40" s="1">
        <f t="shared" si="8"/>
        <v>397.05303678357569</v>
      </c>
      <c r="Y40" s="1">
        <v>-0.2</v>
      </c>
      <c r="Z40" s="1">
        <v>-0.4</v>
      </c>
      <c r="AA40" s="1">
        <v>17.399999999999999</v>
      </c>
      <c r="AB40" s="1">
        <v>18.2</v>
      </c>
      <c r="AC40" s="1">
        <v>0.4</v>
      </c>
      <c r="AD40" s="1">
        <v>0.6</v>
      </c>
      <c r="AE40" s="1">
        <v>-0.8</v>
      </c>
      <c r="AF40" s="1">
        <v>-1.8</v>
      </c>
      <c r="AG40" s="1"/>
      <c r="AH40" s="1">
        <f t="shared" si="13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 x14ac:dyDescent="0.25">
      <c r="A41" s="1" t="s">
        <v>79</v>
      </c>
      <c r="B41" s="1" t="s">
        <v>37</v>
      </c>
      <c r="C41" s="1">
        <v>0.72799999999999998</v>
      </c>
      <c r="D41" s="1">
        <v>56.396999999999998</v>
      </c>
      <c r="E41" s="1">
        <v>20.263000000000002</v>
      </c>
      <c r="F41" s="1">
        <v>34.002000000000002</v>
      </c>
      <c r="G41" s="7">
        <v>1</v>
      </c>
      <c r="H41" s="1">
        <v>40</v>
      </c>
      <c r="I41" s="11" t="s">
        <v>49</v>
      </c>
      <c r="J41" s="1"/>
      <c r="K41" s="1">
        <v>23.02</v>
      </c>
      <c r="L41" s="1">
        <f t="shared" si="14"/>
        <v>-2.7569999999999979</v>
      </c>
      <c r="M41" s="1">
        <f t="shared" si="15"/>
        <v>20.263000000000002</v>
      </c>
      <c r="N41" s="1"/>
      <c r="O41" s="1">
        <v>52</v>
      </c>
      <c r="P41" s="1"/>
      <c r="Q41" s="1"/>
      <c r="R41" s="1"/>
      <c r="S41" s="1">
        <v>0</v>
      </c>
      <c r="T41" s="19"/>
      <c r="U41" s="1">
        <f t="shared" si="16"/>
        <v>4.0526</v>
      </c>
      <c r="V41" s="5"/>
      <c r="W41" s="1">
        <f t="shared" si="7"/>
        <v>21.221438089127968</v>
      </c>
      <c r="X41" s="1">
        <f t="shared" si="8"/>
        <v>21.221438089127968</v>
      </c>
      <c r="Y41" s="1">
        <v>0.86860000000000004</v>
      </c>
      <c r="Z41" s="1">
        <v>1.5376000000000001</v>
      </c>
      <c r="AA41" s="1">
        <v>4.7845999999999993</v>
      </c>
      <c r="AB41" s="1">
        <v>3.8283999999999998</v>
      </c>
      <c r="AC41" s="1">
        <v>1.671</v>
      </c>
      <c r="AD41" s="1">
        <v>2.0398000000000001</v>
      </c>
      <c r="AE41" s="1">
        <v>3.0230000000000001</v>
      </c>
      <c r="AF41" s="1">
        <v>3.0924</v>
      </c>
      <c r="AG41" s="1"/>
      <c r="AH41" s="1">
        <f t="shared" si="13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x14ac:dyDescent="0.25">
      <c r="A42" s="1" t="s">
        <v>80</v>
      </c>
      <c r="B42" s="1" t="s">
        <v>43</v>
      </c>
      <c r="C42" s="1">
        <v>47</v>
      </c>
      <c r="D42" s="1">
        <v>244</v>
      </c>
      <c r="E42" s="1">
        <v>266</v>
      </c>
      <c r="F42" s="1">
        <v>5</v>
      </c>
      <c r="G42" s="7">
        <v>0.4</v>
      </c>
      <c r="H42" s="1">
        <v>40</v>
      </c>
      <c r="I42" s="11" t="s">
        <v>49</v>
      </c>
      <c r="J42" s="1"/>
      <c r="K42" s="1">
        <v>371</v>
      </c>
      <c r="L42" s="1">
        <f t="shared" si="14"/>
        <v>-105</v>
      </c>
      <c r="M42" s="1">
        <f t="shared" si="15"/>
        <v>266</v>
      </c>
      <c r="N42" s="1"/>
      <c r="O42" s="1">
        <v>390</v>
      </c>
      <c r="P42" s="1"/>
      <c r="Q42" s="1">
        <v>195</v>
      </c>
      <c r="R42" s="1">
        <v>-180</v>
      </c>
      <c r="S42" s="1">
        <v>93.079999999999742</v>
      </c>
      <c r="T42" s="19"/>
      <c r="U42" s="1">
        <f t="shared" si="16"/>
        <v>53.2</v>
      </c>
      <c r="V42" s="5">
        <v>130</v>
      </c>
      <c r="W42" s="1">
        <f t="shared" si="7"/>
        <v>11.899999999999993</v>
      </c>
      <c r="X42" s="1">
        <f t="shared" si="8"/>
        <v>9.4563909774436041</v>
      </c>
      <c r="Y42" s="1">
        <v>65</v>
      </c>
      <c r="Z42" s="1">
        <v>73.2</v>
      </c>
      <c r="AA42" s="1">
        <v>57</v>
      </c>
      <c r="AB42" s="1">
        <v>51.2</v>
      </c>
      <c r="AC42" s="1">
        <v>38.4</v>
      </c>
      <c r="AD42" s="1">
        <v>34.6</v>
      </c>
      <c r="AE42" s="1">
        <v>39.4</v>
      </c>
      <c r="AF42" s="1">
        <v>36.6</v>
      </c>
      <c r="AG42" s="1"/>
      <c r="AH42" s="1">
        <f t="shared" si="13"/>
        <v>52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 x14ac:dyDescent="0.25">
      <c r="A43" s="1" t="s">
        <v>81</v>
      </c>
      <c r="B43" s="1" t="s">
        <v>43</v>
      </c>
      <c r="C43" s="1">
        <v>177</v>
      </c>
      <c r="D43" s="1">
        <v>470</v>
      </c>
      <c r="E43" s="1">
        <v>451</v>
      </c>
      <c r="F43" s="1">
        <v>77</v>
      </c>
      <c r="G43" s="7">
        <v>0.4</v>
      </c>
      <c r="H43" s="1">
        <v>45</v>
      </c>
      <c r="I43" s="11" t="s">
        <v>49</v>
      </c>
      <c r="J43" s="1"/>
      <c r="K43" s="1">
        <v>470</v>
      </c>
      <c r="L43" s="1">
        <f t="shared" si="14"/>
        <v>-19</v>
      </c>
      <c r="M43" s="1">
        <f t="shared" si="15"/>
        <v>451</v>
      </c>
      <c r="N43" s="1"/>
      <c r="O43" s="1">
        <v>522.59999999999991</v>
      </c>
      <c r="P43" s="1"/>
      <c r="Q43" s="1">
        <v>261.3</v>
      </c>
      <c r="R43" s="1"/>
      <c r="S43" s="1">
        <v>0</v>
      </c>
      <c r="T43" s="19"/>
      <c r="U43" s="1">
        <f t="shared" si="16"/>
        <v>90.2</v>
      </c>
      <c r="V43" s="5">
        <f t="shared" ref="V43" si="17">11*U43-S43-R43-Q43-P43-O43-F43</f>
        <v>131.30000000000018</v>
      </c>
      <c r="W43" s="1">
        <f t="shared" si="7"/>
        <v>11</v>
      </c>
      <c r="X43" s="1">
        <f t="shared" si="8"/>
        <v>9.5443458980044333</v>
      </c>
      <c r="Y43" s="1">
        <v>88</v>
      </c>
      <c r="Z43" s="1">
        <v>84</v>
      </c>
      <c r="AA43" s="1">
        <v>41.2</v>
      </c>
      <c r="AB43" s="1">
        <v>60.8</v>
      </c>
      <c r="AC43" s="1">
        <v>91.6</v>
      </c>
      <c r="AD43" s="1">
        <v>61.8</v>
      </c>
      <c r="AE43" s="1">
        <v>53.8</v>
      </c>
      <c r="AF43" s="1">
        <v>28.6</v>
      </c>
      <c r="AG43" s="1"/>
      <c r="AH43" s="1">
        <f t="shared" si="13"/>
        <v>52.520000000000074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x14ac:dyDescent="0.25">
      <c r="A44" s="1" t="s">
        <v>82</v>
      </c>
      <c r="B44" s="1" t="s">
        <v>37</v>
      </c>
      <c r="C44" s="1">
        <v>-0.72699999999999998</v>
      </c>
      <c r="D44" s="1"/>
      <c r="E44" s="1"/>
      <c r="F44" s="1">
        <v>-0.72699999999999998</v>
      </c>
      <c r="G44" s="7">
        <v>1</v>
      </c>
      <c r="H44" s="1">
        <v>40</v>
      </c>
      <c r="I44" s="11" t="s">
        <v>49</v>
      </c>
      <c r="J44" s="1"/>
      <c r="K44" s="1">
        <v>0.8</v>
      </c>
      <c r="L44" s="1">
        <f t="shared" si="14"/>
        <v>-0.8</v>
      </c>
      <c r="M44" s="1">
        <f t="shared" si="15"/>
        <v>0</v>
      </c>
      <c r="N44" s="1"/>
      <c r="O44" s="1">
        <v>130</v>
      </c>
      <c r="P44" s="1"/>
      <c r="Q44" s="1"/>
      <c r="R44" s="1"/>
      <c r="S44" s="1">
        <v>39</v>
      </c>
      <c r="T44" s="19"/>
      <c r="U44" s="1">
        <f t="shared" si="16"/>
        <v>0</v>
      </c>
      <c r="V44" s="5"/>
      <c r="W44" s="1" t="e">
        <f t="shared" si="7"/>
        <v>#DIV/0!</v>
      </c>
      <c r="X44" s="1" t="e">
        <f t="shared" si="8"/>
        <v>#DIV/0!</v>
      </c>
      <c r="Y44" s="1">
        <v>9.7788000000000004</v>
      </c>
      <c r="Z44" s="1">
        <v>18.235800000000001</v>
      </c>
      <c r="AA44" s="1">
        <v>15.523999999999999</v>
      </c>
      <c r="AB44" s="1">
        <v>12.8612</v>
      </c>
      <c r="AC44" s="1">
        <v>9.6170000000000009</v>
      </c>
      <c r="AD44" s="1">
        <v>3.972</v>
      </c>
      <c r="AE44" s="1">
        <v>4.1012000000000004</v>
      </c>
      <c r="AF44" s="1">
        <v>4.9813999999999998</v>
      </c>
      <c r="AG44" s="1" t="s">
        <v>40</v>
      </c>
      <c r="AH44" s="1">
        <f t="shared" si="13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 x14ac:dyDescent="0.25">
      <c r="A45" s="1" t="s">
        <v>83</v>
      </c>
      <c r="B45" s="1" t="s">
        <v>43</v>
      </c>
      <c r="C45" s="1">
        <v>2</v>
      </c>
      <c r="D45" s="1"/>
      <c r="E45" s="1">
        <v>-2</v>
      </c>
      <c r="F45" s="1">
        <v>-4</v>
      </c>
      <c r="G45" s="7">
        <v>0.35</v>
      </c>
      <c r="H45" s="1">
        <v>40</v>
      </c>
      <c r="I45" s="11" t="s">
        <v>49</v>
      </c>
      <c r="J45" s="1"/>
      <c r="K45" s="1">
        <v>192</v>
      </c>
      <c r="L45" s="1">
        <f t="shared" si="14"/>
        <v>-194</v>
      </c>
      <c r="M45" s="1">
        <f t="shared" si="15"/>
        <v>-2</v>
      </c>
      <c r="N45" s="1"/>
      <c r="O45" s="1">
        <v>260</v>
      </c>
      <c r="P45" s="1"/>
      <c r="Q45" s="1"/>
      <c r="R45" s="1"/>
      <c r="S45" s="1">
        <v>152.68499999999989</v>
      </c>
      <c r="T45" s="19"/>
      <c r="U45" s="1">
        <f t="shared" si="16"/>
        <v>-0.4</v>
      </c>
      <c r="V45" s="5">
        <v>50</v>
      </c>
      <c r="W45" s="1">
        <f t="shared" si="7"/>
        <v>-1146.7124999999996</v>
      </c>
      <c r="X45" s="1">
        <f t="shared" si="8"/>
        <v>-1021.7124999999996</v>
      </c>
      <c r="Y45" s="1">
        <v>31.2</v>
      </c>
      <c r="Z45" s="1">
        <v>60.8</v>
      </c>
      <c r="AA45" s="1">
        <v>78.400000000000006</v>
      </c>
      <c r="AB45" s="1">
        <v>297.39999999999998</v>
      </c>
      <c r="AC45" s="1">
        <v>286.60000000000002</v>
      </c>
      <c r="AD45" s="1">
        <v>77.599999999999994</v>
      </c>
      <c r="AE45" s="1">
        <v>42.2</v>
      </c>
      <c r="AF45" s="1">
        <v>3.4</v>
      </c>
      <c r="AG45" s="1" t="s">
        <v>84</v>
      </c>
      <c r="AH45" s="1">
        <f t="shared" si="13"/>
        <v>17.5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x14ac:dyDescent="0.25">
      <c r="A46" s="1" t="s">
        <v>85</v>
      </c>
      <c r="B46" s="1" t="s">
        <v>43</v>
      </c>
      <c r="C46" s="1">
        <v>571</v>
      </c>
      <c r="D46" s="1">
        <v>3</v>
      </c>
      <c r="E46" s="1">
        <v>345</v>
      </c>
      <c r="F46" s="1">
        <v>191</v>
      </c>
      <c r="G46" s="7">
        <v>0.4</v>
      </c>
      <c r="H46" s="1">
        <v>40</v>
      </c>
      <c r="I46" s="11" t="s">
        <v>49</v>
      </c>
      <c r="J46" s="1"/>
      <c r="K46" s="1">
        <v>351</v>
      </c>
      <c r="L46" s="1">
        <f t="shared" si="14"/>
        <v>-6</v>
      </c>
      <c r="M46" s="1">
        <f t="shared" si="15"/>
        <v>345</v>
      </c>
      <c r="N46" s="1"/>
      <c r="O46" s="1">
        <v>260</v>
      </c>
      <c r="P46" s="1"/>
      <c r="Q46" s="1"/>
      <c r="R46" s="1"/>
      <c r="S46" s="1">
        <v>468</v>
      </c>
      <c r="T46" s="19"/>
      <c r="U46" s="1">
        <f t="shared" si="16"/>
        <v>69</v>
      </c>
      <c r="V46" s="5"/>
      <c r="W46" s="1">
        <f t="shared" si="7"/>
        <v>13.318840579710145</v>
      </c>
      <c r="X46" s="1">
        <f t="shared" si="8"/>
        <v>13.318840579710145</v>
      </c>
      <c r="Y46" s="1">
        <v>79.400000000000006</v>
      </c>
      <c r="Z46" s="1">
        <v>67.400000000000006</v>
      </c>
      <c r="AA46" s="1">
        <v>75.400000000000006</v>
      </c>
      <c r="AB46" s="1">
        <v>92</v>
      </c>
      <c r="AC46" s="1">
        <v>107</v>
      </c>
      <c r="AD46" s="1">
        <v>103</v>
      </c>
      <c r="AE46" s="1">
        <v>65.599999999999994</v>
      </c>
      <c r="AF46" s="1">
        <v>59</v>
      </c>
      <c r="AG46" s="1"/>
      <c r="AH46" s="1">
        <f t="shared" si="13"/>
        <v>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 x14ac:dyDescent="0.25">
      <c r="A47" s="1" t="s">
        <v>86</v>
      </c>
      <c r="B47" s="1" t="s">
        <v>37</v>
      </c>
      <c r="C47" s="1">
        <v>52.872999999999998</v>
      </c>
      <c r="D47" s="1">
        <v>318.923</v>
      </c>
      <c r="E47" s="1">
        <v>205.23500000000001</v>
      </c>
      <c r="F47" s="1">
        <v>131.53700000000001</v>
      </c>
      <c r="G47" s="7">
        <v>1</v>
      </c>
      <c r="H47" s="1">
        <v>50</v>
      </c>
      <c r="I47" s="1" t="s">
        <v>38</v>
      </c>
      <c r="J47" s="1"/>
      <c r="K47" s="1">
        <v>203.75</v>
      </c>
      <c r="L47" s="1">
        <f t="shared" si="14"/>
        <v>1.4850000000000136</v>
      </c>
      <c r="M47" s="1">
        <f t="shared" si="15"/>
        <v>205.23500000000001</v>
      </c>
      <c r="N47" s="1"/>
      <c r="O47" s="1"/>
      <c r="P47" s="1"/>
      <c r="Q47" s="1"/>
      <c r="R47" s="1"/>
      <c r="S47" s="1">
        <v>0</v>
      </c>
      <c r="T47" s="19"/>
      <c r="U47" s="1">
        <f t="shared" si="16"/>
        <v>41.047000000000004</v>
      </c>
      <c r="V47" s="5">
        <f>9*U47-S47-R47-Q47-P47-O47-F47</f>
        <v>237.88600000000005</v>
      </c>
      <c r="W47" s="1">
        <f t="shared" si="7"/>
        <v>9</v>
      </c>
      <c r="X47" s="1">
        <f t="shared" si="8"/>
        <v>3.2045460082344626</v>
      </c>
      <c r="Y47" s="1">
        <v>19.833600000000001</v>
      </c>
      <c r="Z47" s="1">
        <v>20.871600000000001</v>
      </c>
      <c r="AA47" s="1">
        <v>29.981400000000001</v>
      </c>
      <c r="AB47" s="1">
        <v>29.677399999999999</v>
      </c>
      <c r="AC47" s="1">
        <v>19.035</v>
      </c>
      <c r="AD47" s="1">
        <v>16.658200000000001</v>
      </c>
      <c r="AE47" s="1">
        <v>12.968</v>
      </c>
      <c r="AF47" s="1">
        <v>15.1008</v>
      </c>
      <c r="AG47" s="1"/>
      <c r="AH47" s="1">
        <f t="shared" si="13"/>
        <v>237.88600000000005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x14ac:dyDescent="0.25">
      <c r="A48" s="1" t="s">
        <v>87</v>
      </c>
      <c r="B48" s="1" t="s">
        <v>37</v>
      </c>
      <c r="C48" s="1">
        <v>703.46299999999997</v>
      </c>
      <c r="D48" s="1">
        <v>1161.0070000000001</v>
      </c>
      <c r="E48" s="1">
        <v>1001.241</v>
      </c>
      <c r="F48" s="1">
        <v>2.827</v>
      </c>
      <c r="G48" s="7">
        <v>1</v>
      </c>
      <c r="H48" s="1">
        <v>50</v>
      </c>
      <c r="I48" s="1" t="s">
        <v>38</v>
      </c>
      <c r="J48" s="1"/>
      <c r="K48" s="1">
        <v>1114.547</v>
      </c>
      <c r="L48" s="1">
        <f t="shared" si="14"/>
        <v>-113.30600000000004</v>
      </c>
      <c r="M48" s="1">
        <f t="shared" si="15"/>
        <v>527.94399999999996</v>
      </c>
      <c r="N48" s="1">
        <v>473.29700000000003</v>
      </c>
      <c r="O48" s="1"/>
      <c r="P48" s="1"/>
      <c r="Q48" s="1"/>
      <c r="R48" s="1"/>
      <c r="S48" s="1">
        <v>1567.5228480000001</v>
      </c>
      <c r="T48" s="19"/>
      <c r="U48" s="1">
        <f t="shared" si="16"/>
        <v>105.58879999999999</v>
      </c>
      <c r="V48" s="5"/>
      <c r="W48" s="1">
        <f t="shared" si="7"/>
        <v>14.872314563665846</v>
      </c>
      <c r="X48" s="1">
        <f t="shared" si="8"/>
        <v>14.872314563665846</v>
      </c>
      <c r="Y48" s="1">
        <v>141.5504</v>
      </c>
      <c r="Z48" s="1">
        <v>82.66</v>
      </c>
      <c r="AA48" s="1">
        <v>80.614800000000002</v>
      </c>
      <c r="AB48" s="1">
        <v>94.964200000000005</v>
      </c>
      <c r="AC48" s="1">
        <v>153.36920000000001</v>
      </c>
      <c r="AD48" s="1">
        <v>161.00640000000001</v>
      </c>
      <c r="AE48" s="1">
        <v>71.831199999999995</v>
      </c>
      <c r="AF48" s="1">
        <v>69.209599999999995</v>
      </c>
      <c r="AG48" s="1" t="s">
        <v>40</v>
      </c>
      <c r="AH48" s="1">
        <f t="shared" si="13"/>
        <v>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45" x14ac:dyDescent="0.25">
      <c r="A49" s="10" t="s">
        <v>88</v>
      </c>
      <c r="B49" s="10" t="s">
        <v>37</v>
      </c>
      <c r="C49" s="10"/>
      <c r="D49" s="10"/>
      <c r="E49" s="10"/>
      <c r="F49" s="10"/>
      <c r="G49" s="9">
        <v>0</v>
      </c>
      <c r="H49" s="10"/>
      <c r="I49" s="10" t="s">
        <v>38</v>
      </c>
      <c r="J49" s="10"/>
      <c r="K49" s="10"/>
      <c r="L49" s="10">
        <f t="shared" si="14"/>
        <v>0</v>
      </c>
      <c r="M49" s="10">
        <f t="shared" si="15"/>
        <v>0</v>
      </c>
      <c r="N49" s="10"/>
      <c r="O49" s="10"/>
      <c r="P49" s="10"/>
      <c r="Q49" s="10"/>
      <c r="R49" s="10"/>
      <c r="S49" s="10">
        <v>0</v>
      </c>
      <c r="T49" s="21"/>
      <c r="U49" s="10">
        <f t="shared" si="16"/>
        <v>0</v>
      </c>
      <c r="V49" s="12"/>
      <c r="W49" s="10" t="e">
        <f t="shared" si="7"/>
        <v>#DIV/0!</v>
      </c>
      <c r="X49" s="10" t="e">
        <f t="shared" si="8"/>
        <v>#DIV/0!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 t="s">
        <v>55</v>
      </c>
      <c r="AH49" s="10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1:45" x14ac:dyDescent="0.25">
      <c r="A50" s="1" t="s">
        <v>89</v>
      </c>
      <c r="B50" s="1" t="s">
        <v>43</v>
      </c>
      <c r="C50" s="1">
        <v>501</v>
      </c>
      <c r="D50" s="1">
        <v>131</v>
      </c>
      <c r="E50" s="1">
        <v>320.01799999999997</v>
      </c>
      <c r="F50" s="1">
        <v>305.98200000000003</v>
      </c>
      <c r="G50" s="7">
        <v>0.45</v>
      </c>
      <c r="H50" s="1">
        <v>50</v>
      </c>
      <c r="I50" s="1" t="s">
        <v>38</v>
      </c>
      <c r="J50" s="1"/>
      <c r="K50" s="1">
        <v>323</v>
      </c>
      <c r="L50" s="1">
        <f t="shared" si="14"/>
        <v>-2.9820000000000277</v>
      </c>
      <c r="M50" s="1">
        <f t="shared" si="15"/>
        <v>320.01799999999997</v>
      </c>
      <c r="N50" s="1"/>
      <c r="O50" s="1"/>
      <c r="P50" s="1"/>
      <c r="Q50" s="1"/>
      <c r="R50" s="1"/>
      <c r="S50" s="1">
        <v>258.87613199999993</v>
      </c>
      <c r="T50" s="19"/>
      <c r="U50" s="1">
        <f t="shared" si="16"/>
        <v>64.003599999999992</v>
      </c>
      <c r="V50" s="5">
        <f t="shared" ref="V50" si="18">11*U50-S50-R50-Q50-P50-O50-F50</f>
        <v>139.181468</v>
      </c>
      <c r="W50" s="1">
        <f t="shared" si="7"/>
        <v>11</v>
      </c>
      <c r="X50" s="1">
        <f t="shared" si="8"/>
        <v>8.8254118830815766</v>
      </c>
      <c r="Y50" s="1">
        <v>53.003599999999992</v>
      </c>
      <c r="Z50" s="1">
        <v>62.2</v>
      </c>
      <c r="AA50" s="1">
        <v>72.400000000000006</v>
      </c>
      <c r="AB50" s="1">
        <v>68</v>
      </c>
      <c r="AC50" s="1">
        <v>63</v>
      </c>
      <c r="AD50" s="1">
        <v>61</v>
      </c>
      <c r="AE50" s="1">
        <v>62.8</v>
      </c>
      <c r="AF50" s="1">
        <v>62.4</v>
      </c>
      <c r="AG50" s="1"/>
      <c r="AH50" s="1">
        <f>G50*V50</f>
        <v>62.631660599999996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1:45" x14ac:dyDescent="0.25">
      <c r="A51" s="1" t="s">
        <v>90</v>
      </c>
      <c r="B51" s="1" t="s">
        <v>43</v>
      </c>
      <c r="C51" s="1">
        <v>508</v>
      </c>
      <c r="D51" s="1">
        <v>336</v>
      </c>
      <c r="E51" s="1">
        <v>443</v>
      </c>
      <c r="F51" s="1">
        <v>372</v>
      </c>
      <c r="G51" s="7">
        <v>0.45</v>
      </c>
      <c r="H51" s="1">
        <v>50</v>
      </c>
      <c r="I51" s="1" t="s">
        <v>38</v>
      </c>
      <c r="J51" s="1"/>
      <c r="K51" s="1">
        <v>451</v>
      </c>
      <c r="L51" s="1">
        <f t="shared" si="14"/>
        <v>-8</v>
      </c>
      <c r="M51" s="1">
        <f t="shared" si="15"/>
        <v>443</v>
      </c>
      <c r="N51" s="1"/>
      <c r="O51" s="1">
        <v>121.1039999999999</v>
      </c>
      <c r="P51" s="1"/>
      <c r="Q51" s="1">
        <v>484.41599999999983</v>
      </c>
      <c r="R51" s="1"/>
      <c r="S51" s="1">
        <v>309.46800000000019</v>
      </c>
      <c r="T51" s="19"/>
      <c r="U51" s="1">
        <f t="shared" si="16"/>
        <v>88.6</v>
      </c>
      <c r="V51" s="5"/>
      <c r="W51" s="1">
        <f t="shared" si="7"/>
        <v>14.525823927765236</v>
      </c>
      <c r="X51" s="1">
        <f t="shared" si="8"/>
        <v>14.525823927765236</v>
      </c>
      <c r="Y51" s="1">
        <v>112.4</v>
      </c>
      <c r="Z51" s="1">
        <v>111.6</v>
      </c>
      <c r="AA51" s="1">
        <v>97.4</v>
      </c>
      <c r="AB51" s="1">
        <v>85.4</v>
      </c>
      <c r="AC51" s="1">
        <v>118.6</v>
      </c>
      <c r="AD51" s="1">
        <v>121</v>
      </c>
      <c r="AE51" s="1">
        <v>89.2</v>
      </c>
      <c r="AF51" s="1">
        <v>85.2</v>
      </c>
      <c r="AG51" s="1"/>
      <c r="AH51" s="1">
        <f>G51*V51</f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1:45" x14ac:dyDescent="0.25">
      <c r="A52" s="10" t="s">
        <v>91</v>
      </c>
      <c r="B52" s="10" t="s">
        <v>43</v>
      </c>
      <c r="C52" s="10"/>
      <c r="D52" s="10"/>
      <c r="E52" s="10"/>
      <c r="F52" s="10"/>
      <c r="G52" s="9">
        <v>0</v>
      </c>
      <c r="H52" s="10"/>
      <c r="I52" s="10" t="s">
        <v>38</v>
      </c>
      <c r="J52" s="10"/>
      <c r="K52" s="10"/>
      <c r="L52" s="10">
        <f t="shared" si="14"/>
        <v>0</v>
      </c>
      <c r="M52" s="10">
        <f t="shared" si="15"/>
        <v>0</v>
      </c>
      <c r="N52" s="10"/>
      <c r="O52" s="10"/>
      <c r="P52" s="10"/>
      <c r="Q52" s="10"/>
      <c r="R52" s="10"/>
      <c r="S52" s="10">
        <v>0</v>
      </c>
      <c r="T52" s="21"/>
      <c r="U52" s="10">
        <f t="shared" si="16"/>
        <v>0</v>
      </c>
      <c r="V52" s="12"/>
      <c r="W52" s="10" t="e">
        <f t="shared" si="7"/>
        <v>#DIV/0!</v>
      </c>
      <c r="X52" s="10" t="e">
        <f t="shared" si="8"/>
        <v>#DIV/0!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 t="s">
        <v>55</v>
      </c>
      <c r="AH52" s="10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1:45" x14ac:dyDescent="0.25">
      <c r="A53" s="1" t="s">
        <v>92</v>
      </c>
      <c r="B53" s="1" t="s">
        <v>43</v>
      </c>
      <c r="C53" s="1">
        <v>94</v>
      </c>
      <c r="D53" s="1">
        <v>3</v>
      </c>
      <c r="E53" s="1">
        <v>19</v>
      </c>
      <c r="F53" s="1">
        <v>72</v>
      </c>
      <c r="G53" s="7">
        <v>0.4</v>
      </c>
      <c r="H53" s="1">
        <v>40</v>
      </c>
      <c r="I53" s="11" t="s">
        <v>49</v>
      </c>
      <c r="J53" s="1"/>
      <c r="K53" s="1">
        <v>22</v>
      </c>
      <c r="L53" s="1">
        <f t="shared" si="14"/>
        <v>-3</v>
      </c>
      <c r="M53" s="1">
        <f t="shared" si="15"/>
        <v>19</v>
      </c>
      <c r="N53" s="1"/>
      <c r="O53" s="1">
        <v>0</v>
      </c>
      <c r="P53" s="1"/>
      <c r="Q53" s="1"/>
      <c r="R53" s="1"/>
      <c r="S53" s="1">
        <v>16.899999999999999</v>
      </c>
      <c r="T53" s="19"/>
      <c r="U53" s="1">
        <f t="shared" si="16"/>
        <v>3.8</v>
      </c>
      <c r="V53" s="5"/>
      <c r="W53" s="1">
        <f t="shared" si="7"/>
        <v>23.394736842105267</v>
      </c>
      <c r="X53" s="1">
        <f t="shared" si="8"/>
        <v>23.394736842105267</v>
      </c>
      <c r="Y53" s="1">
        <v>8</v>
      </c>
      <c r="Z53" s="1">
        <v>7.4</v>
      </c>
      <c r="AA53" s="1">
        <v>5.4</v>
      </c>
      <c r="AB53" s="1">
        <v>6</v>
      </c>
      <c r="AC53" s="1">
        <v>5.2</v>
      </c>
      <c r="AD53" s="1">
        <v>6.6</v>
      </c>
      <c r="AE53" s="1">
        <v>2.6</v>
      </c>
      <c r="AF53" s="1">
        <v>2.8</v>
      </c>
      <c r="AG53" s="14" t="s">
        <v>93</v>
      </c>
      <c r="AH53" s="1">
        <f t="shared" ref="AH53:AH67" si="19">G53*V53</f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1:45" x14ac:dyDescent="0.25">
      <c r="A54" s="1" t="s">
        <v>94</v>
      </c>
      <c r="B54" s="1" t="s">
        <v>37</v>
      </c>
      <c r="C54" s="1">
        <v>544.73199999999997</v>
      </c>
      <c r="D54" s="1">
        <v>954.22400000000005</v>
      </c>
      <c r="E54" s="1">
        <v>1032.2149999999999</v>
      </c>
      <c r="F54" s="1">
        <v>31.588000000000001</v>
      </c>
      <c r="G54" s="7">
        <v>1</v>
      </c>
      <c r="H54" s="1">
        <v>50</v>
      </c>
      <c r="I54" s="1" t="s">
        <v>38</v>
      </c>
      <c r="J54" s="1"/>
      <c r="K54" s="1">
        <v>1001.535</v>
      </c>
      <c r="L54" s="1">
        <f t="shared" si="14"/>
        <v>30.67999999999995</v>
      </c>
      <c r="M54" s="1">
        <f t="shared" si="15"/>
        <v>1032.2149999999999</v>
      </c>
      <c r="N54" s="1"/>
      <c r="O54" s="1">
        <v>232.55819151999989</v>
      </c>
      <c r="P54" s="1"/>
      <c r="Q54" s="1">
        <v>930.23276608000003</v>
      </c>
      <c r="R54" s="1"/>
      <c r="S54" s="1">
        <v>932.26674640000044</v>
      </c>
      <c r="T54" s="19"/>
      <c r="U54" s="1">
        <f t="shared" si="16"/>
        <v>206.44299999999998</v>
      </c>
      <c r="V54" s="5">
        <f t="shared" ref="V54:V64" si="20">11*U54-S54-R54-Q54-P54-O54-F54</f>
        <v>144.22729599999911</v>
      </c>
      <c r="W54" s="1">
        <f t="shared" si="7"/>
        <v>10.999999999999998</v>
      </c>
      <c r="X54" s="1">
        <f t="shared" si="8"/>
        <v>10.301369889025061</v>
      </c>
      <c r="Y54" s="1">
        <v>204.51920000000001</v>
      </c>
      <c r="Z54" s="1">
        <v>173.88640000000001</v>
      </c>
      <c r="AA54" s="1">
        <v>123.2016</v>
      </c>
      <c r="AB54" s="1">
        <v>136.36320000000001</v>
      </c>
      <c r="AC54" s="1">
        <v>140.7388</v>
      </c>
      <c r="AD54" s="1">
        <v>154.60720000000001</v>
      </c>
      <c r="AE54" s="1">
        <v>64.628200000000007</v>
      </c>
      <c r="AF54" s="1">
        <v>46.284599999999998</v>
      </c>
      <c r="AG54" s="1"/>
      <c r="AH54" s="1">
        <f t="shared" si="19"/>
        <v>144.22729599999911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1:45" x14ac:dyDescent="0.25">
      <c r="A55" s="1" t="s">
        <v>95</v>
      </c>
      <c r="B55" s="1" t="s">
        <v>43</v>
      </c>
      <c r="C55" s="1">
        <v>815</v>
      </c>
      <c r="D55" s="1">
        <v>65</v>
      </c>
      <c r="E55" s="13">
        <f>135+E129</f>
        <v>197</v>
      </c>
      <c r="F55" s="13">
        <f>528+F129</f>
        <v>675</v>
      </c>
      <c r="G55" s="7">
        <v>0.1</v>
      </c>
      <c r="H55" s="1">
        <v>731</v>
      </c>
      <c r="I55" s="1" t="s">
        <v>38</v>
      </c>
      <c r="J55" s="1"/>
      <c r="K55" s="1">
        <v>146</v>
      </c>
      <c r="L55" s="1">
        <f t="shared" si="14"/>
        <v>51</v>
      </c>
      <c r="M55" s="1">
        <f t="shared" si="15"/>
        <v>197</v>
      </c>
      <c r="N55" s="1"/>
      <c r="O55" s="1"/>
      <c r="P55" s="1"/>
      <c r="Q55" s="1"/>
      <c r="R55" s="1"/>
      <c r="S55" s="1">
        <v>0</v>
      </c>
      <c r="T55" s="19"/>
      <c r="U55" s="1">
        <f t="shared" si="16"/>
        <v>39.4</v>
      </c>
      <c r="V55" s="5"/>
      <c r="W55" s="1">
        <f t="shared" si="7"/>
        <v>17.131979695431472</v>
      </c>
      <c r="X55" s="1">
        <f t="shared" si="8"/>
        <v>17.131979695431472</v>
      </c>
      <c r="Y55" s="1">
        <v>46.6</v>
      </c>
      <c r="Z55" s="1">
        <v>63</v>
      </c>
      <c r="AA55" s="1">
        <v>65.400000000000006</v>
      </c>
      <c r="AB55" s="1">
        <v>33.4</v>
      </c>
      <c r="AC55" s="1">
        <v>37</v>
      </c>
      <c r="AD55" s="1">
        <v>62.6</v>
      </c>
      <c r="AE55" s="1">
        <v>35.200000000000003</v>
      </c>
      <c r="AF55" s="1">
        <v>18.2</v>
      </c>
      <c r="AG55" s="1"/>
      <c r="AH55" s="1">
        <f t="shared" si="19"/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1:45" x14ac:dyDescent="0.25">
      <c r="A56" s="1" t="s">
        <v>96</v>
      </c>
      <c r="B56" s="1" t="s">
        <v>37</v>
      </c>
      <c r="C56" s="1">
        <v>114.774</v>
      </c>
      <c r="D56" s="1">
        <v>1225.0920000000001</v>
      </c>
      <c r="E56" s="1">
        <v>512.08000000000004</v>
      </c>
      <c r="F56" s="1">
        <v>528.56700000000001</v>
      </c>
      <c r="G56" s="7">
        <v>1</v>
      </c>
      <c r="H56" s="1">
        <v>50</v>
      </c>
      <c r="I56" s="1" t="s">
        <v>38</v>
      </c>
      <c r="J56" s="1"/>
      <c r="K56" s="1">
        <v>527.35</v>
      </c>
      <c r="L56" s="1">
        <f t="shared" si="14"/>
        <v>-15.269999999999982</v>
      </c>
      <c r="M56" s="1">
        <f t="shared" si="15"/>
        <v>512.08000000000004</v>
      </c>
      <c r="N56" s="1"/>
      <c r="O56" s="1">
        <v>60</v>
      </c>
      <c r="P56" s="1"/>
      <c r="Q56" s="1">
        <v>240</v>
      </c>
      <c r="R56" s="1"/>
      <c r="S56" s="1">
        <v>0</v>
      </c>
      <c r="T56" s="19"/>
      <c r="U56" s="1">
        <f t="shared" si="16"/>
        <v>102.41600000000001</v>
      </c>
      <c r="V56" s="5">
        <f t="shared" si="20"/>
        <v>298.00900000000001</v>
      </c>
      <c r="W56" s="1">
        <f t="shared" si="7"/>
        <v>10.999999999999998</v>
      </c>
      <c r="X56" s="1">
        <f t="shared" si="8"/>
        <v>8.0902105139821892</v>
      </c>
      <c r="Y56" s="1">
        <v>87.879000000000005</v>
      </c>
      <c r="Z56" s="1">
        <v>99.554999999999993</v>
      </c>
      <c r="AA56" s="1">
        <v>115.2872</v>
      </c>
      <c r="AB56" s="1">
        <v>98.024599999999992</v>
      </c>
      <c r="AC56" s="1">
        <v>102.12820000000001</v>
      </c>
      <c r="AD56" s="1">
        <v>92.134600000000006</v>
      </c>
      <c r="AE56" s="1">
        <v>28.6614</v>
      </c>
      <c r="AF56" s="1">
        <v>42.103200000000001</v>
      </c>
      <c r="AG56" s="1"/>
      <c r="AH56" s="1">
        <f t="shared" si="19"/>
        <v>298.00900000000001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1:45" x14ac:dyDescent="0.25">
      <c r="A57" s="1" t="s">
        <v>97</v>
      </c>
      <c r="B57" s="1" t="s">
        <v>37</v>
      </c>
      <c r="C57" s="1"/>
      <c r="D57" s="1">
        <v>271.88</v>
      </c>
      <c r="E57" s="1">
        <v>16.041</v>
      </c>
      <c r="F57" s="1">
        <v>252.679</v>
      </c>
      <c r="G57" s="7">
        <v>1</v>
      </c>
      <c r="H57" s="1">
        <v>55</v>
      </c>
      <c r="I57" s="1" t="s">
        <v>38</v>
      </c>
      <c r="J57" s="1"/>
      <c r="K57" s="1">
        <v>15.9</v>
      </c>
      <c r="L57" s="1">
        <f t="shared" si="14"/>
        <v>0.14100000000000001</v>
      </c>
      <c r="M57" s="1">
        <f t="shared" si="15"/>
        <v>16.041</v>
      </c>
      <c r="N57" s="1"/>
      <c r="O57" s="1"/>
      <c r="P57" s="1"/>
      <c r="Q57" s="1"/>
      <c r="R57" s="1"/>
      <c r="S57" s="1">
        <v>0</v>
      </c>
      <c r="T57" s="19"/>
      <c r="U57" s="1">
        <f t="shared" si="16"/>
        <v>3.2082000000000002</v>
      </c>
      <c r="V57" s="5"/>
      <c r="W57" s="1">
        <f t="shared" si="7"/>
        <v>78.760364067078115</v>
      </c>
      <c r="X57" s="1">
        <f t="shared" si="8"/>
        <v>78.760364067078115</v>
      </c>
      <c r="Y57" s="1">
        <v>1.5431999999999999</v>
      </c>
      <c r="Z57" s="1">
        <v>4.0904000000000007</v>
      </c>
      <c r="AA57" s="1">
        <v>20.759</v>
      </c>
      <c r="AB57" s="1">
        <v>17.7484</v>
      </c>
      <c r="AC57" s="1">
        <v>2.9815999999999998</v>
      </c>
      <c r="AD57" s="1">
        <v>5.4039999999999999</v>
      </c>
      <c r="AE57" s="1">
        <v>9.4480000000000004</v>
      </c>
      <c r="AF57" s="1">
        <v>7.5763999999999996</v>
      </c>
      <c r="AG57" s="14" t="s">
        <v>93</v>
      </c>
      <c r="AH57" s="1">
        <f t="shared" si="19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1:45" x14ac:dyDescent="0.25">
      <c r="A58" s="1" t="s">
        <v>98</v>
      </c>
      <c r="B58" s="1" t="s">
        <v>43</v>
      </c>
      <c r="C58" s="1">
        <v>631</v>
      </c>
      <c r="D58" s="1">
        <v>63</v>
      </c>
      <c r="E58" s="1">
        <v>124</v>
      </c>
      <c r="F58" s="1">
        <v>554</v>
      </c>
      <c r="G58" s="7">
        <v>0.1</v>
      </c>
      <c r="H58" s="1">
        <v>731</v>
      </c>
      <c r="I58" s="1" t="s">
        <v>38</v>
      </c>
      <c r="J58" s="1"/>
      <c r="K58" s="1">
        <v>131</v>
      </c>
      <c r="L58" s="1">
        <f t="shared" si="14"/>
        <v>-7</v>
      </c>
      <c r="M58" s="1">
        <f t="shared" si="15"/>
        <v>124</v>
      </c>
      <c r="N58" s="1"/>
      <c r="O58" s="1"/>
      <c r="P58" s="1"/>
      <c r="Q58" s="1"/>
      <c r="R58" s="1"/>
      <c r="S58" s="1">
        <v>0</v>
      </c>
      <c r="T58" s="19"/>
      <c r="U58" s="1">
        <f t="shared" si="16"/>
        <v>24.8</v>
      </c>
      <c r="V58" s="5"/>
      <c r="W58" s="1">
        <f t="shared" si="7"/>
        <v>22.338709677419356</v>
      </c>
      <c r="X58" s="1">
        <f t="shared" si="8"/>
        <v>22.338709677419356</v>
      </c>
      <c r="Y58" s="1">
        <v>27.2</v>
      </c>
      <c r="Z58" s="1">
        <v>35</v>
      </c>
      <c r="AA58" s="1">
        <v>40.200000000000003</v>
      </c>
      <c r="AB58" s="1">
        <v>25.8</v>
      </c>
      <c r="AC58" s="1">
        <v>29</v>
      </c>
      <c r="AD58" s="1">
        <v>47</v>
      </c>
      <c r="AE58" s="1">
        <v>28.2</v>
      </c>
      <c r="AF58" s="1">
        <v>12</v>
      </c>
      <c r="AG58" s="14" t="s">
        <v>93</v>
      </c>
      <c r="AH58" s="1">
        <f t="shared" si="19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1:45" x14ac:dyDescent="0.25">
      <c r="A59" s="16" t="s">
        <v>99</v>
      </c>
      <c r="B59" s="1" t="s">
        <v>43</v>
      </c>
      <c r="C59" s="1"/>
      <c r="D59" s="1"/>
      <c r="E59" s="1"/>
      <c r="F59" s="1"/>
      <c r="G59" s="7">
        <v>0.4</v>
      </c>
      <c r="H59" s="1">
        <v>50</v>
      </c>
      <c r="I59" s="1" t="s">
        <v>38</v>
      </c>
      <c r="J59" s="1"/>
      <c r="K59" s="1"/>
      <c r="L59" s="1">
        <f t="shared" si="14"/>
        <v>0</v>
      </c>
      <c r="M59" s="1">
        <f t="shared" si="15"/>
        <v>0</v>
      </c>
      <c r="N59" s="1"/>
      <c r="O59" s="1">
        <v>10</v>
      </c>
      <c r="P59" s="1"/>
      <c r="Q59" s="1"/>
      <c r="R59" s="1"/>
      <c r="S59" s="1"/>
      <c r="T59" s="19"/>
      <c r="U59" s="1">
        <f t="shared" si="16"/>
        <v>0</v>
      </c>
      <c r="V59" s="5">
        <v>10</v>
      </c>
      <c r="W59" s="1" t="e">
        <f t="shared" si="7"/>
        <v>#DIV/0!</v>
      </c>
      <c r="X59" s="1" t="e">
        <f t="shared" si="8"/>
        <v>#DIV/0!</v>
      </c>
      <c r="Y59" s="1">
        <v>0.8</v>
      </c>
      <c r="Z59" s="1">
        <v>1.4</v>
      </c>
      <c r="AA59" s="1">
        <v>1</v>
      </c>
      <c r="AB59" s="1">
        <v>0.6</v>
      </c>
      <c r="AC59" s="1">
        <v>0.2</v>
      </c>
      <c r="AD59" s="1">
        <v>0.2</v>
      </c>
      <c r="AE59" s="1">
        <v>0.2</v>
      </c>
      <c r="AF59" s="1">
        <v>0.2</v>
      </c>
      <c r="AG59" s="1" t="s">
        <v>100</v>
      </c>
      <c r="AH59" s="1">
        <f t="shared" si="19"/>
        <v>4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1:45" x14ac:dyDescent="0.25">
      <c r="A60" s="1" t="s">
        <v>101</v>
      </c>
      <c r="B60" s="1" t="s">
        <v>37</v>
      </c>
      <c r="C60" s="1">
        <v>400.702</v>
      </c>
      <c r="D60" s="1">
        <v>400.10599999999999</v>
      </c>
      <c r="E60" s="1">
        <v>454.17099999999999</v>
      </c>
      <c r="F60" s="1">
        <v>113.387</v>
      </c>
      <c r="G60" s="7">
        <v>1</v>
      </c>
      <c r="H60" s="1">
        <v>40</v>
      </c>
      <c r="I60" s="11" t="s">
        <v>49</v>
      </c>
      <c r="J60" s="1"/>
      <c r="K60" s="1">
        <v>454.81200000000001</v>
      </c>
      <c r="L60" s="1">
        <f t="shared" si="14"/>
        <v>-0.64100000000001955</v>
      </c>
      <c r="M60" s="1">
        <f t="shared" si="15"/>
        <v>279.35899999999998</v>
      </c>
      <c r="N60" s="1">
        <v>174.81200000000001</v>
      </c>
      <c r="O60" s="1">
        <v>65</v>
      </c>
      <c r="P60" s="1"/>
      <c r="Q60" s="1"/>
      <c r="R60" s="1"/>
      <c r="S60" s="1">
        <v>650.78442000000018</v>
      </c>
      <c r="T60" s="19"/>
      <c r="U60" s="1">
        <f t="shared" si="16"/>
        <v>55.871799999999993</v>
      </c>
      <c r="V60" s="5"/>
      <c r="W60" s="1">
        <f t="shared" si="7"/>
        <v>14.840606889343107</v>
      </c>
      <c r="X60" s="1">
        <f t="shared" si="8"/>
        <v>14.840606889343107</v>
      </c>
      <c r="Y60" s="1">
        <v>77.281200000000013</v>
      </c>
      <c r="Z60" s="1">
        <v>50.870399999999997</v>
      </c>
      <c r="AA60" s="1">
        <v>19.090599999999998</v>
      </c>
      <c r="AB60" s="1">
        <v>23.803599999999999</v>
      </c>
      <c r="AC60" s="1">
        <v>71.302800000000005</v>
      </c>
      <c r="AD60" s="1">
        <v>74.102599999999995</v>
      </c>
      <c r="AE60" s="1">
        <v>40.983999999999988</v>
      </c>
      <c r="AF60" s="1">
        <v>8.3099999999999987</v>
      </c>
      <c r="AG60" s="1" t="s">
        <v>40</v>
      </c>
      <c r="AH60" s="1">
        <f t="shared" si="19"/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1:45" x14ac:dyDescent="0.25">
      <c r="A61" s="1" t="s">
        <v>102</v>
      </c>
      <c r="B61" s="1" t="s">
        <v>37</v>
      </c>
      <c r="C61" s="1">
        <v>15.821999999999999</v>
      </c>
      <c r="D61" s="1">
        <v>232.833</v>
      </c>
      <c r="E61" s="1">
        <v>103.976</v>
      </c>
      <c r="F61" s="1">
        <v>93.751000000000005</v>
      </c>
      <c r="G61" s="7">
        <v>1</v>
      </c>
      <c r="H61" s="1">
        <v>40</v>
      </c>
      <c r="I61" s="11" t="s">
        <v>49</v>
      </c>
      <c r="J61" s="1"/>
      <c r="K61" s="1">
        <v>157.69999999999999</v>
      </c>
      <c r="L61" s="1">
        <f t="shared" si="14"/>
        <v>-53.72399999999999</v>
      </c>
      <c r="M61" s="1">
        <f t="shared" si="15"/>
        <v>103.976</v>
      </c>
      <c r="N61" s="1"/>
      <c r="O61" s="1">
        <v>260</v>
      </c>
      <c r="P61" s="1"/>
      <c r="Q61" s="1"/>
      <c r="R61" s="1"/>
      <c r="S61" s="1">
        <v>0</v>
      </c>
      <c r="T61" s="19"/>
      <c r="U61" s="1">
        <f t="shared" si="16"/>
        <v>20.795200000000001</v>
      </c>
      <c r="V61" s="5"/>
      <c r="W61" s="1">
        <f t="shared" si="7"/>
        <v>17.011185273524656</v>
      </c>
      <c r="X61" s="1">
        <f t="shared" si="8"/>
        <v>17.011185273524656</v>
      </c>
      <c r="Y61" s="1">
        <v>1.9228000000000001</v>
      </c>
      <c r="Z61" s="1">
        <v>32.845799999999997</v>
      </c>
      <c r="AA61" s="1">
        <v>64.912599999999998</v>
      </c>
      <c r="AB61" s="1">
        <v>19.1128</v>
      </c>
      <c r="AC61" s="1">
        <v>32.8048</v>
      </c>
      <c r="AD61" s="1">
        <v>35.227999999999987</v>
      </c>
      <c r="AE61" s="1">
        <v>10.414</v>
      </c>
      <c r="AF61" s="1">
        <v>0.26600000000000001</v>
      </c>
      <c r="AG61" s="1" t="s">
        <v>40</v>
      </c>
      <c r="AH61" s="1">
        <f t="shared" si="19"/>
        <v>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1:45" x14ac:dyDescent="0.25">
      <c r="A62" s="1" t="s">
        <v>103</v>
      </c>
      <c r="B62" s="1" t="s">
        <v>43</v>
      </c>
      <c r="C62" s="1">
        <v>1523</v>
      </c>
      <c r="D62" s="1">
        <v>2</v>
      </c>
      <c r="E62" s="1">
        <v>713</v>
      </c>
      <c r="F62" s="1">
        <v>737</v>
      </c>
      <c r="G62" s="7">
        <v>0.4</v>
      </c>
      <c r="H62" s="1">
        <v>40</v>
      </c>
      <c r="I62" s="11" t="s">
        <v>49</v>
      </c>
      <c r="J62" s="1"/>
      <c r="K62" s="1">
        <v>727</v>
      </c>
      <c r="L62" s="1">
        <f t="shared" si="14"/>
        <v>-14</v>
      </c>
      <c r="M62" s="1">
        <f t="shared" si="15"/>
        <v>713</v>
      </c>
      <c r="N62" s="1"/>
      <c r="O62" s="1">
        <v>0</v>
      </c>
      <c r="P62" s="1"/>
      <c r="Q62" s="1"/>
      <c r="R62" s="1"/>
      <c r="S62" s="1">
        <v>100</v>
      </c>
      <c r="T62" s="19"/>
      <c r="U62" s="1">
        <f t="shared" si="16"/>
        <v>142.6</v>
      </c>
      <c r="V62" s="5">
        <f t="shared" si="20"/>
        <v>731.59999999999991</v>
      </c>
      <c r="W62" s="1">
        <f t="shared" si="7"/>
        <v>11</v>
      </c>
      <c r="X62" s="1">
        <f t="shared" si="8"/>
        <v>5.8695652173913047</v>
      </c>
      <c r="Y62" s="1">
        <v>143.80000000000001</v>
      </c>
      <c r="Z62" s="1">
        <v>123.8</v>
      </c>
      <c r="AA62" s="1">
        <v>114.2</v>
      </c>
      <c r="AB62" s="1">
        <v>94.8</v>
      </c>
      <c r="AC62" s="1">
        <v>209</v>
      </c>
      <c r="AD62" s="1">
        <v>283.39999999999998</v>
      </c>
      <c r="AE62" s="1">
        <v>167</v>
      </c>
      <c r="AF62" s="1">
        <v>155.6</v>
      </c>
      <c r="AG62" s="1"/>
      <c r="AH62" s="1">
        <f t="shared" si="19"/>
        <v>292.64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1:45" x14ac:dyDescent="0.25">
      <c r="A63" s="1" t="s">
        <v>104</v>
      </c>
      <c r="B63" s="1" t="s">
        <v>43</v>
      </c>
      <c r="C63" s="1">
        <v>289</v>
      </c>
      <c r="D63" s="1">
        <v>252</v>
      </c>
      <c r="E63" s="1">
        <v>385</v>
      </c>
      <c r="F63" s="1">
        <v>128</v>
      </c>
      <c r="G63" s="7">
        <v>0.4</v>
      </c>
      <c r="H63" s="1">
        <v>40</v>
      </c>
      <c r="I63" s="11" t="s">
        <v>49</v>
      </c>
      <c r="J63" s="1"/>
      <c r="K63" s="1">
        <v>382</v>
      </c>
      <c r="L63" s="1">
        <f t="shared" si="14"/>
        <v>3</v>
      </c>
      <c r="M63" s="1">
        <f t="shared" si="15"/>
        <v>385</v>
      </c>
      <c r="N63" s="1"/>
      <c r="O63" s="1">
        <v>413.4</v>
      </c>
      <c r="P63" s="1"/>
      <c r="Q63" s="1">
        <v>206.7</v>
      </c>
      <c r="R63" s="1"/>
      <c r="S63" s="1">
        <v>86.96999999999997</v>
      </c>
      <c r="T63" s="19"/>
      <c r="U63" s="1">
        <f t="shared" si="16"/>
        <v>77</v>
      </c>
      <c r="V63" s="5">
        <f t="shared" si="20"/>
        <v>11.92999999999995</v>
      </c>
      <c r="W63" s="1">
        <f t="shared" si="7"/>
        <v>10.999999999999998</v>
      </c>
      <c r="X63" s="1">
        <f t="shared" si="8"/>
        <v>10.845064935064935</v>
      </c>
      <c r="Y63" s="1">
        <v>82</v>
      </c>
      <c r="Z63" s="1">
        <v>72</v>
      </c>
      <c r="AA63" s="1">
        <v>53.8</v>
      </c>
      <c r="AB63" s="1">
        <v>26.4</v>
      </c>
      <c r="AC63" s="1">
        <v>52.6</v>
      </c>
      <c r="AD63" s="1">
        <v>97</v>
      </c>
      <c r="AE63" s="1">
        <v>65.8</v>
      </c>
      <c r="AF63" s="1">
        <v>20</v>
      </c>
      <c r="AG63" s="1"/>
      <c r="AH63" s="1">
        <f t="shared" si="19"/>
        <v>4.7719999999999798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1:45" x14ac:dyDescent="0.25">
      <c r="A64" s="1" t="s">
        <v>105</v>
      </c>
      <c r="B64" s="1" t="s">
        <v>37</v>
      </c>
      <c r="C64" s="1"/>
      <c r="D64" s="1">
        <v>458.459</v>
      </c>
      <c r="E64" s="1">
        <v>119.47</v>
      </c>
      <c r="F64" s="1">
        <v>218.16499999999999</v>
      </c>
      <c r="G64" s="7">
        <v>1</v>
      </c>
      <c r="H64" s="1">
        <v>40</v>
      </c>
      <c r="I64" s="11" t="s">
        <v>49</v>
      </c>
      <c r="J64" s="1"/>
      <c r="K64" s="1">
        <v>114.9</v>
      </c>
      <c r="L64" s="1">
        <f t="shared" si="14"/>
        <v>4.5699999999999932</v>
      </c>
      <c r="M64" s="1">
        <f t="shared" si="15"/>
        <v>119.47</v>
      </c>
      <c r="N64" s="1"/>
      <c r="O64" s="1">
        <v>0</v>
      </c>
      <c r="P64" s="1"/>
      <c r="Q64" s="1"/>
      <c r="R64" s="1"/>
      <c r="S64" s="1">
        <v>0</v>
      </c>
      <c r="T64" s="19"/>
      <c r="U64" s="1">
        <f t="shared" si="16"/>
        <v>23.893999999999998</v>
      </c>
      <c r="V64" s="5">
        <f t="shared" si="20"/>
        <v>44.669000000000011</v>
      </c>
      <c r="W64" s="1">
        <f t="shared" si="7"/>
        <v>11.000000000000002</v>
      </c>
      <c r="X64" s="1">
        <f t="shared" si="8"/>
        <v>9.1305348623085294</v>
      </c>
      <c r="Y64" s="1">
        <v>12.907400000000001</v>
      </c>
      <c r="Z64" s="1">
        <v>12.6274</v>
      </c>
      <c r="AA64" s="1">
        <v>29.1814</v>
      </c>
      <c r="AB64" s="1">
        <v>13.0938</v>
      </c>
      <c r="AC64" s="1">
        <v>1.0998000000000001</v>
      </c>
      <c r="AD64" s="1">
        <v>6.0128000000000004</v>
      </c>
      <c r="AE64" s="1">
        <v>19.421600000000002</v>
      </c>
      <c r="AF64" s="1">
        <v>9.282</v>
      </c>
      <c r="AG64" s="1"/>
      <c r="AH64" s="1">
        <f t="shared" si="19"/>
        <v>44.669000000000011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1:45" x14ac:dyDescent="0.25">
      <c r="A65" s="1" t="s">
        <v>106</v>
      </c>
      <c r="B65" s="1" t="s">
        <v>37</v>
      </c>
      <c r="C65" s="1"/>
      <c r="D65" s="1">
        <v>157.357</v>
      </c>
      <c r="E65" s="1">
        <v>48.232999999999997</v>
      </c>
      <c r="F65" s="1">
        <v>-3.0379999999999998</v>
      </c>
      <c r="G65" s="7">
        <v>1</v>
      </c>
      <c r="H65" s="1">
        <v>40</v>
      </c>
      <c r="I65" s="11" t="s">
        <v>49</v>
      </c>
      <c r="J65" s="1"/>
      <c r="K65" s="1">
        <v>58.9</v>
      </c>
      <c r="L65" s="1">
        <f t="shared" si="14"/>
        <v>-10.667000000000002</v>
      </c>
      <c r="M65" s="1">
        <f t="shared" si="15"/>
        <v>48.232999999999997</v>
      </c>
      <c r="N65" s="1"/>
      <c r="O65" s="1">
        <v>52</v>
      </c>
      <c r="P65" s="1"/>
      <c r="Q65" s="1"/>
      <c r="R65" s="1"/>
      <c r="S65" s="1">
        <v>54.76873999999998</v>
      </c>
      <c r="T65" s="19"/>
      <c r="U65" s="1">
        <f t="shared" si="16"/>
        <v>9.6465999999999994</v>
      </c>
      <c r="V65" s="5">
        <v>10</v>
      </c>
      <c r="W65" s="1">
        <f t="shared" si="7"/>
        <v>11.789722803889452</v>
      </c>
      <c r="X65" s="1">
        <f t="shared" si="8"/>
        <v>10.753088134679576</v>
      </c>
      <c r="Y65" s="1">
        <v>9.2433999999999994</v>
      </c>
      <c r="Z65" s="1">
        <v>12.121600000000001</v>
      </c>
      <c r="AA65" s="1">
        <v>9.0609999999999982</v>
      </c>
      <c r="AB65" s="1">
        <v>10.6732</v>
      </c>
      <c r="AC65" s="1">
        <v>19.827200000000001</v>
      </c>
      <c r="AD65" s="1">
        <v>18.578600000000002</v>
      </c>
      <c r="AE65" s="1">
        <v>13.1068</v>
      </c>
      <c r="AF65" s="1">
        <v>10.066800000000001</v>
      </c>
      <c r="AG65" s="1"/>
      <c r="AH65" s="1">
        <f t="shared" si="19"/>
        <v>10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1:45" x14ac:dyDescent="0.25">
      <c r="A66" s="1" t="s">
        <v>107</v>
      </c>
      <c r="B66" s="1" t="s">
        <v>37</v>
      </c>
      <c r="C66" s="1">
        <v>0.85</v>
      </c>
      <c r="D66" s="1"/>
      <c r="E66" s="1">
        <v>-2.7040000000000002</v>
      </c>
      <c r="F66" s="1">
        <v>-6.0999999999999999E-2</v>
      </c>
      <c r="G66" s="7">
        <v>1</v>
      </c>
      <c r="H66" s="1">
        <v>40</v>
      </c>
      <c r="I66" s="11" t="s">
        <v>49</v>
      </c>
      <c r="J66" s="1"/>
      <c r="K66" s="1">
        <v>557.5</v>
      </c>
      <c r="L66" s="1">
        <f t="shared" si="14"/>
        <v>-560.20399999999995</v>
      </c>
      <c r="M66" s="1">
        <f t="shared" si="15"/>
        <v>-2.7040000000000002</v>
      </c>
      <c r="N66" s="1"/>
      <c r="O66" s="1">
        <v>390</v>
      </c>
      <c r="P66" s="1"/>
      <c r="Q66" s="1">
        <v>195</v>
      </c>
      <c r="R66" s="1"/>
      <c r="S66" s="1">
        <v>23.34019999999996</v>
      </c>
      <c r="T66" s="19"/>
      <c r="U66" s="1">
        <f t="shared" si="16"/>
        <v>-0.54080000000000006</v>
      </c>
      <c r="V66" s="5">
        <v>300</v>
      </c>
      <c r="W66" s="1">
        <f t="shared" si="7"/>
        <v>-1679.5103550295858</v>
      </c>
      <c r="X66" s="1">
        <f t="shared" si="8"/>
        <v>-1124.7766272189349</v>
      </c>
      <c r="Y66" s="1">
        <v>50.167000000000002</v>
      </c>
      <c r="Z66" s="1">
        <v>200.38480000000001</v>
      </c>
      <c r="AA66" s="1">
        <v>150.6652</v>
      </c>
      <c r="AB66" s="1">
        <v>10.826000000000001</v>
      </c>
      <c r="AC66" s="1">
        <v>108.81619999999999</v>
      </c>
      <c r="AD66" s="1">
        <v>142.37799999999999</v>
      </c>
      <c r="AE66" s="1">
        <v>60.96</v>
      </c>
      <c r="AF66" s="1">
        <v>40.290599999999998</v>
      </c>
      <c r="AG66" s="1" t="s">
        <v>40</v>
      </c>
      <c r="AH66" s="1">
        <f t="shared" si="19"/>
        <v>300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1:45" x14ac:dyDescent="0.25">
      <c r="A67" s="1" t="s">
        <v>108</v>
      </c>
      <c r="B67" s="1" t="s">
        <v>37</v>
      </c>
      <c r="C67" s="1">
        <v>0.92400000000000004</v>
      </c>
      <c r="D67" s="1"/>
      <c r="E67" s="1">
        <v>0.71799999999999997</v>
      </c>
      <c r="F67" s="1">
        <v>0.20599999999999999</v>
      </c>
      <c r="G67" s="7">
        <v>1</v>
      </c>
      <c r="H67" s="1">
        <v>40</v>
      </c>
      <c r="I67" s="11" t="s">
        <v>49</v>
      </c>
      <c r="J67" s="1"/>
      <c r="K67" s="1">
        <v>18.399999999999999</v>
      </c>
      <c r="L67" s="1">
        <f t="shared" si="14"/>
        <v>-17.681999999999999</v>
      </c>
      <c r="M67" s="1">
        <f t="shared" si="15"/>
        <v>0.71799999999999997</v>
      </c>
      <c r="N67" s="1"/>
      <c r="O67" s="1">
        <v>39</v>
      </c>
      <c r="P67" s="1"/>
      <c r="Q67" s="1"/>
      <c r="R67" s="1"/>
      <c r="S67" s="1">
        <v>26</v>
      </c>
      <c r="T67" s="19"/>
      <c r="U67" s="1">
        <f t="shared" si="16"/>
        <v>0.14360000000000001</v>
      </c>
      <c r="V67" s="5">
        <v>10</v>
      </c>
      <c r="W67" s="1">
        <f t="shared" si="7"/>
        <v>523.71866295264624</v>
      </c>
      <c r="X67" s="1">
        <f t="shared" si="8"/>
        <v>454.0807799442897</v>
      </c>
      <c r="Y67" s="1">
        <v>0.50719999999999998</v>
      </c>
      <c r="Z67" s="1">
        <v>0.36360000000000031</v>
      </c>
      <c r="AA67" s="1">
        <v>3.6232000000000002</v>
      </c>
      <c r="AB67" s="1">
        <v>4.3747999999999996</v>
      </c>
      <c r="AC67" s="1">
        <v>13.090400000000001</v>
      </c>
      <c r="AD67" s="1">
        <v>12.855399999999999</v>
      </c>
      <c r="AE67" s="1">
        <v>3.5981999999999998</v>
      </c>
      <c r="AF67" s="1">
        <v>1.6362000000000001</v>
      </c>
      <c r="AG67" s="1"/>
      <c r="AH67" s="1">
        <f t="shared" si="19"/>
        <v>10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1:45" x14ac:dyDescent="0.25">
      <c r="A68" s="10" t="s">
        <v>109</v>
      </c>
      <c r="B68" s="10" t="s">
        <v>43</v>
      </c>
      <c r="C68" s="10"/>
      <c r="D68" s="10"/>
      <c r="E68" s="10"/>
      <c r="F68" s="10"/>
      <c r="G68" s="9">
        <v>0</v>
      </c>
      <c r="H68" s="10"/>
      <c r="I68" s="10" t="s">
        <v>38</v>
      </c>
      <c r="J68" s="10"/>
      <c r="K68" s="10"/>
      <c r="L68" s="10">
        <f t="shared" si="14"/>
        <v>0</v>
      </c>
      <c r="M68" s="10">
        <f t="shared" si="15"/>
        <v>0</v>
      </c>
      <c r="N68" s="10"/>
      <c r="O68" s="10"/>
      <c r="P68" s="10"/>
      <c r="Q68" s="10"/>
      <c r="R68" s="10"/>
      <c r="S68" s="10">
        <v>0</v>
      </c>
      <c r="T68" s="21"/>
      <c r="U68" s="10">
        <f t="shared" si="16"/>
        <v>0</v>
      </c>
      <c r="V68" s="12"/>
      <c r="W68" s="10" t="e">
        <f t="shared" si="7"/>
        <v>#DIV/0!</v>
      </c>
      <c r="X68" s="10" t="e">
        <f t="shared" si="8"/>
        <v>#DIV/0!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 t="s">
        <v>55</v>
      </c>
      <c r="AH68" s="10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1:45" x14ac:dyDescent="0.25">
      <c r="A69" s="1" t="s">
        <v>110</v>
      </c>
      <c r="B69" s="1" t="s">
        <v>37</v>
      </c>
      <c r="C69" s="1">
        <v>159.74700000000001</v>
      </c>
      <c r="D69" s="1">
        <v>269.904</v>
      </c>
      <c r="E69" s="1">
        <v>142.65299999999999</v>
      </c>
      <c r="F69" s="1">
        <v>222.65600000000001</v>
      </c>
      <c r="G69" s="7">
        <v>1</v>
      </c>
      <c r="H69" s="1">
        <v>30</v>
      </c>
      <c r="I69" s="11" t="s">
        <v>49</v>
      </c>
      <c r="J69" s="1"/>
      <c r="K69" s="1">
        <v>248.8</v>
      </c>
      <c r="L69" s="1">
        <f t="shared" si="14"/>
        <v>-106.14700000000002</v>
      </c>
      <c r="M69" s="1">
        <f t="shared" si="15"/>
        <v>142.65299999999999</v>
      </c>
      <c r="N69" s="1"/>
      <c r="O69" s="1">
        <v>65</v>
      </c>
      <c r="P69" s="1"/>
      <c r="Q69" s="1"/>
      <c r="R69" s="1"/>
      <c r="S69" s="1">
        <v>0</v>
      </c>
      <c r="T69" s="19"/>
      <c r="U69" s="1">
        <f t="shared" si="16"/>
        <v>28.5306</v>
      </c>
      <c r="V69" s="5">
        <v>80</v>
      </c>
      <c r="W69" s="1">
        <f t="shared" si="7"/>
        <v>12.886374629345335</v>
      </c>
      <c r="X69" s="1">
        <f t="shared" si="8"/>
        <v>10.082367703448227</v>
      </c>
      <c r="Y69" s="1">
        <v>24.4192</v>
      </c>
      <c r="Z69" s="1">
        <v>29.701599999999999</v>
      </c>
      <c r="AA69" s="1">
        <v>39.893999999999998</v>
      </c>
      <c r="AB69" s="1">
        <v>36.8568</v>
      </c>
      <c r="AC69" s="1">
        <v>31.719799999999999</v>
      </c>
      <c r="AD69" s="1">
        <v>39.7896</v>
      </c>
      <c r="AE69" s="1">
        <v>33.502800000000001</v>
      </c>
      <c r="AF69" s="1">
        <v>31.885400000000001</v>
      </c>
      <c r="AG69" s="1"/>
      <c r="AH69" s="1">
        <f>G69*V69</f>
        <v>80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1:45" x14ac:dyDescent="0.25">
      <c r="A70" s="1" t="s">
        <v>111</v>
      </c>
      <c r="B70" s="1" t="s">
        <v>43</v>
      </c>
      <c r="C70" s="1">
        <v>2483</v>
      </c>
      <c r="D70" s="1">
        <v>63</v>
      </c>
      <c r="E70" s="1">
        <v>1257</v>
      </c>
      <c r="F70" s="1">
        <v>1138</v>
      </c>
      <c r="G70" s="7">
        <v>0.6</v>
      </c>
      <c r="H70" s="1">
        <v>60</v>
      </c>
      <c r="I70" s="1" t="s">
        <v>38</v>
      </c>
      <c r="J70" s="1"/>
      <c r="K70" s="1">
        <v>1290</v>
      </c>
      <c r="L70" s="1">
        <f t="shared" ref="L70:L101" si="21">E70-K70</f>
        <v>-33</v>
      </c>
      <c r="M70" s="1">
        <f t="shared" ref="M70:M101" si="22">E70-N70</f>
        <v>1257</v>
      </c>
      <c r="N70" s="1"/>
      <c r="O70" s="1"/>
      <c r="P70" s="1"/>
      <c r="Q70" s="1"/>
      <c r="R70" s="1"/>
      <c r="S70" s="1">
        <v>200</v>
      </c>
      <c r="T70" s="19"/>
      <c r="U70" s="1">
        <f t="shared" ref="U70:U101" si="23">M70/5</f>
        <v>251.4</v>
      </c>
      <c r="V70" s="5">
        <f t="shared" ref="V70" si="24">11*U70-S70-R70-Q70-P70-O70-F70</f>
        <v>1427.4</v>
      </c>
      <c r="W70" s="1">
        <f t="shared" si="7"/>
        <v>11</v>
      </c>
      <c r="X70" s="1">
        <f t="shared" si="8"/>
        <v>5.3221957040572789</v>
      </c>
      <c r="Y70" s="1">
        <v>226</v>
      </c>
      <c r="Z70" s="1">
        <v>175.8</v>
      </c>
      <c r="AA70" s="1">
        <v>177.8</v>
      </c>
      <c r="AB70" s="1">
        <v>262.60000000000002</v>
      </c>
      <c r="AC70" s="1">
        <v>297.60000000000002</v>
      </c>
      <c r="AD70" s="1">
        <v>160.4</v>
      </c>
      <c r="AE70" s="1">
        <v>152</v>
      </c>
      <c r="AF70" s="1">
        <v>139</v>
      </c>
      <c r="AG70" s="1"/>
      <c r="AH70" s="1">
        <f>G70*V70</f>
        <v>856.44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1:45" x14ac:dyDescent="0.25">
      <c r="A71" s="1" t="s">
        <v>112</v>
      </c>
      <c r="B71" s="1" t="s">
        <v>43</v>
      </c>
      <c r="C71" s="1">
        <v>934</v>
      </c>
      <c r="D71" s="1">
        <v>597</v>
      </c>
      <c r="E71" s="1">
        <v>569</v>
      </c>
      <c r="F71" s="1">
        <v>853</v>
      </c>
      <c r="G71" s="7">
        <v>0.6</v>
      </c>
      <c r="H71" s="1">
        <v>60</v>
      </c>
      <c r="I71" s="1" t="s">
        <v>38</v>
      </c>
      <c r="J71" s="1"/>
      <c r="K71" s="1">
        <v>582</v>
      </c>
      <c r="L71" s="1">
        <f t="shared" si="21"/>
        <v>-13</v>
      </c>
      <c r="M71" s="1">
        <f t="shared" si="22"/>
        <v>569</v>
      </c>
      <c r="N71" s="1"/>
      <c r="O71" s="1"/>
      <c r="P71" s="1"/>
      <c r="Q71" s="1"/>
      <c r="R71" s="1"/>
      <c r="S71" s="1">
        <v>545.10399999999981</v>
      </c>
      <c r="T71" s="19"/>
      <c r="U71" s="1">
        <f t="shared" si="23"/>
        <v>113.8</v>
      </c>
      <c r="V71" s="5"/>
      <c r="W71" s="1">
        <f t="shared" ref="W71:W130" si="25">(F71+O71+P71+Q71+R71+S71+T71+V71)/U71</f>
        <v>12.285623901581721</v>
      </c>
      <c r="X71" s="1">
        <f t="shared" ref="X71:X130" si="26">(F71+O71+P71+Q71+R71+S71+T71)/U71</f>
        <v>12.285623901581721</v>
      </c>
      <c r="Y71" s="1">
        <v>119.2</v>
      </c>
      <c r="Z71" s="1">
        <v>152.4</v>
      </c>
      <c r="AA71" s="1">
        <v>131.80000000000001</v>
      </c>
      <c r="AB71" s="1">
        <v>116.8</v>
      </c>
      <c r="AC71" s="1">
        <v>156.80000000000001</v>
      </c>
      <c r="AD71" s="1">
        <v>202.8</v>
      </c>
      <c r="AE71" s="1">
        <v>171.6</v>
      </c>
      <c r="AF71" s="1">
        <v>133.80000000000001</v>
      </c>
      <c r="AG71" s="1"/>
      <c r="AH71" s="1">
        <f>G71*V71</f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1:45" x14ac:dyDescent="0.25">
      <c r="A72" s="1" t="s">
        <v>113</v>
      </c>
      <c r="B72" s="1" t="s">
        <v>43</v>
      </c>
      <c r="C72" s="1">
        <v>16</v>
      </c>
      <c r="D72" s="1">
        <v>48</v>
      </c>
      <c r="E72" s="1">
        <v>16</v>
      </c>
      <c r="F72" s="1">
        <v>41</v>
      </c>
      <c r="G72" s="7">
        <v>0.4</v>
      </c>
      <c r="H72" s="1"/>
      <c r="I72" s="1" t="s">
        <v>38</v>
      </c>
      <c r="J72" s="1"/>
      <c r="K72" s="1">
        <v>28</v>
      </c>
      <c r="L72" s="1">
        <f t="shared" si="21"/>
        <v>-12</v>
      </c>
      <c r="M72" s="1">
        <f t="shared" si="22"/>
        <v>16</v>
      </c>
      <c r="N72" s="1"/>
      <c r="O72" s="1">
        <v>24</v>
      </c>
      <c r="P72" s="1"/>
      <c r="Q72" s="1">
        <v>96</v>
      </c>
      <c r="R72" s="1"/>
      <c r="S72" s="1">
        <v>0</v>
      </c>
      <c r="T72" s="19"/>
      <c r="U72" s="1">
        <f t="shared" si="23"/>
        <v>3.2</v>
      </c>
      <c r="V72" s="5"/>
      <c r="W72" s="1">
        <f t="shared" si="25"/>
        <v>50.3125</v>
      </c>
      <c r="X72" s="1">
        <f t="shared" si="26"/>
        <v>50.3125</v>
      </c>
      <c r="Y72" s="1">
        <v>9.4</v>
      </c>
      <c r="Z72" s="1">
        <v>10</v>
      </c>
      <c r="AA72" s="1">
        <v>6.6</v>
      </c>
      <c r="AB72" s="1">
        <v>5</v>
      </c>
      <c r="AC72" s="1">
        <v>4</v>
      </c>
      <c r="AD72" s="1">
        <v>7.6</v>
      </c>
      <c r="AE72" s="1">
        <v>6.6</v>
      </c>
      <c r="AF72" s="1">
        <v>3.8</v>
      </c>
      <c r="AG72" s="14" t="s">
        <v>93</v>
      </c>
      <c r="AH72" s="1">
        <f>G72*V72</f>
        <v>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1:45" x14ac:dyDescent="0.25">
      <c r="A73" s="10" t="s">
        <v>114</v>
      </c>
      <c r="B73" s="10" t="s">
        <v>43</v>
      </c>
      <c r="C73" s="10"/>
      <c r="D73" s="10"/>
      <c r="E73" s="10"/>
      <c r="F73" s="10"/>
      <c r="G73" s="9">
        <v>0</v>
      </c>
      <c r="H73" s="10"/>
      <c r="I73" s="10" t="s">
        <v>38</v>
      </c>
      <c r="J73" s="10"/>
      <c r="K73" s="10">
        <v>4</v>
      </c>
      <c r="L73" s="10">
        <f t="shared" si="21"/>
        <v>-4</v>
      </c>
      <c r="M73" s="10">
        <f t="shared" si="22"/>
        <v>0</v>
      </c>
      <c r="N73" s="10"/>
      <c r="O73" s="10"/>
      <c r="P73" s="10"/>
      <c r="Q73" s="10"/>
      <c r="R73" s="10"/>
      <c r="S73" s="10">
        <v>0</v>
      </c>
      <c r="T73" s="21"/>
      <c r="U73" s="10">
        <f t="shared" si="23"/>
        <v>0</v>
      </c>
      <c r="V73" s="12"/>
      <c r="W73" s="10" t="e">
        <f t="shared" si="25"/>
        <v>#DIV/0!</v>
      </c>
      <c r="X73" s="10" t="e">
        <f t="shared" si="26"/>
        <v>#DIV/0!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 t="s">
        <v>55</v>
      </c>
      <c r="AH73" s="10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1:45" x14ac:dyDescent="0.25">
      <c r="A74" s="1" t="s">
        <v>115</v>
      </c>
      <c r="B74" s="1" t="s">
        <v>43</v>
      </c>
      <c r="C74" s="1"/>
      <c r="D74" s="1">
        <v>40</v>
      </c>
      <c r="E74" s="1">
        <v>29</v>
      </c>
      <c r="F74" s="1">
        <v>8</v>
      </c>
      <c r="G74" s="7">
        <v>0.35</v>
      </c>
      <c r="H74" s="1">
        <v>90</v>
      </c>
      <c r="I74" s="11" t="s">
        <v>49</v>
      </c>
      <c r="J74" s="1"/>
      <c r="K74" s="1">
        <v>40</v>
      </c>
      <c r="L74" s="1">
        <f t="shared" si="21"/>
        <v>-11</v>
      </c>
      <c r="M74" s="1">
        <f t="shared" si="22"/>
        <v>29</v>
      </c>
      <c r="N74" s="1"/>
      <c r="O74" s="1">
        <v>39</v>
      </c>
      <c r="P74" s="1"/>
      <c r="Q74" s="1"/>
      <c r="R74" s="1"/>
      <c r="S74" s="1">
        <v>0</v>
      </c>
      <c r="T74" s="19"/>
      <c r="U74" s="1">
        <f t="shared" si="23"/>
        <v>5.8</v>
      </c>
      <c r="V74" s="5">
        <v>30</v>
      </c>
      <c r="W74" s="1">
        <f t="shared" si="25"/>
        <v>13.275862068965518</v>
      </c>
      <c r="X74" s="1">
        <f t="shared" si="26"/>
        <v>8.1034482758620694</v>
      </c>
      <c r="Y74" s="1">
        <v>2</v>
      </c>
      <c r="Z74" s="1">
        <v>0</v>
      </c>
      <c r="AA74" s="1">
        <v>4.5999999999999996</v>
      </c>
      <c r="AB74" s="1">
        <v>8.6</v>
      </c>
      <c r="AC74" s="1">
        <v>6.4</v>
      </c>
      <c r="AD74" s="1">
        <v>3.4</v>
      </c>
      <c r="AE74" s="1">
        <v>2</v>
      </c>
      <c r="AF74" s="1">
        <v>5.6</v>
      </c>
      <c r="AG74" s="1"/>
      <c r="AH74" s="1">
        <f t="shared" ref="AH74:AH82" si="27">G74*V74</f>
        <v>10.5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spans="1:45" x14ac:dyDescent="0.25">
      <c r="A75" s="1" t="s">
        <v>116</v>
      </c>
      <c r="B75" s="1" t="s">
        <v>43</v>
      </c>
      <c r="C75" s="1">
        <v>217</v>
      </c>
      <c r="D75" s="1">
        <v>41</v>
      </c>
      <c r="E75" s="1">
        <v>127</v>
      </c>
      <c r="F75" s="1">
        <v>126</v>
      </c>
      <c r="G75" s="7">
        <v>0.37</v>
      </c>
      <c r="H75" s="1">
        <v>50</v>
      </c>
      <c r="I75" s="1" t="s">
        <v>38</v>
      </c>
      <c r="J75" s="1"/>
      <c r="K75" s="1">
        <v>129</v>
      </c>
      <c r="L75" s="1">
        <f t="shared" si="21"/>
        <v>-2</v>
      </c>
      <c r="M75" s="1">
        <f t="shared" si="22"/>
        <v>127</v>
      </c>
      <c r="N75" s="1"/>
      <c r="O75" s="1">
        <v>23.200000000000049</v>
      </c>
      <c r="P75" s="1"/>
      <c r="Q75" s="1"/>
      <c r="R75" s="1"/>
      <c r="S75" s="1">
        <v>140.976</v>
      </c>
      <c r="T75" s="19"/>
      <c r="U75" s="1">
        <f t="shared" si="23"/>
        <v>25.4</v>
      </c>
      <c r="V75" s="5"/>
      <c r="W75" s="1">
        <f t="shared" si="25"/>
        <v>11.42425196850394</v>
      </c>
      <c r="X75" s="1">
        <f t="shared" si="26"/>
        <v>11.42425196850394</v>
      </c>
      <c r="Y75" s="1">
        <v>24.8</v>
      </c>
      <c r="Z75" s="1">
        <v>24.6</v>
      </c>
      <c r="AA75" s="1">
        <v>23.2</v>
      </c>
      <c r="AB75" s="1">
        <v>23.8</v>
      </c>
      <c r="AC75" s="1">
        <v>28.6</v>
      </c>
      <c r="AD75" s="1">
        <v>31.4</v>
      </c>
      <c r="AE75" s="1">
        <v>34.200000000000003</v>
      </c>
      <c r="AF75" s="1">
        <v>25.6</v>
      </c>
      <c r="AG75" s="1"/>
      <c r="AH75" s="1">
        <f t="shared" si="27"/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spans="1:45" x14ac:dyDescent="0.25">
      <c r="A76" s="1" t="s">
        <v>117</v>
      </c>
      <c r="B76" s="1" t="s">
        <v>43</v>
      </c>
      <c r="C76" s="1">
        <v>193</v>
      </c>
      <c r="D76" s="1">
        <v>305</v>
      </c>
      <c r="E76" s="1">
        <v>299</v>
      </c>
      <c r="F76" s="1">
        <v>190</v>
      </c>
      <c r="G76" s="7">
        <v>0.6</v>
      </c>
      <c r="H76" s="1">
        <v>70</v>
      </c>
      <c r="I76" s="1" t="s">
        <v>38</v>
      </c>
      <c r="J76" s="1"/>
      <c r="K76" s="1">
        <v>1307</v>
      </c>
      <c r="L76" s="1">
        <f t="shared" si="21"/>
        <v>-1008</v>
      </c>
      <c r="M76" s="1">
        <f t="shared" si="22"/>
        <v>299</v>
      </c>
      <c r="N76" s="1"/>
      <c r="O76" s="1">
        <v>50</v>
      </c>
      <c r="P76" s="1"/>
      <c r="Q76" s="1">
        <v>200</v>
      </c>
      <c r="R76" s="1"/>
      <c r="S76" s="1">
        <v>405.64800000000031</v>
      </c>
      <c r="T76" s="19"/>
      <c r="U76" s="1">
        <f t="shared" si="23"/>
        <v>59.8</v>
      </c>
      <c r="V76" s="5"/>
      <c r="W76" s="1">
        <f t="shared" si="25"/>
        <v>14.141270903010041</v>
      </c>
      <c r="X76" s="1">
        <f t="shared" si="26"/>
        <v>14.141270903010041</v>
      </c>
      <c r="Y76" s="1">
        <v>70.400000000000006</v>
      </c>
      <c r="Z76" s="1">
        <v>59.2</v>
      </c>
      <c r="AA76" s="1">
        <v>51.8</v>
      </c>
      <c r="AB76" s="1">
        <v>45.2</v>
      </c>
      <c r="AC76" s="1">
        <v>52</v>
      </c>
      <c r="AD76" s="1">
        <v>67.8</v>
      </c>
      <c r="AE76" s="1">
        <v>63.6</v>
      </c>
      <c r="AF76" s="1">
        <v>44.6</v>
      </c>
      <c r="AG76" s="1"/>
      <c r="AH76" s="1">
        <f t="shared" si="27"/>
        <v>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spans="1:45" x14ac:dyDescent="0.25">
      <c r="A77" s="1" t="s">
        <v>118</v>
      </c>
      <c r="B77" s="1" t="s">
        <v>43</v>
      </c>
      <c r="C77" s="1">
        <v>246</v>
      </c>
      <c r="D77" s="1">
        <v>756</v>
      </c>
      <c r="E77" s="1">
        <v>391</v>
      </c>
      <c r="F77" s="1">
        <v>504</v>
      </c>
      <c r="G77" s="7">
        <v>0.33</v>
      </c>
      <c r="H77" s="1">
        <v>40</v>
      </c>
      <c r="I77" s="1" t="s">
        <v>38</v>
      </c>
      <c r="J77" s="1"/>
      <c r="K77" s="1">
        <v>484</v>
      </c>
      <c r="L77" s="1">
        <f t="shared" si="21"/>
        <v>-93</v>
      </c>
      <c r="M77" s="1">
        <f t="shared" si="22"/>
        <v>391</v>
      </c>
      <c r="N77" s="1"/>
      <c r="O77" s="1">
        <v>30</v>
      </c>
      <c r="P77" s="1"/>
      <c r="Q77" s="1">
        <v>120</v>
      </c>
      <c r="R77" s="1"/>
      <c r="S77" s="1">
        <v>347.77</v>
      </c>
      <c r="T77" s="19"/>
      <c r="U77" s="1">
        <f t="shared" si="23"/>
        <v>78.2</v>
      </c>
      <c r="V77" s="5"/>
      <c r="W77" s="1">
        <f t="shared" si="25"/>
        <v>12.810358056265985</v>
      </c>
      <c r="X77" s="1">
        <f t="shared" si="26"/>
        <v>12.810358056265985</v>
      </c>
      <c r="Y77" s="1">
        <v>81</v>
      </c>
      <c r="Z77" s="1">
        <v>76.2</v>
      </c>
      <c r="AA77" s="1">
        <v>80.400000000000006</v>
      </c>
      <c r="AB77" s="1">
        <v>78.599999999999994</v>
      </c>
      <c r="AC77" s="1">
        <v>60.2</v>
      </c>
      <c r="AD77" s="1">
        <v>23.2</v>
      </c>
      <c r="AE77" s="1">
        <v>35.4</v>
      </c>
      <c r="AF77" s="1">
        <v>69.599999999999994</v>
      </c>
      <c r="AG77" s="1"/>
      <c r="AH77" s="1">
        <f t="shared" si="27"/>
        <v>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spans="1:45" x14ac:dyDescent="0.25">
      <c r="A78" s="1" t="s">
        <v>119</v>
      </c>
      <c r="B78" s="1" t="s">
        <v>43</v>
      </c>
      <c r="C78" s="1">
        <v>28</v>
      </c>
      <c r="D78" s="1">
        <v>20</v>
      </c>
      <c r="E78" s="1">
        <v>26</v>
      </c>
      <c r="F78" s="1">
        <v>19</v>
      </c>
      <c r="G78" s="7">
        <v>0.4</v>
      </c>
      <c r="H78" s="1">
        <v>55</v>
      </c>
      <c r="I78" s="1" t="s">
        <v>38</v>
      </c>
      <c r="J78" s="1"/>
      <c r="K78" s="1">
        <v>34</v>
      </c>
      <c r="L78" s="1">
        <f t="shared" si="21"/>
        <v>-8</v>
      </c>
      <c r="M78" s="1">
        <f t="shared" si="22"/>
        <v>26</v>
      </c>
      <c r="N78" s="1"/>
      <c r="O78" s="1">
        <v>30</v>
      </c>
      <c r="P78" s="1"/>
      <c r="Q78" s="1">
        <v>120</v>
      </c>
      <c r="R78" s="1"/>
      <c r="S78" s="1">
        <v>0</v>
      </c>
      <c r="T78" s="19"/>
      <c r="U78" s="1">
        <f t="shared" si="23"/>
        <v>5.2</v>
      </c>
      <c r="V78" s="5"/>
      <c r="W78" s="1">
        <f t="shared" si="25"/>
        <v>32.5</v>
      </c>
      <c r="X78" s="1">
        <f t="shared" si="26"/>
        <v>32.5</v>
      </c>
      <c r="Y78" s="1">
        <v>10.199999999999999</v>
      </c>
      <c r="Z78" s="1">
        <v>10.4</v>
      </c>
      <c r="AA78" s="1">
        <v>7.6</v>
      </c>
      <c r="AB78" s="1">
        <v>7.6</v>
      </c>
      <c r="AC78" s="1">
        <v>10.199999999999999</v>
      </c>
      <c r="AD78" s="1">
        <v>12.6</v>
      </c>
      <c r="AE78" s="1">
        <v>9.4</v>
      </c>
      <c r="AF78" s="1">
        <v>11</v>
      </c>
      <c r="AG78" s="14" t="s">
        <v>93</v>
      </c>
      <c r="AH78" s="1">
        <f t="shared" si="27"/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spans="1:45" x14ac:dyDescent="0.25">
      <c r="A79" s="1" t="s">
        <v>120</v>
      </c>
      <c r="B79" s="1" t="s">
        <v>43</v>
      </c>
      <c r="C79" s="1"/>
      <c r="D79" s="1">
        <v>108</v>
      </c>
      <c r="E79" s="1">
        <v>43</v>
      </c>
      <c r="F79" s="1">
        <v>56</v>
      </c>
      <c r="G79" s="7">
        <v>0.35</v>
      </c>
      <c r="H79" s="1">
        <v>40</v>
      </c>
      <c r="I79" s="11" t="s">
        <v>49</v>
      </c>
      <c r="J79" s="1"/>
      <c r="K79" s="1">
        <v>225</v>
      </c>
      <c r="L79" s="1">
        <f t="shared" si="21"/>
        <v>-182</v>
      </c>
      <c r="M79" s="1">
        <f t="shared" si="22"/>
        <v>43</v>
      </c>
      <c r="N79" s="1"/>
      <c r="O79" s="1">
        <v>65</v>
      </c>
      <c r="P79" s="1"/>
      <c r="Q79" s="1"/>
      <c r="R79" s="1"/>
      <c r="S79" s="1">
        <v>0</v>
      </c>
      <c r="T79" s="19"/>
      <c r="U79" s="1">
        <f t="shared" si="23"/>
        <v>8.6</v>
      </c>
      <c r="V79" s="5">
        <v>120</v>
      </c>
      <c r="W79" s="1">
        <f t="shared" si="25"/>
        <v>28.02325581395349</v>
      </c>
      <c r="X79" s="1">
        <f t="shared" si="26"/>
        <v>14.069767441860465</v>
      </c>
      <c r="Y79" s="1">
        <v>7.2</v>
      </c>
      <c r="Z79" s="1">
        <v>15.8</v>
      </c>
      <c r="AA79" s="1">
        <v>8.4</v>
      </c>
      <c r="AB79" s="1">
        <v>-0.6</v>
      </c>
      <c r="AC79" s="1">
        <v>-1.2</v>
      </c>
      <c r="AD79" s="1">
        <v>-0.4</v>
      </c>
      <c r="AE79" s="1">
        <v>14</v>
      </c>
      <c r="AF79" s="1">
        <v>31.6</v>
      </c>
      <c r="AG79" s="1"/>
      <c r="AH79" s="1">
        <f t="shared" si="27"/>
        <v>42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spans="1:45" x14ac:dyDescent="0.25">
      <c r="A80" s="1" t="s">
        <v>121</v>
      </c>
      <c r="B80" s="1" t="s">
        <v>43</v>
      </c>
      <c r="C80" s="1">
        <v>157</v>
      </c>
      <c r="D80" s="1">
        <v>76</v>
      </c>
      <c r="E80" s="1">
        <v>169</v>
      </c>
      <c r="F80" s="1">
        <v>18</v>
      </c>
      <c r="G80" s="7">
        <v>0.35</v>
      </c>
      <c r="H80" s="1">
        <v>45</v>
      </c>
      <c r="I80" s="11" t="s">
        <v>49</v>
      </c>
      <c r="J80" s="1"/>
      <c r="K80" s="1">
        <v>228</v>
      </c>
      <c r="L80" s="1">
        <f t="shared" si="21"/>
        <v>-59</v>
      </c>
      <c r="M80" s="1">
        <f t="shared" si="22"/>
        <v>169</v>
      </c>
      <c r="N80" s="1"/>
      <c r="O80" s="1">
        <v>455</v>
      </c>
      <c r="P80" s="1"/>
      <c r="Q80" s="1">
        <v>227.5</v>
      </c>
      <c r="R80" s="1"/>
      <c r="S80" s="1">
        <v>0</v>
      </c>
      <c r="T80" s="19"/>
      <c r="U80" s="1">
        <f t="shared" si="23"/>
        <v>33.799999999999997</v>
      </c>
      <c r="V80" s="5"/>
      <c r="W80" s="1">
        <f t="shared" si="25"/>
        <v>20.72485207100592</v>
      </c>
      <c r="X80" s="1">
        <f t="shared" si="26"/>
        <v>20.72485207100592</v>
      </c>
      <c r="Y80" s="1">
        <v>60</v>
      </c>
      <c r="Z80" s="1">
        <v>60.2</v>
      </c>
      <c r="AA80" s="1">
        <v>18.600000000000001</v>
      </c>
      <c r="AB80" s="1">
        <v>1.2</v>
      </c>
      <c r="AC80" s="1">
        <v>24.8</v>
      </c>
      <c r="AD80" s="1">
        <v>57.2</v>
      </c>
      <c r="AE80" s="1">
        <v>41.6</v>
      </c>
      <c r="AF80" s="1">
        <v>37.4</v>
      </c>
      <c r="AG80" s="1"/>
      <c r="AH80" s="1">
        <f t="shared" si="27"/>
        <v>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spans="1:45" x14ac:dyDescent="0.25">
      <c r="A81" s="1" t="s">
        <v>122</v>
      </c>
      <c r="B81" s="1" t="s">
        <v>43</v>
      </c>
      <c r="C81" s="1">
        <v>40</v>
      </c>
      <c r="D81" s="1">
        <v>20</v>
      </c>
      <c r="E81" s="1">
        <v>31</v>
      </c>
      <c r="F81" s="1">
        <v>29</v>
      </c>
      <c r="G81" s="7">
        <v>0.4</v>
      </c>
      <c r="H81" s="1">
        <v>55</v>
      </c>
      <c r="I81" s="1" t="s">
        <v>38</v>
      </c>
      <c r="J81" s="1"/>
      <c r="K81" s="1">
        <v>31</v>
      </c>
      <c r="L81" s="1">
        <f t="shared" si="21"/>
        <v>0</v>
      </c>
      <c r="M81" s="1">
        <f t="shared" si="22"/>
        <v>31</v>
      </c>
      <c r="N81" s="1"/>
      <c r="O81" s="1"/>
      <c r="P81" s="1"/>
      <c r="Q81" s="1"/>
      <c r="R81" s="1"/>
      <c r="S81" s="1">
        <v>0</v>
      </c>
      <c r="T81" s="19"/>
      <c r="U81" s="1">
        <f t="shared" si="23"/>
        <v>6.2</v>
      </c>
      <c r="V81" s="5">
        <f>10*U81-S81-R81-Q81-P81-O81-F81</f>
        <v>33</v>
      </c>
      <c r="W81" s="1">
        <f t="shared" si="25"/>
        <v>10</v>
      </c>
      <c r="X81" s="1">
        <f t="shared" si="26"/>
        <v>4.67741935483871</v>
      </c>
      <c r="Y81" s="1">
        <v>2</v>
      </c>
      <c r="Z81" s="1">
        <v>2</v>
      </c>
      <c r="AA81" s="1">
        <v>2</v>
      </c>
      <c r="AB81" s="1">
        <v>6.2</v>
      </c>
      <c r="AC81" s="1">
        <v>4.4000000000000004</v>
      </c>
      <c r="AD81" s="1">
        <v>0.2</v>
      </c>
      <c r="AE81" s="1">
        <v>4.2</v>
      </c>
      <c r="AF81" s="1">
        <v>4.2</v>
      </c>
      <c r="AG81" s="1"/>
      <c r="AH81" s="1">
        <f t="shared" si="27"/>
        <v>13.200000000000001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spans="1:45" x14ac:dyDescent="0.25">
      <c r="A82" s="1" t="s">
        <v>123</v>
      </c>
      <c r="B82" s="1" t="s">
        <v>37</v>
      </c>
      <c r="C82" s="1">
        <v>2.56</v>
      </c>
      <c r="D82" s="1"/>
      <c r="E82" s="1">
        <v>1.3340000000000001</v>
      </c>
      <c r="F82" s="1">
        <v>-22.032</v>
      </c>
      <c r="G82" s="7">
        <v>1</v>
      </c>
      <c r="H82" s="1">
        <v>55</v>
      </c>
      <c r="I82" s="1" t="s">
        <v>38</v>
      </c>
      <c r="J82" s="1"/>
      <c r="K82" s="1">
        <v>1.5</v>
      </c>
      <c r="L82" s="1">
        <f t="shared" si="21"/>
        <v>-0.16599999999999993</v>
      </c>
      <c r="M82" s="1">
        <f t="shared" si="22"/>
        <v>1.3340000000000001</v>
      </c>
      <c r="N82" s="1"/>
      <c r="O82" s="1">
        <v>5.6173999999999999</v>
      </c>
      <c r="P82" s="1"/>
      <c r="Q82" s="1"/>
      <c r="R82" s="1"/>
      <c r="S82" s="1">
        <v>4</v>
      </c>
      <c r="T82" s="19"/>
      <c r="U82" s="1">
        <f t="shared" si="23"/>
        <v>0.26680000000000004</v>
      </c>
      <c r="V82" s="5">
        <v>4</v>
      </c>
      <c r="W82" s="1">
        <f t="shared" si="25"/>
        <v>-31.538980509745123</v>
      </c>
      <c r="X82" s="1">
        <f t="shared" si="26"/>
        <v>-46.531484257871057</v>
      </c>
      <c r="Y82" s="1">
        <v>0.74340000000000006</v>
      </c>
      <c r="Z82" s="1">
        <v>0.74340000000000006</v>
      </c>
      <c r="AA82" s="1">
        <v>0.26700000000000002</v>
      </c>
      <c r="AB82" s="1">
        <v>0.26700000000000002</v>
      </c>
      <c r="AC82" s="1">
        <v>0.29099999999999998</v>
      </c>
      <c r="AD82" s="1">
        <v>0.59099999999999997</v>
      </c>
      <c r="AE82" s="1">
        <v>0.3</v>
      </c>
      <c r="AF82" s="1">
        <v>0.56580000000000008</v>
      </c>
      <c r="AG82" s="1" t="s">
        <v>124</v>
      </c>
      <c r="AH82" s="1">
        <f t="shared" si="27"/>
        <v>4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spans="1:45" x14ac:dyDescent="0.25">
      <c r="A83" s="10" t="s">
        <v>125</v>
      </c>
      <c r="B83" s="10" t="s">
        <v>37</v>
      </c>
      <c r="C83" s="10"/>
      <c r="D83" s="10"/>
      <c r="E83" s="10"/>
      <c r="F83" s="10"/>
      <c r="G83" s="9">
        <v>0</v>
      </c>
      <c r="H83" s="10"/>
      <c r="I83" s="10" t="s">
        <v>38</v>
      </c>
      <c r="J83" s="10"/>
      <c r="K83" s="10"/>
      <c r="L83" s="10">
        <f t="shared" si="21"/>
        <v>0</v>
      </c>
      <c r="M83" s="10">
        <f t="shared" si="22"/>
        <v>0</v>
      </c>
      <c r="N83" s="10"/>
      <c r="O83" s="10"/>
      <c r="P83" s="10"/>
      <c r="Q83" s="10"/>
      <c r="R83" s="10"/>
      <c r="S83" s="10">
        <v>0</v>
      </c>
      <c r="T83" s="21"/>
      <c r="U83" s="10">
        <f t="shared" si="23"/>
        <v>0</v>
      </c>
      <c r="V83" s="12"/>
      <c r="W83" s="10" t="e">
        <f t="shared" si="25"/>
        <v>#DIV/0!</v>
      </c>
      <c r="X83" s="10" t="e">
        <f t="shared" si="26"/>
        <v>#DIV/0!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 t="s">
        <v>55</v>
      </c>
      <c r="AH83" s="10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spans="1:45" x14ac:dyDescent="0.25">
      <c r="A84" s="1" t="s">
        <v>126</v>
      </c>
      <c r="B84" s="1" t="s">
        <v>37</v>
      </c>
      <c r="C84" s="1">
        <v>3472.6759999999999</v>
      </c>
      <c r="D84" s="1">
        <v>3887.944</v>
      </c>
      <c r="E84" s="1">
        <v>3316.4189999999999</v>
      </c>
      <c r="F84" s="1">
        <v>2516.989</v>
      </c>
      <c r="G84" s="7">
        <v>1</v>
      </c>
      <c r="H84" s="1">
        <v>60</v>
      </c>
      <c r="I84" s="1" t="s">
        <v>38</v>
      </c>
      <c r="J84" s="1"/>
      <c r="K84" s="1">
        <v>3309.0010000000002</v>
      </c>
      <c r="L84" s="1">
        <f t="shared" si="21"/>
        <v>7.4179999999996653</v>
      </c>
      <c r="M84" s="1">
        <f t="shared" si="22"/>
        <v>2558.768</v>
      </c>
      <c r="N84" s="1">
        <v>757.65099999999995</v>
      </c>
      <c r="O84" s="1">
        <v>240</v>
      </c>
      <c r="P84" s="1"/>
      <c r="Q84" s="1">
        <v>960</v>
      </c>
      <c r="R84" s="1"/>
      <c r="S84" s="1">
        <v>687.77930600000298</v>
      </c>
      <c r="T84" s="19"/>
      <c r="U84" s="1">
        <f t="shared" si="23"/>
        <v>511.75360000000001</v>
      </c>
      <c r="V84" s="5">
        <f t="shared" ref="V84:V96" si="28">11*U84-S84-R84-Q84-P84-O84-F84</f>
        <v>1224.5212939999969</v>
      </c>
      <c r="W84" s="1">
        <f t="shared" si="25"/>
        <v>11</v>
      </c>
      <c r="X84" s="1">
        <f t="shared" si="26"/>
        <v>8.6072053152142018</v>
      </c>
      <c r="Y84" s="1">
        <v>483.48380000000009</v>
      </c>
      <c r="Z84" s="1">
        <v>522.95619999999997</v>
      </c>
      <c r="AA84" s="1">
        <v>517.02299999999991</v>
      </c>
      <c r="AB84" s="1">
        <v>538.73500000000001</v>
      </c>
      <c r="AC84" s="1">
        <v>591.0634</v>
      </c>
      <c r="AD84" s="1">
        <v>673.63120000000004</v>
      </c>
      <c r="AE84" s="1">
        <v>428.86399999999998</v>
      </c>
      <c r="AF84" s="1">
        <v>368.13479999999998</v>
      </c>
      <c r="AG84" s="1" t="s">
        <v>40</v>
      </c>
      <c r="AH84" s="1">
        <f t="shared" ref="AH84:AH97" si="29">G84*V84</f>
        <v>1224.5212939999969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spans="1:45" x14ac:dyDescent="0.25">
      <c r="A85" s="1" t="s">
        <v>127</v>
      </c>
      <c r="B85" s="1" t="s">
        <v>43</v>
      </c>
      <c r="C85" s="1">
        <v>635</v>
      </c>
      <c r="D85" s="1">
        <v>40</v>
      </c>
      <c r="E85" s="1">
        <v>82</v>
      </c>
      <c r="F85" s="1">
        <v>559</v>
      </c>
      <c r="G85" s="7">
        <v>0.3</v>
      </c>
      <c r="H85" s="1">
        <v>40</v>
      </c>
      <c r="I85" s="1" t="s">
        <v>38</v>
      </c>
      <c r="J85" s="1"/>
      <c r="K85" s="1">
        <v>229</v>
      </c>
      <c r="L85" s="1">
        <f t="shared" si="21"/>
        <v>-147</v>
      </c>
      <c r="M85" s="1">
        <f t="shared" si="22"/>
        <v>82</v>
      </c>
      <c r="N85" s="1"/>
      <c r="O85" s="1"/>
      <c r="P85" s="1"/>
      <c r="Q85" s="1"/>
      <c r="R85" s="1"/>
      <c r="S85" s="1">
        <v>0</v>
      </c>
      <c r="T85" s="19"/>
      <c r="U85" s="1">
        <f t="shared" si="23"/>
        <v>16.399999999999999</v>
      </c>
      <c r="V85" s="5"/>
      <c r="W85" s="1">
        <f t="shared" si="25"/>
        <v>34.085365853658537</v>
      </c>
      <c r="X85" s="1">
        <f t="shared" si="26"/>
        <v>34.085365853658537</v>
      </c>
      <c r="Y85" s="1">
        <v>26.8</v>
      </c>
      <c r="Z85" s="1">
        <v>38.799999999999997</v>
      </c>
      <c r="AA85" s="1">
        <v>47.6</v>
      </c>
      <c r="AB85" s="1">
        <v>64.8</v>
      </c>
      <c r="AC85" s="1">
        <v>54.6</v>
      </c>
      <c r="AD85" s="1">
        <v>43.4</v>
      </c>
      <c r="AE85" s="1">
        <v>52.8</v>
      </c>
      <c r="AF85" s="1">
        <v>49.8</v>
      </c>
      <c r="AG85" s="15" t="s">
        <v>76</v>
      </c>
      <c r="AH85" s="1">
        <f t="shared" si="29"/>
        <v>0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spans="1:45" x14ac:dyDescent="0.25">
      <c r="A86" s="1" t="s">
        <v>128</v>
      </c>
      <c r="B86" s="1" t="s">
        <v>37</v>
      </c>
      <c r="C86" s="1">
        <v>1072.3610000000001</v>
      </c>
      <c r="D86" s="1">
        <v>2826.6</v>
      </c>
      <c r="E86" s="1">
        <v>1948.797</v>
      </c>
      <c r="F86" s="1">
        <v>1176.8499999999999</v>
      </c>
      <c r="G86" s="7">
        <v>1</v>
      </c>
      <c r="H86" s="1">
        <v>60</v>
      </c>
      <c r="I86" s="1" t="s">
        <v>38</v>
      </c>
      <c r="J86" s="1"/>
      <c r="K86" s="1">
        <v>1967.577</v>
      </c>
      <c r="L86" s="1">
        <f t="shared" si="21"/>
        <v>-18.779999999999973</v>
      </c>
      <c r="M86" s="1">
        <f t="shared" si="22"/>
        <v>1661.52</v>
      </c>
      <c r="N86" s="1">
        <v>287.27699999999999</v>
      </c>
      <c r="O86" s="1">
        <v>200</v>
      </c>
      <c r="P86" s="1">
        <v>210</v>
      </c>
      <c r="Q86" s="1">
        <v>800</v>
      </c>
      <c r="R86" s="1"/>
      <c r="S86" s="1">
        <v>0</v>
      </c>
      <c r="T86" s="19"/>
      <c r="U86" s="1">
        <f t="shared" si="23"/>
        <v>332.30399999999997</v>
      </c>
      <c r="V86" s="5">
        <f>10*U86-S86-R86-Q86-P86-O86-F86</f>
        <v>936.19</v>
      </c>
      <c r="W86" s="1">
        <f t="shared" si="25"/>
        <v>10</v>
      </c>
      <c r="X86" s="1">
        <f t="shared" si="26"/>
        <v>7.1827302710770864</v>
      </c>
      <c r="Y86" s="1">
        <v>267.47199999999998</v>
      </c>
      <c r="Z86" s="1">
        <v>289.9846</v>
      </c>
      <c r="AA86" s="1">
        <v>263.73020000000002</v>
      </c>
      <c r="AB86" s="1">
        <v>277.47519999999997</v>
      </c>
      <c r="AC86" s="1">
        <v>257.95119999999997</v>
      </c>
      <c r="AD86" s="1">
        <v>283.8922</v>
      </c>
      <c r="AE86" s="1">
        <v>197.21299999999999</v>
      </c>
      <c r="AF86" s="1">
        <v>160.90700000000001</v>
      </c>
      <c r="AG86" s="1"/>
      <c r="AH86" s="1">
        <f t="shared" si="29"/>
        <v>936.19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spans="1:45" x14ac:dyDescent="0.25">
      <c r="A87" s="1" t="s">
        <v>129</v>
      </c>
      <c r="B87" s="1" t="s">
        <v>37</v>
      </c>
      <c r="C87" s="1">
        <v>1299.585</v>
      </c>
      <c r="D87" s="1">
        <v>6134.2259999999997</v>
      </c>
      <c r="E87" s="1">
        <v>4046.2849999999999</v>
      </c>
      <c r="F87" s="1">
        <v>1066.2539999999999</v>
      </c>
      <c r="G87" s="7">
        <v>1</v>
      </c>
      <c r="H87" s="1">
        <v>60</v>
      </c>
      <c r="I87" s="1" t="s">
        <v>38</v>
      </c>
      <c r="J87" s="1"/>
      <c r="K87" s="1">
        <v>4054.4659999999999</v>
      </c>
      <c r="L87" s="1">
        <f t="shared" si="21"/>
        <v>-8.18100000000004</v>
      </c>
      <c r="M87" s="1">
        <f t="shared" si="22"/>
        <v>2815.1189999999997</v>
      </c>
      <c r="N87" s="1">
        <v>1231.1659999999999</v>
      </c>
      <c r="O87" s="1">
        <v>420</v>
      </c>
      <c r="P87" s="1">
        <v>300</v>
      </c>
      <c r="Q87" s="1">
        <v>1680</v>
      </c>
      <c r="R87" s="1"/>
      <c r="S87" s="1">
        <v>664.68947600000001</v>
      </c>
      <c r="T87" s="19"/>
      <c r="U87" s="1">
        <f t="shared" si="23"/>
        <v>563.02379999999994</v>
      </c>
      <c r="V87" s="5">
        <f t="shared" ref="V87:V88" si="30">10*U87-S87-R87-Q87-P87-O87-F87</f>
        <v>1499.2945239999999</v>
      </c>
      <c r="W87" s="1">
        <f t="shared" si="25"/>
        <v>10.000000000000002</v>
      </c>
      <c r="X87" s="1">
        <f t="shared" si="26"/>
        <v>7.3370672358788402</v>
      </c>
      <c r="Y87" s="1">
        <v>485.17479999999989</v>
      </c>
      <c r="Z87" s="1">
        <v>500.68040000000002</v>
      </c>
      <c r="AA87" s="1">
        <v>462.61800000000011</v>
      </c>
      <c r="AB87" s="1">
        <v>495.69220000000001</v>
      </c>
      <c r="AC87" s="1">
        <v>523.89400000000001</v>
      </c>
      <c r="AD87" s="1">
        <v>507.10120000000012</v>
      </c>
      <c r="AE87" s="1">
        <v>403.74220000000003</v>
      </c>
      <c r="AF87" s="1">
        <v>422.80460000000011</v>
      </c>
      <c r="AG87" s="1"/>
      <c r="AH87" s="1">
        <f t="shared" si="29"/>
        <v>1499.2945239999999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spans="1:45" x14ac:dyDescent="0.25">
      <c r="A88" s="1" t="s">
        <v>130</v>
      </c>
      <c r="B88" s="1" t="s">
        <v>37</v>
      </c>
      <c r="C88" s="1">
        <v>1392.877</v>
      </c>
      <c r="D88" s="1">
        <v>7933.9340000000002</v>
      </c>
      <c r="E88" s="1">
        <v>4869.2539999999999</v>
      </c>
      <c r="F88" s="1">
        <v>1773.8219999999999</v>
      </c>
      <c r="G88" s="7">
        <v>1</v>
      </c>
      <c r="H88" s="1">
        <v>60</v>
      </c>
      <c r="I88" s="1" t="s">
        <v>38</v>
      </c>
      <c r="J88" s="1"/>
      <c r="K88" s="1">
        <v>4855.2809999999999</v>
      </c>
      <c r="L88" s="1">
        <f t="shared" si="21"/>
        <v>13.972999999999956</v>
      </c>
      <c r="M88" s="1">
        <f t="shared" si="22"/>
        <v>3201.8729999999996</v>
      </c>
      <c r="N88" s="1">
        <v>1667.3810000000001</v>
      </c>
      <c r="O88" s="1">
        <v>440</v>
      </c>
      <c r="P88" s="1">
        <v>300</v>
      </c>
      <c r="Q88" s="1">
        <v>1760</v>
      </c>
      <c r="R88" s="1"/>
      <c r="S88" s="1">
        <v>745.97376800000006</v>
      </c>
      <c r="T88" s="19"/>
      <c r="U88" s="1">
        <f t="shared" si="23"/>
        <v>640.37459999999987</v>
      </c>
      <c r="V88" s="5">
        <f t="shared" si="30"/>
        <v>1383.9502319999995</v>
      </c>
      <c r="W88" s="1">
        <f t="shared" si="25"/>
        <v>10</v>
      </c>
      <c r="X88" s="1">
        <f t="shared" si="26"/>
        <v>7.8388427148734525</v>
      </c>
      <c r="Y88" s="1">
        <v>544.50639999999999</v>
      </c>
      <c r="Z88" s="1">
        <v>570.49300000000005</v>
      </c>
      <c r="AA88" s="1">
        <v>578.13740000000007</v>
      </c>
      <c r="AB88" s="1">
        <v>589.31639999999993</v>
      </c>
      <c r="AC88" s="1">
        <v>576.82039999999995</v>
      </c>
      <c r="AD88" s="1">
        <v>637.09520000000009</v>
      </c>
      <c r="AE88" s="1">
        <v>500.93239999999997</v>
      </c>
      <c r="AF88" s="1">
        <v>455.24059999999997</v>
      </c>
      <c r="AG88" s="1"/>
      <c r="AH88" s="1">
        <f t="shared" si="29"/>
        <v>1383.9502319999995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spans="1:45" x14ac:dyDescent="0.25">
      <c r="A89" s="1" t="s">
        <v>131</v>
      </c>
      <c r="B89" s="1" t="s">
        <v>37</v>
      </c>
      <c r="C89" s="1">
        <v>22.623999999999999</v>
      </c>
      <c r="D89" s="1">
        <v>37.847999999999999</v>
      </c>
      <c r="E89" s="1">
        <v>14.686</v>
      </c>
      <c r="F89" s="1">
        <v>40.427</v>
      </c>
      <c r="G89" s="7">
        <v>1</v>
      </c>
      <c r="H89" s="1">
        <v>55</v>
      </c>
      <c r="I89" s="1" t="s">
        <v>38</v>
      </c>
      <c r="J89" s="1"/>
      <c r="K89" s="1">
        <v>14.6</v>
      </c>
      <c r="L89" s="1">
        <f t="shared" si="21"/>
        <v>8.6000000000000298E-2</v>
      </c>
      <c r="M89" s="1">
        <f t="shared" si="22"/>
        <v>14.686</v>
      </c>
      <c r="N89" s="1"/>
      <c r="O89" s="1"/>
      <c r="P89" s="1"/>
      <c r="Q89" s="1"/>
      <c r="R89" s="1"/>
      <c r="S89" s="1"/>
      <c r="T89" s="19"/>
      <c r="U89" s="1">
        <f t="shared" si="23"/>
        <v>2.9371999999999998</v>
      </c>
      <c r="V89" s="5"/>
      <c r="W89" s="1">
        <f t="shared" si="25"/>
        <v>13.763788642244315</v>
      </c>
      <c r="X89" s="1">
        <f t="shared" si="26"/>
        <v>13.763788642244315</v>
      </c>
      <c r="Y89" s="1">
        <v>3.2063999999999999</v>
      </c>
      <c r="Z89" s="1">
        <v>3.226</v>
      </c>
      <c r="AA89" s="1">
        <v>3.7902</v>
      </c>
      <c r="AB89" s="1">
        <v>4.0486000000000004</v>
      </c>
      <c r="AC89" s="1">
        <v>4.0282</v>
      </c>
      <c r="AD89" s="1">
        <v>3.492</v>
      </c>
      <c r="AE89" s="1">
        <v>1.6095999999999999</v>
      </c>
      <c r="AF89" s="1">
        <v>2.2846000000000002</v>
      </c>
      <c r="AG89" s="1"/>
      <c r="AH89" s="1">
        <f t="shared" si="29"/>
        <v>0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spans="1:45" x14ac:dyDescent="0.25">
      <c r="A90" s="16" t="s">
        <v>132</v>
      </c>
      <c r="B90" s="1" t="s">
        <v>43</v>
      </c>
      <c r="C90" s="1"/>
      <c r="D90" s="1"/>
      <c r="E90" s="1">
        <v>-2</v>
      </c>
      <c r="F90" s="1"/>
      <c r="G90" s="7">
        <v>0.3</v>
      </c>
      <c r="H90" s="1">
        <v>40</v>
      </c>
      <c r="I90" s="11" t="s">
        <v>49</v>
      </c>
      <c r="J90" s="1"/>
      <c r="K90" s="1">
        <v>92</v>
      </c>
      <c r="L90" s="1">
        <f t="shared" si="21"/>
        <v>-94</v>
      </c>
      <c r="M90" s="1">
        <f t="shared" si="22"/>
        <v>-2</v>
      </c>
      <c r="N90" s="1"/>
      <c r="O90" s="1">
        <v>104</v>
      </c>
      <c r="P90" s="1"/>
      <c r="Q90" s="1"/>
      <c r="R90" s="1"/>
      <c r="S90" s="1">
        <v>104</v>
      </c>
      <c r="T90" s="19"/>
      <c r="U90" s="1">
        <f t="shared" si="23"/>
        <v>-0.4</v>
      </c>
      <c r="V90" s="5">
        <v>30</v>
      </c>
      <c r="W90" s="1">
        <f t="shared" si="25"/>
        <v>-595</v>
      </c>
      <c r="X90" s="1">
        <f t="shared" si="26"/>
        <v>-520</v>
      </c>
      <c r="Y90" s="1">
        <v>0</v>
      </c>
      <c r="Z90" s="1">
        <v>0</v>
      </c>
      <c r="AA90" s="1">
        <v>0</v>
      </c>
      <c r="AB90" s="1">
        <v>-0.4</v>
      </c>
      <c r="AC90" s="1">
        <v>-0.4</v>
      </c>
      <c r="AD90" s="1">
        <v>0</v>
      </c>
      <c r="AE90" s="1">
        <v>-0.2</v>
      </c>
      <c r="AF90" s="1">
        <v>-0.6</v>
      </c>
      <c r="AG90" s="1"/>
      <c r="AH90" s="1">
        <f t="shared" si="29"/>
        <v>9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spans="1:45" x14ac:dyDescent="0.25">
      <c r="A91" s="1" t="s">
        <v>133</v>
      </c>
      <c r="B91" s="1" t="s">
        <v>43</v>
      </c>
      <c r="C91" s="1">
        <v>52</v>
      </c>
      <c r="D91" s="1"/>
      <c r="E91" s="1">
        <v>15</v>
      </c>
      <c r="F91" s="1">
        <v>22</v>
      </c>
      <c r="G91" s="7">
        <v>0.3</v>
      </c>
      <c r="H91" s="1">
        <v>40</v>
      </c>
      <c r="I91" s="1" t="s">
        <v>38</v>
      </c>
      <c r="J91" s="1"/>
      <c r="K91" s="1">
        <v>28</v>
      </c>
      <c r="L91" s="1">
        <f t="shared" si="21"/>
        <v>-13</v>
      </c>
      <c r="M91" s="1">
        <f t="shared" si="22"/>
        <v>15</v>
      </c>
      <c r="N91" s="1"/>
      <c r="O91" s="1">
        <v>10.599999999999991</v>
      </c>
      <c r="P91" s="1"/>
      <c r="Q91" s="1"/>
      <c r="R91" s="1"/>
      <c r="S91" s="1">
        <v>60.360000000000007</v>
      </c>
      <c r="T91" s="19"/>
      <c r="U91" s="1">
        <f t="shared" si="23"/>
        <v>3</v>
      </c>
      <c r="V91" s="5"/>
      <c r="W91" s="1">
        <f t="shared" si="25"/>
        <v>30.986666666666668</v>
      </c>
      <c r="X91" s="1">
        <f t="shared" si="26"/>
        <v>30.986666666666668</v>
      </c>
      <c r="Y91" s="1">
        <v>8</v>
      </c>
      <c r="Z91" s="1">
        <v>5.6</v>
      </c>
      <c r="AA91" s="1">
        <v>4.2</v>
      </c>
      <c r="AB91" s="1">
        <v>6.4</v>
      </c>
      <c r="AC91" s="1">
        <v>8.8000000000000007</v>
      </c>
      <c r="AD91" s="1">
        <v>6</v>
      </c>
      <c r="AE91" s="1">
        <v>1.6</v>
      </c>
      <c r="AF91" s="1">
        <v>2.2000000000000002</v>
      </c>
      <c r="AG91" s="14" t="s">
        <v>93</v>
      </c>
      <c r="AH91" s="1">
        <f t="shared" si="29"/>
        <v>0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spans="1:45" x14ac:dyDescent="0.25">
      <c r="A92" s="16" t="s">
        <v>134</v>
      </c>
      <c r="B92" s="1" t="s">
        <v>43</v>
      </c>
      <c r="C92" s="1">
        <v>23</v>
      </c>
      <c r="D92" s="1">
        <v>2</v>
      </c>
      <c r="E92" s="1">
        <v>4</v>
      </c>
      <c r="F92" s="1">
        <v>20</v>
      </c>
      <c r="G92" s="7">
        <v>7.0000000000000007E-2</v>
      </c>
      <c r="H92" s="1">
        <v>90</v>
      </c>
      <c r="I92" s="11" t="s">
        <v>49</v>
      </c>
      <c r="J92" s="1"/>
      <c r="K92" s="1">
        <v>89</v>
      </c>
      <c r="L92" s="1">
        <f t="shared" si="21"/>
        <v>-85</v>
      </c>
      <c r="M92" s="1">
        <f t="shared" si="22"/>
        <v>4</v>
      </c>
      <c r="N92" s="1"/>
      <c r="O92" s="1">
        <v>130</v>
      </c>
      <c r="P92" s="1"/>
      <c r="Q92" s="1"/>
      <c r="R92" s="1"/>
      <c r="S92" s="1">
        <v>104</v>
      </c>
      <c r="T92" s="19"/>
      <c r="U92" s="1">
        <f t="shared" si="23"/>
        <v>0.8</v>
      </c>
      <c r="V92" s="5"/>
      <c r="W92" s="1">
        <f t="shared" si="25"/>
        <v>317.5</v>
      </c>
      <c r="X92" s="1">
        <f t="shared" si="26"/>
        <v>317.5</v>
      </c>
      <c r="Y92" s="1">
        <v>8.4</v>
      </c>
      <c r="Z92" s="1">
        <v>20.399999999999999</v>
      </c>
      <c r="AA92" s="1">
        <v>12.6</v>
      </c>
      <c r="AB92" s="1">
        <v>0.4</v>
      </c>
      <c r="AC92" s="1">
        <v>3</v>
      </c>
      <c r="AD92" s="1">
        <v>4.8</v>
      </c>
      <c r="AE92" s="1">
        <v>17.399999999999999</v>
      </c>
      <c r="AF92" s="1">
        <v>32</v>
      </c>
      <c r="AG92" s="15" t="s">
        <v>76</v>
      </c>
      <c r="AH92" s="1">
        <f t="shared" si="29"/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spans="1:45" x14ac:dyDescent="0.25">
      <c r="A93" s="16" t="s">
        <v>135</v>
      </c>
      <c r="B93" s="1" t="s">
        <v>43</v>
      </c>
      <c r="C93" s="1">
        <v>104</v>
      </c>
      <c r="D93" s="1">
        <v>163</v>
      </c>
      <c r="E93" s="1">
        <v>115</v>
      </c>
      <c r="F93" s="1">
        <v>138</v>
      </c>
      <c r="G93" s="7">
        <v>7.0000000000000007E-2</v>
      </c>
      <c r="H93" s="1">
        <v>90</v>
      </c>
      <c r="I93" s="11" t="s">
        <v>49</v>
      </c>
      <c r="J93" s="1"/>
      <c r="K93" s="1">
        <v>118</v>
      </c>
      <c r="L93" s="1">
        <f t="shared" si="21"/>
        <v>-3</v>
      </c>
      <c r="M93" s="1">
        <f t="shared" si="22"/>
        <v>115</v>
      </c>
      <c r="N93" s="1"/>
      <c r="O93" s="1">
        <v>130</v>
      </c>
      <c r="P93" s="1"/>
      <c r="Q93" s="1"/>
      <c r="R93" s="1"/>
      <c r="S93" s="1">
        <v>39</v>
      </c>
      <c r="T93" s="19"/>
      <c r="U93" s="1">
        <f t="shared" si="23"/>
        <v>23</v>
      </c>
      <c r="V93" s="5"/>
      <c r="W93" s="1">
        <f t="shared" si="25"/>
        <v>13.347826086956522</v>
      </c>
      <c r="X93" s="1">
        <f t="shared" si="26"/>
        <v>13.347826086956522</v>
      </c>
      <c r="Y93" s="1">
        <v>19</v>
      </c>
      <c r="Z93" s="1">
        <v>27.6</v>
      </c>
      <c r="AA93" s="1">
        <v>35.200000000000003</v>
      </c>
      <c r="AB93" s="1">
        <v>34.200000000000003</v>
      </c>
      <c r="AC93" s="1">
        <v>44.6</v>
      </c>
      <c r="AD93" s="1">
        <v>28.2</v>
      </c>
      <c r="AE93" s="1">
        <v>6.6</v>
      </c>
      <c r="AF93" s="1">
        <v>30</v>
      </c>
      <c r="AG93" s="1"/>
      <c r="AH93" s="1">
        <f t="shared" si="29"/>
        <v>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spans="1:45" x14ac:dyDescent="0.25">
      <c r="A94" s="16" t="s">
        <v>136</v>
      </c>
      <c r="B94" s="1" t="s">
        <v>43</v>
      </c>
      <c r="C94" s="1">
        <v>69</v>
      </c>
      <c r="D94" s="1">
        <v>468</v>
      </c>
      <c r="E94" s="1">
        <v>83</v>
      </c>
      <c r="F94" s="1">
        <v>448</v>
      </c>
      <c r="G94" s="7">
        <v>7.0000000000000007E-2</v>
      </c>
      <c r="H94" s="1">
        <v>90</v>
      </c>
      <c r="I94" s="11" t="s">
        <v>49</v>
      </c>
      <c r="J94" s="1"/>
      <c r="K94" s="1">
        <v>85</v>
      </c>
      <c r="L94" s="1">
        <f t="shared" si="21"/>
        <v>-2</v>
      </c>
      <c r="M94" s="1">
        <f t="shared" si="22"/>
        <v>83</v>
      </c>
      <c r="N94" s="1"/>
      <c r="O94" s="1">
        <v>65</v>
      </c>
      <c r="P94" s="1"/>
      <c r="Q94" s="1"/>
      <c r="R94" s="1"/>
      <c r="S94" s="1">
        <v>0</v>
      </c>
      <c r="T94" s="19"/>
      <c r="U94" s="1">
        <f t="shared" si="23"/>
        <v>16.600000000000001</v>
      </c>
      <c r="V94" s="5"/>
      <c r="W94" s="1">
        <f t="shared" si="25"/>
        <v>30.903614457831324</v>
      </c>
      <c r="X94" s="1">
        <f t="shared" si="26"/>
        <v>30.903614457831324</v>
      </c>
      <c r="Y94" s="1">
        <v>11</v>
      </c>
      <c r="Z94" s="1">
        <v>38</v>
      </c>
      <c r="AA94" s="1">
        <v>42.6</v>
      </c>
      <c r="AB94" s="1">
        <v>11.4</v>
      </c>
      <c r="AC94" s="1">
        <v>17.8</v>
      </c>
      <c r="AD94" s="1">
        <v>18.2</v>
      </c>
      <c r="AE94" s="1">
        <v>23</v>
      </c>
      <c r="AF94" s="1">
        <v>39.200000000000003</v>
      </c>
      <c r="AG94" s="1"/>
      <c r="AH94" s="1">
        <f t="shared" si="29"/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spans="1:45" x14ac:dyDescent="0.25">
      <c r="A95" s="1" t="s">
        <v>137</v>
      </c>
      <c r="B95" s="1" t="s">
        <v>43</v>
      </c>
      <c r="C95" s="1">
        <v>25</v>
      </c>
      <c r="D95" s="1">
        <v>6</v>
      </c>
      <c r="E95" s="1">
        <v>25</v>
      </c>
      <c r="F95" s="1">
        <v>6</v>
      </c>
      <c r="G95" s="7">
        <v>0.3</v>
      </c>
      <c r="H95" s="1">
        <v>40</v>
      </c>
      <c r="I95" s="1" t="s">
        <v>38</v>
      </c>
      <c r="J95" s="1"/>
      <c r="K95" s="1">
        <v>36</v>
      </c>
      <c r="L95" s="1">
        <f t="shared" si="21"/>
        <v>-11</v>
      </c>
      <c r="M95" s="1">
        <f t="shared" si="22"/>
        <v>25</v>
      </c>
      <c r="N95" s="1"/>
      <c r="O95" s="1">
        <v>44</v>
      </c>
      <c r="P95" s="1"/>
      <c r="Q95" s="1"/>
      <c r="R95" s="1"/>
      <c r="S95" s="1">
        <v>24.515999999999991</v>
      </c>
      <c r="T95" s="19"/>
      <c r="U95" s="1">
        <f t="shared" si="23"/>
        <v>5</v>
      </c>
      <c r="V95" s="5"/>
      <c r="W95" s="1">
        <f t="shared" si="25"/>
        <v>14.903199999999998</v>
      </c>
      <c r="X95" s="1">
        <f t="shared" si="26"/>
        <v>14.903199999999998</v>
      </c>
      <c r="Y95" s="1">
        <v>6.8</v>
      </c>
      <c r="Z95" s="1">
        <v>6.4</v>
      </c>
      <c r="AA95" s="1">
        <v>4.2</v>
      </c>
      <c r="AB95" s="1">
        <v>4</v>
      </c>
      <c r="AC95" s="1">
        <v>2.4</v>
      </c>
      <c r="AD95" s="1">
        <v>2.4</v>
      </c>
      <c r="AE95" s="1">
        <v>6.8</v>
      </c>
      <c r="AF95" s="1">
        <v>4.2</v>
      </c>
      <c r="AG95" s="1"/>
      <c r="AH95" s="1">
        <f t="shared" si="29"/>
        <v>0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 x14ac:dyDescent="0.25">
      <c r="A96" s="16" t="s">
        <v>138</v>
      </c>
      <c r="B96" s="1" t="s">
        <v>37</v>
      </c>
      <c r="C96" s="1">
        <v>35.244</v>
      </c>
      <c r="D96" s="1"/>
      <c r="E96" s="1">
        <v>20.849</v>
      </c>
      <c r="F96" s="13">
        <f>14.395+F123</f>
        <v>20.384999999999998</v>
      </c>
      <c r="G96" s="7">
        <v>1</v>
      </c>
      <c r="H96" s="1">
        <v>55</v>
      </c>
      <c r="I96" s="11" t="s">
        <v>49</v>
      </c>
      <c r="J96" s="1"/>
      <c r="K96" s="1">
        <v>18.399999999999999</v>
      </c>
      <c r="L96" s="1">
        <f t="shared" si="21"/>
        <v>2.4490000000000016</v>
      </c>
      <c r="M96" s="1">
        <f t="shared" si="22"/>
        <v>20.849</v>
      </c>
      <c r="N96" s="1"/>
      <c r="O96" s="1">
        <v>0</v>
      </c>
      <c r="P96" s="1"/>
      <c r="Q96" s="1"/>
      <c r="R96" s="1"/>
      <c r="S96" s="1">
        <v>16.173819999999989</v>
      </c>
      <c r="T96" s="19"/>
      <c r="U96" s="1">
        <f t="shared" si="23"/>
        <v>4.1698000000000004</v>
      </c>
      <c r="V96" s="5">
        <f t="shared" si="28"/>
        <v>9.308980000000016</v>
      </c>
      <c r="W96" s="1">
        <f t="shared" si="25"/>
        <v>11</v>
      </c>
      <c r="X96" s="1">
        <f t="shared" si="26"/>
        <v>8.7675236222360731</v>
      </c>
      <c r="Y96" s="1">
        <v>3.3782000000000001</v>
      </c>
      <c r="Z96" s="1">
        <v>2.556</v>
      </c>
      <c r="AA96" s="1">
        <v>2.0268000000000002</v>
      </c>
      <c r="AB96" s="1">
        <v>3.2402000000000002</v>
      </c>
      <c r="AC96" s="1">
        <v>3.1644000000000001</v>
      </c>
      <c r="AD96" s="1">
        <v>1.3438000000000001</v>
      </c>
      <c r="AE96" s="1">
        <v>1.5089999999999999</v>
      </c>
      <c r="AF96" s="1">
        <v>4.0606</v>
      </c>
      <c r="AG96" s="1"/>
      <c r="AH96" s="1">
        <f t="shared" si="29"/>
        <v>9.308980000000016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spans="1:45" x14ac:dyDescent="0.25">
      <c r="A97" s="1" t="s">
        <v>139</v>
      </c>
      <c r="B97" s="1" t="s">
        <v>43</v>
      </c>
      <c r="C97" s="1">
        <v>412</v>
      </c>
      <c r="D97" s="1">
        <v>46</v>
      </c>
      <c r="E97" s="1">
        <v>34</v>
      </c>
      <c r="F97" s="1">
        <v>12</v>
      </c>
      <c r="G97" s="7">
        <v>0.11</v>
      </c>
      <c r="H97" s="1">
        <v>30</v>
      </c>
      <c r="I97" s="1" t="s">
        <v>38</v>
      </c>
      <c r="J97" s="1"/>
      <c r="K97" s="1">
        <v>93</v>
      </c>
      <c r="L97" s="1">
        <f t="shared" si="21"/>
        <v>-59</v>
      </c>
      <c r="M97" s="1">
        <f t="shared" si="22"/>
        <v>34</v>
      </c>
      <c r="N97" s="1"/>
      <c r="O97" s="1"/>
      <c r="P97" s="1"/>
      <c r="Q97" s="1"/>
      <c r="R97" s="1"/>
      <c r="S97" s="1">
        <v>0</v>
      </c>
      <c r="T97" s="19"/>
      <c r="U97" s="1">
        <f t="shared" si="23"/>
        <v>6.8</v>
      </c>
      <c r="V97" s="5">
        <v>50</v>
      </c>
      <c r="W97" s="1">
        <f t="shared" si="25"/>
        <v>9.117647058823529</v>
      </c>
      <c r="X97" s="1">
        <f t="shared" si="26"/>
        <v>1.7647058823529411</v>
      </c>
      <c r="Y97" s="1">
        <v>7.2</v>
      </c>
      <c r="Z97" s="1">
        <v>32.6</v>
      </c>
      <c r="AA97" s="1">
        <v>33</v>
      </c>
      <c r="AB97" s="1">
        <v>11.2</v>
      </c>
      <c r="AC97" s="1">
        <v>28.2</v>
      </c>
      <c r="AD97" s="1">
        <v>51.2</v>
      </c>
      <c r="AE97" s="1">
        <v>43.4</v>
      </c>
      <c r="AF97" s="1">
        <v>17</v>
      </c>
      <c r="AG97" s="17" t="s">
        <v>178</v>
      </c>
      <c r="AH97" s="1">
        <f t="shared" si="29"/>
        <v>5.5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spans="1:45" x14ac:dyDescent="0.25">
      <c r="A98" s="10" t="s">
        <v>140</v>
      </c>
      <c r="B98" s="10" t="s">
        <v>43</v>
      </c>
      <c r="C98" s="10"/>
      <c r="D98" s="10"/>
      <c r="E98" s="10"/>
      <c r="F98" s="10"/>
      <c r="G98" s="9">
        <v>0</v>
      </c>
      <c r="H98" s="10"/>
      <c r="I98" s="10" t="s">
        <v>38</v>
      </c>
      <c r="J98" s="10"/>
      <c r="K98" s="10"/>
      <c r="L98" s="10">
        <f t="shared" si="21"/>
        <v>0</v>
      </c>
      <c r="M98" s="10">
        <f t="shared" si="22"/>
        <v>0</v>
      </c>
      <c r="N98" s="10"/>
      <c r="O98" s="10"/>
      <c r="P98" s="10"/>
      <c r="Q98" s="10"/>
      <c r="R98" s="10"/>
      <c r="S98" s="10">
        <v>0</v>
      </c>
      <c r="T98" s="21"/>
      <c r="U98" s="10">
        <f t="shared" si="23"/>
        <v>0</v>
      </c>
      <c r="V98" s="12"/>
      <c r="W98" s="10" t="e">
        <f t="shared" si="25"/>
        <v>#DIV/0!</v>
      </c>
      <c r="X98" s="10" t="e">
        <f t="shared" si="26"/>
        <v>#DIV/0!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 t="s">
        <v>55</v>
      </c>
      <c r="AH98" s="10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spans="1:45" x14ac:dyDescent="0.25">
      <c r="A99" s="1" t="s">
        <v>141</v>
      </c>
      <c r="B99" s="1" t="s">
        <v>43</v>
      </c>
      <c r="C99" s="1">
        <v>648</v>
      </c>
      <c r="D99" s="1">
        <v>104</v>
      </c>
      <c r="E99" s="1">
        <v>196</v>
      </c>
      <c r="F99" s="1">
        <v>517</v>
      </c>
      <c r="G99" s="7">
        <v>0.08</v>
      </c>
      <c r="H99" s="1">
        <v>45</v>
      </c>
      <c r="I99" s="1" t="s">
        <v>38</v>
      </c>
      <c r="J99" s="1"/>
      <c r="K99" s="1">
        <v>212</v>
      </c>
      <c r="L99" s="1">
        <f t="shared" si="21"/>
        <v>-16</v>
      </c>
      <c r="M99" s="1">
        <f t="shared" si="22"/>
        <v>196</v>
      </c>
      <c r="N99" s="1"/>
      <c r="O99" s="1"/>
      <c r="P99" s="1"/>
      <c r="Q99" s="1"/>
      <c r="R99" s="1"/>
      <c r="S99" s="1">
        <v>0</v>
      </c>
      <c r="T99" s="19"/>
      <c r="U99" s="1">
        <f t="shared" si="23"/>
        <v>39.200000000000003</v>
      </c>
      <c r="V99" s="5"/>
      <c r="W99" s="1">
        <f t="shared" si="25"/>
        <v>13.188775510204081</v>
      </c>
      <c r="X99" s="1">
        <f t="shared" si="26"/>
        <v>13.188775510204081</v>
      </c>
      <c r="Y99" s="1">
        <v>39</v>
      </c>
      <c r="Z99" s="1">
        <v>55</v>
      </c>
      <c r="AA99" s="1">
        <v>67.2</v>
      </c>
      <c r="AB99" s="1">
        <v>78.400000000000006</v>
      </c>
      <c r="AC99" s="1">
        <v>93.4</v>
      </c>
      <c r="AD99" s="1">
        <v>89.4</v>
      </c>
      <c r="AE99" s="1">
        <v>91.2</v>
      </c>
      <c r="AF99" s="1">
        <v>65.8</v>
      </c>
      <c r="AG99" s="1"/>
      <c r="AH99" s="1">
        <f t="shared" ref="AH99:AH110" si="31">G99*V99</f>
        <v>0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spans="1:45" x14ac:dyDescent="0.25">
      <c r="A100" s="1" t="s">
        <v>142</v>
      </c>
      <c r="B100" s="1" t="s">
        <v>43</v>
      </c>
      <c r="C100" s="1">
        <v>728</v>
      </c>
      <c r="D100" s="1">
        <v>10</v>
      </c>
      <c r="E100" s="1">
        <v>140</v>
      </c>
      <c r="F100" s="1">
        <v>581</v>
      </c>
      <c r="G100" s="7">
        <v>0.08</v>
      </c>
      <c r="H100" s="1">
        <v>45</v>
      </c>
      <c r="I100" s="1" t="s">
        <v>38</v>
      </c>
      <c r="J100" s="1"/>
      <c r="K100" s="1">
        <v>150</v>
      </c>
      <c r="L100" s="1">
        <f t="shared" si="21"/>
        <v>-10</v>
      </c>
      <c r="M100" s="1">
        <f t="shared" si="22"/>
        <v>140</v>
      </c>
      <c r="N100" s="1"/>
      <c r="O100" s="1"/>
      <c r="P100" s="1"/>
      <c r="Q100" s="1"/>
      <c r="R100" s="1"/>
      <c r="S100" s="1">
        <v>0</v>
      </c>
      <c r="T100" s="19"/>
      <c r="U100" s="1">
        <f t="shared" si="23"/>
        <v>28</v>
      </c>
      <c r="V100" s="5"/>
      <c r="W100" s="1">
        <f t="shared" si="25"/>
        <v>20.75</v>
      </c>
      <c r="X100" s="1">
        <f t="shared" si="26"/>
        <v>20.75</v>
      </c>
      <c r="Y100" s="1">
        <v>20.6</v>
      </c>
      <c r="Z100" s="1">
        <v>41</v>
      </c>
      <c r="AA100" s="1">
        <v>50.6</v>
      </c>
      <c r="AB100" s="1">
        <v>60.4</v>
      </c>
      <c r="AC100" s="1">
        <v>86.8</v>
      </c>
      <c r="AD100" s="1">
        <v>88.8</v>
      </c>
      <c r="AE100" s="1">
        <v>80</v>
      </c>
      <c r="AF100" s="1">
        <v>44.6</v>
      </c>
      <c r="AG100" s="15" t="s">
        <v>76</v>
      </c>
      <c r="AH100" s="1">
        <f t="shared" si="31"/>
        <v>0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spans="1:45" x14ac:dyDescent="0.25">
      <c r="A101" s="1" t="s">
        <v>143</v>
      </c>
      <c r="B101" s="1" t="s">
        <v>43</v>
      </c>
      <c r="C101" s="1">
        <v>381</v>
      </c>
      <c r="D101" s="1">
        <v>58</v>
      </c>
      <c r="E101" s="1">
        <v>34</v>
      </c>
      <c r="F101" s="1">
        <v>94</v>
      </c>
      <c r="G101" s="7">
        <v>0.17</v>
      </c>
      <c r="H101" s="1">
        <v>30</v>
      </c>
      <c r="I101" s="1" t="s">
        <v>38</v>
      </c>
      <c r="J101" s="1"/>
      <c r="K101" s="1">
        <v>57</v>
      </c>
      <c r="L101" s="1">
        <f t="shared" si="21"/>
        <v>-23</v>
      </c>
      <c r="M101" s="1">
        <f t="shared" si="22"/>
        <v>34</v>
      </c>
      <c r="N101" s="1"/>
      <c r="O101" s="1"/>
      <c r="P101" s="1"/>
      <c r="Q101" s="1"/>
      <c r="R101" s="1"/>
      <c r="S101" s="1">
        <v>0</v>
      </c>
      <c r="T101" s="19"/>
      <c r="U101" s="1">
        <f t="shared" si="23"/>
        <v>6.8</v>
      </c>
      <c r="V101" s="5"/>
      <c r="W101" s="1">
        <f t="shared" si="25"/>
        <v>13.823529411764707</v>
      </c>
      <c r="X101" s="1">
        <f t="shared" si="26"/>
        <v>13.823529411764707</v>
      </c>
      <c r="Y101" s="1">
        <v>8.1999999999999993</v>
      </c>
      <c r="Z101" s="1">
        <v>27.8</v>
      </c>
      <c r="AA101" s="1">
        <v>35</v>
      </c>
      <c r="AB101" s="1">
        <v>11.4</v>
      </c>
      <c r="AC101" s="1">
        <v>28</v>
      </c>
      <c r="AD101" s="1">
        <v>48.4</v>
      </c>
      <c r="AE101" s="1">
        <v>49.4</v>
      </c>
      <c r="AF101" s="1">
        <v>25.6</v>
      </c>
      <c r="AG101" s="17" t="s">
        <v>176</v>
      </c>
      <c r="AH101" s="1">
        <f t="shared" si="31"/>
        <v>0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spans="1:45" x14ac:dyDescent="0.25">
      <c r="A102" s="16" t="s">
        <v>144</v>
      </c>
      <c r="B102" s="1" t="s">
        <v>37</v>
      </c>
      <c r="C102" s="1">
        <v>95.591999999999999</v>
      </c>
      <c r="D102" s="1">
        <v>66.942999999999998</v>
      </c>
      <c r="E102" s="1">
        <v>98.525999999999996</v>
      </c>
      <c r="F102" s="1">
        <v>-0.879</v>
      </c>
      <c r="G102" s="7">
        <v>1</v>
      </c>
      <c r="H102" s="1">
        <v>40</v>
      </c>
      <c r="I102" s="11" t="s">
        <v>49</v>
      </c>
      <c r="J102" s="1"/>
      <c r="K102" s="1">
        <v>217.93100000000001</v>
      </c>
      <c r="L102" s="1">
        <f t="shared" ref="L102:L130" si="32">E102-K102</f>
        <v>-119.40500000000002</v>
      </c>
      <c r="M102" s="1">
        <f t="shared" ref="M102:M130" si="33">E102-N102</f>
        <v>73.194999999999993</v>
      </c>
      <c r="N102" s="1">
        <v>25.331</v>
      </c>
      <c r="O102" s="1">
        <v>325</v>
      </c>
      <c r="P102" s="1"/>
      <c r="Q102" s="1">
        <v>162.5</v>
      </c>
      <c r="R102" s="1"/>
      <c r="S102" s="1">
        <v>303.67038000000008</v>
      </c>
      <c r="T102" s="19"/>
      <c r="U102" s="1">
        <f t="shared" ref="U102:U130" si="34">M102/5</f>
        <v>14.638999999999999</v>
      </c>
      <c r="V102" s="5"/>
      <c r="W102" s="1">
        <f t="shared" si="25"/>
        <v>53.98533916251111</v>
      </c>
      <c r="X102" s="1">
        <f t="shared" si="26"/>
        <v>53.98533916251111</v>
      </c>
      <c r="Y102" s="1">
        <v>60.017800000000001</v>
      </c>
      <c r="Z102" s="1">
        <v>53.826599999999999</v>
      </c>
      <c r="AA102" s="1">
        <v>11.5198</v>
      </c>
      <c r="AB102" s="1">
        <v>44.968600000000002</v>
      </c>
      <c r="AC102" s="1">
        <v>78.888000000000005</v>
      </c>
      <c r="AD102" s="1">
        <v>74.961399999999998</v>
      </c>
      <c r="AE102" s="1">
        <v>27.752199999999998</v>
      </c>
      <c r="AF102" s="1">
        <v>9.1273999999999997</v>
      </c>
      <c r="AG102" s="1"/>
      <c r="AH102" s="1">
        <f t="shared" si="31"/>
        <v>0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spans="1:45" x14ac:dyDescent="0.25">
      <c r="A103" s="16" t="s">
        <v>145</v>
      </c>
      <c r="B103" s="1" t="s">
        <v>37</v>
      </c>
      <c r="C103" s="1">
        <v>-0.26700000000000002</v>
      </c>
      <c r="D103" s="1">
        <v>14.89</v>
      </c>
      <c r="E103" s="1">
        <v>-0.82099999999999995</v>
      </c>
      <c r="F103" s="1">
        <v>-0.26700000000000002</v>
      </c>
      <c r="G103" s="7">
        <v>1</v>
      </c>
      <c r="H103" s="1">
        <v>40</v>
      </c>
      <c r="I103" s="11" t="s">
        <v>49</v>
      </c>
      <c r="J103" s="1"/>
      <c r="K103" s="1">
        <v>72.900000000000006</v>
      </c>
      <c r="L103" s="1">
        <f t="shared" si="32"/>
        <v>-73.721000000000004</v>
      </c>
      <c r="M103" s="1">
        <f t="shared" si="33"/>
        <v>-0.82099999999999995</v>
      </c>
      <c r="N103" s="1"/>
      <c r="O103" s="1">
        <v>195</v>
      </c>
      <c r="P103" s="1"/>
      <c r="Q103" s="1"/>
      <c r="R103" s="1"/>
      <c r="S103" s="1">
        <v>260</v>
      </c>
      <c r="T103" s="19"/>
      <c r="U103" s="1">
        <f t="shared" si="34"/>
        <v>-0.16419999999999998</v>
      </c>
      <c r="V103" s="5"/>
      <c r="W103" s="1">
        <f t="shared" si="25"/>
        <v>-2769.3848964677227</v>
      </c>
      <c r="X103" s="1">
        <f t="shared" si="26"/>
        <v>-2769.3848964677227</v>
      </c>
      <c r="Y103" s="1">
        <v>30.249199999999998</v>
      </c>
      <c r="Z103" s="1">
        <v>33.227200000000003</v>
      </c>
      <c r="AA103" s="1">
        <v>28.0884</v>
      </c>
      <c r="AB103" s="1">
        <v>45.462800000000001</v>
      </c>
      <c r="AC103" s="1">
        <v>36.320399999999999</v>
      </c>
      <c r="AD103" s="1">
        <v>32.119199999999999</v>
      </c>
      <c r="AE103" s="1">
        <v>27.328199999999999</v>
      </c>
      <c r="AF103" s="1">
        <v>22.582599999999999</v>
      </c>
      <c r="AG103" s="1"/>
      <c r="AH103" s="1">
        <f t="shared" si="31"/>
        <v>0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 x14ac:dyDescent="0.25">
      <c r="A104" s="16" t="s">
        <v>146</v>
      </c>
      <c r="B104" s="1" t="s">
        <v>37</v>
      </c>
      <c r="C104" s="1"/>
      <c r="D104" s="1"/>
      <c r="E104" s="1">
        <v>-0.70699999999999996</v>
      </c>
      <c r="F104" s="1"/>
      <c r="G104" s="7">
        <v>1</v>
      </c>
      <c r="H104" s="1">
        <v>40</v>
      </c>
      <c r="I104" s="11" t="s">
        <v>49</v>
      </c>
      <c r="J104" s="1"/>
      <c r="K104" s="1">
        <v>16.100000000000001</v>
      </c>
      <c r="L104" s="1">
        <f t="shared" si="32"/>
        <v>-16.807000000000002</v>
      </c>
      <c r="M104" s="1">
        <f t="shared" si="33"/>
        <v>-0.70699999999999996</v>
      </c>
      <c r="N104" s="1"/>
      <c r="O104" s="1">
        <v>26</v>
      </c>
      <c r="P104" s="1"/>
      <c r="Q104" s="1"/>
      <c r="R104" s="1"/>
      <c r="S104" s="1">
        <v>50</v>
      </c>
      <c r="T104" s="19"/>
      <c r="U104" s="1">
        <f t="shared" si="34"/>
        <v>-0.1414</v>
      </c>
      <c r="V104" s="5"/>
      <c r="W104" s="1">
        <f t="shared" si="25"/>
        <v>-537.48231966053754</v>
      </c>
      <c r="X104" s="1">
        <f t="shared" si="26"/>
        <v>-537.48231966053754</v>
      </c>
      <c r="Y104" s="1">
        <v>-0.28460000000000002</v>
      </c>
      <c r="Z104" s="1">
        <v>-0.14319999999999999</v>
      </c>
      <c r="AA104" s="1">
        <v>-0.58819999999999995</v>
      </c>
      <c r="AB104" s="1">
        <v>-0.72819999999999996</v>
      </c>
      <c r="AC104" s="1">
        <v>-0.84860000000000002</v>
      </c>
      <c r="AD104" s="1">
        <v>-0.99199999999999999</v>
      </c>
      <c r="AE104" s="1">
        <v>-0.2918</v>
      </c>
      <c r="AF104" s="1">
        <v>0.2772</v>
      </c>
      <c r="AG104" s="1"/>
      <c r="AH104" s="1">
        <f t="shared" si="31"/>
        <v>0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spans="1:45" x14ac:dyDescent="0.25">
      <c r="A105" s="1" t="s">
        <v>147</v>
      </c>
      <c r="B105" s="1" t="s">
        <v>43</v>
      </c>
      <c r="C105" s="1"/>
      <c r="D105" s="1">
        <v>54</v>
      </c>
      <c r="E105" s="1"/>
      <c r="F105" s="1">
        <v>54</v>
      </c>
      <c r="G105" s="7">
        <v>0.3</v>
      </c>
      <c r="H105" s="1">
        <v>45</v>
      </c>
      <c r="I105" s="1" t="s">
        <v>38</v>
      </c>
      <c r="J105" s="1"/>
      <c r="K105" s="1">
        <v>36</v>
      </c>
      <c r="L105" s="1">
        <f t="shared" si="32"/>
        <v>-36</v>
      </c>
      <c r="M105" s="1">
        <f t="shared" si="33"/>
        <v>0</v>
      </c>
      <c r="N105" s="1"/>
      <c r="O105" s="1">
        <v>71.600000000000009</v>
      </c>
      <c r="P105" s="1"/>
      <c r="Q105" s="1"/>
      <c r="R105" s="1"/>
      <c r="S105" s="1">
        <v>0</v>
      </c>
      <c r="T105" s="19"/>
      <c r="U105" s="1">
        <f t="shared" si="34"/>
        <v>0</v>
      </c>
      <c r="V105" s="5"/>
      <c r="W105" s="1" t="e">
        <f t="shared" si="25"/>
        <v>#DIV/0!</v>
      </c>
      <c r="X105" s="1" t="e">
        <f t="shared" si="26"/>
        <v>#DIV/0!</v>
      </c>
      <c r="Y105" s="1">
        <v>4.8</v>
      </c>
      <c r="Z105" s="1">
        <v>11.4</v>
      </c>
      <c r="AA105" s="1">
        <v>7.2</v>
      </c>
      <c r="AB105" s="1">
        <v>2.2000000000000002</v>
      </c>
      <c r="AC105" s="1">
        <v>5</v>
      </c>
      <c r="AD105" s="1">
        <v>11.4</v>
      </c>
      <c r="AE105" s="1">
        <v>8.1999999999999993</v>
      </c>
      <c r="AF105" s="1">
        <v>0.4</v>
      </c>
      <c r="AG105" s="1"/>
      <c r="AH105" s="1">
        <f t="shared" si="31"/>
        <v>0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spans="1:45" x14ac:dyDescent="0.25">
      <c r="A106" s="1" t="s">
        <v>148</v>
      </c>
      <c r="B106" s="1" t="s">
        <v>37</v>
      </c>
      <c r="C106" s="1">
        <v>12.16</v>
      </c>
      <c r="D106" s="1"/>
      <c r="E106" s="1">
        <v>2.6709999999999998</v>
      </c>
      <c r="F106" s="1">
        <v>9.4890000000000008</v>
      </c>
      <c r="G106" s="7">
        <v>1</v>
      </c>
      <c r="H106" s="1">
        <v>55</v>
      </c>
      <c r="I106" s="1" t="s">
        <v>38</v>
      </c>
      <c r="J106" s="1"/>
      <c r="K106" s="1">
        <v>4</v>
      </c>
      <c r="L106" s="1">
        <f t="shared" si="32"/>
        <v>-1.3290000000000002</v>
      </c>
      <c r="M106" s="1">
        <f t="shared" si="33"/>
        <v>2.6709999999999998</v>
      </c>
      <c r="N106" s="1"/>
      <c r="O106" s="1"/>
      <c r="P106" s="1"/>
      <c r="Q106" s="1"/>
      <c r="R106" s="1"/>
      <c r="S106" s="1"/>
      <c r="T106" s="19"/>
      <c r="U106" s="1">
        <f t="shared" si="34"/>
        <v>0.53420000000000001</v>
      </c>
      <c r="V106" s="5"/>
      <c r="W106" s="1">
        <f t="shared" si="25"/>
        <v>17.763010108573567</v>
      </c>
      <c r="X106" s="1">
        <f t="shared" si="26"/>
        <v>17.763010108573567</v>
      </c>
      <c r="Y106" s="1">
        <v>0.81699999999999995</v>
      </c>
      <c r="Z106" s="1">
        <v>0.54800000000000004</v>
      </c>
      <c r="AA106" s="1">
        <v>0.53959999999999997</v>
      </c>
      <c r="AB106" s="1">
        <v>0.53959999999999997</v>
      </c>
      <c r="AC106" s="1">
        <v>0.54379999999999995</v>
      </c>
      <c r="AD106" s="1">
        <v>0.54379999999999995</v>
      </c>
      <c r="AE106" s="1">
        <v>1.0960000000000001</v>
      </c>
      <c r="AF106" s="1">
        <v>1.0960000000000001</v>
      </c>
      <c r="AG106" s="14" t="s">
        <v>93</v>
      </c>
      <c r="AH106" s="1">
        <f t="shared" si="31"/>
        <v>0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spans="1:45" x14ac:dyDescent="0.25">
      <c r="A107" s="16" t="s">
        <v>149</v>
      </c>
      <c r="B107" s="1" t="s">
        <v>43</v>
      </c>
      <c r="C107" s="1">
        <v>669</v>
      </c>
      <c r="D107" s="1">
        <v>6</v>
      </c>
      <c r="E107" s="1">
        <v>717</v>
      </c>
      <c r="F107" s="1">
        <v>-77</v>
      </c>
      <c r="G107" s="7">
        <v>0.28000000000000003</v>
      </c>
      <c r="H107" s="1">
        <v>40</v>
      </c>
      <c r="I107" s="11" t="s">
        <v>49</v>
      </c>
      <c r="J107" s="1"/>
      <c r="K107" s="1">
        <v>735</v>
      </c>
      <c r="L107" s="1">
        <f t="shared" si="32"/>
        <v>-18</v>
      </c>
      <c r="M107" s="1">
        <f t="shared" si="33"/>
        <v>717</v>
      </c>
      <c r="N107" s="1"/>
      <c r="O107" s="1">
        <v>492.17999999999989</v>
      </c>
      <c r="P107" s="1"/>
      <c r="Q107" s="1">
        <v>246.08999999999989</v>
      </c>
      <c r="R107" s="1">
        <v>-253.57142857142861</v>
      </c>
      <c r="S107" s="1">
        <v>603.10900000000015</v>
      </c>
      <c r="T107" s="19"/>
      <c r="U107" s="1">
        <f t="shared" si="34"/>
        <v>143.4</v>
      </c>
      <c r="V107" s="5">
        <v>300</v>
      </c>
      <c r="W107" s="1">
        <f t="shared" si="25"/>
        <v>9.1409175134488923</v>
      </c>
      <c r="X107" s="1">
        <f t="shared" si="26"/>
        <v>7.0488673042438714</v>
      </c>
      <c r="Y107" s="1">
        <v>118.6</v>
      </c>
      <c r="Z107" s="1">
        <v>92.6</v>
      </c>
      <c r="AA107" s="1">
        <v>36.799999999999997</v>
      </c>
      <c r="AB107" s="1">
        <v>29.6</v>
      </c>
      <c r="AC107" s="1">
        <v>101</v>
      </c>
      <c r="AD107" s="1">
        <v>125.4</v>
      </c>
      <c r="AE107" s="1">
        <v>60.4</v>
      </c>
      <c r="AF107" s="1">
        <v>3.4</v>
      </c>
      <c r="AG107" s="1"/>
      <c r="AH107" s="1">
        <f t="shared" si="31"/>
        <v>84.000000000000014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spans="1:45" x14ac:dyDescent="0.25">
      <c r="A108" s="16" t="s">
        <v>150</v>
      </c>
      <c r="B108" s="1" t="s">
        <v>43</v>
      </c>
      <c r="C108" s="1">
        <v>-2</v>
      </c>
      <c r="D108" s="1">
        <v>450.08800000000002</v>
      </c>
      <c r="E108" s="1">
        <v>471</v>
      </c>
      <c r="F108" s="1">
        <v>-89.912000000000006</v>
      </c>
      <c r="G108" s="7">
        <v>0.28000000000000003</v>
      </c>
      <c r="H108" s="1">
        <v>40</v>
      </c>
      <c r="I108" s="11" t="s">
        <v>49</v>
      </c>
      <c r="J108" s="1"/>
      <c r="K108" s="1">
        <v>594</v>
      </c>
      <c r="L108" s="1">
        <f t="shared" si="32"/>
        <v>-123</v>
      </c>
      <c r="M108" s="1">
        <f t="shared" si="33"/>
        <v>471</v>
      </c>
      <c r="N108" s="1"/>
      <c r="O108" s="1">
        <v>65</v>
      </c>
      <c r="P108" s="1"/>
      <c r="Q108" s="1"/>
      <c r="R108" s="1"/>
      <c r="S108" s="1">
        <v>453.58560000000011</v>
      </c>
      <c r="T108" s="19"/>
      <c r="U108" s="1">
        <f t="shared" si="34"/>
        <v>94.2</v>
      </c>
      <c r="V108" s="5">
        <v>450</v>
      </c>
      <c r="W108" s="1">
        <f t="shared" si="25"/>
        <v>9.327745222929936</v>
      </c>
      <c r="X108" s="1">
        <f t="shared" si="26"/>
        <v>4.5506751592356691</v>
      </c>
      <c r="Y108" s="1">
        <v>49</v>
      </c>
      <c r="Z108" s="1">
        <v>21.2</v>
      </c>
      <c r="AA108" s="1">
        <v>42.8</v>
      </c>
      <c r="AB108" s="1">
        <v>71.2</v>
      </c>
      <c r="AC108" s="1">
        <v>36.799999999999997</v>
      </c>
      <c r="AD108" s="1">
        <v>31.8</v>
      </c>
      <c r="AE108" s="1">
        <v>27.2</v>
      </c>
      <c r="AF108" s="1">
        <v>0.6</v>
      </c>
      <c r="AG108" s="1"/>
      <c r="AH108" s="1">
        <f t="shared" si="31"/>
        <v>126.00000000000001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spans="1:45" x14ac:dyDescent="0.25">
      <c r="A109" s="16" t="s">
        <v>151</v>
      </c>
      <c r="B109" s="1" t="s">
        <v>43</v>
      </c>
      <c r="C109" s="1">
        <v>107</v>
      </c>
      <c r="D109" s="1">
        <v>1</v>
      </c>
      <c r="E109" s="1">
        <v>355</v>
      </c>
      <c r="F109" s="1">
        <v>-247</v>
      </c>
      <c r="G109" s="7">
        <v>0.28000000000000003</v>
      </c>
      <c r="H109" s="1">
        <v>40</v>
      </c>
      <c r="I109" s="11" t="s">
        <v>49</v>
      </c>
      <c r="J109" s="1"/>
      <c r="K109" s="1">
        <v>393</v>
      </c>
      <c r="L109" s="1">
        <f t="shared" si="32"/>
        <v>-38</v>
      </c>
      <c r="M109" s="1">
        <f t="shared" si="33"/>
        <v>355</v>
      </c>
      <c r="N109" s="1"/>
      <c r="O109" s="1">
        <v>390</v>
      </c>
      <c r="P109" s="1"/>
      <c r="Q109" s="1">
        <v>195</v>
      </c>
      <c r="R109" s="1">
        <v>-196.42857142857139</v>
      </c>
      <c r="S109" s="1">
        <v>520</v>
      </c>
      <c r="T109" s="19"/>
      <c r="U109" s="1">
        <f t="shared" si="34"/>
        <v>71</v>
      </c>
      <c r="V109" s="5">
        <f t="shared" ref="V109" si="35">11*U109-S109-R109-Q109-P109-O109-F109</f>
        <v>119.42857142857139</v>
      </c>
      <c r="W109" s="1">
        <f t="shared" si="25"/>
        <v>11</v>
      </c>
      <c r="X109" s="1">
        <f t="shared" si="26"/>
        <v>9.317907444668009</v>
      </c>
      <c r="Y109" s="1">
        <v>136.4</v>
      </c>
      <c r="Z109" s="1">
        <v>115</v>
      </c>
      <c r="AA109" s="1">
        <v>61.6</v>
      </c>
      <c r="AB109" s="1">
        <v>65.400000000000006</v>
      </c>
      <c r="AC109" s="1">
        <v>102</v>
      </c>
      <c r="AD109" s="1">
        <v>112.2</v>
      </c>
      <c r="AE109" s="1">
        <v>55.2</v>
      </c>
      <c r="AF109" s="1">
        <v>0.2</v>
      </c>
      <c r="AG109" s="1"/>
      <c r="AH109" s="1">
        <f t="shared" si="31"/>
        <v>33.439999999999991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spans="1:45" x14ac:dyDescent="0.25">
      <c r="A110" s="1" t="s">
        <v>152</v>
      </c>
      <c r="B110" s="1" t="s">
        <v>43</v>
      </c>
      <c r="C110" s="1">
        <v>659</v>
      </c>
      <c r="D110" s="1">
        <v>25</v>
      </c>
      <c r="E110" s="1">
        <v>70</v>
      </c>
      <c r="F110" s="1">
        <v>577</v>
      </c>
      <c r="G110" s="7">
        <v>0.09</v>
      </c>
      <c r="H110" s="1">
        <v>45</v>
      </c>
      <c r="I110" s="1" t="s">
        <v>38</v>
      </c>
      <c r="J110" s="1"/>
      <c r="K110" s="1">
        <v>96</v>
      </c>
      <c r="L110" s="1">
        <f t="shared" si="32"/>
        <v>-26</v>
      </c>
      <c r="M110" s="1">
        <f t="shared" si="33"/>
        <v>70</v>
      </c>
      <c r="N110" s="1"/>
      <c r="O110" s="1"/>
      <c r="P110" s="1"/>
      <c r="Q110" s="1"/>
      <c r="R110" s="1"/>
      <c r="S110" s="1">
        <v>0</v>
      </c>
      <c r="T110" s="19"/>
      <c r="U110" s="1">
        <f t="shared" si="34"/>
        <v>14</v>
      </c>
      <c r="V110" s="5"/>
      <c r="W110" s="1">
        <f t="shared" si="25"/>
        <v>41.214285714285715</v>
      </c>
      <c r="X110" s="1">
        <f t="shared" si="26"/>
        <v>41.214285714285715</v>
      </c>
      <c r="Y110" s="1">
        <v>15</v>
      </c>
      <c r="Z110" s="1">
        <v>37.200000000000003</v>
      </c>
      <c r="AA110" s="1">
        <v>45.6</v>
      </c>
      <c r="AB110" s="1">
        <v>44.2</v>
      </c>
      <c r="AC110" s="1">
        <v>73.2</v>
      </c>
      <c r="AD110" s="1">
        <v>85.6</v>
      </c>
      <c r="AE110" s="1">
        <v>59.6</v>
      </c>
      <c r="AF110" s="1">
        <v>28.2</v>
      </c>
      <c r="AG110" s="15" t="s">
        <v>76</v>
      </c>
      <c r="AH110" s="1">
        <f t="shared" si="31"/>
        <v>0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spans="1:45" x14ac:dyDescent="0.25">
      <c r="A111" s="10" t="s">
        <v>153</v>
      </c>
      <c r="B111" s="10" t="s">
        <v>37</v>
      </c>
      <c r="C111" s="10">
        <v>8.2780000000000005</v>
      </c>
      <c r="D111" s="10"/>
      <c r="E111" s="10">
        <v>2.76</v>
      </c>
      <c r="F111" s="10">
        <v>5.5179999999999998</v>
      </c>
      <c r="G111" s="9">
        <v>0</v>
      </c>
      <c r="H111" s="10">
        <v>55</v>
      </c>
      <c r="I111" s="10" t="s">
        <v>154</v>
      </c>
      <c r="J111" s="10"/>
      <c r="K111" s="10">
        <v>12.2</v>
      </c>
      <c r="L111" s="10">
        <f t="shared" si="32"/>
        <v>-9.44</v>
      </c>
      <c r="M111" s="10">
        <f t="shared" si="33"/>
        <v>2.76</v>
      </c>
      <c r="N111" s="10"/>
      <c r="O111" s="10"/>
      <c r="P111" s="10"/>
      <c r="Q111" s="10"/>
      <c r="R111" s="10"/>
      <c r="S111" s="10">
        <v>0</v>
      </c>
      <c r="T111" s="21"/>
      <c r="U111" s="10">
        <f t="shared" si="34"/>
        <v>0.55199999999999994</v>
      </c>
      <c r="V111" s="12"/>
      <c r="W111" s="10">
        <f t="shared" si="25"/>
        <v>9.9963768115942031</v>
      </c>
      <c r="X111" s="10">
        <f t="shared" si="26"/>
        <v>9.9963768115942031</v>
      </c>
      <c r="Y111" s="10">
        <v>0.26500000000000001</v>
      </c>
      <c r="Z111" s="10">
        <v>-4.0000000000000001E-3</v>
      </c>
      <c r="AA111" s="10">
        <v>-0.26900000000000002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/>
      <c r="AH111" s="10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spans="1:45" x14ac:dyDescent="0.25">
      <c r="A112" s="1" t="s">
        <v>155</v>
      </c>
      <c r="B112" s="1" t="s">
        <v>37</v>
      </c>
      <c r="C112" s="1">
        <v>22.635000000000002</v>
      </c>
      <c r="D112" s="1">
        <v>50.021999999999998</v>
      </c>
      <c r="E112" s="1">
        <v>31.9</v>
      </c>
      <c r="F112" s="1">
        <v>35.875</v>
      </c>
      <c r="G112" s="7">
        <v>1</v>
      </c>
      <c r="H112" s="1">
        <v>60</v>
      </c>
      <c r="I112" s="1" t="s">
        <v>38</v>
      </c>
      <c r="J112" s="1"/>
      <c r="K112" s="1">
        <v>37.5</v>
      </c>
      <c r="L112" s="1">
        <f t="shared" si="32"/>
        <v>-5.6000000000000014</v>
      </c>
      <c r="M112" s="1">
        <f t="shared" si="33"/>
        <v>31.9</v>
      </c>
      <c r="N112" s="1"/>
      <c r="O112" s="1"/>
      <c r="P112" s="1"/>
      <c r="Q112" s="1"/>
      <c r="R112" s="1"/>
      <c r="S112" s="1">
        <v>24.656250000000011</v>
      </c>
      <c r="T112" s="19"/>
      <c r="U112" s="1">
        <f t="shared" si="34"/>
        <v>6.38</v>
      </c>
      <c r="V112" s="5">
        <f t="shared" ref="V112:V119" si="36">11*U112-S112-R112-Q112-P112-O112-F112</f>
        <v>9.6487499999999784</v>
      </c>
      <c r="W112" s="1">
        <f t="shared" si="25"/>
        <v>10.999999999999998</v>
      </c>
      <c r="X112" s="1">
        <f t="shared" si="26"/>
        <v>9.4876567398119143</v>
      </c>
      <c r="Y112" s="1">
        <v>5.8250000000000002</v>
      </c>
      <c r="Z112" s="1">
        <v>4.3907999999999996</v>
      </c>
      <c r="AA112" s="1">
        <v>7.3688000000000002</v>
      </c>
      <c r="AB112" s="1">
        <v>7.8537999999999997</v>
      </c>
      <c r="AC112" s="1">
        <v>6.3715999999999999</v>
      </c>
      <c r="AD112" s="1">
        <v>5.3945999999999996</v>
      </c>
      <c r="AE112" s="1">
        <v>5.0279999999999996</v>
      </c>
      <c r="AF112" s="1">
        <v>5.5289999999999999</v>
      </c>
      <c r="AG112" s="1"/>
      <c r="AH112" s="1">
        <f t="shared" ref="AH112:AH122" si="37">G112*V112</f>
        <v>9.6487499999999784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spans="1:45" x14ac:dyDescent="0.25">
      <c r="A113" s="1" t="s">
        <v>156</v>
      </c>
      <c r="B113" s="1" t="s">
        <v>37</v>
      </c>
      <c r="C113" s="1">
        <v>42.5</v>
      </c>
      <c r="D113" s="1">
        <v>60.064</v>
      </c>
      <c r="E113" s="1">
        <v>10.045</v>
      </c>
      <c r="F113" s="1">
        <v>92.519000000000005</v>
      </c>
      <c r="G113" s="7">
        <v>1</v>
      </c>
      <c r="H113" s="1">
        <v>50</v>
      </c>
      <c r="I113" s="1" t="s">
        <v>38</v>
      </c>
      <c r="J113" s="1"/>
      <c r="K113" s="1">
        <v>10</v>
      </c>
      <c r="L113" s="1">
        <f t="shared" si="32"/>
        <v>4.4999999999999929E-2</v>
      </c>
      <c r="M113" s="1">
        <f t="shared" si="33"/>
        <v>10.045</v>
      </c>
      <c r="N113" s="1"/>
      <c r="O113" s="1"/>
      <c r="P113" s="1"/>
      <c r="Q113" s="1"/>
      <c r="R113" s="1"/>
      <c r="S113" s="1">
        <v>0</v>
      </c>
      <c r="T113" s="19"/>
      <c r="U113" s="1">
        <f t="shared" si="34"/>
        <v>2.0089999999999999</v>
      </c>
      <c r="V113" s="5"/>
      <c r="W113" s="1">
        <f t="shared" si="25"/>
        <v>46.052264808362374</v>
      </c>
      <c r="X113" s="1">
        <f t="shared" si="26"/>
        <v>46.052264808362374</v>
      </c>
      <c r="Y113" s="1">
        <v>1.9832000000000001</v>
      </c>
      <c r="Z113" s="1">
        <v>2.9632000000000001</v>
      </c>
      <c r="AA113" s="1">
        <v>5.9215999999999998</v>
      </c>
      <c r="AB113" s="1">
        <v>5.3567999999999998</v>
      </c>
      <c r="AC113" s="1">
        <v>2.4121999999999999</v>
      </c>
      <c r="AD113" s="1">
        <v>1.9867999999999999</v>
      </c>
      <c r="AE113" s="1">
        <v>1.4796</v>
      </c>
      <c r="AF113" s="1">
        <v>0.99480000000000002</v>
      </c>
      <c r="AG113" s="15" t="s">
        <v>76</v>
      </c>
      <c r="AH113" s="1">
        <f t="shared" si="37"/>
        <v>0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spans="1:45" x14ac:dyDescent="0.25">
      <c r="A114" s="1" t="s">
        <v>157</v>
      </c>
      <c r="B114" s="1" t="s">
        <v>43</v>
      </c>
      <c r="C114" s="1">
        <v>499</v>
      </c>
      <c r="D114" s="1"/>
      <c r="E114" s="1">
        <v>75</v>
      </c>
      <c r="F114" s="1">
        <v>420</v>
      </c>
      <c r="G114" s="7">
        <v>0.09</v>
      </c>
      <c r="H114" s="1">
        <v>45</v>
      </c>
      <c r="I114" s="1" t="s">
        <v>38</v>
      </c>
      <c r="J114" s="1"/>
      <c r="K114" s="1">
        <v>76</v>
      </c>
      <c r="L114" s="1">
        <f t="shared" si="32"/>
        <v>-1</v>
      </c>
      <c r="M114" s="1">
        <f t="shared" si="33"/>
        <v>75</v>
      </c>
      <c r="N114" s="1"/>
      <c r="O114" s="1"/>
      <c r="P114" s="1"/>
      <c r="Q114" s="1"/>
      <c r="R114" s="1"/>
      <c r="S114" s="1">
        <v>0</v>
      </c>
      <c r="T114" s="19"/>
      <c r="U114" s="1">
        <f t="shared" si="34"/>
        <v>15</v>
      </c>
      <c r="V114" s="5"/>
      <c r="W114" s="1">
        <f t="shared" si="25"/>
        <v>28</v>
      </c>
      <c r="X114" s="1">
        <f t="shared" si="26"/>
        <v>28</v>
      </c>
      <c r="Y114" s="1">
        <v>7.8</v>
      </c>
      <c r="Z114" s="1">
        <v>30</v>
      </c>
      <c r="AA114" s="1">
        <v>40</v>
      </c>
      <c r="AB114" s="1">
        <v>17.2</v>
      </c>
      <c r="AC114" s="1">
        <v>42.6</v>
      </c>
      <c r="AD114" s="1">
        <v>84.4</v>
      </c>
      <c r="AE114" s="1">
        <v>65.2</v>
      </c>
      <c r="AF114" s="1">
        <v>29</v>
      </c>
      <c r="AG114" s="15" t="s">
        <v>76</v>
      </c>
      <c r="AH114" s="1">
        <f t="shared" si="37"/>
        <v>0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spans="1:45" x14ac:dyDescent="0.25">
      <c r="A115" s="1" t="s">
        <v>158</v>
      </c>
      <c r="B115" s="1" t="s">
        <v>43</v>
      </c>
      <c r="C115" s="1">
        <v>456</v>
      </c>
      <c r="D115" s="1">
        <v>30</v>
      </c>
      <c r="E115" s="1">
        <v>81</v>
      </c>
      <c r="F115" s="1">
        <v>390</v>
      </c>
      <c r="G115" s="7">
        <v>0.09</v>
      </c>
      <c r="H115" s="1">
        <v>45</v>
      </c>
      <c r="I115" s="1" t="s">
        <v>38</v>
      </c>
      <c r="J115" s="1"/>
      <c r="K115" s="1">
        <v>78</v>
      </c>
      <c r="L115" s="1">
        <f t="shared" si="32"/>
        <v>3</v>
      </c>
      <c r="M115" s="1">
        <f t="shared" si="33"/>
        <v>81</v>
      </c>
      <c r="N115" s="1"/>
      <c r="O115" s="1"/>
      <c r="P115" s="1"/>
      <c r="Q115" s="1"/>
      <c r="R115" s="1"/>
      <c r="S115" s="1">
        <v>0</v>
      </c>
      <c r="T115" s="19"/>
      <c r="U115" s="1">
        <f t="shared" si="34"/>
        <v>16.2</v>
      </c>
      <c r="V115" s="5"/>
      <c r="W115" s="1">
        <f t="shared" si="25"/>
        <v>24.074074074074076</v>
      </c>
      <c r="X115" s="1">
        <f t="shared" si="26"/>
        <v>24.074074074074076</v>
      </c>
      <c r="Y115" s="1">
        <v>9.4</v>
      </c>
      <c r="Z115" s="1">
        <v>30</v>
      </c>
      <c r="AA115" s="1">
        <v>39.4</v>
      </c>
      <c r="AB115" s="1">
        <v>27.8</v>
      </c>
      <c r="AC115" s="1">
        <v>52.8</v>
      </c>
      <c r="AD115" s="1">
        <v>83</v>
      </c>
      <c r="AE115" s="1">
        <v>59</v>
      </c>
      <c r="AF115" s="1">
        <v>24</v>
      </c>
      <c r="AG115" s="15" t="s">
        <v>76</v>
      </c>
      <c r="AH115" s="1">
        <f t="shared" si="37"/>
        <v>0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spans="1:45" x14ac:dyDescent="0.25">
      <c r="A116" s="1" t="s">
        <v>159</v>
      </c>
      <c r="B116" s="1" t="s">
        <v>37</v>
      </c>
      <c r="C116" s="1">
        <v>199.654</v>
      </c>
      <c r="D116" s="1">
        <v>2.7410000000000001</v>
      </c>
      <c r="E116" s="1">
        <v>133.74600000000001</v>
      </c>
      <c r="F116" s="1">
        <v>51.865000000000002</v>
      </c>
      <c r="G116" s="7">
        <v>1</v>
      </c>
      <c r="H116" s="1">
        <v>60</v>
      </c>
      <c r="I116" s="1" t="s">
        <v>38</v>
      </c>
      <c r="J116" s="1"/>
      <c r="K116" s="1">
        <v>128.69900000000001</v>
      </c>
      <c r="L116" s="1">
        <f t="shared" si="32"/>
        <v>5.046999999999997</v>
      </c>
      <c r="M116" s="1">
        <f t="shared" si="33"/>
        <v>133.74600000000001</v>
      </c>
      <c r="N116" s="1"/>
      <c r="O116" s="1">
        <v>27.472999999999981</v>
      </c>
      <c r="P116" s="1"/>
      <c r="Q116" s="1"/>
      <c r="R116" s="1"/>
      <c r="S116" s="1">
        <v>112.019092</v>
      </c>
      <c r="T116" s="19"/>
      <c r="U116" s="1">
        <f t="shared" si="34"/>
        <v>26.749200000000002</v>
      </c>
      <c r="V116" s="5">
        <f t="shared" si="36"/>
        <v>102.88410800000005</v>
      </c>
      <c r="W116" s="1">
        <f t="shared" si="25"/>
        <v>11.000000000000002</v>
      </c>
      <c r="X116" s="1">
        <f t="shared" si="26"/>
        <v>7.1537500934607374</v>
      </c>
      <c r="Y116" s="1">
        <v>20.511600000000001</v>
      </c>
      <c r="Z116" s="1">
        <v>20.523</v>
      </c>
      <c r="AA116" s="1">
        <v>19.683800000000002</v>
      </c>
      <c r="AB116" s="1">
        <v>23.858799999999999</v>
      </c>
      <c r="AC116" s="1">
        <v>30.072199999999999</v>
      </c>
      <c r="AD116" s="1">
        <v>28.821999999999999</v>
      </c>
      <c r="AE116" s="1">
        <v>19.371600000000001</v>
      </c>
      <c r="AF116" s="1">
        <v>16.9956</v>
      </c>
      <c r="AG116" s="1" t="s">
        <v>40</v>
      </c>
      <c r="AH116" s="1">
        <f t="shared" si="37"/>
        <v>102.88410800000005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spans="1:45" x14ac:dyDescent="0.25">
      <c r="A117" s="1" t="s">
        <v>160</v>
      </c>
      <c r="B117" s="1" t="s">
        <v>37</v>
      </c>
      <c r="C117" s="1">
        <v>957.08</v>
      </c>
      <c r="D117" s="1">
        <v>331.37299999999999</v>
      </c>
      <c r="E117" s="1">
        <v>725.44899999999996</v>
      </c>
      <c r="F117" s="1">
        <v>521.56799999999998</v>
      </c>
      <c r="G117" s="7">
        <v>1</v>
      </c>
      <c r="H117" s="1">
        <v>60</v>
      </c>
      <c r="I117" s="1" t="s">
        <v>38</v>
      </c>
      <c r="J117" s="1"/>
      <c r="K117" s="1">
        <v>711.63900000000001</v>
      </c>
      <c r="L117" s="1">
        <f t="shared" si="32"/>
        <v>13.809999999999945</v>
      </c>
      <c r="M117" s="1">
        <f t="shared" si="33"/>
        <v>725.44899999999996</v>
      </c>
      <c r="N117" s="1"/>
      <c r="O117" s="1">
        <v>101.626436</v>
      </c>
      <c r="P117" s="1"/>
      <c r="Q117" s="1">
        <v>406.50574399999999</v>
      </c>
      <c r="R117" s="1"/>
      <c r="S117" s="1">
        <v>465.92389800000029</v>
      </c>
      <c r="T117" s="19"/>
      <c r="U117" s="1">
        <f t="shared" si="34"/>
        <v>145.0898</v>
      </c>
      <c r="V117" s="5">
        <f t="shared" si="36"/>
        <v>100.3637219999996</v>
      </c>
      <c r="W117" s="1">
        <f t="shared" si="25"/>
        <v>11</v>
      </c>
      <c r="X117" s="1">
        <f t="shared" si="26"/>
        <v>10.308264798766007</v>
      </c>
      <c r="Y117" s="1">
        <v>141.90940000000001</v>
      </c>
      <c r="Z117" s="1">
        <v>146.82140000000001</v>
      </c>
      <c r="AA117" s="1">
        <v>140.74080000000001</v>
      </c>
      <c r="AB117" s="1">
        <v>154.98939999999999</v>
      </c>
      <c r="AC117" s="1">
        <v>181.70920000000001</v>
      </c>
      <c r="AD117" s="1">
        <v>175.9854</v>
      </c>
      <c r="AE117" s="1">
        <v>98.486199999999997</v>
      </c>
      <c r="AF117" s="1">
        <v>89.586800000000011</v>
      </c>
      <c r="AG117" s="1" t="s">
        <v>40</v>
      </c>
      <c r="AH117" s="1">
        <f t="shared" si="37"/>
        <v>100.3637219999996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spans="1:45" x14ac:dyDescent="0.25">
      <c r="A118" s="1" t="s">
        <v>161</v>
      </c>
      <c r="B118" s="1" t="s">
        <v>37</v>
      </c>
      <c r="C118" s="1">
        <v>83.984999999999999</v>
      </c>
      <c r="D118" s="1">
        <v>60.643000000000001</v>
      </c>
      <c r="E118" s="1">
        <v>52.314</v>
      </c>
      <c r="F118" s="1">
        <v>84.766000000000005</v>
      </c>
      <c r="G118" s="7">
        <v>1</v>
      </c>
      <c r="H118" s="1">
        <v>60</v>
      </c>
      <c r="I118" s="1" t="s">
        <v>38</v>
      </c>
      <c r="J118" s="1"/>
      <c r="K118" s="1">
        <v>58.8</v>
      </c>
      <c r="L118" s="1">
        <f t="shared" si="32"/>
        <v>-6.4859999999999971</v>
      </c>
      <c r="M118" s="1">
        <f t="shared" si="33"/>
        <v>52.314</v>
      </c>
      <c r="N118" s="1"/>
      <c r="O118" s="1"/>
      <c r="P118" s="1"/>
      <c r="Q118" s="1"/>
      <c r="R118" s="1"/>
      <c r="S118" s="1">
        <v>17.095279999999999</v>
      </c>
      <c r="T118" s="19"/>
      <c r="U118" s="1">
        <f t="shared" si="34"/>
        <v>10.4628</v>
      </c>
      <c r="V118" s="5">
        <f t="shared" si="36"/>
        <v>13.229519999999994</v>
      </c>
      <c r="W118" s="1">
        <f t="shared" si="25"/>
        <v>11</v>
      </c>
      <c r="X118" s="1">
        <f t="shared" si="26"/>
        <v>9.7355660052758353</v>
      </c>
      <c r="Y118" s="1">
        <v>9.4239999999999995</v>
      </c>
      <c r="Z118" s="1">
        <v>11.5632</v>
      </c>
      <c r="AA118" s="1">
        <v>12.903</v>
      </c>
      <c r="AB118" s="1">
        <v>13.724600000000001</v>
      </c>
      <c r="AC118" s="1">
        <v>13.781000000000001</v>
      </c>
      <c r="AD118" s="1">
        <v>13.204599999999999</v>
      </c>
      <c r="AE118" s="1">
        <v>10.835599999999999</v>
      </c>
      <c r="AF118" s="1">
        <v>10.377000000000001</v>
      </c>
      <c r="AG118" s="1"/>
      <c r="AH118" s="1">
        <f t="shared" si="37"/>
        <v>13.229519999999994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spans="1:45" x14ac:dyDescent="0.25">
      <c r="A119" s="1" t="s">
        <v>162</v>
      </c>
      <c r="B119" s="1" t="s">
        <v>37</v>
      </c>
      <c r="C119" s="1">
        <v>988.553</v>
      </c>
      <c r="D119" s="1">
        <v>1013.68</v>
      </c>
      <c r="E119" s="1">
        <v>1008.742</v>
      </c>
      <c r="F119" s="1">
        <v>898.55200000000002</v>
      </c>
      <c r="G119" s="7">
        <v>1</v>
      </c>
      <c r="H119" s="1">
        <v>60</v>
      </c>
      <c r="I119" s="1" t="s">
        <v>38</v>
      </c>
      <c r="J119" s="1"/>
      <c r="K119" s="1">
        <v>1027.7</v>
      </c>
      <c r="L119" s="1">
        <f t="shared" si="32"/>
        <v>-18.958000000000084</v>
      </c>
      <c r="M119" s="1">
        <f t="shared" si="33"/>
        <v>1008.742</v>
      </c>
      <c r="N119" s="1"/>
      <c r="O119" s="1">
        <v>260</v>
      </c>
      <c r="P119" s="1"/>
      <c r="Q119" s="1">
        <v>1040</v>
      </c>
      <c r="R119" s="1"/>
      <c r="S119" s="1">
        <v>0</v>
      </c>
      <c r="T119" s="19"/>
      <c r="U119" s="1">
        <f t="shared" si="34"/>
        <v>201.7484</v>
      </c>
      <c r="V119" s="5">
        <f t="shared" si="36"/>
        <v>20.68039999999985</v>
      </c>
      <c r="W119" s="1">
        <f t="shared" si="25"/>
        <v>11</v>
      </c>
      <c r="X119" s="1">
        <f t="shared" si="26"/>
        <v>10.897494106520796</v>
      </c>
      <c r="Y119" s="1">
        <v>194.76939999999999</v>
      </c>
      <c r="Z119" s="1">
        <v>203.86619999999999</v>
      </c>
      <c r="AA119" s="1">
        <v>195.4562</v>
      </c>
      <c r="AB119" s="1">
        <v>194.12459999999999</v>
      </c>
      <c r="AC119" s="1">
        <v>210.81899999999999</v>
      </c>
      <c r="AD119" s="1">
        <v>218.63480000000001</v>
      </c>
      <c r="AE119" s="1">
        <v>145.69720000000001</v>
      </c>
      <c r="AF119" s="1">
        <v>131.56319999999999</v>
      </c>
      <c r="AG119" s="1"/>
      <c r="AH119" s="1">
        <f t="shared" si="37"/>
        <v>20.68039999999985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spans="1:45" x14ac:dyDescent="0.25">
      <c r="A120" s="1" t="s">
        <v>163</v>
      </c>
      <c r="B120" s="1" t="s">
        <v>43</v>
      </c>
      <c r="C120" s="1">
        <v>200</v>
      </c>
      <c r="D120" s="1"/>
      <c r="E120" s="1">
        <v>2</v>
      </c>
      <c r="F120" s="1">
        <v>198</v>
      </c>
      <c r="G120" s="7">
        <v>0.25</v>
      </c>
      <c r="H120" s="1">
        <v>1096</v>
      </c>
      <c r="I120" s="1" t="s">
        <v>38</v>
      </c>
      <c r="J120" s="1"/>
      <c r="K120" s="1">
        <v>2</v>
      </c>
      <c r="L120" s="1">
        <f t="shared" si="32"/>
        <v>0</v>
      </c>
      <c r="M120" s="1">
        <f t="shared" si="33"/>
        <v>2</v>
      </c>
      <c r="N120" s="1"/>
      <c r="O120" s="1"/>
      <c r="P120" s="1"/>
      <c r="Q120" s="1"/>
      <c r="R120" s="1"/>
      <c r="S120" s="1">
        <v>0</v>
      </c>
      <c r="T120" s="19"/>
      <c r="U120" s="1">
        <f t="shared" si="34"/>
        <v>0.4</v>
      </c>
      <c r="V120" s="5"/>
      <c r="W120" s="1">
        <f t="shared" si="25"/>
        <v>495</v>
      </c>
      <c r="X120" s="1">
        <f t="shared" si="26"/>
        <v>495</v>
      </c>
      <c r="Y120" s="1">
        <v>0</v>
      </c>
      <c r="Z120" s="1">
        <v>0.8</v>
      </c>
      <c r="AA120" s="1">
        <v>0.8</v>
      </c>
      <c r="AB120" s="1">
        <v>1</v>
      </c>
      <c r="AC120" s="1">
        <v>5.6</v>
      </c>
      <c r="AD120" s="1">
        <v>10</v>
      </c>
      <c r="AE120" s="1">
        <v>6</v>
      </c>
      <c r="AF120" s="1">
        <v>1.2</v>
      </c>
      <c r="AG120" s="18" t="s">
        <v>177</v>
      </c>
      <c r="AH120" s="1">
        <f t="shared" si="37"/>
        <v>0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spans="1:45" x14ac:dyDescent="0.25">
      <c r="A121" s="1" t="s">
        <v>164</v>
      </c>
      <c r="B121" s="1" t="s">
        <v>43</v>
      </c>
      <c r="C121" s="1">
        <v>115</v>
      </c>
      <c r="D121" s="1"/>
      <c r="E121" s="13">
        <f>2+E130</f>
        <v>3</v>
      </c>
      <c r="F121" s="13">
        <f>113+F130</f>
        <v>142</v>
      </c>
      <c r="G121" s="7">
        <v>0.32500000000000001</v>
      </c>
      <c r="H121" s="1">
        <v>1096</v>
      </c>
      <c r="I121" s="1" t="s">
        <v>38</v>
      </c>
      <c r="J121" s="1"/>
      <c r="K121" s="1">
        <v>2</v>
      </c>
      <c r="L121" s="1">
        <f t="shared" si="32"/>
        <v>1</v>
      </c>
      <c r="M121" s="1">
        <f t="shared" si="33"/>
        <v>3</v>
      </c>
      <c r="N121" s="1"/>
      <c r="O121" s="1"/>
      <c r="P121" s="1"/>
      <c r="Q121" s="1"/>
      <c r="R121" s="1"/>
      <c r="S121" s="1">
        <v>0</v>
      </c>
      <c r="T121" s="19"/>
      <c r="U121" s="1">
        <f t="shared" si="34"/>
        <v>0.6</v>
      </c>
      <c r="V121" s="5"/>
      <c r="W121" s="1">
        <f t="shared" si="25"/>
        <v>236.66666666666669</v>
      </c>
      <c r="X121" s="1">
        <f t="shared" si="26"/>
        <v>236.66666666666669</v>
      </c>
      <c r="Y121" s="1">
        <v>0</v>
      </c>
      <c r="Z121" s="1">
        <v>1</v>
      </c>
      <c r="AA121" s="1">
        <v>1</v>
      </c>
      <c r="AB121" s="1">
        <v>1</v>
      </c>
      <c r="AC121" s="1">
        <v>5.2</v>
      </c>
      <c r="AD121" s="1">
        <v>7.2</v>
      </c>
      <c r="AE121" s="1">
        <v>3.8</v>
      </c>
      <c r="AF121" s="1">
        <v>1</v>
      </c>
      <c r="AG121" s="18" t="s">
        <v>177</v>
      </c>
      <c r="AH121" s="1">
        <f t="shared" si="37"/>
        <v>0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spans="1:45" x14ac:dyDescent="0.25">
      <c r="A122" s="1" t="s">
        <v>165</v>
      </c>
      <c r="B122" s="1" t="s">
        <v>43</v>
      </c>
      <c r="C122" s="1">
        <v>176</v>
      </c>
      <c r="D122" s="1"/>
      <c r="E122" s="1">
        <v>7</v>
      </c>
      <c r="F122" s="1">
        <v>169</v>
      </c>
      <c r="G122" s="7">
        <v>0.25</v>
      </c>
      <c r="H122" s="1">
        <v>1096</v>
      </c>
      <c r="I122" s="1" t="s">
        <v>38</v>
      </c>
      <c r="J122" s="1"/>
      <c r="K122" s="1">
        <v>7</v>
      </c>
      <c r="L122" s="1">
        <f t="shared" si="32"/>
        <v>0</v>
      </c>
      <c r="M122" s="1">
        <f t="shared" si="33"/>
        <v>7</v>
      </c>
      <c r="N122" s="1"/>
      <c r="O122" s="1"/>
      <c r="P122" s="1"/>
      <c r="Q122" s="1"/>
      <c r="R122" s="1"/>
      <c r="S122" s="1">
        <v>0</v>
      </c>
      <c r="T122" s="19"/>
      <c r="U122" s="1">
        <f t="shared" si="34"/>
        <v>1.4</v>
      </c>
      <c r="V122" s="5"/>
      <c r="W122" s="1">
        <f t="shared" si="25"/>
        <v>120.71428571428572</v>
      </c>
      <c r="X122" s="1">
        <f t="shared" si="26"/>
        <v>120.71428571428572</v>
      </c>
      <c r="Y122" s="1">
        <v>5</v>
      </c>
      <c r="Z122" s="1">
        <v>5.8</v>
      </c>
      <c r="AA122" s="1">
        <v>1.8</v>
      </c>
      <c r="AB122" s="1">
        <v>2</v>
      </c>
      <c r="AC122" s="1">
        <v>6.4</v>
      </c>
      <c r="AD122" s="1">
        <v>12.4</v>
      </c>
      <c r="AE122" s="1">
        <v>8.6</v>
      </c>
      <c r="AF122" s="1">
        <v>2</v>
      </c>
      <c r="AG122" s="18" t="s">
        <v>177</v>
      </c>
      <c r="AH122" s="1">
        <f t="shared" si="37"/>
        <v>0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spans="1:45" x14ac:dyDescent="0.25">
      <c r="A123" s="10" t="s">
        <v>166</v>
      </c>
      <c r="B123" s="10" t="s">
        <v>37</v>
      </c>
      <c r="C123" s="10"/>
      <c r="D123" s="10">
        <v>5.99</v>
      </c>
      <c r="E123" s="10"/>
      <c r="F123" s="13">
        <v>5.99</v>
      </c>
      <c r="G123" s="9">
        <v>0</v>
      </c>
      <c r="H123" s="10"/>
      <c r="I123" s="10" t="s">
        <v>167</v>
      </c>
      <c r="J123" s="10" t="s">
        <v>138</v>
      </c>
      <c r="K123" s="10"/>
      <c r="L123" s="10">
        <f t="shared" si="32"/>
        <v>0</v>
      </c>
      <c r="M123" s="10">
        <f t="shared" si="33"/>
        <v>0</v>
      </c>
      <c r="N123" s="10"/>
      <c r="O123" s="10"/>
      <c r="P123" s="10"/>
      <c r="Q123" s="10"/>
      <c r="R123" s="10"/>
      <c r="S123" s="10"/>
      <c r="T123" s="21"/>
      <c r="U123" s="10">
        <f t="shared" si="34"/>
        <v>0</v>
      </c>
      <c r="V123" s="12"/>
      <c r="W123" s="10" t="e">
        <f t="shared" si="25"/>
        <v>#DIV/0!</v>
      </c>
      <c r="X123" s="10" t="e">
        <f t="shared" si="26"/>
        <v>#DIV/0!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/>
      <c r="AH123" s="10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spans="1:45" x14ac:dyDescent="0.25">
      <c r="A124" s="16" t="s">
        <v>168</v>
      </c>
      <c r="B124" s="1" t="s">
        <v>43</v>
      </c>
      <c r="C124" s="1"/>
      <c r="D124" s="1"/>
      <c r="E124" s="1"/>
      <c r="F124" s="1"/>
      <c r="G124" s="7">
        <v>0.3</v>
      </c>
      <c r="H124" s="1">
        <v>40</v>
      </c>
      <c r="I124" s="11" t="s">
        <v>49</v>
      </c>
      <c r="J124" s="1"/>
      <c r="K124" s="1">
        <v>24</v>
      </c>
      <c r="L124" s="1">
        <f t="shared" si="32"/>
        <v>-24</v>
      </c>
      <c r="M124" s="1">
        <f t="shared" si="33"/>
        <v>0</v>
      </c>
      <c r="N124" s="1"/>
      <c r="O124" s="1">
        <v>52</v>
      </c>
      <c r="P124" s="1"/>
      <c r="Q124" s="1"/>
      <c r="R124" s="1"/>
      <c r="S124" s="1">
        <v>52</v>
      </c>
      <c r="T124" s="19"/>
      <c r="U124" s="1">
        <f t="shared" si="34"/>
        <v>0</v>
      </c>
      <c r="V124" s="5"/>
      <c r="W124" s="1" t="e">
        <f t="shared" si="25"/>
        <v>#DIV/0!</v>
      </c>
      <c r="X124" s="1" t="e">
        <f t="shared" si="26"/>
        <v>#DIV/0!</v>
      </c>
      <c r="Y124" s="1">
        <v>3.6</v>
      </c>
      <c r="Z124" s="1">
        <v>3.4</v>
      </c>
      <c r="AA124" s="1">
        <v>-0.2</v>
      </c>
      <c r="AB124" s="1">
        <v>13.2</v>
      </c>
      <c r="AC124" s="1">
        <v>28.8</v>
      </c>
      <c r="AD124" s="1">
        <v>16.8</v>
      </c>
      <c r="AE124" s="1">
        <v>0</v>
      </c>
      <c r="AF124" s="1">
        <v>-0.4</v>
      </c>
      <c r="AG124" s="1"/>
      <c r="AH124" s="1">
        <f>G124*V124</f>
        <v>0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spans="1:45" x14ac:dyDescent="0.25">
      <c r="A125" s="16" t="s">
        <v>169</v>
      </c>
      <c r="B125" s="1" t="s">
        <v>43</v>
      </c>
      <c r="C125" s="1"/>
      <c r="D125" s="1"/>
      <c r="E125" s="1"/>
      <c r="F125" s="1"/>
      <c r="G125" s="7">
        <v>0.3</v>
      </c>
      <c r="H125" s="1">
        <v>40</v>
      </c>
      <c r="I125" s="11" t="s">
        <v>49</v>
      </c>
      <c r="J125" s="1"/>
      <c r="K125" s="1">
        <v>15</v>
      </c>
      <c r="L125" s="1">
        <f t="shared" si="32"/>
        <v>-15</v>
      </c>
      <c r="M125" s="1">
        <f t="shared" si="33"/>
        <v>0</v>
      </c>
      <c r="N125" s="1"/>
      <c r="O125" s="1">
        <v>52</v>
      </c>
      <c r="P125" s="1"/>
      <c r="Q125" s="1"/>
      <c r="R125" s="1"/>
      <c r="S125" s="1">
        <v>39</v>
      </c>
      <c r="T125" s="19"/>
      <c r="U125" s="1">
        <f t="shared" si="34"/>
        <v>0</v>
      </c>
      <c r="V125" s="5"/>
      <c r="W125" s="1" t="e">
        <f t="shared" si="25"/>
        <v>#DIV/0!</v>
      </c>
      <c r="X125" s="1" t="e">
        <f t="shared" si="26"/>
        <v>#DIV/0!</v>
      </c>
      <c r="Y125" s="1">
        <v>-0.4</v>
      </c>
      <c r="Z125" s="1">
        <v>-1</v>
      </c>
      <c r="AA125" s="1">
        <v>0.6</v>
      </c>
      <c r="AB125" s="1">
        <v>9.1999999999999993</v>
      </c>
      <c r="AC125" s="1">
        <v>8</v>
      </c>
      <c r="AD125" s="1">
        <v>0</v>
      </c>
      <c r="AE125" s="1">
        <v>-0.2</v>
      </c>
      <c r="AF125" s="1">
        <v>-1.2</v>
      </c>
      <c r="AG125" s="1"/>
      <c r="AH125" s="1">
        <f>G125*V125</f>
        <v>0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spans="1:45" x14ac:dyDescent="0.25">
      <c r="A126" s="1" t="s">
        <v>170</v>
      </c>
      <c r="B126" s="1" t="s">
        <v>37</v>
      </c>
      <c r="C126" s="1">
        <v>25.855</v>
      </c>
      <c r="D126" s="1">
        <v>110.33499999999999</v>
      </c>
      <c r="E126" s="1">
        <v>55.761000000000003</v>
      </c>
      <c r="F126" s="1">
        <v>79.034000000000006</v>
      </c>
      <c r="G126" s="7">
        <v>1</v>
      </c>
      <c r="H126" s="1">
        <v>50</v>
      </c>
      <c r="I126" s="1" t="s">
        <v>38</v>
      </c>
      <c r="J126" s="1"/>
      <c r="K126" s="1">
        <v>64.2</v>
      </c>
      <c r="L126" s="1">
        <f t="shared" si="32"/>
        <v>-8.4390000000000001</v>
      </c>
      <c r="M126" s="1">
        <f t="shared" si="33"/>
        <v>55.761000000000003</v>
      </c>
      <c r="N126" s="1"/>
      <c r="O126" s="1">
        <v>63.883999999999993</v>
      </c>
      <c r="P126" s="1"/>
      <c r="Q126" s="1"/>
      <c r="R126" s="1"/>
      <c r="S126" s="1">
        <v>40.218035999999962</v>
      </c>
      <c r="T126" s="19"/>
      <c r="U126" s="1">
        <f t="shared" si="34"/>
        <v>11.152200000000001</v>
      </c>
      <c r="V126" s="5"/>
      <c r="W126" s="1">
        <f t="shared" si="25"/>
        <v>16.421516472086221</v>
      </c>
      <c r="X126" s="1">
        <f t="shared" si="26"/>
        <v>16.421516472086221</v>
      </c>
      <c r="Y126" s="1">
        <v>15.002800000000001</v>
      </c>
      <c r="Z126" s="1">
        <v>16.108799999999999</v>
      </c>
      <c r="AA126" s="1">
        <v>13.9884</v>
      </c>
      <c r="AB126" s="1">
        <v>11.2852</v>
      </c>
      <c r="AC126" s="1">
        <v>10.900600000000001</v>
      </c>
      <c r="AD126" s="1">
        <v>11.664199999999999</v>
      </c>
      <c r="AE126" s="1">
        <v>8.6918000000000006</v>
      </c>
      <c r="AF126" s="1">
        <v>8.6745999999999999</v>
      </c>
      <c r="AG126" s="1"/>
      <c r="AH126" s="1">
        <f>G126*V126</f>
        <v>0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spans="1:45" x14ac:dyDescent="0.25">
      <c r="A127" s="16" t="s">
        <v>171</v>
      </c>
      <c r="B127" s="1" t="s">
        <v>43</v>
      </c>
      <c r="C127" s="1"/>
      <c r="D127" s="1"/>
      <c r="E127" s="1">
        <v>-1</v>
      </c>
      <c r="F127" s="1"/>
      <c r="G127" s="7">
        <v>0.3</v>
      </c>
      <c r="H127" s="1">
        <v>40</v>
      </c>
      <c r="I127" s="11" t="s">
        <v>49</v>
      </c>
      <c r="J127" s="1"/>
      <c r="K127" s="1"/>
      <c r="L127" s="1">
        <f t="shared" si="32"/>
        <v>-1</v>
      </c>
      <c r="M127" s="1">
        <f t="shared" si="33"/>
        <v>-1</v>
      </c>
      <c r="N127" s="1"/>
      <c r="O127" s="1">
        <v>13</v>
      </c>
      <c r="P127" s="1"/>
      <c r="Q127" s="1"/>
      <c r="R127" s="1"/>
      <c r="S127" s="1">
        <v>13</v>
      </c>
      <c r="T127" s="19"/>
      <c r="U127" s="1">
        <f t="shared" si="34"/>
        <v>-0.2</v>
      </c>
      <c r="V127" s="5"/>
      <c r="W127" s="1">
        <f t="shared" si="25"/>
        <v>-130</v>
      </c>
      <c r="X127" s="1">
        <f t="shared" si="26"/>
        <v>-130</v>
      </c>
      <c r="Y127" s="1">
        <v>-0.2</v>
      </c>
      <c r="Z127" s="1">
        <v>0.2</v>
      </c>
      <c r="AA127" s="1">
        <v>0.2</v>
      </c>
      <c r="AB127" s="1">
        <v>-0.2</v>
      </c>
      <c r="AC127" s="1">
        <v>0.6</v>
      </c>
      <c r="AD127" s="1">
        <v>5.8</v>
      </c>
      <c r="AE127" s="1">
        <v>7.2</v>
      </c>
      <c r="AF127" s="1">
        <v>4.5999999999999996</v>
      </c>
      <c r="AG127" s="1"/>
      <c r="AH127" s="1">
        <f>G127*V127</f>
        <v>0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spans="1:45" x14ac:dyDescent="0.25">
      <c r="A128" s="1" t="s">
        <v>172</v>
      </c>
      <c r="B128" s="1" t="s">
        <v>43</v>
      </c>
      <c r="C128" s="1">
        <v>50</v>
      </c>
      <c r="D128" s="1">
        <v>2</v>
      </c>
      <c r="E128" s="1">
        <v>35</v>
      </c>
      <c r="F128" s="1">
        <v>12</v>
      </c>
      <c r="G128" s="7">
        <v>0.12</v>
      </c>
      <c r="H128" s="1">
        <v>45</v>
      </c>
      <c r="I128" s="11" t="s">
        <v>49</v>
      </c>
      <c r="J128" s="1"/>
      <c r="K128" s="1">
        <v>40</v>
      </c>
      <c r="L128" s="1">
        <f t="shared" si="32"/>
        <v>-5</v>
      </c>
      <c r="M128" s="1">
        <f t="shared" si="33"/>
        <v>35</v>
      </c>
      <c r="N128" s="1"/>
      <c r="O128" s="1">
        <v>62.140000000000008</v>
      </c>
      <c r="P128" s="1"/>
      <c r="Q128" s="1"/>
      <c r="R128" s="1"/>
      <c r="S128" s="1">
        <v>24.777999999999981</v>
      </c>
      <c r="T128" s="19"/>
      <c r="U128" s="1">
        <f t="shared" si="34"/>
        <v>7</v>
      </c>
      <c r="V128" s="5"/>
      <c r="W128" s="1">
        <f t="shared" si="25"/>
        <v>14.131142857142857</v>
      </c>
      <c r="X128" s="1">
        <f t="shared" si="26"/>
        <v>14.131142857142857</v>
      </c>
      <c r="Y128" s="1">
        <v>9.6</v>
      </c>
      <c r="Z128" s="1">
        <v>8.8000000000000007</v>
      </c>
      <c r="AA128" s="1">
        <v>6.6</v>
      </c>
      <c r="AB128" s="1">
        <v>8.4</v>
      </c>
      <c r="AC128" s="1">
        <v>10.4</v>
      </c>
      <c r="AD128" s="1">
        <v>13.2</v>
      </c>
      <c r="AE128" s="1">
        <v>9.8000000000000007</v>
      </c>
      <c r="AF128" s="1">
        <v>7.2</v>
      </c>
      <c r="AG128" s="1"/>
      <c r="AH128" s="1">
        <f>G128*V128</f>
        <v>0</v>
      </c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spans="1:45" x14ac:dyDescent="0.25">
      <c r="A129" s="10" t="s">
        <v>173</v>
      </c>
      <c r="B129" s="10" t="s">
        <v>43</v>
      </c>
      <c r="C129" s="10">
        <v>12</v>
      </c>
      <c r="D129" s="10">
        <v>202</v>
      </c>
      <c r="E129" s="13">
        <v>62</v>
      </c>
      <c r="F129" s="13">
        <v>147</v>
      </c>
      <c r="G129" s="9">
        <v>0</v>
      </c>
      <c r="H129" s="10"/>
      <c r="I129" s="10" t="s">
        <v>174</v>
      </c>
      <c r="J129" s="10" t="s">
        <v>95</v>
      </c>
      <c r="K129" s="10">
        <v>65</v>
      </c>
      <c r="L129" s="10">
        <f t="shared" si="32"/>
        <v>-3</v>
      </c>
      <c r="M129" s="10">
        <f t="shared" si="33"/>
        <v>62</v>
      </c>
      <c r="N129" s="10"/>
      <c r="O129" s="10"/>
      <c r="P129" s="10"/>
      <c r="Q129" s="10"/>
      <c r="R129" s="10"/>
      <c r="S129" s="10">
        <v>0</v>
      </c>
      <c r="T129" s="21"/>
      <c r="U129" s="10">
        <f t="shared" si="34"/>
        <v>12.4</v>
      </c>
      <c r="V129" s="12"/>
      <c r="W129" s="10">
        <f t="shared" si="25"/>
        <v>11.854838709677418</v>
      </c>
      <c r="X129" s="10">
        <f t="shared" si="26"/>
        <v>11.854838709677418</v>
      </c>
      <c r="Y129" s="10">
        <v>14.8</v>
      </c>
      <c r="Z129" s="10">
        <v>21.6</v>
      </c>
      <c r="AA129" s="10">
        <v>19.8</v>
      </c>
      <c r="AB129" s="10">
        <v>10.4</v>
      </c>
      <c r="AC129" s="10">
        <v>11.2</v>
      </c>
      <c r="AD129" s="10">
        <v>14.6</v>
      </c>
      <c r="AE129" s="10">
        <v>5.2</v>
      </c>
      <c r="AF129" s="10">
        <v>0</v>
      </c>
      <c r="AG129" s="10"/>
      <c r="AH129" s="10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spans="1:45" x14ac:dyDescent="0.25">
      <c r="A130" s="10" t="s">
        <v>175</v>
      </c>
      <c r="B130" s="10" t="s">
        <v>43</v>
      </c>
      <c r="C130" s="10">
        <v>30</v>
      </c>
      <c r="D130" s="10"/>
      <c r="E130" s="13">
        <v>1</v>
      </c>
      <c r="F130" s="13">
        <v>29</v>
      </c>
      <c r="G130" s="9">
        <v>0</v>
      </c>
      <c r="H130" s="10"/>
      <c r="I130" s="10" t="s">
        <v>174</v>
      </c>
      <c r="J130" s="10" t="s">
        <v>164</v>
      </c>
      <c r="K130" s="10">
        <v>1</v>
      </c>
      <c r="L130" s="10">
        <f t="shared" si="32"/>
        <v>0</v>
      </c>
      <c r="M130" s="10">
        <f t="shared" si="33"/>
        <v>1</v>
      </c>
      <c r="N130" s="10"/>
      <c r="O130" s="10"/>
      <c r="P130" s="10"/>
      <c r="Q130" s="10"/>
      <c r="R130" s="10"/>
      <c r="S130" s="10">
        <v>0</v>
      </c>
      <c r="T130" s="21"/>
      <c r="U130" s="10">
        <f t="shared" si="34"/>
        <v>0.2</v>
      </c>
      <c r="V130" s="12"/>
      <c r="W130" s="10">
        <f t="shared" si="25"/>
        <v>145</v>
      </c>
      <c r="X130" s="10">
        <f t="shared" si="26"/>
        <v>145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0.2</v>
      </c>
      <c r="AF130" s="10">
        <v>0.4</v>
      </c>
      <c r="AG130" s="10"/>
      <c r="AH130" s="10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spans="1:45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9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spans="1:45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9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spans="1:45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9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spans="1:45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9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spans="1:45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9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spans="1:45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9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spans="1:45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9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spans="1:45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9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spans="1:45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9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spans="1:45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9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spans="1:45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9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spans="1:45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9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spans="1:45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9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spans="1:45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9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spans="1:45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9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spans="1:45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9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spans="1:45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9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spans="1:45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9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spans="1:45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9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spans="1:45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9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spans="1:45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9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spans="1:45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9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spans="1:45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9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spans="1:45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9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spans="1:45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9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spans="1:45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9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spans="1:45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9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spans="1:45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9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spans="1:45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9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spans="1:45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9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spans="1:45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9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spans="1:45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9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spans="1:45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9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spans="1:45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9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spans="1:45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9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spans="1:45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9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spans="1:45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9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spans="1:45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9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spans="1:45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9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spans="1:45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9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spans="1:45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9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spans="1:45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9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spans="1:45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9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spans="1:45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9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spans="1:45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9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spans="1:45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9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spans="1:45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9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spans="1:45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9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spans="1:45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9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spans="1:45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9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spans="1:45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9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spans="1:45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9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spans="1:45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9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spans="1:45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9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spans="1:45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9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spans="1:45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9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spans="1:45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9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spans="1:45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9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spans="1:45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9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spans="1:45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9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spans="1:45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9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spans="1:45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9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spans="1:45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9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spans="1:45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9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spans="1:45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9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spans="1:45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9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spans="1:45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9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spans="1:45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9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spans="1:45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9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spans="1:45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9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spans="1:45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9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spans="1:45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9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spans="1:45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9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spans="1:45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9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spans="1:45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9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spans="1:45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9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spans="1:45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9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spans="1:45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9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spans="1:45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9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spans="1:45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9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spans="1:45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9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spans="1:45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9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spans="1:45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9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spans="1:45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9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spans="1:45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9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spans="1:45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9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spans="1:45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9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spans="1:45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9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spans="1:45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9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spans="1:45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9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spans="1:45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9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spans="1:45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9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spans="1:45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9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spans="1:45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9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spans="1:45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9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spans="1:45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9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spans="1:45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9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spans="1:45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9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spans="1:45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9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spans="1:45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9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spans="1:45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9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spans="1:45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9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spans="1:45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9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spans="1:45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9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spans="1:45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9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spans="1:45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9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spans="1:45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9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spans="1:45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9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spans="1:45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9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spans="1:45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9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spans="1:45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9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spans="1:45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9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spans="1:45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9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spans="1:45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9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spans="1:45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9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spans="1:45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9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spans="1:45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9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spans="1:45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9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spans="1:45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9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spans="1:45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9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spans="1:45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9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spans="1:45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9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spans="1:45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9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spans="1:45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9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spans="1:45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9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spans="1:45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9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spans="1:45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9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spans="1:45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9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spans="1:45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9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spans="1:45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9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spans="1:45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9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spans="1:45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9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spans="1:45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9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spans="1:45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9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spans="1:45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9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spans="1:45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9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spans="1:45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9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spans="1:45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9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spans="1:45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9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spans="1:45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9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spans="1:45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9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spans="1:45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9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spans="1:45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9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spans="1:45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9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spans="1:45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9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spans="1:45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9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spans="1:45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9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spans="1:45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9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spans="1:45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9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spans="1:45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9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spans="1:45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9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spans="1:45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9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spans="1:45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9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spans="1:45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9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spans="1:45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9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spans="1:45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9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spans="1:45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9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spans="1:45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9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spans="1:45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9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spans="1:45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9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spans="1:45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9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spans="1:45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9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spans="1:45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9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spans="1:45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9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spans="1:45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9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spans="1:45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9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spans="1:45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9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spans="1:45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9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spans="1:45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9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spans="1:45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9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spans="1:45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9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spans="1:45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9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spans="1:45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9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spans="1:45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9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45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9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spans="1:45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9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spans="1:45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9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spans="1:45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9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spans="1:45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9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spans="1:45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9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spans="1:45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9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spans="1:45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9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spans="1:45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9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spans="1:45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9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spans="1:45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9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spans="1:45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9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spans="1:45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9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spans="1:45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9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spans="1:45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9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spans="1:45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9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spans="1:45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9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spans="1:45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9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spans="1:45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9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spans="1:45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9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spans="1:45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9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spans="1:45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9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spans="1:45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9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spans="1:45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9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spans="1:45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9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spans="1:45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9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spans="1:45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9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spans="1:45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9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spans="1:45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9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spans="1:45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9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spans="1:45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9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spans="1:45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9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spans="1:45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9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spans="1:45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9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spans="1:45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9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spans="1:45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9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spans="1:45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9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spans="1:45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9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spans="1:45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9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spans="1:45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9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spans="1:45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9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spans="1:45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9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spans="1:45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9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spans="1:45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9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spans="1:45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9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spans="1:45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9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spans="1:45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9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spans="1:45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9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spans="1:45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9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spans="1:45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9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spans="1:45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9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spans="1:45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9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spans="1:45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9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spans="1:45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9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spans="1:45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9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spans="1:45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9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spans="1:45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9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spans="1:45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9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spans="1:45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9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spans="1:45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9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spans="1:45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9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spans="1:45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9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spans="1:45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9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spans="1:45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9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spans="1:45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9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spans="1:45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9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spans="1:45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9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spans="1:45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9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spans="1:45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9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spans="1:45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9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spans="1:45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9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spans="1:45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9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spans="1:45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9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spans="1:45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9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spans="1:45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9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spans="1:45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9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spans="1:45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9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spans="1:45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9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spans="1:45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9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spans="1:45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9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spans="1:45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9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spans="1:45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9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spans="1:45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9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spans="1:45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9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spans="1:45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9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spans="1:45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9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spans="1:45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9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spans="1:45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9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spans="1:45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9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spans="1:45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9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spans="1:45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9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spans="1:45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9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spans="1:45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9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spans="1:45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9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spans="1:45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9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spans="1:45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9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spans="1:45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9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spans="1:45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9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spans="1:45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9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spans="1:45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9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spans="1:45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9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spans="1:45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9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spans="1:45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9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spans="1:45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9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spans="1:45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9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spans="1:45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9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spans="1:45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9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spans="1:45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9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spans="1:45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9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spans="1:45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9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spans="1:45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9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spans="1:45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9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spans="1:45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9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spans="1:45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9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spans="1:45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9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spans="1:45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9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spans="1:45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9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spans="1:45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9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spans="1:45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9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spans="1:45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9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spans="1:45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9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spans="1:45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9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spans="1:45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9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spans="1:45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9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spans="1:45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9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spans="1:45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9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spans="1:45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9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spans="1:45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9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spans="1:45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9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spans="1:45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9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spans="1:45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9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spans="1:45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9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spans="1:45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9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spans="1:45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9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spans="1:45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9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spans="1:45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9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spans="1:45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9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spans="1:45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9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spans="1:45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9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spans="1:45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9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spans="1:45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9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spans="1:45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9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spans="1:45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9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spans="1:45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9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spans="1:45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9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spans="1:45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9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spans="1:45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9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spans="1:45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9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spans="1:45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9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spans="1:45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9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spans="1:45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9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spans="1:45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9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spans="1:45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9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spans="1:45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9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spans="1:45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9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spans="1:45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9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spans="1:45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9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spans="1:45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9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spans="1:45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9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spans="1:45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9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spans="1:45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9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spans="1:45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9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spans="1:45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9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spans="1:45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9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spans="1:45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9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spans="1:45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9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spans="1:45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9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spans="1:45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9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spans="1:45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9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spans="1:45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9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spans="1:45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9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spans="1:45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9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spans="1:45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9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spans="1:45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9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spans="1:45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9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spans="1:45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9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spans="1:45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9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spans="1:45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9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spans="1:45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9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spans="1:45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9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spans="1:45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9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spans="1:45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9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spans="1:45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9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spans="1:45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9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spans="1:45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9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spans="1:45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9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spans="1:45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9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</sheetData>
  <autoFilter ref="A3:AH13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2026-09-29T11:16:33Z</dcterms:created>
  <dcterms:modified xsi:type="dcterms:W3CDTF">2026-09-29T13:00:07Z</dcterms:modified>
</cp:coreProperties>
</file>