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12A5B36C-0591-4A25-9467-616E04A8AE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Sheet!$A$3:$X$131</definedName>
  </definedNames>
  <calcPr calcId="191029"/>
</workbook>
</file>

<file path=xl/calcChain.xml><?xml version="1.0" encoding="utf-8"?>
<calcChain xmlns="http://schemas.openxmlformats.org/spreadsheetml/2006/main">
  <c r="R131" i="1" l="1"/>
  <c r="U131" i="1" s="1"/>
  <c r="L131" i="1"/>
  <c r="R130" i="1"/>
  <c r="U130" i="1" s="1"/>
  <c r="L130" i="1"/>
  <c r="R129" i="1"/>
  <c r="U129" i="1" s="1"/>
  <c r="L129" i="1"/>
  <c r="R128" i="1"/>
  <c r="U128" i="1" s="1"/>
  <c r="L128" i="1"/>
  <c r="R127" i="1"/>
  <c r="U127" i="1" s="1"/>
  <c r="L127" i="1"/>
  <c r="R126" i="1"/>
  <c r="U126" i="1" s="1"/>
  <c r="L126" i="1"/>
  <c r="R125" i="1"/>
  <c r="L125" i="1"/>
  <c r="R124" i="1"/>
  <c r="L124" i="1"/>
  <c r="R123" i="1"/>
  <c r="U123" i="1" s="1"/>
  <c r="L123" i="1"/>
  <c r="R122" i="1"/>
  <c r="L122" i="1"/>
  <c r="F122" i="1"/>
  <c r="R121" i="1"/>
  <c r="U121" i="1" s="1"/>
  <c r="L121" i="1"/>
  <c r="R120" i="1"/>
  <c r="U120" i="1" s="1"/>
  <c r="L120" i="1"/>
  <c r="R119" i="1"/>
  <c r="U119" i="1" s="1"/>
  <c r="L119" i="1"/>
  <c r="R118" i="1"/>
  <c r="L118" i="1"/>
  <c r="R117" i="1"/>
  <c r="T117" i="1" s="1"/>
  <c r="L117" i="1"/>
  <c r="R116" i="1"/>
  <c r="U116" i="1" s="1"/>
  <c r="L116" i="1"/>
  <c r="R115" i="1"/>
  <c r="U115" i="1" s="1"/>
  <c r="L115" i="1"/>
  <c r="R114" i="1"/>
  <c r="T114" i="1" s="1"/>
  <c r="L114" i="1"/>
  <c r="R113" i="1"/>
  <c r="U113" i="1" s="1"/>
  <c r="L113" i="1"/>
  <c r="R112" i="1"/>
  <c r="U112" i="1" s="1"/>
  <c r="L112" i="1"/>
  <c r="R111" i="1"/>
  <c r="U111" i="1" s="1"/>
  <c r="L111" i="1"/>
  <c r="R110" i="1"/>
  <c r="U110" i="1" s="1"/>
  <c r="L110" i="1"/>
  <c r="R109" i="1"/>
  <c r="U109" i="1" s="1"/>
  <c r="L109" i="1"/>
  <c r="R108" i="1"/>
  <c r="U108" i="1" s="1"/>
  <c r="L108" i="1"/>
  <c r="R107" i="1"/>
  <c r="L107" i="1"/>
  <c r="R106" i="1"/>
  <c r="U106" i="1" s="1"/>
  <c r="L106" i="1"/>
  <c r="R105" i="1"/>
  <c r="U105" i="1" s="1"/>
  <c r="L105" i="1"/>
  <c r="R104" i="1"/>
  <c r="U104" i="1" s="1"/>
  <c r="L104" i="1"/>
  <c r="R103" i="1"/>
  <c r="L103" i="1"/>
  <c r="R102" i="1"/>
  <c r="T102" i="1" s="1"/>
  <c r="L102" i="1"/>
  <c r="R101" i="1"/>
  <c r="L101" i="1"/>
  <c r="R100" i="1"/>
  <c r="U100" i="1" s="1"/>
  <c r="L100" i="1"/>
  <c r="R99" i="1"/>
  <c r="U99" i="1" s="1"/>
  <c r="L99" i="1"/>
  <c r="R98" i="1"/>
  <c r="U98" i="1" s="1"/>
  <c r="L98" i="1"/>
  <c r="R97" i="1"/>
  <c r="T97" i="1" s="1"/>
  <c r="L97" i="1"/>
  <c r="R96" i="1"/>
  <c r="U96" i="1" s="1"/>
  <c r="L96" i="1"/>
  <c r="R95" i="1"/>
  <c r="U95" i="1" s="1"/>
  <c r="L95" i="1"/>
  <c r="R94" i="1"/>
  <c r="U94" i="1" s="1"/>
  <c r="L94" i="1"/>
  <c r="R93" i="1"/>
  <c r="U93" i="1" s="1"/>
  <c r="L93" i="1"/>
  <c r="R92" i="1"/>
  <c r="L92" i="1"/>
  <c r="F92" i="1"/>
  <c r="R91" i="1"/>
  <c r="L91" i="1"/>
  <c r="R90" i="1"/>
  <c r="U90" i="1" s="1"/>
  <c r="L90" i="1"/>
  <c r="R89" i="1"/>
  <c r="U89" i="1" s="1"/>
  <c r="L89" i="1"/>
  <c r="R88" i="1"/>
  <c r="U88" i="1" s="1"/>
  <c r="L88" i="1"/>
  <c r="R87" i="1"/>
  <c r="U87" i="1" s="1"/>
  <c r="L87" i="1"/>
  <c r="R86" i="1"/>
  <c r="T86" i="1" s="1"/>
  <c r="L86" i="1"/>
  <c r="R85" i="1"/>
  <c r="T85" i="1" s="1"/>
  <c r="L85" i="1"/>
  <c r="R84" i="1"/>
  <c r="U84" i="1" s="1"/>
  <c r="L84" i="1"/>
  <c r="R83" i="1"/>
  <c r="U83" i="1" s="1"/>
  <c r="L83" i="1"/>
  <c r="R82" i="1"/>
  <c r="U82" i="1" s="1"/>
  <c r="L82" i="1"/>
  <c r="R81" i="1"/>
  <c r="U81" i="1" s="1"/>
  <c r="L81" i="1"/>
  <c r="R80" i="1"/>
  <c r="U80" i="1" s="1"/>
  <c r="L80" i="1"/>
  <c r="R79" i="1"/>
  <c r="U79" i="1" s="1"/>
  <c r="L79" i="1"/>
  <c r="R78" i="1"/>
  <c r="T78" i="1" s="1"/>
  <c r="L78" i="1"/>
  <c r="R77" i="1"/>
  <c r="U77" i="1" s="1"/>
  <c r="L77" i="1"/>
  <c r="R76" i="1"/>
  <c r="U76" i="1" s="1"/>
  <c r="L76" i="1"/>
  <c r="R75" i="1"/>
  <c r="U75" i="1" s="1"/>
  <c r="L75" i="1"/>
  <c r="R74" i="1"/>
  <c r="L74" i="1"/>
  <c r="R73" i="1"/>
  <c r="U73" i="1" s="1"/>
  <c r="L73" i="1"/>
  <c r="R72" i="1"/>
  <c r="T72" i="1" s="1"/>
  <c r="L72" i="1"/>
  <c r="R71" i="1"/>
  <c r="L71" i="1"/>
  <c r="R70" i="1"/>
  <c r="T70" i="1" s="1"/>
  <c r="L70" i="1"/>
  <c r="R69" i="1"/>
  <c r="U69" i="1" s="1"/>
  <c r="L69" i="1"/>
  <c r="R68" i="1"/>
  <c r="U68" i="1" s="1"/>
  <c r="L68" i="1"/>
  <c r="R67" i="1"/>
  <c r="U67" i="1" s="1"/>
  <c r="L67" i="1"/>
  <c r="R66" i="1"/>
  <c r="U66" i="1" s="1"/>
  <c r="L66" i="1"/>
  <c r="R65" i="1"/>
  <c r="U65" i="1" s="1"/>
  <c r="L65" i="1"/>
  <c r="R64" i="1"/>
  <c r="U64" i="1" s="1"/>
  <c r="L64" i="1"/>
  <c r="R63" i="1"/>
  <c r="L63" i="1"/>
  <c r="R62" i="1"/>
  <c r="U62" i="1" s="1"/>
  <c r="L62" i="1"/>
  <c r="R61" i="1"/>
  <c r="U61" i="1" s="1"/>
  <c r="L61" i="1"/>
  <c r="R60" i="1"/>
  <c r="U60" i="1" s="1"/>
  <c r="L60" i="1"/>
  <c r="F59" i="1"/>
  <c r="E59" i="1"/>
  <c r="R59" i="1" s="1"/>
  <c r="R58" i="1"/>
  <c r="U58" i="1" s="1"/>
  <c r="L58" i="1"/>
  <c r="R57" i="1"/>
  <c r="U57" i="1" s="1"/>
  <c r="L57" i="1"/>
  <c r="R56" i="1"/>
  <c r="U56" i="1" s="1"/>
  <c r="L56" i="1"/>
  <c r="R55" i="1"/>
  <c r="U55" i="1" s="1"/>
  <c r="L55" i="1"/>
  <c r="R54" i="1"/>
  <c r="L54" i="1"/>
  <c r="R53" i="1"/>
  <c r="U53" i="1" s="1"/>
  <c r="L53" i="1"/>
  <c r="R52" i="1"/>
  <c r="S52" i="1" s="1"/>
  <c r="L52" i="1"/>
  <c r="R51" i="1"/>
  <c r="U51" i="1" s="1"/>
  <c r="L51" i="1"/>
  <c r="R50" i="1"/>
  <c r="S50" i="1" s="1"/>
  <c r="L50" i="1"/>
  <c r="R49" i="1"/>
  <c r="L49" i="1"/>
  <c r="R48" i="1"/>
  <c r="U48" i="1" s="1"/>
  <c r="L48" i="1"/>
  <c r="R47" i="1"/>
  <c r="U47" i="1" s="1"/>
  <c r="L47" i="1"/>
  <c r="R46" i="1"/>
  <c r="U46" i="1" s="1"/>
  <c r="L46" i="1"/>
  <c r="R45" i="1"/>
  <c r="U45" i="1" s="1"/>
  <c r="L45" i="1"/>
  <c r="R44" i="1"/>
  <c r="U44" i="1" s="1"/>
  <c r="L44" i="1"/>
  <c r="R43" i="1"/>
  <c r="U43" i="1" s="1"/>
  <c r="L43" i="1"/>
  <c r="R42" i="1"/>
  <c r="L42" i="1"/>
  <c r="R41" i="1"/>
  <c r="U41" i="1" s="1"/>
  <c r="L41" i="1"/>
  <c r="R40" i="1"/>
  <c r="U40" i="1" s="1"/>
  <c r="L40" i="1"/>
  <c r="R39" i="1"/>
  <c r="U39" i="1" s="1"/>
  <c r="L39" i="1"/>
  <c r="R38" i="1"/>
  <c r="L38" i="1"/>
  <c r="R37" i="1"/>
  <c r="U37" i="1" s="1"/>
  <c r="L37" i="1"/>
  <c r="R36" i="1"/>
  <c r="U36" i="1" s="1"/>
  <c r="L36" i="1"/>
  <c r="R35" i="1"/>
  <c r="U35" i="1" s="1"/>
  <c r="L35" i="1"/>
  <c r="R34" i="1"/>
  <c r="L34" i="1"/>
  <c r="R33" i="1"/>
  <c r="U33" i="1" s="1"/>
  <c r="L33" i="1"/>
  <c r="R32" i="1"/>
  <c r="U32" i="1" s="1"/>
  <c r="L32" i="1"/>
  <c r="R31" i="1"/>
  <c r="U31" i="1" s="1"/>
  <c r="L31" i="1"/>
  <c r="R30" i="1"/>
  <c r="U30" i="1" s="1"/>
  <c r="L30" i="1"/>
  <c r="R29" i="1"/>
  <c r="U29" i="1" s="1"/>
  <c r="L29" i="1"/>
  <c r="R28" i="1"/>
  <c r="U28" i="1" s="1"/>
  <c r="L28" i="1"/>
  <c r="R27" i="1"/>
  <c r="L27" i="1"/>
  <c r="R26" i="1"/>
  <c r="U26" i="1" s="1"/>
  <c r="L26" i="1"/>
  <c r="R25" i="1"/>
  <c r="L25" i="1"/>
  <c r="R24" i="1"/>
  <c r="U24" i="1" s="1"/>
  <c r="L24" i="1"/>
  <c r="R23" i="1"/>
  <c r="T23" i="1" s="1"/>
  <c r="L23" i="1"/>
  <c r="R22" i="1"/>
  <c r="L22" i="1"/>
  <c r="R21" i="1"/>
  <c r="U21" i="1" s="1"/>
  <c r="L21" i="1"/>
  <c r="R20" i="1"/>
  <c r="U20" i="1" s="1"/>
  <c r="L20" i="1"/>
  <c r="R19" i="1"/>
  <c r="U19" i="1" s="1"/>
  <c r="L19" i="1"/>
  <c r="R18" i="1"/>
  <c r="U18" i="1" s="1"/>
  <c r="L18" i="1"/>
  <c r="R17" i="1"/>
  <c r="S17" i="1" s="1"/>
  <c r="L17" i="1"/>
  <c r="R16" i="1"/>
  <c r="U16" i="1" s="1"/>
  <c r="L16" i="1"/>
  <c r="R15" i="1"/>
  <c r="U15" i="1" s="1"/>
  <c r="L15" i="1"/>
  <c r="R14" i="1"/>
  <c r="U14" i="1" s="1"/>
  <c r="L14" i="1"/>
  <c r="R13" i="1"/>
  <c r="U13" i="1" s="1"/>
  <c r="L13" i="1"/>
  <c r="R12" i="1"/>
  <c r="U12" i="1" s="1"/>
  <c r="L12" i="1"/>
  <c r="R11" i="1"/>
  <c r="U11" i="1" s="1"/>
  <c r="L11" i="1"/>
  <c r="R10" i="1"/>
  <c r="U10" i="1" s="1"/>
  <c r="L10" i="1"/>
  <c r="R9" i="1"/>
  <c r="U9" i="1" s="1"/>
  <c r="L9" i="1"/>
  <c r="R8" i="1"/>
  <c r="U8" i="1" s="1"/>
  <c r="L8" i="1"/>
  <c r="R7" i="1"/>
  <c r="U7" i="1" s="1"/>
  <c r="L7" i="1"/>
  <c r="R6" i="1"/>
  <c r="U6" i="1" s="1"/>
  <c r="L6" i="1"/>
  <c r="V5" i="1"/>
  <c r="Q5" i="1"/>
  <c r="P5" i="1"/>
  <c r="O5" i="1"/>
  <c r="N5" i="1"/>
  <c r="M5" i="1"/>
  <c r="K5" i="1"/>
  <c r="U92" i="1" l="1"/>
  <c r="U124" i="1"/>
  <c r="S92" i="1"/>
  <c r="T110" i="1"/>
  <c r="S122" i="1"/>
  <c r="U86" i="1"/>
  <c r="U85" i="1"/>
  <c r="X42" i="1"/>
  <c r="S20" i="1"/>
  <c r="T131" i="1"/>
  <c r="U72" i="1"/>
  <c r="X45" i="1"/>
  <c r="T46" i="1"/>
  <c r="X91" i="1"/>
  <c r="X22" i="1"/>
  <c r="X63" i="1"/>
  <c r="U52" i="1"/>
  <c r="X114" i="1"/>
  <c r="T25" i="1"/>
  <c r="X66" i="1"/>
  <c r="U25" i="1"/>
  <c r="X17" i="1"/>
  <c r="X27" i="1"/>
  <c r="X107" i="1"/>
  <c r="X117" i="1"/>
  <c r="S8" i="1"/>
  <c r="X54" i="1"/>
  <c r="T101" i="1"/>
  <c r="U125" i="1"/>
  <c r="S55" i="1"/>
  <c r="F5" i="1"/>
  <c r="U117" i="1"/>
  <c r="X49" i="1"/>
  <c r="T13" i="1"/>
  <c r="X38" i="1"/>
  <c r="X71" i="1"/>
  <c r="X118" i="1"/>
  <c r="X50" i="1"/>
  <c r="X70" i="1"/>
  <c r="T107" i="1"/>
  <c r="X15" i="1"/>
  <c r="T60" i="1"/>
  <c r="X103" i="1"/>
  <c r="X74" i="1"/>
  <c r="T34" i="1"/>
  <c r="T19" i="1"/>
  <c r="T118" i="1"/>
  <c r="T18" i="1"/>
  <c r="T17" i="1"/>
  <c r="U103" i="1"/>
  <c r="U63" i="1"/>
  <c r="U23" i="1"/>
  <c r="T36" i="1"/>
  <c r="U122" i="1"/>
  <c r="U102" i="1"/>
  <c r="U42" i="1"/>
  <c r="U22" i="1"/>
  <c r="T95" i="1"/>
  <c r="T15" i="1"/>
  <c r="U101" i="1"/>
  <c r="T74" i="1"/>
  <c r="T54" i="1"/>
  <c r="T93" i="1"/>
  <c r="U59" i="1"/>
  <c r="U118" i="1"/>
  <c r="U78" i="1"/>
  <c r="U38" i="1"/>
  <c r="T71" i="1"/>
  <c r="U97" i="1"/>
  <c r="U17" i="1"/>
  <c r="T50" i="1"/>
  <c r="T109" i="1"/>
  <c r="T89" i="1"/>
  <c r="T49" i="1"/>
  <c r="T9" i="1"/>
  <c r="T28" i="1"/>
  <c r="U114" i="1"/>
  <c r="U74" i="1"/>
  <c r="U54" i="1"/>
  <c r="U34" i="1"/>
  <c r="T87" i="1"/>
  <c r="T27" i="1"/>
  <c r="T66" i="1"/>
  <c r="U91" i="1"/>
  <c r="U71" i="1"/>
  <c r="U70" i="1"/>
  <c r="U50" i="1"/>
  <c r="T103" i="1"/>
  <c r="T63" i="1"/>
  <c r="U49" i="1"/>
  <c r="T42" i="1"/>
  <c r="T22" i="1"/>
  <c r="U107" i="1"/>
  <c r="U27" i="1"/>
  <c r="X78" i="1"/>
  <c r="X59" i="1"/>
  <c r="T84" i="1"/>
  <c r="X92" i="1"/>
  <c r="T99" i="1"/>
  <c r="X122" i="1"/>
  <c r="X97" i="1"/>
  <c r="X34" i="1"/>
  <c r="X101" i="1"/>
  <c r="T113" i="1"/>
  <c r="T88" i="1"/>
  <c r="X25" i="1"/>
  <c r="E5" i="1"/>
  <c r="R5" i="1"/>
  <c r="L59" i="1"/>
  <c r="L5" i="1" s="1"/>
  <c r="T91" i="1" l="1"/>
  <c r="X46" i="1"/>
  <c r="T38" i="1"/>
  <c r="X13" i="1"/>
  <c r="T45" i="1"/>
  <c r="X26" i="1"/>
  <c r="T26" i="1"/>
  <c r="X33" i="1"/>
  <c r="T33" i="1"/>
  <c r="X129" i="1"/>
  <c r="T129" i="1"/>
  <c r="X24" i="1"/>
  <c r="T24" i="1"/>
  <c r="X75" i="1"/>
  <c r="T75" i="1"/>
  <c r="X8" i="1"/>
  <c r="T8" i="1"/>
  <c r="X115" i="1"/>
  <c r="T115" i="1"/>
  <c r="X128" i="1"/>
  <c r="T128" i="1"/>
  <c r="X106" i="1"/>
  <c r="T106" i="1"/>
  <c r="X47" i="1"/>
  <c r="T47" i="1"/>
  <c r="X116" i="1"/>
  <c r="T116" i="1"/>
  <c r="X52" i="1"/>
  <c r="T52" i="1"/>
  <c r="X124" i="1"/>
  <c r="T124" i="1"/>
  <c r="X120" i="1"/>
  <c r="T120" i="1"/>
  <c r="X57" i="1"/>
  <c r="T57" i="1"/>
  <c r="X90" i="1"/>
  <c r="T90" i="1"/>
  <c r="X14" i="1"/>
  <c r="T14" i="1"/>
  <c r="X100" i="1"/>
  <c r="T100" i="1"/>
  <c r="X121" i="1"/>
  <c r="T121" i="1"/>
  <c r="X83" i="1"/>
  <c r="T83" i="1"/>
  <c r="X16" i="1"/>
  <c r="T16" i="1"/>
  <c r="X123" i="1"/>
  <c r="T123" i="1"/>
  <c r="X53" i="1"/>
  <c r="T53" i="1"/>
  <c r="X44" i="1"/>
  <c r="T44" i="1"/>
  <c r="X51" i="1"/>
  <c r="T51" i="1"/>
  <c r="X43" i="1"/>
  <c r="T43" i="1"/>
  <c r="X82" i="1"/>
  <c r="T82" i="1"/>
  <c r="X94" i="1"/>
  <c r="T94" i="1"/>
  <c r="X37" i="1"/>
  <c r="T37" i="1"/>
  <c r="X104" i="1"/>
  <c r="T104" i="1"/>
  <c r="X30" i="1"/>
  <c r="T30" i="1"/>
  <c r="X20" i="1"/>
  <c r="T20" i="1"/>
  <c r="X73" i="1"/>
  <c r="T73" i="1"/>
  <c r="X10" i="1"/>
  <c r="T10" i="1"/>
  <c r="X80" i="1"/>
  <c r="T80" i="1"/>
  <c r="X39" i="1"/>
  <c r="T39" i="1"/>
  <c r="X79" i="1"/>
  <c r="T79" i="1"/>
  <c r="X58" i="1"/>
  <c r="T58" i="1"/>
  <c r="X12" i="1"/>
  <c r="T12" i="1"/>
  <c r="X29" i="1"/>
  <c r="T29" i="1"/>
  <c r="X112" i="1"/>
  <c r="T112" i="1"/>
  <c r="X65" i="1"/>
  <c r="T65" i="1"/>
  <c r="X48" i="1"/>
  <c r="T48" i="1"/>
  <c r="X67" i="1"/>
  <c r="T67" i="1"/>
  <c r="X64" i="1"/>
  <c r="T64" i="1"/>
  <c r="X21" i="1"/>
  <c r="T21" i="1"/>
  <c r="X130" i="1"/>
  <c r="T130" i="1"/>
  <c r="X81" i="1"/>
  <c r="T81" i="1"/>
  <c r="X56" i="1"/>
  <c r="T56" i="1"/>
  <c r="X119" i="1"/>
  <c r="T119" i="1"/>
  <c r="X62" i="1"/>
  <c r="T62" i="1"/>
  <c r="X32" i="1"/>
  <c r="T32" i="1"/>
  <c r="X7" i="1"/>
  <c r="T7" i="1"/>
  <c r="X31" i="1"/>
  <c r="T31" i="1"/>
  <c r="X126" i="1"/>
  <c r="T126" i="1"/>
  <c r="T59" i="1"/>
  <c r="X41" i="1"/>
  <c r="T41" i="1"/>
  <c r="X111" i="1"/>
  <c r="T111" i="1"/>
  <c r="X108" i="1"/>
  <c r="T108" i="1"/>
  <c r="X35" i="1"/>
  <c r="T35" i="1"/>
  <c r="X76" i="1"/>
  <c r="T76" i="1"/>
  <c r="X40" i="1"/>
  <c r="T40" i="1"/>
  <c r="X11" i="1"/>
  <c r="T11" i="1"/>
  <c r="X69" i="1"/>
  <c r="T69" i="1"/>
  <c r="X61" i="1"/>
  <c r="T61" i="1"/>
  <c r="T92" i="1"/>
  <c r="X98" i="1"/>
  <c r="T98" i="1"/>
  <c r="X105" i="1"/>
  <c r="T105" i="1"/>
  <c r="X6" i="1"/>
  <c r="T6" i="1"/>
  <c r="X77" i="1"/>
  <c r="T77" i="1"/>
  <c r="X96" i="1"/>
  <c r="T96" i="1"/>
  <c r="X125" i="1"/>
  <c r="T125" i="1"/>
  <c r="X68" i="1"/>
  <c r="T68" i="1"/>
  <c r="X127" i="1"/>
  <c r="T127" i="1"/>
  <c r="X55" i="1"/>
  <c r="T55" i="1"/>
  <c r="T122" i="1"/>
  <c r="X99" i="1"/>
  <c r="X84" i="1"/>
  <c r="S5" i="1"/>
  <c r="X113" i="1"/>
  <c r="X88" i="1"/>
  <c r="X60" i="1"/>
  <c r="X5" i="1" l="1"/>
</calcChain>
</file>

<file path=xl/sharedStrings.xml><?xml version="1.0" encoding="utf-8"?>
<sst xmlns="http://schemas.openxmlformats.org/spreadsheetml/2006/main" count="444" uniqueCount="164">
  <si>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</si>
  <si>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</si>
  <si>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</si>
  <si>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</si>
  <si>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</si>
  <si>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</si>
  <si>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</si>
  <si>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</si>
  <si>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</si>
  <si>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</si>
  <si>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</si>
  <si>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</si>
  <si>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</si>
  <si>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</si>
  <si>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</si>
  <si>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</si>
  <si>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</si>
  <si>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</si>
  <si>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</si>
  <si>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</si>
  <si>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</si>
  <si>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</si>
  <si>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20,09,доз</t>
  </si>
  <si>
    <t>27,09,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</si>
  <si>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</si>
  <si>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</si>
  <si>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</si>
  <si>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</si>
  <si>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</si>
  <si>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</si>
  <si>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</si>
  <si>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</si>
  <si>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</si>
  <si>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</si>
  <si>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</si>
  <si>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</si>
  <si>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</si>
  <si>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</si>
  <si>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</si>
  <si>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</si>
  <si>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</si>
  <si>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</si>
  <si>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</si>
  <si>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</si>
  <si>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</si>
  <si>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</si>
  <si>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</si>
  <si>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</si>
  <si>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</si>
  <si>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</si>
  <si>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</si>
  <si>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</si>
  <si>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</si>
  <si>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</si>
  <si>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</si>
  <si>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</si>
  <si>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</si>
  <si>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</si>
  <si>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</si>
  <si>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</si>
  <si>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</si>
  <si>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</si>
  <si>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</si>
  <si>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</si>
  <si>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</si>
  <si>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</si>
  <si>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</si>
  <si>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</si>
  <si>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</si>
  <si>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</si>
  <si>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</si>
  <si>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</si>
  <si>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</si>
  <si>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</si>
  <si>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</si>
  <si>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</si>
  <si>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</si>
  <si>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</si>
  <si>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</si>
  <si>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</si>
  <si>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</si>
  <si>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</si>
  <si>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</si>
  <si>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</si>
  <si>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</si>
  <si>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</si>
  <si>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</si>
  <si>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</si>
  <si>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</si>
  <si>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</si>
  <si>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</si>
  <si>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</si>
  <si>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</si>
  <si>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</si>
  <si>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</si>
  <si>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</si>
  <si>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</si>
  <si>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</si>
  <si>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</si>
  <si>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</si>
  <si>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</si>
  <si>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</si>
  <si>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</si>
  <si>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</si>
  <si>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</si>
  <si>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</si>
  <si>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</si>
  <si>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</si>
  <si>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</si>
  <si>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</si>
  <si>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</si>
  <si>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</si>
  <si>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</si>
  <si>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</si>
  <si>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</si>
  <si>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</si>
  <si>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</si>
  <si>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</si>
  <si>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</si>
  <si>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</si>
  <si>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</si>
  <si>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</si>
  <si>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</si>
  <si>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</si>
  <si>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</si>
  <si>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</si>
  <si>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</si>
  <si>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</si>
  <si>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</si>
  <si>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</si>
  <si>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</si>
  <si>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</si>
  <si>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</si>
  <si>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</si>
  <si>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</si>
  <si>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</si>
  <si>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</si>
  <si>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</si>
  <si>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</si>
  <si>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</si>
  <si>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</si>
  <si>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</si>
  <si>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</si>
  <si>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</si>
  <si>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</si>
  <si>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</si>
  <si>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</si>
  <si>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</si>
  <si>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</si>
  <si>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</si>
  <si>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</si>
  <si>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</si>
  <si>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</si>
  <si>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</si>
  <si>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</si>
  <si>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</si>
  <si>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</si>
  <si>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</si>
  <si>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</si>
  <si>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</si>
  <si>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</si>
  <si>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ПРОМО сентябрь</t>
    </r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</si>
  <si>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</si>
  <si>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ПРОМО сентябрь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</si>
</sst>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4" fillId="7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7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Q34" sqref="AQ3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22" width="6" customWidth="1"/>
    <col min="23" max="23" width="47.42578125" customWidth="1"/>
    <col min="24" max="24" width="7" customWidth="1"/>
    <col min="25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24</v>
      </c>
      <c r="S4" s="1"/>
      <c r="T4" s="1"/>
      <c r="U4" s="1"/>
      <c r="V4" s="1" t="s">
        <v>25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SUM(E6:E478)</f>
        <v>7440.0260000000007</v>
      </c>
      <c r="F5" s="4">
        <f>SUM(F6:F478)</f>
        <v>11884.022999999999</v>
      </c>
      <c r="G5" s="7"/>
      <c r="H5" s="1"/>
      <c r="I5" s="1"/>
      <c r="J5" s="1"/>
      <c r="K5" s="4">
        <f t="shared" ref="K5:S5" si="0">SUM(K6:K478)</f>
        <v>12381.28</v>
      </c>
      <c r="L5" s="4">
        <f t="shared" si="0"/>
        <v>-4941.2539999999999</v>
      </c>
      <c r="M5" s="4">
        <f t="shared" si="0"/>
        <v>0</v>
      </c>
      <c r="N5" s="4">
        <f t="shared" si="0"/>
        <v>0</v>
      </c>
      <c r="O5" s="4">
        <f t="shared" si="0"/>
        <v>1560</v>
      </c>
      <c r="P5" s="4">
        <f t="shared" si="0"/>
        <v>5719.2397073431584</v>
      </c>
      <c r="Q5" s="4">
        <f t="shared" si="0"/>
        <v>4608.5156793737242</v>
      </c>
      <c r="R5" s="4">
        <f t="shared" si="0"/>
        <v>1488.0051999999996</v>
      </c>
      <c r="S5" s="4">
        <f t="shared" si="0"/>
        <v>2395.9359806618472</v>
      </c>
      <c r="T5" s="1"/>
      <c r="U5" s="1"/>
      <c r="V5" s="4">
        <f>SUM(V6:V478)</f>
        <v>1172.1378</v>
      </c>
      <c r="W5" s="1"/>
      <c r="X5" s="4">
        <f>SUM(X6:X478)</f>
        <v>1489.1545853130106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26</v>
      </c>
      <c r="B6" s="1" t="s">
        <v>27</v>
      </c>
      <c r="C6" s="1">
        <v>-51.954000000000001</v>
      </c>
      <c r="D6" s="1">
        <v>304.73200000000003</v>
      </c>
      <c r="E6" s="1">
        <v>107.896</v>
      </c>
      <c r="F6" s="1">
        <v>105.715</v>
      </c>
      <c r="G6" s="7">
        <v>1</v>
      </c>
      <c r="H6" s="1">
        <v>50</v>
      </c>
      <c r="I6" s="1" t="s">
        <v>28</v>
      </c>
      <c r="J6" s="1"/>
      <c r="K6" s="1">
        <v>149</v>
      </c>
      <c r="L6" s="1">
        <f t="shared" ref="L6:L37" si="1">E6-K6</f>
        <v>-41.103999999999999</v>
      </c>
      <c r="M6" s="1"/>
      <c r="N6" s="1"/>
      <c r="O6" s="1"/>
      <c r="P6" s="1">
        <v>0</v>
      </c>
      <c r="Q6" s="1">
        <v>224.64779999999999</v>
      </c>
      <c r="R6" s="1">
        <f t="shared" ref="R6:R37" si="2">E6/5</f>
        <v>21.5792</v>
      </c>
      <c r="S6" s="5"/>
      <c r="T6" s="1">
        <f>(F6+O6+P6+Q6+S6)/R6</f>
        <v>15.309316378735078</v>
      </c>
      <c r="U6" s="1">
        <f>(F6+O6+P6+Q6)/R6</f>
        <v>15.309316378735078</v>
      </c>
      <c r="V6" s="1">
        <v>26.789200000000001</v>
      </c>
      <c r="W6" s="1"/>
      <c r="X6" s="1">
        <f>G6*S6</f>
        <v>0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29</v>
      </c>
      <c r="B7" s="1" t="s">
        <v>27</v>
      </c>
      <c r="C7" s="1">
        <v>124.08799999999999</v>
      </c>
      <c r="D7" s="1">
        <v>477.73</v>
      </c>
      <c r="E7" s="1">
        <v>103.627</v>
      </c>
      <c r="F7" s="1">
        <v>465.99900000000002</v>
      </c>
      <c r="G7" s="7">
        <v>1</v>
      </c>
      <c r="H7" s="1">
        <v>45</v>
      </c>
      <c r="I7" s="1" t="s">
        <v>28</v>
      </c>
      <c r="J7" s="1"/>
      <c r="K7" s="1">
        <v>116.5</v>
      </c>
      <c r="L7" s="1">
        <f t="shared" si="1"/>
        <v>-12.873000000000005</v>
      </c>
      <c r="M7" s="1"/>
      <c r="N7" s="1"/>
      <c r="O7" s="1"/>
      <c r="P7" s="1">
        <v>73.584519631732064</v>
      </c>
      <c r="Q7" s="1">
        <v>0</v>
      </c>
      <c r="R7" s="1">
        <f t="shared" si="2"/>
        <v>20.7254</v>
      </c>
      <c r="S7" s="5"/>
      <c r="T7" s="1">
        <f t="shared" ref="T7:T70" si="3">(F7+O7+P7+Q7+S7)/R7</f>
        <v>26.034890503041296</v>
      </c>
      <c r="U7" s="1">
        <f t="shared" ref="U7:U70" si="4">(F7+O7+P7+Q7)/R7</f>
        <v>26.034890503041296</v>
      </c>
      <c r="V7" s="1">
        <v>21.689</v>
      </c>
      <c r="W7" s="1"/>
      <c r="X7" s="1">
        <f>G7*S7</f>
        <v>0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30</v>
      </c>
      <c r="B8" s="1" t="s">
        <v>27</v>
      </c>
      <c r="C8" s="1">
        <v>105.071</v>
      </c>
      <c r="D8" s="1">
        <v>206.2</v>
      </c>
      <c r="E8" s="1">
        <v>120.91</v>
      </c>
      <c r="F8" s="1">
        <v>162.86699999999999</v>
      </c>
      <c r="G8" s="7">
        <v>1</v>
      </c>
      <c r="H8" s="1">
        <v>45</v>
      </c>
      <c r="I8" s="1" t="s">
        <v>28</v>
      </c>
      <c r="J8" s="1"/>
      <c r="K8" s="1">
        <v>135.9</v>
      </c>
      <c r="L8" s="1">
        <f t="shared" si="1"/>
        <v>-14.990000000000009</v>
      </c>
      <c r="M8" s="1"/>
      <c r="N8" s="1"/>
      <c r="O8" s="1"/>
      <c r="P8" s="1">
        <v>98.832299555938491</v>
      </c>
      <c r="Q8" s="1">
        <v>0</v>
      </c>
      <c r="R8" s="1">
        <f t="shared" si="2"/>
        <v>24.181999999999999</v>
      </c>
      <c r="S8" s="5">
        <f t="shared" ref="S8" si="5">11*R8-Q8-P8-F8-O8</f>
        <v>4.3027004440615144</v>
      </c>
      <c r="T8" s="1">
        <f t="shared" si="3"/>
        <v>10.999999999999998</v>
      </c>
      <c r="U8" s="1">
        <f t="shared" si="4"/>
        <v>10.822070116447708</v>
      </c>
      <c r="V8" s="1">
        <v>21.139399999999998</v>
      </c>
      <c r="W8" s="1"/>
      <c r="X8" s="1">
        <f>G8*S8</f>
        <v>4.3027004440615144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1" t="s">
        <v>31</v>
      </c>
      <c r="B9" s="11" t="s">
        <v>32</v>
      </c>
      <c r="C9" s="11"/>
      <c r="D9" s="11"/>
      <c r="E9" s="11"/>
      <c r="F9" s="11"/>
      <c r="G9" s="12">
        <v>0</v>
      </c>
      <c r="H9" s="11"/>
      <c r="I9" s="11" t="s">
        <v>28</v>
      </c>
      <c r="J9" s="11"/>
      <c r="K9" s="11"/>
      <c r="L9" s="11">
        <f t="shared" si="1"/>
        <v>0</v>
      </c>
      <c r="M9" s="11"/>
      <c r="N9" s="11"/>
      <c r="O9" s="11"/>
      <c r="P9" s="11"/>
      <c r="Q9" s="11">
        <v>0</v>
      </c>
      <c r="R9" s="11">
        <f t="shared" si="2"/>
        <v>0</v>
      </c>
      <c r="S9" s="13"/>
      <c r="T9" s="11" t="e">
        <f t="shared" si="3"/>
        <v>#DIV/0!</v>
      </c>
      <c r="U9" s="11" t="e">
        <f t="shared" si="4"/>
        <v>#DIV/0!</v>
      </c>
      <c r="V9" s="11">
        <v>0</v>
      </c>
      <c r="W9" s="11" t="s">
        <v>33</v>
      </c>
      <c r="X9" s="1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34</v>
      </c>
      <c r="B10" s="1" t="s">
        <v>32</v>
      </c>
      <c r="C10" s="1"/>
      <c r="D10" s="1">
        <v>137</v>
      </c>
      <c r="E10" s="1">
        <v>109</v>
      </c>
      <c r="F10" s="1">
        <v>-6</v>
      </c>
      <c r="G10" s="7">
        <v>0.45</v>
      </c>
      <c r="H10" s="1">
        <v>45</v>
      </c>
      <c r="I10" s="1" t="s">
        <v>28</v>
      </c>
      <c r="J10" s="1"/>
      <c r="K10" s="1">
        <v>503</v>
      </c>
      <c r="L10" s="1">
        <f t="shared" si="1"/>
        <v>-394</v>
      </c>
      <c r="M10" s="1"/>
      <c r="N10" s="1"/>
      <c r="O10" s="1"/>
      <c r="P10" s="1">
        <v>500</v>
      </c>
      <c r="Q10" s="1">
        <v>0</v>
      </c>
      <c r="R10" s="1">
        <f t="shared" si="2"/>
        <v>21.8</v>
      </c>
      <c r="S10" s="5">
        <v>300</v>
      </c>
      <c r="T10" s="1">
        <f t="shared" si="3"/>
        <v>36.422018348623851</v>
      </c>
      <c r="U10" s="1">
        <f t="shared" si="4"/>
        <v>22.660550458715594</v>
      </c>
      <c r="V10" s="1">
        <v>-0.6</v>
      </c>
      <c r="W10" s="1"/>
      <c r="X10" s="1">
        <f t="shared" ref="X10:X17" si="6">G10*S10</f>
        <v>135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35</v>
      </c>
      <c r="B11" s="1" t="s">
        <v>32</v>
      </c>
      <c r="C11" s="1">
        <v>388</v>
      </c>
      <c r="D11" s="1">
        <v>443</v>
      </c>
      <c r="E11" s="1">
        <v>361</v>
      </c>
      <c r="F11" s="1">
        <v>425</v>
      </c>
      <c r="G11" s="7">
        <v>0.45</v>
      </c>
      <c r="H11" s="1">
        <v>45</v>
      </c>
      <c r="I11" s="1" t="s">
        <v>28</v>
      </c>
      <c r="J11" s="1"/>
      <c r="K11" s="1">
        <v>393</v>
      </c>
      <c r="L11" s="1">
        <f t="shared" si="1"/>
        <v>-32</v>
      </c>
      <c r="M11" s="1"/>
      <c r="N11" s="1"/>
      <c r="O11" s="1"/>
      <c r="P11" s="1">
        <v>481.9070569366479</v>
      </c>
      <c r="Q11" s="1">
        <v>0</v>
      </c>
      <c r="R11" s="1">
        <f t="shared" si="2"/>
        <v>72.2</v>
      </c>
      <c r="S11" s="5"/>
      <c r="T11" s="1">
        <f t="shared" si="3"/>
        <v>12.561039569759666</v>
      </c>
      <c r="U11" s="1">
        <f t="shared" si="4"/>
        <v>12.561039569759666</v>
      </c>
      <c r="V11" s="1">
        <v>58.4</v>
      </c>
      <c r="W11" s="1"/>
      <c r="X11" s="1">
        <f t="shared" si="6"/>
        <v>0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36</v>
      </c>
      <c r="B12" s="1" t="s">
        <v>32</v>
      </c>
      <c r="C12" s="1">
        <v>6</v>
      </c>
      <c r="D12" s="1">
        <v>62</v>
      </c>
      <c r="E12" s="1">
        <v>14</v>
      </c>
      <c r="F12" s="1">
        <v>41</v>
      </c>
      <c r="G12" s="7">
        <v>0.17</v>
      </c>
      <c r="H12" s="1">
        <v>180</v>
      </c>
      <c r="I12" s="1" t="s">
        <v>28</v>
      </c>
      <c r="J12" s="1"/>
      <c r="K12" s="1">
        <v>36</v>
      </c>
      <c r="L12" s="1">
        <f t="shared" si="1"/>
        <v>-22</v>
      </c>
      <c r="M12" s="1"/>
      <c r="N12" s="1"/>
      <c r="O12" s="1"/>
      <c r="P12" s="1">
        <v>86.1311203319502</v>
      </c>
      <c r="Q12" s="1">
        <v>0</v>
      </c>
      <c r="R12" s="1">
        <f t="shared" si="2"/>
        <v>2.8</v>
      </c>
      <c r="S12" s="5"/>
      <c r="T12" s="1">
        <f t="shared" si="3"/>
        <v>45.403971547125074</v>
      </c>
      <c r="U12" s="1">
        <f t="shared" si="4"/>
        <v>45.403971547125074</v>
      </c>
      <c r="V12" s="1">
        <v>4.8</v>
      </c>
      <c r="W12" s="1"/>
      <c r="X12" s="1">
        <f t="shared" si="6"/>
        <v>0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37</v>
      </c>
      <c r="B13" s="1" t="s">
        <v>32</v>
      </c>
      <c r="C13" s="1"/>
      <c r="D13" s="1">
        <v>60</v>
      </c>
      <c r="E13" s="1">
        <v>15</v>
      </c>
      <c r="F13" s="1">
        <v>42</v>
      </c>
      <c r="G13" s="7">
        <v>0.3</v>
      </c>
      <c r="H13" s="1">
        <v>40</v>
      </c>
      <c r="I13" s="10" t="s">
        <v>38</v>
      </c>
      <c r="J13" s="1"/>
      <c r="K13" s="1">
        <v>18</v>
      </c>
      <c r="L13" s="1">
        <f t="shared" si="1"/>
        <v>-3</v>
      </c>
      <c r="M13" s="1"/>
      <c r="N13" s="1"/>
      <c r="O13" s="1"/>
      <c r="P13" s="1">
        <v>18.691099476439788</v>
      </c>
      <c r="Q13" s="1">
        <v>0</v>
      </c>
      <c r="R13" s="1">
        <f t="shared" si="2"/>
        <v>3</v>
      </c>
      <c r="S13" s="5"/>
      <c r="T13" s="1">
        <f t="shared" si="3"/>
        <v>20.230366492146597</v>
      </c>
      <c r="U13" s="1">
        <f t="shared" si="4"/>
        <v>20.230366492146597</v>
      </c>
      <c r="V13" s="1">
        <v>0</v>
      </c>
      <c r="W13" s="1"/>
      <c r="X13" s="1">
        <f t="shared" si="6"/>
        <v>0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39</v>
      </c>
      <c r="B14" s="1" t="s">
        <v>32</v>
      </c>
      <c r="C14" s="1">
        <v>120</v>
      </c>
      <c r="D14" s="1">
        <v>272</v>
      </c>
      <c r="E14" s="1">
        <v>89</v>
      </c>
      <c r="F14" s="1">
        <v>277</v>
      </c>
      <c r="G14" s="7">
        <v>0.17</v>
      </c>
      <c r="H14" s="1">
        <v>180</v>
      </c>
      <c r="I14" s="1" t="s">
        <v>28</v>
      </c>
      <c r="J14" s="1"/>
      <c r="K14" s="1">
        <v>108</v>
      </c>
      <c r="L14" s="1">
        <f t="shared" si="1"/>
        <v>-19</v>
      </c>
      <c r="M14" s="1"/>
      <c r="N14" s="1"/>
      <c r="O14" s="1"/>
      <c r="P14" s="1">
        <v>0</v>
      </c>
      <c r="Q14" s="1">
        <v>0</v>
      </c>
      <c r="R14" s="1">
        <f t="shared" si="2"/>
        <v>17.8</v>
      </c>
      <c r="S14" s="5"/>
      <c r="T14" s="1">
        <f t="shared" si="3"/>
        <v>15.561797752808989</v>
      </c>
      <c r="U14" s="1">
        <f t="shared" si="4"/>
        <v>15.561797752808989</v>
      </c>
      <c r="V14" s="1">
        <v>12.8</v>
      </c>
      <c r="W14" s="1"/>
      <c r="X14" s="1">
        <f t="shared" si="6"/>
        <v>0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40</v>
      </c>
      <c r="B15" s="1" t="s">
        <v>27</v>
      </c>
      <c r="C15" s="1">
        <v>-61.302999999999997</v>
      </c>
      <c r="D15" s="1">
        <v>476.077</v>
      </c>
      <c r="E15" s="1">
        <v>229.672</v>
      </c>
      <c r="F15" s="1">
        <v>165.02699999999999</v>
      </c>
      <c r="G15" s="7">
        <v>1</v>
      </c>
      <c r="H15" s="1">
        <v>70</v>
      </c>
      <c r="I15" s="10" t="s">
        <v>38</v>
      </c>
      <c r="J15" s="1"/>
      <c r="K15" s="1">
        <v>364.5</v>
      </c>
      <c r="L15" s="1">
        <f t="shared" si="1"/>
        <v>-134.828</v>
      </c>
      <c r="M15" s="1"/>
      <c r="N15" s="1"/>
      <c r="O15" s="1"/>
      <c r="P15" s="1">
        <v>179.0189117186876</v>
      </c>
      <c r="Q15" s="1">
        <v>240</v>
      </c>
      <c r="R15" s="1">
        <f t="shared" si="2"/>
        <v>45.934399999999997</v>
      </c>
      <c r="S15" s="5">
        <v>50</v>
      </c>
      <c r="T15" s="1">
        <f t="shared" si="3"/>
        <v>13.803291470416239</v>
      </c>
      <c r="U15" s="1">
        <f t="shared" si="4"/>
        <v>12.71478264043261</v>
      </c>
      <c r="V15" s="1">
        <v>54.014000000000003</v>
      </c>
      <c r="W15" s="1"/>
      <c r="X15" s="1">
        <f t="shared" si="6"/>
        <v>50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41</v>
      </c>
      <c r="B16" s="1" t="s">
        <v>27</v>
      </c>
      <c r="C16" s="1">
        <v>-220.999</v>
      </c>
      <c r="D16" s="1">
        <v>2664.5830000000001</v>
      </c>
      <c r="E16" s="1">
        <v>1008.073</v>
      </c>
      <c r="F16" s="1">
        <v>1274.9639999999999</v>
      </c>
      <c r="G16" s="7">
        <v>1</v>
      </c>
      <c r="H16" s="1">
        <v>50</v>
      </c>
      <c r="I16" s="1" t="s">
        <v>28</v>
      </c>
      <c r="J16" s="1"/>
      <c r="K16" s="1">
        <v>1102.0999999999999</v>
      </c>
      <c r="L16" s="1">
        <f t="shared" si="1"/>
        <v>-94.02699999999993</v>
      </c>
      <c r="M16" s="1"/>
      <c r="N16" s="1"/>
      <c r="O16" s="1">
        <v>510</v>
      </c>
      <c r="P16" s="1">
        <v>500</v>
      </c>
      <c r="Q16" s="1">
        <v>0</v>
      </c>
      <c r="R16" s="1">
        <f t="shared" si="2"/>
        <v>201.6146</v>
      </c>
      <c r="S16" s="5"/>
      <c r="T16" s="1">
        <f t="shared" si="3"/>
        <v>11.33332605872789</v>
      </c>
      <c r="U16" s="1">
        <f t="shared" si="4"/>
        <v>11.33332605872789</v>
      </c>
      <c r="V16" s="1">
        <v>130.29419999999999</v>
      </c>
      <c r="W16" s="1"/>
      <c r="X16" s="1">
        <f t="shared" si="6"/>
        <v>0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42</v>
      </c>
      <c r="B17" s="1" t="s">
        <v>27</v>
      </c>
      <c r="C17" s="1">
        <v>25.652000000000001</v>
      </c>
      <c r="D17" s="1">
        <v>89.147000000000006</v>
      </c>
      <c r="E17" s="1">
        <v>77.995999999999995</v>
      </c>
      <c r="F17" s="1">
        <v>25.643999999999998</v>
      </c>
      <c r="G17" s="7">
        <v>1</v>
      </c>
      <c r="H17" s="1">
        <v>60</v>
      </c>
      <c r="I17" s="1" t="s">
        <v>28</v>
      </c>
      <c r="J17" s="1"/>
      <c r="K17" s="1">
        <v>80.7</v>
      </c>
      <c r="L17" s="1">
        <f t="shared" si="1"/>
        <v>-2.7040000000000077</v>
      </c>
      <c r="M17" s="1"/>
      <c r="N17" s="1"/>
      <c r="O17" s="1"/>
      <c r="P17" s="1">
        <v>0</v>
      </c>
      <c r="Q17" s="1">
        <v>60.634399999999992</v>
      </c>
      <c r="R17" s="1">
        <f t="shared" si="2"/>
        <v>15.5992</v>
      </c>
      <c r="S17" s="5">
        <f t="shared" ref="S17" si="7">11*R17-Q17-P17-F17-O17</f>
        <v>85.312799999999982</v>
      </c>
      <c r="T17" s="1">
        <f t="shared" si="3"/>
        <v>10.999999999999998</v>
      </c>
      <c r="U17" s="1">
        <f t="shared" si="4"/>
        <v>5.5309503051438531</v>
      </c>
      <c r="V17" s="1">
        <v>9.6205999999999996</v>
      </c>
      <c r="W17" s="1"/>
      <c r="X17" s="1">
        <f t="shared" si="6"/>
        <v>85.312799999999982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1" t="s">
        <v>43</v>
      </c>
      <c r="B18" s="11" t="s">
        <v>27</v>
      </c>
      <c r="C18" s="11"/>
      <c r="D18" s="11"/>
      <c r="E18" s="11"/>
      <c r="F18" s="11">
        <v>-0.86099999999999999</v>
      </c>
      <c r="G18" s="12">
        <v>0</v>
      </c>
      <c r="H18" s="11"/>
      <c r="I18" s="14" t="s">
        <v>44</v>
      </c>
      <c r="J18" s="11"/>
      <c r="K18" s="11"/>
      <c r="L18" s="11">
        <f t="shared" si="1"/>
        <v>0</v>
      </c>
      <c r="M18" s="11"/>
      <c r="N18" s="11"/>
      <c r="O18" s="11"/>
      <c r="P18" s="11"/>
      <c r="Q18" s="11"/>
      <c r="R18" s="11">
        <f t="shared" si="2"/>
        <v>0</v>
      </c>
      <c r="S18" s="13"/>
      <c r="T18" s="11" t="e">
        <f t="shared" si="3"/>
        <v>#DIV/0!</v>
      </c>
      <c r="U18" s="11" t="e">
        <f t="shared" si="4"/>
        <v>#DIV/0!</v>
      </c>
      <c r="V18" s="11">
        <v>0</v>
      </c>
      <c r="W18" s="11"/>
      <c r="X18" s="1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1" t="s">
        <v>45</v>
      </c>
      <c r="B19" s="11" t="s">
        <v>27</v>
      </c>
      <c r="C19" s="11"/>
      <c r="D19" s="11"/>
      <c r="E19" s="11"/>
      <c r="F19" s="15">
        <v>-12.473000000000001</v>
      </c>
      <c r="G19" s="12">
        <v>0</v>
      </c>
      <c r="H19" s="11"/>
      <c r="I19" s="14" t="s">
        <v>44</v>
      </c>
      <c r="J19" s="14" t="s">
        <v>46</v>
      </c>
      <c r="K19" s="11"/>
      <c r="L19" s="11">
        <f t="shared" si="1"/>
        <v>0</v>
      </c>
      <c r="M19" s="11"/>
      <c r="N19" s="11"/>
      <c r="O19" s="11"/>
      <c r="P19" s="11"/>
      <c r="Q19" s="11"/>
      <c r="R19" s="11">
        <f t="shared" si="2"/>
        <v>0</v>
      </c>
      <c r="S19" s="13"/>
      <c r="T19" s="11" t="e">
        <f t="shared" si="3"/>
        <v>#DIV/0!</v>
      </c>
      <c r="U19" s="11" t="e">
        <f t="shared" si="4"/>
        <v>#DIV/0!</v>
      </c>
      <c r="V19" s="11">
        <v>0</v>
      </c>
      <c r="W19" s="11"/>
      <c r="X19" s="1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47</v>
      </c>
      <c r="B20" s="1" t="s">
        <v>27</v>
      </c>
      <c r="C20" s="1">
        <v>-7.02</v>
      </c>
      <c r="D20" s="1">
        <v>46.094999999999999</v>
      </c>
      <c r="E20" s="1">
        <v>32.290999999999997</v>
      </c>
      <c r="F20" s="1">
        <v>2.956</v>
      </c>
      <c r="G20" s="7">
        <v>1</v>
      </c>
      <c r="H20" s="1">
        <v>60</v>
      </c>
      <c r="I20" s="10" t="s">
        <v>38</v>
      </c>
      <c r="J20" s="1"/>
      <c r="K20" s="1">
        <v>40.1</v>
      </c>
      <c r="L20" s="1">
        <f t="shared" si="1"/>
        <v>-7.8090000000000046</v>
      </c>
      <c r="M20" s="1"/>
      <c r="N20" s="1"/>
      <c r="O20" s="1"/>
      <c r="P20" s="1">
        <v>0</v>
      </c>
      <c r="Q20" s="1">
        <v>48</v>
      </c>
      <c r="R20" s="1">
        <f t="shared" si="2"/>
        <v>6.4581999999999997</v>
      </c>
      <c r="S20" s="5">
        <f t="shared" ref="S20" si="8">11*R20-Q20-P20-F20-O20</f>
        <v>20.084199999999999</v>
      </c>
      <c r="T20" s="1">
        <f t="shared" si="3"/>
        <v>11</v>
      </c>
      <c r="U20" s="1">
        <f t="shared" si="4"/>
        <v>7.8901241832089442</v>
      </c>
      <c r="V20" s="1">
        <v>6.0523999999999996</v>
      </c>
      <c r="W20" s="1"/>
      <c r="X20" s="1">
        <f>G20*S20</f>
        <v>20.084199999999999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48</v>
      </c>
      <c r="B21" s="1" t="s">
        <v>27</v>
      </c>
      <c r="C21" s="1">
        <v>28.279</v>
      </c>
      <c r="D21" s="1">
        <v>45.002000000000002</v>
      </c>
      <c r="E21" s="1">
        <v>1.806</v>
      </c>
      <c r="F21" s="1">
        <v>70.748000000000005</v>
      </c>
      <c r="G21" s="7">
        <v>1</v>
      </c>
      <c r="H21" s="1">
        <v>180</v>
      </c>
      <c r="I21" s="1" t="s">
        <v>28</v>
      </c>
      <c r="J21" s="1"/>
      <c r="K21" s="1">
        <v>1.99</v>
      </c>
      <c r="L21" s="1">
        <f t="shared" si="1"/>
        <v>-0.18399999999999994</v>
      </c>
      <c r="M21" s="1"/>
      <c r="N21" s="1"/>
      <c r="O21" s="1"/>
      <c r="P21" s="1">
        <v>0</v>
      </c>
      <c r="Q21" s="1">
        <v>0</v>
      </c>
      <c r="R21" s="1">
        <f t="shared" si="2"/>
        <v>0.36120000000000002</v>
      </c>
      <c r="S21" s="5"/>
      <c r="T21" s="1">
        <f t="shared" si="3"/>
        <v>195.86932447397564</v>
      </c>
      <c r="U21" s="1">
        <f t="shared" si="4"/>
        <v>195.86932447397564</v>
      </c>
      <c r="V21" s="1">
        <v>0.43280000000000002</v>
      </c>
      <c r="W21" s="18" t="s">
        <v>162</v>
      </c>
      <c r="X21" s="1">
        <f>G21*S21</f>
        <v>0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49</v>
      </c>
      <c r="B22" s="1" t="s">
        <v>27</v>
      </c>
      <c r="C22" s="1">
        <v>14.978999999999999</v>
      </c>
      <c r="D22" s="1">
        <v>221.392</v>
      </c>
      <c r="E22" s="1">
        <v>230.304</v>
      </c>
      <c r="F22" s="1">
        <v>-11.92</v>
      </c>
      <c r="G22" s="7">
        <v>1</v>
      </c>
      <c r="H22" s="1">
        <v>60</v>
      </c>
      <c r="I22" s="1" t="s">
        <v>28</v>
      </c>
      <c r="J22" s="1"/>
      <c r="K22" s="1">
        <v>317.5</v>
      </c>
      <c r="L22" s="1">
        <f t="shared" si="1"/>
        <v>-87.195999999999998</v>
      </c>
      <c r="M22" s="1"/>
      <c r="N22" s="1"/>
      <c r="O22" s="1"/>
      <c r="P22" s="1">
        <v>178.22202467941159</v>
      </c>
      <c r="Q22" s="1">
        <v>526.61617532058835</v>
      </c>
      <c r="R22" s="1">
        <f t="shared" si="2"/>
        <v>46.0608</v>
      </c>
      <c r="S22" s="5"/>
      <c r="T22" s="1">
        <f t="shared" si="3"/>
        <v>15.043555474503265</v>
      </c>
      <c r="U22" s="1">
        <f t="shared" si="4"/>
        <v>15.043555474503265</v>
      </c>
      <c r="V22" s="1">
        <v>52.321800000000003</v>
      </c>
      <c r="W22" s="1"/>
      <c r="X22" s="1">
        <f>G22*S22</f>
        <v>0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1" t="s">
        <v>50</v>
      </c>
      <c r="B23" s="11" t="s">
        <v>27</v>
      </c>
      <c r="C23" s="11"/>
      <c r="D23" s="11"/>
      <c r="E23" s="11"/>
      <c r="F23" s="15">
        <v>-9.9320000000000004</v>
      </c>
      <c r="G23" s="12">
        <v>0</v>
      </c>
      <c r="H23" s="11"/>
      <c r="I23" s="14" t="s">
        <v>44</v>
      </c>
      <c r="J23" s="11" t="s">
        <v>51</v>
      </c>
      <c r="K23" s="11"/>
      <c r="L23" s="11">
        <f t="shared" si="1"/>
        <v>0</v>
      </c>
      <c r="M23" s="11"/>
      <c r="N23" s="11"/>
      <c r="O23" s="11"/>
      <c r="P23" s="11"/>
      <c r="Q23" s="11"/>
      <c r="R23" s="11">
        <f t="shared" si="2"/>
        <v>0</v>
      </c>
      <c r="S23" s="13"/>
      <c r="T23" s="11" t="e">
        <f t="shared" si="3"/>
        <v>#DIV/0!</v>
      </c>
      <c r="U23" s="11" t="e">
        <f t="shared" si="4"/>
        <v>#DIV/0!</v>
      </c>
      <c r="V23" s="11">
        <v>0</v>
      </c>
      <c r="W23" s="11"/>
      <c r="X23" s="1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52</v>
      </c>
      <c r="B24" s="1" t="s">
        <v>27</v>
      </c>
      <c r="C24" s="1"/>
      <c r="D24" s="1">
        <v>175.583</v>
      </c>
      <c r="E24" s="1">
        <v>40.726999999999997</v>
      </c>
      <c r="F24" s="1">
        <v>117.175</v>
      </c>
      <c r="G24" s="7">
        <v>1</v>
      </c>
      <c r="H24" s="1">
        <v>70</v>
      </c>
      <c r="I24" s="1" t="s">
        <v>28</v>
      </c>
      <c r="J24" s="1"/>
      <c r="K24" s="1">
        <v>98.8</v>
      </c>
      <c r="L24" s="1">
        <f t="shared" si="1"/>
        <v>-58.073</v>
      </c>
      <c r="M24" s="1"/>
      <c r="N24" s="1"/>
      <c r="O24" s="1"/>
      <c r="P24" s="1">
        <v>20</v>
      </c>
      <c r="Q24" s="1">
        <v>0</v>
      </c>
      <c r="R24" s="1">
        <f t="shared" si="2"/>
        <v>8.1453999999999986</v>
      </c>
      <c r="S24" s="5"/>
      <c r="T24" s="1">
        <f t="shared" si="3"/>
        <v>16.840793576742705</v>
      </c>
      <c r="U24" s="1">
        <f t="shared" si="4"/>
        <v>16.840793576742705</v>
      </c>
      <c r="V24" s="1">
        <v>4.9426000000000014</v>
      </c>
      <c r="W24" s="1"/>
      <c r="X24" s="1">
        <f>G24*S24</f>
        <v>0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53</v>
      </c>
      <c r="B25" s="1" t="s">
        <v>27</v>
      </c>
      <c r="C25" s="1">
        <v>-53.668999999999997</v>
      </c>
      <c r="D25" s="1">
        <v>248.34299999999999</v>
      </c>
      <c r="E25" s="1">
        <v>132.059</v>
      </c>
      <c r="F25" s="1">
        <v>36.728999999999999</v>
      </c>
      <c r="G25" s="7">
        <v>1</v>
      </c>
      <c r="H25" s="1">
        <v>70</v>
      </c>
      <c r="I25" s="10" t="s">
        <v>38</v>
      </c>
      <c r="J25" s="1"/>
      <c r="K25" s="1">
        <v>171.3</v>
      </c>
      <c r="L25" s="1">
        <f t="shared" si="1"/>
        <v>-39.241000000000014</v>
      </c>
      <c r="M25" s="1"/>
      <c r="N25" s="1"/>
      <c r="O25" s="1"/>
      <c r="P25" s="1">
        <v>0</v>
      </c>
      <c r="Q25" s="1">
        <v>180</v>
      </c>
      <c r="R25" s="1">
        <f t="shared" si="2"/>
        <v>26.411799999999999</v>
      </c>
      <c r="S25" s="5">
        <v>100</v>
      </c>
      <c r="T25" s="1">
        <f t="shared" si="3"/>
        <v>11.991950567549353</v>
      </c>
      <c r="U25" s="1">
        <f t="shared" si="4"/>
        <v>8.2057640902929752</v>
      </c>
      <c r="V25" s="1">
        <v>22.914000000000001</v>
      </c>
      <c r="W25" s="1" t="s">
        <v>54</v>
      </c>
      <c r="X25" s="1">
        <f>G25*S25</f>
        <v>100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55</v>
      </c>
      <c r="B26" s="1" t="s">
        <v>27</v>
      </c>
      <c r="C26" s="1">
        <v>18.920999999999999</v>
      </c>
      <c r="D26" s="1">
        <v>51.984999999999999</v>
      </c>
      <c r="E26" s="1">
        <v>4.2039999999999997</v>
      </c>
      <c r="F26" s="1">
        <v>65.655000000000001</v>
      </c>
      <c r="G26" s="7">
        <v>1</v>
      </c>
      <c r="H26" s="1">
        <v>180</v>
      </c>
      <c r="I26" s="1" t="s">
        <v>28</v>
      </c>
      <c r="J26" s="1"/>
      <c r="K26" s="1">
        <v>4.99</v>
      </c>
      <c r="L26" s="1">
        <f t="shared" si="1"/>
        <v>-0.78600000000000048</v>
      </c>
      <c r="M26" s="1"/>
      <c r="N26" s="1"/>
      <c r="O26" s="1"/>
      <c r="P26" s="1">
        <v>0</v>
      </c>
      <c r="Q26" s="1">
        <v>0</v>
      </c>
      <c r="R26" s="1">
        <f t="shared" si="2"/>
        <v>0.84079999999999999</v>
      </c>
      <c r="S26" s="5"/>
      <c r="T26" s="1">
        <f t="shared" si="3"/>
        <v>78.086346336822075</v>
      </c>
      <c r="U26" s="1">
        <f t="shared" si="4"/>
        <v>78.086346336822075</v>
      </c>
      <c r="V26" s="1">
        <v>0.34420000000000001</v>
      </c>
      <c r="W26" s="18" t="s">
        <v>162</v>
      </c>
      <c r="X26" s="1">
        <f>G26*S26</f>
        <v>0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56</v>
      </c>
      <c r="B27" s="1" t="s">
        <v>27</v>
      </c>
      <c r="C27" s="1">
        <v>-31.695</v>
      </c>
      <c r="D27" s="1">
        <v>382.23500000000001</v>
      </c>
      <c r="E27" s="1">
        <v>74.983000000000004</v>
      </c>
      <c r="F27" s="1">
        <v>242.96700000000001</v>
      </c>
      <c r="G27" s="7">
        <v>1</v>
      </c>
      <c r="H27" s="1">
        <v>70</v>
      </c>
      <c r="I27" s="10" t="s">
        <v>38</v>
      </c>
      <c r="J27" s="1"/>
      <c r="K27" s="1">
        <v>185.4</v>
      </c>
      <c r="L27" s="1">
        <f t="shared" si="1"/>
        <v>-110.417</v>
      </c>
      <c r="M27" s="1"/>
      <c r="N27" s="1"/>
      <c r="O27" s="1"/>
      <c r="P27" s="1">
        <v>0</v>
      </c>
      <c r="Q27" s="1">
        <v>120</v>
      </c>
      <c r="R27" s="1">
        <f t="shared" si="2"/>
        <v>14.996600000000001</v>
      </c>
      <c r="S27" s="5"/>
      <c r="T27" s="1">
        <f t="shared" si="3"/>
        <v>24.203286078177719</v>
      </c>
      <c r="U27" s="1">
        <f t="shared" si="4"/>
        <v>24.203286078177719</v>
      </c>
      <c r="V27" s="1">
        <v>18.1692</v>
      </c>
      <c r="W27" s="1" t="s">
        <v>54</v>
      </c>
      <c r="X27" s="1">
        <f>G27*S27</f>
        <v>0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1" t="s">
        <v>57</v>
      </c>
      <c r="B28" s="11" t="s">
        <v>27</v>
      </c>
      <c r="C28" s="11"/>
      <c r="D28" s="11"/>
      <c r="E28" s="11"/>
      <c r="F28" s="11"/>
      <c r="G28" s="12">
        <v>0</v>
      </c>
      <c r="H28" s="11"/>
      <c r="I28" s="11" t="s">
        <v>28</v>
      </c>
      <c r="J28" s="11"/>
      <c r="K28" s="11"/>
      <c r="L28" s="11">
        <f t="shared" si="1"/>
        <v>0</v>
      </c>
      <c r="M28" s="11"/>
      <c r="N28" s="11"/>
      <c r="O28" s="11"/>
      <c r="P28" s="11"/>
      <c r="Q28" s="11">
        <v>0</v>
      </c>
      <c r="R28" s="11">
        <f t="shared" si="2"/>
        <v>0</v>
      </c>
      <c r="S28" s="13"/>
      <c r="T28" s="11" t="e">
        <f t="shared" si="3"/>
        <v>#DIV/0!</v>
      </c>
      <c r="U28" s="11" t="e">
        <f t="shared" si="4"/>
        <v>#DIV/0!</v>
      </c>
      <c r="V28" s="11">
        <v>0</v>
      </c>
      <c r="W28" s="11" t="s">
        <v>33</v>
      </c>
      <c r="X28" s="1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58</v>
      </c>
      <c r="B29" s="1" t="s">
        <v>27</v>
      </c>
      <c r="C29" s="1">
        <v>16.323</v>
      </c>
      <c r="D29" s="1">
        <v>33.066000000000003</v>
      </c>
      <c r="E29" s="1">
        <v>4.0220000000000002</v>
      </c>
      <c r="F29" s="1">
        <v>42.673000000000002</v>
      </c>
      <c r="G29" s="7">
        <v>1</v>
      </c>
      <c r="H29" s="1"/>
      <c r="I29" s="10" t="s">
        <v>38</v>
      </c>
      <c r="J29" s="1"/>
      <c r="K29" s="1">
        <v>5.2</v>
      </c>
      <c r="L29" s="1">
        <f t="shared" si="1"/>
        <v>-1.1779999999999999</v>
      </c>
      <c r="M29" s="1"/>
      <c r="N29" s="1"/>
      <c r="O29" s="1"/>
      <c r="P29" s="1">
        <v>17.848212968935901</v>
      </c>
      <c r="Q29" s="1">
        <v>0</v>
      </c>
      <c r="R29" s="1">
        <f t="shared" si="2"/>
        <v>0.8044</v>
      </c>
      <c r="S29" s="5"/>
      <c r="T29" s="1">
        <f t="shared" si="3"/>
        <v>75.237708812700021</v>
      </c>
      <c r="U29" s="1">
        <f t="shared" si="4"/>
        <v>75.237708812700021</v>
      </c>
      <c r="V29" s="1">
        <v>1.3652</v>
      </c>
      <c r="W29" s="16" t="s">
        <v>160</v>
      </c>
      <c r="X29" s="1">
        <f t="shared" ref="X29:X35" si="9">G29*S29</f>
        <v>0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59</v>
      </c>
      <c r="B30" s="1" t="s">
        <v>27</v>
      </c>
      <c r="C30" s="1"/>
      <c r="D30" s="1"/>
      <c r="E30" s="1"/>
      <c r="F30" s="1"/>
      <c r="G30" s="7">
        <v>1</v>
      </c>
      <c r="H30" s="1">
        <v>40</v>
      </c>
      <c r="I30" s="10" t="s">
        <v>38</v>
      </c>
      <c r="J30" s="1"/>
      <c r="K30" s="1"/>
      <c r="L30" s="1">
        <f t="shared" si="1"/>
        <v>0</v>
      </c>
      <c r="M30" s="1"/>
      <c r="N30" s="1"/>
      <c r="O30" s="1"/>
      <c r="P30" s="1">
        <v>10</v>
      </c>
      <c r="Q30" s="1">
        <v>4.8</v>
      </c>
      <c r="R30" s="1">
        <f t="shared" si="2"/>
        <v>0</v>
      </c>
      <c r="S30" s="5"/>
      <c r="T30" s="1" t="e">
        <f t="shared" si="3"/>
        <v>#DIV/0!</v>
      </c>
      <c r="U30" s="1" t="e">
        <f t="shared" si="4"/>
        <v>#DIV/0!</v>
      </c>
      <c r="V30" s="1">
        <v>0</v>
      </c>
      <c r="W30" s="1"/>
      <c r="X30" s="1">
        <f t="shared" si="9"/>
        <v>0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60</v>
      </c>
      <c r="B31" s="1" t="s">
        <v>27</v>
      </c>
      <c r="C31" s="1"/>
      <c r="D31" s="1">
        <v>65.290999999999997</v>
      </c>
      <c r="E31" s="1">
        <v>53.119</v>
      </c>
      <c r="F31" s="1">
        <v>-1.38</v>
      </c>
      <c r="G31" s="7">
        <v>1</v>
      </c>
      <c r="H31" s="1">
        <v>30</v>
      </c>
      <c r="I31" s="10" t="s">
        <v>38</v>
      </c>
      <c r="J31" s="1"/>
      <c r="K31" s="1">
        <v>64.3</v>
      </c>
      <c r="L31" s="1">
        <f t="shared" si="1"/>
        <v>-11.180999999999997</v>
      </c>
      <c r="M31" s="1"/>
      <c r="N31" s="1"/>
      <c r="O31" s="1"/>
      <c r="P31" s="1">
        <v>0</v>
      </c>
      <c r="Q31" s="1">
        <v>0</v>
      </c>
      <c r="R31" s="1">
        <f t="shared" si="2"/>
        <v>10.623799999999999</v>
      </c>
      <c r="S31" s="5">
        <v>60</v>
      </c>
      <c r="T31" s="1">
        <f t="shared" si="3"/>
        <v>5.5177996573730681</v>
      </c>
      <c r="U31" s="1">
        <f t="shared" si="4"/>
        <v>-0.12989702366384909</v>
      </c>
      <c r="V31" s="1">
        <v>1.38</v>
      </c>
      <c r="W31" s="1"/>
      <c r="X31" s="1">
        <f t="shared" si="9"/>
        <v>60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61</v>
      </c>
      <c r="B32" s="1" t="s">
        <v>27</v>
      </c>
      <c r="C32" s="1">
        <v>-121.634</v>
      </c>
      <c r="D32" s="1">
        <v>680.31299999999999</v>
      </c>
      <c r="E32" s="1">
        <v>239.52</v>
      </c>
      <c r="F32" s="1">
        <v>256.47399999999999</v>
      </c>
      <c r="G32" s="7">
        <v>1</v>
      </c>
      <c r="H32" s="1">
        <v>40</v>
      </c>
      <c r="I32" s="10" t="s">
        <v>38</v>
      </c>
      <c r="J32" s="1"/>
      <c r="K32" s="1">
        <v>395.9</v>
      </c>
      <c r="L32" s="1">
        <f t="shared" si="1"/>
        <v>-156.37999999999997</v>
      </c>
      <c r="M32" s="1"/>
      <c r="N32" s="1"/>
      <c r="O32" s="1"/>
      <c r="P32" s="1">
        <v>0</v>
      </c>
      <c r="Q32" s="1">
        <v>420</v>
      </c>
      <c r="R32" s="1">
        <f t="shared" si="2"/>
        <v>47.904000000000003</v>
      </c>
      <c r="S32" s="5"/>
      <c r="T32" s="1">
        <f t="shared" si="3"/>
        <v>14.12145123580494</v>
      </c>
      <c r="U32" s="1">
        <f t="shared" si="4"/>
        <v>14.12145123580494</v>
      </c>
      <c r="V32" s="1">
        <v>60.401599999999988</v>
      </c>
      <c r="W32" s="1"/>
      <c r="X32" s="1">
        <f t="shared" si="9"/>
        <v>0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62</v>
      </c>
      <c r="B33" s="1" t="s">
        <v>27</v>
      </c>
      <c r="C33" s="1"/>
      <c r="D33" s="1"/>
      <c r="E33" s="1"/>
      <c r="F33" s="1"/>
      <c r="G33" s="7">
        <v>1</v>
      </c>
      <c r="H33" s="1">
        <v>40</v>
      </c>
      <c r="I33" s="10" t="s">
        <v>38</v>
      </c>
      <c r="J33" s="1"/>
      <c r="K33" s="1">
        <v>3.8</v>
      </c>
      <c r="L33" s="1">
        <f t="shared" si="1"/>
        <v>-3.8</v>
      </c>
      <c r="M33" s="1"/>
      <c r="N33" s="1"/>
      <c r="O33" s="1"/>
      <c r="P33" s="1">
        <v>33.232019954732323</v>
      </c>
      <c r="Q33" s="1">
        <v>0</v>
      </c>
      <c r="R33" s="1">
        <f t="shared" si="2"/>
        <v>0</v>
      </c>
      <c r="S33" s="5"/>
      <c r="T33" s="1" t="e">
        <f t="shared" si="3"/>
        <v>#DIV/0!</v>
      </c>
      <c r="U33" s="1" t="e">
        <f t="shared" si="4"/>
        <v>#DIV/0!</v>
      </c>
      <c r="V33" s="1">
        <v>0</v>
      </c>
      <c r="W33" s="1"/>
      <c r="X33" s="1">
        <f t="shared" si="9"/>
        <v>0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63</v>
      </c>
      <c r="B34" s="1" t="s">
        <v>27</v>
      </c>
      <c r="C34" s="1"/>
      <c r="D34" s="1">
        <v>40.838999999999999</v>
      </c>
      <c r="E34" s="1"/>
      <c r="F34" s="1">
        <v>39.491</v>
      </c>
      <c r="G34" s="7">
        <v>1</v>
      </c>
      <c r="H34" s="1">
        <v>30</v>
      </c>
      <c r="I34" s="1" t="s">
        <v>28</v>
      </c>
      <c r="J34" s="1"/>
      <c r="K34" s="1"/>
      <c r="L34" s="1">
        <f t="shared" si="1"/>
        <v>0</v>
      </c>
      <c r="M34" s="1"/>
      <c r="N34" s="1"/>
      <c r="O34" s="1"/>
      <c r="P34" s="1">
        <v>20</v>
      </c>
      <c r="Q34" s="1">
        <v>0</v>
      </c>
      <c r="R34" s="1">
        <f t="shared" si="2"/>
        <v>0</v>
      </c>
      <c r="S34" s="5"/>
      <c r="T34" s="1" t="e">
        <f t="shared" si="3"/>
        <v>#DIV/0!</v>
      </c>
      <c r="U34" s="1" t="e">
        <f t="shared" si="4"/>
        <v>#DIV/0!</v>
      </c>
      <c r="V34" s="1">
        <v>0</v>
      </c>
      <c r="W34" s="1"/>
      <c r="X34" s="1">
        <f t="shared" si="9"/>
        <v>0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64</v>
      </c>
      <c r="B35" s="1" t="s">
        <v>27</v>
      </c>
      <c r="C35" s="1"/>
      <c r="D35" s="1">
        <v>213.096</v>
      </c>
      <c r="E35" s="1">
        <v>6.3840000000000003</v>
      </c>
      <c r="F35" s="1">
        <v>203.10499999999999</v>
      </c>
      <c r="G35" s="7">
        <v>1</v>
      </c>
      <c r="H35" s="1">
        <v>50</v>
      </c>
      <c r="I35" s="10" t="s">
        <v>38</v>
      </c>
      <c r="J35" s="1"/>
      <c r="K35" s="1">
        <v>8.8000000000000007</v>
      </c>
      <c r="L35" s="1">
        <f t="shared" si="1"/>
        <v>-2.4160000000000004</v>
      </c>
      <c r="M35" s="1"/>
      <c r="N35" s="1"/>
      <c r="O35" s="1"/>
      <c r="P35" s="1">
        <v>0</v>
      </c>
      <c r="Q35" s="1">
        <v>12</v>
      </c>
      <c r="R35" s="1">
        <f t="shared" si="2"/>
        <v>1.2768000000000002</v>
      </c>
      <c r="S35" s="5"/>
      <c r="T35" s="1">
        <f t="shared" si="3"/>
        <v>168.47196115288219</v>
      </c>
      <c r="U35" s="1">
        <f t="shared" si="4"/>
        <v>168.47196115288219</v>
      </c>
      <c r="V35" s="1">
        <v>-0.1764</v>
      </c>
      <c r="W35" s="1" t="s">
        <v>54</v>
      </c>
      <c r="X35" s="1">
        <f t="shared" si="9"/>
        <v>0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4" t="s">
        <v>65</v>
      </c>
      <c r="B36" s="11" t="s">
        <v>27</v>
      </c>
      <c r="C36" s="11"/>
      <c r="D36" s="11"/>
      <c r="E36" s="11">
        <v>6.3449999999999998</v>
      </c>
      <c r="F36" s="11">
        <v>-8.093</v>
      </c>
      <c r="G36" s="12">
        <v>0</v>
      </c>
      <c r="H36" s="11"/>
      <c r="I36" s="14" t="s">
        <v>44</v>
      </c>
      <c r="J36" s="11"/>
      <c r="K36" s="11">
        <v>6.3</v>
      </c>
      <c r="L36" s="11">
        <f t="shared" si="1"/>
        <v>4.4999999999999929E-2</v>
      </c>
      <c r="M36" s="11"/>
      <c r="N36" s="11"/>
      <c r="O36" s="11"/>
      <c r="P36" s="11"/>
      <c r="Q36" s="11"/>
      <c r="R36" s="11">
        <f t="shared" si="2"/>
        <v>1.2689999999999999</v>
      </c>
      <c r="S36" s="13"/>
      <c r="T36" s="11">
        <f t="shared" si="3"/>
        <v>-6.3774625689519313</v>
      </c>
      <c r="U36" s="11">
        <f t="shared" si="4"/>
        <v>-6.3774625689519313</v>
      </c>
      <c r="V36" s="11">
        <v>0</v>
      </c>
      <c r="W36" s="11"/>
      <c r="X36" s="1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66</v>
      </c>
      <c r="B37" s="1" t="s">
        <v>27</v>
      </c>
      <c r="C37" s="1"/>
      <c r="D37" s="1">
        <v>92.144000000000005</v>
      </c>
      <c r="E37" s="1"/>
      <c r="F37" s="1">
        <v>91.233999999999995</v>
      </c>
      <c r="G37" s="7">
        <v>1</v>
      </c>
      <c r="H37" s="1">
        <v>50</v>
      </c>
      <c r="I37" s="10" t="s">
        <v>38</v>
      </c>
      <c r="J37" s="1"/>
      <c r="K37" s="1">
        <v>2.4</v>
      </c>
      <c r="L37" s="1">
        <f t="shared" si="1"/>
        <v>-2.4</v>
      </c>
      <c r="M37" s="1"/>
      <c r="N37" s="1"/>
      <c r="O37" s="1"/>
      <c r="P37" s="1">
        <v>9.6470405530934649</v>
      </c>
      <c r="Q37" s="1">
        <v>0</v>
      </c>
      <c r="R37" s="1">
        <f t="shared" si="2"/>
        <v>0</v>
      </c>
      <c r="S37" s="5"/>
      <c r="T37" s="1" t="e">
        <f t="shared" si="3"/>
        <v>#DIV/0!</v>
      </c>
      <c r="U37" s="1" t="e">
        <f t="shared" si="4"/>
        <v>#DIV/0!</v>
      </c>
      <c r="V37" s="1">
        <v>0.36520000000000002</v>
      </c>
      <c r="W37" s="1"/>
      <c r="X37" s="1">
        <f t="shared" ref="X37:X71" si="10">G37*S37</f>
        <v>0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67</v>
      </c>
      <c r="B38" s="1" t="s">
        <v>32</v>
      </c>
      <c r="C38" s="1">
        <v>-226</v>
      </c>
      <c r="D38" s="1">
        <v>419</v>
      </c>
      <c r="E38" s="1">
        <v>141</v>
      </c>
      <c r="F38" s="1">
        <v>7</v>
      </c>
      <c r="G38" s="7">
        <v>0.4</v>
      </c>
      <c r="H38" s="1">
        <v>45</v>
      </c>
      <c r="I38" s="10" t="s">
        <v>38</v>
      </c>
      <c r="J38" s="1"/>
      <c r="K38" s="1">
        <v>742</v>
      </c>
      <c r="L38" s="1">
        <f t="shared" ref="L38:L69" si="11">E38-K38</f>
        <v>-601</v>
      </c>
      <c r="M38" s="1"/>
      <c r="N38" s="1"/>
      <c r="O38" s="1"/>
      <c r="P38" s="1">
        <v>451.36414048059152</v>
      </c>
      <c r="Q38" s="1">
        <v>60</v>
      </c>
      <c r="R38" s="1">
        <f t="shared" ref="R38:R69" si="12">E38/5</f>
        <v>28.2</v>
      </c>
      <c r="S38" s="5">
        <v>300</v>
      </c>
      <c r="T38" s="1">
        <f t="shared" si="3"/>
        <v>29.020004981581259</v>
      </c>
      <c r="U38" s="1">
        <f t="shared" si="4"/>
        <v>18.381707109240832</v>
      </c>
      <c r="V38" s="1">
        <v>39</v>
      </c>
      <c r="W38" s="1"/>
      <c r="X38" s="1">
        <f t="shared" si="10"/>
        <v>120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68</v>
      </c>
      <c r="B39" s="1" t="s">
        <v>32</v>
      </c>
      <c r="C39" s="1">
        <v>84</v>
      </c>
      <c r="D39" s="1">
        <v>593</v>
      </c>
      <c r="E39" s="1">
        <v>154</v>
      </c>
      <c r="F39" s="1">
        <v>480</v>
      </c>
      <c r="G39" s="7">
        <v>0.45</v>
      </c>
      <c r="H39" s="1">
        <v>50</v>
      </c>
      <c r="I39" s="1" t="s">
        <v>28</v>
      </c>
      <c r="J39" s="1"/>
      <c r="K39" s="1">
        <v>171</v>
      </c>
      <c r="L39" s="1">
        <f t="shared" si="11"/>
        <v>-17</v>
      </c>
      <c r="M39" s="1"/>
      <c r="N39" s="1"/>
      <c r="O39" s="1"/>
      <c r="P39" s="1">
        <v>0</v>
      </c>
      <c r="Q39" s="1">
        <v>0</v>
      </c>
      <c r="R39" s="1">
        <f t="shared" si="12"/>
        <v>30.8</v>
      </c>
      <c r="S39" s="5"/>
      <c r="T39" s="1">
        <f t="shared" si="3"/>
        <v>15.584415584415584</v>
      </c>
      <c r="U39" s="1">
        <f t="shared" si="4"/>
        <v>15.584415584415584</v>
      </c>
      <c r="V39" s="1">
        <v>24.6</v>
      </c>
      <c r="W39" s="1"/>
      <c r="X39" s="1">
        <f t="shared" si="10"/>
        <v>0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69</v>
      </c>
      <c r="B40" s="1" t="s">
        <v>32</v>
      </c>
      <c r="C40" s="1">
        <v>-42</v>
      </c>
      <c r="D40" s="1">
        <v>331</v>
      </c>
      <c r="E40" s="1">
        <v>204</v>
      </c>
      <c r="F40" s="1">
        <v>24</v>
      </c>
      <c r="G40" s="7">
        <v>0.4</v>
      </c>
      <c r="H40" s="1">
        <v>45</v>
      </c>
      <c r="I40" s="10" t="s">
        <v>38</v>
      </c>
      <c r="J40" s="1"/>
      <c r="K40" s="1">
        <v>517</v>
      </c>
      <c r="L40" s="1">
        <f t="shared" si="11"/>
        <v>-313</v>
      </c>
      <c r="M40" s="1"/>
      <c r="N40" s="1"/>
      <c r="O40" s="1"/>
      <c r="P40" s="1">
        <v>100</v>
      </c>
      <c r="Q40" s="1">
        <v>180</v>
      </c>
      <c r="R40" s="1">
        <f t="shared" si="12"/>
        <v>40.799999999999997</v>
      </c>
      <c r="S40" s="5">
        <v>250</v>
      </c>
      <c r="T40" s="1">
        <f t="shared" si="3"/>
        <v>13.578431372549021</v>
      </c>
      <c r="U40" s="1">
        <f t="shared" si="4"/>
        <v>7.4509803921568629</v>
      </c>
      <c r="V40" s="1">
        <v>33</v>
      </c>
      <c r="W40" s="1"/>
      <c r="X40" s="1">
        <f t="shared" si="10"/>
        <v>100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70</v>
      </c>
      <c r="B41" s="1" t="s">
        <v>32</v>
      </c>
      <c r="C41" s="1"/>
      <c r="D41" s="1">
        <v>150</v>
      </c>
      <c r="E41" s="1">
        <v>4</v>
      </c>
      <c r="F41" s="1">
        <v>146</v>
      </c>
      <c r="G41" s="7">
        <v>0.4</v>
      </c>
      <c r="H41" s="1">
        <v>40</v>
      </c>
      <c r="I41" s="10" t="s">
        <v>38</v>
      </c>
      <c r="J41" s="1"/>
      <c r="K41" s="1">
        <v>130</v>
      </c>
      <c r="L41" s="1">
        <f t="shared" si="11"/>
        <v>-126</v>
      </c>
      <c r="M41" s="1"/>
      <c r="N41" s="1"/>
      <c r="O41" s="1"/>
      <c r="P41" s="1">
        <v>24.418604651162791</v>
      </c>
      <c r="Q41" s="1">
        <v>60</v>
      </c>
      <c r="R41" s="1">
        <f t="shared" si="12"/>
        <v>0.8</v>
      </c>
      <c r="S41" s="5">
        <v>60</v>
      </c>
      <c r="T41" s="1">
        <f t="shared" si="3"/>
        <v>363.02325581395348</v>
      </c>
      <c r="U41" s="1">
        <f t="shared" si="4"/>
        <v>288.02325581395348</v>
      </c>
      <c r="V41" s="1">
        <v>0</v>
      </c>
      <c r="W41" s="1"/>
      <c r="X41" s="1">
        <f t="shared" si="10"/>
        <v>24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71</v>
      </c>
      <c r="B42" s="1" t="s">
        <v>27</v>
      </c>
      <c r="C42" s="1">
        <v>34.137999999999998</v>
      </c>
      <c r="D42" s="1">
        <v>16.727</v>
      </c>
      <c r="E42" s="1">
        <v>1.4039999999999999</v>
      </c>
      <c r="F42" s="1">
        <v>49.460999999999999</v>
      </c>
      <c r="G42" s="7">
        <v>1</v>
      </c>
      <c r="H42" s="1">
        <v>45</v>
      </c>
      <c r="I42" s="10" t="s">
        <v>38</v>
      </c>
      <c r="J42" s="1"/>
      <c r="K42" s="1">
        <v>1.6</v>
      </c>
      <c r="L42" s="1">
        <f t="shared" si="11"/>
        <v>-0.19600000000000017</v>
      </c>
      <c r="M42" s="1"/>
      <c r="N42" s="1"/>
      <c r="O42" s="1"/>
      <c r="P42" s="1">
        <v>2.4824768348877129</v>
      </c>
      <c r="Q42" s="1">
        <v>0</v>
      </c>
      <c r="R42" s="1">
        <f t="shared" si="12"/>
        <v>0.28079999999999999</v>
      </c>
      <c r="S42" s="5"/>
      <c r="T42" s="1">
        <f t="shared" si="3"/>
        <v>184.98389186213572</v>
      </c>
      <c r="U42" s="1">
        <f t="shared" si="4"/>
        <v>184.98389186213572</v>
      </c>
      <c r="V42" s="1">
        <v>0.86159999999999992</v>
      </c>
      <c r="W42" s="17" t="s">
        <v>161</v>
      </c>
      <c r="X42" s="1">
        <f t="shared" si="10"/>
        <v>0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72</v>
      </c>
      <c r="B43" s="1" t="s">
        <v>32</v>
      </c>
      <c r="C43" s="1">
        <v>150</v>
      </c>
      <c r="D43" s="1">
        <v>215</v>
      </c>
      <c r="E43" s="1">
        <v>17</v>
      </c>
      <c r="F43" s="1">
        <v>323</v>
      </c>
      <c r="G43" s="7">
        <v>0.1</v>
      </c>
      <c r="H43" s="1">
        <v>731</v>
      </c>
      <c r="I43" s="1" t="s">
        <v>28</v>
      </c>
      <c r="J43" s="1"/>
      <c r="K43" s="1">
        <v>32</v>
      </c>
      <c r="L43" s="1">
        <f t="shared" si="11"/>
        <v>-15</v>
      </c>
      <c r="M43" s="1"/>
      <c r="N43" s="1"/>
      <c r="O43" s="1"/>
      <c r="P43" s="1">
        <v>61.323671497584563</v>
      </c>
      <c r="Q43" s="1">
        <v>0</v>
      </c>
      <c r="R43" s="1">
        <f t="shared" si="12"/>
        <v>3.4</v>
      </c>
      <c r="S43" s="5"/>
      <c r="T43" s="1">
        <f t="shared" si="3"/>
        <v>113.03637396987781</v>
      </c>
      <c r="U43" s="1">
        <f t="shared" si="4"/>
        <v>113.03637396987781</v>
      </c>
      <c r="V43" s="1">
        <v>6.6</v>
      </c>
      <c r="W43" s="17" t="s">
        <v>163</v>
      </c>
      <c r="X43" s="1">
        <f t="shared" si="10"/>
        <v>0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73</v>
      </c>
      <c r="B44" s="1" t="s">
        <v>32</v>
      </c>
      <c r="C44" s="1"/>
      <c r="D44" s="1"/>
      <c r="E44" s="1"/>
      <c r="F44" s="1"/>
      <c r="G44" s="7">
        <v>0.35</v>
      </c>
      <c r="H44" s="1">
        <v>40</v>
      </c>
      <c r="I44" s="10" t="s">
        <v>38</v>
      </c>
      <c r="J44" s="1"/>
      <c r="K44" s="1">
        <v>4</v>
      </c>
      <c r="L44" s="1">
        <f t="shared" si="11"/>
        <v>-4</v>
      </c>
      <c r="M44" s="1"/>
      <c r="N44" s="1"/>
      <c r="O44" s="1"/>
      <c r="P44" s="1">
        <v>0</v>
      </c>
      <c r="Q44" s="1">
        <v>4.8</v>
      </c>
      <c r="R44" s="1">
        <f t="shared" si="12"/>
        <v>0</v>
      </c>
      <c r="S44" s="5">
        <v>5</v>
      </c>
      <c r="T44" s="1" t="e">
        <f t="shared" si="3"/>
        <v>#DIV/0!</v>
      </c>
      <c r="U44" s="1" t="e">
        <f t="shared" si="4"/>
        <v>#DIV/0!</v>
      </c>
      <c r="V44" s="1">
        <v>0.2</v>
      </c>
      <c r="W44" s="1"/>
      <c r="X44" s="1">
        <f t="shared" si="10"/>
        <v>1.75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74</v>
      </c>
      <c r="B45" s="1" t="s">
        <v>27</v>
      </c>
      <c r="C45" s="1"/>
      <c r="D45" s="1">
        <v>51.863</v>
      </c>
      <c r="E45" s="1">
        <v>5.0449999999999999</v>
      </c>
      <c r="F45" s="1">
        <v>46.817999999999998</v>
      </c>
      <c r="G45" s="7">
        <v>1</v>
      </c>
      <c r="H45" s="1">
        <v>40</v>
      </c>
      <c r="I45" s="10" t="s">
        <v>38</v>
      </c>
      <c r="J45" s="1"/>
      <c r="K45" s="1">
        <v>26</v>
      </c>
      <c r="L45" s="1">
        <f t="shared" si="11"/>
        <v>-20.954999999999998</v>
      </c>
      <c r="M45" s="1"/>
      <c r="N45" s="1"/>
      <c r="O45" s="1"/>
      <c r="P45" s="1">
        <v>15.599855395932231</v>
      </c>
      <c r="Q45" s="1">
        <v>48</v>
      </c>
      <c r="R45" s="1">
        <f t="shared" si="12"/>
        <v>1.0089999999999999</v>
      </c>
      <c r="S45" s="5"/>
      <c r="T45" s="1">
        <f t="shared" si="3"/>
        <v>109.43295876702899</v>
      </c>
      <c r="U45" s="1">
        <f t="shared" si="4"/>
        <v>109.43295876702899</v>
      </c>
      <c r="V45" s="1">
        <v>0</v>
      </c>
      <c r="W45" s="1" t="s">
        <v>54</v>
      </c>
      <c r="X45" s="1">
        <f t="shared" si="10"/>
        <v>0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75</v>
      </c>
      <c r="B46" s="1" t="s">
        <v>32</v>
      </c>
      <c r="C46" s="1">
        <v>-31</v>
      </c>
      <c r="D46" s="1">
        <v>60</v>
      </c>
      <c r="E46" s="1">
        <v>32</v>
      </c>
      <c r="F46" s="1">
        <v>-3</v>
      </c>
      <c r="G46" s="7">
        <v>0.4</v>
      </c>
      <c r="H46" s="1">
        <v>40</v>
      </c>
      <c r="I46" s="10" t="s">
        <v>38</v>
      </c>
      <c r="J46" s="1"/>
      <c r="K46" s="1">
        <v>235</v>
      </c>
      <c r="L46" s="1">
        <f t="shared" si="11"/>
        <v>-203</v>
      </c>
      <c r="M46" s="1"/>
      <c r="N46" s="1"/>
      <c r="O46" s="1"/>
      <c r="P46" s="1">
        <v>84.703832752613238</v>
      </c>
      <c r="Q46" s="1">
        <v>180</v>
      </c>
      <c r="R46" s="1">
        <f t="shared" si="12"/>
        <v>6.4</v>
      </c>
      <c r="S46" s="5">
        <v>150</v>
      </c>
      <c r="T46" s="1">
        <f t="shared" si="3"/>
        <v>64.328723867595812</v>
      </c>
      <c r="U46" s="1">
        <f t="shared" si="4"/>
        <v>40.891223867595819</v>
      </c>
      <c r="V46" s="1">
        <v>11.2</v>
      </c>
      <c r="W46" s="1"/>
      <c r="X46" s="1">
        <f t="shared" si="10"/>
        <v>60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76</v>
      </c>
      <c r="B47" s="1" t="s">
        <v>32</v>
      </c>
      <c r="C47" s="1"/>
      <c r="D47" s="1">
        <v>80</v>
      </c>
      <c r="E47" s="1">
        <v>84</v>
      </c>
      <c r="F47" s="1">
        <v>-6</v>
      </c>
      <c r="G47" s="7">
        <v>0.4</v>
      </c>
      <c r="H47" s="1">
        <v>45</v>
      </c>
      <c r="I47" s="1" t="s">
        <v>28</v>
      </c>
      <c r="J47" s="1"/>
      <c r="K47" s="1">
        <v>206</v>
      </c>
      <c r="L47" s="1">
        <f t="shared" si="11"/>
        <v>-122</v>
      </c>
      <c r="M47" s="1"/>
      <c r="N47" s="1"/>
      <c r="O47" s="1"/>
      <c r="P47" s="1">
        <v>174.48979591836741</v>
      </c>
      <c r="Q47" s="1">
        <v>30</v>
      </c>
      <c r="R47" s="1">
        <f t="shared" si="12"/>
        <v>16.8</v>
      </c>
      <c r="S47" s="5"/>
      <c r="T47" s="1">
        <f t="shared" si="3"/>
        <v>11.814868804664727</v>
      </c>
      <c r="U47" s="1">
        <f t="shared" si="4"/>
        <v>11.814868804664727</v>
      </c>
      <c r="V47" s="1">
        <v>13.6</v>
      </c>
      <c r="W47" s="1"/>
      <c r="X47" s="1">
        <f t="shared" si="10"/>
        <v>0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77</v>
      </c>
      <c r="B48" s="1" t="s">
        <v>27</v>
      </c>
      <c r="C48" s="1"/>
      <c r="D48" s="1">
        <v>100.617</v>
      </c>
      <c r="E48" s="1">
        <v>8.7620000000000005</v>
      </c>
      <c r="F48" s="1">
        <v>69.831999999999994</v>
      </c>
      <c r="G48" s="7">
        <v>1</v>
      </c>
      <c r="H48" s="1">
        <v>40</v>
      </c>
      <c r="I48" s="10" t="s">
        <v>38</v>
      </c>
      <c r="J48" s="1"/>
      <c r="K48" s="1">
        <v>62.9</v>
      </c>
      <c r="L48" s="1">
        <f t="shared" si="11"/>
        <v>-54.137999999999998</v>
      </c>
      <c r="M48" s="1"/>
      <c r="N48" s="1"/>
      <c r="O48" s="1"/>
      <c r="P48" s="1">
        <v>0</v>
      </c>
      <c r="Q48" s="1">
        <v>60</v>
      </c>
      <c r="R48" s="1">
        <f t="shared" si="12"/>
        <v>1.7524000000000002</v>
      </c>
      <c r="S48" s="5">
        <v>20</v>
      </c>
      <c r="T48" s="1">
        <f t="shared" si="3"/>
        <v>85.501027162748215</v>
      </c>
      <c r="U48" s="1">
        <f t="shared" si="4"/>
        <v>74.088107737959362</v>
      </c>
      <c r="V48" s="1">
        <v>0</v>
      </c>
      <c r="W48" s="1" t="s">
        <v>54</v>
      </c>
      <c r="X48" s="1">
        <f t="shared" si="10"/>
        <v>20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78</v>
      </c>
      <c r="B49" s="1" t="s">
        <v>32</v>
      </c>
      <c r="C49" s="1"/>
      <c r="D49" s="1"/>
      <c r="E49" s="1"/>
      <c r="F49" s="1"/>
      <c r="G49" s="7">
        <v>0.35</v>
      </c>
      <c r="H49" s="1">
        <v>40</v>
      </c>
      <c r="I49" s="10" t="s">
        <v>38</v>
      </c>
      <c r="J49" s="1"/>
      <c r="K49" s="1">
        <v>57</v>
      </c>
      <c r="L49" s="1">
        <f t="shared" si="11"/>
        <v>-57</v>
      </c>
      <c r="M49" s="1"/>
      <c r="N49" s="1"/>
      <c r="O49" s="1"/>
      <c r="P49" s="1">
        <v>45.484949832775918</v>
      </c>
      <c r="Q49" s="1">
        <v>0</v>
      </c>
      <c r="R49" s="1">
        <f t="shared" si="12"/>
        <v>0</v>
      </c>
      <c r="S49" s="5">
        <v>40</v>
      </c>
      <c r="T49" s="1" t="e">
        <f t="shared" si="3"/>
        <v>#DIV/0!</v>
      </c>
      <c r="U49" s="1" t="e">
        <f t="shared" si="4"/>
        <v>#DIV/0!</v>
      </c>
      <c r="V49" s="1">
        <v>0.2</v>
      </c>
      <c r="W49" s="1"/>
      <c r="X49" s="1">
        <f t="shared" si="10"/>
        <v>14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79</v>
      </c>
      <c r="B50" s="1" t="s">
        <v>32</v>
      </c>
      <c r="C50" s="1">
        <v>-31</v>
      </c>
      <c r="D50" s="1">
        <v>507</v>
      </c>
      <c r="E50" s="1">
        <v>181</v>
      </c>
      <c r="F50" s="1">
        <v>257</v>
      </c>
      <c r="G50" s="7">
        <v>0.4</v>
      </c>
      <c r="H50" s="1">
        <v>40</v>
      </c>
      <c r="I50" s="10" t="s">
        <v>38</v>
      </c>
      <c r="J50" s="1"/>
      <c r="K50" s="1">
        <v>196</v>
      </c>
      <c r="L50" s="1">
        <f t="shared" si="11"/>
        <v>-15</v>
      </c>
      <c r="M50" s="1"/>
      <c r="N50" s="1"/>
      <c r="O50" s="1"/>
      <c r="P50" s="1">
        <v>0</v>
      </c>
      <c r="Q50" s="1">
        <v>0</v>
      </c>
      <c r="R50" s="1">
        <f t="shared" si="12"/>
        <v>36.200000000000003</v>
      </c>
      <c r="S50" s="5">
        <f t="shared" ref="S50:S55" si="13">11*R50-Q50-P50-F50-O50</f>
        <v>141.20000000000005</v>
      </c>
      <c r="T50" s="1">
        <f t="shared" si="3"/>
        <v>11</v>
      </c>
      <c r="U50" s="1">
        <f t="shared" si="4"/>
        <v>7.0994475138121542</v>
      </c>
      <c r="V50" s="1">
        <v>21.6</v>
      </c>
      <c r="W50" s="1"/>
      <c r="X50" s="1">
        <f t="shared" si="10"/>
        <v>56.480000000000018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80</v>
      </c>
      <c r="B51" s="1" t="s">
        <v>27</v>
      </c>
      <c r="C51" s="1">
        <v>-13.458</v>
      </c>
      <c r="D51" s="1">
        <v>32.228000000000002</v>
      </c>
      <c r="E51" s="1">
        <v>24.213999999999999</v>
      </c>
      <c r="F51" s="1">
        <v>-5.444</v>
      </c>
      <c r="G51" s="7">
        <v>1</v>
      </c>
      <c r="H51" s="1">
        <v>50</v>
      </c>
      <c r="I51" s="1" t="s">
        <v>28</v>
      </c>
      <c r="J51" s="1"/>
      <c r="K51" s="1">
        <v>61.2</v>
      </c>
      <c r="L51" s="1">
        <f t="shared" si="11"/>
        <v>-36.986000000000004</v>
      </c>
      <c r="M51" s="1"/>
      <c r="N51" s="1"/>
      <c r="O51" s="1"/>
      <c r="P51" s="1">
        <v>21.273088969871559</v>
      </c>
      <c r="Q51" s="1">
        <v>126.0875110301284</v>
      </c>
      <c r="R51" s="1">
        <f t="shared" si="12"/>
        <v>4.8427999999999995</v>
      </c>
      <c r="S51" s="5"/>
      <c r="T51" s="1">
        <f t="shared" si="3"/>
        <v>29.304658462046746</v>
      </c>
      <c r="U51" s="1">
        <f t="shared" si="4"/>
        <v>29.304658462046746</v>
      </c>
      <c r="V51" s="1">
        <v>10.234400000000001</v>
      </c>
      <c r="W51" s="1"/>
      <c r="X51" s="1">
        <f t="shared" si="10"/>
        <v>0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81</v>
      </c>
      <c r="B52" s="1" t="s">
        <v>27</v>
      </c>
      <c r="C52" s="1"/>
      <c r="D52" s="1">
        <v>167.328</v>
      </c>
      <c r="E52" s="1">
        <v>62.506</v>
      </c>
      <c r="F52" s="1">
        <v>82.760999999999996</v>
      </c>
      <c r="G52" s="7">
        <v>1</v>
      </c>
      <c r="H52" s="1">
        <v>50</v>
      </c>
      <c r="I52" s="1" t="s">
        <v>28</v>
      </c>
      <c r="J52" s="1"/>
      <c r="K52" s="1">
        <v>118.8</v>
      </c>
      <c r="L52" s="1">
        <f t="shared" si="11"/>
        <v>-56.293999999999997</v>
      </c>
      <c r="M52" s="1"/>
      <c r="N52" s="1"/>
      <c r="O52" s="1"/>
      <c r="P52" s="1">
        <v>0</v>
      </c>
      <c r="Q52" s="1">
        <v>0</v>
      </c>
      <c r="R52" s="1">
        <f t="shared" si="12"/>
        <v>12.501200000000001</v>
      </c>
      <c r="S52" s="5">
        <f t="shared" si="13"/>
        <v>54.752200000000016</v>
      </c>
      <c r="T52" s="1">
        <f t="shared" si="3"/>
        <v>11</v>
      </c>
      <c r="U52" s="1">
        <f t="shared" si="4"/>
        <v>6.6202444565321725</v>
      </c>
      <c r="V52" s="1">
        <v>3.7355999999999998</v>
      </c>
      <c r="W52" s="1" t="s">
        <v>54</v>
      </c>
      <c r="X52" s="1">
        <f t="shared" si="10"/>
        <v>54.752200000000016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82</v>
      </c>
      <c r="B53" s="1" t="s">
        <v>27</v>
      </c>
      <c r="C53" s="1"/>
      <c r="D53" s="1">
        <v>155.71100000000001</v>
      </c>
      <c r="E53" s="1"/>
      <c r="F53" s="1">
        <v>147.99700000000001</v>
      </c>
      <c r="G53" s="7">
        <v>1</v>
      </c>
      <c r="H53" s="1">
        <v>45</v>
      </c>
      <c r="I53" s="10" t="s">
        <v>38</v>
      </c>
      <c r="J53" s="1"/>
      <c r="K53" s="1"/>
      <c r="L53" s="1">
        <f t="shared" si="11"/>
        <v>0</v>
      </c>
      <c r="M53" s="1"/>
      <c r="N53" s="1"/>
      <c r="O53" s="1"/>
      <c r="P53" s="1">
        <v>0</v>
      </c>
      <c r="Q53" s="1">
        <v>0</v>
      </c>
      <c r="R53" s="1">
        <f t="shared" si="12"/>
        <v>0</v>
      </c>
      <c r="S53" s="5"/>
      <c r="T53" s="1" t="e">
        <f t="shared" si="3"/>
        <v>#DIV/0!</v>
      </c>
      <c r="U53" s="1" t="e">
        <f t="shared" si="4"/>
        <v>#DIV/0!</v>
      </c>
      <c r="V53" s="1">
        <v>0</v>
      </c>
      <c r="W53" s="1"/>
      <c r="X53" s="1">
        <f t="shared" si="10"/>
        <v>0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83</v>
      </c>
      <c r="B54" s="1" t="s">
        <v>32</v>
      </c>
      <c r="C54" s="1">
        <v>-2</v>
      </c>
      <c r="D54" s="1">
        <v>341</v>
      </c>
      <c r="E54" s="1">
        <v>77</v>
      </c>
      <c r="F54" s="1">
        <v>234</v>
      </c>
      <c r="G54" s="7">
        <v>0.45</v>
      </c>
      <c r="H54" s="1">
        <v>50</v>
      </c>
      <c r="I54" s="1" t="s">
        <v>28</v>
      </c>
      <c r="J54" s="1"/>
      <c r="K54" s="1">
        <v>100</v>
      </c>
      <c r="L54" s="1">
        <f t="shared" si="11"/>
        <v>-23</v>
      </c>
      <c r="M54" s="1"/>
      <c r="N54" s="1"/>
      <c r="O54" s="1"/>
      <c r="P54" s="1">
        <v>0</v>
      </c>
      <c r="Q54" s="1">
        <v>0</v>
      </c>
      <c r="R54" s="1">
        <f t="shared" si="12"/>
        <v>15.4</v>
      </c>
      <c r="S54" s="5"/>
      <c r="T54" s="1">
        <f t="shared" si="3"/>
        <v>15.194805194805195</v>
      </c>
      <c r="U54" s="1">
        <f t="shared" si="4"/>
        <v>15.194805194805195</v>
      </c>
      <c r="V54" s="1">
        <v>9.6</v>
      </c>
      <c r="W54" s="1"/>
      <c r="X54" s="1">
        <f t="shared" si="10"/>
        <v>0</v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84</v>
      </c>
      <c r="B55" s="1" t="s">
        <v>32</v>
      </c>
      <c r="C55" s="1">
        <v>107</v>
      </c>
      <c r="D55" s="1">
        <v>215</v>
      </c>
      <c r="E55" s="1">
        <v>129</v>
      </c>
      <c r="F55" s="1">
        <v>160</v>
      </c>
      <c r="G55" s="7">
        <v>0.45</v>
      </c>
      <c r="H55" s="1">
        <v>50</v>
      </c>
      <c r="I55" s="1" t="s">
        <v>28</v>
      </c>
      <c r="J55" s="1"/>
      <c r="K55" s="1">
        <v>145</v>
      </c>
      <c r="L55" s="1">
        <f t="shared" si="11"/>
        <v>-16</v>
      </c>
      <c r="M55" s="1"/>
      <c r="N55" s="1"/>
      <c r="O55" s="1"/>
      <c r="P55" s="1">
        <v>76.688372093023276</v>
      </c>
      <c r="Q55" s="1">
        <v>0</v>
      </c>
      <c r="R55" s="1">
        <f t="shared" si="12"/>
        <v>25.8</v>
      </c>
      <c r="S55" s="5">
        <f t="shared" si="13"/>
        <v>47.111627906976736</v>
      </c>
      <c r="T55" s="1">
        <f t="shared" si="3"/>
        <v>11</v>
      </c>
      <c r="U55" s="1">
        <f t="shared" si="4"/>
        <v>9.1739679105822969</v>
      </c>
      <c r="V55" s="1">
        <v>21.2</v>
      </c>
      <c r="W55" s="1"/>
      <c r="X55" s="1">
        <f t="shared" si="10"/>
        <v>21.200232558139533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85</v>
      </c>
      <c r="B56" s="1" t="s">
        <v>32</v>
      </c>
      <c r="C56" s="1"/>
      <c r="D56" s="1"/>
      <c r="E56" s="1"/>
      <c r="F56" s="1"/>
      <c r="G56" s="7">
        <v>0.4</v>
      </c>
      <c r="H56" s="1">
        <v>40</v>
      </c>
      <c r="I56" s="10" t="s">
        <v>38</v>
      </c>
      <c r="J56" s="1"/>
      <c r="K56" s="1">
        <v>10</v>
      </c>
      <c r="L56" s="1">
        <f t="shared" si="11"/>
        <v>-10</v>
      </c>
      <c r="M56" s="1"/>
      <c r="N56" s="1"/>
      <c r="O56" s="1"/>
      <c r="P56" s="1">
        <v>4.7719298245614032</v>
      </c>
      <c r="Q56" s="1">
        <v>9.6</v>
      </c>
      <c r="R56" s="1">
        <f t="shared" si="12"/>
        <v>0</v>
      </c>
      <c r="S56" s="5">
        <v>5</v>
      </c>
      <c r="T56" s="1" t="e">
        <f t="shared" si="3"/>
        <v>#DIV/0!</v>
      </c>
      <c r="U56" s="1" t="e">
        <f t="shared" si="4"/>
        <v>#DIV/0!</v>
      </c>
      <c r="V56" s="1">
        <v>0</v>
      </c>
      <c r="W56" s="1"/>
      <c r="X56" s="1">
        <f t="shared" si="10"/>
        <v>2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86</v>
      </c>
      <c r="B57" s="1" t="s">
        <v>32</v>
      </c>
      <c r="C57" s="1"/>
      <c r="D57" s="1"/>
      <c r="E57" s="1"/>
      <c r="F57" s="1"/>
      <c r="G57" s="7">
        <v>0.4</v>
      </c>
      <c r="H57" s="1">
        <v>40</v>
      </c>
      <c r="I57" s="10" t="s">
        <v>38</v>
      </c>
      <c r="J57" s="1"/>
      <c r="K57" s="1">
        <v>18</v>
      </c>
      <c r="L57" s="1">
        <f t="shared" si="11"/>
        <v>-18</v>
      </c>
      <c r="M57" s="1"/>
      <c r="N57" s="1"/>
      <c r="O57" s="1"/>
      <c r="P57" s="1">
        <v>13</v>
      </c>
      <c r="Q57" s="1">
        <v>9.6</v>
      </c>
      <c r="R57" s="1">
        <f t="shared" si="12"/>
        <v>0</v>
      </c>
      <c r="S57" s="5">
        <v>5</v>
      </c>
      <c r="T57" s="1" t="e">
        <f t="shared" si="3"/>
        <v>#DIV/0!</v>
      </c>
      <c r="U57" s="1" t="e">
        <f t="shared" si="4"/>
        <v>#DIV/0!</v>
      </c>
      <c r="V57" s="1">
        <v>0</v>
      </c>
      <c r="W57" s="1"/>
      <c r="X57" s="1">
        <f t="shared" si="10"/>
        <v>2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87</v>
      </c>
      <c r="B58" s="1" t="s">
        <v>27</v>
      </c>
      <c r="C58" s="1">
        <v>-28.33</v>
      </c>
      <c r="D58" s="1">
        <v>185.12200000000001</v>
      </c>
      <c r="E58" s="1">
        <v>16.326000000000001</v>
      </c>
      <c r="F58" s="1">
        <v>130.97300000000001</v>
      </c>
      <c r="G58" s="7">
        <v>1</v>
      </c>
      <c r="H58" s="1">
        <v>50</v>
      </c>
      <c r="I58" s="1" t="s">
        <v>28</v>
      </c>
      <c r="J58" s="1"/>
      <c r="K58" s="1">
        <v>63.2</v>
      </c>
      <c r="L58" s="1">
        <f t="shared" si="11"/>
        <v>-46.874000000000002</v>
      </c>
      <c r="M58" s="1"/>
      <c r="N58" s="1"/>
      <c r="O58" s="1"/>
      <c r="P58" s="1">
        <v>0</v>
      </c>
      <c r="Q58" s="1">
        <v>0</v>
      </c>
      <c r="R58" s="1">
        <f t="shared" si="12"/>
        <v>3.2652000000000001</v>
      </c>
      <c r="S58" s="5"/>
      <c r="T58" s="1">
        <f t="shared" si="3"/>
        <v>40.111784883008703</v>
      </c>
      <c r="U58" s="1">
        <f t="shared" si="4"/>
        <v>40.111784883008703</v>
      </c>
      <c r="V58" s="1">
        <v>7.0168000000000008</v>
      </c>
      <c r="W58" s="1" t="s">
        <v>54</v>
      </c>
      <c r="X58" s="1">
        <f t="shared" si="10"/>
        <v>0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88</v>
      </c>
      <c r="B59" s="1" t="s">
        <v>32</v>
      </c>
      <c r="C59" s="1">
        <v>189</v>
      </c>
      <c r="D59" s="1">
        <v>13</v>
      </c>
      <c r="E59" s="15">
        <f>16+E131</f>
        <v>31</v>
      </c>
      <c r="F59" s="15">
        <f>163+F131</f>
        <v>137</v>
      </c>
      <c r="G59" s="7">
        <v>0.1</v>
      </c>
      <c r="H59" s="1">
        <v>731</v>
      </c>
      <c r="I59" s="1" t="s">
        <v>28</v>
      </c>
      <c r="J59" s="1"/>
      <c r="K59" s="1">
        <v>29</v>
      </c>
      <c r="L59" s="1">
        <f t="shared" si="11"/>
        <v>2</v>
      </c>
      <c r="M59" s="1"/>
      <c r="N59" s="1"/>
      <c r="O59" s="1"/>
      <c r="P59" s="1">
        <v>51.074947368421057</v>
      </c>
      <c r="Q59" s="1">
        <v>0</v>
      </c>
      <c r="R59" s="1">
        <f t="shared" si="12"/>
        <v>6.2</v>
      </c>
      <c r="S59" s="5"/>
      <c r="T59" s="1">
        <f t="shared" si="3"/>
        <v>30.334668930390492</v>
      </c>
      <c r="U59" s="1">
        <f t="shared" si="4"/>
        <v>30.334668930390492</v>
      </c>
      <c r="V59" s="1">
        <v>5.8</v>
      </c>
      <c r="W59" s="1" t="s">
        <v>54</v>
      </c>
      <c r="X59" s="1">
        <f t="shared" si="10"/>
        <v>0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89</v>
      </c>
      <c r="B60" s="1" t="s">
        <v>27</v>
      </c>
      <c r="C60" s="1">
        <v>40.182000000000002</v>
      </c>
      <c r="D60" s="1">
        <v>154.80500000000001</v>
      </c>
      <c r="E60" s="1">
        <v>58.927</v>
      </c>
      <c r="F60" s="1">
        <v>114.053</v>
      </c>
      <c r="G60" s="7">
        <v>1</v>
      </c>
      <c r="H60" s="1">
        <v>50</v>
      </c>
      <c r="I60" s="1" t="s">
        <v>28</v>
      </c>
      <c r="J60" s="1"/>
      <c r="K60" s="1">
        <v>113.1</v>
      </c>
      <c r="L60" s="1">
        <f t="shared" si="11"/>
        <v>-54.172999999999995</v>
      </c>
      <c r="M60" s="1"/>
      <c r="N60" s="1"/>
      <c r="O60" s="1"/>
      <c r="P60" s="1">
        <v>93.94464965612103</v>
      </c>
      <c r="Q60" s="1">
        <v>0</v>
      </c>
      <c r="R60" s="1">
        <f t="shared" si="12"/>
        <v>11.785399999999999</v>
      </c>
      <c r="S60" s="5"/>
      <c r="T60" s="1">
        <f t="shared" si="3"/>
        <v>17.648756058862752</v>
      </c>
      <c r="U60" s="1">
        <f t="shared" si="4"/>
        <v>17.648756058862752</v>
      </c>
      <c r="V60" s="1">
        <v>12.861000000000001</v>
      </c>
      <c r="W60" s="1" t="s">
        <v>54</v>
      </c>
      <c r="X60" s="1">
        <f t="shared" si="10"/>
        <v>0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90</v>
      </c>
      <c r="B61" s="1" t="s">
        <v>27</v>
      </c>
      <c r="C61" s="1"/>
      <c r="D61" s="1"/>
      <c r="E61" s="1"/>
      <c r="F61" s="1"/>
      <c r="G61" s="7">
        <v>1</v>
      </c>
      <c r="H61" s="1">
        <v>55</v>
      </c>
      <c r="I61" s="1" t="s">
        <v>28</v>
      </c>
      <c r="J61" s="1"/>
      <c r="K61" s="1">
        <v>16.8</v>
      </c>
      <c r="L61" s="1">
        <f t="shared" si="11"/>
        <v>-16.8</v>
      </c>
      <c r="M61" s="1"/>
      <c r="N61" s="1"/>
      <c r="O61" s="1"/>
      <c r="P61" s="1">
        <v>15.006689053055741</v>
      </c>
      <c r="Q61" s="1">
        <v>4</v>
      </c>
      <c r="R61" s="1">
        <f t="shared" si="12"/>
        <v>0</v>
      </c>
      <c r="S61" s="5">
        <v>10</v>
      </c>
      <c r="T61" s="1" t="e">
        <f t="shared" si="3"/>
        <v>#DIV/0!</v>
      </c>
      <c r="U61" s="1" t="e">
        <f t="shared" si="4"/>
        <v>#DIV/0!</v>
      </c>
      <c r="V61" s="1">
        <v>0.54339999999999999</v>
      </c>
      <c r="W61" s="1"/>
      <c r="X61" s="1">
        <f t="shared" si="10"/>
        <v>10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91</v>
      </c>
      <c r="B62" s="1" t="s">
        <v>32</v>
      </c>
      <c r="C62" s="1">
        <v>233</v>
      </c>
      <c r="D62" s="1">
        <v>11</v>
      </c>
      <c r="E62" s="1">
        <v>19</v>
      </c>
      <c r="F62" s="1">
        <v>207</v>
      </c>
      <c r="G62" s="7">
        <v>0.1</v>
      </c>
      <c r="H62" s="1">
        <v>731</v>
      </c>
      <c r="I62" s="1" t="s">
        <v>28</v>
      </c>
      <c r="J62" s="1"/>
      <c r="K62" s="1">
        <v>30</v>
      </c>
      <c r="L62" s="1">
        <f t="shared" si="11"/>
        <v>-11</v>
      </c>
      <c r="M62" s="1"/>
      <c r="N62" s="1"/>
      <c r="O62" s="1"/>
      <c r="P62" s="1">
        <v>13.332023575638511</v>
      </c>
      <c r="Q62" s="1">
        <v>0</v>
      </c>
      <c r="R62" s="1">
        <f t="shared" si="12"/>
        <v>3.8</v>
      </c>
      <c r="S62" s="5"/>
      <c r="T62" s="1">
        <f t="shared" si="3"/>
        <v>57.982111467273299</v>
      </c>
      <c r="U62" s="1">
        <f t="shared" si="4"/>
        <v>57.982111467273299</v>
      </c>
      <c r="V62" s="1">
        <v>3.2</v>
      </c>
      <c r="W62" s="17" t="s">
        <v>163</v>
      </c>
      <c r="X62" s="1">
        <f t="shared" si="10"/>
        <v>0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92</v>
      </c>
      <c r="B63" s="1" t="s">
        <v>32</v>
      </c>
      <c r="C63" s="1"/>
      <c r="D63" s="1">
        <v>20</v>
      </c>
      <c r="E63" s="1">
        <v>2</v>
      </c>
      <c r="F63" s="1">
        <v>17</v>
      </c>
      <c r="G63" s="7">
        <v>0.4</v>
      </c>
      <c r="H63" s="1">
        <v>50</v>
      </c>
      <c r="I63" s="1" t="s">
        <v>28</v>
      </c>
      <c r="J63" s="1"/>
      <c r="K63" s="1">
        <v>12</v>
      </c>
      <c r="L63" s="1">
        <f t="shared" si="11"/>
        <v>-10</v>
      </c>
      <c r="M63" s="1"/>
      <c r="N63" s="1"/>
      <c r="O63" s="1"/>
      <c r="P63" s="1">
        <v>0</v>
      </c>
      <c r="Q63" s="1">
        <v>0</v>
      </c>
      <c r="R63" s="1">
        <f t="shared" si="12"/>
        <v>0.4</v>
      </c>
      <c r="S63" s="5"/>
      <c r="T63" s="1">
        <f t="shared" si="3"/>
        <v>42.5</v>
      </c>
      <c r="U63" s="1">
        <f t="shared" si="4"/>
        <v>42.5</v>
      </c>
      <c r="V63" s="1">
        <v>0</v>
      </c>
      <c r="W63" s="1"/>
      <c r="X63" s="1">
        <f t="shared" si="10"/>
        <v>0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93</v>
      </c>
      <c r="B64" s="1" t="s">
        <v>27</v>
      </c>
      <c r="C64" s="1"/>
      <c r="D64" s="1">
        <v>39.963999999999999</v>
      </c>
      <c r="E64" s="1">
        <v>39.951999999999998</v>
      </c>
      <c r="F64" s="1">
        <v>1.2E-2</v>
      </c>
      <c r="G64" s="7">
        <v>1</v>
      </c>
      <c r="H64" s="1">
        <v>40</v>
      </c>
      <c r="I64" s="10" t="s">
        <v>38</v>
      </c>
      <c r="J64" s="1"/>
      <c r="K64" s="1">
        <v>53</v>
      </c>
      <c r="L64" s="1">
        <f t="shared" si="11"/>
        <v>-13.048000000000002</v>
      </c>
      <c r="M64" s="1"/>
      <c r="N64" s="1"/>
      <c r="O64" s="1"/>
      <c r="P64" s="1">
        <v>19.025626359039741</v>
      </c>
      <c r="Q64" s="1">
        <v>48</v>
      </c>
      <c r="R64" s="1">
        <f t="shared" si="12"/>
        <v>7.9903999999999993</v>
      </c>
      <c r="S64" s="5">
        <v>30</v>
      </c>
      <c r="T64" s="1">
        <f t="shared" si="3"/>
        <v>12.144276426591878</v>
      </c>
      <c r="U64" s="1">
        <f t="shared" si="4"/>
        <v>8.3897710201040923</v>
      </c>
      <c r="V64" s="1">
        <v>7.9903999999999993</v>
      </c>
      <c r="W64" s="1"/>
      <c r="X64" s="1">
        <f t="shared" si="10"/>
        <v>30</v>
      </c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94</v>
      </c>
      <c r="B65" s="1" t="s">
        <v>27</v>
      </c>
      <c r="C65" s="1"/>
      <c r="D65" s="1"/>
      <c r="E65" s="1"/>
      <c r="F65" s="1"/>
      <c r="G65" s="7">
        <v>1</v>
      </c>
      <c r="H65" s="1">
        <v>40</v>
      </c>
      <c r="I65" s="10" t="s">
        <v>38</v>
      </c>
      <c r="J65" s="1"/>
      <c r="K65" s="1">
        <v>2.6</v>
      </c>
      <c r="L65" s="1">
        <f t="shared" si="11"/>
        <v>-2.6</v>
      </c>
      <c r="M65" s="1"/>
      <c r="N65" s="1"/>
      <c r="O65" s="1"/>
      <c r="P65" s="1">
        <v>12.270811380400421</v>
      </c>
      <c r="Q65" s="1">
        <v>4.8</v>
      </c>
      <c r="R65" s="1">
        <f t="shared" si="12"/>
        <v>0</v>
      </c>
      <c r="S65" s="5"/>
      <c r="T65" s="1" t="e">
        <f t="shared" si="3"/>
        <v>#DIV/0!</v>
      </c>
      <c r="U65" s="1" t="e">
        <f t="shared" si="4"/>
        <v>#DIV/0!</v>
      </c>
      <c r="V65" s="1">
        <v>0.26440000000000002</v>
      </c>
      <c r="W65" s="1"/>
      <c r="X65" s="1">
        <f t="shared" si="10"/>
        <v>0</v>
      </c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95</v>
      </c>
      <c r="B66" s="1" t="s">
        <v>32</v>
      </c>
      <c r="C66" s="1">
        <v>-47</v>
      </c>
      <c r="D66" s="1">
        <v>534</v>
      </c>
      <c r="E66" s="1">
        <v>77</v>
      </c>
      <c r="F66" s="1">
        <v>390</v>
      </c>
      <c r="G66" s="7">
        <v>0.4</v>
      </c>
      <c r="H66" s="1">
        <v>40</v>
      </c>
      <c r="I66" s="10" t="s">
        <v>38</v>
      </c>
      <c r="J66" s="1"/>
      <c r="K66" s="1">
        <v>212</v>
      </c>
      <c r="L66" s="1">
        <f t="shared" si="11"/>
        <v>-135</v>
      </c>
      <c r="M66" s="1"/>
      <c r="N66" s="1"/>
      <c r="O66" s="1"/>
      <c r="P66" s="1">
        <v>35.735080058224163</v>
      </c>
      <c r="Q66" s="1">
        <v>0</v>
      </c>
      <c r="R66" s="1">
        <f t="shared" si="12"/>
        <v>15.4</v>
      </c>
      <c r="S66" s="5"/>
      <c r="T66" s="1">
        <f t="shared" si="3"/>
        <v>27.645135068715856</v>
      </c>
      <c r="U66" s="1">
        <f t="shared" si="4"/>
        <v>27.645135068715856</v>
      </c>
      <c r="V66" s="1">
        <v>15.8</v>
      </c>
      <c r="W66" s="1"/>
      <c r="X66" s="1">
        <f t="shared" si="10"/>
        <v>0</v>
      </c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96</v>
      </c>
      <c r="B67" s="1" t="s">
        <v>32</v>
      </c>
      <c r="C67" s="1"/>
      <c r="D67" s="1"/>
      <c r="E67" s="1"/>
      <c r="F67" s="1">
        <v>-1</v>
      </c>
      <c r="G67" s="7">
        <v>0.4</v>
      </c>
      <c r="H67" s="1">
        <v>40</v>
      </c>
      <c r="I67" s="1" t="s">
        <v>28</v>
      </c>
      <c r="J67" s="1"/>
      <c r="K67" s="1">
        <v>152</v>
      </c>
      <c r="L67" s="1">
        <f t="shared" si="11"/>
        <v>-152</v>
      </c>
      <c r="M67" s="1"/>
      <c r="N67" s="1"/>
      <c r="O67" s="1"/>
      <c r="P67" s="1">
        <v>59.617321248741192</v>
      </c>
      <c r="Q67" s="1">
        <v>40</v>
      </c>
      <c r="R67" s="1">
        <f t="shared" si="12"/>
        <v>0</v>
      </c>
      <c r="S67" s="5">
        <v>100</v>
      </c>
      <c r="T67" s="1" t="e">
        <f t="shared" si="3"/>
        <v>#DIV/0!</v>
      </c>
      <c r="U67" s="1" t="e">
        <f t="shared" si="4"/>
        <v>#DIV/0!</v>
      </c>
      <c r="V67" s="1">
        <v>0</v>
      </c>
      <c r="W67" s="1"/>
      <c r="X67" s="1">
        <f t="shared" si="10"/>
        <v>40</v>
      </c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97</v>
      </c>
      <c r="B68" s="1" t="s">
        <v>27</v>
      </c>
      <c r="C68" s="1">
        <v>-31.785</v>
      </c>
      <c r="D68" s="1">
        <v>114.29300000000001</v>
      </c>
      <c r="E68" s="1">
        <v>22.559000000000001</v>
      </c>
      <c r="F68" s="1">
        <v>45.448999999999998</v>
      </c>
      <c r="G68" s="7">
        <v>1</v>
      </c>
      <c r="H68" s="1">
        <v>40</v>
      </c>
      <c r="I68" s="10" t="s">
        <v>38</v>
      </c>
      <c r="J68" s="1"/>
      <c r="K68" s="1">
        <v>31.8</v>
      </c>
      <c r="L68" s="1">
        <f t="shared" si="11"/>
        <v>-9.2409999999999997</v>
      </c>
      <c r="M68" s="1"/>
      <c r="N68" s="1"/>
      <c r="O68" s="1"/>
      <c r="P68" s="1">
        <v>18.27250411257809</v>
      </c>
      <c r="Q68" s="1">
        <v>12</v>
      </c>
      <c r="R68" s="1">
        <f t="shared" si="12"/>
        <v>4.5118</v>
      </c>
      <c r="S68" s="5"/>
      <c r="T68" s="1">
        <f t="shared" si="3"/>
        <v>16.782992178859455</v>
      </c>
      <c r="U68" s="1">
        <f t="shared" si="4"/>
        <v>16.782992178859455</v>
      </c>
      <c r="V68" s="1">
        <v>5.2612000000000014</v>
      </c>
      <c r="W68" s="1"/>
      <c r="X68" s="1">
        <f t="shared" si="10"/>
        <v>0</v>
      </c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98</v>
      </c>
      <c r="B69" s="1" t="s">
        <v>27</v>
      </c>
      <c r="C69" s="1"/>
      <c r="D69" s="1">
        <v>102.29900000000001</v>
      </c>
      <c r="E69" s="1">
        <v>21.556000000000001</v>
      </c>
      <c r="F69" s="1">
        <v>66.337000000000003</v>
      </c>
      <c r="G69" s="7">
        <v>1</v>
      </c>
      <c r="H69" s="1">
        <v>40</v>
      </c>
      <c r="I69" s="10" t="s">
        <v>38</v>
      </c>
      <c r="J69" s="1"/>
      <c r="K69" s="1">
        <v>20.9</v>
      </c>
      <c r="L69" s="1">
        <f t="shared" si="11"/>
        <v>0.65600000000000236</v>
      </c>
      <c r="M69" s="1"/>
      <c r="N69" s="1"/>
      <c r="O69" s="1"/>
      <c r="P69" s="1">
        <v>19.493231364275669</v>
      </c>
      <c r="Q69" s="1">
        <v>0</v>
      </c>
      <c r="R69" s="1">
        <f t="shared" si="12"/>
        <v>4.3112000000000004</v>
      </c>
      <c r="S69" s="5"/>
      <c r="T69" s="1">
        <f t="shared" si="3"/>
        <v>19.908663797614508</v>
      </c>
      <c r="U69" s="1">
        <f t="shared" si="4"/>
        <v>19.908663797614508</v>
      </c>
      <c r="V69" s="1">
        <v>0</v>
      </c>
      <c r="W69" s="1"/>
      <c r="X69" s="1">
        <f t="shared" si="10"/>
        <v>0</v>
      </c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99</v>
      </c>
      <c r="B70" s="1" t="s">
        <v>27</v>
      </c>
      <c r="C70" s="1">
        <v>-50.938000000000002</v>
      </c>
      <c r="D70" s="1">
        <v>150.828</v>
      </c>
      <c r="E70" s="1">
        <v>92.933999999999997</v>
      </c>
      <c r="F70" s="1">
        <v>-4.7640000000000002</v>
      </c>
      <c r="G70" s="7">
        <v>1</v>
      </c>
      <c r="H70" s="1">
        <v>40</v>
      </c>
      <c r="I70" s="10" t="s">
        <v>38</v>
      </c>
      <c r="J70" s="1"/>
      <c r="K70" s="1">
        <v>112.1</v>
      </c>
      <c r="L70" s="1">
        <f t="shared" ref="L70:L101" si="14">E70-K70</f>
        <v>-19.165999999999997</v>
      </c>
      <c r="M70" s="1"/>
      <c r="N70" s="1"/>
      <c r="O70" s="1"/>
      <c r="P70" s="1">
        <v>64.557483857380348</v>
      </c>
      <c r="Q70" s="1">
        <v>180</v>
      </c>
      <c r="R70" s="1">
        <f t="shared" ref="R70:R101" si="15">E70/5</f>
        <v>18.5868</v>
      </c>
      <c r="S70" s="5"/>
      <c r="T70" s="1">
        <f t="shared" si="3"/>
        <v>12.90127853408765</v>
      </c>
      <c r="U70" s="1">
        <f t="shared" si="4"/>
        <v>12.90127853408765</v>
      </c>
      <c r="V70" s="1">
        <v>23.832799999999999</v>
      </c>
      <c r="W70" s="1"/>
      <c r="X70" s="1">
        <f t="shared" si="10"/>
        <v>0</v>
      </c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100</v>
      </c>
      <c r="B71" s="1" t="s">
        <v>27</v>
      </c>
      <c r="C71" s="1"/>
      <c r="D71" s="1"/>
      <c r="E71" s="1"/>
      <c r="F71" s="1"/>
      <c r="G71" s="7">
        <v>1</v>
      </c>
      <c r="H71" s="1">
        <v>40</v>
      </c>
      <c r="I71" s="10" t="s">
        <v>38</v>
      </c>
      <c r="J71" s="1"/>
      <c r="K71" s="1">
        <v>3.6</v>
      </c>
      <c r="L71" s="1">
        <f t="shared" si="14"/>
        <v>-3.6</v>
      </c>
      <c r="M71" s="1"/>
      <c r="N71" s="1"/>
      <c r="O71" s="1"/>
      <c r="P71" s="1">
        <v>41.768911473925193</v>
      </c>
      <c r="Q71" s="1">
        <v>0</v>
      </c>
      <c r="R71" s="1">
        <f t="shared" si="15"/>
        <v>0</v>
      </c>
      <c r="S71" s="5"/>
      <c r="T71" s="1" t="e">
        <f t="shared" ref="T71:T131" si="16">(F71+O71+P71+Q71+S71)/R71</f>
        <v>#DIV/0!</v>
      </c>
      <c r="U71" s="1" t="e">
        <f t="shared" ref="U71:U131" si="17">(F71+O71+P71+Q71)/R71</f>
        <v>#DIV/0!</v>
      </c>
      <c r="V71" s="1">
        <v>0</v>
      </c>
      <c r="W71" s="1"/>
      <c r="X71" s="1">
        <f t="shared" si="10"/>
        <v>0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1" t="s">
        <v>101</v>
      </c>
      <c r="B72" s="11" t="s">
        <v>32</v>
      </c>
      <c r="C72" s="11"/>
      <c r="D72" s="11"/>
      <c r="E72" s="11"/>
      <c r="F72" s="11"/>
      <c r="G72" s="12">
        <v>0</v>
      </c>
      <c r="H72" s="11"/>
      <c r="I72" s="11" t="s">
        <v>28</v>
      </c>
      <c r="J72" s="11"/>
      <c r="K72" s="11"/>
      <c r="L72" s="11">
        <f t="shared" si="14"/>
        <v>0</v>
      </c>
      <c r="M72" s="11"/>
      <c r="N72" s="11"/>
      <c r="O72" s="11"/>
      <c r="P72" s="11"/>
      <c r="Q72" s="11">
        <v>0</v>
      </c>
      <c r="R72" s="11">
        <f t="shared" si="15"/>
        <v>0</v>
      </c>
      <c r="S72" s="13"/>
      <c r="T72" s="11" t="e">
        <f t="shared" si="16"/>
        <v>#DIV/0!</v>
      </c>
      <c r="U72" s="11" t="e">
        <f t="shared" si="17"/>
        <v>#DIV/0!</v>
      </c>
      <c r="V72" s="11">
        <v>0</v>
      </c>
      <c r="W72" s="11" t="s">
        <v>33</v>
      </c>
      <c r="X72" s="1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102</v>
      </c>
      <c r="B73" s="1" t="s">
        <v>27</v>
      </c>
      <c r="C73" s="1">
        <v>-23.411999999999999</v>
      </c>
      <c r="D73" s="1">
        <v>23.431999999999999</v>
      </c>
      <c r="E73" s="1"/>
      <c r="F73" s="1">
        <v>0.02</v>
      </c>
      <c r="G73" s="7">
        <v>1</v>
      </c>
      <c r="H73" s="1">
        <v>30</v>
      </c>
      <c r="I73" s="10" t="s">
        <v>38</v>
      </c>
      <c r="J73" s="1"/>
      <c r="K73" s="1">
        <v>22.3</v>
      </c>
      <c r="L73" s="1">
        <f t="shared" si="14"/>
        <v>-22.3</v>
      </c>
      <c r="M73" s="1"/>
      <c r="N73" s="1"/>
      <c r="O73" s="1"/>
      <c r="P73" s="1">
        <v>6.9587635964735233</v>
      </c>
      <c r="Q73" s="1">
        <v>48</v>
      </c>
      <c r="R73" s="1">
        <f t="shared" si="15"/>
        <v>0</v>
      </c>
      <c r="S73" s="5"/>
      <c r="T73" s="1" t="e">
        <f t="shared" si="16"/>
        <v>#DIV/0!</v>
      </c>
      <c r="U73" s="1" t="e">
        <f t="shared" si="17"/>
        <v>#DIV/0!</v>
      </c>
      <c r="V73" s="1">
        <v>4.5743999999999998</v>
      </c>
      <c r="W73" s="1"/>
      <c r="X73" s="1">
        <f t="shared" ref="X73:X84" si="18">G73*S73</f>
        <v>0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103</v>
      </c>
      <c r="B74" s="1" t="s">
        <v>32</v>
      </c>
      <c r="C74" s="1">
        <v>117</v>
      </c>
      <c r="D74" s="1">
        <v>85</v>
      </c>
      <c r="E74" s="1">
        <v>29.736999999999998</v>
      </c>
      <c r="F74" s="1">
        <v>167.26300000000001</v>
      </c>
      <c r="G74" s="7">
        <v>0.6</v>
      </c>
      <c r="H74" s="1">
        <v>60</v>
      </c>
      <c r="I74" s="1" t="s">
        <v>28</v>
      </c>
      <c r="J74" s="1"/>
      <c r="K74" s="1">
        <v>35</v>
      </c>
      <c r="L74" s="1">
        <f t="shared" si="14"/>
        <v>-5.2630000000000017</v>
      </c>
      <c r="M74" s="1"/>
      <c r="N74" s="1"/>
      <c r="O74" s="1"/>
      <c r="P74" s="1">
        <v>148.90212765957449</v>
      </c>
      <c r="Q74" s="1">
        <v>0</v>
      </c>
      <c r="R74" s="1">
        <f t="shared" si="15"/>
        <v>5.9474</v>
      </c>
      <c r="S74" s="5"/>
      <c r="T74" s="1">
        <f t="shared" si="16"/>
        <v>53.16022592386161</v>
      </c>
      <c r="U74" s="1">
        <f t="shared" si="17"/>
        <v>53.16022592386161</v>
      </c>
      <c r="V74" s="1">
        <v>7</v>
      </c>
      <c r="W74" s="18" t="s">
        <v>162</v>
      </c>
      <c r="X74" s="1">
        <f t="shared" si="18"/>
        <v>0</v>
      </c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104</v>
      </c>
      <c r="B75" s="1" t="s">
        <v>32</v>
      </c>
      <c r="C75" s="1">
        <v>141</v>
      </c>
      <c r="D75" s="1">
        <v>4</v>
      </c>
      <c r="E75" s="1">
        <v>47</v>
      </c>
      <c r="F75" s="1">
        <v>94</v>
      </c>
      <c r="G75" s="7">
        <v>0.6</v>
      </c>
      <c r="H75" s="1">
        <v>60</v>
      </c>
      <c r="I75" s="1" t="s">
        <v>28</v>
      </c>
      <c r="J75" s="1"/>
      <c r="K75" s="1">
        <v>54</v>
      </c>
      <c r="L75" s="1">
        <f t="shared" si="14"/>
        <v>-7</v>
      </c>
      <c r="M75" s="1"/>
      <c r="N75" s="1"/>
      <c r="O75" s="1"/>
      <c r="P75" s="1">
        <v>175.2630136986302</v>
      </c>
      <c r="Q75" s="1">
        <v>0</v>
      </c>
      <c r="R75" s="1">
        <f t="shared" si="15"/>
        <v>9.4</v>
      </c>
      <c r="S75" s="5"/>
      <c r="T75" s="1">
        <f t="shared" si="16"/>
        <v>28.645001457301081</v>
      </c>
      <c r="U75" s="1">
        <f t="shared" si="17"/>
        <v>28.645001457301081</v>
      </c>
      <c r="V75" s="1">
        <v>10.6</v>
      </c>
      <c r="W75" s="18" t="s">
        <v>162</v>
      </c>
      <c r="X75" s="1">
        <f t="shared" si="18"/>
        <v>0</v>
      </c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105</v>
      </c>
      <c r="B76" s="1" t="s">
        <v>32</v>
      </c>
      <c r="C76" s="1">
        <v>9</v>
      </c>
      <c r="D76" s="1">
        <v>152</v>
      </c>
      <c r="E76" s="1">
        <v>9</v>
      </c>
      <c r="F76" s="1">
        <v>146</v>
      </c>
      <c r="G76" s="7">
        <v>0.4</v>
      </c>
      <c r="H76" s="1">
        <v>90</v>
      </c>
      <c r="I76" s="10" t="s">
        <v>38</v>
      </c>
      <c r="J76" s="1"/>
      <c r="K76" s="1">
        <v>30</v>
      </c>
      <c r="L76" s="1">
        <f t="shared" si="14"/>
        <v>-21</v>
      </c>
      <c r="M76" s="1"/>
      <c r="N76" s="1"/>
      <c r="O76" s="1"/>
      <c r="P76" s="1">
        <v>19.781818181818181</v>
      </c>
      <c r="Q76" s="1">
        <v>0</v>
      </c>
      <c r="R76" s="1">
        <f t="shared" si="15"/>
        <v>1.8</v>
      </c>
      <c r="S76" s="5"/>
      <c r="T76" s="1">
        <f t="shared" si="16"/>
        <v>92.101010101010104</v>
      </c>
      <c r="U76" s="1">
        <f t="shared" si="17"/>
        <v>92.101010101010104</v>
      </c>
      <c r="V76" s="1">
        <v>5.4</v>
      </c>
      <c r="W76" s="1"/>
      <c r="X76" s="1">
        <f t="shared" si="18"/>
        <v>0</v>
      </c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106</v>
      </c>
      <c r="B77" s="1" t="s">
        <v>32</v>
      </c>
      <c r="C77" s="1"/>
      <c r="D77" s="1">
        <v>247</v>
      </c>
      <c r="E77" s="1">
        <v>47</v>
      </c>
      <c r="F77" s="1">
        <v>181</v>
      </c>
      <c r="G77" s="7">
        <v>0.33</v>
      </c>
      <c r="H77" s="1">
        <v>60</v>
      </c>
      <c r="I77" s="10" t="s">
        <v>38</v>
      </c>
      <c r="J77" s="1"/>
      <c r="K77" s="1">
        <v>62</v>
      </c>
      <c r="L77" s="1">
        <f t="shared" si="14"/>
        <v>-15</v>
      </c>
      <c r="M77" s="1"/>
      <c r="N77" s="1"/>
      <c r="O77" s="1"/>
      <c r="P77" s="1">
        <v>34.416326530612253</v>
      </c>
      <c r="Q77" s="1">
        <v>0</v>
      </c>
      <c r="R77" s="1">
        <f t="shared" si="15"/>
        <v>9.4</v>
      </c>
      <c r="S77" s="5"/>
      <c r="T77" s="1">
        <f t="shared" si="16"/>
        <v>22.916630481980025</v>
      </c>
      <c r="U77" s="1">
        <f t="shared" si="17"/>
        <v>22.916630481980025</v>
      </c>
      <c r="V77" s="1">
        <v>7.2</v>
      </c>
      <c r="W77" s="1"/>
      <c r="X77" s="1">
        <f t="shared" si="18"/>
        <v>0</v>
      </c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107</v>
      </c>
      <c r="B78" s="1" t="s">
        <v>32</v>
      </c>
      <c r="C78" s="1">
        <v>10</v>
      </c>
      <c r="D78" s="1">
        <v>224</v>
      </c>
      <c r="E78" s="1">
        <v>10</v>
      </c>
      <c r="F78" s="1">
        <v>220</v>
      </c>
      <c r="G78" s="7">
        <v>0.35</v>
      </c>
      <c r="H78" s="1">
        <v>90</v>
      </c>
      <c r="I78" s="10" t="s">
        <v>38</v>
      </c>
      <c r="J78" s="1"/>
      <c r="K78" s="1">
        <v>45</v>
      </c>
      <c r="L78" s="1">
        <f t="shared" si="14"/>
        <v>-35</v>
      </c>
      <c r="M78" s="1"/>
      <c r="N78" s="1"/>
      <c r="O78" s="1"/>
      <c r="P78" s="1">
        <v>40.832535885167466</v>
      </c>
      <c r="Q78" s="1">
        <v>0</v>
      </c>
      <c r="R78" s="1">
        <f t="shared" si="15"/>
        <v>2</v>
      </c>
      <c r="S78" s="5"/>
      <c r="T78" s="1">
        <f t="shared" si="16"/>
        <v>130.41626794258374</v>
      </c>
      <c r="U78" s="1">
        <f t="shared" si="17"/>
        <v>130.41626794258374</v>
      </c>
      <c r="V78" s="1">
        <v>5.8</v>
      </c>
      <c r="W78" s="1"/>
      <c r="X78" s="1">
        <f t="shared" si="18"/>
        <v>0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108</v>
      </c>
      <c r="B79" s="1" t="s">
        <v>32</v>
      </c>
      <c r="C79" s="1"/>
      <c r="D79" s="1">
        <v>30</v>
      </c>
      <c r="E79" s="1">
        <v>2</v>
      </c>
      <c r="F79" s="1">
        <v>28</v>
      </c>
      <c r="G79" s="7">
        <v>0.37</v>
      </c>
      <c r="H79" s="1"/>
      <c r="I79" s="1" t="s">
        <v>28</v>
      </c>
      <c r="J79" s="1"/>
      <c r="K79" s="1">
        <v>7</v>
      </c>
      <c r="L79" s="1">
        <f t="shared" si="14"/>
        <v>-5</v>
      </c>
      <c r="M79" s="1"/>
      <c r="N79" s="1"/>
      <c r="O79" s="1"/>
      <c r="P79" s="1">
        <v>0</v>
      </c>
      <c r="Q79" s="1">
        <v>0</v>
      </c>
      <c r="R79" s="1">
        <f t="shared" si="15"/>
        <v>0.4</v>
      </c>
      <c r="S79" s="5"/>
      <c r="T79" s="1">
        <f t="shared" si="16"/>
        <v>70</v>
      </c>
      <c r="U79" s="1">
        <f t="shared" si="17"/>
        <v>70</v>
      </c>
      <c r="V79" s="1">
        <v>0</v>
      </c>
      <c r="W79" s="1"/>
      <c r="X79" s="1">
        <f t="shared" si="18"/>
        <v>0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109</v>
      </c>
      <c r="B80" s="1" t="s">
        <v>32</v>
      </c>
      <c r="C80" s="1">
        <v>53</v>
      </c>
      <c r="D80" s="1">
        <v>83.2</v>
      </c>
      <c r="E80" s="1">
        <v>35</v>
      </c>
      <c r="F80" s="1">
        <v>97.2</v>
      </c>
      <c r="G80" s="7">
        <v>0.6</v>
      </c>
      <c r="H80" s="1">
        <v>70</v>
      </c>
      <c r="I80" s="1" t="s">
        <v>28</v>
      </c>
      <c r="J80" s="1"/>
      <c r="K80" s="1">
        <v>41</v>
      </c>
      <c r="L80" s="1">
        <f t="shared" si="14"/>
        <v>-6</v>
      </c>
      <c r="M80" s="1"/>
      <c r="N80" s="1"/>
      <c r="O80" s="1"/>
      <c r="P80" s="1">
        <v>151.29803921568629</v>
      </c>
      <c r="Q80" s="1">
        <v>0</v>
      </c>
      <c r="R80" s="1">
        <f t="shared" si="15"/>
        <v>7</v>
      </c>
      <c r="S80" s="5"/>
      <c r="T80" s="1">
        <f t="shared" si="16"/>
        <v>35.49971988795518</v>
      </c>
      <c r="U80" s="1">
        <f t="shared" si="17"/>
        <v>35.49971988795518</v>
      </c>
      <c r="V80" s="1">
        <v>7.6</v>
      </c>
      <c r="W80" s="18" t="s">
        <v>162</v>
      </c>
      <c r="X80" s="1">
        <f t="shared" si="18"/>
        <v>0</v>
      </c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110</v>
      </c>
      <c r="B81" s="1" t="s">
        <v>32</v>
      </c>
      <c r="C81" s="1"/>
      <c r="D81" s="1">
        <v>30</v>
      </c>
      <c r="E81" s="1"/>
      <c r="F81" s="1">
        <v>30</v>
      </c>
      <c r="G81" s="7">
        <v>0.33</v>
      </c>
      <c r="H81" s="1">
        <v>40</v>
      </c>
      <c r="I81" s="1" t="s">
        <v>28</v>
      </c>
      <c r="J81" s="1"/>
      <c r="K81" s="1">
        <v>26</v>
      </c>
      <c r="L81" s="1">
        <f t="shared" si="14"/>
        <v>-26</v>
      </c>
      <c r="M81" s="1"/>
      <c r="N81" s="1"/>
      <c r="O81" s="1"/>
      <c r="P81" s="1">
        <v>10.21834061135371</v>
      </c>
      <c r="Q81" s="1">
        <v>10</v>
      </c>
      <c r="R81" s="1">
        <f t="shared" si="15"/>
        <v>0</v>
      </c>
      <c r="S81" s="5"/>
      <c r="T81" s="1" t="e">
        <f t="shared" si="16"/>
        <v>#DIV/0!</v>
      </c>
      <c r="U81" s="1" t="e">
        <f t="shared" si="17"/>
        <v>#DIV/0!</v>
      </c>
      <c r="V81" s="1">
        <v>-0.6</v>
      </c>
      <c r="W81" s="1"/>
      <c r="X81" s="1">
        <f t="shared" si="18"/>
        <v>0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111</v>
      </c>
      <c r="B82" s="1" t="s">
        <v>32</v>
      </c>
      <c r="C82" s="1"/>
      <c r="D82" s="1">
        <v>54</v>
      </c>
      <c r="E82" s="1">
        <v>11</v>
      </c>
      <c r="F82" s="1">
        <v>43</v>
      </c>
      <c r="G82" s="7">
        <v>0.4</v>
      </c>
      <c r="H82" s="1">
        <v>55</v>
      </c>
      <c r="I82" s="1" t="s">
        <v>28</v>
      </c>
      <c r="J82" s="1"/>
      <c r="K82" s="1">
        <v>12</v>
      </c>
      <c r="L82" s="1">
        <f t="shared" si="14"/>
        <v>-1</v>
      </c>
      <c r="M82" s="1"/>
      <c r="N82" s="1"/>
      <c r="O82" s="1"/>
      <c r="P82" s="1">
        <v>0</v>
      </c>
      <c r="Q82" s="1">
        <v>0</v>
      </c>
      <c r="R82" s="1">
        <f t="shared" si="15"/>
        <v>2.2000000000000002</v>
      </c>
      <c r="S82" s="5"/>
      <c r="T82" s="1">
        <f t="shared" si="16"/>
        <v>19.545454545454543</v>
      </c>
      <c r="U82" s="1">
        <f t="shared" si="17"/>
        <v>19.545454545454543</v>
      </c>
      <c r="V82" s="1">
        <v>0.6</v>
      </c>
      <c r="W82" s="1"/>
      <c r="X82" s="1">
        <f t="shared" si="18"/>
        <v>0</v>
      </c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112</v>
      </c>
      <c r="B83" s="1" t="s">
        <v>32</v>
      </c>
      <c r="C83" s="1"/>
      <c r="D83" s="1">
        <v>36</v>
      </c>
      <c r="E83" s="1">
        <v>2</v>
      </c>
      <c r="F83" s="1">
        <v>33</v>
      </c>
      <c r="G83" s="7">
        <v>0.35</v>
      </c>
      <c r="H83" s="1">
        <v>40</v>
      </c>
      <c r="I83" s="10" t="s">
        <v>38</v>
      </c>
      <c r="J83" s="1"/>
      <c r="K83" s="1">
        <v>6</v>
      </c>
      <c r="L83" s="1">
        <f t="shared" si="14"/>
        <v>-4</v>
      </c>
      <c r="M83" s="1"/>
      <c r="N83" s="1"/>
      <c r="O83" s="1"/>
      <c r="P83" s="1">
        <v>0</v>
      </c>
      <c r="Q83" s="1">
        <v>0</v>
      </c>
      <c r="R83" s="1">
        <f t="shared" si="15"/>
        <v>0.4</v>
      </c>
      <c r="S83" s="5"/>
      <c r="T83" s="1">
        <f t="shared" si="16"/>
        <v>82.5</v>
      </c>
      <c r="U83" s="1">
        <f t="shared" si="17"/>
        <v>82.5</v>
      </c>
      <c r="V83" s="1">
        <v>0.4</v>
      </c>
      <c r="W83" s="1"/>
      <c r="X83" s="1">
        <f t="shared" si="18"/>
        <v>0</v>
      </c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113</v>
      </c>
      <c r="B84" s="1" t="s">
        <v>32</v>
      </c>
      <c r="C84" s="1"/>
      <c r="D84" s="1">
        <v>18</v>
      </c>
      <c r="E84" s="1"/>
      <c r="F84" s="1">
        <v>17</v>
      </c>
      <c r="G84" s="7">
        <v>0.35</v>
      </c>
      <c r="H84" s="1">
        <v>45</v>
      </c>
      <c r="I84" s="10" t="s">
        <v>38</v>
      </c>
      <c r="J84" s="1"/>
      <c r="K84" s="1">
        <v>24</v>
      </c>
      <c r="L84" s="1">
        <f t="shared" si="14"/>
        <v>-24</v>
      </c>
      <c r="M84" s="1"/>
      <c r="N84" s="1"/>
      <c r="O84" s="1"/>
      <c r="P84" s="1">
        <v>18.251082251082249</v>
      </c>
      <c r="Q84" s="1">
        <v>12</v>
      </c>
      <c r="R84" s="1">
        <f t="shared" si="15"/>
        <v>0</v>
      </c>
      <c r="S84" s="5"/>
      <c r="T84" s="1" t="e">
        <f t="shared" si="16"/>
        <v>#DIV/0!</v>
      </c>
      <c r="U84" s="1" t="e">
        <f t="shared" si="17"/>
        <v>#DIV/0!</v>
      </c>
      <c r="V84" s="1">
        <v>-0.4</v>
      </c>
      <c r="W84" s="1"/>
      <c r="X84" s="1">
        <f t="shared" si="18"/>
        <v>0</v>
      </c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1" t="s">
        <v>114</v>
      </c>
      <c r="B85" s="11" t="s">
        <v>32</v>
      </c>
      <c r="C85" s="11"/>
      <c r="D85" s="11"/>
      <c r="E85" s="11"/>
      <c r="F85" s="11"/>
      <c r="G85" s="12">
        <v>0</v>
      </c>
      <c r="H85" s="11"/>
      <c r="I85" s="11" t="s">
        <v>28</v>
      </c>
      <c r="J85" s="11"/>
      <c r="K85" s="11"/>
      <c r="L85" s="11">
        <f t="shared" si="14"/>
        <v>0</v>
      </c>
      <c r="M85" s="11"/>
      <c r="N85" s="11"/>
      <c r="O85" s="11"/>
      <c r="P85" s="11"/>
      <c r="Q85" s="11">
        <v>0</v>
      </c>
      <c r="R85" s="11">
        <f t="shared" si="15"/>
        <v>0</v>
      </c>
      <c r="S85" s="13"/>
      <c r="T85" s="11" t="e">
        <f t="shared" si="16"/>
        <v>#DIV/0!</v>
      </c>
      <c r="U85" s="11" t="e">
        <f t="shared" si="17"/>
        <v>#DIV/0!</v>
      </c>
      <c r="V85" s="11">
        <v>0</v>
      </c>
      <c r="W85" s="11" t="s">
        <v>33</v>
      </c>
      <c r="X85" s="1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1" t="s">
        <v>115</v>
      </c>
      <c r="B86" s="11" t="s">
        <v>27</v>
      </c>
      <c r="C86" s="11"/>
      <c r="D86" s="11"/>
      <c r="E86" s="11"/>
      <c r="F86" s="11"/>
      <c r="G86" s="12">
        <v>0</v>
      </c>
      <c r="H86" s="11"/>
      <c r="I86" s="11" t="s">
        <v>28</v>
      </c>
      <c r="J86" s="11"/>
      <c r="K86" s="11"/>
      <c r="L86" s="11">
        <f t="shared" si="14"/>
        <v>0</v>
      </c>
      <c r="M86" s="11"/>
      <c r="N86" s="11"/>
      <c r="O86" s="11"/>
      <c r="P86" s="11"/>
      <c r="Q86" s="11">
        <v>0</v>
      </c>
      <c r="R86" s="11">
        <f t="shared" si="15"/>
        <v>0</v>
      </c>
      <c r="S86" s="13"/>
      <c r="T86" s="11" t="e">
        <f t="shared" si="16"/>
        <v>#DIV/0!</v>
      </c>
      <c r="U86" s="11" t="e">
        <f t="shared" si="17"/>
        <v>#DIV/0!</v>
      </c>
      <c r="V86" s="11">
        <v>0</v>
      </c>
      <c r="W86" s="11" t="s">
        <v>33</v>
      </c>
      <c r="X86" s="1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1" t="s">
        <v>116</v>
      </c>
      <c r="B87" s="11" t="s">
        <v>27</v>
      </c>
      <c r="C87" s="11"/>
      <c r="D87" s="11"/>
      <c r="E87" s="11"/>
      <c r="F87" s="11"/>
      <c r="G87" s="12">
        <v>0</v>
      </c>
      <c r="H87" s="11"/>
      <c r="I87" s="11" t="s">
        <v>28</v>
      </c>
      <c r="J87" s="11"/>
      <c r="K87" s="11"/>
      <c r="L87" s="11">
        <f t="shared" si="14"/>
        <v>0</v>
      </c>
      <c r="M87" s="11"/>
      <c r="N87" s="11"/>
      <c r="O87" s="11"/>
      <c r="P87" s="11"/>
      <c r="Q87" s="11">
        <v>0</v>
      </c>
      <c r="R87" s="11">
        <f t="shared" si="15"/>
        <v>0</v>
      </c>
      <c r="S87" s="13"/>
      <c r="T87" s="11" t="e">
        <f t="shared" si="16"/>
        <v>#DIV/0!</v>
      </c>
      <c r="U87" s="11" t="e">
        <f t="shared" si="17"/>
        <v>#DIV/0!</v>
      </c>
      <c r="V87" s="11">
        <v>0</v>
      </c>
      <c r="W87" s="11" t="s">
        <v>33</v>
      </c>
      <c r="X87" s="1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117</v>
      </c>
      <c r="B88" s="1" t="s">
        <v>27</v>
      </c>
      <c r="C88" s="1">
        <v>-6.7069999999999999</v>
      </c>
      <c r="D88" s="1">
        <v>80.798000000000002</v>
      </c>
      <c r="E88" s="1">
        <v>64.491</v>
      </c>
      <c r="F88" s="1">
        <v>0.121</v>
      </c>
      <c r="G88" s="7">
        <v>1</v>
      </c>
      <c r="H88" s="1">
        <v>60</v>
      </c>
      <c r="I88" s="1" t="s">
        <v>28</v>
      </c>
      <c r="J88" s="1"/>
      <c r="K88" s="1">
        <v>144.19999999999999</v>
      </c>
      <c r="L88" s="1">
        <f t="shared" si="14"/>
        <v>-79.708999999999989</v>
      </c>
      <c r="M88" s="1"/>
      <c r="N88" s="1"/>
      <c r="O88" s="1"/>
      <c r="P88" s="1">
        <v>63.058645274866727</v>
      </c>
      <c r="Q88" s="1">
        <v>209.13635472513329</v>
      </c>
      <c r="R88" s="1">
        <f t="shared" si="15"/>
        <v>12.898199999999999</v>
      </c>
      <c r="S88" s="5"/>
      <c r="T88" s="1">
        <f t="shared" si="16"/>
        <v>21.112713401870032</v>
      </c>
      <c r="U88" s="1">
        <f t="shared" si="17"/>
        <v>21.112713401870032</v>
      </c>
      <c r="V88" s="1">
        <v>19.516999999999999</v>
      </c>
      <c r="W88" s="1"/>
      <c r="X88" s="1">
        <f>G88*S88</f>
        <v>0</v>
      </c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1" t="s">
        <v>118</v>
      </c>
      <c r="B89" s="11" t="s">
        <v>32</v>
      </c>
      <c r="C89" s="11"/>
      <c r="D89" s="11"/>
      <c r="E89" s="11"/>
      <c r="F89" s="11"/>
      <c r="G89" s="12">
        <v>0</v>
      </c>
      <c r="H89" s="11"/>
      <c r="I89" s="11" t="s">
        <v>28</v>
      </c>
      <c r="J89" s="11"/>
      <c r="K89" s="11"/>
      <c r="L89" s="11">
        <f t="shared" si="14"/>
        <v>0</v>
      </c>
      <c r="M89" s="11"/>
      <c r="N89" s="11"/>
      <c r="O89" s="11"/>
      <c r="P89" s="11"/>
      <c r="Q89" s="11">
        <v>0</v>
      </c>
      <c r="R89" s="11">
        <f t="shared" si="15"/>
        <v>0</v>
      </c>
      <c r="S89" s="13"/>
      <c r="T89" s="11" t="e">
        <f t="shared" si="16"/>
        <v>#DIV/0!</v>
      </c>
      <c r="U89" s="11" t="e">
        <f t="shared" si="17"/>
        <v>#DIV/0!</v>
      </c>
      <c r="V89" s="11">
        <v>0</v>
      </c>
      <c r="W89" s="11" t="s">
        <v>33</v>
      </c>
      <c r="X89" s="1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119</v>
      </c>
      <c r="B90" s="1" t="s">
        <v>27</v>
      </c>
      <c r="C90" s="1">
        <v>-98.105999999999995</v>
      </c>
      <c r="D90" s="1">
        <v>1661.78</v>
      </c>
      <c r="E90" s="1">
        <v>595.05600000000004</v>
      </c>
      <c r="F90" s="1">
        <v>877.399</v>
      </c>
      <c r="G90" s="7">
        <v>1</v>
      </c>
      <c r="H90" s="1">
        <v>60</v>
      </c>
      <c r="I90" s="1" t="s">
        <v>28</v>
      </c>
      <c r="J90" s="1"/>
      <c r="K90" s="1">
        <v>635</v>
      </c>
      <c r="L90" s="1">
        <f t="shared" si="14"/>
        <v>-39.94399999999996</v>
      </c>
      <c r="M90" s="1"/>
      <c r="N90" s="1"/>
      <c r="O90" s="1">
        <v>390</v>
      </c>
      <c r="P90" s="1">
        <v>173.17776939927509</v>
      </c>
      <c r="Q90" s="1">
        <v>0</v>
      </c>
      <c r="R90" s="1">
        <f t="shared" si="15"/>
        <v>119.0112</v>
      </c>
      <c r="S90" s="5"/>
      <c r="T90" s="1">
        <f t="shared" si="16"/>
        <v>12.104547886243269</v>
      </c>
      <c r="U90" s="1">
        <f t="shared" si="17"/>
        <v>12.104547886243269</v>
      </c>
      <c r="V90" s="1">
        <v>67.967799999999997</v>
      </c>
      <c r="W90" s="1"/>
      <c r="X90" s="1">
        <f>G90*S90</f>
        <v>0</v>
      </c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120</v>
      </c>
      <c r="B91" s="1" t="s">
        <v>27</v>
      </c>
      <c r="C91" s="1"/>
      <c r="D91" s="1">
        <v>582.95600000000002</v>
      </c>
      <c r="E91" s="1">
        <v>339.83199999999999</v>
      </c>
      <c r="F91" s="1">
        <v>180.488</v>
      </c>
      <c r="G91" s="7">
        <v>1</v>
      </c>
      <c r="H91" s="1">
        <v>60</v>
      </c>
      <c r="I91" s="1" t="s">
        <v>28</v>
      </c>
      <c r="J91" s="1"/>
      <c r="K91" s="1">
        <v>528.5</v>
      </c>
      <c r="L91" s="1">
        <f t="shared" si="14"/>
        <v>-188.66800000000001</v>
      </c>
      <c r="M91" s="1"/>
      <c r="N91" s="1"/>
      <c r="O91" s="1">
        <v>360</v>
      </c>
      <c r="P91" s="1">
        <v>325.01202334177719</v>
      </c>
      <c r="Q91" s="1">
        <v>0</v>
      </c>
      <c r="R91" s="1">
        <f t="shared" si="15"/>
        <v>67.966399999999993</v>
      </c>
      <c r="S91" s="5"/>
      <c r="T91" s="1">
        <f t="shared" si="16"/>
        <v>12.734233729339458</v>
      </c>
      <c r="U91" s="1">
        <f t="shared" si="17"/>
        <v>12.734233729339458</v>
      </c>
      <c r="V91" s="1">
        <v>26.086600000000001</v>
      </c>
      <c r="W91" s="1"/>
      <c r="X91" s="1">
        <f>G91*S91</f>
        <v>0</v>
      </c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9" t="s">
        <v>51</v>
      </c>
      <c r="B92" s="1" t="s">
        <v>27</v>
      </c>
      <c r="C92" s="1">
        <v>-229.214</v>
      </c>
      <c r="D92" s="1">
        <v>1852.546</v>
      </c>
      <c r="E92" s="1">
        <v>773.11400000000003</v>
      </c>
      <c r="F92" s="15">
        <f>692.135+F23</f>
        <v>682.20299999999997</v>
      </c>
      <c r="G92" s="7">
        <v>1</v>
      </c>
      <c r="H92" s="1">
        <v>60</v>
      </c>
      <c r="I92" s="1" t="s">
        <v>28</v>
      </c>
      <c r="J92" s="1"/>
      <c r="K92" s="1">
        <v>1112</v>
      </c>
      <c r="L92" s="1">
        <f t="shared" si="14"/>
        <v>-338.88599999999997</v>
      </c>
      <c r="M92" s="1"/>
      <c r="N92" s="1"/>
      <c r="O92" s="1">
        <v>300</v>
      </c>
      <c r="P92" s="1">
        <v>67.546547689190845</v>
      </c>
      <c r="Q92" s="1">
        <v>400</v>
      </c>
      <c r="R92" s="1">
        <f t="shared" si="15"/>
        <v>154.62280000000001</v>
      </c>
      <c r="S92" s="5">
        <f t="shared" ref="S92" si="19">11*R92-Q92-P92-F92-O92</f>
        <v>251.10125231080929</v>
      </c>
      <c r="T92" s="1">
        <f t="shared" si="16"/>
        <v>11</v>
      </c>
      <c r="U92" s="1">
        <f t="shared" si="17"/>
        <v>9.3760399351789694</v>
      </c>
      <c r="V92" s="1">
        <v>109.41240000000001</v>
      </c>
      <c r="W92" s="1"/>
      <c r="X92" s="1">
        <f>G92*S92</f>
        <v>251.10125231080929</v>
      </c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1" t="s">
        <v>121</v>
      </c>
      <c r="B93" s="11" t="s">
        <v>27</v>
      </c>
      <c r="C93" s="11"/>
      <c r="D93" s="11"/>
      <c r="E93" s="11"/>
      <c r="F93" s="11"/>
      <c r="G93" s="12">
        <v>0</v>
      </c>
      <c r="H93" s="11"/>
      <c r="I93" s="11" t="s">
        <v>28</v>
      </c>
      <c r="J93" s="11"/>
      <c r="K93" s="11"/>
      <c r="L93" s="11">
        <f t="shared" si="14"/>
        <v>0</v>
      </c>
      <c r="M93" s="11"/>
      <c r="N93" s="11"/>
      <c r="O93" s="11"/>
      <c r="P93" s="11"/>
      <c r="Q93" s="11">
        <v>0</v>
      </c>
      <c r="R93" s="11">
        <f t="shared" si="15"/>
        <v>0</v>
      </c>
      <c r="S93" s="13"/>
      <c r="T93" s="11" t="e">
        <f t="shared" si="16"/>
        <v>#DIV/0!</v>
      </c>
      <c r="U93" s="11" t="e">
        <f t="shared" si="17"/>
        <v>#DIV/0!</v>
      </c>
      <c r="V93" s="11">
        <v>0</v>
      </c>
      <c r="W93" s="11" t="s">
        <v>33</v>
      </c>
      <c r="X93" s="1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122</v>
      </c>
      <c r="B94" s="1" t="s">
        <v>32</v>
      </c>
      <c r="C94" s="1"/>
      <c r="D94" s="1"/>
      <c r="E94" s="1"/>
      <c r="F94" s="1"/>
      <c r="G94" s="7">
        <v>0.3</v>
      </c>
      <c r="H94" s="1">
        <v>40</v>
      </c>
      <c r="I94" s="10" t="s">
        <v>38</v>
      </c>
      <c r="J94" s="1"/>
      <c r="K94" s="1">
        <v>7</v>
      </c>
      <c r="L94" s="1">
        <f t="shared" si="14"/>
        <v>-7</v>
      </c>
      <c r="M94" s="1"/>
      <c r="N94" s="1"/>
      <c r="O94" s="1"/>
      <c r="P94" s="1">
        <v>0</v>
      </c>
      <c r="Q94" s="1">
        <v>0</v>
      </c>
      <c r="R94" s="1">
        <f t="shared" si="15"/>
        <v>0</v>
      </c>
      <c r="S94" s="5">
        <v>10</v>
      </c>
      <c r="T94" s="1" t="e">
        <f t="shared" si="16"/>
        <v>#DIV/0!</v>
      </c>
      <c r="U94" s="1" t="e">
        <f t="shared" si="17"/>
        <v>#DIV/0!</v>
      </c>
      <c r="V94" s="1">
        <v>0</v>
      </c>
      <c r="W94" s="1"/>
      <c r="X94" s="1">
        <f>G94*S94</f>
        <v>3</v>
      </c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1" t="s">
        <v>123</v>
      </c>
      <c r="B95" s="11" t="s">
        <v>32</v>
      </c>
      <c r="C95" s="11"/>
      <c r="D95" s="11"/>
      <c r="E95" s="11"/>
      <c r="F95" s="11"/>
      <c r="G95" s="12">
        <v>0</v>
      </c>
      <c r="H95" s="11"/>
      <c r="I95" s="11" t="s">
        <v>28</v>
      </c>
      <c r="J95" s="11"/>
      <c r="K95" s="11"/>
      <c r="L95" s="11">
        <f t="shared" si="14"/>
        <v>0</v>
      </c>
      <c r="M95" s="11"/>
      <c r="N95" s="11"/>
      <c r="O95" s="11"/>
      <c r="P95" s="11"/>
      <c r="Q95" s="11">
        <v>0</v>
      </c>
      <c r="R95" s="11">
        <f t="shared" si="15"/>
        <v>0</v>
      </c>
      <c r="S95" s="13"/>
      <c r="T95" s="11" t="e">
        <f t="shared" si="16"/>
        <v>#DIV/0!</v>
      </c>
      <c r="U95" s="11" t="e">
        <f t="shared" si="17"/>
        <v>#DIV/0!</v>
      </c>
      <c r="V95" s="11">
        <v>0</v>
      </c>
      <c r="W95" s="11" t="s">
        <v>33</v>
      </c>
      <c r="X95" s="1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 t="s">
        <v>124</v>
      </c>
      <c r="B96" s="1" t="s">
        <v>32</v>
      </c>
      <c r="C96" s="1"/>
      <c r="D96" s="1">
        <v>18</v>
      </c>
      <c r="E96" s="1">
        <v>3</v>
      </c>
      <c r="F96" s="1">
        <v>13</v>
      </c>
      <c r="G96" s="7">
        <v>7.0000000000000007E-2</v>
      </c>
      <c r="H96" s="1">
        <v>90</v>
      </c>
      <c r="I96" s="10" t="s">
        <v>38</v>
      </c>
      <c r="J96" s="1"/>
      <c r="K96" s="1">
        <v>13</v>
      </c>
      <c r="L96" s="1">
        <f t="shared" si="14"/>
        <v>-10</v>
      </c>
      <c r="M96" s="1"/>
      <c r="N96" s="1"/>
      <c r="O96" s="1"/>
      <c r="P96" s="1">
        <v>14.34375</v>
      </c>
      <c r="Q96" s="1">
        <v>0</v>
      </c>
      <c r="R96" s="1">
        <f t="shared" si="15"/>
        <v>0.6</v>
      </c>
      <c r="S96" s="5"/>
      <c r="T96" s="1">
        <f t="shared" si="16"/>
        <v>45.572916666666671</v>
      </c>
      <c r="U96" s="1">
        <f t="shared" si="17"/>
        <v>45.572916666666671</v>
      </c>
      <c r="V96" s="1">
        <v>0</v>
      </c>
      <c r="W96" s="1"/>
      <c r="X96" s="1">
        <f t="shared" ref="X96:X101" si="20">G96*S96</f>
        <v>0</v>
      </c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125</v>
      </c>
      <c r="B97" s="1" t="s">
        <v>32</v>
      </c>
      <c r="C97" s="1"/>
      <c r="D97" s="1"/>
      <c r="E97" s="1">
        <v>3</v>
      </c>
      <c r="F97" s="1">
        <v>-3</v>
      </c>
      <c r="G97" s="7">
        <v>7.0000000000000007E-2</v>
      </c>
      <c r="H97" s="1">
        <v>90</v>
      </c>
      <c r="I97" s="10" t="s">
        <v>38</v>
      </c>
      <c r="J97" s="1"/>
      <c r="K97" s="1">
        <v>23</v>
      </c>
      <c r="L97" s="1">
        <f t="shared" si="14"/>
        <v>-20</v>
      </c>
      <c r="M97" s="1"/>
      <c r="N97" s="1"/>
      <c r="O97" s="1"/>
      <c r="P97" s="1">
        <v>10.279069767441859</v>
      </c>
      <c r="Q97" s="1">
        <v>24</v>
      </c>
      <c r="R97" s="1">
        <f t="shared" si="15"/>
        <v>0.6</v>
      </c>
      <c r="S97" s="5">
        <v>10</v>
      </c>
      <c r="T97" s="1">
        <f t="shared" si="16"/>
        <v>68.798449612403104</v>
      </c>
      <c r="U97" s="1">
        <f t="shared" si="17"/>
        <v>52.13178294573644</v>
      </c>
      <c r="V97" s="1">
        <v>0</v>
      </c>
      <c r="W97" s="1"/>
      <c r="X97" s="1">
        <f t="shared" si="20"/>
        <v>0.70000000000000007</v>
      </c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126</v>
      </c>
      <c r="B98" s="1" t="s">
        <v>32</v>
      </c>
      <c r="C98" s="1"/>
      <c r="D98" s="1">
        <v>72</v>
      </c>
      <c r="E98" s="1">
        <v>13</v>
      </c>
      <c r="F98" s="1">
        <v>58</v>
      </c>
      <c r="G98" s="7">
        <v>7.0000000000000007E-2</v>
      </c>
      <c r="H98" s="1">
        <v>90</v>
      </c>
      <c r="I98" s="10" t="s">
        <v>38</v>
      </c>
      <c r="J98" s="1"/>
      <c r="K98" s="1">
        <v>31</v>
      </c>
      <c r="L98" s="1">
        <f t="shared" si="14"/>
        <v>-18</v>
      </c>
      <c r="M98" s="1"/>
      <c r="N98" s="1"/>
      <c r="O98" s="1"/>
      <c r="P98" s="1">
        <v>11.281105990783409</v>
      </c>
      <c r="Q98" s="1">
        <v>0</v>
      </c>
      <c r="R98" s="1">
        <f t="shared" si="15"/>
        <v>2.6</v>
      </c>
      <c r="S98" s="5"/>
      <c r="T98" s="1">
        <f t="shared" si="16"/>
        <v>26.646579227224386</v>
      </c>
      <c r="U98" s="1">
        <f t="shared" si="17"/>
        <v>26.646579227224386</v>
      </c>
      <c r="V98" s="1">
        <v>0.8</v>
      </c>
      <c r="W98" s="1"/>
      <c r="X98" s="1">
        <f t="shared" si="20"/>
        <v>0</v>
      </c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127</v>
      </c>
      <c r="B99" s="1" t="s">
        <v>32</v>
      </c>
      <c r="C99" s="1"/>
      <c r="D99" s="1">
        <v>64</v>
      </c>
      <c r="E99" s="1">
        <v>20</v>
      </c>
      <c r="F99" s="1">
        <v>36</v>
      </c>
      <c r="G99" s="7">
        <v>0.3</v>
      </c>
      <c r="H99" s="1"/>
      <c r="I99" s="1" t="s">
        <v>28</v>
      </c>
      <c r="J99" s="1"/>
      <c r="K99" s="1">
        <v>24</v>
      </c>
      <c r="L99" s="1">
        <f t="shared" si="14"/>
        <v>-4</v>
      </c>
      <c r="M99" s="1"/>
      <c r="N99" s="1"/>
      <c r="O99" s="1"/>
      <c r="P99" s="1">
        <v>10</v>
      </c>
      <c r="Q99" s="1">
        <v>0</v>
      </c>
      <c r="R99" s="1">
        <f t="shared" si="15"/>
        <v>4</v>
      </c>
      <c r="S99" s="5"/>
      <c r="T99" s="1">
        <f t="shared" si="16"/>
        <v>11.5</v>
      </c>
      <c r="U99" s="1">
        <f t="shared" si="17"/>
        <v>11.5</v>
      </c>
      <c r="V99" s="1">
        <v>0</v>
      </c>
      <c r="W99" s="1"/>
      <c r="X99" s="1">
        <f t="shared" si="20"/>
        <v>0</v>
      </c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128</v>
      </c>
      <c r="B100" s="1" t="s">
        <v>27</v>
      </c>
      <c r="C100" s="1"/>
      <c r="D100" s="1">
        <v>24.245000000000001</v>
      </c>
      <c r="E100" s="1">
        <v>6.0540000000000003</v>
      </c>
      <c r="F100" s="1">
        <v>15.164</v>
      </c>
      <c r="G100" s="7">
        <v>1</v>
      </c>
      <c r="H100" s="1">
        <v>55</v>
      </c>
      <c r="I100" s="10" t="s">
        <v>38</v>
      </c>
      <c r="J100" s="1"/>
      <c r="K100" s="1">
        <v>7.8</v>
      </c>
      <c r="L100" s="1">
        <f t="shared" si="14"/>
        <v>-1.7459999999999996</v>
      </c>
      <c r="M100" s="1"/>
      <c r="N100" s="1"/>
      <c r="O100" s="1"/>
      <c r="P100" s="1">
        <v>13</v>
      </c>
      <c r="Q100" s="1">
        <v>0</v>
      </c>
      <c r="R100" s="1">
        <f t="shared" si="15"/>
        <v>1.2108000000000001</v>
      </c>
      <c r="S100" s="5"/>
      <c r="T100" s="1">
        <f t="shared" si="16"/>
        <v>23.260654112983151</v>
      </c>
      <c r="U100" s="1">
        <f t="shared" si="17"/>
        <v>23.260654112983151</v>
      </c>
      <c r="V100" s="1">
        <v>0.40079999999999999</v>
      </c>
      <c r="W100" s="1"/>
      <c r="X100" s="1">
        <f t="shared" si="20"/>
        <v>0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129</v>
      </c>
      <c r="B101" s="1" t="s">
        <v>32</v>
      </c>
      <c r="C101" s="1">
        <v>40</v>
      </c>
      <c r="D101" s="1">
        <v>66</v>
      </c>
      <c r="E101" s="1">
        <v>10</v>
      </c>
      <c r="F101" s="1">
        <v>96</v>
      </c>
      <c r="G101" s="7">
        <v>0.11</v>
      </c>
      <c r="H101" s="1">
        <v>30</v>
      </c>
      <c r="I101" s="1" t="s">
        <v>28</v>
      </c>
      <c r="J101" s="1"/>
      <c r="K101" s="1">
        <v>50</v>
      </c>
      <c r="L101" s="1">
        <f t="shared" si="14"/>
        <v>-40</v>
      </c>
      <c r="M101" s="1"/>
      <c r="N101" s="1"/>
      <c r="O101" s="1"/>
      <c r="P101" s="1">
        <v>0</v>
      </c>
      <c r="Q101" s="1">
        <v>0</v>
      </c>
      <c r="R101" s="1">
        <f t="shared" si="15"/>
        <v>2</v>
      </c>
      <c r="S101" s="5"/>
      <c r="T101" s="1">
        <f t="shared" si="16"/>
        <v>48</v>
      </c>
      <c r="U101" s="1">
        <f t="shared" si="17"/>
        <v>48</v>
      </c>
      <c r="V101" s="1">
        <v>2</v>
      </c>
      <c r="W101" s="1"/>
      <c r="X101" s="1">
        <f t="shared" si="20"/>
        <v>0</v>
      </c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1" t="s">
        <v>130</v>
      </c>
      <c r="B102" s="11" t="s">
        <v>32</v>
      </c>
      <c r="C102" s="11"/>
      <c r="D102" s="11"/>
      <c r="E102" s="11"/>
      <c r="F102" s="11"/>
      <c r="G102" s="12">
        <v>0</v>
      </c>
      <c r="H102" s="11"/>
      <c r="I102" s="11" t="s">
        <v>28</v>
      </c>
      <c r="J102" s="11"/>
      <c r="K102" s="11"/>
      <c r="L102" s="11">
        <f t="shared" ref="L102:L131" si="21">E102-K102</f>
        <v>0</v>
      </c>
      <c r="M102" s="11"/>
      <c r="N102" s="11"/>
      <c r="O102" s="11"/>
      <c r="P102" s="11"/>
      <c r="Q102" s="11">
        <v>0</v>
      </c>
      <c r="R102" s="11">
        <f t="shared" ref="R102:R131" si="22">E102/5</f>
        <v>0</v>
      </c>
      <c r="S102" s="13"/>
      <c r="T102" s="11" t="e">
        <f t="shared" si="16"/>
        <v>#DIV/0!</v>
      </c>
      <c r="U102" s="11" t="e">
        <f t="shared" si="17"/>
        <v>#DIV/0!</v>
      </c>
      <c r="V102" s="11">
        <v>0</v>
      </c>
      <c r="W102" s="11" t="s">
        <v>33</v>
      </c>
      <c r="X102" s="1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131</v>
      </c>
      <c r="B103" s="1" t="s">
        <v>32</v>
      </c>
      <c r="C103" s="1"/>
      <c r="D103" s="1"/>
      <c r="E103" s="1"/>
      <c r="F103" s="1"/>
      <c r="G103" s="7">
        <v>0.08</v>
      </c>
      <c r="H103" s="1">
        <v>45</v>
      </c>
      <c r="I103" s="1" t="s">
        <v>28</v>
      </c>
      <c r="J103" s="1"/>
      <c r="K103" s="1">
        <v>53</v>
      </c>
      <c r="L103" s="1">
        <f t="shared" si="21"/>
        <v>-53</v>
      </c>
      <c r="M103" s="1"/>
      <c r="N103" s="1"/>
      <c r="O103" s="1"/>
      <c r="P103" s="1">
        <v>33.014051522248259</v>
      </c>
      <c r="Q103" s="1">
        <v>40</v>
      </c>
      <c r="R103" s="1">
        <f t="shared" si="22"/>
        <v>0</v>
      </c>
      <c r="S103" s="5">
        <v>30</v>
      </c>
      <c r="T103" s="1" t="e">
        <f t="shared" si="16"/>
        <v>#DIV/0!</v>
      </c>
      <c r="U103" s="1" t="e">
        <f t="shared" si="17"/>
        <v>#DIV/0!</v>
      </c>
      <c r="V103" s="1">
        <v>-0.2</v>
      </c>
      <c r="W103" s="1"/>
      <c r="X103" s="1">
        <f t="shared" ref="X103:X108" si="23">G103*S103</f>
        <v>2.4</v>
      </c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132</v>
      </c>
      <c r="B104" s="1" t="s">
        <v>32</v>
      </c>
      <c r="C104" s="1"/>
      <c r="D104" s="1">
        <v>98</v>
      </c>
      <c r="E104" s="1">
        <v>20</v>
      </c>
      <c r="F104" s="1">
        <v>68</v>
      </c>
      <c r="G104" s="7">
        <v>0.08</v>
      </c>
      <c r="H104" s="1">
        <v>45</v>
      </c>
      <c r="I104" s="1" t="s">
        <v>28</v>
      </c>
      <c r="J104" s="1"/>
      <c r="K104" s="1">
        <v>34</v>
      </c>
      <c r="L104" s="1">
        <f t="shared" si="21"/>
        <v>-14</v>
      </c>
      <c r="M104" s="1"/>
      <c r="N104" s="1"/>
      <c r="O104" s="1"/>
      <c r="P104" s="1">
        <v>24.82431610942249</v>
      </c>
      <c r="Q104" s="1">
        <v>0</v>
      </c>
      <c r="R104" s="1">
        <f t="shared" si="22"/>
        <v>4</v>
      </c>
      <c r="S104" s="5"/>
      <c r="T104" s="1">
        <f t="shared" si="16"/>
        <v>23.206079027355621</v>
      </c>
      <c r="U104" s="1">
        <f t="shared" si="17"/>
        <v>23.206079027355621</v>
      </c>
      <c r="V104" s="1">
        <v>1</v>
      </c>
      <c r="W104" s="1"/>
      <c r="X104" s="1">
        <f t="shared" si="23"/>
        <v>0</v>
      </c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133</v>
      </c>
      <c r="B105" s="1" t="s">
        <v>32</v>
      </c>
      <c r="C105" s="1"/>
      <c r="D105" s="1"/>
      <c r="E105" s="1"/>
      <c r="F105" s="1"/>
      <c r="G105" s="7">
        <v>0.17</v>
      </c>
      <c r="H105" s="1">
        <v>30</v>
      </c>
      <c r="I105" s="1" t="s">
        <v>28</v>
      </c>
      <c r="J105" s="1"/>
      <c r="K105" s="1">
        <v>10</v>
      </c>
      <c r="L105" s="1">
        <f t="shared" si="21"/>
        <v>-10</v>
      </c>
      <c r="M105" s="1"/>
      <c r="N105" s="1"/>
      <c r="O105" s="1"/>
      <c r="P105" s="1">
        <v>20</v>
      </c>
      <c r="Q105" s="1">
        <v>10</v>
      </c>
      <c r="R105" s="1">
        <f t="shared" si="22"/>
        <v>0</v>
      </c>
      <c r="S105" s="5"/>
      <c r="T105" s="1" t="e">
        <f t="shared" si="16"/>
        <v>#DIV/0!</v>
      </c>
      <c r="U105" s="1" t="e">
        <f t="shared" si="17"/>
        <v>#DIV/0!</v>
      </c>
      <c r="V105" s="1">
        <v>0</v>
      </c>
      <c r="W105" s="1"/>
      <c r="X105" s="1">
        <f t="shared" si="23"/>
        <v>0</v>
      </c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134</v>
      </c>
      <c r="B106" s="1" t="s">
        <v>27</v>
      </c>
      <c r="C106" s="1"/>
      <c r="D106" s="1"/>
      <c r="E106" s="1"/>
      <c r="F106" s="1"/>
      <c r="G106" s="7">
        <v>1</v>
      </c>
      <c r="H106" s="1">
        <v>40</v>
      </c>
      <c r="I106" s="10" t="s">
        <v>38</v>
      </c>
      <c r="J106" s="1"/>
      <c r="K106" s="1">
        <v>27.8</v>
      </c>
      <c r="L106" s="1">
        <f t="shared" si="21"/>
        <v>-27.8</v>
      </c>
      <c r="M106" s="1"/>
      <c r="N106" s="1"/>
      <c r="O106" s="1"/>
      <c r="P106" s="1">
        <v>23.76225260242148</v>
      </c>
      <c r="Q106" s="1">
        <v>18</v>
      </c>
      <c r="R106" s="1">
        <f t="shared" si="22"/>
        <v>0</v>
      </c>
      <c r="S106" s="5">
        <v>20</v>
      </c>
      <c r="T106" s="1" t="e">
        <f t="shared" si="16"/>
        <v>#DIV/0!</v>
      </c>
      <c r="U106" s="1" t="e">
        <f t="shared" si="17"/>
        <v>#DIV/0!</v>
      </c>
      <c r="V106" s="1">
        <v>0</v>
      </c>
      <c r="W106" s="1"/>
      <c r="X106" s="1">
        <f t="shared" si="23"/>
        <v>20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 t="s">
        <v>135</v>
      </c>
      <c r="B107" s="1" t="s">
        <v>27</v>
      </c>
      <c r="C107" s="1"/>
      <c r="D107" s="1">
        <v>252.357</v>
      </c>
      <c r="E107" s="1">
        <v>11.537000000000001</v>
      </c>
      <c r="F107" s="1">
        <v>230.85900000000001</v>
      </c>
      <c r="G107" s="7">
        <v>1</v>
      </c>
      <c r="H107" s="1">
        <v>40</v>
      </c>
      <c r="I107" s="10" t="s">
        <v>38</v>
      </c>
      <c r="J107" s="1"/>
      <c r="K107" s="1">
        <v>15.2</v>
      </c>
      <c r="L107" s="1">
        <f t="shared" si="21"/>
        <v>-3.6629999999999985</v>
      </c>
      <c r="M107" s="1"/>
      <c r="N107" s="1"/>
      <c r="O107" s="1"/>
      <c r="P107" s="1">
        <v>10.95701306120533</v>
      </c>
      <c r="Q107" s="1">
        <v>0</v>
      </c>
      <c r="R107" s="1">
        <f t="shared" si="22"/>
        <v>2.3074000000000003</v>
      </c>
      <c r="S107" s="5"/>
      <c r="T107" s="1">
        <f t="shared" si="16"/>
        <v>104.80021368692265</v>
      </c>
      <c r="U107" s="1">
        <f t="shared" si="17"/>
        <v>104.80021368692265</v>
      </c>
      <c r="V107" s="1">
        <v>0</v>
      </c>
      <c r="W107" s="1"/>
      <c r="X107" s="1">
        <f t="shared" si="23"/>
        <v>0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 t="s">
        <v>136</v>
      </c>
      <c r="B108" s="1" t="s">
        <v>27</v>
      </c>
      <c r="C108" s="1"/>
      <c r="D108" s="1"/>
      <c r="E108" s="1"/>
      <c r="F108" s="1"/>
      <c r="G108" s="7">
        <v>1</v>
      </c>
      <c r="H108" s="1">
        <v>40</v>
      </c>
      <c r="I108" s="10" t="s">
        <v>38</v>
      </c>
      <c r="J108" s="1"/>
      <c r="K108" s="1"/>
      <c r="L108" s="1">
        <f t="shared" si="21"/>
        <v>0</v>
      </c>
      <c r="M108" s="1"/>
      <c r="N108" s="1"/>
      <c r="O108" s="1"/>
      <c r="P108" s="1">
        <v>11.824383352850431</v>
      </c>
      <c r="Q108" s="1">
        <v>4.8</v>
      </c>
      <c r="R108" s="1">
        <f t="shared" si="22"/>
        <v>0</v>
      </c>
      <c r="S108" s="5"/>
      <c r="T108" s="1" t="e">
        <f t="shared" si="16"/>
        <v>#DIV/0!</v>
      </c>
      <c r="U108" s="1" t="e">
        <f t="shared" si="17"/>
        <v>#DIV/0!</v>
      </c>
      <c r="V108" s="1">
        <v>-0.14399999999999999</v>
      </c>
      <c r="W108" s="1"/>
      <c r="X108" s="1">
        <f t="shared" si="23"/>
        <v>0</v>
      </c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1" t="s">
        <v>137</v>
      </c>
      <c r="B109" s="11" t="s">
        <v>32</v>
      </c>
      <c r="C109" s="11"/>
      <c r="D109" s="11"/>
      <c r="E109" s="11"/>
      <c r="F109" s="11"/>
      <c r="G109" s="12">
        <v>0</v>
      </c>
      <c r="H109" s="11"/>
      <c r="I109" s="11" t="s">
        <v>28</v>
      </c>
      <c r="J109" s="11"/>
      <c r="K109" s="11"/>
      <c r="L109" s="11">
        <f t="shared" si="21"/>
        <v>0</v>
      </c>
      <c r="M109" s="11"/>
      <c r="N109" s="11"/>
      <c r="O109" s="11"/>
      <c r="P109" s="11"/>
      <c r="Q109" s="11">
        <v>0</v>
      </c>
      <c r="R109" s="11">
        <f t="shared" si="22"/>
        <v>0</v>
      </c>
      <c r="S109" s="13"/>
      <c r="T109" s="11" t="e">
        <f t="shared" si="16"/>
        <v>#DIV/0!</v>
      </c>
      <c r="U109" s="11" t="e">
        <f t="shared" si="17"/>
        <v>#DIV/0!</v>
      </c>
      <c r="V109" s="11">
        <v>0</v>
      </c>
      <c r="W109" s="11" t="s">
        <v>33</v>
      </c>
      <c r="X109" s="1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1" t="s">
        <v>138</v>
      </c>
      <c r="B110" s="11" t="s">
        <v>27</v>
      </c>
      <c r="C110" s="11"/>
      <c r="D110" s="11"/>
      <c r="E110" s="11"/>
      <c r="F110" s="11"/>
      <c r="G110" s="12">
        <v>0</v>
      </c>
      <c r="H110" s="11"/>
      <c r="I110" s="11" t="s">
        <v>28</v>
      </c>
      <c r="J110" s="11"/>
      <c r="K110" s="11"/>
      <c r="L110" s="11">
        <f t="shared" si="21"/>
        <v>0</v>
      </c>
      <c r="M110" s="11"/>
      <c r="N110" s="11"/>
      <c r="O110" s="11"/>
      <c r="P110" s="11"/>
      <c r="Q110" s="11">
        <v>0</v>
      </c>
      <c r="R110" s="11">
        <f t="shared" si="22"/>
        <v>0</v>
      </c>
      <c r="S110" s="13"/>
      <c r="T110" s="11" t="e">
        <f t="shared" si="16"/>
        <v>#DIV/0!</v>
      </c>
      <c r="U110" s="11" t="e">
        <f t="shared" si="17"/>
        <v>#DIV/0!</v>
      </c>
      <c r="V110" s="11">
        <v>0</v>
      </c>
      <c r="W110" s="11" t="s">
        <v>33</v>
      </c>
      <c r="X110" s="1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139</v>
      </c>
      <c r="B111" s="1" t="s">
        <v>32</v>
      </c>
      <c r="C111" s="1"/>
      <c r="D111" s="1"/>
      <c r="E111" s="1"/>
      <c r="F111" s="1"/>
      <c r="G111" s="7">
        <v>0.28000000000000003</v>
      </c>
      <c r="H111" s="1">
        <v>40</v>
      </c>
      <c r="I111" s="10" t="s">
        <v>38</v>
      </c>
      <c r="J111" s="1"/>
      <c r="K111" s="1">
        <v>66</v>
      </c>
      <c r="L111" s="1">
        <f t="shared" si="21"/>
        <v>-66</v>
      </c>
      <c r="M111" s="1"/>
      <c r="N111" s="1"/>
      <c r="O111" s="1"/>
      <c r="P111" s="1">
        <v>74.605714285714285</v>
      </c>
      <c r="Q111" s="1">
        <v>48</v>
      </c>
      <c r="R111" s="1">
        <f t="shared" si="22"/>
        <v>0</v>
      </c>
      <c r="S111" s="5"/>
      <c r="T111" s="1" t="e">
        <f t="shared" si="16"/>
        <v>#DIV/0!</v>
      </c>
      <c r="U111" s="1" t="e">
        <f t="shared" si="17"/>
        <v>#DIV/0!</v>
      </c>
      <c r="V111" s="1">
        <v>-0.4</v>
      </c>
      <c r="W111" s="1"/>
      <c r="X111" s="1">
        <f t="shared" ref="X111:X130" si="24">G111*S111</f>
        <v>0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140</v>
      </c>
      <c r="B112" s="1" t="s">
        <v>32</v>
      </c>
      <c r="C112" s="1"/>
      <c r="D112" s="1">
        <v>252</v>
      </c>
      <c r="E112" s="1">
        <v>6</v>
      </c>
      <c r="F112" s="1">
        <v>236</v>
      </c>
      <c r="G112" s="7">
        <v>0.28000000000000003</v>
      </c>
      <c r="H112" s="1">
        <v>40</v>
      </c>
      <c r="I112" s="10" t="s">
        <v>38</v>
      </c>
      <c r="J112" s="1"/>
      <c r="K112" s="1">
        <v>102</v>
      </c>
      <c r="L112" s="1">
        <f t="shared" si="21"/>
        <v>-96</v>
      </c>
      <c r="M112" s="1"/>
      <c r="N112" s="1"/>
      <c r="O112" s="1"/>
      <c r="P112" s="1">
        <v>0</v>
      </c>
      <c r="Q112" s="1">
        <v>60</v>
      </c>
      <c r="R112" s="1">
        <f t="shared" si="22"/>
        <v>1.2</v>
      </c>
      <c r="S112" s="5"/>
      <c r="T112" s="1">
        <f t="shared" si="16"/>
        <v>246.66666666666669</v>
      </c>
      <c r="U112" s="1">
        <f t="shared" si="17"/>
        <v>246.66666666666669</v>
      </c>
      <c r="V112" s="1">
        <v>0</v>
      </c>
      <c r="W112" s="1"/>
      <c r="X112" s="1">
        <f t="shared" si="24"/>
        <v>0</v>
      </c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141</v>
      </c>
      <c r="B113" s="1" t="s">
        <v>32</v>
      </c>
      <c r="C113" s="1"/>
      <c r="D113" s="1"/>
      <c r="E113" s="1"/>
      <c r="F113" s="1"/>
      <c r="G113" s="7">
        <v>0.28000000000000003</v>
      </c>
      <c r="H113" s="1">
        <v>40</v>
      </c>
      <c r="I113" s="10" t="s">
        <v>38</v>
      </c>
      <c r="J113" s="1"/>
      <c r="K113" s="1">
        <v>88</v>
      </c>
      <c r="L113" s="1">
        <f t="shared" si="21"/>
        <v>-88</v>
      </c>
      <c r="M113" s="1"/>
      <c r="N113" s="1"/>
      <c r="O113" s="1"/>
      <c r="P113" s="1">
        <v>36.61538461538462</v>
      </c>
      <c r="Q113" s="1">
        <v>48</v>
      </c>
      <c r="R113" s="1">
        <f t="shared" si="22"/>
        <v>0</v>
      </c>
      <c r="S113" s="5">
        <v>50</v>
      </c>
      <c r="T113" s="1" t="e">
        <f t="shared" si="16"/>
        <v>#DIV/0!</v>
      </c>
      <c r="U113" s="1" t="e">
        <f t="shared" si="17"/>
        <v>#DIV/0!</v>
      </c>
      <c r="V113" s="1">
        <v>0</v>
      </c>
      <c r="W113" s="1"/>
      <c r="X113" s="1">
        <f t="shared" si="24"/>
        <v>14.000000000000002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142</v>
      </c>
      <c r="B114" s="1" t="s">
        <v>32</v>
      </c>
      <c r="C114" s="1">
        <v>30</v>
      </c>
      <c r="D114" s="1"/>
      <c r="E114" s="1">
        <v>4</v>
      </c>
      <c r="F114" s="1">
        <v>23</v>
      </c>
      <c r="G114" s="7">
        <v>0.09</v>
      </c>
      <c r="H114" s="1">
        <v>45</v>
      </c>
      <c r="I114" s="1" t="s">
        <v>28</v>
      </c>
      <c r="J114" s="1"/>
      <c r="K114" s="1">
        <v>4</v>
      </c>
      <c r="L114" s="1">
        <f t="shared" si="21"/>
        <v>0</v>
      </c>
      <c r="M114" s="1"/>
      <c r="N114" s="1"/>
      <c r="O114" s="1"/>
      <c r="P114" s="1">
        <v>5.9665271966527156</v>
      </c>
      <c r="Q114" s="1">
        <v>0</v>
      </c>
      <c r="R114" s="1">
        <f t="shared" si="22"/>
        <v>0.8</v>
      </c>
      <c r="S114" s="5"/>
      <c r="T114" s="1">
        <f t="shared" si="16"/>
        <v>36.208158995815893</v>
      </c>
      <c r="U114" s="1">
        <f t="shared" si="17"/>
        <v>36.208158995815893</v>
      </c>
      <c r="V114" s="1">
        <v>0.8</v>
      </c>
      <c r="W114" s="18" t="s">
        <v>162</v>
      </c>
      <c r="X114" s="1">
        <f t="shared" si="24"/>
        <v>0</v>
      </c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143</v>
      </c>
      <c r="B115" s="1" t="s">
        <v>27</v>
      </c>
      <c r="C115" s="1"/>
      <c r="D115" s="1">
        <v>30.143999999999998</v>
      </c>
      <c r="E115" s="1">
        <v>2.5</v>
      </c>
      <c r="F115" s="1">
        <v>22.617000000000001</v>
      </c>
      <c r="G115" s="7">
        <v>1</v>
      </c>
      <c r="H115" s="1">
        <v>60</v>
      </c>
      <c r="I115" s="1" t="s">
        <v>28</v>
      </c>
      <c r="J115" s="1"/>
      <c r="K115" s="1">
        <v>7.5</v>
      </c>
      <c r="L115" s="1">
        <f t="shared" si="21"/>
        <v>-5</v>
      </c>
      <c r="M115" s="1"/>
      <c r="N115" s="1"/>
      <c r="O115" s="1"/>
      <c r="P115" s="1">
        <v>0</v>
      </c>
      <c r="Q115" s="1">
        <v>0</v>
      </c>
      <c r="R115" s="1">
        <f t="shared" si="22"/>
        <v>0.5</v>
      </c>
      <c r="S115" s="5"/>
      <c r="T115" s="1">
        <f t="shared" si="16"/>
        <v>45.234000000000002</v>
      </c>
      <c r="U115" s="1">
        <f t="shared" si="17"/>
        <v>45.234000000000002</v>
      </c>
      <c r="V115" s="1">
        <v>0</v>
      </c>
      <c r="W115" s="1"/>
      <c r="X115" s="1">
        <f t="shared" si="24"/>
        <v>0</v>
      </c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144</v>
      </c>
      <c r="B116" s="1" t="s">
        <v>27</v>
      </c>
      <c r="C116" s="1"/>
      <c r="D116" s="1">
        <v>59.86</v>
      </c>
      <c r="E116" s="1">
        <v>2.4980000000000002</v>
      </c>
      <c r="F116" s="1">
        <v>54.863</v>
      </c>
      <c r="G116" s="7">
        <v>1</v>
      </c>
      <c r="H116" s="1">
        <v>50</v>
      </c>
      <c r="I116" s="1" t="s">
        <v>28</v>
      </c>
      <c r="J116" s="1"/>
      <c r="K116" s="1">
        <v>5</v>
      </c>
      <c r="L116" s="1">
        <f t="shared" si="21"/>
        <v>-2.5019999999999998</v>
      </c>
      <c r="M116" s="1"/>
      <c r="N116" s="1"/>
      <c r="O116" s="1"/>
      <c r="P116" s="1">
        <v>0</v>
      </c>
      <c r="Q116" s="1">
        <v>0</v>
      </c>
      <c r="R116" s="1">
        <f t="shared" si="22"/>
        <v>0.49960000000000004</v>
      </c>
      <c r="S116" s="5"/>
      <c r="T116" s="1">
        <f t="shared" si="16"/>
        <v>109.81385108086468</v>
      </c>
      <c r="U116" s="1">
        <f t="shared" si="17"/>
        <v>109.81385108086468</v>
      </c>
      <c r="V116" s="1">
        <v>0</v>
      </c>
      <c r="W116" s="1"/>
      <c r="X116" s="1">
        <f t="shared" si="24"/>
        <v>0</v>
      </c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145</v>
      </c>
      <c r="B117" s="1" t="s">
        <v>32</v>
      </c>
      <c r="C117" s="1">
        <v>30</v>
      </c>
      <c r="D117" s="1"/>
      <c r="E117" s="1">
        <v>21</v>
      </c>
      <c r="F117" s="1">
        <v>9</v>
      </c>
      <c r="G117" s="7">
        <v>0.09</v>
      </c>
      <c r="H117" s="1">
        <v>45</v>
      </c>
      <c r="I117" s="1" t="s">
        <v>28</v>
      </c>
      <c r="J117" s="1"/>
      <c r="K117" s="1">
        <v>21</v>
      </c>
      <c r="L117" s="1">
        <f t="shared" si="21"/>
        <v>0</v>
      </c>
      <c r="M117" s="1"/>
      <c r="N117" s="1"/>
      <c r="O117" s="1"/>
      <c r="P117" s="1">
        <v>9.2393617021276633</v>
      </c>
      <c r="Q117" s="1">
        <v>46.160638297872339</v>
      </c>
      <c r="R117" s="1">
        <f t="shared" si="22"/>
        <v>4.2</v>
      </c>
      <c r="S117" s="5"/>
      <c r="T117" s="1">
        <f t="shared" si="16"/>
        <v>15.333333333333334</v>
      </c>
      <c r="U117" s="1">
        <f t="shared" si="17"/>
        <v>15.333333333333334</v>
      </c>
      <c r="V117" s="1">
        <v>4.5999999999999996</v>
      </c>
      <c r="W117" s="1"/>
      <c r="X117" s="1">
        <f t="shared" si="24"/>
        <v>0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146</v>
      </c>
      <c r="B118" s="1" t="s">
        <v>32</v>
      </c>
      <c r="C118" s="1">
        <v>30</v>
      </c>
      <c r="D118" s="1"/>
      <c r="E118" s="1">
        <v>1</v>
      </c>
      <c r="F118" s="1">
        <v>29</v>
      </c>
      <c r="G118" s="7">
        <v>0.09</v>
      </c>
      <c r="H118" s="1">
        <v>45</v>
      </c>
      <c r="I118" s="1" t="s">
        <v>28</v>
      </c>
      <c r="J118" s="1"/>
      <c r="K118" s="1">
        <v>1</v>
      </c>
      <c r="L118" s="1">
        <f t="shared" si="21"/>
        <v>0</v>
      </c>
      <c r="M118" s="1"/>
      <c r="N118" s="1"/>
      <c r="O118" s="1"/>
      <c r="P118" s="1">
        <v>5.5317073170731712</v>
      </c>
      <c r="Q118" s="1">
        <v>0</v>
      </c>
      <c r="R118" s="1">
        <f t="shared" si="22"/>
        <v>0.2</v>
      </c>
      <c r="S118" s="5"/>
      <c r="T118" s="1">
        <f t="shared" si="16"/>
        <v>172.65853658536585</v>
      </c>
      <c r="U118" s="1">
        <f t="shared" si="17"/>
        <v>172.65853658536585</v>
      </c>
      <c r="V118" s="1">
        <v>0.6</v>
      </c>
      <c r="W118" s="18" t="s">
        <v>162</v>
      </c>
      <c r="X118" s="1">
        <f t="shared" si="24"/>
        <v>0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147</v>
      </c>
      <c r="B119" s="1" t="s">
        <v>27</v>
      </c>
      <c r="C119" s="1"/>
      <c r="D119" s="1">
        <v>41.22</v>
      </c>
      <c r="E119" s="1">
        <v>14.913</v>
      </c>
      <c r="F119" s="1">
        <v>26.163</v>
      </c>
      <c r="G119" s="7">
        <v>1</v>
      </c>
      <c r="H119" s="1">
        <v>60</v>
      </c>
      <c r="I119" s="1" t="s">
        <v>28</v>
      </c>
      <c r="J119" s="1"/>
      <c r="K119" s="1">
        <v>15.6</v>
      </c>
      <c r="L119" s="1">
        <f t="shared" si="21"/>
        <v>-0.68699999999999939</v>
      </c>
      <c r="M119" s="1"/>
      <c r="N119" s="1"/>
      <c r="O119" s="1"/>
      <c r="P119" s="1">
        <v>19.292426544190839</v>
      </c>
      <c r="Q119" s="1">
        <v>0</v>
      </c>
      <c r="R119" s="1">
        <f t="shared" si="22"/>
        <v>2.9826000000000001</v>
      </c>
      <c r="S119" s="5"/>
      <c r="T119" s="1">
        <f t="shared" si="16"/>
        <v>15.240202019778328</v>
      </c>
      <c r="U119" s="1">
        <f t="shared" si="17"/>
        <v>15.240202019778328</v>
      </c>
      <c r="V119" s="1">
        <v>2.9758</v>
      </c>
      <c r="W119" s="1"/>
      <c r="X119" s="1">
        <f t="shared" si="24"/>
        <v>0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 t="s">
        <v>148</v>
      </c>
      <c r="B120" s="1" t="s">
        <v>27</v>
      </c>
      <c r="C120" s="1"/>
      <c r="D120" s="1">
        <v>178.785</v>
      </c>
      <c r="E120" s="1">
        <v>37.174999999999997</v>
      </c>
      <c r="F120" s="1">
        <v>116.80200000000001</v>
      </c>
      <c r="G120" s="7">
        <v>1</v>
      </c>
      <c r="H120" s="1">
        <v>60</v>
      </c>
      <c r="I120" s="1" t="s">
        <v>28</v>
      </c>
      <c r="J120" s="1"/>
      <c r="K120" s="1">
        <v>69.900000000000006</v>
      </c>
      <c r="L120" s="1">
        <f t="shared" si="21"/>
        <v>-32.725000000000009</v>
      </c>
      <c r="M120" s="1"/>
      <c r="N120" s="1"/>
      <c r="O120" s="1"/>
      <c r="P120" s="1">
        <v>50</v>
      </c>
      <c r="Q120" s="1">
        <v>0</v>
      </c>
      <c r="R120" s="1">
        <f t="shared" si="22"/>
        <v>7.4349999999999996</v>
      </c>
      <c r="S120" s="5"/>
      <c r="T120" s="1">
        <f t="shared" si="16"/>
        <v>22.434700739744457</v>
      </c>
      <c r="U120" s="1">
        <f t="shared" si="17"/>
        <v>22.434700739744457</v>
      </c>
      <c r="V120" s="1">
        <v>1.6252</v>
      </c>
      <c r="W120" s="1"/>
      <c r="X120" s="1">
        <f t="shared" si="24"/>
        <v>0</v>
      </c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 t="s">
        <v>149</v>
      </c>
      <c r="B121" s="1" t="s">
        <v>27</v>
      </c>
      <c r="C121" s="1"/>
      <c r="D121" s="1">
        <v>33.86</v>
      </c>
      <c r="E121" s="1">
        <v>10.925000000000001</v>
      </c>
      <c r="F121" s="1">
        <v>18.927</v>
      </c>
      <c r="G121" s="7">
        <v>1</v>
      </c>
      <c r="H121" s="1">
        <v>60</v>
      </c>
      <c r="I121" s="1" t="s">
        <v>28</v>
      </c>
      <c r="J121" s="1"/>
      <c r="K121" s="1">
        <v>13</v>
      </c>
      <c r="L121" s="1">
        <f t="shared" si="21"/>
        <v>-2.0749999999999993</v>
      </c>
      <c r="M121" s="1"/>
      <c r="N121" s="1"/>
      <c r="O121" s="1"/>
      <c r="P121" s="1">
        <v>0</v>
      </c>
      <c r="Q121" s="1">
        <v>7.2328000000000028</v>
      </c>
      <c r="R121" s="1">
        <f t="shared" si="22"/>
        <v>2.1850000000000001</v>
      </c>
      <c r="S121" s="5"/>
      <c r="T121" s="1">
        <f t="shared" si="16"/>
        <v>11.972448512585814</v>
      </c>
      <c r="U121" s="1">
        <f t="shared" si="17"/>
        <v>11.972448512585814</v>
      </c>
      <c r="V121" s="1">
        <v>1.911</v>
      </c>
      <c r="W121" s="1"/>
      <c r="X121" s="1">
        <f t="shared" si="24"/>
        <v>0</v>
      </c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9" t="s">
        <v>46</v>
      </c>
      <c r="B122" s="1" t="s">
        <v>27</v>
      </c>
      <c r="C122" s="1">
        <v>-136.50299999999999</v>
      </c>
      <c r="D122" s="1">
        <v>1276.617</v>
      </c>
      <c r="E122" s="1">
        <v>663.07100000000003</v>
      </c>
      <c r="F122" s="15">
        <f>384.158+F19</f>
        <v>371.685</v>
      </c>
      <c r="G122" s="7">
        <v>1</v>
      </c>
      <c r="H122" s="1">
        <v>60</v>
      </c>
      <c r="I122" s="1" t="s">
        <v>28</v>
      </c>
      <c r="J122" s="1"/>
      <c r="K122" s="1">
        <v>792.6</v>
      </c>
      <c r="L122" s="1">
        <f t="shared" si="21"/>
        <v>-129.529</v>
      </c>
      <c r="M122" s="1"/>
      <c r="N122" s="1"/>
      <c r="O122" s="1"/>
      <c r="P122" s="1">
        <v>200</v>
      </c>
      <c r="Q122" s="1">
        <v>700</v>
      </c>
      <c r="R122" s="1">
        <f t="shared" si="22"/>
        <v>132.61420000000001</v>
      </c>
      <c r="S122" s="5">
        <f t="shared" ref="S122" si="25">11*R122-Q122-P122-F122-O122</f>
        <v>187.07120000000003</v>
      </c>
      <c r="T122" s="1">
        <f t="shared" si="16"/>
        <v>11</v>
      </c>
      <c r="U122" s="1">
        <f t="shared" si="17"/>
        <v>9.5893577007590434</v>
      </c>
      <c r="V122" s="1">
        <v>90.657399999999996</v>
      </c>
      <c r="W122" s="1"/>
      <c r="X122" s="1">
        <f t="shared" si="24"/>
        <v>187.07120000000003</v>
      </c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 t="s">
        <v>150</v>
      </c>
      <c r="B123" s="1" t="s">
        <v>32</v>
      </c>
      <c r="C123" s="1"/>
      <c r="D123" s="1">
        <v>228</v>
      </c>
      <c r="E123" s="1">
        <v>5</v>
      </c>
      <c r="F123" s="1">
        <v>213</v>
      </c>
      <c r="G123" s="7">
        <v>0.25</v>
      </c>
      <c r="H123" s="1">
        <v>1096</v>
      </c>
      <c r="I123" s="1" t="s">
        <v>28</v>
      </c>
      <c r="J123" s="1"/>
      <c r="K123" s="1">
        <v>15</v>
      </c>
      <c r="L123" s="1">
        <f t="shared" si="21"/>
        <v>-10</v>
      </c>
      <c r="M123" s="1"/>
      <c r="N123" s="1"/>
      <c r="O123" s="1"/>
      <c r="P123" s="1">
        <v>50</v>
      </c>
      <c r="Q123" s="1">
        <v>0</v>
      </c>
      <c r="R123" s="1">
        <f t="shared" si="22"/>
        <v>1</v>
      </c>
      <c r="S123" s="5"/>
      <c r="T123" s="1">
        <f t="shared" si="16"/>
        <v>263</v>
      </c>
      <c r="U123" s="1">
        <f t="shared" si="17"/>
        <v>263</v>
      </c>
      <c r="V123" s="1">
        <v>0.6</v>
      </c>
      <c r="W123" s="1"/>
      <c r="X123" s="1">
        <f t="shared" si="24"/>
        <v>0</v>
      </c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 t="s">
        <v>151</v>
      </c>
      <c r="B124" s="1" t="s">
        <v>32</v>
      </c>
      <c r="C124" s="1">
        <v>144</v>
      </c>
      <c r="D124" s="1">
        <v>5</v>
      </c>
      <c r="E124" s="1">
        <v>15</v>
      </c>
      <c r="F124" s="1">
        <v>119</v>
      </c>
      <c r="G124" s="7">
        <v>0.32500000000000001</v>
      </c>
      <c r="H124" s="1">
        <v>1096</v>
      </c>
      <c r="I124" s="1" t="s">
        <v>28</v>
      </c>
      <c r="J124" s="1"/>
      <c r="K124" s="1">
        <v>20</v>
      </c>
      <c r="L124" s="1">
        <f t="shared" si="21"/>
        <v>-5</v>
      </c>
      <c r="M124" s="1"/>
      <c r="N124" s="1"/>
      <c r="O124" s="1"/>
      <c r="P124" s="1">
        <v>0</v>
      </c>
      <c r="Q124" s="1">
        <v>0</v>
      </c>
      <c r="R124" s="1">
        <f t="shared" si="22"/>
        <v>3</v>
      </c>
      <c r="S124" s="5"/>
      <c r="T124" s="1">
        <f t="shared" si="16"/>
        <v>39.666666666666664</v>
      </c>
      <c r="U124" s="1">
        <f t="shared" si="17"/>
        <v>39.666666666666664</v>
      </c>
      <c r="V124" s="1">
        <v>3.4</v>
      </c>
      <c r="W124" s="16" t="s">
        <v>160</v>
      </c>
      <c r="X124" s="1">
        <f t="shared" si="24"/>
        <v>0</v>
      </c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152</v>
      </c>
      <c r="B125" s="1" t="s">
        <v>32</v>
      </c>
      <c r="C125" s="1">
        <v>36</v>
      </c>
      <c r="D125" s="1">
        <v>113</v>
      </c>
      <c r="E125" s="1">
        <v>15</v>
      </c>
      <c r="F125" s="1">
        <v>119</v>
      </c>
      <c r="G125" s="7">
        <v>0.25</v>
      </c>
      <c r="H125" s="1">
        <v>1096</v>
      </c>
      <c r="I125" s="1" t="s">
        <v>28</v>
      </c>
      <c r="J125" s="1"/>
      <c r="K125" s="1">
        <v>20</v>
      </c>
      <c r="L125" s="1">
        <f t="shared" si="21"/>
        <v>-5</v>
      </c>
      <c r="M125" s="1"/>
      <c r="N125" s="1"/>
      <c r="O125" s="1"/>
      <c r="P125" s="1">
        <v>0</v>
      </c>
      <c r="Q125" s="1">
        <v>0</v>
      </c>
      <c r="R125" s="1">
        <f t="shared" si="22"/>
        <v>3</v>
      </c>
      <c r="S125" s="5"/>
      <c r="T125" s="1">
        <f t="shared" si="16"/>
        <v>39.666666666666664</v>
      </c>
      <c r="U125" s="1">
        <f t="shared" si="17"/>
        <v>39.666666666666664</v>
      </c>
      <c r="V125" s="1">
        <v>2.4</v>
      </c>
      <c r="W125" s="16" t="s">
        <v>160</v>
      </c>
      <c r="X125" s="1">
        <f t="shared" si="24"/>
        <v>0</v>
      </c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 t="s">
        <v>153</v>
      </c>
      <c r="B126" s="1" t="s">
        <v>32</v>
      </c>
      <c r="C126" s="1"/>
      <c r="D126" s="1"/>
      <c r="E126" s="1"/>
      <c r="F126" s="1"/>
      <c r="G126" s="7">
        <v>0.3</v>
      </c>
      <c r="H126" s="1">
        <v>40</v>
      </c>
      <c r="I126" s="10" t="s">
        <v>38</v>
      </c>
      <c r="J126" s="1"/>
      <c r="K126" s="1">
        <v>8</v>
      </c>
      <c r="L126" s="1">
        <f t="shared" si="21"/>
        <v>-8</v>
      </c>
      <c r="M126" s="1"/>
      <c r="N126" s="1"/>
      <c r="O126" s="1"/>
      <c r="P126" s="1">
        <v>20.332225913621262</v>
      </c>
      <c r="Q126" s="1">
        <v>9.6</v>
      </c>
      <c r="R126" s="1">
        <f t="shared" si="22"/>
        <v>0</v>
      </c>
      <c r="S126" s="5"/>
      <c r="T126" s="1" t="e">
        <f t="shared" si="16"/>
        <v>#DIV/0!</v>
      </c>
      <c r="U126" s="1" t="e">
        <f t="shared" si="17"/>
        <v>#DIV/0!</v>
      </c>
      <c r="V126" s="1">
        <v>-0.2</v>
      </c>
      <c r="W126" s="1"/>
      <c r="X126" s="1">
        <f t="shared" si="24"/>
        <v>0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 t="s">
        <v>154</v>
      </c>
      <c r="B127" s="1" t="s">
        <v>32</v>
      </c>
      <c r="C127" s="1"/>
      <c r="D127" s="1"/>
      <c r="E127" s="1"/>
      <c r="F127" s="1"/>
      <c r="G127" s="7">
        <v>0.3</v>
      </c>
      <c r="H127" s="1">
        <v>40</v>
      </c>
      <c r="I127" s="10" t="s">
        <v>38</v>
      </c>
      <c r="J127" s="1"/>
      <c r="K127" s="1">
        <v>8</v>
      </c>
      <c r="L127" s="1">
        <f t="shared" si="21"/>
        <v>-8</v>
      </c>
      <c r="M127" s="1"/>
      <c r="N127" s="1"/>
      <c r="O127" s="1"/>
      <c r="P127" s="1">
        <v>35.172413793103452</v>
      </c>
      <c r="Q127" s="1">
        <v>0</v>
      </c>
      <c r="R127" s="1">
        <f t="shared" si="22"/>
        <v>0</v>
      </c>
      <c r="S127" s="5"/>
      <c r="T127" s="1" t="e">
        <f t="shared" si="16"/>
        <v>#DIV/0!</v>
      </c>
      <c r="U127" s="1" t="e">
        <f t="shared" si="17"/>
        <v>#DIV/0!</v>
      </c>
      <c r="V127" s="1">
        <v>0</v>
      </c>
      <c r="W127" s="1"/>
      <c r="X127" s="1">
        <f t="shared" si="24"/>
        <v>0</v>
      </c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 t="s">
        <v>155</v>
      </c>
      <c r="B128" s="1" t="s">
        <v>27</v>
      </c>
      <c r="C128" s="1"/>
      <c r="D128" s="1"/>
      <c r="E128" s="1"/>
      <c r="F128" s="1"/>
      <c r="G128" s="7">
        <v>1</v>
      </c>
      <c r="H128" s="1">
        <v>50</v>
      </c>
      <c r="I128" s="1" t="s">
        <v>28</v>
      </c>
      <c r="J128" s="1"/>
      <c r="K128" s="1">
        <v>8.8000000000000007</v>
      </c>
      <c r="L128" s="1">
        <f t="shared" si="21"/>
        <v>-8.8000000000000007</v>
      </c>
      <c r="M128" s="1"/>
      <c r="N128" s="1"/>
      <c r="O128" s="1"/>
      <c r="P128" s="1">
        <v>10</v>
      </c>
      <c r="Q128" s="1">
        <v>20</v>
      </c>
      <c r="R128" s="1">
        <f t="shared" si="22"/>
        <v>0</v>
      </c>
      <c r="S128" s="5"/>
      <c r="T128" s="1" t="e">
        <f t="shared" si="16"/>
        <v>#DIV/0!</v>
      </c>
      <c r="U128" s="1" t="e">
        <f t="shared" si="17"/>
        <v>#DIV/0!</v>
      </c>
      <c r="V128" s="1">
        <v>-0.1072</v>
      </c>
      <c r="W128" s="1"/>
      <c r="X128" s="1">
        <f t="shared" si="24"/>
        <v>0</v>
      </c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 t="s">
        <v>156</v>
      </c>
      <c r="B129" s="1" t="s">
        <v>32</v>
      </c>
      <c r="C129" s="1"/>
      <c r="D129" s="1"/>
      <c r="E129" s="1"/>
      <c r="F129" s="1"/>
      <c r="G129" s="7">
        <v>0.3</v>
      </c>
      <c r="H129" s="1">
        <v>40</v>
      </c>
      <c r="I129" s="10" t="s">
        <v>38</v>
      </c>
      <c r="J129" s="1"/>
      <c r="K129" s="1">
        <v>1</v>
      </c>
      <c r="L129" s="1">
        <f t="shared" si="21"/>
        <v>-1</v>
      </c>
      <c r="M129" s="1"/>
      <c r="N129" s="1"/>
      <c r="O129" s="1"/>
      <c r="P129" s="1">
        <v>25</v>
      </c>
      <c r="Q129" s="1">
        <v>0</v>
      </c>
      <c r="R129" s="1">
        <f t="shared" si="22"/>
        <v>0</v>
      </c>
      <c r="S129" s="5"/>
      <c r="T129" s="1" t="e">
        <f t="shared" si="16"/>
        <v>#DIV/0!</v>
      </c>
      <c r="U129" s="1" t="e">
        <f t="shared" si="17"/>
        <v>#DIV/0!</v>
      </c>
      <c r="V129" s="1">
        <v>0</v>
      </c>
      <c r="W129" s="1"/>
      <c r="X129" s="1">
        <f t="shared" si="24"/>
        <v>0</v>
      </c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 t="s">
        <v>157</v>
      </c>
      <c r="B130" s="1" t="s">
        <v>32</v>
      </c>
      <c r="C130" s="1"/>
      <c r="D130" s="1">
        <v>30</v>
      </c>
      <c r="E130" s="1">
        <v>7</v>
      </c>
      <c r="F130" s="1">
        <v>21</v>
      </c>
      <c r="G130" s="7">
        <v>0.12</v>
      </c>
      <c r="H130" s="1">
        <v>45</v>
      </c>
      <c r="I130" s="10" t="s">
        <v>38</v>
      </c>
      <c r="J130" s="1"/>
      <c r="K130" s="1">
        <v>13</v>
      </c>
      <c r="L130" s="1">
        <f t="shared" si="21"/>
        <v>-6</v>
      </c>
      <c r="M130" s="1"/>
      <c r="N130" s="1"/>
      <c r="O130" s="1"/>
      <c r="P130" s="1">
        <v>12.66666666666667</v>
      </c>
      <c r="Q130" s="1">
        <v>0</v>
      </c>
      <c r="R130" s="1">
        <f t="shared" si="22"/>
        <v>1.4</v>
      </c>
      <c r="S130" s="5"/>
      <c r="T130" s="1">
        <f t="shared" si="16"/>
        <v>24.047619047619051</v>
      </c>
      <c r="U130" s="1">
        <f t="shared" si="17"/>
        <v>24.047619047619051</v>
      </c>
      <c r="V130" s="1">
        <v>0</v>
      </c>
      <c r="W130" s="1"/>
      <c r="X130" s="1">
        <f t="shared" si="24"/>
        <v>0</v>
      </c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1" t="s">
        <v>158</v>
      </c>
      <c r="B131" s="11" t="s">
        <v>32</v>
      </c>
      <c r="C131" s="11"/>
      <c r="D131" s="11">
        <v>8</v>
      </c>
      <c r="E131" s="15">
        <v>15</v>
      </c>
      <c r="F131" s="15">
        <v>-26</v>
      </c>
      <c r="G131" s="12">
        <v>0</v>
      </c>
      <c r="H131" s="11"/>
      <c r="I131" s="11" t="s">
        <v>159</v>
      </c>
      <c r="J131" s="11" t="s">
        <v>88</v>
      </c>
      <c r="K131" s="11">
        <v>23</v>
      </c>
      <c r="L131" s="11">
        <f t="shared" si="21"/>
        <v>-8</v>
      </c>
      <c r="M131" s="11"/>
      <c r="N131" s="11"/>
      <c r="O131" s="11"/>
      <c r="P131" s="11"/>
      <c r="Q131" s="11">
        <v>0</v>
      </c>
      <c r="R131" s="11">
        <f t="shared" si="22"/>
        <v>3</v>
      </c>
      <c r="S131" s="13"/>
      <c r="T131" s="11">
        <f t="shared" si="16"/>
        <v>-8.6666666666666661</v>
      </c>
      <c r="U131" s="11">
        <f t="shared" si="17"/>
        <v>-8.6666666666666661</v>
      </c>
      <c r="V131" s="11">
        <v>2.6</v>
      </c>
      <c r="W131" s="11"/>
      <c r="X131" s="1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</sheetData>
  <autoFilter ref="A3:X13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2026-09-29T15:30:47Z</dcterms:created>
  <dcterms:modified xsi:type="dcterms:W3CDTF">2026-09-29T16:12:41Z</dcterms:modified>
</cp:coreProperties>
</file>