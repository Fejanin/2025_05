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0BEF7382-3C33-4FEA-B688-C70558D1A9B7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Sheet!$A$3:$AH$129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7" i="1" l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6" i="1"/>
  <c r="R5" i="1"/>
  <c r="P5" i="1"/>
  <c r="AH127" i="1" l="1"/>
  <c r="AH79" i="1"/>
  <c r="AH66" i="1"/>
  <c r="AH62" i="1"/>
  <c r="AH37" i="1"/>
  <c r="AH29" i="1"/>
  <c r="S129" i="1"/>
  <c r="L129" i="1"/>
  <c r="S128" i="1"/>
  <c r="L128" i="1"/>
  <c r="S127" i="1"/>
  <c r="L127" i="1"/>
  <c r="S126" i="1"/>
  <c r="L126" i="1"/>
  <c r="S125" i="1"/>
  <c r="L125" i="1"/>
  <c r="S124" i="1"/>
  <c r="L124" i="1"/>
  <c r="S123" i="1"/>
  <c r="L123" i="1"/>
  <c r="S122" i="1"/>
  <c r="L122" i="1"/>
  <c r="S121" i="1"/>
  <c r="L121" i="1"/>
  <c r="S120" i="1"/>
  <c r="L120" i="1"/>
  <c r="S119" i="1"/>
  <c r="L119" i="1"/>
  <c r="S118" i="1"/>
  <c r="L118" i="1"/>
  <c r="S117" i="1"/>
  <c r="L117" i="1"/>
  <c r="S116" i="1"/>
  <c r="L116" i="1"/>
  <c r="S115" i="1"/>
  <c r="L115" i="1"/>
  <c r="S114" i="1"/>
  <c r="L114" i="1"/>
  <c r="S113" i="1"/>
  <c r="L113" i="1"/>
  <c r="S112" i="1"/>
  <c r="L112" i="1"/>
  <c r="S111" i="1"/>
  <c r="L111" i="1"/>
  <c r="S110" i="1"/>
  <c r="L110" i="1"/>
  <c r="S109" i="1"/>
  <c r="L109" i="1"/>
  <c r="S108" i="1"/>
  <c r="L108" i="1"/>
  <c r="S107" i="1"/>
  <c r="L107" i="1"/>
  <c r="S106" i="1"/>
  <c r="L106" i="1"/>
  <c r="S105" i="1"/>
  <c r="L105" i="1"/>
  <c r="AH104" i="1"/>
  <c r="S104" i="1"/>
  <c r="L104" i="1"/>
  <c r="S103" i="1"/>
  <c r="L103" i="1"/>
  <c r="S102" i="1"/>
  <c r="L102" i="1"/>
  <c r="S101" i="1"/>
  <c r="L101" i="1"/>
  <c r="S100" i="1"/>
  <c r="L100" i="1"/>
  <c r="S99" i="1"/>
  <c r="L99" i="1"/>
  <c r="S98" i="1"/>
  <c r="L98" i="1"/>
  <c r="S97" i="1"/>
  <c r="AH97" i="1" s="1"/>
  <c r="L97" i="1"/>
  <c r="F97" i="1"/>
  <c r="S96" i="1"/>
  <c r="L96" i="1"/>
  <c r="S95" i="1"/>
  <c r="L95" i="1"/>
  <c r="S94" i="1"/>
  <c r="L94" i="1"/>
  <c r="AH93" i="1"/>
  <c r="S93" i="1"/>
  <c r="L93" i="1"/>
  <c r="S92" i="1"/>
  <c r="L92" i="1"/>
  <c r="S91" i="1"/>
  <c r="L91" i="1"/>
  <c r="S90" i="1"/>
  <c r="L90" i="1"/>
  <c r="S89" i="1"/>
  <c r="AH89" i="1" s="1"/>
  <c r="L89" i="1"/>
  <c r="S88" i="1"/>
  <c r="L88" i="1"/>
  <c r="S87" i="1"/>
  <c r="AH87" i="1" s="1"/>
  <c r="L87" i="1"/>
  <c r="S86" i="1"/>
  <c r="L86" i="1"/>
  <c r="S85" i="1"/>
  <c r="L85" i="1"/>
  <c r="S84" i="1"/>
  <c r="L84" i="1"/>
  <c r="S83" i="1"/>
  <c r="L83" i="1"/>
  <c r="S82" i="1"/>
  <c r="L82" i="1"/>
  <c r="S81" i="1"/>
  <c r="AH81" i="1" s="1"/>
  <c r="L81" i="1"/>
  <c r="S80" i="1"/>
  <c r="L80" i="1"/>
  <c r="S79" i="1"/>
  <c r="L79" i="1"/>
  <c r="S78" i="1"/>
  <c r="L78" i="1"/>
  <c r="S77" i="1"/>
  <c r="AH77" i="1" s="1"/>
  <c r="L77" i="1"/>
  <c r="S76" i="1"/>
  <c r="L76" i="1"/>
  <c r="AH75" i="1"/>
  <c r="S75" i="1"/>
  <c r="L75" i="1"/>
  <c r="S74" i="1"/>
  <c r="L74" i="1"/>
  <c r="S73" i="1"/>
  <c r="AH73" i="1" s="1"/>
  <c r="L73" i="1"/>
  <c r="S72" i="1"/>
  <c r="L72" i="1"/>
  <c r="S71" i="1"/>
  <c r="AH71" i="1" s="1"/>
  <c r="L71" i="1"/>
  <c r="S70" i="1"/>
  <c r="L70" i="1"/>
  <c r="S69" i="1"/>
  <c r="L69" i="1"/>
  <c r="S68" i="1"/>
  <c r="L68" i="1"/>
  <c r="S67" i="1"/>
  <c r="L67" i="1"/>
  <c r="S66" i="1"/>
  <c r="L66" i="1"/>
  <c r="S65" i="1"/>
  <c r="L65" i="1"/>
  <c r="S64" i="1"/>
  <c r="L64" i="1"/>
  <c r="S63" i="1"/>
  <c r="L63" i="1"/>
  <c r="S62" i="1"/>
  <c r="L62" i="1"/>
  <c r="S61" i="1"/>
  <c r="L61" i="1"/>
  <c r="S60" i="1"/>
  <c r="L60" i="1"/>
  <c r="S59" i="1"/>
  <c r="L59" i="1"/>
  <c r="S58" i="1"/>
  <c r="AH58" i="1" s="1"/>
  <c r="L58" i="1"/>
  <c r="S57" i="1"/>
  <c r="L57" i="1"/>
  <c r="F56" i="1"/>
  <c r="E56" i="1"/>
  <c r="L56" i="1" s="1"/>
  <c r="S55" i="1"/>
  <c r="L55" i="1"/>
  <c r="S54" i="1"/>
  <c r="L54" i="1"/>
  <c r="S53" i="1"/>
  <c r="L53" i="1"/>
  <c r="S52" i="1"/>
  <c r="L52" i="1"/>
  <c r="S51" i="1"/>
  <c r="L51" i="1"/>
  <c r="S50" i="1"/>
  <c r="AH50" i="1" s="1"/>
  <c r="L50" i="1"/>
  <c r="S49" i="1"/>
  <c r="L49" i="1"/>
  <c r="S48" i="1"/>
  <c r="AH48" i="1" s="1"/>
  <c r="L48" i="1"/>
  <c r="S47" i="1"/>
  <c r="L47" i="1"/>
  <c r="S46" i="1"/>
  <c r="L46" i="1"/>
  <c r="S45" i="1"/>
  <c r="L45" i="1"/>
  <c r="S44" i="1"/>
  <c r="L44" i="1"/>
  <c r="S43" i="1"/>
  <c r="L43" i="1"/>
  <c r="S42" i="1"/>
  <c r="L42" i="1"/>
  <c r="S41" i="1"/>
  <c r="AH41" i="1" s="1"/>
  <c r="L41" i="1"/>
  <c r="S40" i="1"/>
  <c r="L40" i="1"/>
  <c r="S39" i="1"/>
  <c r="L39" i="1"/>
  <c r="S38" i="1"/>
  <c r="L38" i="1"/>
  <c r="S37" i="1"/>
  <c r="L37" i="1"/>
  <c r="S36" i="1"/>
  <c r="L36" i="1"/>
  <c r="S35" i="1"/>
  <c r="T35" i="1" s="1"/>
  <c r="AH35" i="1" s="1"/>
  <c r="L35" i="1"/>
  <c r="S34" i="1"/>
  <c r="L34" i="1"/>
  <c r="S33" i="1"/>
  <c r="AH33" i="1" s="1"/>
  <c r="L33" i="1"/>
  <c r="S32" i="1"/>
  <c r="L32" i="1"/>
  <c r="S31" i="1"/>
  <c r="L31" i="1"/>
  <c r="S30" i="1"/>
  <c r="L30" i="1"/>
  <c r="S29" i="1"/>
  <c r="L29" i="1"/>
  <c r="S28" i="1"/>
  <c r="L28" i="1"/>
  <c r="S27" i="1"/>
  <c r="AH27" i="1" s="1"/>
  <c r="L27" i="1"/>
  <c r="S26" i="1"/>
  <c r="L26" i="1"/>
  <c r="S25" i="1"/>
  <c r="L25" i="1"/>
  <c r="S24" i="1"/>
  <c r="L24" i="1"/>
  <c r="S23" i="1"/>
  <c r="L23" i="1"/>
  <c r="S22" i="1"/>
  <c r="L22" i="1"/>
  <c r="S21" i="1"/>
  <c r="L21" i="1"/>
  <c r="S20" i="1"/>
  <c r="AH20" i="1" s="1"/>
  <c r="L20" i="1"/>
  <c r="S19" i="1"/>
  <c r="L19" i="1"/>
  <c r="S18" i="1"/>
  <c r="AH18" i="1" s="1"/>
  <c r="L18" i="1"/>
  <c r="S17" i="1"/>
  <c r="L17" i="1"/>
  <c r="S16" i="1"/>
  <c r="L16" i="1"/>
  <c r="S15" i="1"/>
  <c r="L15" i="1"/>
  <c r="S14" i="1"/>
  <c r="L14" i="1"/>
  <c r="S13" i="1"/>
  <c r="L13" i="1"/>
  <c r="S12" i="1"/>
  <c r="AH12" i="1" s="1"/>
  <c r="L12" i="1"/>
  <c r="S11" i="1"/>
  <c r="L11" i="1"/>
  <c r="S10" i="1"/>
  <c r="AH10" i="1" s="1"/>
  <c r="L10" i="1"/>
  <c r="S9" i="1"/>
  <c r="L9" i="1"/>
  <c r="S8" i="1"/>
  <c r="L8" i="1"/>
  <c r="S7" i="1"/>
  <c r="L7" i="1"/>
  <c r="S6" i="1"/>
  <c r="L6" i="1"/>
  <c r="AF5" i="1"/>
  <c r="AE5" i="1"/>
  <c r="AD5" i="1"/>
  <c r="AC5" i="1"/>
  <c r="AB5" i="1"/>
  <c r="AA5" i="1"/>
  <c r="Z5" i="1"/>
  <c r="Y5" i="1"/>
  <c r="X5" i="1"/>
  <c r="W5" i="1"/>
  <c r="Q5" i="1"/>
  <c r="O5" i="1"/>
  <c r="N5" i="1"/>
  <c r="M5" i="1"/>
  <c r="K5" i="1"/>
  <c r="F5" i="1" l="1"/>
  <c r="AH118" i="1"/>
  <c r="T112" i="1"/>
  <c r="AH122" i="1"/>
  <c r="E5" i="1"/>
  <c r="AH120" i="1"/>
  <c r="T55" i="1"/>
  <c r="AH70" i="1"/>
  <c r="AH74" i="1"/>
  <c r="T94" i="1"/>
  <c r="AH101" i="1"/>
  <c r="AH105" i="1"/>
  <c r="AH115" i="1"/>
  <c r="AH119" i="1"/>
  <c r="AH126" i="1"/>
  <c r="T7" i="1"/>
  <c r="AH7" i="1" s="1"/>
  <c r="AH16" i="1"/>
  <c r="AH24" i="1"/>
  <c r="AH46" i="1"/>
  <c r="AH54" i="1"/>
  <c r="AH108" i="1"/>
  <c r="AH112" i="1"/>
  <c r="AH125" i="1"/>
  <c r="T6" i="1"/>
  <c r="AH6" i="1" s="1"/>
  <c r="AH8" i="1"/>
  <c r="L5" i="1"/>
  <c r="AH11" i="1"/>
  <c r="AH15" i="1"/>
  <c r="AH19" i="1"/>
  <c r="T23" i="1"/>
  <c r="AH23" i="1" s="1"/>
  <c r="AH26" i="1"/>
  <c r="AH30" i="1"/>
  <c r="AH34" i="1"/>
  <c r="T36" i="1"/>
  <c r="AH38" i="1"/>
  <c r="AH45" i="1"/>
  <c r="AH49" i="1"/>
  <c r="AH53" i="1"/>
  <c r="T61" i="1"/>
  <c r="T63" i="1"/>
  <c r="T96" i="1"/>
  <c r="AH96" i="1" s="1"/>
  <c r="AH102" i="1"/>
  <c r="AH103" i="1"/>
  <c r="AH116" i="1"/>
  <c r="T117" i="1"/>
  <c r="AH117" i="1" s="1"/>
  <c r="AH121" i="1"/>
  <c r="AH14" i="1"/>
  <c r="AH22" i="1"/>
  <c r="T31" i="1"/>
  <c r="AH31" i="1" s="1"/>
  <c r="AH39" i="1"/>
  <c r="AH44" i="1"/>
  <c r="T52" i="1"/>
  <c r="AH52" i="1" s="1"/>
  <c r="T60" i="1"/>
  <c r="AH60" i="1" s="1"/>
  <c r="T64" i="1"/>
  <c r="AH64" i="1" s="1"/>
  <c r="AH68" i="1"/>
  <c r="AH95" i="1"/>
  <c r="AH100" i="1"/>
  <c r="T110" i="1"/>
  <c r="AH110" i="1" s="1"/>
  <c r="AH114" i="1"/>
  <c r="AH78" i="1"/>
  <c r="T98" i="1"/>
  <c r="AH98" i="1" s="1"/>
  <c r="AH109" i="1"/>
  <c r="T111" i="1"/>
  <c r="AH111" i="1" s="1"/>
  <c r="T113" i="1"/>
  <c r="AH113" i="1" s="1"/>
  <c r="AH124" i="1"/>
  <c r="AH128" i="1"/>
  <c r="S56" i="1"/>
  <c r="AH56" i="1" s="1"/>
  <c r="S5" i="1" l="1"/>
  <c r="T5" i="1"/>
  <c r="AH85" i="1"/>
  <c r="AH80" i="1"/>
  <c r="AH65" i="1"/>
  <c r="AH61" i="1"/>
  <c r="AH57" i="1"/>
  <c r="AH43" i="1"/>
  <c r="AH28" i="1"/>
  <c r="AH21" i="1"/>
  <c r="AH94" i="1"/>
  <c r="AH91" i="1"/>
  <c r="AH76" i="1"/>
  <c r="AH55" i="1"/>
  <c r="AH40" i="1"/>
  <c r="AH88" i="1"/>
  <c r="AH72" i="1"/>
  <c r="AH67" i="1"/>
  <c r="AH63" i="1"/>
  <c r="AH59" i="1"/>
  <c r="AH51" i="1"/>
  <c r="AH36" i="1"/>
  <c r="AH13" i="1"/>
  <c r="AH47" i="1"/>
  <c r="AH32" i="1"/>
  <c r="AH17" i="1"/>
  <c r="AH5" i="1" l="1"/>
</calcChain>
</file>

<file path=xl/sharedStrings.xml><?xml version="1.0" encoding="utf-8"?>
<sst xmlns="http://schemas.openxmlformats.org/spreadsheetml/2006/main" count="470" uniqueCount="183">
  <si>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</si>
  <si>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</si>
  <si>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</si>
  <si>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</si>
  <si>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</si>
  <si>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</si>
  <si>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</si>
  <si>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</si>
  <si>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</si>
  <si>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</si>
  <si>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</si>
  <si>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</si>
  <si>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</si>
  <si>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</si>
  <si>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</si>
  <si>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</si>
  <si>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</si>
  <si>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</si>
  <si>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</si>
  <si>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</si>
  <si>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</si>
  <si>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</si>
  <si>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27,09,</t>
  </si>
  <si>
    <t>29,09,</t>
  </si>
  <si>
    <t>24,09,</t>
  </si>
  <si>
    <t>22,09,</t>
  </si>
  <si>
    <t>17,09,</t>
  </si>
  <si>
    <t>15,09,</t>
  </si>
  <si>
    <t>10,09,</t>
  </si>
  <si>
    <t>08,09,</t>
  </si>
  <si>
    <t>03,09,</t>
  </si>
  <si>
    <t>01,09,</t>
  </si>
  <si>
    <t>27,08,</t>
  </si>
  <si>
    <t>25,08,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</si>
  <si>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</si>
  <si>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</si>
  <si>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</si>
  <si>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</si>
  <si>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</si>
  <si>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</si>
  <si>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</si>
  <si>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</si>
  <si>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</si>
  <si>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</si>
  <si>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</si>
  <si>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</si>
  <si>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</si>
  <si>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</si>
  <si>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</si>
  <si>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</si>
  <si>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</si>
  <si>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</si>
  <si>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</si>
  <si>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</si>
  <si>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</si>
  <si>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</si>
  <si>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>ПРОМО сентябрь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</si>
  <si>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</si>
  <si>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</si>
  <si>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</si>
  <si>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</si>
  <si>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</si>
  <si>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</si>
  <si>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</si>
  <si>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</si>
  <si>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</si>
  <si>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>53кг списано (16,09,26)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</si>
  <si>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</si>
  <si>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</si>
  <si>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</si>
  <si>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</si>
  <si>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</si>
  <si>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</si>
  <si>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</si>
  <si>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</si>
  <si>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</si>
  <si>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</si>
  <si>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298  Колбаса Сливушка ТМ Вязанка, 0,375кг,  ПОКОМ</t>
  </si>
  <si>
    <t>не в матрице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</si>
  <si>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</si>
  <si>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</si>
  <si>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</si>
  <si>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</si>
  <si>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</si>
  <si>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</si>
  <si>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</si>
  <si>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</si>
  <si>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</si>
  <si>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</si>
  <si>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</si>
  <si>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</si>
  <si>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</si>
  <si>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</si>
  <si>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</si>
  <si>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</si>
  <si>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</si>
  <si>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</si>
  <si>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</si>
  <si>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</si>
  <si>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</si>
  <si>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</si>
  <si>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</si>
  <si>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</si>
  <si>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</si>
  <si>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</si>
  <si>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</si>
  <si>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</si>
  <si>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>90кг списано (16,09,26)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</si>
  <si>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</si>
  <si>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</si>
  <si>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</si>
  <si>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</si>
  <si>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</si>
  <si>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</si>
  <si>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>заказываем с 28,08,26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</si>
  <si>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</si>
  <si>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</si>
  <si>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</si>
  <si>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</si>
  <si>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>17шт списание сроки (11,08,26)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</si>
  <si>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</si>
  <si>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</si>
  <si>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</si>
  <si>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</si>
  <si>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</si>
  <si>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</si>
  <si>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</si>
  <si>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</si>
  <si>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</si>
  <si>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>1274кг списано (19,09,26)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</si>
  <si>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</si>
  <si>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</si>
  <si>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</si>
  <si>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</si>
  <si>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</si>
  <si>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</si>
  <si>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</si>
  <si>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</si>
  <si>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>46кг списание сроки (11,08,26)</t>
  </si>
  <si>
    <t xml:space="preserve"> 551  Колбаса Сливушка ТМ Вязанка в модифицированной газовой среде 0,11 кг нарезка  ПОКОМ</t>
  </si>
  <si>
    <t>51шт списана (16,09,26)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</si>
  <si>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</si>
  <si>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</si>
  <si>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</si>
  <si>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</si>
  <si>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57шт списание (16,09,26) / 14шт списание сроки (11,08,26) / 70шт сеть Молоко (07,08,26)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</si>
  <si>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</si>
  <si>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</si>
  <si>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</si>
  <si>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</si>
  <si>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</si>
  <si>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</si>
  <si>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</si>
  <si>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</si>
  <si>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</si>
  <si>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</si>
  <si>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</si>
  <si>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</si>
  <si>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</si>
  <si>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</si>
  <si>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</si>
  <si>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</si>
  <si>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</si>
  <si>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546кг списано (19,09,26)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</si>
  <si>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</si>
  <si>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</si>
  <si>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>нужно увеличить продажи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</si>
  <si>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</si>
  <si>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</si>
  <si>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>дубль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</si>
  <si>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</si>
  <si>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</si>
  <si>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</si>
  <si>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</si>
  <si>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</si>
  <si>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</si>
  <si>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</si>
  <si>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нужно увеличить продажи!!!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</si>
  <si>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</rPr>
      <t>/ 281кг списано (19,09,26)</t>
    </r>
  </si>
  <si>
    <t>92шт списаны (16,09,26)</t>
  </si>
  <si>
    <t>ПРОМО сентябрь / 181кг списание (11,08,26)</t>
  </si>
  <si>
    <t>27,09,доз</t>
  </si>
  <si>
    <t>29,09,доз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</si>
</sst>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10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1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4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  <xf numFmtId="164" fontId="1" fillId="0" borderId="1" xfId="1" applyNumberFormat="1" applyFill="1"/>
    <xf numFmtId="164" fontId="6" fillId="7" borderId="1" xfId="1" applyNumberFormat="1" applyFont="1" applyFill="1"/>
    <xf numFmtId="164" fontId="6" fillId="0" borderId="1" xfId="1" applyNumberFormat="1" applyFont="1"/>
    <xf numFmtId="164" fontId="8" fillId="0" borderId="1" xfId="1" applyNumberFormat="1" applyFont="1"/>
    <xf numFmtId="164" fontId="9" fillId="2" borderId="1" xfId="1" applyNumberFormat="1" applyFont="1" applyFill="1"/>
    <xf numFmtId="164" fontId="8" fillId="3" borderId="1" xfId="1" applyNumberFormat="1" applyFont="1" applyFill="1"/>
    <xf numFmtId="164" fontId="8" fillId="5" borderId="1" xfId="1" applyNumberFormat="1" applyFont="1" applyFill="1"/>
    <xf numFmtId="0" fontId="7" fillId="0" borderId="1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495"/>
  <sheetViews>
    <sheetView tabSelected="1" zoomScale="85" workbookViewId="0">
      <pane xSplit="2" ySplit="5" topLeftCell="C84" activePane="bottomRight" state="frozen"/>
      <selection pane="topRight"/>
      <selection pane="bottomLeft"/>
      <selection pane="bottomRight" activeCell="AA2" sqref="AA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5" width="7" customWidth="1"/>
    <col min="16" max="16" width="7" style="23" customWidth="1"/>
    <col min="17" max="17" width="7" customWidth="1"/>
    <col min="18" max="18" width="7" style="23" customWidth="1"/>
    <col min="19" max="20" width="7" customWidth="1"/>
    <col min="21" max="22" width="5" customWidth="1"/>
    <col min="23" max="32" width="6" customWidth="1"/>
    <col min="33" max="33" width="44.42578125" customWidth="1"/>
    <col min="34" max="34" width="7" customWidth="1"/>
    <col min="35" max="46" width="3" customWidth="1"/>
  </cols>
  <sheetData>
    <row r="1" spans="1:46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9"/>
      <c r="Q1" s="1"/>
      <c r="R1" s="19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9">
        <v>600</v>
      </c>
      <c r="Q2" s="1"/>
      <c r="R2" s="19">
        <v>450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0" t="s">
        <v>14</v>
      </c>
      <c r="Q3" s="2" t="s">
        <v>14</v>
      </c>
      <c r="R3" s="20" t="s">
        <v>14</v>
      </c>
      <c r="S3" s="2" t="s">
        <v>15</v>
      </c>
      <c r="T3" s="3" t="s">
        <v>16</v>
      </c>
      <c r="U3" s="2" t="s">
        <v>17</v>
      </c>
      <c r="V3" s="2" t="s">
        <v>18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20</v>
      </c>
      <c r="AH3" s="2" t="s">
        <v>21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</row>
    <row r="4" spans="1:46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9" t="s">
        <v>181</v>
      </c>
      <c r="Q4" s="1" t="s">
        <v>23</v>
      </c>
      <c r="R4" s="19" t="s">
        <v>182</v>
      </c>
      <c r="S4" s="1" t="s">
        <v>23</v>
      </c>
      <c r="T4" s="1"/>
      <c r="U4" s="1"/>
      <c r="V4" s="1"/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pans="1:46" x14ac:dyDescent="0.25">
      <c r="A5" s="1"/>
      <c r="B5" s="1"/>
      <c r="C5" s="1"/>
      <c r="D5" s="1"/>
      <c r="E5" s="4">
        <f>SUM(E6:E495)</f>
        <v>12872.132999999998</v>
      </c>
      <c r="F5" s="4">
        <f>SUM(F6:F495)</f>
        <v>18886.486999999997</v>
      </c>
      <c r="G5" s="7"/>
      <c r="H5" s="1"/>
      <c r="I5" s="1"/>
      <c r="J5" s="1"/>
      <c r="K5" s="4">
        <f t="shared" ref="K5:T5" si="0">SUM(K6:K495)</f>
        <v>14025.300000000003</v>
      </c>
      <c r="L5" s="4">
        <f t="shared" si="0"/>
        <v>-1153.1670000000001</v>
      </c>
      <c r="M5" s="4">
        <f t="shared" si="0"/>
        <v>0</v>
      </c>
      <c r="N5" s="4">
        <f t="shared" si="0"/>
        <v>0</v>
      </c>
      <c r="O5" s="4">
        <f t="shared" si="0"/>
        <v>8232.0673739488429</v>
      </c>
      <c r="P5" s="21">
        <f t="shared" ref="P5" si="1">SUM(P6:P495)</f>
        <v>600</v>
      </c>
      <c r="Q5" s="4">
        <f t="shared" si="0"/>
        <v>13802.115944170748</v>
      </c>
      <c r="R5" s="21">
        <f t="shared" ref="R5" si="2">SUM(R6:R495)</f>
        <v>450</v>
      </c>
      <c r="S5" s="4">
        <f t="shared" si="0"/>
        <v>2574.4265999999993</v>
      </c>
      <c r="T5" s="4">
        <f t="shared" si="0"/>
        <v>2035.1485091774287</v>
      </c>
      <c r="U5" s="1"/>
      <c r="V5" s="1"/>
      <c r="W5" s="4">
        <f t="shared" ref="W5:AF5" si="3">SUM(W6:W495)</f>
        <v>2832.1130000000003</v>
      </c>
      <c r="X5" s="4">
        <f t="shared" si="3"/>
        <v>3211.8783999999996</v>
      </c>
      <c r="Y5" s="4">
        <f t="shared" si="3"/>
        <v>3221.5873999999994</v>
      </c>
      <c r="Z5" s="4">
        <f t="shared" si="3"/>
        <v>3336.7943999999984</v>
      </c>
      <c r="AA5" s="4">
        <f t="shared" si="3"/>
        <v>4291.6760000000013</v>
      </c>
      <c r="AB5" s="4">
        <f t="shared" si="3"/>
        <v>4268.7132000000001</v>
      </c>
      <c r="AC5" s="4">
        <f t="shared" si="3"/>
        <v>3863.9036000000019</v>
      </c>
      <c r="AD5" s="4">
        <f t="shared" si="3"/>
        <v>3651.4625999999989</v>
      </c>
      <c r="AE5" s="4">
        <f t="shared" si="3"/>
        <v>3632.7342000000017</v>
      </c>
      <c r="AF5" s="4">
        <f t="shared" si="3"/>
        <v>4200.8311999999987</v>
      </c>
      <c r="AG5" s="1"/>
      <c r="AH5" s="4">
        <f>SUM(AH6:AH495)</f>
        <v>1292.057847284126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pans="1:46" x14ac:dyDescent="0.25">
      <c r="A6" s="1" t="s">
        <v>34</v>
      </c>
      <c r="B6" s="1" t="s">
        <v>35</v>
      </c>
      <c r="C6" s="1">
        <v>108.248</v>
      </c>
      <c r="D6" s="1">
        <v>315.43900000000002</v>
      </c>
      <c r="E6" s="1">
        <v>176.14099999999999</v>
      </c>
      <c r="F6" s="1">
        <v>97.177000000000007</v>
      </c>
      <c r="G6" s="7">
        <v>1</v>
      </c>
      <c r="H6" s="1">
        <v>50</v>
      </c>
      <c r="I6" s="1" t="s">
        <v>36</v>
      </c>
      <c r="J6" s="1"/>
      <c r="K6" s="1">
        <v>166.4</v>
      </c>
      <c r="L6" s="1">
        <f t="shared" ref="L6:L37" si="4">E6-K6</f>
        <v>9.7409999999999854</v>
      </c>
      <c r="M6" s="1"/>
      <c r="N6" s="1"/>
      <c r="O6" s="1">
        <v>0</v>
      </c>
      <c r="P6" s="19"/>
      <c r="Q6" s="1">
        <v>90.360999999999933</v>
      </c>
      <c r="R6" s="19"/>
      <c r="S6" s="1">
        <f t="shared" ref="S6:S37" si="5">E6/5</f>
        <v>35.228200000000001</v>
      </c>
      <c r="T6" s="5">
        <f>11*S6-Q6-O6-F6</f>
        <v>199.97220000000004</v>
      </c>
      <c r="U6" s="1">
        <f>(F6+O6+P6+Q6+R6+T6)/S6</f>
        <v>11</v>
      </c>
      <c r="V6" s="1">
        <f>(F6+O6+P6+Q6+R6)/S6</f>
        <v>5.3235192260745636</v>
      </c>
      <c r="W6" s="1">
        <v>20.837399999999999</v>
      </c>
      <c r="X6" s="1">
        <v>32.624200000000002</v>
      </c>
      <c r="Y6" s="1">
        <v>49.9176</v>
      </c>
      <c r="Z6" s="1">
        <v>50.513599999999997</v>
      </c>
      <c r="AA6" s="1">
        <v>52.347000000000001</v>
      </c>
      <c r="AB6" s="1">
        <v>48.521000000000001</v>
      </c>
      <c r="AC6" s="1">
        <v>43.444600000000001</v>
      </c>
      <c r="AD6" s="1">
        <v>50.715400000000002</v>
      </c>
      <c r="AE6" s="1">
        <v>50.555</v>
      </c>
      <c r="AF6" s="1">
        <v>49.53</v>
      </c>
      <c r="AG6" s="1"/>
      <c r="AH6" s="1">
        <f>G6*T6</f>
        <v>199.97220000000004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</row>
    <row r="7" spans="1:46" x14ac:dyDescent="0.25">
      <c r="A7" s="1" t="s">
        <v>37</v>
      </c>
      <c r="B7" s="1" t="s">
        <v>35</v>
      </c>
      <c r="C7" s="1">
        <v>60.430999999999997</v>
      </c>
      <c r="D7" s="1">
        <v>732.99300000000005</v>
      </c>
      <c r="E7" s="1">
        <v>243.976</v>
      </c>
      <c r="F7" s="1">
        <v>143.76599999999999</v>
      </c>
      <c r="G7" s="7">
        <v>1</v>
      </c>
      <c r="H7" s="1">
        <v>45</v>
      </c>
      <c r="I7" s="1" t="s">
        <v>36</v>
      </c>
      <c r="J7" s="1"/>
      <c r="K7" s="1">
        <v>246</v>
      </c>
      <c r="L7" s="1">
        <f t="shared" si="4"/>
        <v>-2.0240000000000009</v>
      </c>
      <c r="M7" s="1"/>
      <c r="N7" s="1"/>
      <c r="O7" s="1">
        <v>152.32748036826791</v>
      </c>
      <c r="P7" s="19"/>
      <c r="Q7" s="1">
        <v>217.62223963173241</v>
      </c>
      <c r="R7" s="19"/>
      <c r="S7" s="1">
        <f t="shared" si="5"/>
        <v>48.795200000000001</v>
      </c>
      <c r="T7" s="5">
        <f t="shared" ref="T7" si="6">11*S7-Q7-O7-F7</f>
        <v>23.031479999999675</v>
      </c>
      <c r="U7" s="1">
        <f t="shared" ref="U7:U70" si="7">(F7+O7+P7+Q7+R7+T7)/S7</f>
        <v>11</v>
      </c>
      <c r="V7" s="1">
        <f t="shared" ref="V7:V70" si="8">(F7+O7+P7+Q7+R7)/S7</f>
        <v>10.527997016099953</v>
      </c>
      <c r="W7" s="1">
        <v>46.159799999999997</v>
      </c>
      <c r="X7" s="1">
        <v>75.304000000000002</v>
      </c>
      <c r="Y7" s="1">
        <v>93.414999999999992</v>
      </c>
      <c r="Z7" s="1">
        <v>102.57940000000001</v>
      </c>
      <c r="AA7" s="1">
        <v>91.360199999999992</v>
      </c>
      <c r="AB7" s="1">
        <v>75.338800000000006</v>
      </c>
      <c r="AC7" s="1">
        <v>78.611599999999996</v>
      </c>
      <c r="AD7" s="1">
        <v>107.873</v>
      </c>
      <c r="AE7" s="1">
        <v>130.68199999999999</v>
      </c>
      <c r="AF7" s="1">
        <v>153.03919999999999</v>
      </c>
      <c r="AG7" s="1"/>
      <c r="AH7" s="1">
        <f>G7*T7</f>
        <v>23.031479999999675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</row>
    <row r="8" spans="1:46" x14ac:dyDescent="0.25">
      <c r="A8" s="1" t="s">
        <v>38</v>
      </c>
      <c r="B8" s="1" t="s">
        <v>35</v>
      </c>
      <c r="C8" s="1">
        <v>288.74099999999999</v>
      </c>
      <c r="D8" s="1">
        <v>490.85</v>
      </c>
      <c r="E8" s="1">
        <v>264.69200000000001</v>
      </c>
      <c r="F8" s="1">
        <v>502.459</v>
      </c>
      <c r="G8" s="7">
        <v>1</v>
      </c>
      <c r="H8" s="1">
        <v>45</v>
      </c>
      <c r="I8" s="1" t="s">
        <v>36</v>
      </c>
      <c r="J8" s="1"/>
      <c r="K8" s="1">
        <v>258.2</v>
      </c>
      <c r="L8" s="1">
        <f t="shared" si="4"/>
        <v>6.4920000000000186</v>
      </c>
      <c r="M8" s="1"/>
      <c r="N8" s="1"/>
      <c r="O8" s="1">
        <v>206.50970044406151</v>
      </c>
      <c r="P8" s="19"/>
      <c r="Q8" s="1">
        <v>0</v>
      </c>
      <c r="R8" s="19"/>
      <c r="S8" s="1">
        <f t="shared" si="5"/>
        <v>52.938400000000001</v>
      </c>
      <c r="T8" s="5"/>
      <c r="U8" s="1">
        <f t="shared" si="7"/>
        <v>13.392333361870806</v>
      </c>
      <c r="V8" s="1">
        <f t="shared" si="8"/>
        <v>13.392333361870806</v>
      </c>
      <c r="W8" s="1">
        <v>54.453600000000009</v>
      </c>
      <c r="X8" s="1">
        <v>85.114000000000004</v>
      </c>
      <c r="Y8" s="1">
        <v>96.858000000000004</v>
      </c>
      <c r="Z8" s="1">
        <v>78.322800000000001</v>
      </c>
      <c r="AA8" s="1">
        <v>84.352599999999995</v>
      </c>
      <c r="AB8" s="1">
        <v>119.5784</v>
      </c>
      <c r="AC8" s="1">
        <v>115.399</v>
      </c>
      <c r="AD8" s="1">
        <v>92.236400000000003</v>
      </c>
      <c r="AE8" s="1">
        <v>101.6842</v>
      </c>
      <c r="AF8" s="1">
        <v>112.5746</v>
      </c>
      <c r="AG8" s="1"/>
      <c r="AH8" s="1">
        <f>G8*T8</f>
        <v>0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</row>
    <row r="9" spans="1:46" x14ac:dyDescent="0.25">
      <c r="A9" s="10" t="s">
        <v>39</v>
      </c>
      <c r="B9" s="10" t="s">
        <v>40</v>
      </c>
      <c r="C9" s="10"/>
      <c r="D9" s="10"/>
      <c r="E9" s="10"/>
      <c r="F9" s="10"/>
      <c r="G9" s="11">
        <v>0</v>
      </c>
      <c r="H9" s="10"/>
      <c r="I9" s="10" t="s">
        <v>36</v>
      </c>
      <c r="J9" s="10"/>
      <c r="K9" s="10"/>
      <c r="L9" s="10">
        <f t="shared" si="4"/>
        <v>0</v>
      </c>
      <c r="M9" s="10"/>
      <c r="N9" s="10"/>
      <c r="O9" s="10"/>
      <c r="P9" s="22"/>
      <c r="Q9" s="10">
        <v>0</v>
      </c>
      <c r="R9" s="22"/>
      <c r="S9" s="10">
        <f t="shared" si="5"/>
        <v>0</v>
      </c>
      <c r="T9" s="12"/>
      <c r="U9" s="10" t="e">
        <f t="shared" si="7"/>
        <v>#DIV/0!</v>
      </c>
      <c r="V9" s="10" t="e">
        <f t="shared" si="8"/>
        <v>#DIV/0!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 t="s">
        <v>41</v>
      </c>
      <c r="AH9" s="10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</row>
    <row r="10" spans="1:46" x14ac:dyDescent="0.25">
      <c r="A10" s="1" t="s">
        <v>42</v>
      </c>
      <c r="B10" s="1" t="s">
        <v>40</v>
      </c>
      <c r="C10" s="1"/>
      <c r="D10" s="1">
        <v>756</v>
      </c>
      <c r="E10" s="1">
        <v>164</v>
      </c>
      <c r="F10" s="1">
        <v>567</v>
      </c>
      <c r="G10" s="7">
        <v>0.45</v>
      </c>
      <c r="H10" s="1">
        <v>45</v>
      </c>
      <c r="I10" s="1" t="s">
        <v>36</v>
      </c>
      <c r="J10" s="1"/>
      <c r="K10" s="1">
        <v>167</v>
      </c>
      <c r="L10" s="1">
        <f t="shared" si="4"/>
        <v>-3</v>
      </c>
      <c r="M10" s="1"/>
      <c r="N10" s="1"/>
      <c r="O10" s="1">
        <v>300</v>
      </c>
      <c r="P10" s="19"/>
      <c r="Q10" s="1">
        <v>0</v>
      </c>
      <c r="R10" s="19"/>
      <c r="S10" s="1">
        <f t="shared" si="5"/>
        <v>32.799999999999997</v>
      </c>
      <c r="T10" s="5"/>
      <c r="U10" s="1">
        <f t="shared" si="7"/>
        <v>26.432926829268293</v>
      </c>
      <c r="V10" s="1">
        <f t="shared" si="8"/>
        <v>26.432926829268293</v>
      </c>
      <c r="W10" s="1">
        <v>1.8</v>
      </c>
      <c r="X10" s="1">
        <v>-2.4</v>
      </c>
      <c r="Y10" s="1">
        <v>1.8</v>
      </c>
      <c r="Z10" s="1">
        <v>59.4</v>
      </c>
      <c r="AA10" s="1">
        <v>80.107600000000005</v>
      </c>
      <c r="AB10" s="1">
        <v>22.907599999999999</v>
      </c>
      <c r="AC10" s="1">
        <v>53.8</v>
      </c>
      <c r="AD10" s="1">
        <v>96.8</v>
      </c>
      <c r="AE10" s="1">
        <v>76.400000000000006</v>
      </c>
      <c r="AF10" s="1">
        <v>41.6</v>
      </c>
      <c r="AG10" s="17" t="s">
        <v>178</v>
      </c>
      <c r="AH10" s="1">
        <f t="shared" ref="AH10:AH24" si="9">G10*T10</f>
        <v>0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</row>
    <row r="11" spans="1:46" x14ac:dyDescent="0.25">
      <c r="A11" s="1" t="s">
        <v>43</v>
      </c>
      <c r="B11" s="1" t="s">
        <v>40</v>
      </c>
      <c r="C11" s="1">
        <v>297</v>
      </c>
      <c r="D11" s="1">
        <v>766</v>
      </c>
      <c r="E11" s="1">
        <v>295</v>
      </c>
      <c r="F11" s="1">
        <v>660</v>
      </c>
      <c r="G11" s="7">
        <v>0.45</v>
      </c>
      <c r="H11" s="1">
        <v>45</v>
      </c>
      <c r="I11" s="1" t="s">
        <v>36</v>
      </c>
      <c r="J11" s="1"/>
      <c r="K11" s="1">
        <v>310</v>
      </c>
      <c r="L11" s="1">
        <f t="shared" si="4"/>
        <v>-15</v>
      </c>
      <c r="M11" s="1"/>
      <c r="N11" s="1"/>
      <c r="O11" s="1">
        <v>466.692943063352</v>
      </c>
      <c r="P11" s="19"/>
      <c r="Q11" s="1">
        <v>0</v>
      </c>
      <c r="R11" s="19"/>
      <c r="S11" s="1">
        <f t="shared" si="5"/>
        <v>59</v>
      </c>
      <c r="T11" s="5"/>
      <c r="U11" s="1">
        <f t="shared" si="7"/>
        <v>19.096490560395797</v>
      </c>
      <c r="V11" s="1">
        <f t="shared" si="8"/>
        <v>19.096490560395797</v>
      </c>
      <c r="W11" s="1">
        <v>68.400000000000006</v>
      </c>
      <c r="X11" s="1">
        <v>186</v>
      </c>
      <c r="Y11" s="1">
        <v>149.80000000000001</v>
      </c>
      <c r="Z11" s="1">
        <v>27.2</v>
      </c>
      <c r="AA11" s="1">
        <v>95.2</v>
      </c>
      <c r="AB11" s="1">
        <v>169.6</v>
      </c>
      <c r="AC11" s="1">
        <v>188.2</v>
      </c>
      <c r="AD11" s="1">
        <v>158.4</v>
      </c>
      <c r="AE11" s="1">
        <v>100.4</v>
      </c>
      <c r="AF11" s="1">
        <v>145.4</v>
      </c>
      <c r="AG11" s="1"/>
      <c r="AH11" s="1">
        <f t="shared" si="9"/>
        <v>0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</row>
    <row r="12" spans="1:46" x14ac:dyDescent="0.25">
      <c r="A12" s="1" t="s">
        <v>44</v>
      </c>
      <c r="B12" s="1" t="s">
        <v>40</v>
      </c>
      <c r="C12" s="1">
        <v>16</v>
      </c>
      <c r="D12" s="1">
        <v>180</v>
      </c>
      <c r="E12" s="1">
        <v>16</v>
      </c>
      <c r="F12" s="1">
        <v>109</v>
      </c>
      <c r="G12" s="7">
        <v>0.17</v>
      </c>
      <c r="H12" s="1">
        <v>180</v>
      </c>
      <c r="I12" s="1" t="s">
        <v>36</v>
      </c>
      <c r="J12" s="1"/>
      <c r="K12" s="1">
        <v>29</v>
      </c>
      <c r="L12" s="1">
        <f t="shared" si="4"/>
        <v>-13</v>
      </c>
      <c r="M12" s="1"/>
      <c r="N12" s="1"/>
      <c r="O12" s="1">
        <v>137.06887966804979</v>
      </c>
      <c r="P12" s="19"/>
      <c r="Q12" s="1">
        <v>0</v>
      </c>
      <c r="R12" s="19"/>
      <c r="S12" s="1">
        <f t="shared" si="5"/>
        <v>3.2</v>
      </c>
      <c r="T12" s="5"/>
      <c r="U12" s="1">
        <f t="shared" si="7"/>
        <v>76.896524896265561</v>
      </c>
      <c r="V12" s="1">
        <f t="shared" si="8"/>
        <v>76.896524896265561</v>
      </c>
      <c r="W12" s="1">
        <v>13.4</v>
      </c>
      <c r="X12" s="1">
        <v>30</v>
      </c>
      <c r="Y12" s="1">
        <v>20.399999999999999</v>
      </c>
      <c r="Z12" s="1">
        <v>8.4</v>
      </c>
      <c r="AA12" s="1">
        <v>9</v>
      </c>
      <c r="AB12" s="1">
        <v>4.4000000000000004</v>
      </c>
      <c r="AC12" s="1">
        <v>19.8</v>
      </c>
      <c r="AD12" s="1">
        <v>26.4</v>
      </c>
      <c r="AE12" s="1">
        <v>7.6</v>
      </c>
      <c r="AF12" s="1">
        <v>9</v>
      </c>
      <c r="AG12" s="15" t="s">
        <v>177</v>
      </c>
      <c r="AH12" s="1">
        <f t="shared" si="9"/>
        <v>0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</row>
    <row r="13" spans="1:46" x14ac:dyDescent="0.25">
      <c r="A13" s="1" t="s">
        <v>45</v>
      </c>
      <c r="B13" s="1" t="s">
        <v>40</v>
      </c>
      <c r="C13" s="1">
        <v>3</v>
      </c>
      <c r="D13" s="1">
        <v>155</v>
      </c>
      <c r="E13" s="1">
        <v>93</v>
      </c>
      <c r="F13" s="1">
        <v>11</v>
      </c>
      <c r="G13" s="7">
        <v>0.3</v>
      </c>
      <c r="H13" s="1">
        <v>40</v>
      </c>
      <c r="I13" s="9" t="s">
        <v>46</v>
      </c>
      <c r="J13" s="1"/>
      <c r="K13" s="1">
        <v>98</v>
      </c>
      <c r="L13" s="1">
        <f t="shared" si="4"/>
        <v>-5</v>
      </c>
      <c r="M13" s="1"/>
      <c r="N13" s="1"/>
      <c r="O13" s="1">
        <v>83.308900523560212</v>
      </c>
      <c r="P13" s="19"/>
      <c r="Q13" s="1">
        <v>211.23842931937159</v>
      </c>
      <c r="R13" s="19"/>
      <c r="S13" s="1">
        <f t="shared" si="5"/>
        <v>18.600000000000001</v>
      </c>
      <c r="T13" s="5"/>
      <c r="U13" s="1">
        <f t="shared" si="7"/>
        <v>16.427275798007084</v>
      </c>
      <c r="V13" s="1">
        <f t="shared" si="8"/>
        <v>16.427275798007084</v>
      </c>
      <c r="W13" s="1">
        <v>22.4</v>
      </c>
      <c r="X13" s="1">
        <v>9.4</v>
      </c>
      <c r="Y13" s="1">
        <v>5.8</v>
      </c>
      <c r="Z13" s="1">
        <v>6.2</v>
      </c>
      <c r="AA13" s="1">
        <v>11.4</v>
      </c>
      <c r="AB13" s="1">
        <v>16</v>
      </c>
      <c r="AC13" s="1">
        <v>6.8</v>
      </c>
      <c r="AD13" s="1">
        <v>-1.2</v>
      </c>
      <c r="AE13" s="1">
        <v>3.4</v>
      </c>
      <c r="AF13" s="1">
        <v>16.2</v>
      </c>
      <c r="AG13" s="1"/>
      <c r="AH13" s="1">
        <f t="shared" si="9"/>
        <v>0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</row>
    <row r="14" spans="1:46" x14ac:dyDescent="0.25">
      <c r="A14" s="1" t="s">
        <v>47</v>
      </c>
      <c r="B14" s="1" t="s">
        <v>40</v>
      </c>
      <c r="C14" s="1">
        <v>104</v>
      </c>
      <c r="D14" s="1">
        <v>259</v>
      </c>
      <c r="E14" s="1">
        <v>157</v>
      </c>
      <c r="F14" s="1">
        <v>32</v>
      </c>
      <c r="G14" s="7">
        <v>0.17</v>
      </c>
      <c r="H14" s="1">
        <v>180</v>
      </c>
      <c r="I14" s="1" t="s">
        <v>36</v>
      </c>
      <c r="J14" s="1"/>
      <c r="K14" s="1">
        <v>159</v>
      </c>
      <c r="L14" s="1">
        <f t="shared" si="4"/>
        <v>-2</v>
      </c>
      <c r="M14" s="1"/>
      <c r="N14" s="1"/>
      <c r="O14" s="1">
        <v>0</v>
      </c>
      <c r="P14" s="19"/>
      <c r="Q14" s="1">
        <v>337</v>
      </c>
      <c r="R14" s="19"/>
      <c r="S14" s="1">
        <f t="shared" si="5"/>
        <v>31.4</v>
      </c>
      <c r="T14" s="5"/>
      <c r="U14" s="1">
        <f t="shared" si="7"/>
        <v>11.751592356687899</v>
      </c>
      <c r="V14" s="1">
        <f t="shared" si="8"/>
        <v>11.751592356687899</v>
      </c>
      <c r="W14" s="1">
        <v>32</v>
      </c>
      <c r="X14" s="1">
        <v>38.6</v>
      </c>
      <c r="Y14" s="1">
        <v>35.799999999999997</v>
      </c>
      <c r="Z14" s="1">
        <v>42.8</v>
      </c>
      <c r="AA14" s="1">
        <v>55.6</v>
      </c>
      <c r="AB14" s="1">
        <v>50.6</v>
      </c>
      <c r="AC14" s="1">
        <v>53.6</v>
      </c>
      <c r="AD14" s="1">
        <v>49</v>
      </c>
      <c r="AE14" s="1">
        <v>49.2</v>
      </c>
      <c r="AF14" s="1">
        <v>54.4</v>
      </c>
      <c r="AG14" s="1"/>
      <c r="AH14" s="1">
        <f t="shared" si="9"/>
        <v>0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</row>
    <row r="15" spans="1:46" x14ac:dyDescent="0.25">
      <c r="A15" s="1" t="s">
        <v>48</v>
      </c>
      <c r="B15" s="1" t="s">
        <v>35</v>
      </c>
      <c r="C15" s="1">
        <v>258.83499999999998</v>
      </c>
      <c r="D15" s="1">
        <v>578.524</v>
      </c>
      <c r="E15" s="1">
        <v>183.52199999999999</v>
      </c>
      <c r="F15" s="1">
        <v>370.28100000000001</v>
      </c>
      <c r="G15" s="7">
        <v>1</v>
      </c>
      <c r="H15" s="1">
        <v>70</v>
      </c>
      <c r="I15" s="9" t="s">
        <v>46</v>
      </c>
      <c r="J15" s="1"/>
      <c r="K15" s="1">
        <v>167.3</v>
      </c>
      <c r="L15" s="1">
        <f t="shared" si="4"/>
        <v>16.22199999999998</v>
      </c>
      <c r="M15" s="1"/>
      <c r="N15" s="1"/>
      <c r="O15" s="1">
        <v>126.9810882813124</v>
      </c>
      <c r="P15" s="19"/>
      <c r="Q15" s="1">
        <v>0</v>
      </c>
      <c r="R15" s="19"/>
      <c r="S15" s="1">
        <f t="shared" si="5"/>
        <v>36.7044</v>
      </c>
      <c r="T15" s="5"/>
      <c r="U15" s="1">
        <f t="shared" si="7"/>
        <v>13.547751448908372</v>
      </c>
      <c r="V15" s="1">
        <f t="shared" si="8"/>
        <v>13.547751448908372</v>
      </c>
      <c r="W15" s="1">
        <v>34.183599999999998</v>
      </c>
      <c r="X15" s="1">
        <v>66.669600000000003</v>
      </c>
      <c r="Y15" s="1">
        <v>94.391199999999998</v>
      </c>
      <c r="Z15" s="1">
        <v>92.775999999999996</v>
      </c>
      <c r="AA15" s="1">
        <v>91.034000000000006</v>
      </c>
      <c r="AB15" s="1">
        <v>96.842399999999998</v>
      </c>
      <c r="AC15" s="1">
        <v>93.471599999999995</v>
      </c>
      <c r="AD15" s="1">
        <v>88.441000000000003</v>
      </c>
      <c r="AE15" s="1">
        <v>86.75739999999999</v>
      </c>
      <c r="AF15" s="1">
        <v>84.37</v>
      </c>
      <c r="AG15" s="1"/>
      <c r="AH15" s="1">
        <f t="shared" si="9"/>
        <v>0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</row>
    <row r="16" spans="1:46" x14ac:dyDescent="0.25">
      <c r="A16" s="1" t="s">
        <v>49</v>
      </c>
      <c r="B16" s="1" t="s">
        <v>35</v>
      </c>
      <c r="C16" s="1">
        <v>933.52499999999998</v>
      </c>
      <c r="D16" s="1">
        <v>3664.058</v>
      </c>
      <c r="E16" s="1">
        <v>1306.7619999999999</v>
      </c>
      <c r="F16" s="1">
        <v>2074.0459999999998</v>
      </c>
      <c r="G16" s="7">
        <v>1</v>
      </c>
      <c r="H16" s="1">
        <v>50</v>
      </c>
      <c r="I16" s="1" t="s">
        <v>36</v>
      </c>
      <c r="J16" s="1"/>
      <c r="K16" s="1">
        <v>1672.5</v>
      </c>
      <c r="L16" s="1">
        <f t="shared" si="4"/>
        <v>-365.73800000000006</v>
      </c>
      <c r="M16" s="1"/>
      <c r="N16" s="1"/>
      <c r="O16" s="1">
        <v>200</v>
      </c>
      <c r="P16" s="19"/>
      <c r="Q16" s="1">
        <v>2052.8198000000011</v>
      </c>
      <c r="R16" s="19"/>
      <c r="S16" s="1">
        <f t="shared" si="5"/>
        <v>261.35239999999999</v>
      </c>
      <c r="T16" s="5"/>
      <c r="U16" s="1">
        <f t="shared" si="7"/>
        <v>16.555676550129256</v>
      </c>
      <c r="V16" s="1">
        <f t="shared" si="8"/>
        <v>16.555676550129256</v>
      </c>
      <c r="W16" s="1">
        <v>314.37259999999998</v>
      </c>
      <c r="X16" s="1">
        <v>350.28039999999999</v>
      </c>
      <c r="Y16" s="1">
        <v>480.89580000000001</v>
      </c>
      <c r="Z16" s="1">
        <v>437.53480000000002</v>
      </c>
      <c r="AA16" s="1">
        <v>456.43400000000003</v>
      </c>
      <c r="AB16" s="1">
        <v>513.70119999999997</v>
      </c>
      <c r="AC16" s="1">
        <v>424.07979999999998</v>
      </c>
      <c r="AD16" s="1">
        <v>400.34519999999998</v>
      </c>
      <c r="AE16" s="1">
        <v>421.65800000000002</v>
      </c>
      <c r="AF16" s="1">
        <v>435.88019999999989</v>
      </c>
      <c r="AG16" s="1"/>
      <c r="AH16" s="1">
        <f t="shared" si="9"/>
        <v>0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</row>
    <row r="17" spans="1:46" x14ac:dyDescent="0.25">
      <c r="A17" s="1" t="s">
        <v>50</v>
      </c>
      <c r="B17" s="1" t="s">
        <v>35</v>
      </c>
      <c r="C17" s="1">
        <v>52.344000000000001</v>
      </c>
      <c r="D17" s="1">
        <v>26.436</v>
      </c>
      <c r="E17" s="1">
        <v>7.0510000000000002</v>
      </c>
      <c r="F17" s="1">
        <v>69.073999999999998</v>
      </c>
      <c r="G17" s="7">
        <v>1</v>
      </c>
      <c r="H17" s="1">
        <v>60</v>
      </c>
      <c r="I17" s="1" t="s">
        <v>36</v>
      </c>
      <c r="J17" s="1"/>
      <c r="K17" s="1">
        <v>7.4</v>
      </c>
      <c r="L17" s="1">
        <f t="shared" si="4"/>
        <v>-0.3490000000000002</v>
      </c>
      <c r="M17" s="1"/>
      <c r="N17" s="1"/>
      <c r="O17" s="1">
        <v>0</v>
      </c>
      <c r="P17" s="19"/>
      <c r="Q17" s="1">
        <v>0</v>
      </c>
      <c r="R17" s="19"/>
      <c r="S17" s="1">
        <f t="shared" si="5"/>
        <v>1.4102000000000001</v>
      </c>
      <c r="T17" s="5"/>
      <c r="U17" s="1">
        <f t="shared" si="7"/>
        <v>48.981704722734356</v>
      </c>
      <c r="V17" s="1">
        <f t="shared" si="8"/>
        <v>48.981704722734356</v>
      </c>
      <c r="W17" s="1">
        <v>0.70200000000000029</v>
      </c>
      <c r="X17" s="1">
        <v>6.7040000000000006</v>
      </c>
      <c r="Y17" s="1">
        <v>9.8385999999999996</v>
      </c>
      <c r="Z17" s="1">
        <v>11.293200000000001</v>
      </c>
      <c r="AA17" s="1">
        <v>15.170199999999999</v>
      </c>
      <c r="AB17" s="1">
        <v>14.3386</v>
      </c>
      <c r="AC17" s="1">
        <v>12.2934</v>
      </c>
      <c r="AD17" s="1">
        <v>14.3178</v>
      </c>
      <c r="AE17" s="1">
        <v>13.440799999999999</v>
      </c>
      <c r="AF17" s="1">
        <v>13.439399999999999</v>
      </c>
      <c r="AG17" s="15" t="s">
        <v>177</v>
      </c>
      <c r="AH17" s="1">
        <f t="shared" si="9"/>
        <v>0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</row>
    <row r="18" spans="1:46" x14ac:dyDescent="0.25">
      <c r="A18" s="1" t="s">
        <v>51</v>
      </c>
      <c r="B18" s="1" t="s">
        <v>35</v>
      </c>
      <c r="C18" s="1">
        <v>24.83</v>
      </c>
      <c r="D18" s="1">
        <v>47.454999999999998</v>
      </c>
      <c r="E18" s="1">
        <v>5.843</v>
      </c>
      <c r="F18" s="1">
        <v>59.124000000000002</v>
      </c>
      <c r="G18" s="7">
        <v>1</v>
      </c>
      <c r="H18" s="1">
        <v>60</v>
      </c>
      <c r="I18" s="9" t="s">
        <v>46</v>
      </c>
      <c r="J18" s="1"/>
      <c r="K18" s="1">
        <v>6</v>
      </c>
      <c r="L18" s="1">
        <f t="shared" si="4"/>
        <v>-0.15700000000000003</v>
      </c>
      <c r="M18" s="1"/>
      <c r="N18" s="1"/>
      <c r="O18" s="1">
        <v>0</v>
      </c>
      <c r="P18" s="19"/>
      <c r="Q18" s="1">
        <v>0</v>
      </c>
      <c r="R18" s="19"/>
      <c r="S18" s="1">
        <f t="shared" si="5"/>
        <v>1.1686000000000001</v>
      </c>
      <c r="T18" s="5"/>
      <c r="U18" s="1">
        <f t="shared" si="7"/>
        <v>50.593873010439843</v>
      </c>
      <c r="V18" s="1">
        <f t="shared" si="8"/>
        <v>50.593873010439843</v>
      </c>
      <c r="W18" s="1">
        <v>0.5292</v>
      </c>
      <c r="X18" s="1">
        <v>2.8111999999999999</v>
      </c>
      <c r="Y18" s="1">
        <v>5.9997999999999996</v>
      </c>
      <c r="Z18" s="1">
        <v>7.8230000000000004</v>
      </c>
      <c r="AA18" s="1">
        <v>10.795400000000001</v>
      </c>
      <c r="AB18" s="1">
        <v>9.7043999999999997</v>
      </c>
      <c r="AC18" s="1">
        <v>7.2253999999999996</v>
      </c>
      <c r="AD18" s="1">
        <v>9.3013999999999992</v>
      </c>
      <c r="AE18" s="1">
        <v>8.0855999999999995</v>
      </c>
      <c r="AF18" s="1">
        <v>8.6264000000000003</v>
      </c>
      <c r="AG18" s="15" t="s">
        <v>177</v>
      </c>
      <c r="AH18" s="1">
        <f t="shared" si="9"/>
        <v>0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</row>
    <row r="19" spans="1:46" x14ac:dyDescent="0.25">
      <c r="A19" s="1" t="s">
        <v>52</v>
      </c>
      <c r="B19" s="1" t="s">
        <v>35</v>
      </c>
      <c r="C19" s="1">
        <v>14.474</v>
      </c>
      <c r="D19" s="1">
        <v>44.308999999999997</v>
      </c>
      <c r="E19" s="1">
        <v>24.315999999999999</v>
      </c>
      <c r="F19" s="1">
        <v>-0.35599999999999998</v>
      </c>
      <c r="G19" s="7">
        <v>1</v>
      </c>
      <c r="H19" s="1">
        <v>180</v>
      </c>
      <c r="I19" s="1" t="s">
        <v>36</v>
      </c>
      <c r="J19" s="1"/>
      <c r="K19" s="1">
        <v>20.55</v>
      </c>
      <c r="L19" s="1">
        <f t="shared" si="4"/>
        <v>3.7659999999999982</v>
      </c>
      <c r="M19" s="1"/>
      <c r="N19" s="1"/>
      <c r="O19" s="1">
        <v>0</v>
      </c>
      <c r="P19" s="19"/>
      <c r="Q19" s="1">
        <v>63.97999999999999</v>
      </c>
      <c r="R19" s="19"/>
      <c r="S19" s="1">
        <f t="shared" si="5"/>
        <v>4.8632</v>
      </c>
      <c r="T19" s="5">
        <v>10</v>
      </c>
      <c r="U19" s="1">
        <f t="shared" si="7"/>
        <v>15.139003125514064</v>
      </c>
      <c r="V19" s="1">
        <f t="shared" si="8"/>
        <v>13.082743872347423</v>
      </c>
      <c r="W19" s="1">
        <v>4.8779999999999992</v>
      </c>
      <c r="X19" s="1">
        <v>4.3624000000000001</v>
      </c>
      <c r="Y19" s="1">
        <v>4.9363999999999999</v>
      </c>
      <c r="Z19" s="1">
        <v>5.5602</v>
      </c>
      <c r="AA19" s="1">
        <v>7.5060000000000002</v>
      </c>
      <c r="AB19" s="1">
        <v>7.0279999999999996</v>
      </c>
      <c r="AC19" s="1">
        <v>6.3250000000000002</v>
      </c>
      <c r="AD19" s="1">
        <v>6.3784000000000001</v>
      </c>
      <c r="AE19" s="1">
        <v>6.1204000000000001</v>
      </c>
      <c r="AF19" s="1">
        <v>5.7140000000000004</v>
      </c>
      <c r="AG19" s="1"/>
      <c r="AH19" s="1">
        <f t="shared" si="9"/>
        <v>10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</row>
    <row r="20" spans="1:46" x14ac:dyDescent="0.25">
      <c r="A20" s="1" t="s">
        <v>53</v>
      </c>
      <c r="B20" s="1" t="s">
        <v>35</v>
      </c>
      <c r="C20" s="1">
        <v>200.721</v>
      </c>
      <c r="D20" s="1">
        <v>248.965</v>
      </c>
      <c r="E20" s="1">
        <v>124.098</v>
      </c>
      <c r="F20" s="1">
        <v>292.072</v>
      </c>
      <c r="G20" s="7">
        <v>1</v>
      </c>
      <c r="H20" s="1">
        <v>60</v>
      </c>
      <c r="I20" s="1" t="s">
        <v>36</v>
      </c>
      <c r="J20" s="1"/>
      <c r="K20" s="1">
        <v>113.4</v>
      </c>
      <c r="L20" s="1">
        <f t="shared" si="4"/>
        <v>10.697999999999993</v>
      </c>
      <c r="M20" s="1"/>
      <c r="N20" s="1"/>
      <c r="O20" s="1">
        <v>120.11363661258849</v>
      </c>
      <c r="P20" s="19"/>
      <c r="Q20" s="1">
        <v>0</v>
      </c>
      <c r="R20" s="19"/>
      <c r="S20" s="1">
        <f t="shared" si="5"/>
        <v>24.819600000000001</v>
      </c>
      <c r="T20" s="5"/>
      <c r="U20" s="1">
        <f t="shared" si="7"/>
        <v>16.607263477759048</v>
      </c>
      <c r="V20" s="1">
        <f t="shared" si="8"/>
        <v>16.607263477759048</v>
      </c>
      <c r="W20" s="1">
        <v>23.265000000000001</v>
      </c>
      <c r="X20" s="1">
        <v>64.643600000000006</v>
      </c>
      <c r="Y20" s="1">
        <v>58.071800000000003</v>
      </c>
      <c r="Z20" s="1">
        <v>56.750199999999992</v>
      </c>
      <c r="AA20" s="1">
        <v>79.769800000000004</v>
      </c>
      <c r="AB20" s="1">
        <v>80.206800000000001</v>
      </c>
      <c r="AC20" s="1">
        <v>75.62</v>
      </c>
      <c r="AD20" s="1">
        <v>64.991</v>
      </c>
      <c r="AE20" s="1">
        <v>61.033200000000001</v>
      </c>
      <c r="AF20" s="1">
        <v>58.342399999999998</v>
      </c>
      <c r="AG20" s="1"/>
      <c r="AH20" s="1">
        <f t="shared" si="9"/>
        <v>0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r="21" spans="1:46" x14ac:dyDescent="0.25">
      <c r="A21" s="1" t="s">
        <v>54</v>
      </c>
      <c r="B21" s="1" t="s">
        <v>35</v>
      </c>
      <c r="C21" s="1">
        <v>3.5609999999999999</v>
      </c>
      <c r="D21" s="1">
        <v>323.59699999999998</v>
      </c>
      <c r="E21" s="1">
        <v>14.904</v>
      </c>
      <c r="F21" s="1">
        <v>132.24</v>
      </c>
      <c r="G21" s="7">
        <v>1</v>
      </c>
      <c r="H21" s="1">
        <v>70</v>
      </c>
      <c r="I21" s="1" t="s">
        <v>36</v>
      </c>
      <c r="J21" s="1"/>
      <c r="K21" s="1">
        <v>20.5</v>
      </c>
      <c r="L21" s="1">
        <f t="shared" si="4"/>
        <v>-5.5960000000000001</v>
      </c>
      <c r="M21" s="1"/>
      <c r="N21" s="1"/>
      <c r="O21" s="1">
        <v>0</v>
      </c>
      <c r="P21" s="19"/>
      <c r="Q21" s="1">
        <v>0</v>
      </c>
      <c r="R21" s="19"/>
      <c r="S21" s="1">
        <f t="shared" si="5"/>
        <v>2.9807999999999999</v>
      </c>
      <c r="T21" s="5"/>
      <c r="U21" s="1">
        <f t="shared" si="7"/>
        <v>44.363929146537849</v>
      </c>
      <c r="V21" s="1">
        <f t="shared" si="8"/>
        <v>44.363929146537849</v>
      </c>
      <c r="W21" s="1">
        <v>1.7667999999999999</v>
      </c>
      <c r="X21" s="1">
        <v>11.1084</v>
      </c>
      <c r="Y21" s="1">
        <v>22.072600000000001</v>
      </c>
      <c r="Z21" s="1">
        <v>24.557600000000001</v>
      </c>
      <c r="AA21" s="1">
        <v>24.7864</v>
      </c>
      <c r="AB21" s="1">
        <v>16.4818</v>
      </c>
      <c r="AC21" s="1">
        <v>17.9194</v>
      </c>
      <c r="AD21" s="1">
        <v>20.691400000000002</v>
      </c>
      <c r="AE21" s="1">
        <v>19.97</v>
      </c>
      <c r="AF21" s="1">
        <v>26.1326</v>
      </c>
      <c r="AG21" s="1"/>
      <c r="AH21" s="1">
        <f t="shared" si="9"/>
        <v>0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</row>
    <row r="22" spans="1:46" x14ac:dyDescent="0.25">
      <c r="A22" s="1" t="s">
        <v>55</v>
      </c>
      <c r="B22" s="1" t="s">
        <v>35</v>
      </c>
      <c r="C22" s="1">
        <v>65.918999999999997</v>
      </c>
      <c r="D22" s="1">
        <v>300.55200000000002</v>
      </c>
      <c r="E22" s="1">
        <v>61.494999999999997</v>
      </c>
      <c r="F22" s="1">
        <v>167.727</v>
      </c>
      <c r="G22" s="7">
        <v>1</v>
      </c>
      <c r="H22" s="1">
        <v>70</v>
      </c>
      <c r="I22" s="9" t="s">
        <v>46</v>
      </c>
      <c r="J22" s="1"/>
      <c r="K22" s="1">
        <v>57.3</v>
      </c>
      <c r="L22" s="1">
        <f t="shared" si="4"/>
        <v>4.1950000000000003</v>
      </c>
      <c r="M22" s="1"/>
      <c r="N22" s="1"/>
      <c r="O22" s="1">
        <v>0</v>
      </c>
      <c r="P22" s="19"/>
      <c r="Q22" s="1">
        <v>0</v>
      </c>
      <c r="R22" s="19"/>
      <c r="S22" s="1">
        <f t="shared" si="5"/>
        <v>12.298999999999999</v>
      </c>
      <c r="T22" s="5"/>
      <c r="U22" s="1">
        <f t="shared" si="7"/>
        <v>13.637450199203188</v>
      </c>
      <c r="V22" s="1">
        <f t="shared" si="8"/>
        <v>13.637450199203188</v>
      </c>
      <c r="W22" s="1">
        <v>9.3088000000000015</v>
      </c>
      <c r="X22" s="1">
        <v>12.678599999999999</v>
      </c>
      <c r="Y22" s="1">
        <v>24.118200000000002</v>
      </c>
      <c r="Z22" s="1">
        <v>18.269200000000001</v>
      </c>
      <c r="AA22" s="1">
        <v>21.5534</v>
      </c>
      <c r="AB22" s="1">
        <v>26.809000000000001</v>
      </c>
      <c r="AC22" s="1">
        <v>31.9404</v>
      </c>
      <c r="AD22" s="1">
        <v>32.387</v>
      </c>
      <c r="AE22" s="1">
        <v>26.2134</v>
      </c>
      <c r="AF22" s="1">
        <v>29.136800000000001</v>
      </c>
      <c r="AG22" s="1" t="s">
        <v>56</v>
      </c>
      <c r="AH22" s="1">
        <f t="shared" si="9"/>
        <v>0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</row>
    <row r="23" spans="1:46" x14ac:dyDescent="0.25">
      <c r="A23" s="1" t="s">
        <v>57</v>
      </c>
      <c r="B23" s="1" t="s">
        <v>35</v>
      </c>
      <c r="C23" s="1">
        <v>12.022</v>
      </c>
      <c r="D23" s="1">
        <v>75.141000000000005</v>
      </c>
      <c r="E23" s="1">
        <v>31.407</v>
      </c>
      <c r="F23" s="1">
        <v>5.8010000000000002</v>
      </c>
      <c r="G23" s="7">
        <v>1</v>
      </c>
      <c r="H23" s="1">
        <v>180</v>
      </c>
      <c r="I23" s="1" t="s">
        <v>36</v>
      </c>
      <c r="J23" s="1"/>
      <c r="K23" s="1">
        <v>27.95</v>
      </c>
      <c r="L23" s="1">
        <f t="shared" si="4"/>
        <v>3.4570000000000007</v>
      </c>
      <c r="M23" s="1"/>
      <c r="N23" s="1"/>
      <c r="O23" s="1">
        <v>0</v>
      </c>
      <c r="P23" s="19"/>
      <c r="Q23" s="1">
        <v>58.63280000000001</v>
      </c>
      <c r="R23" s="19"/>
      <c r="S23" s="1">
        <f t="shared" si="5"/>
        <v>6.2813999999999997</v>
      </c>
      <c r="T23" s="5">
        <f t="shared" ref="T23" si="10">11*S23-Q23-O23-F23</f>
        <v>4.6615999999999875</v>
      </c>
      <c r="U23" s="1">
        <f t="shared" si="7"/>
        <v>11</v>
      </c>
      <c r="V23" s="1">
        <f t="shared" si="8"/>
        <v>10.257872448817144</v>
      </c>
      <c r="W23" s="1">
        <v>5.3385999999999996</v>
      </c>
      <c r="X23" s="1">
        <v>3.8740000000000001</v>
      </c>
      <c r="Y23" s="1">
        <v>4.6496000000000004</v>
      </c>
      <c r="Z23" s="1">
        <v>6.7364000000000006</v>
      </c>
      <c r="AA23" s="1">
        <v>8.1237999999999992</v>
      </c>
      <c r="AB23" s="1">
        <v>7.3412000000000006</v>
      </c>
      <c r="AC23" s="1">
        <v>7.2737999999999996</v>
      </c>
      <c r="AD23" s="1">
        <v>6.770999999999999</v>
      </c>
      <c r="AE23" s="1">
        <v>5.3578000000000001</v>
      </c>
      <c r="AF23" s="1">
        <v>2.327</v>
      </c>
      <c r="AG23" s="1"/>
      <c r="AH23" s="1">
        <f t="shared" si="9"/>
        <v>4.6615999999999875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</row>
    <row r="24" spans="1:46" x14ac:dyDescent="0.25">
      <c r="A24" s="1" t="s">
        <v>58</v>
      </c>
      <c r="B24" s="1" t="s">
        <v>35</v>
      </c>
      <c r="C24" s="1">
        <v>33.406999999999996</v>
      </c>
      <c r="D24" s="1">
        <v>485.142</v>
      </c>
      <c r="E24" s="1">
        <v>60.539000000000001</v>
      </c>
      <c r="F24" s="1">
        <v>130.392</v>
      </c>
      <c r="G24" s="7">
        <v>1</v>
      </c>
      <c r="H24" s="1">
        <v>70</v>
      </c>
      <c r="I24" s="9" t="s">
        <v>46</v>
      </c>
      <c r="J24" s="1"/>
      <c r="K24" s="1">
        <v>52.1</v>
      </c>
      <c r="L24" s="1">
        <f t="shared" si="4"/>
        <v>8.4390000000000001</v>
      </c>
      <c r="M24" s="1"/>
      <c r="N24" s="1"/>
      <c r="O24" s="1">
        <v>0</v>
      </c>
      <c r="P24" s="19"/>
      <c r="Q24" s="1">
        <v>0</v>
      </c>
      <c r="R24" s="19"/>
      <c r="S24" s="1">
        <f t="shared" si="5"/>
        <v>12.107800000000001</v>
      </c>
      <c r="T24" s="5">
        <v>4</v>
      </c>
      <c r="U24" s="1">
        <f t="shared" si="7"/>
        <v>11.099621731445843</v>
      </c>
      <c r="V24" s="1">
        <f t="shared" si="8"/>
        <v>10.769256181965343</v>
      </c>
      <c r="W24" s="1">
        <v>10.0344</v>
      </c>
      <c r="X24" s="1">
        <v>32.643000000000001</v>
      </c>
      <c r="Y24" s="1">
        <v>50.256799999999998</v>
      </c>
      <c r="Z24" s="1">
        <v>50.878</v>
      </c>
      <c r="AA24" s="1">
        <v>32.047199999999997</v>
      </c>
      <c r="AB24" s="1">
        <v>25.897600000000001</v>
      </c>
      <c r="AC24" s="1">
        <v>37.567</v>
      </c>
      <c r="AD24" s="1">
        <v>37.298999999999999</v>
      </c>
      <c r="AE24" s="1">
        <v>36.141000000000012</v>
      </c>
      <c r="AF24" s="1">
        <v>39.828000000000003</v>
      </c>
      <c r="AG24" s="1" t="s">
        <v>56</v>
      </c>
      <c r="AH24" s="1">
        <f t="shared" si="9"/>
        <v>4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</row>
    <row r="25" spans="1:46" x14ac:dyDescent="0.25">
      <c r="A25" s="10" t="s">
        <v>59</v>
      </c>
      <c r="B25" s="10" t="s">
        <v>35</v>
      </c>
      <c r="C25" s="10"/>
      <c r="D25" s="10"/>
      <c r="E25" s="10"/>
      <c r="F25" s="10"/>
      <c r="G25" s="11">
        <v>0</v>
      </c>
      <c r="H25" s="10"/>
      <c r="I25" s="10" t="s">
        <v>36</v>
      </c>
      <c r="J25" s="10"/>
      <c r="K25" s="10"/>
      <c r="L25" s="10">
        <f t="shared" si="4"/>
        <v>0</v>
      </c>
      <c r="M25" s="10"/>
      <c r="N25" s="10"/>
      <c r="O25" s="10"/>
      <c r="P25" s="22"/>
      <c r="Q25" s="10">
        <v>0</v>
      </c>
      <c r="R25" s="22"/>
      <c r="S25" s="10">
        <f t="shared" si="5"/>
        <v>0</v>
      </c>
      <c r="T25" s="12"/>
      <c r="U25" s="10" t="e">
        <f t="shared" si="7"/>
        <v>#DIV/0!</v>
      </c>
      <c r="V25" s="10" t="e">
        <f t="shared" si="8"/>
        <v>#DIV/0!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 t="s">
        <v>41</v>
      </c>
      <c r="AH25" s="10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</row>
    <row r="26" spans="1:46" x14ac:dyDescent="0.25">
      <c r="A26" s="1" t="s">
        <v>60</v>
      </c>
      <c r="B26" s="1" t="s">
        <v>35</v>
      </c>
      <c r="C26" s="1"/>
      <c r="D26" s="1">
        <v>246.52199999999999</v>
      </c>
      <c r="E26" s="1">
        <v>20.658999999999999</v>
      </c>
      <c r="F26" s="1">
        <v>177.697</v>
      </c>
      <c r="G26" s="7">
        <v>1</v>
      </c>
      <c r="H26" s="1"/>
      <c r="I26" s="9" t="s">
        <v>46</v>
      </c>
      <c r="J26" s="1"/>
      <c r="K26" s="1">
        <v>31.4</v>
      </c>
      <c r="L26" s="1">
        <f t="shared" si="4"/>
        <v>-10.741</v>
      </c>
      <c r="M26" s="1"/>
      <c r="N26" s="1"/>
      <c r="O26" s="1">
        <v>55.239207031064041</v>
      </c>
      <c r="P26" s="19"/>
      <c r="Q26" s="1">
        <v>0</v>
      </c>
      <c r="R26" s="19"/>
      <c r="S26" s="1">
        <f t="shared" si="5"/>
        <v>4.1318000000000001</v>
      </c>
      <c r="T26" s="5"/>
      <c r="U26" s="1">
        <f t="shared" si="7"/>
        <v>56.376447802668096</v>
      </c>
      <c r="V26" s="1">
        <f t="shared" si="8"/>
        <v>56.376447802668096</v>
      </c>
      <c r="W26" s="1">
        <v>11.148199999999999</v>
      </c>
      <c r="X26" s="1">
        <v>25.6892</v>
      </c>
      <c r="Y26" s="1">
        <v>21.925799999999999</v>
      </c>
      <c r="Z26" s="1">
        <v>18.2592</v>
      </c>
      <c r="AA26" s="1">
        <v>16.141200000000001</v>
      </c>
      <c r="AB26" s="1">
        <v>2.0912000000000002</v>
      </c>
      <c r="AC26" s="1">
        <v>5.1159999999999997</v>
      </c>
      <c r="AD26" s="1">
        <v>17.8748</v>
      </c>
      <c r="AE26" s="1">
        <v>40.319000000000003</v>
      </c>
      <c r="AF26" s="1">
        <v>42.488399999999999</v>
      </c>
      <c r="AG26" s="1"/>
      <c r="AH26" s="1">
        <f t="shared" ref="AH26:AH41" si="11">G26*T26</f>
        <v>0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</row>
    <row r="27" spans="1:46" x14ac:dyDescent="0.25">
      <c r="A27" s="1" t="s">
        <v>61</v>
      </c>
      <c r="B27" s="1" t="s">
        <v>35</v>
      </c>
      <c r="C27" s="1">
        <v>-6.3E-2</v>
      </c>
      <c r="D27" s="1"/>
      <c r="E27" s="1"/>
      <c r="F27" s="1">
        <v>-6.3E-2</v>
      </c>
      <c r="G27" s="7">
        <v>1</v>
      </c>
      <c r="H27" s="1">
        <v>40</v>
      </c>
      <c r="I27" s="9" t="s">
        <v>46</v>
      </c>
      <c r="J27" s="1"/>
      <c r="K27" s="1">
        <v>10.8</v>
      </c>
      <c r="L27" s="1">
        <f t="shared" si="4"/>
        <v>-10.8</v>
      </c>
      <c r="M27" s="1"/>
      <c r="N27" s="1"/>
      <c r="O27" s="1">
        <v>126</v>
      </c>
      <c r="P27" s="19"/>
      <c r="Q27" s="1">
        <v>52</v>
      </c>
      <c r="R27" s="19"/>
      <c r="S27" s="1">
        <f t="shared" si="5"/>
        <v>0</v>
      </c>
      <c r="T27" s="5"/>
      <c r="U27" s="1" t="e">
        <f t="shared" si="7"/>
        <v>#DIV/0!</v>
      </c>
      <c r="V27" s="1" t="e">
        <f t="shared" si="8"/>
        <v>#DIV/0!</v>
      </c>
      <c r="W27" s="1">
        <v>2.1427999999999998</v>
      </c>
      <c r="X27" s="1">
        <v>10.8134</v>
      </c>
      <c r="Y27" s="1">
        <v>17.641400000000001</v>
      </c>
      <c r="Z27" s="1">
        <v>8.9708000000000006</v>
      </c>
      <c r="AA27" s="1">
        <v>-0.30919999999999997</v>
      </c>
      <c r="AB27" s="1">
        <v>-0.6</v>
      </c>
      <c r="AC27" s="1">
        <v>-0.49919999999999998</v>
      </c>
      <c r="AD27" s="1">
        <v>-0.2084</v>
      </c>
      <c r="AE27" s="1">
        <v>-0.311</v>
      </c>
      <c r="AF27" s="1">
        <v>-0.96479999999999999</v>
      </c>
      <c r="AG27" s="1"/>
      <c r="AH27" s="1">
        <f t="shared" si="11"/>
        <v>0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</row>
    <row r="28" spans="1:46" x14ac:dyDescent="0.25">
      <c r="A28" s="1" t="s">
        <v>62</v>
      </c>
      <c r="B28" s="1" t="s">
        <v>35</v>
      </c>
      <c r="C28" s="1">
        <v>-0.155</v>
      </c>
      <c r="D28" s="1">
        <v>379.387</v>
      </c>
      <c r="E28" s="1">
        <v>184.75299999999999</v>
      </c>
      <c r="F28" s="1">
        <v>108.821</v>
      </c>
      <c r="G28" s="7">
        <v>1</v>
      </c>
      <c r="H28" s="1">
        <v>30</v>
      </c>
      <c r="I28" s="9" t="s">
        <v>46</v>
      </c>
      <c r="J28" s="1"/>
      <c r="K28" s="1">
        <v>189.3</v>
      </c>
      <c r="L28" s="1">
        <f t="shared" si="4"/>
        <v>-4.5470000000000255</v>
      </c>
      <c r="M28" s="1"/>
      <c r="N28" s="1"/>
      <c r="O28" s="1">
        <v>0</v>
      </c>
      <c r="P28" s="19"/>
      <c r="Q28" s="1">
        <v>58.979179999999992</v>
      </c>
      <c r="R28" s="19"/>
      <c r="S28" s="1">
        <f t="shared" si="5"/>
        <v>36.950599999999994</v>
      </c>
      <c r="T28" s="5">
        <v>200</v>
      </c>
      <c r="U28" s="1">
        <f t="shared" si="7"/>
        <v>9.9538351204039994</v>
      </c>
      <c r="V28" s="1">
        <f t="shared" si="8"/>
        <v>4.5412031198410849</v>
      </c>
      <c r="W28" s="1">
        <v>19.311800000000002</v>
      </c>
      <c r="X28" s="1">
        <v>9.3336000000000006</v>
      </c>
      <c r="Y28" s="1">
        <v>16.171600000000002</v>
      </c>
      <c r="Z28" s="1">
        <v>39.539400000000001</v>
      </c>
      <c r="AA28" s="1">
        <v>40.031599999999997</v>
      </c>
      <c r="AB28" s="1">
        <v>22.977399999999999</v>
      </c>
      <c r="AC28" s="1">
        <v>27.055800000000001</v>
      </c>
      <c r="AD28" s="1">
        <v>48.028799999999997</v>
      </c>
      <c r="AE28" s="1">
        <v>31.125599999999999</v>
      </c>
      <c r="AF28" s="1">
        <v>27.609400000000001</v>
      </c>
      <c r="AG28" s="1"/>
      <c r="AH28" s="1">
        <f t="shared" si="11"/>
        <v>200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</row>
    <row r="29" spans="1:46" x14ac:dyDescent="0.25">
      <c r="A29" s="1" t="s">
        <v>63</v>
      </c>
      <c r="B29" s="1" t="s">
        <v>35</v>
      </c>
      <c r="C29" s="1">
        <v>209.53299999999999</v>
      </c>
      <c r="D29" s="1">
        <v>918.75400000000002</v>
      </c>
      <c r="E29" s="1">
        <v>410.95499999999998</v>
      </c>
      <c r="F29" s="1">
        <v>189.71</v>
      </c>
      <c r="G29" s="7">
        <v>1</v>
      </c>
      <c r="H29" s="1">
        <v>40</v>
      </c>
      <c r="I29" s="9" t="s">
        <v>46</v>
      </c>
      <c r="J29" s="1"/>
      <c r="K29" s="1">
        <v>361.3</v>
      </c>
      <c r="L29" s="1">
        <f t="shared" si="4"/>
        <v>49.654999999999973</v>
      </c>
      <c r="M29" s="1"/>
      <c r="N29" s="1"/>
      <c r="O29" s="1">
        <v>0</v>
      </c>
      <c r="P29" s="19"/>
      <c r="Q29" s="1">
        <v>1111.8580199999999</v>
      </c>
      <c r="R29" s="19"/>
      <c r="S29" s="1">
        <f t="shared" si="5"/>
        <v>82.191000000000003</v>
      </c>
      <c r="T29" s="5"/>
      <c r="U29" s="1">
        <f t="shared" si="7"/>
        <v>15.835894684332834</v>
      </c>
      <c r="V29" s="1">
        <f t="shared" si="8"/>
        <v>15.835894684332834</v>
      </c>
      <c r="W29" s="1">
        <v>101.8682</v>
      </c>
      <c r="X29" s="1">
        <v>58.460400000000007</v>
      </c>
      <c r="Y29" s="1">
        <v>43.297199999999997</v>
      </c>
      <c r="Z29" s="1">
        <v>65.6066</v>
      </c>
      <c r="AA29" s="1">
        <v>148.5498</v>
      </c>
      <c r="AB29" s="1">
        <v>181.39400000000001</v>
      </c>
      <c r="AC29" s="1">
        <v>103.46299999999999</v>
      </c>
      <c r="AD29" s="1">
        <v>27.103999999999999</v>
      </c>
      <c r="AE29" s="1">
        <v>-0.1542</v>
      </c>
      <c r="AF29" s="1">
        <v>-1.585</v>
      </c>
      <c r="AG29" s="1"/>
      <c r="AH29" s="1">
        <f t="shared" si="11"/>
        <v>0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</row>
    <row r="30" spans="1:46" x14ac:dyDescent="0.25">
      <c r="A30" s="1" t="s">
        <v>64</v>
      </c>
      <c r="B30" s="1" t="s">
        <v>35</v>
      </c>
      <c r="C30" s="1">
        <v>4.75</v>
      </c>
      <c r="D30" s="1">
        <v>27.341000000000001</v>
      </c>
      <c r="E30" s="1">
        <v>7.6840000000000002</v>
      </c>
      <c r="F30" s="1">
        <v>19.503</v>
      </c>
      <c r="G30" s="7">
        <v>1</v>
      </c>
      <c r="H30" s="1">
        <v>40</v>
      </c>
      <c r="I30" s="9" t="s">
        <v>46</v>
      </c>
      <c r="J30" s="1"/>
      <c r="K30" s="1">
        <v>6.5</v>
      </c>
      <c r="L30" s="1">
        <f t="shared" si="4"/>
        <v>1.1840000000000002</v>
      </c>
      <c r="M30" s="1"/>
      <c r="N30" s="1"/>
      <c r="O30" s="1">
        <v>34.767980045267677</v>
      </c>
      <c r="P30" s="19"/>
      <c r="Q30" s="1">
        <v>26</v>
      </c>
      <c r="R30" s="19"/>
      <c r="S30" s="1">
        <f t="shared" si="5"/>
        <v>1.5367999999999999</v>
      </c>
      <c r="T30" s="5"/>
      <c r="U30" s="1">
        <f t="shared" si="7"/>
        <v>52.232548181459968</v>
      </c>
      <c r="V30" s="1">
        <f t="shared" si="8"/>
        <v>52.232548181459968</v>
      </c>
      <c r="W30" s="1">
        <v>0.94800000000000006</v>
      </c>
      <c r="X30" s="1">
        <v>1.244</v>
      </c>
      <c r="Y30" s="1">
        <v>4.5960000000000001</v>
      </c>
      <c r="Z30" s="1">
        <v>5.7263999999999999</v>
      </c>
      <c r="AA30" s="1">
        <v>3.5457999999999998</v>
      </c>
      <c r="AB30" s="1">
        <v>2.9331999999999998</v>
      </c>
      <c r="AC30" s="1">
        <v>2.6417999999999999</v>
      </c>
      <c r="AD30" s="1">
        <v>0</v>
      </c>
      <c r="AE30" s="1">
        <v>0</v>
      </c>
      <c r="AF30" s="1">
        <v>0</v>
      </c>
      <c r="AG30" s="1"/>
      <c r="AH30" s="1">
        <f t="shared" si="11"/>
        <v>0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</row>
    <row r="31" spans="1:46" x14ac:dyDescent="0.25">
      <c r="A31" s="1" t="s">
        <v>65</v>
      </c>
      <c r="B31" s="1" t="s">
        <v>35</v>
      </c>
      <c r="C31" s="1">
        <v>71.459999999999994</v>
      </c>
      <c r="D31" s="1">
        <v>95.381</v>
      </c>
      <c r="E31" s="1">
        <v>89.665999999999997</v>
      </c>
      <c r="F31" s="1">
        <v>28.18</v>
      </c>
      <c r="G31" s="7">
        <v>1</v>
      </c>
      <c r="H31" s="1">
        <v>30</v>
      </c>
      <c r="I31" s="1" t="s">
        <v>36</v>
      </c>
      <c r="J31" s="1"/>
      <c r="K31" s="1">
        <v>85.4</v>
      </c>
      <c r="L31" s="1">
        <f t="shared" si="4"/>
        <v>4.2659999999999911</v>
      </c>
      <c r="M31" s="1"/>
      <c r="N31" s="1"/>
      <c r="O31" s="1">
        <v>0</v>
      </c>
      <c r="P31" s="19"/>
      <c r="Q31" s="1">
        <v>163.13900000000001</v>
      </c>
      <c r="R31" s="19"/>
      <c r="S31" s="1">
        <f t="shared" si="5"/>
        <v>17.933199999999999</v>
      </c>
      <c r="T31" s="5">
        <f t="shared" ref="T31:T36" si="12">11*S31-Q31-O31-F31</f>
        <v>5.9461999999999833</v>
      </c>
      <c r="U31" s="1">
        <f t="shared" si="7"/>
        <v>11</v>
      </c>
      <c r="V31" s="1">
        <f t="shared" si="8"/>
        <v>10.668425044052373</v>
      </c>
      <c r="W31" s="1">
        <v>20.16</v>
      </c>
      <c r="X31" s="1">
        <v>6.9640000000000004</v>
      </c>
      <c r="Y31" s="1">
        <v>-1.2383999999999999</v>
      </c>
      <c r="Z31" s="1">
        <v>7.7220000000000004</v>
      </c>
      <c r="AA31" s="1">
        <v>20.628799999999998</v>
      </c>
      <c r="AB31" s="1">
        <v>19.175799999999999</v>
      </c>
      <c r="AC31" s="1">
        <v>5.3548</v>
      </c>
      <c r="AD31" s="1">
        <v>3.99</v>
      </c>
      <c r="AE31" s="1">
        <v>15.735799999999999</v>
      </c>
      <c r="AF31" s="1">
        <v>19.2578</v>
      </c>
      <c r="AG31" s="1" t="s">
        <v>66</v>
      </c>
      <c r="AH31" s="1">
        <f t="shared" si="11"/>
        <v>5.9461999999999833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</row>
    <row r="32" spans="1:46" x14ac:dyDescent="0.25">
      <c r="A32" s="1" t="s">
        <v>67</v>
      </c>
      <c r="B32" s="1" t="s">
        <v>35</v>
      </c>
      <c r="C32" s="1"/>
      <c r="D32" s="1">
        <v>355.39</v>
      </c>
      <c r="E32" s="1">
        <v>35.710999999999999</v>
      </c>
      <c r="F32" s="1">
        <v>97.412999999999997</v>
      </c>
      <c r="G32" s="7">
        <v>1</v>
      </c>
      <c r="H32" s="1">
        <v>50</v>
      </c>
      <c r="I32" s="9" t="s">
        <v>46</v>
      </c>
      <c r="J32" s="1"/>
      <c r="K32" s="1">
        <v>91.8</v>
      </c>
      <c r="L32" s="1">
        <f t="shared" si="4"/>
        <v>-56.088999999999999</v>
      </c>
      <c r="M32" s="1"/>
      <c r="N32" s="1"/>
      <c r="O32" s="1">
        <v>0</v>
      </c>
      <c r="P32" s="19"/>
      <c r="Q32" s="1">
        <v>0</v>
      </c>
      <c r="R32" s="19"/>
      <c r="S32" s="1">
        <f t="shared" si="5"/>
        <v>7.1421999999999999</v>
      </c>
      <c r="T32" s="5">
        <v>80</v>
      </c>
      <c r="U32" s="1">
        <f t="shared" si="7"/>
        <v>24.840105289686655</v>
      </c>
      <c r="V32" s="1">
        <f t="shared" si="8"/>
        <v>13.639074794881129</v>
      </c>
      <c r="W32" s="1">
        <v>7.5117999999999991</v>
      </c>
      <c r="X32" s="1">
        <v>0.18379999999999999</v>
      </c>
      <c r="Y32" s="1">
        <v>4.2085999999999997</v>
      </c>
      <c r="Z32" s="1">
        <v>21.8612</v>
      </c>
      <c r="AA32" s="1">
        <v>24.236000000000001</v>
      </c>
      <c r="AB32" s="1">
        <v>10.8574</v>
      </c>
      <c r="AC32" s="1">
        <v>12.3216</v>
      </c>
      <c r="AD32" s="1">
        <v>5.9024000000000001</v>
      </c>
      <c r="AE32" s="1">
        <v>2.0255999999999998</v>
      </c>
      <c r="AF32" s="1">
        <v>11.801600000000001</v>
      </c>
      <c r="AG32" s="1" t="s">
        <v>56</v>
      </c>
      <c r="AH32" s="1">
        <f t="shared" si="11"/>
        <v>80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</row>
    <row r="33" spans="1:46" x14ac:dyDescent="0.25">
      <c r="A33" s="1" t="s">
        <v>68</v>
      </c>
      <c r="B33" s="1" t="s">
        <v>35</v>
      </c>
      <c r="C33" s="1">
        <v>-3.66</v>
      </c>
      <c r="D33" s="1">
        <v>196.33699999999999</v>
      </c>
      <c r="E33" s="1">
        <v>-0.94899999999999995</v>
      </c>
      <c r="F33" s="1">
        <v>94.058000000000007</v>
      </c>
      <c r="G33" s="7">
        <v>1</v>
      </c>
      <c r="H33" s="1">
        <v>50</v>
      </c>
      <c r="I33" s="9" t="s">
        <v>46</v>
      </c>
      <c r="J33" s="1"/>
      <c r="K33" s="1">
        <v>24</v>
      </c>
      <c r="L33" s="1">
        <f t="shared" si="4"/>
        <v>-24.949000000000002</v>
      </c>
      <c r="M33" s="1"/>
      <c r="N33" s="1"/>
      <c r="O33" s="1">
        <v>126.3529594469065</v>
      </c>
      <c r="P33" s="19"/>
      <c r="Q33" s="1">
        <v>0</v>
      </c>
      <c r="R33" s="19"/>
      <c r="S33" s="1">
        <f t="shared" si="5"/>
        <v>-0.1898</v>
      </c>
      <c r="T33" s="5"/>
      <c r="U33" s="1">
        <f t="shared" si="7"/>
        <v>-1161.2800813851766</v>
      </c>
      <c r="V33" s="1">
        <f t="shared" si="8"/>
        <v>-1161.2800813851766</v>
      </c>
      <c r="W33" s="1">
        <v>7.3756000000000004</v>
      </c>
      <c r="X33" s="1">
        <v>28.135400000000001</v>
      </c>
      <c r="Y33" s="1">
        <v>25.8796</v>
      </c>
      <c r="Z33" s="1">
        <v>9.8638000000000012</v>
      </c>
      <c r="AA33" s="1">
        <v>26.817399999999999</v>
      </c>
      <c r="AB33" s="1">
        <v>26.715599999999998</v>
      </c>
      <c r="AC33" s="1">
        <v>23.43</v>
      </c>
      <c r="AD33" s="1">
        <v>7.003400000000001</v>
      </c>
      <c r="AE33" s="1">
        <v>13.5762</v>
      </c>
      <c r="AF33" s="1">
        <v>20.1646</v>
      </c>
      <c r="AG33" s="1"/>
      <c r="AH33" s="1">
        <f t="shared" si="11"/>
        <v>0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</row>
    <row r="34" spans="1:46" x14ac:dyDescent="0.25">
      <c r="A34" s="1" t="s">
        <v>69</v>
      </c>
      <c r="B34" s="1" t="s">
        <v>40</v>
      </c>
      <c r="C34" s="1"/>
      <c r="D34" s="1">
        <v>1853</v>
      </c>
      <c r="E34" s="1">
        <v>747</v>
      </c>
      <c r="F34" s="1">
        <v>1039</v>
      </c>
      <c r="G34" s="7">
        <v>0.4</v>
      </c>
      <c r="H34" s="1">
        <v>45</v>
      </c>
      <c r="I34" s="9" t="s">
        <v>46</v>
      </c>
      <c r="J34" s="1"/>
      <c r="K34" s="1">
        <v>775</v>
      </c>
      <c r="L34" s="1">
        <f t="shared" si="4"/>
        <v>-28</v>
      </c>
      <c r="M34" s="1"/>
      <c r="N34" s="1"/>
      <c r="O34" s="1">
        <v>568.63585951940854</v>
      </c>
      <c r="P34" s="19"/>
      <c r="Q34" s="1">
        <v>0</v>
      </c>
      <c r="R34" s="19"/>
      <c r="S34" s="1">
        <f t="shared" si="5"/>
        <v>149.4</v>
      </c>
      <c r="T34" s="5">
        <v>100</v>
      </c>
      <c r="U34" s="1">
        <f t="shared" si="7"/>
        <v>11.42995889905896</v>
      </c>
      <c r="V34" s="1">
        <f t="shared" si="8"/>
        <v>10.76061485622094</v>
      </c>
      <c r="W34" s="1">
        <v>96.8</v>
      </c>
      <c r="X34" s="1">
        <v>94.4</v>
      </c>
      <c r="Y34" s="1">
        <v>116.2</v>
      </c>
      <c r="Z34" s="1">
        <v>89.6</v>
      </c>
      <c r="AA34" s="1">
        <v>12.8</v>
      </c>
      <c r="AB34" s="1">
        <v>15.2</v>
      </c>
      <c r="AC34" s="1">
        <v>168.4</v>
      </c>
      <c r="AD34" s="1">
        <v>297.2</v>
      </c>
      <c r="AE34" s="1">
        <v>169.4</v>
      </c>
      <c r="AF34" s="1">
        <v>158.80000000000001</v>
      </c>
      <c r="AG34" s="1"/>
      <c r="AH34" s="1">
        <f t="shared" si="11"/>
        <v>40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</row>
    <row r="35" spans="1:46" x14ac:dyDescent="0.25">
      <c r="A35" s="1" t="s">
        <v>70</v>
      </c>
      <c r="B35" s="1" t="s">
        <v>40</v>
      </c>
      <c r="C35" s="1">
        <v>243</v>
      </c>
      <c r="D35" s="1">
        <v>682</v>
      </c>
      <c r="E35" s="1">
        <v>161</v>
      </c>
      <c r="F35" s="1">
        <v>73</v>
      </c>
      <c r="G35" s="7">
        <v>0.45</v>
      </c>
      <c r="H35" s="1">
        <v>50</v>
      </c>
      <c r="I35" s="1" t="s">
        <v>36</v>
      </c>
      <c r="J35" s="1"/>
      <c r="K35" s="1">
        <v>155</v>
      </c>
      <c r="L35" s="1">
        <f t="shared" si="4"/>
        <v>6</v>
      </c>
      <c r="M35" s="1"/>
      <c r="N35" s="1"/>
      <c r="O35" s="1">
        <v>0</v>
      </c>
      <c r="P35" s="19"/>
      <c r="Q35" s="1">
        <v>218.6</v>
      </c>
      <c r="R35" s="19"/>
      <c r="S35" s="1">
        <f t="shared" si="5"/>
        <v>32.200000000000003</v>
      </c>
      <c r="T35" s="5">
        <f t="shared" si="12"/>
        <v>62.600000000000051</v>
      </c>
      <c r="U35" s="1">
        <f t="shared" si="7"/>
        <v>11</v>
      </c>
      <c r="V35" s="1">
        <f t="shared" si="8"/>
        <v>9.0559006211180115</v>
      </c>
      <c r="W35" s="1">
        <v>28.2</v>
      </c>
      <c r="X35" s="1">
        <v>49.8</v>
      </c>
      <c r="Y35" s="1">
        <v>55.4</v>
      </c>
      <c r="Z35" s="1">
        <v>60.4</v>
      </c>
      <c r="AA35" s="1">
        <v>85.4</v>
      </c>
      <c r="AB35" s="1">
        <v>80.2</v>
      </c>
      <c r="AC35" s="1">
        <v>64.400000000000006</v>
      </c>
      <c r="AD35" s="1">
        <v>40.4</v>
      </c>
      <c r="AE35" s="1">
        <v>47</v>
      </c>
      <c r="AF35" s="1">
        <v>69.400000000000006</v>
      </c>
      <c r="AG35" s="1"/>
      <c r="AH35" s="1">
        <f t="shared" si="11"/>
        <v>28.170000000000023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</row>
    <row r="36" spans="1:46" x14ac:dyDescent="0.25">
      <c r="A36" s="16" t="s">
        <v>71</v>
      </c>
      <c r="B36" s="1" t="s">
        <v>40</v>
      </c>
      <c r="C36" s="1">
        <v>58</v>
      </c>
      <c r="D36" s="1">
        <v>581</v>
      </c>
      <c r="E36" s="1">
        <v>238</v>
      </c>
      <c r="F36" s="1">
        <v>217</v>
      </c>
      <c r="G36" s="7">
        <v>0.4</v>
      </c>
      <c r="H36" s="1">
        <v>45</v>
      </c>
      <c r="I36" s="9" t="s">
        <v>46</v>
      </c>
      <c r="J36" s="1"/>
      <c r="K36" s="1">
        <v>238</v>
      </c>
      <c r="L36" s="1">
        <f t="shared" si="4"/>
        <v>0</v>
      </c>
      <c r="M36" s="1"/>
      <c r="N36" s="1"/>
      <c r="O36" s="1">
        <v>50</v>
      </c>
      <c r="P36" s="19"/>
      <c r="Q36" s="1">
        <v>104</v>
      </c>
      <c r="R36" s="19"/>
      <c r="S36" s="1">
        <f t="shared" si="5"/>
        <v>47.6</v>
      </c>
      <c r="T36" s="5">
        <f t="shared" si="12"/>
        <v>152.60000000000002</v>
      </c>
      <c r="U36" s="1">
        <f t="shared" si="7"/>
        <v>11</v>
      </c>
      <c r="V36" s="1">
        <f t="shared" si="8"/>
        <v>7.7941176470588234</v>
      </c>
      <c r="W36" s="1">
        <v>37.799999999999997</v>
      </c>
      <c r="X36" s="1">
        <v>37.4</v>
      </c>
      <c r="Y36" s="1">
        <v>42.2</v>
      </c>
      <c r="Z36" s="1">
        <v>56.4</v>
      </c>
      <c r="AA36" s="1">
        <v>72.400000000000006</v>
      </c>
      <c r="AB36" s="1">
        <v>42.4</v>
      </c>
      <c r="AC36" s="1">
        <v>24.4</v>
      </c>
      <c r="AD36" s="1">
        <v>-0.6</v>
      </c>
      <c r="AE36" s="1">
        <v>0.2</v>
      </c>
      <c r="AF36" s="1">
        <v>60.2</v>
      </c>
      <c r="AG36" s="1"/>
      <c r="AH36" s="1">
        <f t="shared" si="11"/>
        <v>61.040000000000013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</row>
    <row r="37" spans="1:46" x14ac:dyDescent="0.25">
      <c r="A37" s="16" t="s">
        <v>72</v>
      </c>
      <c r="B37" s="1" t="s">
        <v>40</v>
      </c>
      <c r="C37" s="1"/>
      <c r="D37" s="1">
        <v>150</v>
      </c>
      <c r="E37" s="1"/>
      <c r="F37" s="1"/>
      <c r="G37" s="7">
        <v>0.4</v>
      </c>
      <c r="H37" s="1">
        <v>40</v>
      </c>
      <c r="I37" s="9" t="s">
        <v>46</v>
      </c>
      <c r="J37" s="1"/>
      <c r="K37" s="1"/>
      <c r="L37" s="1">
        <f t="shared" si="4"/>
        <v>0</v>
      </c>
      <c r="M37" s="1"/>
      <c r="N37" s="1"/>
      <c r="O37" s="1">
        <v>75.581395348837205</v>
      </c>
      <c r="P37" s="19"/>
      <c r="Q37" s="1">
        <v>0</v>
      </c>
      <c r="R37" s="19"/>
      <c r="S37" s="1">
        <f t="shared" si="5"/>
        <v>0</v>
      </c>
      <c r="T37" s="5">
        <v>30</v>
      </c>
      <c r="U37" s="1" t="e">
        <f t="shared" si="7"/>
        <v>#DIV/0!</v>
      </c>
      <c r="V37" s="1" t="e">
        <f t="shared" si="8"/>
        <v>#DIV/0!</v>
      </c>
      <c r="W37" s="1">
        <v>0</v>
      </c>
      <c r="X37" s="1">
        <v>0</v>
      </c>
      <c r="Y37" s="1">
        <v>0</v>
      </c>
      <c r="Z37" s="1">
        <v>-0.2</v>
      </c>
      <c r="AA37" s="1">
        <v>-0.2</v>
      </c>
      <c r="AB37" s="1">
        <v>0</v>
      </c>
      <c r="AC37" s="1">
        <v>0</v>
      </c>
      <c r="AD37" s="1">
        <v>3</v>
      </c>
      <c r="AE37" s="1">
        <v>5.6</v>
      </c>
      <c r="AF37" s="1">
        <v>12.6</v>
      </c>
      <c r="AG37" s="1"/>
      <c r="AH37" s="1">
        <f t="shared" si="11"/>
        <v>12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</row>
    <row r="38" spans="1:46" x14ac:dyDescent="0.25">
      <c r="A38" s="16" t="s">
        <v>73</v>
      </c>
      <c r="B38" s="1" t="s">
        <v>35</v>
      </c>
      <c r="C38" s="1">
        <v>7.1020000000000003</v>
      </c>
      <c r="D38" s="1">
        <v>115.23099999999999</v>
      </c>
      <c r="E38" s="1">
        <v>32.363</v>
      </c>
      <c r="F38" s="1">
        <v>70.415999999999997</v>
      </c>
      <c r="G38" s="7">
        <v>1</v>
      </c>
      <c r="H38" s="1">
        <v>45</v>
      </c>
      <c r="I38" s="9" t="s">
        <v>46</v>
      </c>
      <c r="J38" s="1"/>
      <c r="K38" s="1">
        <v>32.6</v>
      </c>
      <c r="L38" s="1">
        <f t="shared" ref="L38:L69" si="13">E38-K38</f>
        <v>-0.23700000000000188</v>
      </c>
      <c r="M38" s="1"/>
      <c r="N38" s="1"/>
      <c r="O38" s="1">
        <v>31.517523165112291</v>
      </c>
      <c r="P38" s="19"/>
      <c r="Q38" s="1">
        <v>13</v>
      </c>
      <c r="R38" s="19"/>
      <c r="S38" s="1">
        <f t="shared" ref="S38:S69" si="14">E38/5</f>
        <v>6.4725999999999999</v>
      </c>
      <c r="T38" s="5"/>
      <c r="U38" s="1">
        <f t="shared" si="7"/>
        <v>17.756932788232287</v>
      </c>
      <c r="V38" s="1">
        <f t="shared" si="8"/>
        <v>17.756932788232287</v>
      </c>
      <c r="W38" s="1">
        <v>8.2210000000000001</v>
      </c>
      <c r="X38" s="1">
        <v>13.138</v>
      </c>
      <c r="Y38" s="1">
        <v>13.4964</v>
      </c>
      <c r="Z38" s="1">
        <v>12.9948</v>
      </c>
      <c r="AA38" s="1">
        <v>12.9156</v>
      </c>
      <c r="AB38" s="1">
        <v>11.095599999999999</v>
      </c>
      <c r="AC38" s="1">
        <v>7.1444000000000001</v>
      </c>
      <c r="AD38" s="1">
        <v>1.1714</v>
      </c>
      <c r="AE38" s="1">
        <v>9.6359999999999992</v>
      </c>
      <c r="AF38" s="1">
        <v>15.555199999999999</v>
      </c>
      <c r="AG38" s="1" t="s">
        <v>56</v>
      </c>
      <c r="AH38" s="1">
        <f t="shared" si="11"/>
        <v>0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</row>
    <row r="39" spans="1:46" x14ac:dyDescent="0.25">
      <c r="A39" s="1" t="s">
        <v>74</v>
      </c>
      <c r="B39" s="1" t="s">
        <v>40</v>
      </c>
      <c r="C39" s="1">
        <v>80</v>
      </c>
      <c r="D39" s="1">
        <v>260</v>
      </c>
      <c r="E39" s="1">
        <v>146</v>
      </c>
      <c r="F39" s="1">
        <v>-3</v>
      </c>
      <c r="G39" s="7">
        <v>0.1</v>
      </c>
      <c r="H39" s="1">
        <v>731</v>
      </c>
      <c r="I39" s="1" t="s">
        <v>36</v>
      </c>
      <c r="J39" s="1"/>
      <c r="K39" s="1">
        <v>157</v>
      </c>
      <c r="L39" s="1">
        <f t="shared" si="13"/>
        <v>-11</v>
      </c>
      <c r="M39" s="1"/>
      <c r="N39" s="1"/>
      <c r="O39" s="1">
        <v>284.8763285024155</v>
      </c>
      <c r="P39" s="19"/>
      <c r="Q39" s="1">
        <v>374.52367149758442</v>
      </c>
      <c r="R39" s="19"/>
      <c r="S39" s="1">
        <f t="shared" si="14"/>
        <v>29.2</v>
      </c>
      <c r="T39" s="5"/>
      <c r="U39" s="1">
        <f t="shared" si="7"/>
        <v>22.479452054794518</v>
      </c>
      <c r="V39" s="1">
        <f t="shared" si="8"/>
        <v>22.479452054794518</v>
      </c>
      <c r="W39" s="1">
        <v>50.8</v>
      </c>
      <c r="X39" s="1">
        <v>58.6</v>
      </c>
      <c r="Y39" s="1">
        <v>39.6</v>
      </c>
      <c r="Z39" s="1">
        <v>43.2</v>
      </c>
      <c r="AA39" s="1">
        <v>50.2</v>
      </c>
      <c r="AB39" s="1">
        <v>33.6</v>
      </c>
      <c r="AC39" s="1">
        <v>22.8</v>
      </c>
      <c r="AD39" s="1">
        <v>25</v>
      </c>
      <c r="AE39" s="1">
        <v>20.6</v>
      </c>
      <c r="AF39" s="1">
        <v>18.8</v>
      </c>
      <c r="AG39" s="1" t="s">
        <v>56</v>
      </c>
      <c r="AH39" s="1">
        <f t="shared" si="11"/>
        <v>0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</row>
    <row r="40" spans="1:46" x14ac:dyDescent="0.25">
      <c r="A40" s="16" t="s">
        <v>75</v>
      </c>
      <c r="B40" s="1" t="s">
        <v>40</v>
      </c>
      <c r="C40" s="1">
        <v>2</v>
      </c>
      <c r="D40" s="1"/>
      <c r="E40" s="1">
        <v>-1</v>
      </c>
      <c r="F40" s="1">
        <v>2</v>
      </c>
      <c r="G40" s="7">
        <v>0.35</v>
      </c>
      <c r="H40" s="1">
        <v>40</v>
      </c>
      <c r="I40" s="9" t="s">
        <v>46</v>
      </c>
      <c r="J40" s="1"/>
      <c r="K40" s="1">
        <v>26</v>
      </c>
      <c r="L40" s="1">
        <f t="shared" si="13"/>
        <v>-27</v>
      </c>
      <c r="M40" s="1"/>
      <c r="N40" s="1"/>
      <c r="O40" s="1">
        <v>136</v>
      </c>
      <c r="P40" s="19"/>
      <c r="Q40" s="1">
        <v>65</v>
      </c>
      <c r="R40" s="19"/>
      <c r="S40" s="1">
        <f t="shared" si="14"/>
        <v>-0.2</v>
      </c>
      <c r="T40" s="5"/>
      <c r="U40" s="1">
        <f t="shared" si="7"/>
        <v>-1015</v>
      </c>
      <c r="V40" s="1">
        <f t="shared" si="8"/>
        <v>-1015</v>
      </c>
      <c r="W40" s="1">
        <v>0</v>
      </c>
      <c r="X40" s="1">
        <v>13.6</v>
      </c>
      <c r="Y40" s="1">
        <v>19.8</v>
      </c>
      <c r="Z40" s="1">
        <v>6.8</v>
      </c>
      <c r="AA40" s="1">
        <v>0</v>
      </c>
      <c r="AB40" s="1">
        <v>-0.6</v>
      </c>
      <c r="AC40" s="1">
        <v>-0.6</v>
      </c>
      <c r="AD40" s="1">
        <v>-0.8</v>
      </c>
      <c r="AE40" s="1">
        <v>-2.4</v>
      </c>
      <c r="AF40" s="1">
        <v>-2.8</v>
      </c>
      <c r="AG40" s="1"/>
      <c r="AH40" s="1">
        <f t="shared" si="11"/>
        <v>0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</row>
    <row r="41" spans="1:46" x14ac:dyDescent="0.25">
      <c r="A41" s="16" t="s">
        <v>76</v>
      </c>
      <c r="B41" s="1" t="s">
        <v>35</v>
      </c>
      <c r="C41" s="1">
        <v>-6.4000000000000001E-2</v>
      </c>
      <c r="D41" s="1">
        <v>208.499</v>
      </c>
      <c r="E41" s="1">
        <v>31.774999999999999</v>
      </c>
      <c r="F41" s="1">
        <v>175.83699999999999</v>
      </c>
      <c r="G41" s="7">
        <v>1</v>
      </c>
      <c r="H41" s="1">
        <v>40</v>
      </c>
      <c r="I41" s="9" t="s">
        <v>46</v>
      </c>
      <c r="J41" s="1"/>
      <c r="K41" s="1">
        <v>74.2</v>
      </c>
      <c r="L41" s="1">
        <f t="shared" si="13"/>
        <v>-42.425000000000004</v>
      </c>
      <c r="M41" s="1"/>
      <c r="N41" s="1"/>
      <c r="O41" s="1">
        <v>69.400144604067776</v>
      </c>
      <c r="P41" s="19"/>
      <c r="Q41" s="1">
        <v>0</v>
      </c>
      <c r="R41" s="19"/>
      <c r="S41" s="1">
        <f t="shared" si="14"/>
        <v>6.3549999999999995</v>
      </c>
      <c r="T41" s="5"/>
      <c r="U41" s="1">
        <f t="shared" si="7"/>
        <v>38.589637231167238</v>
      </c>
      <c r="V41" s="1">
        <f t="shared" si="8"/>
        <v>38.589637231167238</v>
      </c>
      <c r="W41" s="1">
        <v>11.1378</v>
      </c>
      <c r="X41" s="1">
        <v>21.081199999999999</v>
      </c>
      <c r="Y41" s="1">
        <v>19.641200000000001</v>
      </c>
      <c r="Z41" s="1">
        <v>9.0427999999999997</v>
      </c>
      <c r="AA41" s="1">
        <v>8.4745999999999988</v>
      </c>
      <c r="AB41" s="1">
        <v>7.7513999999999994</v>
      </c>
      <c r="AC41" s="1">
        <v>5.5529999999999999</v>
      </c>
      <c r="AD41" s="1">
        <v>-1.6140000000000001</v>
      </c>
      <c r="AE41" s="1">
        <v>5.4058000000000002</v>
      </c>
      <c r="AF41" s="1">
        <v>14.0082</v>
      </c>
      <c r="AG41" s="1" t="s">
        <v>56</v>
      </c>
      <c r="AH41" s="1">
        <f t="shared" si="11"/>
        <v>0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</row>
    <row r="42" spans="1:46" x14ac:dyDescent="0.25">
      <c r="A42" s="10" t="s">
        <v>77</v>
      </c>
      <c r="B42" s="10" t="s">
        <v>40</v>
      </c>
      <c r="C42" s="10">
        <v>-4</v>
      </c>
      <c r="D42" s="10">
        <v>4</v>
      </c>
      <c r="E42" s="10"/>
      <c r="F42" s="10"/>
      <c r="G42" s="11">
        <v>0</v>
      </c>
      <c r="H42" s="10">
        <v>50</v>
      </c>
      <c r="I42" s="10" t="s">
        <v>78</v>
      </c>
      <c r="J42" s="10"/>
      <c r="K42" s="10"/>
      <c r="L42" s="10">
        <f t="shared" si="13"/>
        <v>0</v>
      </c>
      <c r="M42" s="10"/>
      <c r="N42" s="10"/>
      <c r="O42" s="10"/>
      <c r="P42" s="22"/>
      <c r="Q42" s="10">
        <v>0</v>
      </c>
      <c r="R42" s="22"/>
      <c r="S42" s="10">
        <f t="shared" si="14"/>
        <v>0</v>
      </c>
      <c r="T42" s="12"/>
      <c r="U42" s="10" t="e">
        <f t="shared" si="7"/>
        <v>#DIV/0!</v>
      </c>
      <c r="V42" s="10" t="e">
        <f t="shared" si="8"/>
        <v>#DIV/0!</v>
      </c>
      <c r="W42" s="10">
        <v>0.6</v>
      </c>
      <c r="X42" s="10">
        <v>0.8</v>
      </c>
      <c r="Y42" s="10">
        <v>0</v>
      </c>
      <c r="Z42" s="10">
        <v>0</v>
      </c>
      <c r="AA42" s="10">
        <v>0</v>
      </c>
      <c r="AB42" s="10">
        <v>0.2</v>
      </c>
      <c r="AC42" s="10">
        <v>-0.2</v>
      </c>
      <c r="AD42" s="10">
        <v>-0.2</v>
      </c>
      <c r="AE42" s="10">
        <v>0</v>
      </c>
      <c r="AF42" s="10">
        <v>1.4</v>
      </c>
      <c r="AG42" s="10"/>
      <c r="AH42" s="10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</row>
    <row r="43" spans="1:46" x14ac:dyDescent="0.25">
      <c r="A43" s="16" t="s">
        <v>79</v>
      </c>
      <c r="B43" s="1" t="s">
        <v>40</v>
      </c>
      <c r="C43" s="1">
        <v>47</v>
      </c>
      <c r="D43" s="1">
        <v>102</v>
      </c>
      <c r="E43" s="1">
        <v>101</v>
      </c>
      <c r="F43" s="1">
        <v>38</v>
      </c>
      <c r="G43" s="7">
        <v>0.4</v>
      </c>
      <c r="H43" s="1">
        <v>40</v>
      </c>
      <c r="I43" s="9" t="s">
        <v>46</v>
      </c>
      <c r="J43" s="1"/>
      <c r="K43" s="1">
        <v>95</v>
      </c>
      <c r="L43" s="1">
        <f t="shared" si="13"/>
        <v>6</v>
      </c>
      <c r="M43" s="1"/>
      <c r="N43" s="1"/>
      <c r="O43" s="1">
        <v>85.296167247386762</v>
      </c>
      <c r="P43" s="19"/>
      <c r="Q43" s="1">
        <v>130</v>
      </c>
      <c r="R43" s="19"/>
      <c r="S43" s="1">
        <f t="shared" si="14"/>
        <v>20.2</v>
      </c>
      <c r="T43" s="5"/>
      <c r="U43" s="1">
        <f t="shared" si="7"/>
        <v>12.539414220167663</v>
      </c>
      <c r="V43" s="1">
        <f t="shared" si="8"/>
        <v>12.539414220167663</v>
      </c>
      <c r="W43" s="1">
        <v>19</v>
      </c>
      <c r="X43" s="1">
        <v>9.6</v>
      </c>
      <c r="Y43" s="1">
        <v>9.4</v>
      </c>
      <c r="Z43" s="1">
        <v>6</v>
      </c>
      <c r="AA43" s="1">
        <v>12.8</v>
      </c>
      <c r="AB43" s="1">
        <v>21.4</v>
      </c>
      <c r="AC43" s="1">
        <v>19.8</v>
      </c>
      <c r="AD43" s="1">
        <v>8.6</v>
      </c>
      <c r="AE43" s="1">
        <v>8.8000000000000007</v>
      </c>
      <c r="AF43" s="1">
        <v>24.4</v>
      </c>
      <c r="AG43" s="1"/>
      <c r="AH43" s="1">
        <f t="shared" ref="AH43:AH68" si="15">G43*T43</f>
        <v>0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</row>
    <row r="44" spans="1:46" x14ac:dyDescent="0.25">
      <c r="A44" s="1" t="s">
        <v>80</v>
      </c>
      <c r="B44" s="1" t="s">
        <v>40</v>
      </c>
      <c r="C44" s="1"/>
      <c r="D44" s="1">
        <v>258</v>
      </c>
      <c r="E44" s="1">
        <v>26</v>
      </c>
      <c r="F44" s="1">
        <v>140</v>
      </c>
      <c r="G44" s="7">
        <v>0.4</v>
      </c>
      <c r="H44" s="1">
        <v>45</v>
      </c>
      <c r="I44" s="1" t="s">
        <v>36</v>
      </c>
      <c r="J44" s="1"/>
      <c r="K44" s="1">
        <v>26</v>
      </c>
      <c r="L44" s="1">
        <f t="shared" si="13"/>
        <v>0</v>
      </c>
      <c r="M44" s="1"/>
      <c r="N44" s="1"/>
      <c r="O44" s="1">
        <v>125.51020408163259</v>
      </c>
      <c r="P44" s="19"/>
      <c r="Q44" s="1">
        <v>0</v>
      </c>
      <c r="R44" s="19"/>
      <c r="S44" s="1">
        <f t="shared" si="14"/>
        <v>5.2</v>
      </c>
      <c r="T44" s="5"/>
      <c r="U44" s="1">
        <f t="shared" si="7"/>
        <v>51.059654631083191</v>
      </c>
      <c r="V44" s="1">
        <f t="shared" si="8"/>
        <v>51.059654631083191</v>
      </c>
      <c r="W44" s="1">
        <v>0.4</v>
      </c>
      <c r="X44" s="1">
        <v>11.4</v>
      </c>
      <c r="Y44" s="1">
        <v>16</v>
      </c>
      <c r="Z44" s="1">
        <v>27.8</v>
      </c>
      <c r="AA44" s="1">
        <v>36.4</v>
      </c>
      <c r="AB44" s="1">
        <v>23.2</v>
      </c>
      <c r="AC44" s="1">
        <v>30.2</v>
      </c>
      <c r="AD44" s="1">
        <v>28.6</v>
      </c>
      <c r="AE44" s="1">
        <v>42.4</v>
      </c>
      <c r="AF44" s="1">
        <v>40.799999999999997</v>
      </c>
      <c r="AG44" s="18" t="s">
        <v>179</v>
      </c>
      <c r="AH44" s="1">
        <f t="shared" si="15"/>
        <v>0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</row>
    <row r="45" spans="1:46" x14ac:dyDescent="0.25">
      <c r="A45" s="16" t="s">
        <v>81</v>
      </c>
      <c r="B45" s="1" t="s">
        <v>35</v>
      </c>
      <c r="C45" s="1">
        <v>21.068000000000001</v>
      </c>
      <c r="D45" s="1">
        <v>205.20599999999999</v>
      </c>
      <c r="E45" s="1">
        <v>85.546999999999997</v>
      </c>
      <c r="F45" s="1">
        <v>40.094000000000001</v>
      </c>
      <c r="G45" s="7">
        <v>1</v>
      </c>
      <c r="H45" s="1">
        <v>40</v>
      </c>
      <c r="I45" s="9" t="s">
        <v>46</v>
      </c>
      <c r="J45" s="1"/>
      <c r="K45" s="1">
        <v>118.9</v>
      </c>
      <c r="L45" s="1">
        <f t="shared" si="13"/>
        <v>-33.353000000000009</v>
      </c>
      <c r="M45" s="1"/>
      <c r="N45" s="1"/>
      <c r="O45" s="1">
        <v>0</v>
      </c>
      <c r="P45" s="19"/>
      <c r="Q45" s="1">
        <v>130</v>
      </c>
      <c r="R45" s="19"/>
      <c r="S45" s="1">
        <f t="shared" si="14"/>
        <v>17.109400000000001</v>
      </c>
      <c r="T45" s="5">
        <v>30</v>
      </c>
      <c r="U45" s="1">
        <f t="shared" si="7"/>
        <v>11.694974692274421</v>
      </c>
      <c r="V45" s="1">
        <f t="shared" si="8"/>
        <v>9.9415525968181218</v>
      </c>
      <c r="W45" s="1">
        <v>24.5684</v>
      </c>
      <c r="X45" s="1">
        <v>11.5448</v>
      </c>
      <c r="Y45" s="1">
        <v>8.1449999999999996</v>
      </c>
      <c r="Z45" s="1">
        <v>3.4784000000000002</v>
      </c>
      <c r="AA45" s="1">
        <v>2.7585999999999999</v>
      </c>
      <c r="AB45" s="1">
        <v>8.6112000000000002</v>
      </c>
      <c r="AC45" s="1">
        <v>5.2758000000000003</v>
      </c>
      <c r="AD45" s="1">
        <v>-0.58460000000000001</v>
      </c>
      <c r="AE45" s="1">
        <v>1.7490000000000001</v>
      </c>
      <c r="AF45" s="1">
        <v>10.768800000000001</v>
      </c>
      <c r="AG45" s="1" t="s">
        <v>56</v>
      </c>
      <c r="AH45" s="1">
        <f t="shared" si="15"/>
        <v>30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</row>
    <row r="46" spans="1:46" x14ac:dyDescent="0.25">
      <c r="A46" s="16" t="s">
        <v>82</v>
      </c>
      <c r="B46" s="1" t="s">
        <v>40</v>
      </c>
      <c r="C46" s="1">
        <v>47</v>
      </c>
      <c r="D46" s="1">
        <v>3</v>
      </c>
      <c r="E46" s="1">
        <v>67</v>
      </c>
      <c r="F46" s="1"/>
      <c r="G46" s="7">
        <v>0.35</v>
      </c>
      <c r="H46" s="1">
        <v>40</v>
      </c>
      <c r="I46" s="9" t="s">
        <v>46</v>
      </c>
      <c r="J46" s="1"/>
      <c r="K46" s="1">
        <v>83</v>
      </c>
      <c r="L46" s="1">
        <f t="shared" si="13"/>
        <v>-16</v>
      </c>
      <c r="M46" s="1"/>
      <c r="N46" s="1"/>
      <c r="O46" s="1">
        <v>124.5150501672241</v>
      </c>
      <c r="P46" s="19"/>
      <c r="Q46" s="1">
        <v>195</v>
      </c>
      <c r="R46" s="19"/>
      <c r="S46" s="1">
        <f t="shared" si="14"/>
        <v>13.4</v>
      </c>
      <c r="T46" s="5"/>
      <c r="U46" s="1">
        <f t="shared" si="7"/>
        <v>23.844406728897322</v>
      </c>
      <c r="V46" s="1">
        <f t="shared" si="8"/>
        <v>23.844406728897322</v>
      </c>
      <c r="W46" s="1">
        <v>23</v>
      </c>
      <c r="X46" s="1">
        <v>18.8</v>
      </c>
      <c r="Y46" s="1">
        <v>15.6</v>
      </c>
      <c r="Z46" s="1">
        <v>28.8</v>
      </c>
      <c r="AA46" s="1">
        <v>35.4</v>
      </c>
      <c r="AB46" s="1">
        <v>26.6</v>
      </c>
      <c r="AC46" s="1">
        <v>13.4</v>
      </c>
      <c r="AD46" s="1">
        <v>0.4</v>
      </c>
      <c r="AE46" s="1">
        <v>13.8</v>
      </c>
      <c r="AF46" s="1">
        <v>44.6</v>
      </c>
      <c r="AG46" s="1"/>
      <c r="AH46" s="1">
        <f t="shared" si="15"/>
        <v>0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</row>
    <row r="47" spans="1:46" x14ac:dyDescent="0.25">
      <c r="A47" s="16" t="s">
        <v>83</v>
      </c>
      <c r="B47" s="1" t="s">
        <v>40</v>
      </c>
      <c r="C47" s="1">
        <v>330</v>
      </c>
      <c r="D47" s="1">
        <v>259</v>
      </c>
      <c r="E47" s="1">
        <v>233</v>
      </c>
      <c r="F47" s="1">
        <v>219</v>
      </c>
      <c r="G47" s="7">
        <v>0.4</v>
      </c>
      <c r="H47" s="1">
        <v>40</v>
      </c>
      <c r="I47" s="9" t="s">
        <v>46</v>
      </c>
      <c r="J47" s="1"/>
      <c r="K47" s="1">
        <v>223</v>
      </c>
      <c r="L47" s="1">
        <f t="shared" si="13"/>
        <v>10</v>
      </c>
      <c r="M47" s="1"/>
      <c r="N47" s="1"/>
      <c r="O47" s="1">
        <v>0</v>
      </c>
      <c r="P47" s="19"/>
      <c r="Q47" s="1">
        <v>298.74</v>
      </c>
      <c r="R47" s="19"/>
      <c r="S47" s="1">
        <f t="shared" si="14"/>
        <v>46.6</v>
      </c>
      <c r="T47" s="5"/>
      <c r="U47" s="1">
        <f t="shared" si="7"/>
        <v>11.11030042918455</v>
      </c>
      <c r="V47" s="1">
        <f t="shared" si="8"/>
        <v>11.11030042918455</v>
      </c>
      <c r="W47" s="1">
        <v>43.4</v>
      </c>
      <c r="X47" s="1">
        <v>18.2</v>
      </c>
      <c r="Y47" s="1">
        <v>16.8</v>
      </c>
      <c r="Z47" s="1">
        <v>48.8</v>
      </c>
      <c r="AA47" s="1">
        <v>98</v>
      </c>
      <c r="AB47" s="1">
        <v>87.2</v>
      </c>
      <c r="AC47" s="1">
        <v>48.6</v>
      </c>
      <c r="AD47" s="1">
        <v>46</v>
      </c>
      <c r="AE47" s="1">
        <v>59.4</v>
      </c>
      <c r="AF47" s="1">
        <v>74.400000000000006</v>
      </c>
      <c r="AG47" s="1"/>
      <c r="AH47" s="1">
        <f t="shared" si="15"/>
        <v>0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</row>
    <row r="48" spans="1:46" x14ac:dyDescent="0.25">
      <c r="A48" s="1" t="s">
        <v>84</v>
      </c>
      <c r="B48" s="1" t="s">
        <v>35</v>
      </c>
      <c r="C48" s="1">
        <v>33.649000000000001</v>
      </c>
      <c r="D48" s="1">
        <v>118.65300000000001</v>
      </c>
      <c r="E48" s="1">
        <v>20.704000000000001</v>
      </c>
      <c r="F48" s="1">
        <v>134.81200000000001</v>
      </c>
      <c r="G48" s="7">
        <v>1</v>
      </c>
      <c r="H48" s="1">
        <v>50</v>
      </c>
      <c r="I48" s="1" t="s">
        <v>36</v>
      </c>
      <c r="J48" s="1"/>
      <c r="K48" s="1">
        <v>18</v>
      </c>
      <c r="L48" s="1">
        <f t="shared" si="13"/>
        <v>2.7040000000000006</v>
      </c>
      <c r="M48" s="1"/>
      <c r="N48" s="1"/>
      <c r="O48" s="1">
        <v>23.31891103012844</v>
      </c>
      <c r="P48" s="19"/>
      <c r="Q48" s="1">
        <v>0</v>
      </c>
      <c r="R48" s="19"/>
      <c r="S48" s="1">
        <f t="shared" si="14"/>
        <v>4.1408000000000005</v>
      </c>
      <c r="T48" s="5"/>
      <c r="U48" s="1">
        <f t="shared" si="7"/>
        <v>38.188492810599023</v>
      </c>
      <c r="V48" s="1">
        <f t="shared" si="8"/>
        <v>38.188492810599023</v>
      </c>
      <c r="W48" s="1">
        <v>7.4958</v>
      </c>
      <c r="X48" s="1">
        <v>14.864000000000001</v>
      </c>
      <c r="Y48" s="1">
        <v>16.485800000000001</v>
      </c>
      <c r="Z48" s="1">
        <v>12.978999999999999</v>
      </c>
      <c r="AA48" s="1">
        <v>13.252599999999999</v>
      </c>
      <c r="AB48" s="1">
        <v>18.2804</v>
      </c>
      <c r="AC48" s="1">
        <v>17.846</v>
      </c>
      <c r="AD48" s="1">
        <v>16.891999999999999</v>
      </c>
      <c r="AE48" s="1">
        <v>15.883800000000001</v>
      </c>
      <c r="AF48" s="1">
        <v>13.0962</v>
      </c>
      <c r="AG48" s="15" t="s">
        <v>177</v>
      </c>
      <c r="AH48" s="1">
        <f t="shared" si="15"/>
        <v>0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</row>
    <row r="49" spans="1:46" x14ac:dyDescent="0.25">
      <c r="A49" s="1" t="s">
        <v>85</v>
      </c>
      <c r="B49" s="1" t="s">
        <v>35</v>
      </c>
      <c r="C49" s="1"/>
      <c r="D49" s="1">
        <v>389.73399999999998</v>
      </c>
      <c r="E49" s="1">
        <v>57.591000000000001</v>
      </c>
      <c r="F49" s="1">
        <v>164.82900000000001</v>
      </c>
      <c r="G49" s="7">
        <v>1</v>
      </c>
      <c r="H49" s="1">
        <v>50</v>
      </c>
      <c r="I49" s="1" t="s">
        <v>36</v>
      </c>
      <c r="J49" s="1"/>
      <c r="K49" s="1">
        <v>55.6</v>
      </c>
      <c r="L49" s="1">
        <f t="shared" si="13"/>
        <v>1.9909999999999997</v>
      </c>
      <c r="M49" s="1"/>
      <c r="N49" s="1"/>
      <c r="O49" s="1">
        <v>0</v>
      </c>
      <c r="P49" s="19"/>
      <c r="Q49" s="1">
        <v>0</v>
      </c>
      <c r="R49" s="19"/>
      <c r="S49" s="1">
        <f t="shared" si="14"/>
        <v>11.5182</v>
      </c>
      <c r="T49" s="5"/>
      <c r="U49" s="1">
        <f t="shared" si="7"/>
        <v>14.310308902432672</v>
      </c>
      <c r="V49" s="1">
        <f t="shared" si="8"/>
        <v>14.310308902432672</v>
      </c>
      <c r="W49" s="1">
        <v>2.968</v>
      </c>
      <c r="X49" s="1">
        <v>0.1734</v>
      </c>
      <c r="Y49" s="1">
        <v>14.5382</v>
      </c>
      <c r="Z49" s="1">
        <v>31.075199999999999</v>
      </c>
      <c r="AA49" s="1">
        <v>26.267199999999999</v>
      </c>
      <c r="AB49" s="1">
        <v>8.4220000000000006</v>
      </c>
      <c r="AC49" s="1">
        <v>-0.2974</v>
      </c>
      <c r="AD49" s="1">
        <v>10.7278</v>
      </c>
      <c r="AE49" s="1">
        <v>16.38</v>
      </c>
      <c r="AF49" s="1">
        <v>5.3814000000000002</v>
      </c>
      <c r="AG49" s="18" t="s">
        <v>180</v>
      </c>
      <c r="AH49" s="1">
        <f t="shared" si="15"/>
        <v>0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</row>
    <row r="50" spans="1:46" x14ac:dyDescent="0.25">
      <c r="A50" s="16" t="s">
        <v>86</v>
      </c>
      <c r="B50" s="1" t="s">
        <v>35</v>
      </c>
      <c r="C50" s="1">
        <v>0.434</v>
      </c>
      <c r="D50" s="1">
        <v>262.47500000000002</v>
      </c>
      <c r="E50" s="1"/>
      <c r="F50" s="1">
        <v>95.174000000000007</v>
      </c>
      <c r="G50" s="7">
        <v>1</v>
      </c>
      <c r="H50" s="1">
        <v>45</v>
      </c>
      <c r="I50" s="9" t="s">
        <v>46</v>
      </c>
      <c r="J50" s="1"/>
      <c r="K50" s="1">
        <v>2.8</v>
      </c>
      <c r="L50" s="1">
        <f t="shared" si="13"/>
        <v>-2.8</v>
      </c>
      <c r="M50" s="1"/>
      <c r="N50" s="1"/>
      <c r="O50" s="1">
        <v>0</v>
      </c>
      <c r="P50" s="19"/>
      <c r="Q50" s="1">
        <v>0</v>
      </c>
      <c r="R50" s="19"/>
      <c r="S50" s="1">
        <f t="shared" si="14"/>
        <v>0</v>
      </c>
      <c r="T50" s="5"/>
      <c r="U50" s="1" t="e">
        <f t="shared" si="7"/>
        <v>#DIV/0!</v>
      </c>
      <c r="V50" s="1" t="e">
        <f t="shared" si="8"/>
        <v>#DIV/0!</v>
      </c>
      <c r="W50" s="1">
        <v>0</v>
      </c>
      <c r="X50" s="1">
        <v>0</v>
      </c>
      <c r="Y50" s="1">
        <v>0</v>
      </c>
      <c r="Z50" s="1">
        <v>-1.0289999999999999</v>
      </c>
      <c r="AA50" s="1">
        <v>-0.15640000000000001</v>
      </c>
      <c r="AB50" s="1">
        <v>-0.15640000000000001</v>
      </c>
      <c r="AC50" s="1">
        <v>-1.0711999999999999</v>
      </c>
      <c r="AD50" s="1">
        <v>-1.0711999999999999</v>
      </c>
      <c r="AE50" s="1">
        <v>-0.8286</v>
      </c>
      <c r="AF50" s="1">
        <v>-1.7338</v>
      </c>
      <c r="AG50" s="1"/>
      <c r="AH50" s="1">
        <f t="shared" si="15"/>
        <v>0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</row>
    <row r="51" spans="1:46" x14ac:dyDescent="0.25">
      <c r="A51" s="1" t="s">
        <v>87</v>
      </c>
      <c r="B51" s="1" t="s">
        <v>40</v>
      </c>
      <c r="C51" s="1">
        <v>103</v>
      </c>
      <c r="D51" s="1">
        <v>406</v>
      </c>
      <c r="E51" s="1">
        <v>49</v>
      </c>
      <c r="F51" s="1">
        <v>139</v>
      </c>
      <c r="G51" s="7">
        <v>0.45</v>
      </c>
      <c r="H51" s="1">
        <v>50</v>
      </c>
      <c r="I51" s="1" t="s">
        <v>36</v>
      </c>
      <c r="J51" s="1"/>
      <c r="K51" s="1">
        <v>55</v>
      </c>
      <c r="L51" s="1">
        <f t="shared" si="13"/>
        <v>-6</v>
      </c>
      <c r="M51" s="1"/>
      <c r="N51" s="1"/>
      <c r="O51" s="1">
        <v>0</v>
      </c>
      <c r="P51" s="19"/>
      <c r="Q51" s="1">
        <v>12.6</v>
      </c>
      <c r="R51" s="19"/>
      <c r="S51" s="1">
        <f t="shared" si="14"/>
        <v>9.8000000000000007</v>
      </c>
      <c r="T51" s="5"/>
      <c r="U51" s="1">
        <f t="shared" si="7"/>
        <v>15.469387755102039</v>
      </c>
      <c r="V51" s="1">
        <f t="shared" si="8"/>
        <v>15.469387755102039</v>
      </c>
      <c r="W51" s="1">
        <v>12.6</v>
      </c>
      <c r="X51" s="1">
        <v>21.4</v>
      </c>
      <c r="Y51" s="1">
        <v>29</v>
      </c>
      <c r="Z51" s="1">
        <v>29.6</v>
      </c>
      <c r="AA51" s="1">
        <v>43</v>
      </c>
      <c r="AB51" s="1">
        <v>42.6</v>
      </c>
      <c r="AC51" s="1">
        <v>20.399999999999999</v>
      </c>
      <c r="AD51" s="1">
        <v>15.4</v>
      </c>
      <c r="AE51" s="1">
        <v>31.4</v>
      </c>
      <c r="AF51" s="1">
        <v>32.4</v>
      </c>
      <c r="AG51" s="1"/>
      <c r="AH51" s="1">
        <f t="shared" si="15"/>
        <v>0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</row>
    <row r="52" spans="1:46" x14ac:dyDescent="0.25">
      <c r="A52" s="1" t="s">
        <v>88</v>
      </c>
      <c r="B52" s="1" t="s">
        <v>40</v>
      </c>
      <c r="C52" s="1">
        <v>230</v>
      </c>
      <c r="D52" s="1">
        <v>49</v>
      </c>
      <c r="E52" s="1">
        <v>115</v>
      </c>
      <c r="F52" s="1">
        <v>120</v>
      </c>
      <c r="G52" s="7">
        <v>0.45</v>
      </c>
      <c r="H52" s="1">
        <v>50</v>
      </c>
      <c r="I52" s="1" t="s">
        <v>36</v>
      </c>
      <c r="J52" s="1"/>
      <c r="K52" s="1">
        <v>109</v>
      </c>
      <c r="L52" s="1">
        <f t="shared" si="13"/>
        <v>6</v>
      </c>
      <c r="M52" s="1"/>
      <c r="N52" s="1"/>
      <c r="O52" s="1">
        <v>52.911627906976747</v>
      </c>
      <c r="P52" s="19"/>
      <c r="Q52" s="1">
        <v>20</v>
      </c>
      <c r="R52" s="19"/>
      <c r="S52" s="1">
        <f t="shared" si="14"/>
        <v>23</v>
      </c>
      <c r="T52" s="5">
        <f t="shared" ref="T52:T64" si="16">11*S52-Q52-O52-F52</f>
        <v>60.088372093023253</v>
      </c>
      <c r="U52" s="1">
        <f t="shared" si="7"/>
        <v>11</v>
      </c>
      <c r="V52" s="1">
        <f t="shared" si="8"/>
        <v>8.3874620829120321</v>
      </c>
      <c r="W52" s="1">
        <v>20</v>
      </c>
      <c r="X52" s="1">
        <v>43.2</v>
      </c>
      <c r="Y52" s="1">
        <v>32.200000000000003</v>
      </c>
      <c r="Z52" s="1">
        <v>15.8</v>
      </c>
      <c r="AA52" s="1">
        <v>47.8</v>
      </c>
      <c r="AB52" s="1">
        <v>63.2</v>
      </c>
      <c r="AC52" s="1">
        <v>48.6</v>
      </c>
      <c r="AD52" s="1">
        <v>28.2</v>
      </c>
      <c r="AE52" s="1">
        <v>18</v>
      </c>
      <c r="AF52" s="1">
        <v>39.200000000000003</v>
      </c>
      <c r="AG52" s="1"/>
      <c r="AH52" s="1">
        <f t="shared" si="15"/>
        <v>27.039767441860466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</row>
    <row r="53" spans="1:46" x14ac:dyDescent="0.25">
      <c r="A53" s="16" t="s">
        <v>89</v>
      </c>
      <c r="B53" s="1" t="s">
        <v>40</v>
      </c>
      <c r="C53" s="1">
        <v>21</v>
      </c>
      <c r="D53" s="1">
        <v>55</v>
      </c>
      <c r="E53" s="1">
        <v>40</v>
      </c>
      <c r="F53" s="1">
        <v>38</v>
      </c>
      <c r="G53" s="7">
        <v>0.4</v>
      </c>
      <c r="H53" s="1">
        <v>40</v>
      </c>
      <c r="I53" s="9" t="s">
        <v>46</v>
      </c>
      <c r="J53" s="1"/>
      <c r="K53" s="1">
        <v>35</v>
      </c>
      <c r="L53" s="1">
        <f t="shared" si="13"/>
        <v>5</v>
      </c>
      <c r="M53" s="1"/>
      <c r="N53" s="1"/>
      <c r="O53" s="1">
        <v>29.228070175438599</v>
      </c>
      <c r="P53" s="19"/>
      <c r="Q53" s="1">
        <v>26</v>
      </c>
      <c r="R53" s="19"/>
      <c r="S53" s="1">
        <f t="shared" si="14"/>
        <v>8</v>
      </c>
      <c r="T53" s="5"/>
      <c r="U53" s="1">
        <f t="shared" si="7"/>
        <v>11.653508771929825</v>
      </c>
      <c r="V53" s="1">
        <f t="shared" si="8"/>
        <v>11.653508771929825</v>
      </c>
      <c r="W53" s="1">
        <v>6.4</v>
      </c>
      <c r="X53" s="1">
        <v>0.4</v>
      </c>
      <c r="Y53" s="1">
        <v>0</v>
      </c>
      <c r="Z53" s="1">
        <v>-0.2</v>
      </c>
      <c r="AA53" s="1">
        <v>-0.2</v>
      </c>
      <c r="AB53" s="1">
        <v>0</v>
      </c>
      <c r="AC53" s="1">
        <v>4</v>
      </c>
      <c r="AD53" s="1">
        <v>6.8</v>
      </c>
      <c r="AE53" s="1">
        <v>14.2</v>
      </c>
      <c r="AF53" s="1">
        <v>16.399999999999999</v>
      </c>
      <c r="AG53" s="1"/>
      <c r="AH53" s="1">
        <f t="shared" si="15"/>
        <v>0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</row>
    <row r="54" spans="1:46" x14ac:dyDescent="0.25">
      <c r="A54" s="16" t="s">
        <v>90</v>
      </c>
      <c r="B54" s="1" t="s">
        <v>40</v>
      </c>
      <c r="C54" s="1">
        <v>50</v>
      </c>
      <c r="D54" s="1">
        <v>43</v>
      </c>
      <c r="E54" s="1">
        <v>45</v>
      </c>
      <c r="F54" s="1">
        <v>50</v>
      </c>
      <c r="G54" s="7">
        <v>0.4</v>
      </c>
      <c r="H54" s="1">
        <v>40</v>
      </c>
      <c r="I54" s="9" t="s">
        <v>46</v>
      </c>
      <c r="J54" s="1"/>
      <c r="K54" s="1">
        <v>40</v>
      </c>
      <c r="L54" s="1">
        <f t="shared" si="13"/>
        <v>5</v>
      </c>
      <c r="M54" s="1"/>
      <c r="N54" s="1"/>
      <c r="O54" s="1">
        <v>4</v>
      </c>
      <c r="P54" s="19"/>
      <c r="Q54" s="1">
        <v>45.759999999999977</v>
      </c>
      <c r="R54" s="19"/>
      <c r="S54" s="1">
        <f t="shared" si="14"/>
        <v>9</v>
      </c>
      <c r="T54" s="5"/>
      <c r="U54" s="1">
        <f t="shared" si="7"/>
        <v>11.084444444444442</v>
      </c>
      <c r="V54" s="1">
        <f t="shared" si="8"/>
        <v>11.084444444444442</v>
      </c>
      <c r="W54" s="1">
        <v>8.6</v>
      </c>
      <c r="X54" s="1">
        <v>3.6</v>
      </c>
      <c r="Y54" s="1">
        <v>1.6</v>
      </c>
      <c r="Z54" s="1">
        <v>0.4</v>
      </c>
      <c r="AA54" s="1">
        <v>5.8</v>
      </c>
      <c r="AB54" s="1">
        <v>8.8000000000000007</v>
      </c>
      <c r="AC54" s="1">
        <v>8.6</v>
      </c>
      <c r="AD54" s="1">
        <v>7.4</v>
      </c>
      <c r="AE54" s="1">
        <v>8.1999999999999993</v>
      </c>
      <c r="AF54" s="1">
        <v>12.4</v>
      </c>
      <c r="AG54" s="1"/>
      <c r="AH54" s="1">
        <f t="shared" si="15"/>
        <v>0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</row>
    <row r="55" spans="1:46" x14ac:dyDescent="0.25">
      <c r="A55" s="1" t="s">
        <v>91</v>
      </c>
      <c r="B55" s="1" t="s">
        <v>35</v>
      </c>
      <c r="C55" s="1">
        <v>16.245999999999999</v>
      </c>
      <c r="D55" s="1">
        <v>240.25899999999999</v>
      </c>
      <c r="E55" s="1">
        <v>36.345999999999997</v>
      </c>
      <c r="F55" s="1">
        <v>71.468000000000004</v>
      </c>
      <c r="G55" s="7">
        <v>1</v>
      </c>
      <c r="H55" s="1">
        <v>50</v>
      </c>
      <c r="I55" s="1" t="s">
        <v>36</v>
      </c>
      <c r="J55" s="1"/>
      <c r="K55" s="1">
        <v>27.1</v>
      </c>
      <c r="L55" s="1">
        <f t="shared" si="13"/>
        <v>9.2459999999999951</v>
      </c>
      <c r="M55" s="1"/>
      <c r="N55" s="1"/>
      <c r="O55" s="1">
        <v>0</v>
      </c>
      <c r="P55" s="19"/>
      <c r="Q55" s="1">
        <v>0</v>
      </c>
      <c r="R55" s="19"/>
      <c r="S55" s="1">
        <f t="shared" si="14"/>
        <v>7.2691999999999997</v>
      </c>
      <c r="T55" s="5">
        <f t="shared" si="16"/>
        <v>8.4931999999999874</v>
      </c>
      <c r="U55" s="1">
        <f t="shared" si="7"/>
        <v>11</v>
      </c>
      <c r="V55" s="1">
        <f t="shared" si="8"/>
        <v>9.8316183348924238</v>
      </c>
      <c r="W55" s="1">
        <v>5.6552000000000007</v>
      </c>
      <c r="X55" s="1">
        <v>10.2532</v>
      </c>
      <c r="Y55" s="1">
        <v>15.079599999999999</v>
      </c>
      <c r="Z55" s="1">
        <v>14.2872</v>
      </c>
      <c r="AA55" s="1">
        <v>18.321200000000001</v>
      </c>
      <c r="AB55" s="1">
        <v>15.973000000000001</v>
      </c>
      <c r="AC55" s="1">
        <v>7.6050000000000004</v>
      </c>
      <c r="AD55" s="1">
        <v>6.9670000000000014</v>
      </c>
      <c r="AE55" s="1">
        <v>5.6665999999999999</v>
      </c>
      <c r="AF55" s="1">
        <v>8.1686000000000014</v>
      </c>
      <c r="AG55" s="1" t="s">
        <v>56</v>
      </c>
      <c r="AH55" s="1">
        <f t="shared" si="15"/>
        <v>8.4931999999999874</v>
      </c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</row>
    <row r="56" spans="1:46" x14ac:dyDescent="0.25">
      <c r="A56" s="1" t="s">
        <v>92</v>
      </c>
      <c r="B56" s="1" t="s">
        <v>40</v>
      </c>
      <c r="C56" s="1">
        <v>157</v>
      </c>
      <c r="D56" s="1">
        <v>180</v>
      </c>
      <c r="E56" s="13">
        <f>142+E129</f>
        <v>179</v>
      </c>
      <c r="F56" s="13">
        <f>123+F129</f>
        <v>135</v>
      </c>
      <c r="G56" s="7">
        <v>0.1</v>
      </c>
      <c r="H56" s="1">
        <v>731</v>
      </c>
      <c r="I56" s="1" t="s">
        <v>36</v>
      </c>
      <c r="J56" s="1"/>
      <c r="K56" s="1">
        <v>135</v>
      </c>
      <c r="L56" s="1">
        <f t="shared" si="13"/>
        <v>44</v>
      </c>
      <c r="M56" s="1"/>
      <c r="N56" s="1"/>
      <c r="O56" s="1">
        <v>215.525052631579</v>
      </c>
      <c r="P56" s="19"/>
      <c r="Q56" s="1">
        <v>86.474947368421113</v>
      </c>
      <c r="R56" s="19"/>
      <c r="S56" s="1">
        <f t="shared" si="14"/>
        <v>35.799999999999997</v>
      </c>
      <c r="T56" s="5"/>
      <c r="U56" s="1">
        <f t="shared" si="7"/>
        <v>12.206703910614529</v>
      </c>
      <c r="V56" s="1">
        <f t="shared" si="8"/>
        <v>12.206703910614529</v>
      </c>
      <c r="W56" s="1">
        <v>39</v>
      </c>
      <c r="X56" s="1">
        <v>54.6</v>
      </c>
      <c r="Y56" s="1">
        <v>50.4</v>
      </c>
      <c r="Z56" s="1">
        <v>48.6</v>
      </c>
      <c r="AA56" s="1">
        <v>62.6</v>
      </c>
      <c r="AB56" s="1">
        <v>47.8</v>
      </c>
      <c r="AC56" s="1">
        <v>19.2</v>
      </c>
      <c r="AD56" s="1">
        <v>14.6</v>
      </c>
      <c r="AE56" s="1">
        <v>11.8</v>
      </c>
      <c r="AF56" s="1">
        <v>11</v>
      </c>
      <c r="AG56" s="1" t="s">
        <v>56</v>
      </c>
      <c r="AH56" s="1">
        <f t="shared" si="15"/>
        <v>0</v>
      </c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</row>
    <row r="57" spans="1:46" x14ac:dyDescent="0.25">
      <c r="A57" s="1" t="s">
        <v>93</v>
      </c>
      <c r="B57" s="1" t="s">
        <v>35</v>
      </c>
      <c r="C57" s="1">
        <v>6.6539999999999999</v>
      </c>
      <c r="D57" s="1">
        <v>269.88900000000001</v>
      </c>
      <c r="E57" s="1">
        <v>21.364999999999998</v>
      </c>
      <c r="F57" s="1">
        <v>105.723</v>
      </c>
      <c r="G57" s="7">
        <v>1</v>
      </c>
      <c r="H57" s="1">
        <v>50</v>
      </c>
      <c r="I57" s="1" t="s">
        <v>36</v>
      </c>
      <c r="J57" s="1"/>
      <c r="K57" s="1">
        <v>20.100000000000001</v>
      </c>
      <c r="L57" s="1">
        <f t="shared" si="13"/>
        <v>1.264999999999997</v>
      </c>
      <c r="M57" s="1"/>
      <c r="N57" s="1"/>
      <c r="O57" s="1">
        <v>67.325150343878946</v>
      </c>
      <c r="P57" s="19"/>
      <c r="Q57" s="1">
        <v>13.907999999999999</v>
      </c>
      <c r="R57" s="19"/>
      <c r="S57" s="1">
        <f t="shared" si="14"/>
        <v>4.2729999999999997</v>
      </c>
      <c r="T57" s="5"/>
      <c r="U57" s="1">
        <f t="shared" si="7"/>
        <v>43.752902022906376</v>
      </c>
      <c r="V57" s="1">
        <f t="shared" si="8"/>
        <v>43.752902022906376</v>
      </c>
      <c r="W57" s="1">
        <v>13.907999999999999</v>
      </c>
      <c r="X57" s="1">
        <v>32.824800000000003</v>
      </c>
      <c r="Y57" s="1">
        <v>29.584199999999999</v>
      </c>
      <c r="Z57" s="1">
        <v>28.664000000000001</v>
      </c>
      <c r="AA57" s="1">
        <v>22.774799999999999</v>
      </c>
      <c r="AB57" s="1">
        <v>14.909599999999999</v>
      </c>
      <c r="AC57" s="1">
        <v>28.376000000000001</v>
      </c>
      <c r="AD57" s="1">
        <v>33.974800000000002</v>
      </c>
      <c r="AE57" s="1">
        <v>26.335999999999999</v>
      </c>
      <c r="AF57" s="1">
        <v>11.852399999999999</v>
      </c>
      <c r="AG57" s="1" t="s">
        <v>56</v>
      </c>
      <c r="AH57" s="1">
        <f t="shared" si="15"/>
        <v>0</v>
      </c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</row>
    <row r="58" spans="1:46" x14ac:dyDescent="0.25">
      <c r="A58" s="1" t="s">
        <v>94</v>
      </c>
      <c r="B58" s="1" t="s">
        <v>35</v>
      </c>
      <c r="C58" s="1">
        <v>8.9999999999999993E-3</v>
      </c>
      <c r="D58" s="1">
        <v>64.917000000000002</v>
      </c>
      <c r="E58" s="1">
        <v>18.881</v>
      </c>
      <c r="F58" s="1">
        <v>44.698999999999998</v>
      </c>
      <c r="G58" s="7">
        <v>1</v>
      </c>
      <c r="H58" s="1">
        <v>55</v>
      </c>
      <c r="I58" s="1" t="s">
        <v>36</v>
      </c>
      <c r="J58" s="1"/>
      <c r="K58" s="1">
        <v>18.3</v>
      </c>
      <c r="L58" s="1">
        <f t="shared" si="13"/>
        <v>0.58099999999999952</v>
      </c>
      <c r="M58" s="1"/>
      <c r="N58" s="1"/>
      <c r="O58" s="1">
        <v>42.548510946944248</v>
      </c>
      <c r="P58" s="19"/>
      <c r="Q58" s="1">
        <v>0</v>
      </c>
      <c r="R58" s="19"/>
      <c r="S58" s="1">
        <f t="shared" si="14"/>
        <v>3.7762000000000002</v>
      </c>
      <c r="T58" s="5"/>
      <c r="U58" s="1">
        <f t="shared" si="7"/>
        <v>23.104578927743297</v>
      </c>
      <c r="V58" s="1">
        <f t="shared" si="8"/>
        <v>23.104578927743297</v>
      </c>
      <c r="W58" s="1">
        <v>5.9706000000000001</v>
      </c>
      <c r="X58" s="1">
        <v>8.2767999999999997</v>
      </c>
      <c r="Y58" s="1">
        <v>5.8301999999999996</v>
      </c>
      <c r="Z58" s="1">
        <v>6.5529999999999999</v>
      </c>
      <c r="AA58" s="1">
        <v>8.4641999999999999</v>
      </c>
      <c r="AB58" s="1">
        <v>5.9944000000000006</v>
      </c>
      <c r="AC58" s="1">
        <v>7.5114000000000001</v>
      </c>
      <c r="AD58" s="1">
        <v>6.9714</v>
      </c>
      <c r="AE58" s="1">
        <v>5.4367999999999999</v>
      </c>
      <c r="AF58" s="1">
        <v>7.0358000000000001</v>
      </c>
      <c r="AG58" s="1"/>
      <c r="AH58" s="1">
        <f t="shared" si="15"/>
        <v>0</v>
      </c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</row>
    <row r="59" spans="1:46" x14ac:dyDescent="0.25">
      <c r="A59" s="1" t="s">
        <v>95</v>
      </c>
      <c r="B59" s="1" t="s">
        <v>40</v>
      </c>
      <c r="C59" s="1">
        <v>189</v>
      </c>
      <c r="D59" s="1"/>
      <c r="E59" s="1">
        <v>148</v>
      </c>
      <c r="F59" s="1">
        <v>43</v>
      </c>
      <c r="G59" s="7">
        <v>0.1</v>
      </c>
      <c r="H59" s="1">
        <v>731</v>
      </c>
      <c r="I59" s="1" t="s">
        <v>36</v>
      </c>
      <c r="J59" s="1"/>
      <c r="K59" s="1">
        <v>141</v>
      </c>
      <c r="L59" s="1">
        <f t="shared" si="13"/>
        <v>7</v>
      </c>
      <c r="M59" s="1"/>
      <c r="N59" s="1"/>
      <c r="O59" s="1">
        <v>91.06797642436149</v>
      </c>
      <c r="P59" s="19"/>
      <c r="Q59" s="1">
        <v>221.53202357563839</v>
      </c>
      <c r="R59" s="19"/>
      <c r="S59" s="1">
        <f t="shared" si="14"/>
        <v>29.6</v>
      </c>
      <c r="T59" s="5"/>
      <c r="U59" s="1">
        <f t="shared" si="7"/>
        <v>12.01351351351351</v>
      </c>
      <c r="V59" s="1">
        <f t="shared" si="8"/>
        <v>12.01351351351351</v>
      </c>
      <c r="W59" s="1">
        <v>31.2</v>
      </c>
      <c r="X59" s="1">
        <v>34.799999999999997</v>
      </c>
      <c r="Y59" s="1">
        <v>32</v>
      </c>
      <c r="Z59" s="1">
        <v>34</v>
      </c>
      <c r="AA59" s="1">
        <v>39.6</v>
      </c>
      <c r="AB59" s="1">
        <v>29.8</v>
      </c>
      <c r="AC59" s="1">
        <v>25.2</v>
      </c>
      <c r="AD59" s="1">
        <v>21.2</v>
      </c>
      <c r="AE59" s="1">
        <v>13.2</v>
      </c>
      <c r="AF59" s="1">
        <v>16.2</v>
      </c>
      <c r="AG59" s="1" t="s">
        <v>56</v>
      </c>
      <c r="AH59" s="1">
        <f t="shared" si="15"/>
        <v>0</v>
      </c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</row>
    <row r="60" spans="1:46" x14ac:dyDescent="0.25">
      <c r="A60" s="1" t="s">
        <v>96</v>
      </c>
      <c r="B60" s="1" t="s">
        <v>40</v>
      </c>
      <c r="C60" s="1">
        <v>14</v>
      </c>
      <c r="D60" s="1">
        <v>33</v>
      </c>
      <c r="E60" s="1">
        <v>14</v>
      </c>
      <c r="F60" s="1">
        <v>2</v>
      </c>
      <c r="G60" s="7">
        <v>0.4</v>
      </c>
      <c r="H60" s="1">
        <v>50</v>
      </c>
      <c r="I60" s="1" t="s">
        <v>36</v>
      </c>
      <c r="J60" s="1"/>
      <c r="K60" s="1">
        <v>14</v>
      </c>
      <c r="L60" s="1">
        <f t="shared" si="13"/>
        <v>0</v>
      </c>
      <c r="M60" s="1"/>
      <c r="N60" s="1"/>
      <c r="O60" s="1">
        <v>0</v>
      </c>
      <c r="P60" s="19"/>
      <c r="Q60" s="1">
        <v>8.4000000000000021</v>
      </c>
      <c r="R60" s="19"/>
      <c r="S60" s="1">
        <f t="shared" si="14"/>
        <v>2.8</v>
      </c>
      <c r="T60" s="5">
        <f t="shared" si="16"/>
        <v>20.399999999999995</v>
      </c>
      <c r="U60" s="1">
        <f t="shared" si="7"/>
        <v>11</v>
      </c>
      <c r="V60" s="1">
        <f t="shared" si="8"/>
        <v>3.7142857142857153</v>
      </c>
      <c r="W60" s="1">
        <v>1.8</v>
      </c>
      <c r="X60" s="1">
        <v>1</v>
      </c>
      <c r="Y60" s="1">
        <v>3.4</v>
      </c>
      <c r="Z60" s="1">
        <v>4</v>
      </c>
      <c r="AA60" s="1">
        <v>3.4</v>
      </c>
      <c r="AB60" s="1">
        <v>3.2</v>
      </c>
      <c r="AC60" s="1">
        <v>1.2</v>
      </c>
      <c r="AD60" s="1">
        <v>0.2</v>
      </c>
      <c r="AE60" s="1">
        <v>3</v>
      </c>
      <c r="AF60" s="1">
        <v>3.4</v>
      </c>
      <c r="AG60" s="1"/>
      <c r="AH60" s="1">
        <f t="shared" si="15"/>
        <v>8.1599999999999984</v>
      </c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</row>
    <row r="61" spans="1:46" x14ac:dyDescent="0.25">
      <c r="A61" s="16" t="s">
        <v>97</v>
      </c>
      <c r="B61" s="1" t="s">
        <v>35</v>
      </c>
      <c r="C61" s="1">
        <v>62.716000000000001</v>
      </c>
      <c r="D61" s="1">
        <v>211.18600000000001</v>
      </c>
      <c r="E61" s="1">
        <v>146.48599999999999</v>
      </c>
      <c r="F61" s="1">
        <v>62.875</v>
      </c>
      <c r="G61" s="7">
        <v>1</v>
      </c>
      <c r="H61" s="1">
        <v>40</v>
      </c>
      <c r="I61" s="9" t="s">
        <v>46</v>
      </c>
      <c r="J61" s="1"/>
      <c r="K61" s="1">
        <v>150.1</v>
      </c>
      <c r="L61" s="1">
        <f t="shared" si="13"/>
        <v>-3.6140000000000043</v>
      </c>
      <c r="M61" s="1"/>
      <c r="N61" s="1"/>
      <c r="O61" s="1">
        <v>82.974373640960252</v>
      </c>
      <c r="P61" s="19"/>
      <c r="Q61" s="1">
        <v>125.4214342667517</v>
      </c>
      <c r="R61" s="19"/>
      <c r="S61" s="1">
        <f t="shared" si="14"/>
        <v>29.297199999999997</v>
      </c>
      <c r="T61" s="5">
        <f t="shared" si="16"/>
        <v>50.998392092288</v>
      </c>
      <c r="U61" s="1">
        <f t="shared" si="7"/>
        <v>11</v>
      </c>
      <c r="V61" s="1">
        <f t="shared" si="8"/>
        <v>9.2592741937015148</v>
      </c>
      <c r="W61" s="1">
        <v>24.019200000000001</v>
      </c>
      <c r="X61" s="1">
        <v>15.448399999999999</v>
      </c>
      <c r="Y61" s="1">
        <v>13.5816</v>
      </c>
      <c r="Z61" s="1">
        <v>21.594999999999999</v>
      </c>
      <c r="AA61" s="1">
        <v>26.615600000000001</v>
      </c>
      <c r="AB61" s="1">
        <v>27.269600000000001</v>
      </c>
      <c r="AC61" s="1">
        <v>19.244599999999998</v>
      </c>
      <c r="AD61" s="1">
        <v>2.0972</v>
      </c>
      <c r="AE61" s="1">
        <v>14.3964</v>
      </c>
      <c r="AF61" s="1">
        <v>41.171799999999998</v>
      </c>
      <c r="AG61" s="1"/>
      <c r="AH61" s="1">
        <f t="shared" si="15"/>
        <v>50.998392092288</v>
      </c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</row>
    <row r="62" spans="1:46" x14ac:dyDescent="0.25">
      <c r="A62" s="16" t="s">
        <v>98</v>
      </c>
      <c r="B62" s="1" t="s">
        <v>35</v>
      </c>
      <c r="C62" s="1">
        <v>-1.748</v>
      </c>
      <c r="D62" s="1">
        <v>8.2989999999999995</v>
      </c>
      <c r="E62" s="1">
        <v>8.3330000000000002</v>
      </c>
      <c r="F62" s="1">
        <v>-0.13900000000000001</v>
      </c>
      <c r="G62" s="7">
        <v>1</v>
      </c>
      <c r="H62" s="1">
        <v>40</v>
      </c>
      <c r="I62" s="9" t="s">
        <v>46</v>
      </c>
      <c r="J62" s="1"/>
      <c r="K62" s="1">
        <v>18.600000000000001</v>
      </c>
      <c r="L62" s="1">
        <f t="shared" si="13"/>
        <v>-10.267000000000001</v>
      </c>
      <c r="M62" s="1"/>
      <c r="N62" s="1"/>
      <c r="O62" s="1">
        <v>157.7291886195996</v>
      </c>
      <c r="P62" s="19"/>
      <c r="Q62" s="1">
        <v>65</v>
      </c>
      <c r="R62" s="19"/>
      <c r="S62" s="1">
        <f t="shared" si="14"/>
        <v>1.6666000000000001</v>
      </c>
      <c r="T62" s="5"/>
      <c r="U62" s="1">
        <f t="shared" si="7"/>
        <v>133.55945554998175</v>
      </c>
      <c r="V62" s="1">
        <f t="shared" si="8"/>
        <v>133.55945554998175</v>
      </c>
      <c r="W62" s="1">
        <v>5.6360000000000001</v>
      </c>
      <c r="X62" s="1">
        <v>11.8102</v>
      </c>
      <c r="Y62" s="1">
        <v>25.3964</v>
      </c>
      <c r="Z62" s="1">
        <v>39.029400000000003</v>
      </c>
      <c r="AA62" s="1">
        <v>33.448999999999998</v>
      </c>
      <c r="AB62" s="1">
        <v>20.904800000000002</v>
      </c>
      <c r="AC62" s="1">
        <v>8.2733999999999988</v>
      </c>
      <c r="AD62" s="1">
        <v>11.537800000000001</v>
      </c>
      <c r="AE62" s="1">
        <v>27.928999999999998</v>
      </c>
      <c r="AF62" s="1">
        <v>28.781600000000001</v>
      </c>
      <c r="AG62" s="1"/>
      <c r="AH62" s="1">
        <f t="shared" si="15"/>
        <v>0</v>
      </c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</row>
    <row r="63" spans="1:46" x14ac:dyDescent="0.25">
      <c r="A63" s="16" t="s">
        <v>99</v>
      </c>
      <c r="B63" s="1" t="s">
        <v>40</v>
      </c>
      <c r="C63" s="1">
        <v>132</v>
      </c>
      <c r="D63" s="1">
        <v>1007</v>
      </c>
      <c r="E63" s="1">
        <v>367</v>
      </c>
      <c r="F63" s="1">
        <v>294</v>
      </c>
      <c r="G63" s="7">
        <v>0.4</v>
      </c>
      <c r="H63" s="1">
        <v>40</v>
      </c>
      <c r="I63" s="9" t="s">
        <v>46</v>
      </c>
      <c r="J63" s="1"/>
      <c r="K63" s="1">
        <v>368</v>
      </c>
      <c r="L63" s="1">
        <f t="shared" si="13"/>
        <v>-1</v>
      </c>
      <c r="M63" s="1"/>
      <c r="N63" s="1"/>
      <c r="O63" s="1">
        <v>64.264919941775844</v>
      </c>
      <c r="P63" s="19"/>
      <c r="Q63" s="1">
        <v>195</v>
      </c>
      <c r="R63" s="19"/>
      <c r="S63" s="1">
        <f t="shared" si="14"/>
        <v>73.400000000000006</v>
      </c>
      <c r="T63" s="5">
        <f t="shared" si="16"/>
        <v>254.13508005822428</v>
      </c>
      <c r="U63" s="1">
        <f t="shared" si="7"/>
        <v>11</v>
      </c>
      <c r="V63" s="1">
        <f t="shared" si="8"/>
        <v>7.5376692090160189</v>
      </c>
      <c r="W63" s="1">
        <v>57.2</v>
      </c>
      <c r="X63" s="1">
        <v>35.799999999999997</v>
      </c>
      <c r="Y63" s="1">
        <v>36.6</v>
      </c>
      <c r="Z63" s="1">
        <v>28.8</v>
      </c>
      <c r="AA63" s="1">
        <v>9</v>
      </c>
      <c r="AB63" s="1">
        <v>49</v>
      </c>
      <c r="AC63" s="1">
        <v>115.2</v>
      </c>
      <c r="AD63" s="1">
        <v>114</v>
      </c>
      <c r="AE63" s="1">
        <v>79.599999999999994</v>
      </c>
      <c r="AF63" s="1">
        <v>77.400000000000006</v>
      </c>
      <c r="AG63" s="1"/>
      <c r="AH63" s="1">
        <f t="shared" si="15"/>
        <v>101.65403202328972</v>
      </c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</row>
    <row r="64" spans="1:46" x14ac:dyDescent="0.25">
      <c r="A64" s="1" t="s">
        <v>100</v>
      </c>
      <c r="B64" s="1" t="s">
        <v>40</v>
      </c>
      <c r="C64" s="1">
        <v>86</v>
      </c>
      <c r="D64" s="1">
        <v>355</v>
      </c>
      <c r="E64" s="1">
        <v>186</v>
      </c>
      <c r="F64" s="1">
        <v>234</v>
      </c>
      <c r="G64" s="7">
        <v>0.4</v>
      </c>
      <c r="H64" s="1">
        <v>40</v>
      </c>
      <c r="I64" s="1" t="s">
        <v>36</v>
      </c>
      <c r="J64" s="1"/>
      <c r="K64" s="1">
        <v>197</v>
      </c>
      <c r="L64" s="1">
        <f t="shared" si="13"/>
        <v>-11</v>
      </c>
      <c r="M64" s="1"/>
      <c r="N64" s="1"/>
      <c r="O64" s="1">
        <v>140.38267875125879</v>
      </c>
      <c r="P64" s="19"/>
      <c r="Q64" s="1">
        <v>0</v>
      </c>
      <c r="R64" s="19"/>
      <c r="S64" s="1">
        <f t="shared" si="14"/>
        <v>37.200000000000003</v>
      </c>
      <c r="T64" s="5">
        <f t="shared" si="16"/>
        <v>34.817321248741223</v>
      </c>
      <c r="U64" s="1">
        <f t="shared" si="7"/>
        <v>11</v>
      </c>
      <c r="V64" s="1">
        <f t="shared" si="8"/>
        <v>10.064050504066097</v>
      </c>
      <c r="W64" s="1">
        <v>29.6</v>
      </c>
      <c r="X64" s="1">
        <v>34.200000000000003</v>
      </c>
      <c r="Y64" s="1">
        <v>38.4</v>
      </c>
      <c r="Z64" s="1">
        <v>38.200000000000003</v>
      </c>
      <c r="AA64" s="1">
        <v>54</v>
      </c>
      <c r="AB64" s="1">
        <v>42.6</v>
      </c>
      <c r="AC64" s="1">
        <v>53.4</v>
      </c>
      <c r="AD64" s="1">
        <v>71.599999999999994</v>
      </c>
      <c r="AE64" s="1">
        <v>43.4</v>
      </c>
      <c r="AF64" s="1">
        <v>48.2</v>
      </c>
      <c r="AG64" s="1"/>
      <c r="AH64" s="1">
        <f t="shared" si="15"/>
        <v>13.926928499496491</v>
      </c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</row>
    <row r="65" spans="1:46" x14ac:dyDescent="0.25">
      <c r="A65" s="16" t="s">
        <v>101</v>
      </c>
      <c r="B65" s="1" t="s">
        <v>35</v>
      </c>
      <c r="C65" s="1">
        <v>-8.1000000000000003E-2</v>
      </c>
      <c r="D65" s="1">
        <v>130.256</v>
      </c>
      <c r="E65" s="1">
        <v>0.91800000000000004</v>
      </c>
      <c r="F65" s="1">
        <v>38.722000000000001</v>
      </c>
      <c r="G65" s="7">
        <v>1</v>
      </c>
      <c r="H65" s="1">
        <v>40</v>
      </c>
      <c r="I65" s="9" t="s">
        <v>46</v>
      </c>
      <c r="J65" s="1"/>
      <c r="K65" s="1">
        <v>64.2</v>
      </c>
      <c r="L65" s="1">
        <f t="shared" si="13"/>
        <v>-63.282000000000004</v>
      </c>
      <c r="M65" s="1"/>
      <c r="N65" s="1"/>
      <c r="O65" s="1">
        <v>66.72749588742191</v>
      </c>
      <c r="P65" s="19"/>
      <c r="Q65" s="1">
        <v>26</v>
      </c>
      <c r="R65" s="19"/>
      <c r="S65" s="1">
        <f t="shared" si="14"/>
        <v>0.18360000000000001</v>
      </c>
      <c r="T65" s="5">
        <v>20</v>
      </c>
      <c r="U65" s="1">
        <f t="shared" si="7"/>
        <v>824.88832182691658</v>
      </c>
      <c r="V65" s="1">
        <f t="shared" si="8"/>
        <v>715.95585995327826</v>
      </c>
      <c r="W65" s="1">
        <v>14.255800000000001</v>
      </c>
      <c r="X65" s="1">
        <v>19.347200000000001</v>
      </c>
      <c r="Y65" s="1">
        <v>13.451000000000001</v>
      </c>
      <c r="Z65" s="1">
        <v>8.1768000000000001</v>
      </c>
      <c r="AA65" s="1">
        <v>2.9136000000000002</v>
      </c>
      <c r="AB65" s="1">
        <v>16.226600000000001</v>
      </c>
      <c r="AC65" s="1">
        <v>18.217400000000001</v>
      </c>
      <c r="AD65" s="1">
        <v>20.844200000000001</v>
      </c>
      <c r="AE65" s="1">
        <v>20.661999999999999</v>
      </c>
      <c r="AF65" s="1">
        <v>14.938599999999999</v>
      </c>
      <c r="AG65" s="1"/>
      <c r="AH65" s="1">
        <f t="shared" si="15"/>
        <v>20</v>
      </c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</row>
    <row r="66" spans="1:46" x14ac:dyDescent="0.25">
      <c r="A66" s="16" t="s">
        <v>102</v>
      </c>
      <c r="B66" s="1" t="s">
        <v>35</v>
      </c>
      <c r="C66" s="1"/>
      <c r="D66" s="1">
        <v>102.29900000000001</v>
      </c>
      <c r="E66" s="1">
        <v>-4.4249999999999998</v>
      </c>
      <c r="F66" s="1">
        <v>11.657</v>
      </c>
      <c r="G66" s="7">
        <v>1</v>
      </c>
      <c r="H66" s="1">
        <v>40</v>
      </c>
      <c r="I66" s="9" t="s">
        <v>46</v>
      </c>
      <c r="J66" s="1"/>
      <c r="K66" s="1">
        <v>4.5</v>
      </c>
      <c r="L66" s="1">
        <f t="shared" si="13"/>
        <v>-8.9250000000000007</v>
      </c>
      <c r="M66" s="1"/>
      <c r="N66" s="1"/>
      <c r="O66" s="1">
        <v>65.506768635724328</v>
      </c>
      <c r="P66" s="19"/>
      <c r="Q66" s="1">
        <v>26</v>
      </c>
      <c r="R66" s="19"/>
      <c r="S66" s="1">
        <f t="shared" si="14"/>
        <v>-0.88500000000000001</v>
      </c>
      <c r="T66" s="5"/>
      <c r="U66" s="1">
        <f t="shared" si="7"/>
        <v>-116.56923009686365</v>
      </c>
      <c r="V66" s="1">
        <f t="shared" si="8"/>
        <v>-116.56923009686365</v>
      </c>
      <c r="W66" s="1">
        <v>-0.18</v>
      </c>
      <c r="X66" s="1">
        <v>-0.3654</v>
      </c>
      <c r="Y66" s="1">
        <v>-0.3654</v>
      </c>
      <c r="Z66" s="1">
        <v>-1.2702</v>
      </c>
      <c r="AA66" s="1">
        <v>-1.0875999999999999</v>
      </c>
      <c r="AB66" s="1">
        <v>10.1266</v>
      </c>
      <c r="AC66" s="1">
        <v>11.384600000000001</v>
      </c>
      <c r="AD66" s="1">
        <v>8.4802</v>
      </c>
      <c r="AE66" s="1">
        <v>12.4748</v>
      </c>
      <c r="AF66" s="1">
        <v>12.3028</v>
      </c>
      <c r="AG66" s="1"/>
      <c r="AH66" s="1">
        <f t="shared" si="15"/>
        <v>0</v>
      </c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</row>
    <row r="67" spans="1:46" x14ac:dyDescent="0.25">
      <c r="A67" s="16" t="s">
        <v>103</v>
      </c>
      <c r="B67" s="1" t="s">
        <v>35</v>
      </c>
      <c r="C67" s="1">
        <v>50.837000000000003</v>
      </c>
      <c r="D67" s="1">
        <v>5.4580000000000002</v>
      </c>
      <c r="E67" s="1">
        <v>75.828999999999994</v>
      </c>
      <c r="F67" s="1">
        <v>-0.41</v>
      </c>
      <c r="G67" s="7">
        <v>1</v>
      </c>
      <c r="H67" s="1">
        <v>40</v>
      </c>
      <c r="I67" s="9" t="s">
        <v>46</v>
      </c>
      <c r="J67" s="1"/>
      <c r="K67" s="1">
        <v>55.6</v>
      </c>
      <c r="L67" s="1">
        <f t="shared" si="13"/>
        <v>20.228999999999992</v>
      </c>
      <c r="M67" s="1"/>
      <c r="N67" s="1"/>
      <c r="O67" s="1">
        <v>185.44251614261961</v>
      </c>
      <c r="P67" s="19"/>
      <c r="Q67" s="1">
        <v>260</v>
      </c>
      <c r="R67" s="19"/>
      <c r="S67" s="1">
        <f t="shared" si="14"/>
        <v>15.165799999999999</v>
      </c>
      <c r="T67" s="5"/>
      <c r="U67" s="1">
        <f t="shared" si="7"/>
        <v>29.344480089584437</v>
      </c>
      <c r="V67" s="1">
        <f t="shared" si="8"/>
        <v>29.344480089584437</v>
      </c>
      <c r="W67" s="1">
        <v>54.539200000000008</v>
      </c>
      <c r="X67" s="1">
        <v>38.833599999999997</v>
      </c>
      <c r="Y67" s="1">
        <v>-1.4410000000000001</v>
      </c>
      <c r="Z67" s="1">
        <v>-0.9012</v>
      </c>
      <c r="AA67" s="1">
        <v>26.5594</v>
      </c>
      <c r="AB67" s="1">
        <v>56.472000000000001</v>
      </c>
      <c r="AC67" s="1">
        <v>75.826599999999999</v>
      </c>
      <c r="AD67" s="1">
        <v>76.188999999999993</v>
      </c>
      <c r="AE67" s="1">
        <v>96.034199999999998</v>
      </c>
      <c r="AF67" s="1">
        <v>98.497799999999998</v>
      </c>
      <c r="AG67" s="1"/>
      <c r="AH67" s="1">
        <f t="shared" si="15"/>
        <v>0</v>
      </c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</row>
    <row r="68" spans="1:46" x14ac:dyDescent="0.25">
      <c r="A68" s="16" t="s">
        <v>104</v>
      </c>
      <c r="B68" s="1" t="s">
        <v>35</v>
      </c>
      <c r="C68" s="1"/>
      <c r="D68" s="1"/>
      <c r="E68" s="1"/>
      <c r="F68" s="1"/>
      <c r="G68" s="7">
        <v>1</v>
      </c>
      <c r="H68" s="1">
        <v>40</v>
      </c>
      <c r="I68" s="9" t="s">
        <v>46</v>
      </c>
      <c r="J68" s="1"/>
      <c r="K68" s="1">
        <v>4.5</v>
      </c>
      <c r="L68" s="1">
        <f t="shared" si="13"/>
        <v>-4.5</v>
      </c>
      <c r="M68" s="1"/>
      <c r="N68" s="1"/>
      <c r="O68" s="1">
        <v>94.231088526074814</v>
      </c>
      <c r="P68" s="19"/>
      <c r="Q68" s="1">
        <v>26</v>
      </c>
      <c r="R68" s="19"/>
      <c r="S68" s="1">
        <f t="shared" si="14"/>
        <v>0</v>
      </c>
      <c r="T68" s="5"/>
      <c r="U68" s="1" t="e">
        <f t="shared" si="7"/>
        <v>#DIV/0!</v>
      </c>
      <c r="V68" s="1" t="e">
        <f t="shared" si="8"/>
        <v>#DIV/0!</v>
      </c>
      <c r="W68" s="1">
        <v>-0.1852</v>
      </c>
      <c r="X68" s="1">
        <v>2.7107999999999999</v>
      </c>
      <c r="Y68" s="1">
        <v>18.175599999999999</v>
      </c>
      <c r="Z68" s="1">
        <v>14.3584</v>
      </c>
      <c r="AA68" s="1">
        <v>-0.11700000000000001</v>
      </c>
      <c r="AB68" s="1">
        <v>11.7364</v>
      </c>
      <c r="AC68" s="1">
        <v>16.224799999999998</v>
      </c>
      <c r="AD68" s="1">
        <v>34.017000000000003</v>
      </c>
      <c r="AE68" s="1">
        <v>35.487000000000002</v>
      </c>
      <c r="AF68" s="1">
        <v>19.944600000000001</v>
      </c>
      <c r="AG68" s="1"/>
      <c r="AH68" s="1">
        <f t="shared" si="15"/>
        <v>0</v>
      </c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</row>
    <row r="69" spans="1:46" x14ac:dyDescent="0.25">
      <c r="A69" s="10" t="s">
        <v>105</v>
      </c>
      <c r="B69" s="10" t="s">
        <v>40</v>
      </c>
      <c r="C69" s="10"/>
      <c r="D69" s="10"/>
      <c r="E69" s="10"/>
      <c r="F69" s="10"/>
      <c r="G69" s="11">
        <v>0</v>
      </c>
      <c r="H69" s="10"/>
      <c r="I69" s="10" t="s">
        <v>36</v>
      </c>
      <c r="J69" s="10"/>
      <c r="K69" s="10"/>
      <c r="L69" s="10">
        <f t="shared" si="13"/>
        <v>0</v>
      </c>
      <c r="M69" s="10"/>
      <c r="N69" s="10"/>
      <c r="O69" s="10"/>
      <c r="P69" s="22"/>
      <c r="Q69" s="10">
        <v>0</v>
      </c>
      <c r="R69" s="22"/>
      <c r="S69" s="10">
        <f t="shared" si="14"/>
        <v>0</v>
      </c>
      <c r="T69" s="12"/>
      <c r="U69" s="10" t="e">
        <f t="shared" si="7"/>
        <v>#DIV/0!</v>
      </c>
      <c r="V69" s="10" t="e">
        <f t="shared" si="8"/>
        <v>#DIV/0!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>
        <v>0</v>
      </c>
      <c r="AG69" s="10" t="s">
        <v>41</v>
      </c>
      <c r="AH69" s="10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</row>
    <row r="70" spans="1:46" x14ac:dyDescent="0.25">
      <c r="A70" s="16" t="s">
        <v>106</v>
      </c>
      <c r="B70" s="1" t="s">
        <v>35</v>
      </c>
      <c r="C70" s="1">
        <v>57.883000000000003</v>
      </c>
      <c r="D70" s="1">
        <v>218.93899999999999</v>
      </c>
      <c r="E70" s="1">
        <v>114.258</v>
      </c>
      <c r="F70" s="1">
        <v>154.191</v>
      </c>
      <c r="G70" s="7">
        <v>1</v>
      </c>
      <c r="H70" s="1">
        <v>30</v>
      </c>
      <c r="I70" s="9" t="s">
        <v>46</v>
      </c>
      <c r="J70" s="1"/>
      <c r="K70" s="1">
        <v>122.1</v>
      </c>
      <c r="L70" s="1">
        <f t="shared" ref="L70:L101" si="17">E70-K70</f>
        <v>-7.8419999999999987</v>
      </c>
      <c r="M70" s="1"/>
      <c r="N70" s="1"/>
      <c r="O70" s="1">
        <v>61.041236403526483</v>
      </c>
      <c r="P70" s="19"/>
      <c r="Q70" s="1">
        <v>87.828732675415679</v>
      </c>
      <c r="R70" s="19"/>
      <c r="S70" s="1">
        <f t="shared" ref="S70:S101" si="18">E70/5</f>
        <v>22.851599999999998</v>
      </c>
      <c r="T70" s="5">
        <v>30</v>
      </c>
      <c r="U70" s="1">
        <f t="shared" si="7"/>
        <v>14.574951823020804</v>
      </c>
      <c r="V70" s="1">
        <f t="shared" si="8"/>
        <v>13.262133464568878</v>
      </c>
      <c r="W70" s="1">
        <v>27.151399999999999</v>
      </c>
      <c r="X70" s="1">
        <v>11.3246</v>
      </c>
      <c r="Y70" s="1">
        <v>-3.0474000000000001</v>
      </c>
      <c r="Z70" s="1">
        <v>6.3057999999999996</v>
      </c>
      <c r="AA70" s="1">
        <v>38.624600000000001</v>
      </c>
      <c r="AB70" s="1">
        <v>42.8994</v>
      </c>
      <c r="AC70" s="1">
        <v>11.5352</v>
      </c>
      <c r="AD70" s="1">
        <v>1.75</v>
      </c>
      <c r="AE70" s="1">
        <v>29.075600000000001</v>
      </c>
      <c r="AF70" s="1">
        <v>33.2898</v>
      </c>
      <c r="AG70" s="1" t="s">
        <v>107</v>
      </c>
      <c r="AH70" s="1">
        <f t="shared" ref="AH70:AH81" si="19">G70*T70</f>
        <v>30</v>
      </c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</row>
    <row r="71" spans="1:46" x14ac:dyDescent="0.25">
      <c r="A71" s="1" t="s">
        <v>108</v>
      </c>
      <c r="B71" s="1" t="s">
        <v>40</v>
      </c>
      <c r="C71" s="1">
        <v>100</v>
      </c>
      <c r="D71" s="1">
        <v>66</v>
      </c>
      <c r="E71" s="1">
        <v>28</v>
      </c>
      <c r="F71" s="1">
        <v>115</v>
      </c>
      <c r="G71" s="7">
        <v>0.6</v>
      </c>
      <c r="H71" s="1">
        <v>60</v>
      </c>
      <c r="I71" s="1" t="s">
        <v>36</v>
      </c>
      <c r="J71" s="1"/>
      <c r="K71" s="1">
        <v>30</v>
      </c>
      <c r="L71" s="1">
        <f t="shared" si="17"/>
        <v>-2</v>
      </c>
      <c r="M71" s="1"/>
      <c r="N71" s="1"/>
      <c r="O71" s="1">
        <v>77.89787234042555</v>
      </c>
      <c r="P71" s="19"/>
      <c r="Q71" s="1">
        <v>0</v>
      </c>
      <c r="R71" s="19"/>
      <c r="S71" s="1">
        <f t="shared" si="18"/>
        <v>5.6</v>
      </c>
      <c r="T71" s="5"/>
      <c r="U71" s="1">
        <f t="shared" ref="U71:U129" si="20">(F71+O71+P71+Q71+R71+T71)/S71</f>
        <v>34.446048632218847</v>
      </c>
      <c r="V71" s="1">
        <f t="shared" ref="V71:V129" si="21">(F71+O71+P71+Q71+R71)/S71</f>
        <v>34.446048632218847</v>
      </c>
      <c r="W71" s="1">
        <v>11</v>
      </c>
      <c r="X71" s="1">
        <v>36.200000000000003</v>
      </c>
      <c r="Y71" s="1">
        <v>27</v>
      </c>
      <c r="Z71" s="1">
        <v>1.2</v>
      </c>
      <c r="AA71" s="1">
        <v>3.2</v>
      </c>
      <c r="AB71" s="1">
        <v>19.399999999999999</v>
      </c>
      <c r="AC71" s="1">
        <v>37</v>
      </c>
      <c r="AD71" s="1">
        <v>27.2</v>
      </c>
      <c r="AE71" s="1">
        <v>8.6</v>
      </c>
      <c r="AF71" s="1">
        <v>18.600000000000001</v>
      </c>
      <c r="AG71" s="15" t="s">
        <v>177</v>
      </c>
      <c r="AH71" s="1">
        <f t="shared" si="19"/>
        <v>0</v>
      </c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</row>
    <row r="72" spans="1:46" x14ac:dyDescent="0.25">
      <c r="A72" s="1" t="s">
        <v>109</v>
      </c>
      <c r="B72" s="1" t="s">
        <v>40</v>
      </c>
      <c r="C72" s="1">
        <v>110</v>
      </c>
      <c r="D72" s="1">
        <v>178</v>
      </c>
      <c r="E72" s="1">
        <v>56</v>
      </c>
      <c r="F72" s="1">
        <v>194</v>
      </c>
      <c r="G72" s="7">
        <v>0.6</v>
      </c>
      <c r="H72" s="1">
        <v>60</v>
      </c>
      <c r="I72" s="1" t="s">
        <v>36</v>
      </c>
      <c r="J72" s="1"/>
      <c r="K72" s="1">
        <v>57</v>
      </c>
      <c r="L72" s="1">
        <f t="shared" si="17"/>
        <v>-1</v>
      </c>
      <c r="M72" s="1"/>
      <c r="N72" s="1"/>
      <c r="O72" s="1">
        <v>66.136986301369859</v>
      </c>
      <c r="P72" s="19"/>
      <c r="Q72" s="1">
        <v>0</v>
      </c>
      <c r="R72" s="19"/>
      <c r="S72" s="1">
        <f t="shared" si="18"/>
        <v>11.2</v>
      </c>
      <c r="T72" s="5"/>
      <c r="U72" s="1">
        <f t="shared" si="20"/>
        <v>23.226516634050881</v>
      </c>
      <c r="V72" s="1">
        <f t="shared" si="21"/>
        <v>23.226516634050881</v>
      </c>
      <c r="W72" s="1">
        <v>17.2</v>
      </c>
      <c r="X72" s="1">
        <v>47.6</v>
      </c>
      <c r="Y72" s="1">
        <v>37</v>
      </c>
      <c r="Z72" s="1">
        <v>11.8</v>
      </c>
      <c r="AA72" s="1">
        <v>25.4</v>
      </c>
      <c r="AB72" s="1">
        <v>30.4</v>
      </c>
      <c r="AC72" s="1">
        <v>51</v>
      </c>
      <c r="AD72" s="1">
        <v>42</v>
      </c>
      <c r="AE72" s="1">
        <v>18.399999999999999</v>
      </c>
      <c r="AF72" s="1">
        <v>32</v>
      </c>
      <c r="AG72" s="14" t="s">
        <v>166</v>
      </c>
      <c r="AH72" s="1">
        <f t="shared" si="19"/>
        <v>0</v>
      </c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</row>
    <row r="73" spans="1:46" x14ac:dyDescent="0.25">
      <c r="A73" s="16" t="s">
        <v>110</v>
      </c>
      <c r="B73" s="1" t="s">
        <v>40</v>
      </c>
      <c r="C73" s="1">
        <v>39</v>
      </c>
      <c r="D73" s="1">
        <v>273</v>
      </c>
      <c r="E73" s="1">
        <v>39</v>
      </c>
      <c r="F73" s="1">
        <v>92</v>
      </c>
      <c r="G73" s="7">
        <v>0.4</v>
      </c>
      <c r="H73" s="1">
        <v>90</v>
      </c>
      <c r="I73" s="9" t="s">
        <v>46</v>
      </c>
      <c r="J73" s="1"/>
      <c r="K73" s="1">
        <v>43</v>
      </c>
      <c r="L73" s="1">
        <f t="shared" si="17"/>
        <v>-4</v>
      </c>
      <c r="M73" s="1"/>
      <c r="N73" s="1"/>
      <c r="O73" s="1">
        <v>48.218181818181819</v>
      </c>
      <c r="P73" s="19"/>
      <c r="Q73" s="1">
        <v>0</v>
      </c>
      <c r="R73" s="19"/>
      <c r="S73" s="1">
        <f t="shared" si="18"/>
        <v>7.8</v>
      </c>
      <c r="T73" s="5"/>
      <c r="U73" s="1">
        <f t="shared" si="20"/>
        <v>17.976689976689975</v>
      </c>
      <c r="V73" s="1">
        <f t="shared" si="21"/>
        <v>17.976689976689975</v>
      </c>
      <c r="W73" s="1">
        <v>11.6</v>
      </c>
      <c r="X73" s="1">
        <v>18</v>
      </c>
      <c r="Y73" s="1">
        <v>23.6</v>
      </c>
      <c r="Z73" s="1">
        <v>29</v>
      </c>
      <c r="AA73" s="1">
        <v>27.8</v>
      </c>
      <c r="AB73" s="1">
        <v>26</v>
      </c>
      <c r="AC73" s="1">
        <v>21.4</v>
      </c>
      <c r="AD73" s="1">
        <v>17</v>
      </c>
      <c r="AE73" s="1">
        <v>24.2</v>
      </c>
      <c r="AF73" s="1">
        <v>25.2</v>
      </c>
      <c r="AG73" s="1"/>
      <c r="AH73" s="1">
        <f t="shared" si="19"/>
        <v>0</v>
      </c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</row>
    <row r="74" spans="1:46" x14ac:dyDescent="0.25">
      <c r="A74" s="16" t="s">
        <v>111</v>
      </c>
      <c r="B74" s="1" t="s">
        <v>40</v>
      </c>
      <c r="C74" s="1">
        <v>87</v>
      </c>
      <c r="D74" s="1">
        <v>302</v>
      </c>
      <c r="E74" s="1">
        <v>86</v>
      </c>
      <c r="F74" s="1">
        <v>82</v>
      </c>
      <c r="G74" s="7">
        <v>0.33</v>
      </c>
      <c r="H74" s="1">
        <v>60</v>
      </c>
      <c r="I74" s="9" t="s">
        <v>46</v>
      </c>
      <c r="J74" s="1"/>
      <c r="K74" s="1">
        <v>108</v>
      </c>
      <c r="L74" s="1">
        <f t="shared" si="17"/>
        <v>-22</v>
      </c>
      <c r="M74" s="1"/>
      <c r="N74" s="1"/>
      <c r="O74" s="1">
        <v>67.583673469387747</v>
      </c>
      <c r="P74" s="19"/>
      <c r="Q74" s="1">
        <v>0</v>
      </c>
      <c r="R74" s="19"/>
      <c r="S74" s="1">
        <f t="shared" si="18"/>
        <v>17.2</v>
      </c>
      <c r="T74" s="5">
        <v>60</v>
      </c>
      <c r="U74" s="1">
        <f t="shared" si="20"/>
        <v>12.185097294731847</v>
      </c>
      <c r="V74" s="1">
        <f t="shared" si="21"/>
        <v>8.6967252017085901</v>
      </c>
      <c r="W74" s="1">
        <v>16</v>
      </c>
      <c r="X74" s="1">
        <v>21.2</v>
      </c>
      <c r="Y74" s="1">
        <v>23.8</v>
      </c>
      <c r="Z74" s="1">
        <v>36.200000000000003</v>
      </c>
      <c r="AA74" s="1">
        <v>36.4</v>
      </c>
      <c r="AB74" s="1">
        <v>33.6</v>
      </c>
      <c r="AC74" s="1">
        <v>31.8</v>
      </c>
      <c r="AD74" s="1">
        <v>29.6</v>
      </c>
      <c r="AE74" s="1">
        <v>46.4</v>
      </c>
      <c r="AF74" s="1">
        <v>50.6</v>
      </c>
      <c r="AG74" s="1"/>
      <c r="AH74" s="1">
        <f t="shared" si="19"/>
        <v>19.8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</row>
    <row r="75" spans="1:46" x14ac:dyDescent="0.25">
      <c r="A75" s="16" t="s">
        <v>112</v>
      </c>
      <c r="B75" s="1" t="s">
        <v>40</v>
      </c>
      <c r="C75" s="1">
        <v>47</v>
      </c>
      <c r="D75" s="1">
        <v>226</v>
      </c>
      <c r="E75" s="1">
        <v>45</v>
      </c>
      <c r="F75" s="1">
        <v>1</v>
      </c>
      <c r="G75" s="7">
        <v>0.35</v>
      </c>
      <c r="H75" s="1">
        <v>90</v>
      </c>
      <c r="I75" s="9" t="s">
        <v>46</v>
      </c>
      <c r="J75" s="1"/>
      <c r="K75" s="1">
        <v>62</v>
      </c>
      <c r="L75" s="1">
        <f t="shared" si="17"/>
        <v>-17</v>
      </c>
      <c r="M75" s="1"/>
      <c r="N75" s="1"/>
      <c r="O75" s="1">
        <v>61.167464114832534</v>
      </c>
      <c r="P75" s="19"/>
      <c r="Q75" s="1">
        <v>130</v>
      </c>
      <c r="R75" s="19"/>
      <c r="S75" s="1">
        <f t="shared" si="18"/>
        <v>9</v>
      </c>
      <c r="T75" s="5"/>
      <c r="U75" s="1">
        <f t="shared" si="20"/>
        <v>21.351940457203614</v>
      </c>
      <c r="V75" s="1">
        <f t="shared" si="21"/>
        <v>21.351940457203614</v>
      </c>
      <c r="W75" s="1">
        <v>12.8</v>
      </c>
      <c r="X75" s="1">
        <v>20</v>
      </c>
      <c r="Y75" s="1">
        <v>25.6</v>
      </c>
      <c r="Z75" s="1">
        <v>33.4</v>
      </c>
      <c r="AA75" s="1">
        <v>36.200000000000003</v>
      </c>
      <c r="AB75" s="1">
        <v>29.8</v>
      </c>
      <c r="AC75" s="1">
        <v>32.4</v>
      </c>
      <c r="AD75" s="1">
        <v>29.2</v>
      </c>
      <c r="AE75" s="1">
        <v>27.2</v>
      </c>
      <c r="AF75" s="1">
        <v>29.8</v>
      </c>
      <c r="AG75" s="1"/>
      <c r="AH75" s="1">
        <f t="shared" si="19"/>
        <v>0</v>
      </c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</row>
    <row r="76" spans="1:46" x14ac:dyDescent="0.25">
      <c r="A76" s="1" t="s">
        <v>113</v>
      </c>
      <c r="B76" s="1" t="s">
        <v>40</v>
      </c>
      <c r="C76" s="1">
        <v>3</v>
      </c>
      <c r="D76" s="1">
        <v>60</v>
      </c>
      <c r="E76" s="1">
        <v>1</v>
      </c>
      <c r="F76" s="1">
        <v>32</v>
      </c>
      <c r="G76" s="7">
        <v>0.37</v>
      </c>
      <c r="H76" s="1"/>
      <c r="I76" s="1" t="s">
        <v>36</v>
      </c>
      <c r="J76" s="1"/>
      <c r="K76" s="1">
        <v>1</v>
      </c>
      <c r="L76" s="1">
        <f t="shared" si="17"/>
        <v>0</v>
      </c>
      <c r="M76" s="1"/>
      <c r="N76" s="1"/>
      <c r="O76" s="1">
        <v>0</v>
      </c>
      <c r="P76" s="19"/>
      <c r="Q76" s="1">
        <v>0</v>
      </c>
      <c r="R76" s="19"/>
      <c r="S76" s="1">
        <f t="shared" si="18"/>
        <v>0.2</v>
      </c>
      <c r="T76" s="5"/>
      <c r="U76" s="1">
        <f t="shared" si="20"/>
        <v>160</v>
      </c>
      <c r="V76" s="1">
        <f t="shared" si="21"/>
        <v>160</v>
      </c>
      <c r="W76" s="1">
        <v>0.4</v>
      </c>
      <c r="X76" s="1">
        <v>1.8</v>
      </c>
      <c r="Y76" s="1">
        <v>4.5999999999999996</v>
      </c>
      <c r="Z76" s="1">
        <v>3.6</v>
      </c>
      <c r="AA76" s="1">
        <v>0.4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 t="s">
        <v>114</v>
      </c>
      <c r="AH76" s="1">
        <f t="shared" si="19"/>
        <v>0</v>
      </c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</row>
    <row r="77" spans="1:46" x14ac:dyDescent="0.25">
      <c r="A77" s="1" t="s">
        <v>115</v>
      </c>
      <c r="B77" s="1" t="s">
        <v>40</v>
      </c>
      <c r="C77" s="1">
        <v>28</v>
      </c>
      <c r="D77" s="1">
        <v>40</v>
      </c>
      <c r="E77" s="1">
        <v>10</v>
      </c>
      <c r="F77" s="1">
        <v>-21.2</v>
      </c>
      <c r="G77" s="7">
        <v>0.6</v>
      </c>
      <c r="H77" s="1">
        <v>70</v>
      </c>
      <c r="I77" s="1" t="s">
        <v>36</v>
      </c>
      <c r="J77" s="1"/>
      <c r="K77" s="1">
        <v>10</v>
      </c>
      <c r="L77" s="1">
        <f t="shared" si="17"/>
        <v>0</v>
      </c>
      <c r="M77" s="1"/>
      <c r="N77" s="1"/>
      <c r="O77" s="1">
        <v>36.901960784313729</v>
      </c>
      <c r="P77" s="19"/>
      <c r="Q77" s="1">
        <v>71.098039215686256</v>
      </c>
      <c r="R77" s="19"/>
      <c r="S77" s="1">
        <f t="shared" si="18"/>
        <v>2</v>
      </c>
      <c r="T77" s="5"/>
      <c r="U77" s="1">
        <f t="shared" si="20"/>
        <v>43.399999999999991</v>
      </c>
      <c r="V77" s="1">
        <f t="shared" si="21"/>
        <v>43.399999999999991</v>
      </c>
      <c r="W77" s="1">
        <v>6.6</v>
      </c>
      <c r="X77" s="1">
        <v>21.8</v>
      </c>
      <c r="Y77" s="1">
        <v>14</v>
      </c>
      <c r="Z77" s="1">
        <v>3</v>
      </c>
      <c r="AA77" s="1">
        <v>5</v>
      </c>
      <c r="AB77" s="1">
        <v>8</v>
      </c>
      <c r="AC77" s="1">
        <v>19</v>
      </c>
      <c r="AD77" s="1">
        <v>18.399999999999999</v>
      </c>
      <c r="AE77" s="1">
        <v>8.4</v>
      </c>
      <c r="AF77" s="1">
        <v>11.8</v>
      </c>
      <c r="AG77" s="1"/>
      <c r="AH77" s="1">
        <f t="shared" si="19"/>
        <v>0</v>
      </c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</row>
    <row r="78" spans="1:46" x14ac:dyDescent="0.25">
      <c r="A78" s="1" t="s">
        <v>116</v>
      </c>
      <c r="B78" s="1" t="s">
        <v>40</v>
      </c>
      <c r="C78" s="1"/>
      <c r="D78" s="1">
        <v>187</v>
      </c>
      <c r="E78" s="1">
        <v>17</v>
      </c>
      <c r="F78" s="1">
        <v>118</v>
      </c>
      <c r="G78" s="7">
        <v>0.33</v>
      </c>
      <c r="H78" s="1">
        <v>40</v>
      </c>
      <c r="I78" s="1" t="s">
        <v>36</v>
      </c>
      <c r="J78" s="1"/>
      <c r="K78" s="1">
        <v>20</v>
      </c>
      <c r="L78" s="1">
        <f t="shared" si="17"/>
        <v>-3</v>
      </c>
      <c r="M78" s="1"/>
      <c r="N78" s="1"/>
      <c r="O78" s="1">
        <v>19.78165938864629</v>
      </c>
      <c r="P78" s="19"/>
      <c r="Q78" s="1">
        <v>0</v>
      </c>
      <c r="R78" s="19"/>
      <c r="S78" s="1">
        <f t="shared" si="18"/>
        <v>3.4</v>
      </c>
      <c r="T78" s="5"/>
      <c r="U78" s="1">
        <f t="shared" si="20"/>
        <v>40.52401746724891</v>
      </c>
      <c r="V78" s="1">
        <f t="shared" si="21"/>
        <v>40.52401746724891</v>
      </c>
      <c r="W78" s="1">
        <v>0.2</v>
      </c>
      <c r="X78" s="1">
        <v>1.6</v>
      </c>
      <c r="Y78" s="1">
        <v>5</v>
      </c>
      <c r="Z78" s="1">
        <v>15.8</v>
      </c>
      <c r="AA78" s="1">
        <v>18</v>
      </c>
      <c r="AB78" s="1">
        <v>7</v>
      </c>
      <c r="AC78" s="1">
        <v>9.6</v>
      </c>
      <c r="AD78" s="1">
        <v>13.4</v>
      </c>
      <c r="AE78" s="1">
        <v>11</v>
      </c>
      <c r="AF78" s="1">
        <v>16.600000000000001</v>
      </c>
      <c r="AG78" s="1"/>
      <c r="AH78" s="1">
        <f t="shared" si="19"/>
        <v>0</v>
      </c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</row>
    <row r="79" spans="1:46" x14ac:dyDescent="0.25">
      <c r="A79" s="1" t="s">
        <v>117</v>
      </c>
      <c r="B79" s="1" t="s">
        <v>40</v>
      </c>
      <c r="C79" s="1"/>
      <c r="D79" s="1">
        <v>177</v>
      </c>
      <c r="E79" s="1">
        <v>29</v>
      </c>
      <c r="F79" s="1">
        <v>65</v>
      </c>
      <c r="G79" s="7">
        <v>0.4</v>
      </c>
      <c r="H79" s="1">
        <v>55</v>
      </c>
      <c r="I79" s="1" t="s">
        <v>36</v>
      </c>
      <c r="J79" s="1"/>
      <c r="K79" s="1">
        <v>30</v>
      </c>
      <c r="L79" s="1">
        <f t="shared" si="17"/>
        <v>-1</v>
      </c>
      <c r="M79" s="1"/>
      <c r="N79" s="1"/>
      <c r="O79" s="1">
        <v>0</v>
      </c>
      <c r="P79" s="19"/>
      <c r="Q79" s="1">
        <v>0</v>
      </c>
      <c r="R79" s="19"/>
      <c r="S79" s="1">
        <f t="shared" si="18"/>
        <v>5.8</v>
      </c>
      <c r="T79" s="5">
        <v>10</v>
      </c>
      <c r="U79" s="1">
        <f t="shared" si="20"/>
        <v>12.931034482758621</v>
      </c>
      <c r="V79" s="1">
        <f t="shared" si="21"/>
        <v>11.206896551724139</v>
      </c>
      <c r="W79" s="1">
        <v>2.2000000000000002</v>
      </c>
      <c r="X79" s="1">
        <v>6</v>
      </c>
      <c r="Y79" s="1">
        <v>11.6</v>
      </c>
      <c r="Z79" s="1">
        <v>12.4</v>
      </c>
      <c r="AA79" s="1">
        <v>11.4</v>
      </c>
      <c r="AB79" s="1">
        <v>6.2</v>
      </c>
      <c r="AC79" s="1">
        <v>8.4</v>
      </c>
      <c r="AD79" s="1">
        <v>10.6</v>
      </c>
      <c r="AE79" s="1">
        <v>6.2</v>
      </c>
      <c r="AF79" s="1">
        <v>7</v>
      </c>
      <c r="AG79" s="1"/>
      <c r="AH79" s="1">
        <f t="shared" si="19"/>
        <v>4</v>
      </c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</row>
    <row r="80" spans="1:46" x14ac:dyDescent="0.25">
      <c r="A80" s="16" t="s">
        <v>118</v>
      </c>
      <c r="B80" s="1" t="s">
        <v>40</v>
      </c>
      <c r="C80" s="1">
        <v>6</v>
      </c>
      <c r="D80" s="1">
        <v>48</v>
      </c>
      <c r="E80" s="1">
        <v>12</v>
      </c>
      <c r="F80" s="1">
        <v>10</v>
      </c>
      <c r="G80" s="7">
        <v>0.35</v>
      </c>
      <c r="H80" s="1">
        <v>40</v>
      </c>
      <c r="I80" s="9" t="s">
        <v>46</v>
      </c>
      <c r="J80" s="1"/>
      <c r="K80" s="1">
        <v>10</v>
      </c>
      <c r="L80" s="1">
        <f t="shared" si="17"/>
        <v>2</v>
      </c>
      <c r="M80" s="1"/>
      <c r="N80" s="1"/>
      <c r="O80" s="1">
        <v>17</v>
      </c>
      <c r="P80" s="19"/>
      <c r="Q80" s="1">
        <v>26</v>
      </c>
      <c r="R80" s="19"/>
      <c r="S80" s="1">
        <f t="shared" si="18"/>
        <v>2.4</v>
      </c>
      <c r="T80" s="5"/>
      <c r="U80" s="1">
        <f t="shared" si="20"/>
        <v>22.083333333333336</v>
      </c>
      <c r="V80" s="1">
        <f t="shared" si="21"/>
        <v>22.083333333333336</v>
      </c>
      <c r="W80" s="1">
        <v>3.2</v>
      </c>
      <c r="X80" s="1">
        <v>2</v>
      </c>
      <c r="Y80" s="1">
        <v>1.2</v>
      </c>
      <c r="Z80" s="1">
        <v>0</v>
      </c>
      <c r="AA80" s="1">
        <v>-0.6</v>
      </c>
      <c r="AB80" s="1">
        <v>-0.4</v>
      </c>
      <c r="AC80" s="1">
        <v>3.6</v>
      </c>
      <c r="AD80" s="1">
        <v>4.4000000000000004</v>
      </c>
      <c r="AE80" s="1">
        <v>1</v>
      </c>
      <c r="AF80" s="1">
        <v>-0.4</v>
      </c>
      <c r="AG80" s="1" t="s">
        <v>119</v>
      </c>
      <c r="AH80" s="1">
        <f t="shared" si="19"/>
        <v>0</v>
      </c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</row>
    <row r="81" spans="1:46" x14ac:dyDescent="0.25">
      <c r="A81" s="16" t="s">
        <v>120</v>
      </c>
      <c r="B81" s="1" t="s">
        <v>40</v>
      </c>
      <c r="C81" s="1">
        <v>19</v>
      </c>
      <c r="D81" s="1">
        <v>36</v>
      </c>
      <c r="E81" s="1">
        <v>14</v>
      </c>
      <c r="F81" s="1">
        <v>19</v>
      </c>
      <c r="G81" s="7">
        <v>0.35</v>
      </c>
      <c r="H81" s="1">
        <v>45</v>
      </c>
      <c r="I81" s="9" t="s">
        <v>46</v>
      </c>
      <c r="J81" s="1"/>
      <c r="K81" s="1">
        <v>16</v>
      </c>
      <c r="L81" s="1">
        <f t="shared" si="17"/>
        <v>-2</v>
      </c>
      <c r="M81" s="1"/>
      <c r="N81" s="1"/>
      <c r="O81" s="1">
        <v>15.74891774891775</v>
      </c>
      <c r="P81" s="19"/>
      <c r="Q81" s="1">
        <v>0</v>
      </c>
      <c r="R81" s="19"/>
      <c r="S81" s="1">
        <f t="shared" si="18"/>
        <v>2.8</v>
      </c>
      <c r="T81" s="5"/>
      <c r="U81" s="1">
        <f t="shared" si="20"/>
        <v>12.410327767470624</v>
      </c>
      <c r="V81" s="1">
        <f t="shared" si="21"/>
        <v>12.410327767470624</v>
      </c>
      <c r="W81" s="1">
        <v>2.6</v>
      </c>
      <c r="X81" s="1">
        <v>6.6</v>
      </c>
      <c r="Y81" s="1">
        <v>10.6</v>
      </c>
      <c r="Z81" s="1">
        <v>11</v>
      </c>
      <c r="AA81" s="1">
        <v>11.8</v>
      </c>
      <c r="AB81" s="1">
        <v>10.199999999999999</v>
      </c>
      <c r="AC81" s="1">
        <v>11</v>
      </c>
      <c r="AD81" s="1">
        <v>7</v>
      </c>
      <c r="AE81" s="1">
        <v>9.4</v>
      </c>
      <c r="AF81" s="1">
        <v>13</v>
      </c>
      <c r="AG81" s="1"/>
      <c r="AH81" s="1">
        <f t="shared" si="19"/>
        <v>0</v>
      </c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</row>
    <row r="82" spans="1:46" x14ac:dyDescent="0.25">
      <c r="A82" s="10" t="s">
        <v>121</v>
      </c>
      <c r="B82" s="10" t="s">
        <v>40</v>
      </c>
      <c r="C82" s="10"/>
      <c r="D82" s="10"/>
      <c r="E82" s="10"/>
      <c r="F82" s="10"/>
      <c r="G82" s="11">
        <v>0</v>
      </c>
      <c r="H82" s="10"/>
      <c r="I82" s="10" t="s">
        <v>36</v>
      </c>
      <c r="J82" s="10"/>
      <c r="K82" s="10"/>
      <c r="L82" s="10">
        <f t="shared" si="17"/>
        <v>0</v>
      </c>
      <c r="M82" s="10"/>
      <c r="N82" s="10"/>
      <c r="O82" s="10"/>
      <c r="P82" s="22"/>
      <c r="Q82" s="10">
        <v>0</v>
      </c>
      <c r="R82" s="22"/>
      <c r="S82" s="10">
        <f t="shared" si="18"/>
        <v>0</v>
      </c>
      <c r="T82" s="12"/>
      <c r="U82" s="10" t="e">
        <f t="shared" si="20"/>
        <v>#DIV/0!</v>
      </c>
      <c r="V82" s="10" t="e">
        <f t="shared" si="21"/>
        <v>#DIV/0!</v>
      </c>
      <c r="W82" s="10">
        <v>0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 t="s">
        <v>41</v>
      </c>
      <c r="AH82" s="10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</row>
    <row r="83" spans="1:46" x14ac:dyDescent="0.25">
      <c r="A83" s="10" t="s">
        <v>122</v>
      </c>
      <c r="B83" s="10" t="s">
        <v>35</v>
      </c>
      <c r="C83" s="10"/>
      <c r="D83" s="10"/>
      <c r="E83" s="10"/>
      <c r="F83" s="10"/>
      <c r="G83" s="11">
        <v>0</v>
      </c>
      <c r="H83" s="10"/>
      <c r="I83" s="10" t="s">
        <v>36</v>
      </c>
      <c r="J83" s="10"/>
      <c r="K83" s="10"/>
      <c r="L83" s="10">
        <f t="shared" si="17"/>
        <v>0</v>
      </c>
      <c r="M83" s="10"/>
      <c r="N83" s="10"/>
      <c r="O83" s="10"/>
      <c r="P83" s="22"/>
      <c r="Q83" s="10">
        <v>0</v>
      </c>
      <c r="R83" s="22"/>
      <c r="S83" s="10">
        <f t="shared" si="18"/>
        <v>0</v>
      </c>
      <c r="T83" s="12"/>
      <c r="U83" s="10" t="e">
        <f t="shared" si="20"/>
        <v>#DIV/0!</v>
      </c>
      <c r="V83" s="10" t="e">
        <f t="shared" si="21"/>
        <v>#DIV/0!</v>
      </c>
      <c r="W83" s="10">
        <v>0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 t="s">
        <v>41</v>
      </c>
      <c r="AH83" s="10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</row>
    <row r="84" spans="1:46" x14ac:dyDescent="0.25">
      <c r="A84" s="10" t="s">
        <v>123</v>
      </c>
      <c r="B84" s="10" t="s">
        <v>35</v>
      </c>
      <c r="C84" s="10"/>
      <c r="D84" s="10"/>
      <c r="E84" s="10"/>
      <c r="F84" s="10"/>
      <c r="G84" s="11">
        <v>0</v>
      </c>
      <c r="H84" s="10"/>
      <c r="I84" s="10" t="s">
        <v>36</v>
      </c>
      <c r="J84" s="10"/>
      <c r="K84" s="10"/>
      <c r="L84" s="10">
        <f t="shared" si="17"/>
        <v>0</v>
      </c>
      <c r="M84" s="10"/>
      <c r="N84" s="10"/>
      <c r="O84" s="10"/>
      <c r="P84" s="22"/>
      <c r="Q84" s="10">
        <v>0</v>
      </c>
      <c r="R84" s="22"/>
      <c r="S84" s="10">
        <f t="shared" si="18"/>
        <v>0</v>
      </c>
      <c r="T84" s="12"/>
      <c r="U84" s="10" t="e">
        <f t="shared" si="20"/>
        <v>#DIV/0!</v>
      </c>
      <c r="V84" s="10" t="e">
        <f t="shared" si="21"/>
        <v>#DIV/0!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 t="s">
        <v>41</v>
      </c>
      <c r="AH84" s="10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</row>
    <row r="85" spans="1:46" x14ac:dyDescent="0.25">
      <c r="A85" s="1" t="s">
        <v>124</v>
      </c>
      <c r="B85" s="1" t="s">
        <v>35</v>
      </c>
      <c r="C85" s="1">
        <v>34.832999999999998</v>
      </c>
      <c r="D85" s="1">
        <v>346.64499999999998</v>
      </c>
      <c r="E85" s="1">
        <v>37.723999999999997</v>
      </c>
      <c r="F85" s="1">
        <v>312.149</v>
      </c>
      <c r="G85" s="7">
        <v>1</v>
      </c>
      <c r="H85" s="1">
        <v>60</v>
      </c>
      <c r="I85" s="1" t="s">
        <v>36</v>
      </c>
      <c r="J85" s="1"/>
      <c r="K85" s="1">
        <v>41.6</v>
      </c>
      <c r="L85" s="1">
        <f t="shared" si="17"/>
        <v>-3.8760000000000048</v>
      </c>
      <c r="M85" s="1"/>
      <c r="N85" s="1"/>
      <c r="O85" s="1">
        <v>30.76575472513327</v>
      </c>
      <c r="P85" s="19"/>
      <c r="Q85" s="1">
        <v>0</v>
      </c>
      <c r="R85" s="19"/>
      <c r="S85" s="1">
        <f t="shared" si="18"/>
        <v>7.5447999999999995</v>
      </c>
      <c r="T85" s="5"/>
      <c r="U85" s="1">
        <f t="shared" si="20"/>
        <v>45.450476450685677</v>
      </c>
      <c r="V85" s="1">
        <f t="shared" si="21"/>
        <v>45.450476450685677</v>
      </c>
      <c r="W85" s="1">
        <v>9.0503999999999998</v>
      </c>
      <c r="X85" s="1">
        <v>31.274799999999999</v>
      </c>
      <c r="Y85" s="1">
        <v>38.356999999999999</v>
      </c>
      <c r="Z85" s="1">
        <v>28.520600000000002</v>
      </c>
      <c r="AA85" s="1">
        <v>36.330599999999997</v>
      </c>
      <c r="AB85" s="1">
        <v>35.1526</v>
      </c>
      <c r="AC85" s="1">
        <v>35.555399999999999</v>
      </c>
      <c r="AD85" s="1">
        <v>38.276200000000003</v>
      </c>
      <c r="AE85" s="1">
        <v>32.9236</v>
      </c>
      <c r="AF85" s="1">
        <v>36.190600000000003</v>
      </c>
      <c r="AG85" s="1"/>
      <c r="AH85" s="1">
        <f>G85*T85</f>
        <v>0</v>
      </c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</row>
    <row r="86" spans="1:46" x14ac:dyDescent="0.25">
      <c r="A86" s="10" t="s">
        <v>125</v>
      </c>
      <c r="B86" s="10" t="s">
        <v>40</v>
      </c>
      <c r="C86" s="10"/>
      <c r="D86" s="10"/>
      <c r="E86" s="10"/>
      <c r="F86" s="10"/>
      <c r="G86" s="11">
        <v>0</v>
      </c>
      <c r="H86" s="10"/>
      <c r="I86" s="10" t="s">
        <v>36</v>
      </c>
      <c r="J86" s="10"/>
      <c r="K86" s="10"/>
      <c r="L86" s="10">
        <f t="shared" si="17"/>
        <v>0</v>
      </c>
      <c r="M86" s="10"/>
      <c r="N86" s="10"/>
      <c r="O86" s="10"/>
      <c r="P86" s="22"/>
      <c r="Q86" s="10">
        <v>0</v>
      </c>
      <c r="R86" s="22"/>
      <c r="S86" s="10">
        <f t="shared" si="18"/>
        <v>0</v>
      </c>
      <c r="T86" s="12"/>
      <c r="U86" s="10" t="e">
        <f t="shared" si="20"/>
        <v>#DIV/0!</v>
      </c>
      <c r="V86" s="10" t="e">
        <f t="shared" si="21"/>
        <v>#DIV/0!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 t="s">
        <v>41</v>
      </c>
      <c r="AH86" s="10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</row>
    <row r="87" spans="1:46" x14ac:dyDescent="0.25">
      <c r="A87" s="1" t="s">
        <v>126</v>
      </c>
      <c r="B87" s="1" t="s">
        <v>35</v>
      </c>
      <c r="C87" s="1">
        <v>473.935</v>
      </c>
      <c r="D87" s="1">
        <v>2700.2730000000001</v>
      </c>
      <c r="E87" s="1">
        <v>769.81200000000001</v>
      </c>
      <c r="F87" s="1">
        <v>1420.5409999999999</v>
      </c>
      <c r="G87" s="7">
        <v>1</v>
      </c>
      <c r="H87" s="1">
        <v>60</v>
      </c>
      <c r="I87" s="1" t="s">
        <v>36</v>
      </c>
      <c r="J87" s="1"/>
      <c r="K87" s="1">
        <v>1197.5</v>
      </c>
      <c r="L87" s="1">
        <f t="shared" si="17"/>
        <v>-427.68799999999999</v>
      </c>
      <c r="M87" s="1"/>
      <c r="N87" s="1"/>
      <c r="O87" s="1">
        <v>626.82223060072488</v>
      </c>
      <c r="P87" s="19"/>
      <c r="Q87" s="1">
        <v>1861.153369399276</v>
      </c>
      <c r="R87" s="19"/>
      <c r="S87" s="1">
        <f t="shared" si="18"/>
        <v>153.9624</v>
      </c>
      <c r="T87" s="5"/>
      <c r="U87" s="1">
        <f t="shared" si="20"/>
        <v>25.386176105334815</v>
      </c>
      <c r="V87" s="1">
        <f t="shared" si="21"/>
        <v>25.386176105334815</v>
      </c>
      <c r="W87" s="1">
        <v>276.22120000000001</v>
      </c>
      <c r="X87" s="1">
        <v>278.00040000000001</v>
      </c>
      <c r="Y87" s="1">
        <v>350.90559999999999</v>
      </c>
      <c r="Z87" s="1">
        <v>329.9796</v>
      </c>
      <c r="AA87" s="1">
        <v>326.053</v>
      </c>
      <c r="AB87" s="1">
        <v>345.89080000000001</v>
      </c>
      <c r="AC87" s="1">
        <v>302.62</v>
      </c>
      <c r="AD87" s="1">
        <v>310.3272</v>
      </c>
      <c r="AE87" s="1">
        <v>282.59039999999999</v>
      </c>
      <c r="AF87" s="1">
        <v>311.91120000000001</v>
      </c>
      <c r="AG87" s="1"/>
      <c r="AH87" s="1">
        <f>G87*T87</f>
        <v>0</v>
      </c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</row>
    <row r="88" spans="1:46" x14ac:dyDescent="0.25">
      <c r="A88" s="1" t="s">
        <v>127</v>
      </c>
      <c r="B88" s="1" t="s">
        <v>35</v>
      </c>
      <c r="C88" s="1">
        <v>439.36</v>
      </c>
      <c r="D88" s="1">
        <v>3351.049</v>
      </c>
      <c r="E88" s="1">
        <v>722.87300000000005</v>
      </c>
      <c r="F88" s="1">
        <v>2103.846</v>
      </c>
      <c r="G88" s="7">
        <v>1</v>
      </c>
      <c r="H88" s="1">
        <v>60</v>
      </c>
      <c r="I88" s="1" t="s">
        <v>36</v>
      </c>
      <c r="J88" s="1"/>
      <c r="K88" s="1">
        <v>724</v>
      </c>
      <c r="L88" s="1">
        <f t="shared" si="17"/>
        <v>-1.1269999999999527</v>
      </c>
      <c r="M88" s="1"/>
      <c r="N88" s="1"/>
      <c r="O88" s="1">
        <v>874.98797665822281</v>
      </c>
      <c r="P88" s="19"/>
      <c r="Q88" s="1">
        <v>0</v>
      </c>
      <c r="R88" s="19"/>
      <c r="S88" s="1">
        <f t="shared" si="18"/>
        <v>144.5746</v>
      </c>
      <c r="T88" s="5"/>
      <c r="U88" s="1">
        <f t="shared" si="20"/>
        <v>20.604130854646826</v>
      </c>
      <c r="V88" s="1">
        <f t="shared" si="21"/>
        <v>20.604130854646826</v>
      </c>
      <c r="W88" s="1">
        <v>208.70779999999999</v>
      </c>
      <c r="X88" s="1">
        <v>294.3168</v>
      </c>
      <c r="Y88" s="1">
        <v>304.10160000000002</v>
      </c>
      <c r="Z88" s="1">
        <v>228.40280000000001</v>
      </c>
      <c r="AA88" s="1">
        <v>232.9778</v>
      </c>
      <c r="AB88" s="1">
        <v>248.2516</v>
      </c>
      <c r="AC88" s="1">
        <v>249.66139999999999</v>
      </c>
      <c r="AD88" s="1">
        <v>205.2064</v>
      </c>
      <c r="AE88" s="1">
        <v>161.07499999999999</v>
      </c>
      <c r="AF88" s="1">
        <v>169.74440000000001</v>
      </c>
      <c r="AG88" s="14" t="s">
        <v>166</v>
      </c>
      <c r="AH88" s="1">
        <f>G88*T88</f>
        <v>0</v>
      </c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</row>
    <row r="89" spans="1:46" x14ac:dyDescent="0.25">
      <c r="A89" s="1" t="s">
        <v>128</v>
      </c>
      <c r="B89" s="1" t="s">
        <v>35</v>
      </c>
      <c r="C89" s="1">
        <v>1197.05</v>
      </c>
      <c r="D89" s="1">
        <v>2959.875</v>
      </c>
      <c r="E89" s="1">
        <v>1299.866</v>
      </c>
      <c r="F89" s="1">
        <v>1710.1859999999999</v>
      </c>
      <c r="G89" s="7">
        <v>1</v>
      </c>
      <c r="H89" s="1">
        <v>60</v>
      </c>
      <c r="I89" s="1" t="s">
        <v>36</v>
      </c>
      <c r="J89" s="1"/>
      <c r="K89" s="1">
        <v>1307.5</v>
      </c>
      <c r="L89" s="1">
        <f t="shared" si="17"/>
        <v>-7.6340000000000146</v>
      </c>
      <c r="M89" s="1"/>
      <c r="N89" s="1"/>
      <c r="O89" s="1">
        <v>132.45345231080921</v>
      </c>
      <c r="P89" s="19">
        <v>450</v>
      </c>
      <c r="Q89" s="1">
        <v>1261.4407476891911</v>
      </c>
      <c r="R89" s="19">
        <v>450</v>
      </c>
      <c r="S89" s="1">
        <f t="shared" si="18"/>
        <v>259.97320000000002</v>
      </c>
      <c r="T89" s="5"/>
      <c r="U89" s="1">
        <f t="shared" si="20"/>
        <v>15.40189604159198</v>
      </c>
      <c r="V89" s="1">
        <f t="shared" si="21"/>
        <v>15.40189604159198</v>
      </c>
      <c r="W89" s="1">
        <v>265.08339999999998</v>
      </c>
      <c r="X89" s="1">
        <v>161.8836</v>
      </c>
      <c r="Y89" s="1">
        <v>16.910799999999998</v>
      </c>
      <c r="Z89" s="1">
        <v>161.07499999999999</v>
      </c>
      <c r="AA89" s="1">
        <v>363.33519999999999</v>
      </c>
      <c r="AB89" s="1">
        <v>362.65</v>
      </c>
      <c r="AC89" s="1">
        <v>268.4776</v>
      </c>
      <c r="AD89" s="1">
        <v>268.70100000000002</v>
      </c>
      <c r="AE89" s="1">
        <v>349.07299999999998</v>
      </c>
      <c r="AF89" s="1">
        <v>386.24540000000002</v>
      </c>
      <c r="AG89" s="1" t="s">
        <v>129</v>
      </c>
      <c r="AH89" s="1">
        <f>G89*T89</f>
        <v>0</v>
      </c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</row>
    <row r="90" spans="1:46" x14ac:dyDescent="0.25">
      <c r="A90" s="10" t="s">
        <v>130</v>
      </c>
      <c r="B90" s="10" t="s">
        <v>35</v>
      </c>
      <c r="C90" s="10"/>
      <c r="D90" s="10"/>
      <c r="E90" s="10"/>
      <c r="F90" s="10"/>
      <c r="G90" s="11">
        <v>0</v>
      </c>
      <c r="H90" s="10"/>
      <c r="I90" s="10" t="s">
        <v>36</v>
      </c>
      <c r="J90" s="10"/>
      <c r="K90" s="10"/>
      <c r="L90" s="10">
        <f t="shared" si="17"/>
        <v>0</v>
      </c>
      <c r="M90" s="10"/>
      <c r="N90" s="10"/>
      <c r="O90" s="10"/>
      <c r="P90" s="22"/>
      <c r="Q90" s="10">
        <v>0</v>
      </c>
      <c r="R90" s="22"/>
      <c r="S90" s="10">
        <f t="shared" si="18"/>
        <v>0</v>
      </c>
      <c r="T90" s="12"/>
      <c r="U90" s="10" t="e">
        <f t="shared" si="20"/>
        <v>#DIV/0!</v>
      </c>
      <c r="V90" s="10" t="e">
        <f t="shared" si="21"/>
        <v>#DIV/0!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0" t="s">
        <v>41</v>
      </c>
      <c r="AH90" s="10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</row>
    <row r="91" spans="1:46" x14ac:dyDescent="0.25">
      <c r="A91" s="16" t="s">
        <v>131</v>
      </c>
      <c r="B91" s="1" t="s">
        <v>40</v>
      </c>
      <c r="C91" s="1"/>
      <c r="D91" s="1"/>
      <c r="E91" s="1"/>
      <c r="F91" s="1"/>
      <c r="G91" s="7">
        <v>0.3</v>
      </c>
      <c r="H91" s="1">
        <v>40</v>
      </c>
      <c r="I91" s="9" t="s">
        <v>46</v>
      </c>
      <c r="J91" s="1"/>
      <c r="K91" s="1"/>
      <c r="L91" s="1">
        <f t="shared" si="17"/>
        <v>0</v>
      </c>
      <c r="M91" s="1"/>
      <c r="N91" s="1"/>
      <c r="O91" s="1">
        <v>34</v>
      </c>
      <c r="P91" s="19"/>
      <c r="Q91" s="1">
        <v>13</v>
      </c>
      <c r="R91" s="19"/>
      <c r="S91" s="1">
        <f t="shared" si="18"/>
        <v>0</v>
      </c>
      <c r="T91" s="5">
        <v>10</v>
      </c>
      <c r="U91" s="1" t="e">
        <f t="shared" si="20"/>
        <v>#DIV/0!</v>
      </c>
      <c r="V91" s="1" t="e">
        <f t="shared" si="21"/>
        <v>#DIV/0!</v>
      </c>
      <c r="W91" s="1">
        <v>0</v>
      </c>
      <c r="X91" s="1">
        <v>0</v>
      </c>
      <c r="Y91" s="1">
        <v>0</v>
      </c>
      <c r="Z91" s="1">
        <v>-0.4</v>
      </c>
      <c r="AA91" s="1">
        <v>-1.6</v>
      </c>
      <c r="AB91" s="1">
        <v>-1.8</v>
      </c>
      <c r="AC91" s="1">
        <v>-1</v>
      </c>
      <c r="AD91" s="1">
        <v>-0.8</v>
      </c>
      <c r="AE91" s="1">
        <v>-1.2</v>
      </c>
      <c r="AF91" s="1">
        <v>-0.4</v>
      </c>
      <c r="AG91" s="1"/>
      <c r="AH91" s="1">
        <f>G91*T91</f>
        <v>3</v>
      </c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</row>
    <row r="92" spans="1:46" x14ac:dyDescent="0.25">
      <c r="A92" s="10" t="s">
        <v>132</v>
      </c>
      <c r="B92" s="10" t="s">
        <v>40</v>
      </c>
      <c r="C92" s="10"/>
      <c r="D92" s="10"/>
      <c r="E92" s="10"/>
      <c r="F92" s="10"/>
      <c r="G92" s="11">
        <v>0</v>
      </c>
      <c r="H92" s="10"/>
      <c r="I92" s="10" t="s">
        <v>36</v>
      </c>
      <c r="J92" s="10"/>
      <c r="K92" s="10"/>
      <c r="L92" s="10">
        <f t="shared" si="17"/>
        <v>0</v>
      </c>
      <c r="M92" s="10"/>
      <c r="N92" s="10"/>
      <c r="O92" s="10"/>
      <c r="P92" s="22"/>
      <c r="Q92" s="10">
        <v>0</v>
      </c>
      <c r="R92" s="22"/>
      <c r="S92" s="10">
        <f t="shared" si="18"/>
        <v>0</v>
      </c>
      <c r="T92" s="12"/>
      <c r="U92" s="10" t="e">
        <f t="shared" si="20"/>
        <v>#DIV/0!</v>
      </c>
      <c r="V92" s="10" t="e">
        <f t="shared" si="21"/>
        <v>#DIV/0!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 t="s">
        <v>41</v>
      </c>
      <c r="AH92" s="10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</row>
    <row r="93" spans="1:46" x14ac:dyDescent="0.25">
      <c r="A93" s="16" t="s">
        <v>133</v>
      </c>
      <c r="B93" s="1" t="s">
        <v>40</v>
      </c>
      <c r="C93" s="1">
        <v>35</v>
      </c>
      <c r="D93" s="1">
        <v>18</v>
      </c>
      <c r="E93" s="1">
        <v>43</v>
      </c>
      <c r="F93" s="1"/>
      <c r="G93" s="7">
        <v>7.0000000000000007E-2</v>
      </c>
      <c r="H93" s="1">
        <v>90</v>
      </c>
      <c r="I93" s="9" t="s">
        <v>46</v>
      </c>
      <c r="J93" s="1"/>
      <c r="K93" s="1">
        <v>42</v>
      </c>
      <c r="L93" s="1">
        <f t="shared" si="17"/>
        <v>1</v>
      </c>
      <c r="M93" s="1"/>
      <c r="N93" s="1"/>
      <c r="O93" s="1">
        <v>53.65625</v>
      </c>
      <c r="P93" s="19"/>
      <c r="Q93" s="1">
        <v>171.00687500000001</v>
      </c>
      <c r="R93" s="19"/>
      <c r="S93" s="1">
        <f t="shared" si="18"/>
        <v>8.6</v>
      </c>
      <c r="T93" s="5"/>
      <c r="U93" s="1">
        <f t="shared" si="20"/>
        <v>26.123619186046515</v>
      </c>
      <c r="V93" s="1">
        <f t="shared" si="21"/>
        <v>26.123619186046515</v>
      </c>
      <c r="W93" s="1">
        <v>13.6</v>
      </c>
      <c r="X93" s="1">
        <v>5.8</v>
      </c>
      <c r="Y93" s="1">
        <v>0</v>
      </c>
      <c r="Z93" s="1">
        <v>0</v>
      </c>
      <c r="AA93" s="1">
        <v>6.8</v>
      </c>
      <c r="AB93" s="1">
        <v>10.199999999999999</v>
      </c>
      <c r="AC93" s="1">
        <v>7.8</v>
      </c>
      <c r="AD93" s="1">
        <v>10.6</v>
      </c>
      <c r="AE93" s="1">
        <v>21.2</v>
      </c>
      <c r="AF93" s="1">
        <v>22.4</v>
      </c>
      <c r="AG93" s="1"/>
      <c r="AH93" s="1">
        <f t="shared" ref="AH93:AH98" si="22">G93*T93</f>
        <v>0</v>
      </c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</row>
    <row r="94" spans="1:46" x14ac:dyDescent="0.25">
      <c r="A94" s="16" t="s">
        <v>134</v>
      </c>
      <c r="B94" s="1" t="s">
        <v>40</v>
      </c>
      <c r="C94" s="1">
        <v>119</v>
      </c>
      <c r="D94" s="1">
        <v>1</v>
      </c>
      <c r="E94" s="1">
        <v>78</v>
      </c>
      <c r="F94" s="1">
        <v>41</v>
      </c>
      <c r="G94" s="7">
        <v>7.0000000000000007E-2</v>
      </c>
      <c r="H94" s="1">
        <v>90</v>
      </c>
      <c r="I94" s="9" t="s">
        <v>46</v>
      </c>
      <c r="J94" s="1"/>
      <c r="K94" s="1">
        <v>77</v>
      </c>
      <c r="L94" s="1">
        <f t="shared" si="17"/>
        <v>1</v>
      </c>
      <c r="M94" s="1"/>
      <c r="N94" s="1"/>
      <c r="O94" s="1">
        <v>57.720930232558139</v>
      </c>
      <c r="P94" s="19"/>
      <c r="Q94" s="1">
        <v>51.582790697674383</v>
      </c>
      <c r="R94" s="19"/>
      <c r="S94" s="1">
        <f t="shared" si="18"/>
        <v>15.6</v>
      </c>
      <c r="T94" s="5">
        <f t="shared" ref="T94:T98" si="23">11*S94-Q94-O94-F94</f>
        <v>21.296279069767472</v>
      </c>
      <c r="U94" s="1">
        <f t="shared" si="20"/>
        <v>11.000000000000002</v>
      </c>
      <c r="V94" s="1">
        <f t="shared" si="21"/>
        <v>9.6348539057841371</v>
      </c>
      <c r="W94" s="1">
        <v>11.2</v>
      </c>
      <c r="X94" s="1">
        <v>5.8</v>
      </c>
      <c r="Y94" s="1">
        <v>8.4</v>
      </c>
      <c r="Z94" s="1">
        <v>15.2</v>
      </c>
      <c r="AA94" s="1">
        <v>24.6</v>
      </c>
      <c r="AB94" s="1">
        <v>21.6</v>
      </c>
      <c r="AC94" s="1">
        <v>6</v>
      </c>
      <c r="AD94" s="1">
        <v>1.4</v>
      </c>
      <c r="AE94" s="1">
        <v>12.6</v>
      </c>
      <c r="AF94" s="1">
        <v>13.6</v>
      </c>
      <c r="AG94" s="1"/>
      <c r="AH94" s="1">
        <f t="shared" si="22"/>
        <v>1.4907395348837231</v>
      </c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</row>
    <row r="95" spans="1:46" x14ac:dyDescent="0.25">
      <c r="A95" s="16" t="s">
        <v>135</v>
      </c>
      <c r="B95" s="1" t="s">
        <v>40</v>
      </c>
      <c r="C95" s="1">
        <v>98</v>
      </c>
      <c r="D95" s="1">
        <v>144</v>
      </c>
      <c r="E95" s="1">
        <v>62</v>
      </c>
      <c r="F95" s="1">
        <v>111</v>
      </c>
      <c r="G95" s="7">
        <v>7.0000000000000007E-2</v>
      </c>
      <c r="H95" s="1">
        <v>90</v>
      </c>
      <c r="I95" s="9" t="s">
        <v>46</v>
      </c>
      <c r="J95" s="1"/>
      <c r="K95" s="1">
        <v>55</v>
      </c>
      <c r="L95" s="1">
        <f t="shared" si="17"/>
        <v>7</v>
      </c>
      <c r="M95" s="1"/>
      <c r="N95" s="1"/>
      <c r="O95" s="1">
        <v>56.718894009216591</v>
      </c>
      <c r="P95" s="19"/>
      <c r="Q95" s="1">
        <v>0</v>
      </c>
      <c r="R95" s="19"/>
      <c r="S95" s="1">
        <f t="shared" si="18"/>
        <v>12.4</v>
      </c>
      <c r="T95" s="5"/>
      <c r="U95" s="1">
        <f t="shared" si="20"/>
        <v>13.52571725880779</v>
      </c>
      <c r="V95" s="1">
        <f t="shared" si="21"/>
        <v>13.52571725880779</v>
      </c>
      <c r="W95" s="1">
        <v>14.2</v>
      </c>
      <c r="X95" s="1">
        <v>13.4</v>
      </c>
      <c r="Y95" s="1">
        <v>12.6</v>
      </c>
      <c r="Z95" s="1">
        <v>15</v>
      </c>
      <c r="AA95" s="1">
        <v>27</v>
      </c>
      <c r="AB95" s="1">
        <v>21.8</v>
      </c>
      <c r="AC95" s="1">
        <v>19.8</v>
      </c>
      <c r="AD95" s="1">
        <v>22</v>
      </c>
      <c r="AE95" s="1">
        <v>17.399999999999999</v>
      </c>
      <c r="AF95" s="1">
        <v>16.8</v>
      </c>
      <c r="AG95" s="1"/>
      <c r="AH95" s="1">
        <f t="shared" si="22"/>
        <v>0</v>
      </c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</row>
    <row r="96" spans="1:46" x14ac:dyDescent="0.25">
      <c r="A96" s="1" t="s">
        <v>136</v>
      </c>
      <c r="B96" s="1" t="s">
        <v>40</v>
      </c>
      <c r="C96" s="1"/>
      <c r="D96" s="1">
        <v>144</v>
      </c>
      <c r="E96" s="1">
        <v>40</v>
      </c>
      <c r="F96" s="1">
        <v>31</v>
      </c>
      <c r="G96" s="7">
        <v>0.3</v>
      </c>
      <c r="H96" s="1"/>
      <c r="I96" s="1" t="s">
        <v>36</v>
      </c>
      <c r="J96" s="1"/>
      <c r="K96" s="1">
        <v>45</v>
      </c>
      <c r="L96" s="1">
        <f t="shared" si="17"/>
        <v>-5</v>
      </c>
      <c r="M96" s="1"/>
      <c r="N96" s="1"/>
      <c r="O96" s="1">
        <v>0</v>
      </c>
      <c r="P96" s="19"/>
      <c r="Q96" s="1">
        <v>0</v>
      </c>
      <c r="R96" s="19"/>
      <c r="S96" s="1">
        <f t="shared" si="18"/>
        <v>8</v>
      </c>
      <c r="T96" s="5">
        <f t="shared" si="23"/>
        <v>57</v>
      </c>
      <c r="U96" s="1">
        <f t="shared" si="20"/>
        <v>11</v>
      </c>
      <c r="V96" s="1">
        <f t="shared" si="21"/>
        <v>3.875</v>
      </c>
      <c r="W96" s="1">
        <v>3.2</v>
      </c>
      <c r="X96" s="1">
        <v>0</v>
      </c>
      <c r="Y96" s="1">
        <v>0.8</v>
      </c>
      <c r="Z96" s="1">
        <v>12.6</v>
      </c>
      <c r="AA96" s="1">
        <v>15.8</v>
      </c>
      <c r="AB96" s="1">
        <v>4</v>
      </c>
      <c r="AC96" s="1">
        <v>0</v>
      </c>
      <c r="AD96" s="1">
        <v>0</v>
      </c>
      <c r="AE96" s="1">
        <v>0</v>
      </c>
      <c r="AF96" s="1">
        <v>0</v>
      </c>
      <c r="AG96" s="1" t="s">
        <v>114</v>
      </c>
      <c r="AH96" s="1">
        <f t="shared" si="22"/>
        <v>17.099999999999998</v>
      </c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</row>
    <row r="97" spans="1:46" x14ac:dyDescent="0.25">
      <c r="A97" s="16" t="s">
        <v>137</v>
      </c>
      <c r="B97" s="1" t="s">
        <v>35</v>
      </c>
      <c r="C97" s="1"/>
      <c r="D97" s="1">
        <v>24.245000000000001</v>
      </c>
      <c r="E97" s="1"/>
      <c r="F97" s="13">
        <f>0+F123</f>
        <v>11.885</v>
      </c>
      <c r="G97" s="7">
        <v>1</v>
      </c>
      <c r="H97" s="1">
        <v>55</v>
      </c>
      <c r="I97" s="9" t="s">
        <v>46</v>
      </c>
      <c r="J97" s="1"/>
      <c r="K97" s="1"/>
      <c r="L97" s="1">
        <f t="shared" si="17"/>
        <v>0</v>
      </c>
      <c r="M97" s="1"/>
      <c r="N97" s="1"/>
      <c r="O97" s="1">
        <v>4</v>
      </c>
      <c r="P97" s="19"/>
      <c r="Q97" s="1">
        <v>5.2</v>
      </c>
      <c r="R97" s="19"/>
      <c r="S97" s="1">
        <f t="shared" si="18"/>
        <v>0</v>
      </c>
      <c r="T97" s="5"/>
      <c r="U97" s="1" t="e">
        <f t="shared" si="20"/>
        <v>#DIV/0!</v>
      </c>
      <c r="V97" s="1" t="e">
        <f t="shared" si="21"/>
        <v>#DIV/0!</v>
      </c>
      <c r="W97" s="1">
        <v>0</v>
      </c>
      <c r="X97" s="1">
        <v>-0.318</v>
      </c>
      <c r="Y97" s="1">
        <v>-0.318</v>
      </c>
      <c r="Z97" s="1">
        <v>1.2194</v>
      </c>
      <c r="AA97" s="1">
        <v>2.0341999999999998</v>
      </c>
      <c r="AB97" s="1">
        <v>0.81479999999999997</v>
      </c>
      <c r="AC97" s="1">
        <v>0.20419999999999999</v>
      </c>
      <c r="AD97" s="1">
        <v>0.2034</v>
      </c>
      <c r="AE97" s="1">
        <v>0.40780000000000011</v>
      </c>
      <c r="AF97" s="1">
        <v>-0.11600000000000001</v>
      </c>
      <c r="AG97" s="1" t="s">
        <v>138</v>
      </c>
      <c r="AH97" s="1">
        <f t="shared" si="22"/>
        <v>0</v>
      </c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</row>
    <row r="98" spans="1:46" x14ac:dyDescent="0.25">
      <c r="A98" s="1" t="s">
        <v>139</v>
      </c>
      <c r="B98" s="1" t="s">
        <v>40</v>
      </c>
      <c r="C98" s="1">
        <v>51</v>
      </c>
      <c r="D98" s="1">
        <v>108</v>
      </c>
      <c r="E98" s="1">
        <v>50</v>
      </c>
      <c r="F98" s="1">
        <v>43</v>
      </c>
      <c r="G98" s="7">
        <v>0.11</v>
      </c>
      <c r="H98" s="1">
        <v>30</v>
      </c>
      <c r="I98" s="1" t="s">
        <v>36</v>
      </c>
      <c r="J98" s="1"/>
      <c r="K98" s="1">
        <v>87</v>
      </c>
      <c r="L98" s="1">
        <f t="shared" si="17"/>
        <v>-37</v>
      </c>
      <c r="M98" s="1"/>
      <c r="N98" s="1"/>
      <c r="O98" s="1">
        <v>0</v>
      </c>
      <c r="P98" s="19"/>
      <c r="Q98" s="1">
        <v>0</v>
      </c>
      <c r="R98" s="19"/>
      <c r="S98" s="1">
        <f t="shared" si="18"/>
        <v>10</v>
      </c>
      <c r="T98" s="5">
        <f t="shared" si="23"/>
        <v>67</v>
      </c>
      <c r="U98" s="1">
        <f t="shared" si="20"/>
        <v>11</v>
      </c>
      <c r="V98" s="1">
        <f t="shared" si="21"/>
        <v>4.3</v>
      </c>
      <c r="W98" s="1">
        <v>0</v>
      </c>
      <c r="X98" s="1">
        <v>1</v>
      </c>
      <c r="Y98" s="1">
        <v>1.4</v>
      </c>
      <c r="Z98" s="1">
        <v>0.4</v>
      </c>
      <c r="AA98" s="1">
        <v>11</v>
      </c>
      <c r="AB98" s="1">
        <v>1.4</v>
      </c>
      <c r="AC98" s="1">
        <v>3.2</v>
      </c>
      <c r="AD98" s="1">
        <v>3.6</v>
      </c>
      <c r="AE98" s="1">
        <v>0.4</v>
      </c>
      <c r="AF98" s="1">
        <v>1.6</v>
      </c>
      <c r="AG98" s="1" t="s">
        <v>140</v>
      </c>
      <c r="AH98" s="1">
        <f t="shared" si="22"/>
        <v>7.37</v>
      </c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</row>
    <row r="99" spans="1:46" x14ac:dyDescent="0.25">
      <c r="A99" s="10" t="s">
        <v>141</v>
      </c>
      <c r="B99" s="10" t="s">
        <v>40</v>
      </c>
      <c r="C99" s="10"/>
      <c r="D99" s="10"/>
      <c r="E99" s="10"/>
      <c r="F99" s="10"/>
      <c r="G99" s="11">
        <v>0</v>
      </c>
      <c r="H99" s="10"/>
      <c r="I99" s="10" t="s">
        <v>36</v>
      </c>
      <c r="J99" s="10"/>
      <c r="K99" s="10"/>
      <c r="L99" s="10">
        <f t="shared" si="17"/>
        <v>0</v>
      </c>
      <c r="M99" s="10"/>
      <c r="N99" s="10"/>
      <c r="O99" s="10"/>
      <c r="P99" s="22"/>
      <c r="Q99" s="10">
        <v>0</v>
      </c>
      <c r="R99" s="22"/>
      <c r="S99" s="10">
        <f t="shared" si="18"/>
        <v>0</v>
      </c>
      <c r="T99" s="12"/>
      <c r="U99" s="10" t="e">
        <f t="shared" si="20"/>
        <v>#DIV/0!</v>
      </c>
      <c r="V99" s="10" t="e">
        <f t="shared" si="21"/>
        <v>#DIV/0!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>
        <v>0</v>
      </c>
      <c r="AF99" s="10">
        <v>0</v>
      </c>
      <c r="AG99" s="10" t="s">
        <v>41</v>
      </c>
      <c r="AH99" s="10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</row>
    <row r="100" spans="1:46" x14ac:dyDescent="0.25">
      <c r="A100" s="1" t="s">
        <v>142</v>
      </c>
      <c r="B100" s="1" t="s">
        <v>40</v>
      </c>
      <c r="C100" s="1">
        <v>19</v>
      </c>
      <c r="D100" s="1">
        <v>201</v>
      </c>
      <c r="E100" s="1">
        <v>57</v>
      </c>
      <c r="F100" s="1">
        <v>163</v>
      </c>
      <c r="G100" s="7">
        <v>0.08</v>
      </c>
      <c r="H100" s="1">
        <v>45</v>
      </c>
      <c r="I100" s="1" t="s">
        <v>36</v>
      </c>
      <c r="J100" s="1"/>
      <c r="K100" s="1">
        <v>55</v>
      </c>
      <c r="L100" s="1">
        <f t="shared" si="17"/>
        <v>2</v>
      </c>
      <c r="M100" s="1"/>
      <c r="N100" s="1"/>
      <c r="O100" s="1">
        <v>43.185948477751772</v>
      </c>
      <c r="P100" s="19"/>
      <c r="Q100" s="1">
        <v>0</v>
      </c>
      <c r="R100" s="19"/>
      <c r="S100" s="1">
        <f t="shared" si="18"/>
        <v>11.4</v>
      </c>
      <c r="T100" s="5"/>
      <c r="U100" s="1">
        <f t="shared" si="20"/>
        <v>18.086486708574714</v>
      </c>
      <c r="V100" s="1">
        <f t="shared" si="21"/>
        <v>18.086486708574714</v>
      </c>
      <c r="W100" s="1">
        <v>13</v>
      </c>
      <c r="X100" s="1">
        <v>21.6</v>
      </c>
      <c r="Y100" s="1">
        <v>22.8</v>
      </c>
      <c r="Z100" s="1">
        <v>18</v>
      </c>
      <c r="AA100" s="1">
        <v>24.4</v>
      </c>
      <c r="AB100" s="1">
        <v>21.8</v>
      </c>
      <c r="AC100" s="1">
        <v>22.4</v>
      </c>
      <c r="AD100" s="1">
        <v>19.399999999999999</v>
      </c>
      <c r="AE100" s="1">
        <v>14.4</v>
      </c>
      <c r="AF100" s="1">
        <v>21.6</v>
      </c>
      <c r="AG100" s="1"/>
      <c r="AH100" s="1">
        <f t="shared" ref="AH100:AH105" si="24">G100*T100</f>
        <v>0</v>
      </c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</row>
    <row r="101" spans="1:46" x14ac:dyDescent="0.25">
      <c r="A101" s="1" t="s">
        <v>143</v>
      </c>
      <c r="B101" s="1" t="s">
        <v>40</v>
      </c>
      <c r="C101" s="1">
        <v>77</v>
      </c>
      <c r="D101" s="1">
        <v>131</v>
      </c>
      <c r="E101" s="1">
        <v>53</v>
      </c>
      <c r="F101" s="1">
        <v>70</v>
      </c>
      <c r="G101" s="7">
        <v>0.08</v>
      </c>
      <c r="H101" s="1">
        <v>45</v>
      </c>
      <c r="I101" s="1" t="s">
        <v>36</v>
      </c>
      <c r="J101" s="1"/>
      <c r="K101" s="1">
        <v>47</v>
      </c>
      <c r="L101" s="1">
        <f t="shared" si="17"/>
        <v>6</v>
      </c>
      <c r="M101" s="1"/>
      <c r="N101" s="1"/>
      <c r="O101" s="1">
        <v>24.97568389057751</v>
      </c>
      <c r="P101" s="19"/>
      <c r="Q101" s="1">
        <v>25.224316109422482</v>
      </c>
      <c r="R101" s="19"/>
      <c r="S101" s="1">
        <f t="shared" si="18"/>
        <v>10.6</v>
      </c>
      <c r="T101" s="5"/>
      <c r="U101" s="1">
        <f t="shared" si="20"/>
        <v>11.339622641509433</v>
      </c>
      <c r="V101" s="1">
        <f t="shared" si="21"/>
        <v>11.339622641509433</v>
      </c>
      <c r="W101" s="1">
        <v>9.8000000000000007</v>
      </c>
      <c r="X101" s="1">
        <v>16.600000000000001</v>
      </c>
      <c r="Y101" s="1">
        <v>17.600000000000001</v>
      </c>
      <c r="Z101" s="1">
        <v>11.2</v>
      </c>
      <c r="AA101" s="1">
        <v>18</v>
      </c>
      <c r="AB101" s="1">
        <v>19</v>
      </c>
      <c r="AC101" s="1">
        <v>18</v>
      </c>
      <c r="AD101" s="1">
        <v>15.6</v>
      </c>
      <c r="AE101" s="1">
        <v>11.6</v>
      </c>
      <c r="AF101" s="1">
        <v>11.6</v>
      </c>
      <c r="AG101" s="1"/>
      <c r="AH101" s="1">
        <f t="shared" si="24"/>
        <v>0</v>
      </c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</row>
    <row r="102" spans="1:46" x14ac:dyDescent="0.25">
      <c r="A102" s="1" t="s">
        <v>144</v>
      </c>
      <c r="B102" s="1" t="s">
        <v>40</v>
      </c>
      <c r="C102" s="1"/>
      <c r="D102" s="1">
        <v>32</v>
      </c>
      <c r="E102" s="1"/>
      <c r="F102" s="1">
        <v>32</v>
      </c>
      <c r="G102" s="7">
        <v>0.17</v>
      </c>
      <c r="H102" s="1">
        <v>30</v>
      </c>
      <c r="I102" s="1" t="s">
        <v>36</v>
      </c>
      <c r="J102" s="1"/>
      <c r="K102" s="1"/>
      <c r="L102" s="1">
        <f t="shared" ref="L102:L129" si="25">E102-K102</f>
        <v>0</v>
      </c>
      <c r="M102" s="1"/>
      <c r="N102" s="1"/>
      <c r="O102" s="1">
        <v>0</v>
      </c>
      <c r="P102" s="19"/>
      <c r="Q102" s="1">
        <v>0</v>
      </c>
      <c r="R102" s="19"/>
      <c r="S102" s="1">
        <f t="shared" ref="S102:S129" si="26">E102/5</f>
        <v>0</v>
      </c>
      <c r="T102" s="5"/>
      <c r="U102" s="1" t="e">
        <f t="shared" si="20"/>
        <v>#DIV/0!</v>
      </c>
      <c r="V102" s="1" t="e">
        <f t="shared" si="21"/>
        <v>#DIV/0!</v>
      </c>
      <c r="W102" s="1">
        <v>0</v>
      </c>
      <c r="X102" s="1">
        <v>0</v>
      </c>
      <c r="Y102" s="1">
        <v>0.2</v>
      </c>
      <c r="Z102" s="1">
        <v>0.2</v>
      </c>
      <c r="AA102" s="1">
        <v>1</v>
      </c>
      <c r="AB102" s="1">
        <v>1</v>
      </c>
      <c r="AC102" s="1">
        <v>1.4</v>
      </c>
      <c r="AD102" s="1">
        <v>1.2</v>
      </c>
      <c r="AE102" s="1">
        <v>0.4</v>
      </c>
      <c r="AF102" s="1">
        <v>3.6</v>
      </c>
      <c r="AG102" s="1" t="s">
        <v>145</v>
      </c>
      <c r="AH102" s="1">
        <f t="shared" si="24"/>
        <v>0</v>
      </c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</row>
    <row r="103" spans="1:46" x14ac:dyDescent="0.25">
      <c r="A103" s="16" t="s">
        <v>146</v>
      </c>
      <c r="B103" s="1" t="s">
        <v>35</v>
      </c>
      <c r="C103" s="1">
        <v>4.0000000000000001E-3</v>
      </c>
      <c r="D103" s="1">
        <v>101.875</v>
      </c>
      <c r="E103" s="1">
        <v>101.179</v>
      </c>
      <c r="F103" s="1">
        <v>-0.72399999999999998</v>
      </c>
      <c r="G103" s="7">
        <v>1</v>
      </c>
      <c r="H103" s="1">
        <v>40</v>
      </c>
      <c r="I103" s="9" t="s">
        <v>46</v>
      </c>
      <c r="J103" s="1"/>
      <c r="K103" s="1">
        <v>126.8</v>
      </c>
      <c r="L103" s="1">
        <f t="shared" si="25"/>
        <v>-25.620999999999995</v>
      </c>
      <c r="M103" s="1"/>
      <c r="N103" s="1"/>
      <c r="O103" s="1">
        <v>61.237747397578516</v>
      </c>
      <c r="P103" s="19"/>
      <c r="Q103" s="1">
        <v>156</v>
      </c>
      <c r="R103" s="19"/>
      <c r="S103" s="1">
        <f t="shared" si="26"/>
        <v>20.235800000000001</v>
      </c>
      <c r="T103" s="5">
        <v>25</v>
      </c>
      <c r="U103" s="1">
        <f t="shared" si="20"/>
        <v>11.934974026111076</v>
      </c>
      <c r="V103" s="1">
        <f t="shared" si="21"/>
        <v>10.699539795687768</v>
      </c>
      <c r="W103" s="1">
        <v>19.062200000000001</v>
      </c>
      <c r="X103" s="1">
        <v>4.2573999999999996</v>
      </c>
      <c r="Y103" s="1">
        <v>0.29620000000000002</v>
      </c>
      <c r="Z103" s="1">
        <v>12.997</v>
      </c>
      <c r="AA103" s="1">
        <v>22.168800000000001</v>
      </c>
      <c r="AB103" s="1">
        <v>13.851800000000001</v>
      </c>
      <c r="AC103" s="1">
        <v>7.4358000000000004</v>
      </c>
      <c r="AD103" s="1">
        <v>1.85</v>
      </c>
      <c r="AE103" s="1">
        <v>1.1499999999999999</v>
      </c>
      <c r="AF103" s="1">
        <v>11.496</v>
      </c>
      <c r="AG103" s="1"/>
      <c r="AH103" s="1">
        <f t="shared" si="24"/>
        <v>25</v>
      </c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</row>
    <row r="104" spans="1:46" x14ac:dyDescent="0.25">
      <c r="A104" s="16" t="s">
        <v>147</v>
      </c>
      <c r="B104" s="1" t="s">
        <v>35</v>
      </c>
      <c r="C104" s="1">
        <v>-2.4E-2</v>
      </c>
      <c r="D104" s="1">
        <v>252.357</v>
      </c>
      <c r="E104" s="1">
        <v>-0.73699999999999999</v>
      </c>
      <c r="F104" s="1"/>
      <c r="G104" s="7">
        <v>1</v>
      </c>
      <c r="H104" s="1">
        <v>40</v>
      </c>
      <c r="I104" s="9" t="s">
        <v>46</v>
      </c>
      <c r="J104" s="1"/>
      <c r="K104" s="1">
        <v>13.8</v>
      </c>
      <c r="L104" s="1">
        <f t="shared" si="25"/>
        <v>-14.537000000000001</v>
      </c>
      <c r="M104" s="1"/>
      <c r="N104" s="1"/>
      <c r="O104" s="1">
        <v>57.042986938794677</v>
      </c>
      <c r="P104" s="19"/>
      <c r="Q104" s="1">
        <v>91</v>
      </c>
      <c r="R104" s="19"/>
      <c r="S104" s="1">
        <f t="shared" si="26"/>
        <v>-0.1474</v>
      </c>
      <c r="T104" s="5"/>
      <c r="U104" s="1">
        <f t="shared" si="20"/>
        <v>-1004.3621909009137</v>
      </c>
      <c r="V104" s="1">
        <f t="shared" si="21"/>
        <v>-1004.3621909009137</v>
      </c>
      <c r="W104" s="1">
        <v>10.8888</v>
      </c>
      <c r="X104" s="1">
        <v>13.965199999999999</v>
      </c>
      <c r="Y104" s="1">
        <v>19.686800000000002</v>
      </c>
      <c r="Z104" s="1">
        <v>16.466799999999999</v>
      </c>
      <c r="AA104" s="1">
        <v>7.055200000000001</v>
      </c>
      <c r="AB104" s="1">
        <v>12.9968</v>
      </c>
      <c r="AC104" s="1">
        <v>8.9847999999999999</v>
      </c>
      <c r="AD104" s="1">
        <v>1.7248000000000001</v>
      </c>
      <c r="AE104" s="1">
        <v>5.3618000000000006</v>
      </c>
      <c r="AF104" s="1">
        <v>15.671200000000001</v>
      </c>
      <c r="AG104" s="1"/>
      <c r="AH104" s="1">
        <f t="shared" si="24"/>
        <v>0</v>
      </c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</row>
    <row r="105" spans="1:46" x14ac:dyDescent="0.25">
      <c r="A105" s="16" t="s">
        <v>148</v>
      </c>
      <c r="B105" s="1" t="s">
        <v>35</v>
      </c>
      <c r="C105" s="1"/>
      <c r="D105" s="1"/>
      <c r="E105" s="1">
        <v>-0.72</v>
      </c>
      <c r="F105" s="1"/>
      <c r="G105" s="7">
        <v>1</v>
      </c>
      <c r="H105" s="1">
        <v>40</v>
      </c>
      <c r="I105" s="9" t="s">
        <v>46</v>
      </c>
      <c r="J105" s="1"/>
      <c r="K105" s="1">
        <v>8.8000000000000007</v>
      </c>
      <c r="L105" s="1">
        <f t="shared" si="25"/>
        <v>-9.5200000000000014</v>
      </c>
      <c r="M105" s="1"/>
      <c r="N105" s="1"/>
      <c r="O105" s="1">
        <v>56.175616647149567</v>
      </c>
      <c r="P105" s="19"/>
      <c r="Q105" s="1">
        <v>39</v>
      </c>
      <c r="R105" s="19"/>
      <c r="S105" s="1">
        <f t="shared" si="26"/>
        <v>-0.14399999999999999</v>
      </c>
      <c r="T105" s="5"/>
      <c r="U105" s="1">
        <f t="shared" si="20"/>
        <v>-660.94178227187206</v>
      </c>
      <c r="V105" s="1">
        <f t="shared" si="21"/>
        <v>-660.94178227187206</v>
      </c>
      <c r="W105" s="1">
        <v>-0.14399999999999999</v>
      </c>
      <c r="X105" s="1">
        <v>-0.28499999999999998</v>
      </c>
      <c r="Y105" s="1">
        <v>-0.71140000000000003</v>
      </c>
      <c r="Z105" s="1">
        <v>-0.71239999999999992</v>
      </c>
      <c r="AA105" s="1">
        <v>-0.42520000000000002</v>
      </c>
      <c r="AB105" s="1">
        <v>-0.4284</v>
      </c>
      <c r="AC105" s="1">
        <v>2.9601999999999999</v>
      </c>
      <c r="AD105" s="1">
        <v>5.3917999999999999</v>
      </c>
      <c r="AE105" s="1">
        <v>4.0991999999999997</v>
      </c>
      <c r="AF105" s="1">
        <v>11.083399999999999</v>
      </c>
      <c r="AG105" s="1"/>
      <c r="AH105" s="1">
        <f t="shared" si="24"/>
        <v>0</v>
      </c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</row>
    <row r="106" spans="1:46" x14ac:dyDescent="0.25">
      <c r="A106" s="10" t="s">
        <v>149</v>
      </c>
      <c r="B106" s="10" t="s">
        <v>40</v>
      </c>
      <c r="C106" s="10"/>
      <c r="D106" s="10"/>
      <c r="E106" s="10"/>
      <c r="F106" s="10"/>
      <c r="G106" s="11">
        <v>0</v>
      </c>
      <c r="H106" s="10"/>
      <c r="I106" s="10" t="s">
        <v>36</v>
      </c>
      <c r="J106" s="10"/>
      <c r="K106" s="10"/>
      <c r="L106" s="10">
        <f t="shared" si="25"/>
        <v>0</v>
      </c>
      <c r="M106" s="10"/>
      <c r="N106" s="10"/>
      <c r="O106" s="10"/>
      <c r="P106" s="22"/>
      <c r="Q106" s="10">
        <v>0</v>
      </c>
      <c r="R106" s="22"/>
      <c r="S106" s="10">
        <f t="shared" si="26"/>
        <v>0</v>
      </c>
      <c r="T106" s="12"/>
      <c r="U106" s="10" t="e">
        <f t="shared" si="20"/>
        <v>#DIV/0!</v>
      </c>
      <c r="V106" s="10" t="e">
        <f t="shared" si="21"/>
        <v>#DIV/0!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 t="s">
        <v>41</v>
      </c>
      <c r="AH106" s="10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</row>
    <row r="107" spans="1:46" x14ac:dyDescent="0.25">
      <c r="A107" s="10" t="s">
        <v>150</v>
      </c>
      <c r="B107" s="10" t="s">
        <v>35</v>
      </c>
      <c r="C107" s="10"/>
      <c r="D107" s="10"/>
      <c r="E107" s="10"/>
      <c r="F107" s="10"/>
      <c r="G107" s="11">
        <v>0</v>
      </c>
      <c r="H107" s="10"/>
      <c r="I107" s="10" t="s">
        <v>36</v>
      </c>
      <c r="J107" s="10"/>
      <c r="K107" s="10"/>
      <c r="L107" s="10">
        <f t="shared" si="25"/>
        <v>0</v>
      </c>
      <c r="M107" s="10"/>
      <c r="N107" s="10"/>
      <c r="O107" s="10"/>
      <c r="P107" s="22"/>
      <c r="Q107" s="10">
        <v>0</v>
      </c>
      <c r="R107" s="22"/>
      <c r="S107" s="10">
        <f t="shared" si="26"/>
        <v>0</v>
      </c>
      <c r="T107" s="12"/>
      <c r="U107" s="10" t="e">
        <f t="shared" si="20"/>
        <v>#DIV/0!</v>
      </c>
      <c r="V107" s="10" t="e">
        <f t="shared" si="21"/>
        <v>#DIV/0!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 t="s">
        <v>41</v>
      </c>
      <c r="AH107" s="10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</row>
    <row r="108" spans="1:46" x14ac:dyDescent="0.25">
      <c r="A108" s="16" t="s">
        <v>151</v>
      </c>
      <c r="B108" s="1" t="s">
        <v>40</v>
      </c>
      <c r="C108" s="1">
        <v>-3</v>
      </c>
      <c r="D108" s="1">
        <v>5</v>
      </c>
      <c r="E108" s="1">
        <v>-1</v>
      </c>
      <c r="F108" s="1"/>
      <c r="G108" s="7">
        <v>0.28000000000000003</v>
      </c>
      <c r="H108" s="1">
        <v>40</v>
      </c>
      <c r="I108" s="9" t="s">
        <v>46</v>
      </c>
      <c r="J108" s="1"/>
      <c r="K108" s="1">
        <v>44</v>
      </c>
      <c r="L108" s="1">
        <f t="shared" si="25"/>
        <v>-45</v>
      </c>
      <c r="M108" s="1"/>
      <c r="N108" s="1"/>
      <c r="O108" s="1">
        <v>61.394285714285722</v>
      </c>
      <c r="P108" s="19"/>
      <c r="Q108" s="1">
        <v>104</v>
      </c>
      <c r="R108" s="19"/>
      <c r="S108" s="1">
        <f t="shared" si="26"/>
        <v>-0.2</v>
      </c>
      <c r="T108" s="5"/>
      <c r="U108" s="1">
        <f t="shared" si="20"/>
        <v>-826.97142857142865</v>
      </c>
      <c r="V108" s="1">
        <f t="shared" si="21"/>
        <v>-826.97142857142865</v>
      </c>
      <c r="W108" s="1">
        <v>11</v>
      </c>
      <c r="X108" s="1">
        <v>10.8</v>
      </c>
      <c r="Y108" s="1">
        <v>0.2</v>
      </c>
      <c r="Z108" s="1">
        <v>13.2</v>
      </c>
      <c r="AA108" s="1">
        <v>23.2</v>
      </c>
      <c r="AB108" s="1">
        <v>17.8</v>
      </c>
      <c r="AC108" s="1">
        <v>7.4</v>
      </c>
      <c r="AD108" s="1">
        <v>-2</v>
      </c>
      <c r="AE108" s="1">
        <v>-3.4</v>
      </c>
      <c r="AF108" s="1">
        <v>-3.8</v>
      </c>
      <c r="AG108" s="1"/>
      <c r="AH108" s="1">
        <f t="shared" ref="AH108:AH122" si="27">G108*T108</f>
        <v>0</v>
      </c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</row>
    <row r="109" spans="1:46" x14ac:dyDescent="0.25">
      <c r="A109" s="16" t="s">
        <v>152</v>
      </c>
      <c r="B109" s="1" t="s">
        <v>40</v>
      </c>
      <c r="C109" s="1">
        <v>81</v>
      </c>
      <c r="D109" s="1">
        <v>457</v>
      </c>
      <c r="E109" s="1">
        <v>231</v>
      </c>
      <c r="F109" s="1">
        <v>6</v>
      </c>
      <c r="G109" s="7">
        <v>0.28000000000000003</v>
      </c>
      <c r="H109" s="1">
        <v>40</v>
      </c>
      <c r="I109" s="9" t="s">
        <v>46</v>
      </c>
      <c r="J109" s="1"/>
      <c r="K109" s="1">
        <v>225</v>
      </c>
      <c r="L109" s="1">
        <f t="shared" si="25"/>
        <v>6</v>
      </c>
      <c r="M109" s="1"/>
      <c r="N109" s="1"/>
      <c r="O109" s="1">
        <v>0</v>
      </c>
      <c r="P109" s="19"/>
      <c r="Q109" s="1">
        <v>524.42000000000007</v>
      </c>
      <c r="R109" s="19"/>
      <c r="S109" s="1">
        <f t="shared" si="26"/>
        <v>46.2</v>
      </c>
      <c r="T109" s="5"/>
      <c r="U109" s="1">
        <f t="shared" si="20"/>
        <v>11.480952380952381</v>
      </c>
      <c r="V109" s="1">
        <f t="shared" si="21"/>
        <v>11.480952380952381</v>
      </c>
      <c r="W109" s="1">
        <v>39.200000000000003</v>
      </c>
      <c r="X109" s="1">
        <v>10.8</v>
      </c>
      <c r="Y109" s="1">
        <v>-0.6</v>
      </c>
      <c r="Z109" s="1">
        <v>14.4</v>
      </c>
      <c r="AA109" s="1">
        <v>25</v>
      </c>
      <c r="AB109" s="1">
        <v>16.600000000000001</v>
      </c>
      <c r="AC109" s="1">
        <v>8.8000000000000007</v>
      </c>
      <c r="AD109" s="1">
        <v>-1.2</v>
      </c>
      <c r="AE109" s="1">
        <v>-1.4</v>
      </c>
      <c r="AF109" s="1">
        <v>0.6</v>
      </c>
      <c r="AG109" s="1"/>
      <c r="AH109" s="1">
        <f t="shared" si="27"/>
        <v>0</v>
      </c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</row>
    <row r="110" spans="1:46" x14ac:dyDescent="0.25">
      <c r="A110" s="16" t="s">
        <v>153</v>
      </c>
      <c r="B110" s="1" t="s">
        <v>40</v>
      </c>
      <c r="C110" s="1"/>
      <c r="D110" s="1">
        <v>176</v>
      </c>
      <c r="E110" s="1">
        <v>141</v>
      </c>
      <c r="F110" s="1">
        <v>7</v>
      </c>
      <c r="G110" s="7">
        <v>0.28000000000000003</v>
      </c>
      <c r="H110" s="1">
        <v>40</v>
      </c>
      <c r="I110" s="9" t="s">
        <v>46</v>
      </c>
      <c r="J110" s="1"/>
      <c r="K110" s="1">
        <v>171</v>
      </c>
      <c r="L110" s="1">
        <f t="shared" si="25"/>
        <v>-30</v>
      </c>
      <c r="M110" s="1"/>
      <c r="N110" s="1"/>
      <c r="O110" s="1">
        <v>31.38461538461538</v>
      </c>
      <c r="P110" s="19"/>
      <c r="Q110" s="1">
        <v>91</v>
      </c>
      <c r="R110" s="19"/>
      <c r="S110" s="1">
        <f t="shared" si="26"/>
        <v>28.2</v>
      </c>
      <c r="T110" s="5">
        <f t="shared" ref="T110:T117" si="28">11*S110-Q110-O110-F110</f>
        <v>180.8153846153846</v>
      </c>
      <c r="U110" s="1">
        <f t="shared" si="20"/>
        <v>11</v>
      </c>
      <c r="V110" s="1">
        <f t="shared" si="21"/>
        <v>4.5881069285324605</v>
      </c>
      <c r="W110" s="1">
        <v>13.8</v>
      </c>
      <c r="X110" s="1">
        <v>-0.4</v>
      </c>
      <c r="Y110" s="1">
        <v>-0.2</v>
      </c>
      <c r="Z110" s="1">
        <v>9.1999999999999993</v>
      </c>
      <c r="AA110" s="1">
        <v>19.600000000000001</v>
      </c>
      <c r="AB110" s="1">
        <v>12.2</v>
      </c>
      <c r="AC110" s="1">
        <v>4.8</v>
      </c>
      <c r="AD110" s="1">
        <v>0</v>
      </c>
      <c r="AE110" s="1">
        <v>1.2</v>
      </c>
      <c r="AF110" s="1">
        <v>1.2</v>
      </c>
      <c r="AG110" s="1"/>
      <c r="AH110" s="1">
        <f t="shared" si="27"/>
        <v>50.628307692307693</v>
      </c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</row>
    <row r="111" spans="1:46" x14ac:dyDescent="0.25">
      <c r="A111" s="1" t="s">
        <v>154</v>
      </c>
      <c r="B111" s="1" t="s">
        <v>40</v>
      </c>
      <c r="C111" s="1"/>
      <c r="D111" s="1">
        <v>40</v>
      </c>
      <c r="E111" s="1">
        <v>34</v>
      </c>
      <c r="F111" s="1">
        <v>10</v>
      </c>
      <c r="G111" s="7">
        <v>0.09</v>
      </c>
      <c r="H111" s="1">
        <v>45</v>
      </c>
      <c r="I111" s="1" t="s">
        <v>36</v>
      </c>
      <c r="J111" s="1"/>
      <c r="K111" s="1">
        <v>31</v>
      </c>
      <c r="L111" s="1">
        <f t="shared" si="25"/>
        <v>3</v>
      </c>
      <c r="M111" s="1"/>
      <c r="N111" s="1"/>
      <c r="O111" s="1">
        <v>40.033472803347252</v>
      </c>
      <c r="P111" s="19"/>
      <c r="Q111" s="1">
        <v>14.96652719665275</v>
      </c>
      <c r="R111" s="19"/>
      <c r="S111" s="1">
        <f t="shared" si="26"/>
        <v>6.8</v>
      </c>
      <c r="T111" s="5">
        <f t="shared" si="28"/>
        <v>9.7999999999999972</v>
      </c>
      <c r="U111" s="1">
        <f t="shared" si="20"/>
        <v>11</v>
      </c>
      <c r="V111" s="1">
        <f t="shared" si="21"/>
        <v>9.5588235294117645</v>
      </c>
      <c r="W111" s="1">
        <v>6</v>
      </c>
      <c r="X111" s="1">
        <v>8.1999999999999993</v>
      </c>
      <c r="Y111" s="1">
        <v>8.1999999999999993</v>
      </c>
      <c r="Z111" s="1">
        <v>8.8000000000000007</v>
      </c>
      <c r="AA111" s="1">
        <v>12.4</v>
      </c>
      <c r="AB111" s="1">
        <v>12.6</v>
      </c>
      <c r="AC111" s="1">
        <v>15</v>
      </c>
      <c r="AD111" s="1">
        <v>15</v>
      </c>
      <c r="AE111" s="1">
        <v>10</v>
      </c>
      <c r="AF111" s="1">
        <v>8.1999999999999993</v>
      </c>
      <c r="AG111" s="1"/>
      <c r="AH111" s="1">
        <f t="shared" si="27"/>
        <v>0.88199999999999967</v>
      </c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</row>
    <row r="112" spans="1:46" x14ac:dyDescent="0.25">
      <c r="A112" s="1" t="s">
        <v>155</v>
      </c>
      <c r="B112" s="1" t="s">
        <v>35</v>
      </c>
      <c r="C112" s="1">
        <v>22.446000000000002</v>
      </c>
      <c r="D112" s="1">
        <v>110.504</v>
      </c>
      <c r="E112" s="1">
        <v>79.486999999999995</v>
      </c>
      <c r="F112" s="1">
        <v>12.715</v>
      </c>
      <c r="G112" s="7">
        <v>1</v>
      </c>
      <c r="H112" s="1">
        <v>60</v>
      </c>
      <c r="I112" s="1" t="s">
        <v>36</v>
      </c>
      <c r="J112" s="1"/>
      <c r="K112" s="1">
        <v>77.5</v>
      </c>
      <c r="L112" s="1">
        <f t="shared" si="25"/>
        <v>1.9869999999999948</v>
      </c>
      <c r="M112" s="1"/>
      <c r="N112" s="1"/>
      <c r="O112" s="1">
        <v>0</v>
      </c>
      <c r="P112" s="19"/>
      <c r="Q112" s="1">
        <v>57.112000000000023</v>
      </c>
      <c r="R112" s="19"/>
      <c r="S112" s="1">
        <f t="shared" si="26"/>
        <v>15.897399999999999</v>
      </c>
      <c r="T112" s="5">
        <f t="shared" si="28"/>
        <v>105.04439999999997</v>
      </c>
      <c r="U112" s="1">
        <f t="shared" si="20"/>
        <v>11</v>
      </c>
      <c r="V112" s="1">
        <f t="shared" si="21"/>
        <v>4.3923534666046038</v>
      </c>
      <c r="W112" s="1">
        <v>9.0400000000000009</v>
      </c>
      <c r="X112" s="1">
        <v>5.0895999999999999</v>
      </c>
      <c r="Y112" s="1">
        <v>8.0502000000000002</v>
      </c>
      <c r="Z112" s="1">
        <v>10.552199999999999</v>
      </c>
      <c r="AA112" s="1">
        <v>11.1274</v>
      </c>
      <c r="AB112" s="1">
        <v>8.5960000000000001</v>
      </c>
      <c r="AC112" s="1">
        <v>6.4635999999999996</v>
      </c>
      <c r="AD112" s="1">
        <v>6.4147999999999996</v>
      </c>
      <c r="AE112" s="1">
        <v>7.0069999999999997</v>
      </c>
      <c r="AF112" s="1">
        <v>6.0356000000000014</v>
      </c>
      <c r="AG112" s="1"/>
      <c r="AH112" s="1">
        <f t="shared" si="27"/>
        <v>105.04439999999997</v>
      </c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</row>
    <row r="113" spans="1:46" x14ac:dyDescent="0.25">
      <c r="A113" s="1" t="s">
        <v>156</v>
      </c>
      <c r="B113" s="1" t="s">
        <v>35</v>
      </c>
      <c r="C113" s="1"/>
      <c r="D113" s="1">
        <v>209.26400000000001</v>
      </c>
      <c r="E113" s="1">
        <v>62.323</v>
      </c>
      <c r="F113" s="1">
        <v>74.664000000000001</v>
      </c>
      <c r="G113" s="7">
        <v>1</v>
      </c>
      <c r="H113" s="1">
        <v>50</v>
      </c>
      <c r="I113" s="1" t="s">
        <v>36</v>
      </c>
      <c r="J113" s="1"/>
      <c r="K113" s="1">
        <v>62.5</v>
      </c>
      <c r="L113" s="1">
        <f t="shared" si="25"/>
        <v>-0.1769999999999996</v>
      </c>
      <c r="M113" s="1"/>
      <c r="N113" s="1"/>
      <c r="O113" s="1">
        <v>0</v>
      </c>
      <c r="P113" s="19"/>
      <c r="Q113" s="1">
        <v>0</v>
      </c>
      <c r="R113" s="19"/>
      <c r="S113" s="1">
        <f t="shared" si="26"/>
        <v>12.464600000000001</v>
      </c>
      <c r="T113" s="5">
        <f t="shared" si="28"/>
        <v>62.446600000000004</v>
      </c>
      <c r="U113" s="1">
        <f t="shared" si="20"/>
        <v>11</v>
      </c>
      <c r="V113" s="1">
        <f t="shared" si="21"/>
        <v>5.9900839176547978</v>
      </c>
      <c r="W113" s="1">
        <v>6.9792000000000014</v>
      </c>
      <c r="X113" s="1">
        <v>2.5167999999999999</v>
      </c>
      <c r="Y113" s="1">
        <v>9.4036000000000008</v>
      </c>
      <c r="Z113" s="1">
        <v>18.6568</v>
      </c>
      <c r="AA113" s="1">
        <v>16.679200000000002</v>
      </c>
      <c r="AB113" s="1">
        <v>8.3925999999999998</v>
      </c>
      <c r="AC113" s="1">
        <v>11.4232</v>
      </c>
      <c r="AD113" s="1">
        <v>9.4489999999999998</v>
      </c>
      <c r="AE113" s="1">
        <v>6.4813999999999989</v>
      </c>
      <c r="AF113" s="1">
        <v>7.4802000000000008</v>
      </c>
      <c r="AG113" s="1"/>
      <c r="AH113" s="1">
        <f t="shared" si="27"/>
        <v>62.446600000000004</v>
      </c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</row>
    <row r="114" spans="1:46" x14ac:dyDescent="0.25">
      <c r="A114" s="1" t="s">
        <v>157</v>
      </c>
      <c r="B114" s="1" t="s">
        <v>40</v>
      </c>
      <c r="C114" s="1">
        <v>29</v>
      </c>
      <c r="D114" s="1">
        <v>32</v>
      </c>
      <c r="E114" s="1">
        <v>28</v>
      </c>
      <c r="F114" s="1">
        <v>29</v>
      </c>
      <c r="G114" s="7">
        <v>0.09</v>
      </c>
      <c r="H114" s="1">
        <v>45</v>
      </c>
      <c r="I114" s="1" t="s">
        <v>36</v>
      </c>
      <c r="J114" s="1"/>
      <c r="K114" s="1">
        <v>39</v>
      </c>
      <c r="L114" s="1">
        <f t="shared" si="25"/>
        <v>-11</v>
      </c>
      <c r="M114" s="1"/>
      <c r="N114" s="1"/>
      <c r="O114" s="1">
        <v>106.5606382978724</v>
      </c>
      <c r="P114" s="19"/>
      <c r="Q114" s="1">
        <v>10</v>
      </c>
      <c r="R114" s="19"/>
      <c r="S114" s="1">
        <f t="shared" si="26"/>
        <v>5.6</v>
      </c>
      <c r="T114" s="5"/>
      <c r="U114" s="1">
        <f t="shared" si="20"/>
        <v>25.992971124620073</v>
      </c>
      <c r="V114" s="1">
        <f t="shared" si="21"/>
        <v>25.992971124620073</v>
      </c>
      <c r="W114" s="1">
        <v>10</v>
      </c>
      <c r="X114" s="1">
        <v>13.8</v>
      </c>
      <c r="Y114" s="1">
        <v>9.1999999999999993</v>
      </c>
      <c r="Z114" s="1">
        <v>3.6</v>
      </c>
      <c r="AA114" s="1">
        <v>8.4</v>
      </c>
      <c r="AB114" s="1">
        <v>12.8</v>
      </c>
      <c r="AC114" s="1">
        <v>13.8</v>
      </c>
      <c r="AD114" s="1">
        <v>12</v>
      </c>
      <c r="AE114" s="1">
        <v>7</v>
      </c>
      <c r="AF114" s="1">
        <v>7.6</v>
      </c>
      <c r="AG114" s="14" t="s">
        <v>166</v>
      </c>
      <c r="AH114" s="1">
        <f t="shared" si="27"/>
        <v>0</v>
      </c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</row>
    <row r="115" spans="1:46" x14ac:dyDescent="0.25">
      <c r="A115" s="1" t="s">
        <v>158</v>
      </c>
      <c r="B115" s="1" t="s">
        <v>40</v>
      </c>
      <c r="C115" s="1">
        <v>47</v>
      </c>
      <c r="D115" s="1">
        <v>3</v>
      </c>
      <c r="E115" s="1">
        <v>47</v>
      </c>
      <c r="F115" s="1">
        <v>-1</v>
      </c>
      <c r="G115" s="7">
        <v>0.09</v>
      </c>
      <c r="H115" s="1">
        <v>45</v>
      </c>
      <c r="I115" s="1" t="s">
        <v>36</v>
      </c>
      <c r="J115" s="1"/>
      <c r="K115" s="1">
        <v>42</v>
      </c>
      <c r="L115" s="1">
        <f t="shared" si="25"/>
        <v>5</v>
      </c>
      <c r="M115" s="1"/>
      <c r="N115" s="1"/>
      <c r="O115" s="1">
        <v>57.46829268292683</v>
      </c>
      <c r="P115" s="19"/>
      <c r="Q115" s="1">
        <v>48.931707317073183</v>
      </c>
      <c r="R115" s="19"/>
      <c r="S115" s="1">
        <f t="shared" si="26"/>
        <v>9.4</v>
      </c>
      <c r="T115" s="5"/>
      <c r="U115" s="1">
        <f t="shared" si="20"/>
        <v>11.212765957446809</v>
      </c>
      <c r="V115" s="1">
        <f t="shared" si="21"/>
        <v>11.212765957446809</v>
      </c>
      <c r="W115" s="1">
        <v>9.8000000000000007</v>
      </c>
      <c r="X115" s="1">
        <v>10</v>
      </c>
      <c r="Y115" s="1">
        <v>7.2</v>
      </c>
      <c r="Z115" s="1">
        <v>4</v>
      </c>
      <c r="AA115" s="1">
        <v>11</v>
      </c>
      <c r="AB115" s="1">
        <v>14.6</v>
      </c>
      <c r="AC115" s="1">
        <v>14.6</v>
      </c>
      <c r="AD115" s="1">
        <v>14</v>
      </c>
      <c r="AE115" s="1">
        <v>9.1999999999999993</v>
      </c>
      <c r="AF115" s="1">
        <v>12.2</v>
      </c>
      <c r="AG115" s="1"/>
      <c r="AH115" s="1">
        <f t="shared" si="27"/>
        <v>0</v>
      </c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</row>
    <row r="116" spans="1:46" x14ac:dyDescent="0.25">
      <c r="A116" s="1" t="s">
        <v>159</v>
      </c>
      <c r="B116" s="1" t="s">
        <v>35</v>
      </c>
      <c r="C116" s="1">
        <v>56.688000000000002</v>
      </c>
      <c r="D116" s="1">
        <v>59.113</v>
      </c>
      <c r="E116" s="1">
        <v>64.638999999999996</v>
      </c>
      <c r="F116" s="1">
        <v>49.704999999999998</v>
      </c>
      <c r="G116" s="7">
        <v>1</v>
      </c>
      <c r="H116" s="1">
        <v>60</v>
      </c>
      <c r="I116" s="1" t="s">
        <v>36</v>
      </c>
      <c r="J116" s="1"/>
      <c r="K116" s="1">
        <v>59.2</v>
      </c>
      <c r="L116" s="1">
        <f t="shared" si="25"/>
        <v>5.438999999999993</v>
      </c>
      <c r="M116" s="1"/>
      <c r="N116" s="1"/>
      <c r="O116" s="1">
        <v>50.296173455809154</v>
      </c>
      <c r="P116" s="19"/>
      <c r="Q116" s="1">
        <v>50.464426544190857</v>
      </c>
      <c r="R116" s="19"/>
      <c r="S116" s="1">
        <f t="shared" si="26"/>
        <v>12.9278</v>
      </c>
      <c r="T116" s="5"/>
      <c r="U116" s="1">
        <f t="shared" si="20"/>
        <v>11.638917681276009</v>
      </c>
      <c r="V116" s="1">
        <f t="shared" si="21"/>
        <v>11.638917681276009</v>
      </c>
      <c r="W116" s="1">
        <v>12.5936</v>
      </c>
      <c r="X116" s="1">
        <v>15.5222</v>
      </c>
      <c r="Y116" s="1">
        <v>15.4832</v>
      </c>
      <c r="Z116" s="1">
        <v>12.798999999999999</v>
      </c>
      <c r="AA116" s="1">
        <v>18.248999999999999</v>
      </c>
      <c r="AB116" s="1">
        <v>21.303999999999998</v>
      </c>
      <c r="AC116" s="1">
        <v>16.989799999999999</v>
      </c>
      <c r="AD116" s="1">
        <v>15.9558</v>
      </c>
      <c r="AE116" s="1">
        <v>9.9768000000000008</v>
      </c>
      <c r="AF116" s="1">
        <v>13.449199999999999</v>
      </c>
      <c r="AG116" s="1"/>
      <c r="AH116" s="1">
        <f t="shared" si="27"/>
        <v>0</v>
      </c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</row>
    <row r="117" spans="1:46" x14ac:dyDescent="0.25">
      <c r="A117" s="1" t="s">
        <v>160</v>
      </c>
      <c r="B117" s="1" t="s">
        <v>35</v>
      </c>
      <c r="C117" s="1">
        <v>44.167000000000002</v>
      </c>
      <c r="D117" s="1">
        <v>453.15199999999999</v>
      </c>
      <c r="E117" s="1">
        <v>112.8</v>
      </c>
      <c r="F117" s="1">
        <v>213.15799999999999</v>
      </c>
      <c r="G117" s="7">
        <v>1</v>
      </c>
      <c r="H117" s="1">
        <v>60</v>
      </c>
      <c r="I117" s="1" t="s">
        <v>36</v>
      </c>
      <c r="J117" s="1"/>
      <c r="K117" s="1">
        <v>106.4</v>
      </c>
      <c r="L117" s="1">
        <f t="shared" si="25"/>
        <v>6.3999999999999915</v>
      </c>
      <c r="M117" s="1"/>
      <c r="N117" s="1"/>
      <c r="O117" s="1">
        <v>0</v>
      </c>
      <c r="P117" s="19"/>
      <c r="Q117" s="1">
        <v>0</v>
      </c>
      <c r="R117" s="19"/>
      <c r="S117" s="1">
        <f t="shared" si="26"/>
        <v>22.56</v>
      </c>
      <c r="T117" s="5">
        <f t="shared" si="28"/>
        <v>35.00200000000001</v>
      </c>
      <c r="U117" s="1">
        <f t="shared" si="20"/>
        <v>11</v>
      </c>
      <c r="V117" s="1">
        <f t="shared" si="21"/>
        <v>9.4484929078014179</v>
      </c>
      <c r="W117" s="1">
        <v>14.490399999999999</v>
      </c>
      <c r="X117" s="1">
        <v>17.466999999999999</v>
      </c>
      <c r="Y117" s="1">
        <v>27.170999999999999</v>
      </c>
      <c r="Z117" s="1">
        <v>43.596200000000003</v>
      </c>
      <c r="AA117" s="1">
        <v>48.666800000000002</v>
      </c>
      <c r="AB117" s="1">
        <v>30.369199999999999</v>
      </c>
      <c r="AC117" s="1">
        <v>23.996400000000001</v>
      </c>
      <c r="AD117" s="1">
        <v>29.323</v>
      </c>
      <c r="AE117" s="1">
        <v>27.450399999999998</v>
      </c>
      <c r="AF117" s="1">
        <v>22.645399999999999</v>
      </c>
      <c r="AG117" s="1"/>
      <c r="AH117" s="1">
        <f t="shared" si="27"/>
        <v>35.00200000000001</v>
      </c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</row>
    <row r="118" spans="1:46" x14ac:dyDescent="0.25">
      <c r="A118" s="1" t="s">
        <v>161</v>
      </c>
      <c r="B118" s="1" t="s">
        <v>35</v>
      </c>
      <c r="C118" s="1">
        <v>16.52</v>
      </c>
      <c r="D118" s="1">
        <v>109.107</v>
      </c>
      <c r="E118" s="1">
        <v>23.395</v>
      </c>
      <c r="F118" s="1">
        <v>69.727000000000004</v>
      </c>
      <c r="G118" s="7">
        <v>1</v>
      </c>
      <c r="H118" s="1">
        <v>60</v>
      </c>
      <c r="I118" s="1" t="s">
        <v>36</v>
      </c>
      <c r="J118" s="1"/>
      <c r="K118" s="1">
        <v>22.2</v>
      </c>
      <c r="L118" s="1">
        <f t="shared" si="25"/>
        <v>1.1950000000000003</v>
      </c>
      <c r="M118" s="1"/>
      <c r="N118" s="1"/>
      <c r="O118" s="1">
        <v>0</v>
      </c>
      <c r="P118" s="19"/>
      <c r="Q118" s="1">
        <v>0</v>
      </c>
      <c r="R118" s="19"/>
      <c r="S118" s="1">
        <f t="shared" si="26"/>
        <v>4.6790000000000003</v>
      </c>
      <c r="T118" s="5"/>
      <c r="U118" s="1">
        <f t="shared" si="20"/>
        <v>14.902115836717247</v>
      </c>
      <c r="V118" s="1">
        <f t="shared" si="21"/>
        <v>14.902115836717247</v>
      </c>
      <c r="W118" s="1">
        <v>3.8368000000000002</v>
      </c>
      <c r="X118" s="1">
        <v>2.1898</v>
      </c>
      <c r="Y118" s="1">
        <v>5.8907999999999996</v>
      </c>
      <c r="Z118" s="1">
        <v>10.9154</v>
      </c>
      <c r="AA118" s="1">
        <v>11.5212</v>
      </c>
      <c r="AB118" s="1">
        <v>7.3034000000000008</v>
      </c>
      <c r="AC118" s="1">
        <v>5.2080000000000002</v>
      </c>
      <c r="AD118" s="1">
        <v>6.9459999999999997</v>
      </c>
      <c r="AE118" s="1">
        <v>7.2998000000000003</v>
      </c>
      <c r="AF118" s="1">
        <v>8.6598000000000006</v>
      </c>
      <c r="AG118" s="1"/>
      <c r="AH118" s="1">
        <f t="shared" si="27"/>
        <v>0</v>
      </c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</row>
    <row r="119" spans="1:46" x14ac:dyDescent="0.25">
      <c r="A119" s="1" t="s">
        <v>162</v>
      </c>
      <c r="B119" s="1" t="s">
        <v>35</v>
      </c>
      <c r="C119" s="1">
        <v>1591.829</v>
      </c>
      <c r="D119" s="1">
        <v>514.22900000000004</v>
      </c>
      <c r="E119" s="1">
        <v>675.20899999999995</v>
      </c>
      <c r="F119" s="1">
        <v>202.53800000000001</v>
      </c>
      <c r="G119" s="7">
        <v>1</v>
      </c>
      <c r="H119" s="1">
        <v>60</v>
      </c>
      <c r="I119" s="1" t="s">
        <v>36</v>
      </c>
      <c r="J119" s="1"/>
      <c r="K119" s="1">
        <v>665</v>
      </c>
      <c r="L119" s="1">
        <f t="shared" si="25"/>
        <v>10.208999999999946</v>
      </c>
      <c r="M119" s="1"/>
      <c r="N119" s="1"/>
      <c r="O119" s="1">
        <v>0</v>
      </c>
      <c r="P119" s="19">
        <v>150</v>
      </c>
      <c r="Q119" s="1">
        <v>1658.8091999999999</v>
      </c>
      <c r="R119" s="19"/>
      <c r="S119" s="1">
        <f t="shared" si="26"/>
        <v>135.04179999999999</v>
      </c>
      <c r="T119" s="5"/>
      <c r="U119" s="1">
        <f t="shared" si="20"/>
        <v>14.894256445041462</v>
      </c>
      <c r="V119" s="1">
        <f t="shared" si="21"/>
        <v>14.894256445041462</v>
      </c>
      <c r="W119" s="1">
        <v>171.96340000000001</v>
      </c>
      <c r="X119" s="1">
        <v>121.3768</v>
      </c>
      <c r="Y119" s="1">
        <v>-0.12620000000000001</v>
      </c>
      <c r="Z119" s="1">
        <v>16.735600000000002</v>
      </c>
      <c r="AA119" s="1">
        <v>189.98179999999999</v>
      </c>
      <c r="AB119" s="1">
        <v>232.40639999999999</v>
      </c>
      <c r="AC119" s="1">
        <v>104.16679999999999</v>
      </c>
      <c r="AD119" s="1">
        <v>38.833199999999998</v>
      </c>
      <c r="AE119" s="1">
        <v>101.4106</v>
      </c>
      <c r="AF119" s="1">
        <v>172.1686</v>
      </c>
      <c r="AG119" s="1" t="s">
        <v>163</v>
      </c>
      <c r="AH119" s="1">
        <f t="shared" si="27"/>
        <v>0</v>
      </c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</row>
    <row r="120" spans="1:46" x14ac:dyDescent="0.25">
      <c r="A120" s="1" t="s">
        <v>164</v>
      </c>
      <c r="B120" s="1" t="s">
        <v>40</v>
      </c>
      <c r="C120" s="1">
        <v>210</v>
      </c>
      <c r="D120" s="1">
        <v>468</v>
      </c>
      <c r="E120" s="1">
        <v>73</v>
      </c>
      <c r="F120" s="1">
        <v>391</v>
      </c>
      <c r="G120" s="7">
        <v>0.25</v>
      </c>
      <c r="H120" s="1">
        <v>1096</v>
      </c>
      <c r="I120" s="1" t="s">
        <v>36</v>
      </c>
      <c r="J120" s="1"/>
      <c r="K120" s="1">
        <v>58</v>
      </c>
      <c r="L120" s="1">
        <f t="shared" si="25"/>
        <v>15</v>
      </c>
      <c r="M120" s="1"/>
      <c r="N120" s="1"/>
      <c r="O120" s="1">
        <v>0</v>
      </c>
      <c r="P120" s="19"/>
      <c r="Q120" s="1">
        <v>0</v>
      </c>
      <c r="R120" s="19"/>
      <c r="S120" s="1">
        <f t="shared" si="26"/>
        <v>14.6</v>
      </c>
      <c r="T120" s="5"/>
      <c r="U120" s="1">
        <f t="shared" si="20"/>
        <v>26.780821917808218</v>
      </c>
      <c r="V120" s="1">
        <f t="shared" si="21"/>
        <v>26.780821917808218</v>
      </c>
      <c r="W120" s="1">
        <v>13</v>
      </c>
      <c r="X120" s="1">
        <v>12</v>
      </c>
      <c r="Y120" s="1">
        <v>8.1999999999999993</v>
      </c>
      <c r="Z120" s="1">
        <v>28.6</v>
      </c>
      <c r="AA120" s="1">
        <v>57.6</v>
      </c>
      <c r="AB120" s="1">
        <v>38</v>
      </c>
      <c r="AC120" s="1">
        <v>10.4</v>
      </c>
      <c r="AD120" s="1">
        <v>4.8</v>
      </c>
      <c r="AE120" s="1">
        <v>28.2</v>
      </c>
      <c r="AF120" s="1">
        <v>28.8</v>
      </c>
      <c r="AG120" s="14" t="s">
        <v>166</v>
      </c>
      <c r="AH120" s="1">
        <f t="shared" si="27"/>
        <v>0</v>
      </c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</row>
    <row r="121" spans="1:46" x14ac:dyDescent="0.25">
      <c r="A121" s="1" t="s">
        <v>165</v>
      </c>
      <c r="B121" s="1" t="s">
        <v>40</v>
      </c>
      <c r="C121" s="1">
        <v>120</v>
      </c>
      <c r="D121" s="1">
        <v>108</v>
      </c>
      <c r="E121" s="1">
        <v>7</v>
      </c>
      <c r="F121" s="1">
        <v>223</v>
      </c>
      <c r="G121" s="7">
        <v>0.32500000000000001</v>
      </c>
      <c r="H121" s="1">
        <v>1096</v>
      </c>
      <c r="I121" s="1" t="s">
        <v>36</v>
      </c>
      <c r="J121" s="1"/>
      <c r="K121" s="1">
        <v>8</v>
      </c>
      <c r="L121" s="1">
        <f t="shared" si="25"/>
        <v>-1</v>
      </c>
      <c r="M121" s="1"/>
      <c r="N121" s="1"/>
      <c r="O121" s="1">
        <v>0</v>
      </c>
      <c r="P121" s="19"/>
      <c r="Q121" s="1">
        <v>0</v>
      </c>
      <c r="R121" s="19"/>
      <c r="S121" s="1">
        <f t="shared" si="26"/>
        <v>1.4</v>
      </c>
      <c r="T121" s="5"/>
      <c r="U121" s="1">
        <f t="shared" si="20"/>
        <v>159.28571428571431</v>
      </c>
      <c r="V121" s="1">
        <f t="shared" si="21"/>
        <v>159.28571428571431</v>
      </c>
      <c r="W121" s="1">
        <v>3.4</v>
      </c>
      <c r="X121" s="1">
        <v>10.199999999999999</v>
      </c>
      <c r="Y121" s="1">
        <v>14.2</v>
      </c>
      <c r="Z121" s="1">
        <v>26.4</v>
      </c>
      <c r="AA121" s="1">
        <v>35</v>
      </c>
      <c r="AB121" s="1">
        <v>17</v>
      </c>
      <c r="AC121" s="1">
        <v>11.2</v>
      </c>
      <c r="AD121" s="1">
        <v>18</v>
      </c>
      <c r="AE121" s="1">
        <v>20</v>
      </c>
      <c r="AF121" s="1">
        <v>16.399999999999999</v>
      </c>
      <c r="AG121" s="15" t="s">
        <v>177</v>
      </c>
      <c r="AH121" s="1">
        <f t="shared" si="27"/>
        <v>0</v>
      </c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</row>
    <row r="122" spans="1:46" x14ac:dyDescent="0.25">
      <c r="A122" s="1" t="s">
        <v>167</v>
      </c>
      <c r="B122" s="1" t="s">
        <v>40</v>
      </c>
      <c r="C122" s="1">
        <v>144</v>
      </c>
      <c r="D122" s="1">
        <v>708</v>
      </c>
      <c r="E122" s="1">
        <v>66</v>
      </c>
      <c r="F122" s="1">
        <v>680</v>
      </c>
      <c r="G122" s="7">
        <v>0.25</v>
      </c>
      <c r="H122" s="1">
        <v>1096</v>
      </c>
      <c r="I122" s="1" t="s">
        <v>36</v>
      </c>
      <c r="J122" s="1"/>
      <c r="K122" s="1">
        <v>62</v>
      </c>
      <c r="L122" s="1">
        <f t="shared" si="25"/>
        <v>4</v>
      </c>
      <c r="M122" s="1"/>
      <c r="N122" s="1"/>
      <c r="O122" s="1">
        <v>0</v>
      </c>
      <c r="P122" s="19"/>
      <c r="Q122" s="1">
        <v>0</v>
      </c>
      <c r="R122" s="19"/>
      <c r="S122" s="1">
        <f t="shared" si="26"/>
        <v>13.2</v>
      </c>
      <c r="T122" s="5"/>
      <c r="U122" s="1">
        <f t="shared" si="20"/>
        <v>51.515151515151516</v>
      </c>
      <c r="V122" s="1">
        <f t="shared" si="21"/>
        <v>51.515151515151516</v>
      </c>
      <c r="W122" s="1">
        <v>8</v>
      </c>
      <c r="X122" s="1">
        <v>17.600000000000001</v>
      </c>
      <c r="Y122" s="1">
        <v>27.4</v>
      </c>
      <c r="Z122" s="1">
        <v>50.6</v>
      </c>
      <c r="AA122" s="1">
        <v>68.599999999999994</v>
      </c>
      <c r="AB122" s="1">
        <v>45</v>
      </c>
      <c r="AC122" s="1">
        <v>43.2</v>
      </c>
      <c r="AD122" s="1">
        <v>44</v>
      </c>
      <c r="AE122" s="1">
        <v>62.8</v>
      </c>
      <c r="AF122" s="1">
        <v>77.599999999999994</v>
      </c>
      <c r="AG122" s="15" t="s">
        <v>177</v>
      </c>
      <c r="AH122" s="1">
        <f t="shared" si="27"/>
        <v>0</v>
      </c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</row>
    <row r="123" spans="1:46" x14ac:dyDescent="0.25">
      <c r="A123" s="10" t="s">
        <v>168</v>
      </c>
      <c r="B123" s="10" t="s">
        <v>35</v>
      </c>
      <c r="C123" s="10"/>
      <c r="D123" s="10">
        <v>11.885</v>
      </c>
      <c r="E123" s="10"/>
      <c r="F123" s="13">
        <v>11.885</v>
      </c>
      <c r="G123" s="11">
        <v>0</v>
      </c>
      <c r="H123" s="10"/>
      <c r="I123" s="10" t="s">
        <v>169</v>
      </c>
      <c r="J123" s="10" t="s">
        <v>137</v>
      </c>
      <c r="K123" s="10"/>
      <c r="L123" s="10">
        <f t="shared" si="25"/>
        <v>0</v>
      </c>
      <c r="M123" s="10"/>
      <c r="N123" s="10"/>
      <c r="O123" s="10"/>
      <c r="P123" s="22"/>
      <c r="Q123" s="10"/>
      <c r="R123" s="22"/>
      <c r="S123" s="10">
        <f t="shared" si="26"/>
        <v>0</v>
      </c>
      <c r="T123" s="12"/>
      <c r="U123" s="10" t="e">
        <f t="shared" si="20"/>
        <v>#DIV/0!</v>
      </c>
      <c r="V123" s="10" t="e">
        <f t="shared" si="21"/>
        <v>#DIV/0!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>
        <v>0</v>
      </c>
      <c r="AG123" s="10"/>
      <c r="AH123" s="10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</row>
    <row r="124" spans="1:46" x14ac:dyDescent="0.25">
      <c r="A124" s="16" t="s">
        <v>170</v>
      </c>
      <c r="B124" s="1" t="s">
        <v>40</v>
      </c>
      <c r="C124" s="1"/>
      <c r="D124" s="1"/>
      <c r="E124" s="1">
        <v>-1</v>
      </c>
      <c r="F124" s="1"/>
      <c r="G124" s="7">
        <v>0.3</v>
      </c>
      <c r="H124" s="1">
        <v>40</v>
      </c>
      <c r="I124" s="9" t="s">
        <v>46</v>
      </c>
      <c r="J124" s="1"/>
      <c r="K124" s="1">
        <v>3</v>
      </c>
      <c r="L124" s="1">
        <f t="shared" si="25"/>
        <v>-4</v>
      </c>
      <c r="M124" s="1"/>
      <c r="N124" s="1"/>
      <c r="O124" s="1">
        <v>81.667774086378742</v>
      </c>
      <c r="P124" s="19"/>
      <c r="Q124" s="1">
        <v>26</v>
      </c>
      <c r="R124" s="19"/>
      <c r="S124" s="1">
        <f t="shared" si="26"/>
        <v>-0.2</v>
      </c>
      <c r="T124" s="5"/>
      <c r="U124" s="1">
        <f t="shared" si="20"/>
        <v>-538.33887043189372</v>
      </c>
      <c r="V124" s="1">
        <f t="shared" si="21"/>
        <v>-538.33887043189372</v>
      </c>
      <c r="W124" s="1">
        <v>-0.6</v>
      </c>
      <c r="X124" s="1">
        <v>-0.6</v>
      </c>
      <c r="Y124" s="1">
        <v>-0.8</v>
      </c>
      <c r="Z124" s="1">
        <v>-1</v>
      </c>
      <c r="AA124" s="1">
        <v>-0.4</v>
      </c>
      <c r="AB124" s="1">
        <v>-0.2</v>
      </c>
      <c r="AC124" s="1">
        <v>-0.2</v>
      </c>
      <c r="AD124" s="1">
        <v>0</v>
      </c>
      <c r="AE124" s="1">
        <v>21.8</v>
      </c>
      <c r="AF124" s="1">
        <v>46.2</v>
      </c>
      <c r="AG124" s="1"/>
      <c r="AH124" s="1">
        <f>G124*T124</f>
        <v>0</v>
      </c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</row>
    <row r="125" spans="1:46" x14ac:dyDescent="0.25">
      <c r="A125" s="16" t="s">
        <v>171</v>
      </c>
      <c r="B125" s="1" t="s">
        <v>40</v>
      </c>
      <c r="C125" s="1"/>
      <c r="D125" s="1"/>
      <c r="E125" s="1"/>
      <c r="F125" s="1"/>
      <c r="G125" s="7">
        <v>0.3</v>
      </c>
      <c r="H125" s="1">
        <v>40</v>
      </c>
      <c r="I125" s="9" t="s">
        <v>46</v>
      </c>
      <c r="J125" s="1"/>
      <c r="K125" s="1">
        <v>3</v>
      </c>
      <c r="L125" s="1">
        <f t="shared" si="25"/>
        <v>-3</v>
      </c>
      <c r="M125" s="1"/>
      <c r="N125" s="1"/>
      <c r="O125" s="1">
        <v>66.827586206896541</v>
      </c>
      <c r="P125" s="19"/>
      <c r="Q125" s="1">
        <v>26</v>
      </c>
      <c r="R125" s="19"/>
      <c r="S125" s="1">
        <f t="shared" si="26"/>
        <v>0</v>
      </c>
      <c r="T125" s="5"/>
      <c r="U125" s="1" t="e">
        <f t="shared" si="20"/>
        <v>#DIV/0!</v>
      </c>
      <c r="V125" s="1" t="e">
        <f t="shared" si="21"/>
        <v>#DIV/0!</v>
      </c>
      <c r="W125" s="1">
        <v>0</v>
      </c>
      <c r="X125" s="1">
        <v>0</v>
      </c>
      <c r="Y125" s="1">
        <v>-0.6</v>
      </c>
      <c r="Z125" s="1">
        <v>-0.8</v>
      </c>
      <c r="AA125" s="1">
        <v>-1</v>
      </c>
      <c r="AB125" s="1">
        <v>-1.8</v>
      </c>
      <c r="AC125" s="1">
        <v>-2</v>
      </c>
      <c r="AD125" s="1">
        <v>-1.8</v>
      </c>
      <c r="AE125" s="1">
        <v>-2</v>
      </c>
      <c r="AF125" s="1">
        <v>-1.6</v>
      </c>
      <c r="AG125" s="1"/>
      <c r="AH125" s="1">
        <f>G125*T125</f>
        <v>0</v>
      </c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</row>
    <row r="126" spans="1:46" x14ac:dyDescent="0.25">
      <c r="A126" s="1" t="s">
        <v>172</v>
      </c>
      <c r="B126" s="1" t="s">
        <v>35</v>
      </c>
      <c r="C126" s="1">
        <v>5.15</v>
      </c>
      <c r="D126" s="1">
        <v>43.546999999999997</v>
      </c>
      <c r="E126" s="1">
        <v>7.0869999999999997</v>
      </c>
      <c r="F126" s="1">
        <v>39.341999999999999</v>
      </c>
      <c r="G126" s="7">
        <v>1</v>
      </c>
      <c r="H126" s="1">
        <v>50</v>
      </c>
      <c r="I126" s="1" t="s">
        <v>36</v>
      </c>
      <c r="J126" s="1"/>
      <c r="K126" s="1">
        <v>9.1999999999999993</v>
      </c>
      <c r="L126" s="1">
        <f t="shared" si="25"/>
        <v>-2.1129999999999995</v>
      </c>
      <c r="M126" s="1"/>
      <c r="N126" s="1"/>
      <c r="O126" s="1">
        <v>0</v>
      </c>
      <c r="P126" s="19"/>
      <c r="Q126" s="1">
        <v>0</v>
      </c>
      <c r="R126" s="19"/>
      <c r="S126" s="1">
        <f t="shared" si="26"/>
        <v>1.4174</v>
      </c>
      <c r="T126" s="5"/>
      <c r="U126" s="1">
        <f t="shared" si="20"/>
        <v>27.756455481868208</v>
      </c>
      <c r="V126" s="1">
        <f t="shared" si="21"/>
        <v>27.756455481868208</v>
      </c>
      <c r="W126" s="1">
        <v>0.68240000000000001</v>
      </c>
      <c r="X126" s="1">
        <v>2.1141999999999999</v>
      </c>
      <c r="Y126" s="1">
        <v>3.4316</v>
      </c>
      <c r="Z126" s="1">
        <v>3.7071999999999998</v>
      </c>
      <c r="AA126" s="1">
        <v>4.2619999999999996</v>
      </c>
      <c r="AB126" s="1">
        <v>3.2035999999999998</v>
      </c>
      <c r="AC126" s="1">
        <v>1.8520000000000001</v>
      </c>
      <c r="AD126" s="1">
        <v>0.26700000000000002</v>
      </c>
      <c r="AE126" s="1">
        <v>1.8872</v>
      </c>
      <c r="AF126" s="1">
        <v>2.9937999999999998</v>
      </c>
      <c r="AG126" s="1"/>
      <c r="AH126" s="1">
        <f>G126*T126</f>
        <v>0</v>
      </c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</row>
    <row r="127" spans="1:46" x14ac:dyDescent="0.25">
      <c r="A127" s="16" t="s">
        <v>173</v>
      </c>
      <c r="B127" s="1" t="s">
        <v>40</v>
      </c>
      <c r="C127" s="1"/>
      <c r="D127" s="1"/>
      <c r="E127" s="1"/>
      <c r="F127" s="1"/>
      <c r="G127" s="7">
        <v>0.3</v>
      </c>
      <c r="H127" s="1">
        <v>40</v>
      </c>
      <c r="I127" s="9" t="s">
        <v>46</v>
      </c>
      <c r="J127" s="1"/>
      <c r="K127" s="1">
        <v>3</v>
      </c>
      <c r="L127" s="1">
        <f t="shared" si="25"/>
        <v>-3</v>
      </c>
      <c r="M127" s="1"/>
      <c r="N127" s="1"/>
      <c r="O127" s="1">
        <v>43</v>
      </c>
      <c r="P127" s="19"/>
      <c r="Q127" s="1">
        <v>13</v>
      </c>
      <c r="R127" s="19"/>
      <c r="S127" s="1">
        <f t="shared" si="26"/>
        <v>0</v>
      </c>
      <c r="T127" s="5"/>
      <c r="U127" s="1" t="e">
        <f t="shared" si="20"/>
        <v>#DIV/0!</v>
      </c>
      <c r="V127" s="1" t="e">
        <f t="shared" si="21"/>
        <v>#DIV/0!</v>
      </c>
      <c r="W127" s="1">
        <v>0</v>
      </c>
      <c r="X127" s="1">
        <v>0</v>
      </c>
      <c r="Y127" s="1">
        <v>0</v>
      </c>
      <c r="Z127" s="1">
        <v>0</v>
      </c>
      <c r="AA127" s="1">
        <v>-0.2</v>
      </c>
      <c r="AB127" s="1">
        <v>-0.2</v>
      </c>
      <c r="AC127" s="1">
        <v>-0.4</v>
      </c>
      <c r="AD127" s="1">
        <v>0.4</v>
      </c>
      <c r="AE127" s="1">
        <v>17.8</v>
      </c>
      <c r="AF127" s="1">
        <v>33.4</v>
      </c>
      <c r="AG127" s="1"/>
      <c r="AH127" s="1">
        <f>G127*T127</f>
        <v>0</v>
      </c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</row>
    <row r="128" spans="1:46" x14ac:dyDescent="0.25">
      <c r="A128" s="16" t="s">
        <v>174</v>
      </c>
      <c r="B128" s="1" t="s">
        <v>40</v>
      </c>
      <c r="C128" s="1">
        <v>18</v>
      </c>
      <c r="D128" s="1">
        <v>76</v>
      </c>
      <c r="E128" s="1">
        <v>50</v>
      </c>
      <c r="F128" s="1">
        <v>12</v>
      </c>
      <c r="G128" s="7">
        <v>0.12</v>
      </c>
      <c r="H128" s="1">
        <v>45</v>
      </c>
      <c r="I128" s="9" t="s">
        <v>46</v>
      </c>
      <c r="J128" s="1"/>
      <c r="K128" s="1">
        <v>44</v>
      </c>
      <c r="L128" s="1">
        <f t="shared" si="25"/>
        <v>6</v>
      </c>
      <c r="M128" s="1"/>
      <c r="N128" s="1"/>
      <c r="O128" s="1">
        <v>38.333333333333343</v>
      </c>
      <c r="P128" s="19"/>
      <c r="Q128" s="1">
        <v>57.286666666666648</v>
      </c>
      <c r="R128" s="19"/>
      <c r="S128" s="1">
        <f t="shared" si="26"/>
        <v>10</v>
      </c>
      <c r="T128" s="5">
        <v>10</v>
      </c>
      <c r="U128" s="1">
        <f t="shared" si="20"/>
        <v>11.761999999999999</v>
      </c>
      <c r="V128" s="1">
        <f t="shared" si="21"/>
        <v>10.761999999999999</v>
      </c>
      <c r="W128" s="1">
        <v>9.1999999999999993</v>
      </c>
      <c r="X128" s="1">
        <v>3.6</v>
      </c>
      <c r="Y128" s="1">
        <v>-0.2</v>
      </c>
      <c r="Z128" s="1">
        <v>2.6</v>
      </c>
      <c r="AA128" s="1">
        <v>8</v>
      </c>
      <c r="AB128" s="1">
        <v>6.2</v>
      </c>
      <c r="AC128" s="1">
        <v>7.8</v>
      </c>
      <c r="AD128" s="1">
        <v>11.4</v>
      </c>
      <c r="AE128" s="1">
        <v>9.4</v>
      </c>
      <c r="AF128" s="1">
        <v>6.8</v>
      </c>
      <c r="AG128" s="1"/>
      <c r="AH128" s="1">
        <f>G128*T128</f>
        <v>1.2</v>
      </c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</row>
    <row r="129" spans="1:46" x14ac:dyDescent="0.25">
      <c r="A129" s="10" t="s">
        <v>175</v>
      </c>
      <c r="B129" s="10" t="s">
        <v>40</v>
      </c>
      <c r="C129" s="10">
        <v>-16</v>
      </c>
      <c r="D129" s="10">
        <v>70</v>
      </c>
      <c r="E129" s="13">
        <v>37</v>
      </c>
      <c r="F129" s="13">
        <v>12</v>
      </c>
      <c r="G129" s="11">
        <v>0</v>
      </c>
      <c r="H129" s="10"/>
      <c r="I129" s="10" t="s">
        <v>176</v>
      </c>
      <c r="J129" s="10" t="s">
        <v>92</v>
      </c>
      <c r="K129" s="10">
        <v>37</v>
      </c>
      <c r="L129" s="10">
        <f t="shared" si="25"/>
        <v>0</v>
      </c>
      <c r="M129" s="10"/>
      <c r="N129" s="10"/>
      <c r="O129" s="10"/>
      <c r="P129" s="22"/>
      <c r="Q129" s="10">
        <v>0</v>
      </c>
      <c r="R129" s="22"/>
      <c r="S129" s="10">
        <f t="shared" si="26"/>
        <v>7.4</v>
      </c>
      <c r="T129" s="12"/>
      <c r="U129" s="10">
        <f t="shared" si="20"/>
        <v>1.6216216216216215</v>
      </c>
      <c r="V129" s="10">
        <f t="shared" si="21"/>
        <v>1.6216216216216215</v>
      </c>
      <c r="W129" s="10">
        <v>6.2</v>
      </c>
      <c r="X129" s="10">
        <v>15.4</v>
      </c>
      <c r="Y129" s="10">
        <v>18.399999999999999</v>
      </c>
      <c r="Z129" s="10">
        <v>15.4</v>
      </c>
      <c r="AA129" s="10">
        <v>18</v>
      </c>
      <c r="AB129" s="10">
        <v>14.4</v>
      </c>
      <c r="AC129" s="10">
        <v>2.8</v>
      </c>
      <c r="AD129" s="10">
        <v>0</v>
      </c>
      <c r="AE129" s="10">
        <v>0</v>
      </c>
      <c r="AF129" s="10">
        <v>0</v>
      </c>
      <c r="AG129" s="10"/>
      <c r="AH129" s="10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</row>
    <row r="130" spans="1:46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9"/>
      <c r="Q130" s="1"/>
      <c r="R130" s="19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</row>
    <row r="131" spans="1:46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9"/>
      <c r="Q131" s="1"/>
      <c r="R131" s="19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</row>
    <row r="132" spans="1:46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9"/>
      <c r="Q132" s="1"/>
      <c r="R132" s="19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</row>
    <row r="133" spans="1:46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9"/>
      <c r="Q133" s="1"/>
      <c r="R133" s="19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</row>
    <row r="134" spans="1:46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9"/>
      <c r="Q134" s="1"/>
      <c r="R134" s="19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</row>
    <row r="135" spans="1:46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9"/>
      <c r="Q135" s="1"/>
      <c r="R135" s="19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</row>
    <row r="136" spans="1:46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9"/>
      <c r="Q136" s="1"/>
      <c r="R136" s="19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</row>
    <row r="137" spans="1:46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9"/>
      <c r="Q137" s="1"/>
      <c r="R137" s="19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</row>
    <row r="138" spans="1:46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9"/>
      <c r="Q138" s="1"/>
      <c r="R138" s="19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</row>
    <row r="139" spans="1:46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9"/>
      <c r="Q139" s="1"/>
      <c r="R139" s="19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</row>
    <row r="140" spans="1:46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9"/>
      <c r="Q140" s="1"/>
      <c r="R140" s="19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</row>
    <row r="141" spans="1:46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9"/>
      <c r="Q141" s="1"/>
      <c r="R141" s="19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</row>
    <row r="142" spans="1:46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9"/>
      <c r="Q142" s="1"/>
      <c r="R142" s="19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</row>
    <row r="143" spans="1:46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9"/>
      <c r="Q143" s="1"/>
      <c r="R143" s="19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</row>
    <row r="144" spans="1:46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9"/>
      <c r="Q144" s="1"/>
      <c r="R144" s="19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</row>
    <row r="145" spans="1:46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9"/>
      <c r="Q145" s="1"/>
      <c r="R145" s="19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</row>
    <row r="146" spans="1:46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9"/>
      <c r="Q146" s="1"/>
      <c r="R146" s="19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</row>
    <row r="147" spans="1:46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9"/>
      <c r="Q147" s="1"/>
      <c r="R147" s="19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</row>
    <row r="148" spans="1:46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9"/>
      <c r="Q148" s="1"/>
      <c r="R148" s="19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</row>
    <row r="149" spans="1:46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9"/>
      <c r="Q149" s="1"/>
      <c r="R149" s="19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</row>
    <row r="150" spans="1:46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9"/>
      <c r="Q150" s="1"/>
      <c r="R150" s="19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</row>
    <row r="151" spans="1:46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9"/>
      <c r="Q151" s="1"/>
      <c r="R151" s="19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</row>
    <row r="152" spans="1:46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9"/>
      <c r="Q152" s="1"/>
      <c r="R152" s="19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</row>
    <row r="153" spans="1:46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9"/>
      <c r="Q153" s="1"/>
      <c r="R153" s="19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r="154" spans="1:46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9"/>
      <c r="Q154" s="1"/>
      <c r="R154" s="19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</row>
    <row r="155" spans="1:46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9"/>
      <c r="Q155" s="1"/>
      <c r="R155" s="19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</row>
    <row r="156" spans="1:46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9"/>
      <c r="Q156" s="1"/>
      <c r="R156" s="19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</row>
    <row r="157" spans="1:46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9"/>
      <c r="Q157" s="1"/>
      <c r="R157" s="19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</row>
    <row r="158" spans="1:46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9"/>
      <c r="Q158" s="1"/>
      <c r="R158" s="19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</row>
    <row r="159" spans="1:46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9"/>
      <c r="Q159" s="1"/>
      <c r="R159" s="19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</row>
    <row r="160" spans="1:46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9"/>
      <c r="Q160" s="1"/>
      <c r="R160" s="19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</row>
    <row r="161" spans="1:46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9"/>
      <c r="Q161" s="1"/>
      <c r="R161" s="19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</row>
    <row r="162" spans="1:46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9"/>
      <c r="Q162" s="1"/>
      <c r="R162" s="19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</row>
    <row r="163" spans="1:46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9"/>
      <c r="Q163" s="1"/>
      <c r="R163" s="19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</row>
    <row r="164" spans="1:46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9"/>
      <c r="Q164" s="1"/>
      <c r="R164" s="19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</row>
    <row r="165" spans="1:46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9"/>
      <c r="Q165" s="1"/>
      <c r="R165" s="19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</row>
    <row r="166" spans="1:46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9"/>
      <c r="Q166" s="1"/>
      <c r="R166" s="19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</row>
    <row r="167" spans="1:46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9"/>
      <c r="Q167" s="1"/>
      <c r="R167" s="19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</row>
    <row r="168" spans="1:46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9"/>
      <c r="Q168" s="1"/>
      <c r="R168" s="19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</row>
    <row r="169" spans="1:46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9"/>
      <c r="Q169" s="1"/>
      <c r="R169" s="19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</row>
    <row r="170" spans="1:46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9"/>
      <c r="Q170" s="1"/>
      <c r="R170" s="19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</row>
    <row r="171" spans="1:46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9"/>
      <c r="Q171" s="1"/>
      <c r="R171" s="19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</row>
    <row r="172" spans="1:46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9"/>
      <c r="Q172" s="1"/>
      <c r="R172" s="19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r="173" spans="1:46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9"/>
      <c r="Q173" s="1"/>
      <c r="R173" s="19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</row>
    <row r="174" spans="1:46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9"/>
      <c r="Q174" s="1"/>
      <c r="R174" s="19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</row>
    <row r="175" spans="1:46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9"/>
      <c r="Q175" s="1"/>
      <c r="R175" s="19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</row>
    <row r="176" spans="1:46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9"/>
      <c r="Q176" s="1"/>
      <c r="R176" s="19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</row>
    <row r="177" spans="1:46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9"/>
      <c r="Q177" s="1"/>
      <c r="R177" s="19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</row>
    <row r="178" spans="1:46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9"/>
      <c r="Q178" s="1"/>
      <c r="R178" s="19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</row>
    <row r="179" spans="1:46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9"/>
      <c r="Q179" s="1"/>
      <c r="R179" s="19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</row>
    <row r="180" spans="1:46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9"/>
      <c r="Q180" s="1"/>
      <c r="R180" s="19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</row>
    <row r="181" spans="1:46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9"/>
      <c r="Q181" s="1"/>
      <c r="R181" s="19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</row>
    <row r="182" spans="1:46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9"/>
      <c r="Q182" s="1"/>
      <c r="R182" s="19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</row>
    <row r="183" spans="1:46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9"/>
      <c r="Q183" s="1"/>
      <c r="R183" s="19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</row>
    <row r="184" spans="1:46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9"/>
      <c r="Q184" s="1"/>
      <c r="R184" s="19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</row>
    <row r="185" spans="1:46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9"/>
      <c r="Q185" s="1"/>
      <c r="R185" s="19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</row>
    <row r="186" spans="1:46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9"/>
      <c r="Q186" s="1"/>
      <c r="R186" s="19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</row>
    <row r="187" spans="1:46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9"/>
      <c r="Q187" s="1"/>
      <c r="R187" s="19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</row>
    <row r="188" spans="1:46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9"/>
      <c r="Q188" s="1"/>
      <c r="R188" s="19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</row>
    <row r="189" spans="1:46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9"/>
      <c r="Q189" s="1"/>
      <c r="R189" s="19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</row>
    <row r="190" spans="1:46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9"/>
      <c r="Q190" s="1"/>
      <c r="R190" s="19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</row>
    <row r="191" spans="1:46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9"/>
      <c r="Q191" s="1"/>
      <c r="R191" s="19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</row>
    <row r="192" spans="1:46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9"/>
      <c r="Q192" s="1"/>
      <c r="R192" s="19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</row>
    <row r="193" spans="1:46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9"/>
      <c r="Q193" s="1"/>
      <c r="R193" s="19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</row>
    <row r="194" spans="1:46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9"/>
      <c r="Q194" s="1"/>
      <c r="R194" s="19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</row>
    <row r="195" spans="1:46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9"/>
      <c r="Q195" s="1"/>
      <c r="R195" s="19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</row>
    <row r="196" spans="1:46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9"/>
      <c r="Q196" s="1"/>
      <c r="R196" s="19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</row>
    <row r="197" spans="1:46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9"/>
      <c r="Q197" s="1"/>
      <c r="R197" s="19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</row>
    <row r="198" spans="1:46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9"/>
      <c r="Q198" s="1"/>
      <c r="R198" s="19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</row>
    <row r="199" spans="1:46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9"/>
      <c r="Q199" s="1"/>
      <c r="R199" s="19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</row>
    <row r="200" spans="1:46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9"/>
      <c r="Q200" s="1"/>
      <c r="R200" s="19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</row>
    <row r="201" spans="1:46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9"/>
      <c r="Q201" s="1"/>
      <c r="R201" s="19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</row>
    <row r="202" spans="1:46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9"/>
      <c r="Q202" s="1"/>
      <c r="R202" s="19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</row>
    <row r="203" spans="1:46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9"/>
      <c r="Q203" s="1"/>
      <c r="R203" s="19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</row>
    <row r="204" spans="1:46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9"/>
      <c r="Q204" s="1"/>
      <c r="R204" s="19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</row>
    <row r="205" spans="1:46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9"/>
      <c r="Q205" s="1"/>
      <c r="R205" s="19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</row>
    <row r="206" spans="1:46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9"/>
      <c r="Q206" s="1"/>
      <c r="R206" s="19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</row>
    <row r="207" spans="1:46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9"/>
      <c r="Q207" s="1"/>
      <c r="R207" s="19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</row>
    <row r="208" spans="1:46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9"/>
      <c r="Q208" s="1"/>
      <c r="R208" s="19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</row>
    <row r="209" spans="1:46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9"/>
      <c r="Q209" s="1"/>
      <c r="R209" s="19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</row>
    <row r="210" spans="1:46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9"/>
      <c r="Q210" s="1"/>
      <c r="R210" s="19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</row>
    <row r="211" spans="1:46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9"/>
      <c r="Q211" s="1"/>
      <c r="R211" s="19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</row>
    <row r="212" spans="1:46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9"/>
      <c r="Q212" s="1"/>
      <c r="R212" s="19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</row>
    <row r="213" spans="1:46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9"/>
      <c r="Q213" s="1"/>
      <c r="R213" s="19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</row>
    <row r="214" spans="1:46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9"/>
      <c r="Q214" s="1"/>
      <c r="R214" s="19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</row>
    <row r="215" spans="1:46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9"/>
      <c r="Q215" s="1"/>
      <c r="R215" s="19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</row>
    <row r="216" spans="1:46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9"/>
      <c r="Q216" s="1"/>
      <c r="R216" s="19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</row>
    <row r="217" spans="1:46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9"/>
      <c r="Q217" s="1"/>
      <c r="R217" s="19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</row>
    <row r="218" spans="1:46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9"/>
      <c r="Q218" s="1"/>
      <c r="R218" s="19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</row>
    <row r="219" spans="1:46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9"/>
      <c r="Q219" s="1"/>
      <c r="R219" s="19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</row>
    <row r="220" spans="1:46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9"/>
      <c r="Q220" s="1"/>
      <c r="R220" s="19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</row>
    <row r="221" spans="1:46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9"/>
      <c r="Q221" s="1"/>
      <c r="R221" s="19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</row>
    <row r="222" spans="1:46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9"/>
      <c r="Q222" s="1"/>
      <c r="R222" s="19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</row>
    <row r="223" spans="1:46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9"/>
      <c r="Q223" s="1"/>
      <c r="R223" s="19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</row>
    <row r="224" spans="1:46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9"/>
      <c r="Q224" s="1"/>
      <c r="R224" s="19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</row>
    <row r="225" spans="1:46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9"/>
      <c r="Q225" s="1"/>
      <c r="R225" s="19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</row>
    <row r="226" spans="1:46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9"/>
      <c r="Q226" s="1"/>
      <c r="R226" s="19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</row>
    <row r="227" spans="1:46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9"/>
      <c r="Q227" s="1"/>
      <c r="R227" s="19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</row>
    <row r="228" spans="1:46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9"/>
      <c r="Q228" s="1"/>
      <c r="R228" s="19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</row>
    <row r="229" spans="1:46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9"/>
      <c r="Q229" s="1"/>
      <c r="R229" s="19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</row>
    <row r="230" spans="1:46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9"/>
      <c r="Q230" s="1"/>
      <c r="R230" s="19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</row>
    <row r="231" spans="1:46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9"/>
      <c r="Q231" s="1"/>
      <c r="R231" s="19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</row>
    <row r="232" spans="1:46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9"/>
      <c r="Q232" s="1"/>
      <c r="R232" s="19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</row>
    <row r="233" spans="1:46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9"/>
      <c r="Q233" s="1"/>
      <c r="R233" s="19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</row>
    <row r="234" spans="1:46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9"/>
      <c r="Q234" s="1"/>
      <c r="R234" s="19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</row>
    <row r="235" spans="1:46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9"/>
      <c r="Q235" s="1"/>
      <c r="R235" s="19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</row>
    <row r="236" spans="1:46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9"/>
      <c r="Q236" s="1"/>
      <c r="R236" s="19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</row>
    <row r="237" spans="1:46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9"/>
      <c r="Q237" s="1"/>
      <c r="R237" s="19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</row>
    <row r="238" spans="1:46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9"/>
      <c r="Q238" s="1"/>
      <c r="R238" s="19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</row>
    <row r="239" spans="1:46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9"/>
      <c r="Q239" s="1"/>
      <c r="R239" s="19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</row>
    <row r="240" spans="1:46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9"/>
      <c r="Q240" s="1"/>
      <c r="R240" s="19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</row>
    <row r="241" spans="1:46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9"/>
      <c r="Q241" s="1"/>
      <c r="R241" s="19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</row>
    <row r="242" spans="1:46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9"/>
      <c r="Q242" s="1"/>
      <c r="R242" s="19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</row>
    <row r="243" spans="1:46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9"/>
      <c r="Q243" s="1"/>
      <c r="R243" s="19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</row>
    <row r="244" spans="1:46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9"/>
      <c r="Q244" s="1"/>
      <c r="R244" s="19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</row>
    <row r="245" spans="1:46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9"/>
      <c r="Q245" s="1"/>
      <c r="R245" s="19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</row>
    <row r="246" spans="1:46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9"/>
      <c r="Q246" s="1"/>
      <c r="R246" s="19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</row>
    <row r="247" spans="1:46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9"/>
      <c r="Q247" s="1"/>
      <c r="R247" s="19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</row>
    <row r="248" spans="1:46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9"/>
      <c r="Q248" s="1"/>
      <c r="R248" s="19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</row>
    <row r="249" spans="1:46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9"/>
      <c r="Q249" s="1"/>
      <c r="R249" s="19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</row>
    <row r="250" spans="1:46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9"/>
      <c r="Q250" s="1"/>
      <c r="R250" s="19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</row>
    <row r="251" spans="1:46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9"/>
      <c r="Q251" s="1"/>
      <c r="R251" s="19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</row>
    <row r="252" spans="1:46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9"/>
      <c r="Q252" s="1"/>
      <c r="R252" s="19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</row>
    <row r="253" spans="1:46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9"/>
      <c r="Q253" s="1"/>
      <c r="R253" s="19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</row>
    <row r="254" spans="1:46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9"/>
      <c r="Q254" s="1"/>
      <c r="R254" s="19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</row>
    <row r="255" spans="1:46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9"/>
      <c r="Q255" s="1"/>
      <c r="R255" s="19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</row>
    <row r="256" spans="1:46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9"/>
      <c r="Q256" s="1"/>
      <c r="R256" s="19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</row>
    <row r="257" spans="1:46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9"/>
      <c r="Q257" s="1"/>
      <c r="R257" s="19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</row>
    <row r="258" spans="1:46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9"/>
      <c r="Q258" s="1"/>
      <c r="R258" s="19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</row>
    <row r="259" spans="1:46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9"/>
      <c r="Q259" s="1"/>
      <c r="R259" s="19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</row>
    <row r="260" spans="1:46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9"/>
      <c r="Q260" s="1"/>
      <c r="R260" s="19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</row>
    <row r="261" spans="1:46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9"/>
      <c r="Q261" s="1"/>
      <c r="R261" s="19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</row>
    <row r="262" spans="1:46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9"/>
      <c r="Q262" s="1"/>
      <c r="R262" s="19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</row>
    <row r="263" spans="1:46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9"/>
      <c r="Q263" s="1"/>
      <c r="R263" s="19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</row>
    <row r="264" spans="1:46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9"/>
      <c r="Q264" s="1"/>
      <c r="R264" s="19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</row>
    <row r="265" spans="1:46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9"/>
      <c r="Q265" s="1"/>
      <c r="R265" s="19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</row>
    <row r="266" spans="1:46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9"/>
      <c r="Q266" s="1"/>
      <c r="R266" s="19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</row>
    <row r="267" spans="1:46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9"/>
      <c r="Q267" s="1"/>
      <c r="R267" s="19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</row>
    <row r="268" spans="1:46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9"/>
      <c r="Q268" s="1"/>
      <c r="R268" s="19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</row>
    <row r="269" spans="1:46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9"/>
      <c r="Q269" s="1"/>
      <c r="R269" s="19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</row>
    <row r="270" spans="1:46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9"/>
      <c r="Q270" s="1"/>
      <c r="R270" s="19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</row>
    <row r="271" spans="1:46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9"/>
      <c r="Q271" s="1"/>
      <c r="R271" s="19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</row>
    <row r="272" spans="1:46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9"/>
      <c r="Q272" s="1"/>
      <c r="R272" s="19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</row>
    <row r="273" spans="1:46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9"/>
      <c r="Q273" s="1"/>
      <c r="R273" s="19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</row>
    <row r="274" spans="1:46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9"/>
      <c r="Q274" s="1"/>
      <c r="R274" s="19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</row>
    <row r="275" spans="1:46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9"/>
      <c r="Q275" s="1"/>
      <c r="R275" s="19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</row>
    <row r="276" spans="1:46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9"/>
      <c r="Q276" s="1"/>
      <c r="R276" s="19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</row>
    <row r="277" spans="1:46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9"/>
      <c r="Q277" s="1"/>
      <c r="R277" s="19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</row>
    <row r="278" spans="1:46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9"/>
      <c r="Q278" s="1"/>
      <c r="R278" s="19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</row>
    <row r="279" spans="1:46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9"/>
      <c r="Q279" s="1"/>
      <c r="R279" s="19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</row>
    <row r="280" spans="1:46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9"/>
      <c r="Q280" s="1"/>
      <c r="R280" s="19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</row>
    <row r="281" spans="1:46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9"/>
      <c r="Q281" s="1"/>
      <c r="R281" s="19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</row>
    <row r="282" spans="1:46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9"/>
      <c r="Q282" s="1"/>
      <c r="R282" s="19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</row>
    <row r="283" spans="1:46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9"/>
      <c r="Q283" s="1"/>
      <c r="R283" s="19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</row>
    <row r="284" spans="1:46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9"/>
      <c r="Q284" s="1"/>
      <c r="R284" s="19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</row>
    <row r="285" spans="1:46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9"/>
      <c r="Q285" s="1"/>
      <c r="R285" s="19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</row>
    <row r="286" spans="1:46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9"/>
      <c r="Q286" s="1"/>
      <c r="R286" s="19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</row>
    <row r="287" spans="1:46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9"/>
      <c r="Q287" s="1"/>
      <c r="R287" s="19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</row>
    <row r="288" spans="1:46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9"/>
      <c r="Q288" s="1"/>
      <c r="R288" s="19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</row>
    <row r="289" spans="1:46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9"/>
      <c r="Q289" s="1"/>
      <c r="R289" s="19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</row>
    <row r="290" spans="1:46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9"/>
      <c r="Q290" s="1"/>
      <c r="R290" s="19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</row>
    <row r="291" spans="1:46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9"/>
      <c r="Q291" s="1"/>
      <c r="R291" s="19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</row>
    <row r="292" spans="1:46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9"/>
      <c r="Q292" s="1"/>
      <c r="R292" s="19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</row>
    <row r="293" spans="1:46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9"/>
      <c r="Q293" s="1"/>
      <c r="R293" s="19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</row>
    <row r="294" spans="1:46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9"/>
      <c r="Q294" s="1"/>
      <c r="R294" s="19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</row>
    <row r="295" spans="1:46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9"/>
      <c r="Q295" s="1"/>
      <c r="R295" s="19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</row>
    <row r="296" spans="1:46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9"/>
      <c r="Q296" s="1"/>
      <c r="R296" s="19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</row>
    <row r="297" spans="1:46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9"/>
      <c r="Q297" s="1"/>
      <c r="R297" s="19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</row>
    <row r="298" spans="1:46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9"/>
      <c r="Q298" s="1"/>
      <c r="R298" s="19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</row>
    <row r="299" spans="1:46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9"/>
      <c r="Q299" s="1"/>
      <c r="R299" s="19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</row>
    <row r="300" spans="1:46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9"/>
      <c r="Q300" s="1"/>
      <c r="R300" s="19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</row>
    <row r="301" spans="1:46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9"/>
      <c r="Q301" s="1"/>
      <c r="R301" s="19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</row>
    <row r="302" spans="1:46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9"/>
      <c r="Q302" s="1"/>
      <c r="R302" s="19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</row>
    <row r="303" spans="1:46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9"/>
      <c r="Q303" s="1"/>
      <c r="R303" s="19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</row>
    <row r="304" spans="1:46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9"/>
      <c r="Q304" s="1"/>
      <c r="R304" s="19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</row>
    <row r="305" spans="1:46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9"/>
      <c r="Q305" s="1"/>
      <c r="R305" s="19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</row>
    <row r="306" spans="1:46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9"/>
      <c r="Q306" s="1"/>
      <c r="R306" s="19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</row>
    <row r="307" spans="1:46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9"/>
      <c r="Q307" s="1"/>
      <c r="R307" s="19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</row>
    <row r="308" spans="1:46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9"/>
      <c r="Q308" s="1"/>
      <c r="R308" s="19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</row>
    <row r="309" spans="1:46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9"/>
      <c r="Q309" s="1"/>
      <c r="R309" s="19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</row>
    <row r="310" spans="1:46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9"/>
      <c r="Q310" s="1"/>
      <c r="R310" s="19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</row>
    <row r="311" spans="1:46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9"/>
      <c r="Q311" s="1"/>
      <c r="R311" s="19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</row>
    <row r="312" spans="1:46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9"/>
      <c r="Q312" s="1"/>
      <c r="R312" s="19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</row>
    <row r="313" spans="1:46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9"/>
      <c r="Q313" s="1"/>
      <c r="R313" s="19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</row>
    <row r="314" spans="1:46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9"/>
      <c r="Q314" s="1"/>
      <c r="R314" s="19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</row>
    <row r="315" spans="1:46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9"/>
      <c r="Q315" s="1"/>
      <c r="R315" s="19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</row>
    <row r="316" spans="1:46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9"/>
      <c r="Q316" s="1"/>
      <c r="R316" s="19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</row>
    <row r="317" spans="1:46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9"/>
      <c r="Q317" s="1"/>
      <c r="R317" s="19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</row>
    <row r="318" spans="1:46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9"/>
      <c r="Q318" s="1"/>
      <c r="R318" s="19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</row>
    <row r="319" spans="1:46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9"/>
      <c r="Q319" s="1"/>
      <c r="R319" s="19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</row>
    <row r="320" spans="1:46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9"/>
      <c r="Q320" s="1"/>
      <c r="R320" s="19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</row>
    <row r="321" spans="1:46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9"/>
      <c r="Q321" s="1"/>
      <c r="R321" s="19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</row>
    <row r="322" spans="1:46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9"/>
      <c r="Q322" s="1"/>
      <c r="R322" s="19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</row>
    <row r="323" spans="1:46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9"/>
      <c r="Q323" s="1"/>
      <c r="R323" s="19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</row>
    <row r="324" spans="1:46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9"/>
      <c r="Q324" s="1"/>
      <c r="R324" s="19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</row>
    <row r="325" spans="1:46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9"/>
      <c r="Q325" s="1"/>
      <c r="R325" s="19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</row>
    <row r="326" spans="1:46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9"/>
      <c r="Q326" s="1"/>
      <c r="R326" s="19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</row>
    <row r="327" spans="1:46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9"/>
      <c r="Q327" s="1"/>
      <c r="R327" s="19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</row>
    <row r="328" spans="1:46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9"/>
      <c r="Q328" s="1"/>
      <c r="R328" s="19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</row>
    <row r="329" spans="1:46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9"/>
      <c r="Q329" s="1"/>
      <c r="R329" s="19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</row>
    <row r="330" spans="1:46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9"/>
      <c r="Q330" s="1"/>
      <c r="R330" s="19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</row>
    <row r="331" spans="1:46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9"/>
      <c r="Q331" s="1"/>
      <c r="R331" s="19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</row>
    <row r="332" spans="1:46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9"/>
      <c r="Q332" s="1"/>
      <c r="R332" s="19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</row>
    <row r="333" spans="1:46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9"/>
      <c r="Q333" s="1"/>
      <c r="R333" s="19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</row>
    <row r="334" spans="1:46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9"/>
      <c r="Q334" s="1"/>
      <c r="R334" s="19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</row>
    <row r="335" spans="1:46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9"/>
      <c r="Q335" s="1"/>
      <c r="R335" s="19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</row>
    <row r="336" spans="1:46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9"/>
      <c r="Q336" s="1"/>
      <c r="R336" s="19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</row>
    <row r="337" spans="1:46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9"/>
      <c r="Q337" s="1"/>
      <c r="R337" s="19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</row>
    <row r="338" spans="1:46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9"/>
      <c r="Q338" s="1"/>
      <c r="R338" s="19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</row>
    <row r="339" spans="1:46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9"/>
      <c r="Q339" s="1"/>
      <c r="R339" s="19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</row>
    <row r="340" spans="1:46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9"/>
      <c r="Q340" s="1"/>
      <c r="R340" s="19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</row>
    <row r="341" spans="1:46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9"/>
      <c r="Q341" s="1"/>
      <c r="R341" s="19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</row>
    <row r="342" spans="1:46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9"/>
      <c r="Q342" s="1"/>
      <c r="R342" s="19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</row>
    <row r="343" spans="1:46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9"/>
      <c r="Q343" s="1"/>
      <c r="R343" s="19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</row>
    <row r="344" spans="1:46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9"/>
      <c r="Q344" s="1"/>
      <c r="R344" s="19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</row>
    <row r="345" spans="1:46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9"/>
      <c r="Q345" s="1"/>
      <c r="R345" s="19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</row>
    <row r="346" spans="1:46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9"/>
      <c r="Q346" s="1"/>
      <c r="R346" s="19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</row>
    <row r="347" spans="1:46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9"/>
      <c r="Q347" s="1"/>
      <c r="R347" s="19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</row>
    <row r="348" spans="1:46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9"/>
      <c r="Q348" s="1"/>
      <c r="R348" s="19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</row>
    <row r="349" spans="1:46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9"/>
      <c r="Q349" s="1"/>
      <c r="R349" s="19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</row>
    <row r="350" spans="1:46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9"/>
      <c r="Q350" s="1"/>
      <c r="R350" s="19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</row>
    <row r="351" spans="1:46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9"/>
      <c r="Q351" s="1"/>
      <c r="R351" s="19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</row>
    <row r="352" spans="1:46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9"/>
      <c r="Q352" s="1"/>
      <c r="R352" s="19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</row>
    <row r="353" spans="1:46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9"/>
      <c r="Q353" s="1"/>
      <c r="R353" s="19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</row>
    <row r="354" spans="1:46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9"/>
      <c r="Q354" s="1"/>
      <c r="R354" s="19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</row>
    <row r="355" spans="1:46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9"/>
      <c r="Q355" s="1"/>
      <c r="R355" s="19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</row>
    <row r="356" spans="1:46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9"/>
      <c r="Q356" s="1"/>
      <c r="R356" s="19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</row>
    <row r="357" spans="1:46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9"/>
      <c r="Q357" s="1"/>
      <c r="R357" s="19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</row>
    <row r="358" spans="1:46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9"/>
      <c r="Q358" s="1"/>
      <c r="R358" s="19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</row>
    <row r="359" spans="1:46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9"/>
      <c r="Q359" s="1"/>
      <c r="R359" s="19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</row>
    <row r="360" spans="1:46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9"/>
      <c r="Q360" s="1"/>
      <c r="R360" s="19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</row>
    <row r="361" spans="1:46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9"/>
      <c r="Q361" s="1"/>
      <c r="R361" s="19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</row>
    <row r="362" spans="1:46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9"/>
      <c r="Q362" s="1"/>
      <c r="R362" s="19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</row>
    <row r="363" spans="1:46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9"/>
      <c r="Q363" s="1"/>
      <c r="R363" s="19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</row>
    <row r="364" spans="1:46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9"/>
      <c r="Q364" s="1"/>
      <c r="R364" s="19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</row>
    <row r="365" spans="1:46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9"/>
      <c r="Q365" s="1"/>
      <c r="R365" s="19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</row>
    <row r="366" spans="1:46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9"/>
      <c r="Q366" s="1"/>
      <c r="R366" s="19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</row>
    <row r="367" spans="1:46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9"/>
      <c r="Q367" s="1"/>
      <c r="R367" s="19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</row>
    <row r="368" spans="1:46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9"/>
      <c r="Q368" s="1"/>
      <c r="R368" s="19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</row>
    <row r="369" spans="1:46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9"/>
      <c r="Q369" s="1"/>
      <c r="R369" s="19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</row>
    <row r="370" spans="1:46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9"/>
      <c r="Q370" s="1"/>
      <c r="R370" s="19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</row>
    <row r="371" spans="1:46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9"/>
      <c r="Q371" s="1"/>
      <c r="R371" s="19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</row>
    <row r="372" spans="1:46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9"/>
      <c r="Q372" s="1"/>
      <c r="R372" s="19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</row>
    <row r="373" spans="1:46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9"/>
      <c r="Q373" s="1"/>
      <c r="R373" s="19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</row>
    <row r="374" spans="1:46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9"/>
      <c r="Q374" s="1"/>
      <c r="R374" s="19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</row>
    <row r="375" spans="1:46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9"/>
      <c r="Q375" s="1"/>
      <c r="R375" s="19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</row>
    <row r="376" spans="1:46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9"/>
      <c r="Q376" s="1"/>
      <c r="R376" s="19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</row>
    <row r="377" spans="1:46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9"/>
      <c r="Q377" s="1"/>
      <c r="R377" s="19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</row>
    <row r="378" spans="1:46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9"/>
      <c r="Q378" s="1"/>
      <c r="R378" s="19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</row>
    <row r="379" spans="1:46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9"/>
      <c r="Q379" s="1"/>
      <c r="R379" s="19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:46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9"/>
      <c r="Q380" s="1"/>
      <c r="R380" s="19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:46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9"/>
      <c r="Q381" s="1"/>
      <c r="R381" s="19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:46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9"/>
      <c r="Q382" s="1"/>
      <c r="R382" s="19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:46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9"/>
      <c r="Q383" s="1"/>
      <c r="R383" s="19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:46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9"/>
      <c r="Q384" s="1"/>
      <c r="R384" s="19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:46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9"/>
      <c r="Q385" s="1"/>
      <c r="R385" s="19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:46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9"/>
      <c r="Q386" s="1"/>
      <c r="R386" s="19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:46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9"/>
      <c r="Q387" s="1"/>
      <c r="R387" s="19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:46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9"/>
      <c r="Q388" s="1"/>
      <c r="R388" s="19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:46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9"/>
      <c r="Q389" s="1"/>
      <c r="R389" s="19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:46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9"/>
      <c r="Q390" s="1"/>
      <c r="R390" s="19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:46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9"/>
      <c r="Q391" s="1"/>
      <c r="R391" s="19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:46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9"/>
      <c r="Q392" s="1"/>
      <c r="R392" s="19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:46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9"/>
      <c r="Q393" s="1"/>
      <c r="R393" s="19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:46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9"/>
      <c r="Q394" s="1"/>
      <c r="R394" s="19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:46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9"/>
      <c r="Q395" s="1"/>
      <c r="R395" s="19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:46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9"/>
      <c r="Q396" s="1"/>
      <c r="R396" s="19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:46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9"/>
      <c r="Q397" s="1"/>
      <c r="R397" s="19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:46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9"/>
      <c r="Q398" s="1"/>
      <c r="R398" s="19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:46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9"/>
      <c r="Q399" s="1"/>
      <c r="R399" s="19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:46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9"/>
      <c r="Q400" s="1"/>
      <c r="R400" s="19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:46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9"/>
      <c r="Q401" s="1"/>
      <c r="R401" s="19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:46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9"/>
      <c r="Q402" s="1"/>
      <c r="R402" s="19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:46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9"/>
      <c r="Q403" s="1"/>
      <c r="R403" s="19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:46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9"/>
      <c r="Q404" s="1"/>
      <c r="R404" s="19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:46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9"/>
      <c r="Q405" s="1"/>
      <c r="R405" s="19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:46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9"/>
      <c r="Q406" s="1"/>
      <c r="R406" s="19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:46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9"/>
      <c r="Q407" s="1"/>
      <c r="R407" s="19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:46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9"/>
      <c r="Q408" s="1"/>
      <c r="R408" s="19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:46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9"/>
      <c r="Q409" s="1"/>
      <c r="R409" s="19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:46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9"/>
      <c r="Q410" s="1"/>
      <c r="R410" s="19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:46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9"/>
      <c r="Q411" s="1"/>
      <c r="R411" s="19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:46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9"/>
      <c r="Q412" s="1"/>
      <c r="R412" s="19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:46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9"/>
      <c r="Q413" s="1"/>
      <c r="R413" s="19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:46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9"/>
      <c r="Q414" s="1"/>
      <c r="R414" s="19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:46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9"/>
      <c r="Q415" s="1"/>
      <c r="R415" s="19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:46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9"/>
      <c r="Q416" s="1"/>
      <c r="R416" s="19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:46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9"/>
      <c r="Q417" s="1"/>
      <c r="R417" s="19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:46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9"/>
      <c r="Q418" s="1"/>
      <c r="R418" s="19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:46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9"/>
      <c r="Q419" s="1"/>
      <c r="R419" s="19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:46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9"/>
      <c r="Q420" s="1"/>
      <c r="R420" s="19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:46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9"/>
      <c r="Q421" s="1"/>
      <c r="R421" s="19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:46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9"/>
      <c r="Q422" s="1"/>
      <c r="R422" s="19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:46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9"/>
      <c r="Q423" s="1"/>
      <c r="R423" s="19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:46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9"/>
      <c r="Q424" s="1"/>
      <c r="R424" s="19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:46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9"/>
      <c r="Q425" s="1"/>
      <c r="R425" s="19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:46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9"/>
      <c r="Q426" s="1"/>
      <c r="R426" s="19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:46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9"/>
      <c r="Q427" s="1"/>
      <c r="R427" s="19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:46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9"/>
      <c r="Q428" s="1"/>
      <c r="R428" s="19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:46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9"/>
      <c r="Q429" s="1"/>
      <c r="R429" s="19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:46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9"/>
      <c r="Q430" s="1"/>
      <c r="R430" s="19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:46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9"/>
      <c r="Q431" s="1"/>
      <c r="R431" s="19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:46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9"/>
      <c r="Q432" s="1"/>
      <c r="R432" s="19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:46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9"/>
      <c r="Q433" s="1"/>
      <c r="R433" s="19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:46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9"/>
      <c r="Q434" s="1"/>
      <c r="R434" s="19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:46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9"/>
      <c r="Q435" s="1"/>
      <c r="R435" s="19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:46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9"/>
      <c r="Q436" s="1"/>
      <c r="R436" s="19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:46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9"/>
      <c r="Q437" s="1"/>
      <c r="R437" s="19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:46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9"/>
      <c r="Q438" s="1"/>
      <c r="R438" s="19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:46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9"/>
      <c r="Q439" s="1"/>
      <c r="R439" s="19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:46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9"/>
      <c r="Q440" s="1"/>
      <c r="R440" s="19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:46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9"/>
      <c r="Q441" s="1"/>
      <c r="R441" s="19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:46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9"/>
      <c r="Q442" s="1"/>
      <c r="R442" s="19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:46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9"/>
      <c r="Q443" s="1"/>
      <c r="R443" s="19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:46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9"/>
      <c r="Q444" s="1"/>
      <c r="R444" s="19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:46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9"/>
      <c r="Q445" s="1"/>
      <c r="R445" s="19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:46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9"/>
      <c r="Q446" s="1"/>
      <c r="R446" s="19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:46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9"/>
      <c r="Q447" s="1"/>
      <c r="R447" s="19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:46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9"/>
      <c r="Q448" s="1"/>
      <c r="R448" s="19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:46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9"/>
      <c r="Q449" s="1"/>
      <c r="R449" s="19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:46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9"/>
      <c r="Q450" s="1"/>
      <c r="R450" s="19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:46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9"/>
      <c r="Q451" s="1"/>
      <c r="R451" s="19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:46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9"/>
      <c r="Q452" s="1"/>
      <c r="R452" s="19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:46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9"/>
      <c r="Q453" s="1"/>
      <c r="R453" s="19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:46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9"/>
      <c r="Q454" s="1"/>
      <c r="R454" s="19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:46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9"/>
      <c r="Q455" s="1"/>
      <c r="R455" s="19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:46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9"/>
      <c r="Q456" s="1"/>
      <c r="R456" s="19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:46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9"/>
      <c r="Q457" s="1"/>
      <c r="R457" s="19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:46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9"/>
      <c r="Q458" s="1"/>
      <c r="R458" s="19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:46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9"/>
      <c r="Q459" s="1"/>
      <c r="R459" s="19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:46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9"/>
      <c r="Q460" s="1"/>
      <c r="R460" s="19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:46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9"/>
      <c r="Q461" s="1"/>
      <c r="R461" s="19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:46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9"/>
      <c r="Q462" s="1"/>
      <c r="R462" s="19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:46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9"/>
      <c r="Q463" s="1"/>
      <c r="R463" s="19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:46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9"/>
      <c r="Q464" s="1"/>
      <c r="R464" s="19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:46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9"/>
      <c r="Q465" s="1"/>
      <c r="R465" s="19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:46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9"/>
      <c r="Q466" s="1"/>
      <c r="R466" s="19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:46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9"/>
      <c r="Q467" s="1"/>
      <c r="R467" s="19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:46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9"/>
      <c r="Q468" s="1"/>
      <c r="R468" s="19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:46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9"/>
      <c r="Q469" s="1"/>
      <c r="R469" s="19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:46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9"/>
      <c r="Q470" s="1"/>
      <c r="R470" s="19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:46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9"/>
      <c r="Q471" s="1"/>
      <c r="R471" s="19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:46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9"/>
      <c r="Q472" s="1"/>
      <c r="R472" s="19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:46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9"/>
      <c r="Q473" s="1"/>
      <c r="R473" s="19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:46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9"/>
      <c r="Q474" s="1"/>
      <c r="R474" s="19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:46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9"/>
      <c r="Q475" s="1"/>
      <c r="R475" s="19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:46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9"/>
      <c r="Q476" s="1"/>
      <c r="R476" s="19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:46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9"/>
      <c r="Q477" s="1"/>
      <c r="R477" s="19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:46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9"/>
      <c r="Q478" s="1"/>
      <c r="R478" s="19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:46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9"/>
      <c r="Q479" s="1"/>
      <c r="R479" s="19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:46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9"/>
      <c r="Q480" s="1"/>
      <c r="R480" s="19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:46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9"/>
      <c r="Q481" s="1"/>
      <c r="R481" s="19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:46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9"/>
      <c r="Q482" s="1"/>
      <c r="R482" s="19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:46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9"/>
      <c r="Q483" s="1"/>
      <c r="R483" s="19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:46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9"/>
      <c r="Q484" s="1"/>
      <c r="R484" s="19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:46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9"/>
      <c r="Q485" s="1"/>
      <c r="R485" s="19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:46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9"/>
      <c r="Q486" s="1"/>
      <c r="R486" s="19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:46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9"/>
      <c r="Q487" s="1"/>
      <c r="R487" s="19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:46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9"/>
      <c r="Q488" s="1"/>
      <c r="R488" s="19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:46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9"/>
      <c r="Q489" s="1"/>
      <c r="R489" s="19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:46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9"/>
      <c r="Q490" s="1"/>
      <c r="R490" s="19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:46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9"/>
      <c r="Q491" s="1"/>
      <c r="R491" s="19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:46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9"/>
      <c r="Q492" s="1"/>
      <c r="R492" s="19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 spans="1:46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9"/>
      <c r="Q493" s="1"/>
      <c r="R493" s="19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 spans="1:46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9"/>
      <c r="Q494" s="1"/>
      <c r="R494" s="19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 spans="1:46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9"/>
      <c r="Q495" s="1"/>
      <c r="R495" s="19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</sheetData>
  <autoFilter ref="A3:AH129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2026-09-29T09:57:13Z</dcterms:created>
  <dcterms:modified xsi:type="dcterms:W3CDTF">2026-09-29T12:34:10Z</dcterms:modified>
</cp:coreProperties>
</file>