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D4D5F12-8E9A-4248-9EA3-0BC2BFEFD03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P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BN469" i="2" s="1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P444" i="2"/>
  <c r="BO443" i="2"/>
  <c r="BM443" i="2"/>
  <c r="Y443" i="2"/>
  <c r="Y445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Y396" i="2" s="1"/>
  <c r="P393" i="2"/>
  <c r="X391" i="2"/>
  <c r="X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Y329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Y288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BO54" i="2"/>
  <c r="BM54" i="2"/>
  <c r="Y54" i="2"/>
  <c r="BP54" i="2" s="1"/>
  <c r="P54" i="2"/>
  <c r="X51" i="2"/>
  <c r="X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P37" i="2"/>
  <c r="BO36" i="2"/>
  <c r="BM36" i="2"/>
  <c r="Y36" i="2"/>
  <c r="BP36" i="2" s="1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BP353" i="2" l="1"/>
  <c r="Z353" i="2"/>
  <c r="Y501" i="2"/>
  <c r="Y370" i="2"/>
  <c r="BP537" i="2"/>
  <c r="BN537" i="2"/>
  <c r="Y534" i="2"/>
  <c r="Y535" i="2"/>
  <c r="Z529" i="2"/>
  <c r="Z530" i="2" s="1"/>
  <c r="BN529" i="2"/>
  <c r="Y530" i="2"/>
  <c r="Y527" i="2"/>
  <c r="BN525" i="2"/>
  <c r="Y522" i="2"/>
  <c r="Y523" i="2"/>
  <c r="BP514" i="2"/>
  <c r="BN514" i="2"/>
  <c r="BN512" i="2"/>
  <c r="BP512" i="2"/>
  <c r="BN505" i="2"/>
  <c r="BP505" i="2"/>
  <c r="Z505" i="2"/>
  <c r="BN499" i="2"/>
  <c r="BP499" i="2"/>
  <c r="BN497" i="2"/>
  <c r="Z497" i="2"/>
  <c r="BP494" i="2"/>
  <c r="Z494" i="2"/>
  <c r="BN485" i="2"/>
  <c r="Z485" i="2"/>
  <c r="Y482" i="2"/>
  <c r="Z480" i="2"/>
  <c r="Z481" i="2" s="1"/>
  <c r="BN470" i="2"/>
  <c r="BP470" i="2"/>
  <c r="Z470" i="2"/>
  <c r="BP468" i="2"/>
  <c r="Z468" i="2"/>
  <c r="Y456" i="2"/>
  <c r="BN454" i="2"/>
  <c r="BP450" i="2"/>
  <c r="BN450" i="2"/>
  <c r="BP444" i="2"/>
  <c r="Z444" i="2"/>
  <c r="BN439" i="2"/>
  <c r="BP439" i="2"/>
  <c r="Y441" i="2"/>
  <c r="Z437" i="2"/>
  <c r="BN432" i="2"/>
  <c r="Z432" i="2"/>
  <c r="BP427" i="2"/>
  <c r="BN427" i="2"/>
  <c r="BP422" i="2"/>
  <c r="BN422" i="2"/>
  <c r="BP420" i="2"/>
  <c r="BN420" i="2"/>
  <c r="Z413" i="2"/>
  <c r="BN413" i="2"/>
  <c r="BN407" i="2"/>
  <c r="BP407" i="2"/>
  <c r="BN401" i="2"/>
  <c r="Z401" i="2"/>
  <c r="BP394" i="2"/>
  <c r="BN394" i="2"/>
  <c r="BP386" i="2"/>
  <c r="BN386" i="2"/>
  <c r="BP381" i="2"/>
  <c r="BN381" i="2"/>
  <c r="BP373" i="2"/>
  <c r="Z373" i="2"/>
  <c r="BN369" i="2"/>
  <c r="Z369" i="2"/>
  <c r="BN367" i="2"/>
  <c r="BP367" i="2"/>
  <c r="Z367" i="2"/>
  <c r="BP363" i="2"/>
  <c r="Z363" i="2"/>
  <c r="BN359" i="2"/>
  <c r="Z359" i="2"/>
  <c r="BN357" i="2"/>
  <c r="Z357" i="2"/>
  <c r="BP357" i="2"/>
  <c r="BN346" i="2"/>
  <c r="Z346" i="2"/>
  <c r="BP346" i="2"/>
  <c r="Z335" i="2"/>
  <c r="BN335" i="2"/>
  <c r="BP320" i="2"/>
  <c r="BN320" i="2"/>
  <c r="Z320" i="2"/>
  <c r="BP317" i="2"/>
  <c r="Z317" i="2"/>
  <c r="BP315" i="2"/>
  <c r="BN315" i="2"/>
  <c r="Z295" i="2"/>
  <c r="BN295" i="2"/>
  <c r="BP286" i="2"/>
  <c r="Z286" i="2"/>
  <c r="BN286" i="2"/>
  <c r="BN279" i="2"/>
  <c r="Z279" i="2"/>
  <c r="Z274" i="2"/>
  <c r="BN274" i="2"/>
  <c r="Z264" i="2"/>
  <c r="BN264" i="2"/>
  <c r="BP263" i="2"/>
  <c r="Z263" i="2"/>
  <c r="Z259" i="2"/>
  <c r="BN259" i="2"/>
  <c r="Y267" i="2"/>
  <c r="Z254" i="2"/>
  <c r="BN254" i="2"/>
  <c r="BP238" i="2"/>
  <c r="BN238" i="2"/>
  <c r="Z231" i="2"/>
  <c r="BN231" i="2"/>
  <c r="BP230" i="2"/>
  <c r="Z230" i="2"/>
  <c r="BN226" i="2"/>
  <c r="BP226" i="2"/>
  <c r="BN225" i="2"/>
  <c r="BP225" i="2"/>
  <c r="BP224" i="2"/>
  <c r="Z224" i="2"/>
  <c r="BN223" i="2"/>
  <c r="Z223" i="2"/>
  <c r="Z221" i="2"/>
  <c r="BN221" i="2"/>
  <c r="Z216" i="2"/>
  <c r="BN216" i="2"/>
  <c r="BP210" i="2"/>
  <c r="Y212" i="2"/>
  <c r="Y211" i="2"/>
  <c r="Z210" i="2"/>
  <c r="Z211" i="2" s="1"/>
  <c r="BN205" i="2"/>
  <c r="BP205" i="2"/>
  <c r="BN204" i="2"/>
  <c r="BP204" i="2"/>
  <c r="Z200" i="2"/>
  <c r="BN200" i="2"/>
  <c r="BN180" i="2"/>
  <c r="BP180" i="2"/>
  <c r="BP179" i="2"/>
  <c r="Z179" i="2"/>
  <c r="BN178" i="2"/>
  <c r="Z178" i="2"/>
  <c r="Z176" i="2"/>
  <c r="BN176" i="2"/>
  <c r="BP171" i="2"/>
  <c r="BN171" i="2"/>
  <c r="Z166" i="2"/>
  <c r="BN166" i="2"/>
  <c r="BP150" i="2"/>
  <c r="BN150" i="2"/>
  <c r="Z142" i="2"/>
  <c r="BN142" i="2"/>
  <c r="Y143" i="2"/>
  <c r="Z141" i="2"/>
  <c r="BP136" i="2"/>
  <c r="Y138" i="2"/>
  <c r="BP121" i="2"/>
  <c r="BN121" i="2"/>
  <c r="BN114" i="2"/>
  <c r="BP114" i="2"/>
  <c r="BP112" i="2"/>
  <c r="Z112" i="2"/>
  <c r="BN111" i="2"/>
  <c r="Z111" i="2"/>
  <c r="BP107" i="2"/>
  <c r="BN107" i="2"/>
  <c r="Z107" i="2"/>
  <c r="BN104" i="2"/>
  <c r="BP104" i="2"/>
  <c r="BN101" i="2"/>
  <c r="BP101" i="2"/>
  <c r="Z101" i="2"/>
  <c r="BP96" i="2"/>
  <c r="BN96" i="2"/>
  <c r="BN93" i="2"/>
  <c r="BP93" i="2"/>
  <c r="BP89" i="2"/>
  <c r="Z89" i="2"/>
  <c r="BN89" i="2"/>
  <c r="BP77" i="2"/>
  <c r="Z77" i="2"/>
  <c r="BN68" i="2"/>
  <c r="BP68" i="2"/>
  <c r="BP67" i="2"/>
  <c r="BN67" i="2"/>
  <c r="Z67" i="2"/>
  <c r="Z55" i="2"/>
  <c r="BN55" i="2"/>
  <c r="BN49" i="2"/>
  <c r="BP49" i="2"/>
  <c r="BP46" i="2"/>
  <c r="BN46" i="2"/>
  <c r="Z46" i="2"/>
  <c r="BP40" i="2"/>
  <c r="BN40" i="2"/>
  <c r="Z39" i="2"/>
  <c r="BN39" i="2"/>
  <c r="BN37" i="2"/>
  <c r="BP37" i="2"/>
  <c r="Z28" i="2"/>
  <c r="BN28" i="2"/>
  <c r="BP28" i="2"/>
  <c r="Y23" i="2"/>
  <c r="BN22" i="2"/>
  <c r="Y24" i="2"/>
  <c r="Z106" i="2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BP504" i="2"/>
  <c r="Z504" i="2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66" i="2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X546" i="2"/>
  <c r="C556" i="2"/>
  <c r="Y50" i="2"/>
  <c r="Z102" i="2"/>
  <c r="Z120" i="2"/>
  <c r="BN159" i="2"/>
  <c r="BN184" i="2"/>
  <c r="BN203" i="2"/>
  <c r="Z219" i="2"/>
  <c r="BN234" i="2"/>
  <c r="BP250" i="2"/>
  <c r="BN250" i="2"/>
  <c r="Y377" i="2"/>
  <c r="Z38" i="2"/>
  <c r="Y80" i="2"/>
  <c r="Y81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87" i="2"/>
  <c r="Z131" i="2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8" i="2"/>
  <c r="Z59" i="2"/>
  <c r="Y74" i="2"/>
  <c r="Z103" i="2"/>
  <c r="Z113" i="2"/>
  <c r="Z136" i="2"/>
  <c r="BN149" i="2"/>
  <c r="Z160" i="2"/>
  <c r="BN172" i="2"/>
  <c r="Z180" i="2"/>
  <c r="Z204" i="2"/>
  <c r="BN217" i="2"/>
  <c r="Z225" i="2"/>
  <c r="BN260" i="2"/>
  <c r="BN270" i="2"/>
  <c r="Z278" i="2"/>
  <c r="BN291" i="2"/>
  <c r="BN301" i="2"/>
  <c r="BN325" i="2"/>
  <c r="Y328" i="2"/>
  <c r="Z347" i="2"/>
  <c r="Z358" i="2"/>
  <c r="Z368" i="2"/>
  <c r="BN380" i="2"/>
  <c r="Y383" i="2"/>
  <c r="Z400" i="2"/>
  <c r="BN414" i="2"/>
  <c r="BN426" i="2"/>
  <c r="BN449" i="2"/>
  <c r="Z459" i="2"/>
  <c r="Z471" i="2"/>
  <c r="Y476" i="2"/>
  <c r="Z484" i="2"/>
  <c r="Z496" i="2"/>
  <c r="Z543" i="2"/>
  <c r="Z544" i="2" s="1"/>
  <c r="Y41" i="2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BP341" i="2"/>
  <c r="BN353" i="2"/>
  <c r="BN363" i="2"/>
  <c r="BN373" i="2"/>
  <c r="Z393" i="2"/>
  <c r="BP395" i="2"/>
  <c r="BN406" i="2"/>
  <c r="BP431" i="2"/>
  <c r="Z439" i="2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126" i="2"/>
  <c r="Z127" i="2" s="1"/>
  <c r="Z150" i="2"/>
  <c r="Y155" i="2"/>
  <c r="Z173" i="2"/>
  <c r="Z218" i="2"/>
  <c r="Z238" i="2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104" i="2"/>
  <c r="Z114" i="2"/>
  <c r="Z137" i="2"/>
  <c r="BN77" i="2"/>
  <c r="Z354" i="2"/>
  <c r="Z364" i="2"/>
  <c r="Z374" i="2"/>
  <c r="Z407" i="2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Z143" i="2" l="1"/>
  <c r="Z408" i="2"/>
  <c r="Z168" i="2"/>
  <c r="Z74" i="2"/>
  <c r="Z241" i="2"/>
  <c r="Z97" i="2"/>
  <c r="Z31" i="2"/>
  <c r="Z69" i="2"/>
  <c r="Z311" i="2"/>
  <c r="X549" i="2"/>
  <c r="Z506" i="2"/>
  <c r="Z186" i="2"/>
  <c r="Z256" i="2"/>
  <c r="Z298" i="2"/>
  <c r="Z360" i="2"/>
  <c r="Z445" i="2"/>
  <c r="Z287" i="2"/>
  <c r="Z123" i="2"/>
  <c r="Z377" i="2"/>
  <c r="Z90" i="2"/>
  <c r="Z133" i="2"/>
  <c r="Z349" i="2"/>
  <c r="Z402" i="2"/>
  <c r="Z472" i="2"/>
  <c r="Z41" i="2"/>
  <c r="Z163" i="2"/>
  <c r="Z206" i="2"/>
  <c r="Z461" i="2"/>
  <c r="Y550" i="2"/>
  <c r="Z342" i="2"/>
  <c r="Z396" i="2"/>
  <c r="Z440" i="2"/>
  <c r="Y547" i="2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138" i="2"/>
  <c r="Z428" i="2"/>
  <c r="Z383" i="2"/>
  <c r="Z516" i="2"/>
  <c r="Z390" i="2"/>
  <c r="Z151" i="2"/>
  <c r="Z181" i="2"/>
  <c r="Z328" i="2"/>
  <c r="Y549" i="2" l="1"/>
  <c r="Z551" i="2"/>
</calcChain>
</file>

<file path=xl/sharedStrings.xml><?xml version="1.0" encoding="utf-8"?>
<sst xmlns="http://schemas.openxmlformats.org/spreadsheetml/2006/main" count="4164" uniqueCount="894">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</sst>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/>
      <c r="I5" s="971"/>
      <c r="J5" s="971"/>
      <c r="K5" s="971"/>
      <c r="L5" s="971"/>
      <c r="M5" s="971"/>
      <c r="N5" s="69"/>
      <c r="P5" s="26" t="s">
        <v>4</v>
      </c>
      <c r="Q5" s="973">
        <v>46305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/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Суббота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0.41666666666666669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20</v>
      </c>
      <c r="Y46" s="53">
        <f>IFERROR(IF(X46="",0,CEILING((X46/$H46),1)*$H46),"")</f>
        <v>21.6</v>
      </c>
      <c r="Z46" s="39">
        <f>IFERROR(IF(Y46=0,"",ROUNDUP(Y46/H46,0)*0.01898),"")</f>
        <v>3.7960000000000001E-2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20.75925925925926</v>
      </c>
      <c r="BN46" s="75">
        <f>IFERROR(Y46*I46/H46,"0")</f>
        <v>22.42</v>
      </c>
      <c r="BO46" s="75">
        <f>IFERROR(1/J46*(X46/H46),"0")</f>
        <v>2.8935185185185182E-2</v>
      </c>
      <c r="BP46" s="75">
        <f>IFERROR(1/J46*(Y46/H46),"0")</f>
        <v>3.125E-2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1.8518518518518516</v>
      </c>
      <c r="Y50" s="41">
        <f>IFERROR(Y46/H46,"0")+IFERROR(Y47/H47,"0")+IFERROR(Y48/H48,"0")+IFERROR(Y49/H49,"0")</f>
        <v>2</v>
      </c>
      <c r="Z50" s="41">
        <f>IFERROR(IF(Z46="",0,Z46),"0")+IFERROR(IF(Z47="",0,Z47),"0")+IFERROR(IF(Z48="",0,Z48),"0")+IFERROR(IF(Z49="",0,Z49),"0")</f>
        <v>3.7960000000000001E-2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20</v>
      </c>
      <c r="Y51" s="41">
        <f>IFERROR(SUM(Y46:Y49),"0")</f>
        <v>21.6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100</v>
      </c>
      <c r="Y55" s="53">
        <f t="shared" si="0"/>
        <v>108</v>
      </c>
      <c r="Z55" s="39">
        <f>IFERROR(IF(Y55=0,"",ROUNDUP(Y55/H55,0)*0.01898),"")</f>
        <v>0.1898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103.79629629629629</v>
      </c>
      <c r="BN55" s="75">
        <f t="shared" si="2"/>
        <v>112.1</v>
      </c>
      <c r="BO55" s="75">
        <f t="shared" si="3"/>
        <v>0.14467592592592593</v>
      </c>
      <c r="BP55" s="75">
        <f t="shared" si="4"/>
        <v>0.15625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32</v>
      </c>
      <c r="Y61" s="53">
        <f t="shared" si="0"/>
        <v>36</v>
      </c>
      <c r="Z61" s="39">
        <f>IFERROR(IF(Y61=0,"",ROUNDUP(Y61/H61,0)*0.00902),"")</f>
        <v>7.2160000000000002E-2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33.351111111111116</v>
      </c>
      <c r="BN61" s="75">
        <f t="shared" si="2"/>
        <v>37.520000000000003</v>
      </c>
      <c r="BO61" s="75">
        <f t="shared" si="3"/>
        <v>5.387205387205387E-2</v>
      </c>
      <c r="BP61" s="75">
        <f t="shared" si="4"/>
        <v>6.0606060606060608E-2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16.37037037037037</v>
      </c>
      <c r="Y62" s="41">
        <f>IFERROR(Y54/H54,"0")+IFERROR(Y55/H55,"0")+IFERROR(Y56/H56,"0")+IFERROR(Y57/H57,"0")+IFERROR(Y58/H58,"0")+IFERROR(Y59/H59,"0")+IFERROR(Y60/H60,"0")+IFERROR(Y61/H61,"0")</f>
        <v>18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0.26195999999999997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132</v>
      </c>
      <c r="Y63" s="41">
        <f>IFERROR(SUM(Y54:Y61),"0")</f>
        <v>144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20</v>
      </c>
      <c r="Y65" s="53">
        <f>IFERROR(IF(X65="",0,CEILING((X65/$H65),1)*$H65),"")</f>
        <v>21.6</v>
      </c>
      <c r="Z65" s="39">
        <f>IFERROR(IF(Y65=0,"",ROUNDUP(Y65/H65,0)*0.01898),"")</f>
        <v>3.7960000000000001E-2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20.75925925925926</v>
      </c>
      <c r="BN65" s="75">
        <f>IFERROR(Y65*I65/H65,"0")</f>
        <v>22.42</v>
      </c>
      <c r="BO65" s="75">
        <f>IFERROR(1/J65*(X65/H65),"0")</f>
        <v>2.8935185185185182E-2</v>
      </c>
      <c r="BP65" s="75">
        <f>IFERROR(1/J65*(Y65/H65),"0")</f>
        <v>3.125E-2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1.8518518518518516</v>
      </c>
      <c r="Y69" s="41">
        <f>IFERROR(Y65/H65,"0")+IFERROR(Y66/H66,"0")+IFERROR(Y67/H67,"0")+IFERROR(Y68/H68,"0")</f>
        <v>2</v>
      </c>
      <c r="Z69" s="41">
        <f>IFERROR(IF(Z65="",0,Z65),"0")+IFERROR(IF(Z66="",0,Z66),"0")+IFERROR(IF(Z67="",0,Z67),"0")+IFERROR(IF(Z68="",0,Z68),"0")</f>
        <v>3.7960000000000001E-2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20</v>
      </c>
      <c r="Y70" s="41">
        <f>IFERROR(SUM(Y65:Y68),"0")</f>
        <v>21.6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100</v>
      </c>
      <c r="Y84" s="53">
        <f t="shared" ref="Y84:Y89" si="5">IFERROR(IF(X84="",0,CEILING((X84/$H84),1)*$H84),"")</f>
        <v>108</v>
      </c>
      <c r="Z84" s="39">
        <f>IFERROR(IF(Y84=0,"",ROUNDUP(Y84/H84,0)*0.01898),"")</f>
        <v>0.1898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103.79629629629629</v>
      </c>
      <c r="BN84" s="75">
        <f t="shared" ref="BN84:BN89" si="7">IFERROR(Y84*I84/H84,"0")</f>
        <v>112.1</v>
      </c>
      <c r="BO84" s="75">
        <f t="shared" ref="BO84:BO89" si="8">IFERROR(1/J84*(X84/H84),"0")</f>
        <v>0.14467592592592593</v>
      </c>
      <c r="BP84" s="75">
        <f t="shared" ref="BP84:BP89" si="9">IFERROR(1/J84*(Y84/H84),"0")</f>
        <v>0.15625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23</v>
      </c>
      <c r="Y89" s="53">
        <f t="shared" si="5"/>
        <v>27</v>
      </c>
      <c r="Z89" s="39">
        <f>IFERROR(IF(Y89=0,"",ROUNDUP(Y89/H89,0)*0.00902),"")</f>
        <v>5.4120000000000001E-2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23.971111111111114</v>
      </c>
      <c r="BN89" s="75">
        <f t="shared" si="7"/>
        <v>28.14</v>
      </c>
      <c r="BO89" s="75">
        <f t="shared" si="8"/>
        <v>3.8720538720538718E-2</v>
      </c>
      <c r="BP89" s="75">
        <f t="shared" si="9"/>
        <v>4.5454545454545456E-2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14.37037037037037</v>
      </c>
      <c r="Y90" s="41">
        <f>IFERROR(Y84/H84,"0")+IFERROR(Y85/H85,"0")+IFERROR(Y86/H86,"0")+IFERROR(Y87/H87,"0")+IFERROR(Y88/H88,"0")+IFERROR(Y89/H89,"0")</f>
        <v>16</v>
      </c>
      <c r="Z90" s="41">
        <f>IFERROR(IF(Z84="",0,Z84),"0")+IFERROR(IF(Z85="",0,Z85),"0")+IFERROR(IF(Z86="",0,Z86),"0")+IFERROR(IF(Z87="",0,Z87),"0")+IFERROR(IF(Z88="",0,Z88),"0")+IFERROR(IF(Z89="",0,Z89),"0")</f>
        <v>0.24392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123</v>
      </c>
      <c r="Y91" s="41">
        <f>IFERROR(SUM(Y84:Y89),"0")</f>
        <v>135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200</v>
      </c>
      <c r="Y93" s="53">
        <f>IFERROR(IF(X93="",0,CEILING((X93/$H93),1)*$H93),"")</f>
        <v>202.5</v>
      </c>
      <c r="Z93" s="39">
        <f>IFERROR(IF(Y93=0,"",ROUNDUP(Y93/H93,0)*0.01898),"")</f>
        <v>0.47450000000000003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212.19753086419755</v>
      </c>
      <c r="BN93" s="75">
        <f>IFERROR(Y93*I93/H93,"0")</f>
        <v>214.85</v>
      </c>
      <c r="BO93" s="75">
        <f>IFERROR(1/J93*(X93/H93),"0")</f>
        <v>0.38580246913580246</v>
      </c>
      <c r="BP93" s="75">
        <f>IFERROR(1/J93*(Y93/H93),"0")</f>
        <v>0.390625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24.691358024691358</v>
      </c>
      <c r="Y97" s="41">
        <f>IFERROR(Y93/H93,"0")+IFERROR(Y94/H94,"0")+IFERROR(Y95/H95,"0")+IFERROR(Y96/H96,"0")</f>
        <v>25</v>
      </c>
      <c r="Z97" s="41">
        <f>IFERROR(IF(Z93="",0,Z93),"0")+IFERROR(IF(Z94="",0,Z94),"0")+IFERROR(IF(Z95="",0,Z95),"0")+IFERROR(IF(Z96="",0,Z96),"0")</f>
        <v>0.47450000000000003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200</v>
      </c>
      <c r="Y98" s="41">
        <f>IFERROR(SUM(Y93:Y96),"0")</f>
        <v>202.5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50</v>
      </c>
      <c r="Y101" s="53">
        <f t="shared" ref="Y101:Y107" si="10">IFERROR(IF(X101="",0,CEILING((X101/$H101),1)*$H101),"")</f>
        <v>54</v>
      </c>
      <c r="Z101" s="39">
        <f>IFERROR(IF(Y101=0,"",ROUNDUP(Y101/H101,0)*0.01898),"")</f>
        <v>9.4899999999999998E-2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51.898148148148145</v>
      </c>
      <c r="BN101" s="75">
        <f t="shared" ref="BN101:BN107" si="12">IFERROR(Y101*I101/H101,"0")</f>
        <v>56.05</v>
      </c>
      <c r="BO101" s="75">
        <f t="shared" ref="BO101:BO107" si="13">IFERROR(1/J101*(X101/H101),"0")</f>
        <v>7.2337962962962965E-2</v>
      </c>
      <c r="BP101" s="75">
        <f t="shared" ref="BP101:BP107" si="14">IFERROR(1/J101*(Y101/H101),"0")</f>
        <v>7.8125E-2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23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23.971111111111114</v>
      </c>
      <c r="BN105" s="75">
        <f t="shared" si="12"/>
        <v>28.14</v>
      </c>
      <c r="BO105" s="75">
        <f t="shared" si="13"/>
        <v>3.8720538720538718E-2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9.7407407407407405</v>
      </c>
      <c r="Y108" s="41">
        <f>IFERROR(Y101/H101,"0")+IFERROR(Y102/H102,"0")+IFERROR(Y103/H103,"0")+IFERROR(Y104/H104,"0")+IFERROR(Y105/H105,"0")+IFERROR(Y106/H106,"0")+IFERROR(Y107/H107,"0")</f>
        <v>11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0.14901999999999999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73</v>
      </c>
      <c r="Y109" s="41">
        <f>IFERROR(SUM(Y101:Y107),"0")</f>
        <v>81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300</v>
      </c>
      <c r="Y119" s="53">
        <f>IFERROR(IF(X119="",0,CEILING((X119/$H119),1)*$H119),"")</f>
        <v>307.8</v>
      </c>
      <c r="Z119" s="39">
        <f>IFERROR(IF(Y119=0,"",ROUNDUP(Y119/H119,0)*0.01898),"")</f>
        <v>0.72123999999999999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318.07407407407402</v>
      </c>
      <c r="BN119" s="75">
        <f>IFERROR(Y119*I119/H119,"0")</f>
        <v>326.34399999999999</v>
      </c>
      <c r="BO119" s="75">
        <f>IFERROR(1/J119*(X119/H119),"0")</f>
        <v>0.57870370370370372</v>
      </c>
      <c r="BP119" s="75">
        <f>IFERROR(1/J119*(Y119/H119),"0")</f>
        <v>0.59375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37.037037037037038</v>
      </c>
      <c r="Y123" s="41">
        <f>IFERROR(Y119/H119,"0")+IFERROR(Y120/H120,"0")+IFERROR(Y121/H121,"0")+IFERROR(Y122/H122,"0")</f>
        <v>38</v>
      </c>
      <c r="Z123" s="41">
        <f>IFERROR(IF(Z119="",0,Z119),"0")+IFERROR(IF(Z120="",0,Z120),"0")+IFERROR(IF(Z121="",0,Z121),"0")+IFERROR(IF(Z122="",0,Z122),"0")</f>
        <v>0.72123999999999999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300</v>
      </c>
      <c r="Y124" s="41">
        <f>IFERROR(SUM(Y119:Y122),"0")</f>
        <v>307.8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50</v>
      </c>
      <c r="Y171" s="53">
        <f t="shared" ref="Y171:Y180" si="15">IFERROR(IF(X171="",0,CEILING((X171/$H171),1)*$H171),"")</f>
        <v>52.5</v>
      </c>
      <c r="Z171" s="39">
        <f>IFERROR(IF(Y171=0,"",ROUNDUP(Y171/H171,0)*0.00902),"")</f>
        <v>0.1353</v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52.714285714285715</v>
      </c>
      <c r="BN171" s="75">
        <f t="shared" ref="BN171:BN180" si="17">IFERROR(Y171*I171/H171,"0")</f>
        <v>55.35</v>
      </c>
      <c r="BO171" s="75">
        <f t="shared" ref="BO171:BO180" si="18">IFERROR(1/J171*(X171/H171),"0")</f>
        <v>0.10822510822510824</v>
      </c>
      <c r="BP171" s="75">
        <f t="shared" ref="BP171:BP180" si="19">IFERROR(1/J171*(Y171/H171),"0")</f>
        <v>0.11363636363636365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14.285714285714286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15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0.1353</v>
      </c>
      <c r="AA181" s="64"/>
      <c r="AB181" s="64"/>
      <c r="AC181" s="64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50</v>
      </c>
      <c r="Y182" s="41">
        <f>IFERROR(SUM(Y171:Y180),"0")</f>
        <v>52.5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50</v>
      </c>
      <c r="Y214" s="53">
        <f t="shared" ref="Y214:Y226" si="26">IFERROR(IF(X214="",0,CEILING((X214/$H214),1)*$H214),"")</f>
        <v>50.400000000000006</v>
      </c>
      <c r="Z214" s="39">
        <f>IFERROR(IF(Y214=0,"",ROUNDUP(Y214/H214,0)*0.00902),"")</f>
        <v>0.10824</v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52.976190476190474</v>
      </c>
      <c r="BN214" s="75">
        <f t="shared" ref="BN214:BN226" si="28">IFERROR(Y214*I214/H214,"0")</f>
        <v>53.400000000000006</v>
      </c>
      <c r="BO214" s="75">
        <f t="shared" ref="BO214:BO226" si="29">IFERROR(1/J214*(X214/H214),"0")</f>
        <v>9.0187590187590191E-2</v>
      </c>
      <c r="BP214" s="75">
        <f t="shared" ref="BP214:BP226" si="30">IFERROR(1/J214*(Y214/H214),"0")</f>
        <v>9.0909090909090912E-2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11.904761904761905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0.10824</v>
      </c>
      <c r="AA227" s="64"/>
      <c r="AB227" s="64"/>
      <c r="AC227" s="64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50</v>
      </c>
      <c r="Y228" s="41">
        <f>IFERROR(SUM(Y214:Y226),"0")</f>
        <v>50.400000000000006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50</v>
      </c>
      <c r="Y259" s="53">
        <f t="shared" ref="Y259:Y266" si="31">IFERROR(IF(X259="",0,CEILING((X259/$H259),1)*$H259),"")</f>
        <v>54</v>
      </c>
      <c r="Z259" s="39">
        <f>IFERROR(IF(Y259=0,"",ROUNDUP(Y259/H259,0)*0.00902),"")</f>
        <v>9.0200000000000002E-2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51.759259259259252</v>
      </c>
      <c r="BN259" s="75">
        <f t="shared" ref="BN259:BN266" si="33">IFERROR(Y259*I259/H259,"0")</f>
        <v>55.9</v>
      </c>
      <c r="BO259" s="75">
        <f t="shared" ref="BO259:BO266" si="34">IFERROR(1/J259*(X259/H259),"0")</f>
        <v>7.0145903479236812E-2</v>
      </c>
      <c r="BP259" s="75">
        <f t="shared" ref="BP259:BP266" si="35">IFERROR(1/J259*(Y259/H259),"0")</f>
        <v>7.575757575757576E-2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50</v>
      </c>
      <c r="Y260" s="53">
        <f t="shared" si="31"/>
        <v>54</v>
      </c>
      <c r="Z260" s="39">
        <f>IFERROR(IF(Y260=0,"",ROUNDUP(Y260/H260,0)*0.00902),"")</f>
        <v>9.0200000000000002E-2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51.759259259259252</v>
      </c>
      <c r="BN260" s="75">
        <f t="shared" si="33"/>
        <v>55.9</v>
      </c>
      <c r="BO260" s="75">
        <f t="shared" si="34"/>
        <v>7.0145903479236812E-2</v>
      </c>
      <c r="BP260" s="75">
        <f t="shared" si="35"/>
        <v>7.575757575757576E-2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50</v>
      </c>
      <c r="Y261" s="53">
        <f t="shared" si="31"/>
        <v>54</v>
      </c>
      <c r="Z261" s="39">
        <f>IFERROR(IF(Y261=0,"",ROUNDUP(Y261/H261,0)*0.00902),"")</f>
        <v>9.0200000000000002E-2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51.759259259259252</v>
      </c>
      <c r="BN261" s="75">
        <f t="shared" si="33"/>
        <v>55.9</v>
      </c>
      <c r="BO261" s="75">
        <f t="shared" si="34"/>
        <v>7.0145903479236812E-2</v>
      </c>
      <c r="BP261" s="75">
        <f t="shared" si="35"/>
        <v>7.575757575757576E-2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27.777777777777779</v>
      </c>
      <c r="Y267" s="41">
        <f>IFERROR(Y259/H259,"0")+IFERROR(Y260/H260,"0")+IFERROR(Y261/H261,"0")+IFERROR(Y262/H262,"0")+IFERROR(Y263/H263,"0")+IFERROR(Y264/H264,"0")+IFERROR(Y265/H265,"0")+IFERROR(Y266/H266,"0")</f>
        <v>30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0.27060000000000001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150</v>
      </c>
      <c r="Y268" s="41">
        <f>IFERROR(SUM(Y259:Y266),"0")</f>
        <v>162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50</v>
      </c>
      <c r="Y363" s="53">
        <f t="shared" ref="Y363:Y369" si="56">IFERROR(IF(X363="",0,CEILING((X363/$H363),1)*$H363),"")</f>
        <v>50.400000000000006</v>
      </c>
      <c r="Z363" s="39">
        <f>IFERROR(IF(Y363=0,"",ROUNDUP(Y363/H363,0)*0.00902),"")</f>
        <v>0.10824</v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52.976190476190474</v>
      </c>
      <c r="BN363" s="75">
        <f t="shared" ref="BN363:BN369" si="58">IFERROR(Y363*I363/H363,"0")</f>
        <v>53.400000000000006</v>
      </c>
      <c r="BO363" s="75">
        <f t="shared" ref="BO363:BO369" si="59">IFERROR(1/J363*(X363/H363),"0")</f>
        <v>9.0187590187590191E-2</v>
      </c>
      <c r="BP363" s="75">
        <f t="shared" ref="BP363:BP369" si="60">IFERROR(1/J363*(Y363/H363),"0")</f>
        <v>9.0909090909090912E-2</v>
      </c>
    </row>
    <row r="364" spans="1:68" ht="27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30</v>
      </c>
      <c r="Y364" s="53">
        <f t="shared" si="56"/>
        <v>33.6</v>
      </c>
      <c r="Z364" s="39">
        <f>IFERROR(IF(Y364=0,"",ROUNDUP(Y364/H364,0)*0.00902),"")</f>
        <v>7.2160000000000002E-2</v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31.785714285714285</v>
      </c>
      <c r="BN364" s="75">
        <f t="shared" si="58"/>
        <v>35.6</v>
      </c>
      <c r="BO364" s="75">
        <f t="shared" si="59"/>
        <v>5.4112554112554112E-2</v>
      </c>
      <c r="BP364" s="75">
        <f t="shared" si="60"/>
        <v>6.0606060606060608E-2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19.047619047619047</v>
      </c>
      <c r="Y370" s="41">
        <f>IFERROR(Y363/H363,"0")+IFERROR(Y364/H364,"0")+IFERROR(Y365/H365,"0")+IFERROR(Y366/H366,"0")+IFERROR(Y367/H367,"0")+IFERROR(Y368/H368,"0")+IFERROR(Y369/H369,"0")</f>
        <v>20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0.1804</v>
      </c>
      <c r="AA370" s="64"/>
      <c r="AB370" s="64"/>
      <c r="AC370" s="64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80</v>
      </c>
      <c r="Y371" s="41">
        <f>IFERROR(SUM(Y363:Y369),"0")</f>
        <v>84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8</v>
      </c>
      <c r="Y389" s="53">
        <f>IFERROR(IF(X389="",0,CEILING((X389/$H389),1)*$H389),"")</f>
        <v>10.199999999999999</v>
      </c>
      <c r="Z389" s="39">
        <f>IFERROR(IF(Y389=0,"",ROUNDUP(Y389/H389,0)*0.00651),"")</f>
        <v>2.6040000000000001E-2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9.0352941176470587</v>
      </c>
      <c r="BN389" s="75">
        <f>IFERROR(Y389*I389/H389,"0")</f>
        <v>11.52</v>
      </c>
      <c r="BO389" s="75">
        <f>IFERROR(1/J389*(X389/H389),"0")</f>
        <v>1.7237664296487831E-2</v>
      </c>
      <c r="BP389" s="75">
        <f>IFERROR(1/J389*(Y389/H389),"0")</f>
        <v>2.197802197802198E-2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3.1372549019607847</v>
      </c>
      <c r="Y390" s="41">
        <f>IFERROR(Y386/H386,"0")+IFERROR(Y387/H387,"0")+IFERROR(Y388/H388,"0")+IFERROR(Y389/H389,"0")</f>
        <v>4</v>
      </c>
      <c r="Z390" s="41">
        <f>IFERROR(IF(Z386="",0,Z386),"0")+IFERROR(IF(Z387="",0,Z387),"0")+IFERROR(IF(Z388="",0,Z388),"0")+IFERROR(IF(Z389="",0,Z389),"0")</f>
        <v>2.6040000000000001E-2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8</v>
      </c>
      <c r="Y391" s="41">
        <f>IFERROR(SUM(Y386:Y389),"0")</f>
        <v>10.199999999999999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30</v>
      </c>
      <c r="Y420" s="53">
        <f t="shared" ref="Y420:Y427" si="61">IFERROR(IF(X420="",0,CEILING((X420/$H420),1)*$H420),"")</f>
        <v>30</v>
      </c>
      <c r="Z420" s="39">
        <f>IFERROR(IF(Y420=0,"",ROUNDUP(Y420/H420,0)*0.02175),"")</f>
        <v>4.3499999999999997E-2</v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30.94</v>
      </c>
      <c r="BN420" s="75">
        <f t="shared" ref="BN420:BN427" si="63">IFERROR(Y420*I420/H420,"0")</f>
        <v>30.94</v>
      </c>
      <c r="BO420" s="75">
        <f t="shared" ref="BO420:BO427" si="64">IFERROR(1/J420*(X420/H420),"0")</f>
        <v>4.1666666666666664E-2</v>
      </c>
      <c r="BP420" s="75">
        <f t="shared" ref="BP420:BP427" si="65">IFERROR(1/J420*(Y420/H420),"0")</f>
        <v>4.1666666666666664E-2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500</v>
      </c>
      <c r="Y421" s="53">
        <f t="shared" si="61"/>
        <v>510</v>
      </c>
      <c r="Z421" s="39">
        <f>IFERROR(IF(Y421=0,"",ROUNDUP(Y421/H421,0)*0.02175),"")</f>
        <v>0.73949999999999994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515.66666666666663</v>
      </c>
      <c r="BN421" s="75">
        <f t="shared" si="63"/>
        <v>525.98</v>
      </c>
      <c r="BO421" s="75">
        <f t="shared" si="64"/>
        <v>0.69444444444444442</v>
      </c>
      <c r="BP421" s="75">
        <f t="shared" si="65"/>
        <v>0.70833333333333326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500</v>
      </c>
      <c r="Y422" s="53">
        <f t="shared" si="61"/>
        <v>510</v>
      </c>
      <c r="Z422" s="39">
        <f>IFERROR(IF(Y422=0,"",ROUNDUP(Y422/H422,0)*0.02175),"")</f>
        <v>0.73949999999999994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515.66666666666663</v>
      </c>
      <c r="BN422" s="75">
        <f t="shared" si="63"/>
        <v>525.98</v>
      </c>
      <c r="BO422" s="75">
        <f t="shared" si="64"/>
        <v>0.69444444444444442</v>
      </c>
      <c r="BP422" s="75">
        <f t="shared" si="65"/>
        <v>0.70833333333333326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500</v>
      </c>
      <c r="Y423" s="53">
        <f t="shared" si="61"/>
        <v>510</v>
      </c>
      <c r="Z423" s="39">
        <f>IFERROR(IF(Y423=0,"",ROUNDUP(Y423/H423,0)*0.02175),"")</f>
        <v>0.73949999999999994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515.66666666666663</v>
      </c>
      <c r="BN423" s="75">
        <f t="shared" si="63"/>
        <v>525.98</v>
      </c>
      <c r="BO423" s="75">
        <f t="shared" si="64"/>
        <v>0.69444444444444442</v>
      </c>
      <c r="BP423" s="75">
        <f t="shared" si="65"/>
        <v>0.70833333333333326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102</v>
      </c>
      <c r="Y428" s="41">
        <f>IFERROR(Y420/H420,"0")+IFERROR(Y421/H421,"0")+IFERROR(Y422/H422,"0")+IFERROR(Y423/H423,"0")+IFERROR(Y424/H424,"0")+IFERROR(Y425/H425,"0")+IFERROR(Y426/H426,"0")+IFERROR(Y427/H427,"0")</f>
        <v>104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2.262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1530</v>
      </c>
      <c r="Y429" s="41">
        <f>IFERROR(SUM(Y420:Y427),"0")</f>
        <v>1560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500</v>
      </c>
      <c r="Y431" s="53">
        <f>IFERROR(IF(X431="",0,CEILING((X431/$H431),1)*$H431),"")</f>
        <v>510</v>
      </c>
      <c r="Z431" s="39">
        <f>IFERROR(IF(Y431=0,"",ROUNDUP(Y431/H431,0)*0.02175),"")</f>
        <v>0.73949999999999994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515.66666666666663</v>
      </c>
      <c r="BN431" s="75">
        <f>IFERROR(Y431*I431/H431,"0")</f>
        <v>525.98</v>
      </c>
      <c r="BO431" s="75">
        <f>IFERROR(1/J431*(X431/H431),"0")</f>
        <v>0.69444444444444442</v>
      </c>
      <c r="BP431" s="75">
        <f>IFERROR(1/J431*(Y431/H431),"0")</f>
        <v>0.70833333333333326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33.333333333333336</v>
      </c>
      <c r="Y434" s="41">
        <f>IFERROR(Y431/H431,"0")+IFERROR(Y432/H432,"0")+IFERROR(Y433/H433,"0")</f>
        <v>34</v>
      </c>
      <c r="Z434" s="41">
        <f>IFERROR(IF(Z431="",0,Z431),"0")+IFERROR(IF(Z432="",0,Z432),"0")+IFERROR(IF(Z433="",0,Z433),"0")</f>
        <v>0.73949999999999994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500</v>
      </c>
      <c r="Y435" s="41">
        <f>IFERROR(SUM(Y431:Y433),"0")</f>
        <v>510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200</v>
      </c>
      <c r="Y458" s="53">
        <f>IFERROR(IF(X458="",0,CEILING((X458/$H458),1)*$H458),"")</f>
        <v>207</v>
      </c>
      <c r="Z458" s="39">
        <f>IFERROR(IF(Y458=0,"",ROUNDUP(Y458/H458,0)*0.01898),"")</f>
        <v>0.43653999999999998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210.97777777777776</v>
      </c>
      <c r="BN458" s="75">
        <f>IFERROR(Y458*I458/H458,"0")</f>
        <v>218.36199999999999</v>
      </c>
      <c r="BO458" s="75">
        <f>IFERROR(1/J458*(X458/H458),"0")</f>
        <v>0.34722222222222221</v>
      </c>
      <c r="BP458" s="75">
        <f>IFERROR(1/J458*(Y458/H458),"0")</f>
        <v>0.359375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22.222222222222221</v>
      </c>
      <c r="Y461" s="41">
        <f>IFERROR(Y458/H458,"0")+IFERROR(Y459/H459,"0")+IFERROR(Y460/H460,"0")</f>
        <v>23</v>
      </c>
      <c r="Z461" s="41">
        <f>IFERROR(IF(Z458="",0,Z458),"0")+IFERROR(IF(Z459="",0,Z459),"0")+IFERROR(IF(Z460="",0,Z460),"0")</f>
        <v>0.43653999999999998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200</v>
      </c>
      <c r="Y462" s="41">
        <f>IFERROR(SUM(Y458:Y460),"0")</f>
        <v>207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50</v>
      </c>
      <c r="Y466" s="53">
        <f t="shared" ref="Y466:Y471" si="66">IFERROR(IF(X466="",0,CEILING((X466/$H466),1)*$H466),"")</f>
        <v>54</v>
      </c>
      <c r="Z466" s="39">
        <f>IFERROR(IF(Y466=0,"",ROUNDUP(Y466/H466,0)*0.00902),"")</f>
        <v>9.0200000000000002E-2</v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51.759259259259252</v>
      </c>
      <c r="BN466" s="75">
        <f t="shared" ref="BN466:BN471" si="68">IFERROR(Y466*I466/H466,"0")</f>
        <v>55.9</v>
      </c>
      <c r="BO466" s="75">
        <f t="shared" ref="BO466:BO471" si="69">IFERROR(1/J466*(X466/H466),"0")</f>
        <v>7.0145903479236812E-2</v>
      </c>
      <c r="BP466" s="75">
        <f t="shared" ref="BP466:BP471" si="70">IFERROR(1/J466*(Y466/H466),"0")</f>
        <v>7.575757575757576E-2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100</v>
      </c>
      <c r="Y467" s="53">
        <f t="shared" si="66"/>
        <v>102.60000000000001</v>
      </c>
      <c r="Z467" s="39">
        <f>IFERROR(IF(Y467=0,"",ROUNDUP(Y467/H467,0)*0.00902),"")</f>
        <v>0.17138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103.5185185185185</v>
      </c>
      <c r="BN467" s="75">
        <f t="shared" si="68"/>
        <v>106.21</v>
      </c>
      <c r="BO467" s="75">
        <f t="shared" si="69"/>
        <v>0.14029180695847362</v>
      </c>
      <c r="BP467" s="75">
        <f t="shared" si="70"/>
        <v>0.14393939393939395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27.777777777777779</v>
      </c>
      <c r="Y472" s="41">
        <f>IFERROR(Y466/H466,"0")+IFERROR(Y467/H467,"0")+IFERROR(Y468/H468,"0")+IFERROR(Y469/H469,"0")+IFERROR(Y470/H470,"0")+IFERROR(Y471/H471,"0")</f>
        <v>29</v>
      </c>
      <c r="Z472" s="41">
        <f>IFERROR(IF(Z466="",0,Z466),"0")+IFERROR(IF(Z467="",0,Z467),"0")+IFERROR(IF(Z468="",0,Z468),"0")+IFERROR(IF(Z469="",0,Z469),"0")+IFERROR(IF(Z470="",0,Z470),"0")+IFERROR(IF(Z471="",0,Z471),"0")</f>
        <v>0.26158000000000003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150</v>
      </c>
      <c r="Y473" s="41">
        <f>IFERROR(SUM(Y466:Y471),"0")</f>
        <v>156.60000000000002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100</v>
      </c>
      <c r="Y484" s="53">
        <f>IFERROR(IF(X484="",0,CEILING((X484/$H484),1)*$H484),"")</f>
        <v>102.60000000000001</v>
      </c>
      <c r="Z484" s="39">
        <f>IFERROR(IF(Y484=0,"",ROUNDUP(Y484/H484,0)*0.00902),"")</f>
        <v>0.17138</v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103.5185185185185</v>
      </c>
      <c r="BN484" s="75">
        <f>IFERROR(Y484*I484/H484,"0")</f>
        <v>106.21</v>
      </c>
      <c r="BO484" s="75">
        <f>IFERROR(1/J484*(X484/H484),"0")</f>
        <v>0.14029180695847362</v>
      </c>
      <c r="BP484" s="75">
        <f>IFERROR(1/J484*(Y484/H484),"0")</f>
        <v>0.14393939393939395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18.518518518518519</v>
      </c>
      <c r="Y487" s="41">
        <f>IFERROR(Y484/H484,"0")+IFERROR(Y485/H485,"0")+IFERROR(Y486/H486,"0")</f>
        <v>19</v>
      </c>
      <c r="Z487" s="41">
        <f>IFERROR(IF(Z484="",0,Z484),"0")+IFERROR(IF(Z485="",0,Z485),"0")+IFERROR(IF(Z486="",0,Z486),"0")</f>
        <v>0.17138</v>
      </c>
      <c r="AA487" s="64"/>
      <c r="AB487" s="64"/>
      <c r="AC487" s="64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100</v>
      </c>
      <c r="Y488" s="41">
        <f>IFERROR(SUM(Y484:Y486),"0")</f>
        <v>102.60000000000001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50</v>
      </c>
      <c r="Y494" s="53">
        <f t="shared" si="71"/>
        <v>52.800000000000004</v>
      </c>
      <c r="Z494" s="39">
        <f>IFERROR(IF(Y494=0,"",ROUNDUP(Y494/H494,0)*0.01196),"")</f>
        <v>0.1196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53.314393939393938</v>
      </c>
      <c r="BN494" s="75">
        <f t="shared" si="73"/>
        <v>56.3</v>
      </c>
      <c r="BO494" s="75">
        <f t="shared" si="74"/>
        <v>9.1054778554778545E-2</v>
      </c>
      <c r="BP494" s="75">
        <f t="shared" si="75"/>
        <v>9.6153846153846159E-2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100</v>
      </c>
      <c r="Y495" s="53">
        <f t="shared" si="71"/>
        <v>100.32000000000001</v>
      </c>
      <c r="Z495" s="39">
        <f>IFERROR(IF(Y495=0,"",ROUNDUP(Y495/H495,0)*0.01196),"")</f>
        <v>0.22724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106.62878787878788</v>
      </c>
      <c r="BN495" s="75">
        <f t="shared" si="73"/>
        <v>106.97</v>
      </c>
      <c r="BO495" s="75">
        <f t="shared" si="74"/>
        <v>0.18210955710955709</v>
      </c>
      <c r="BP495" s="75">
        <f t="shared" si="75"/>
        <v>0.18269230769230771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100</v>
      </c>
      <c r="Y496" s="53">
        <f t="shared" si="71"/>
        <v>100.32000000000001</v>
      </c>
      <c r="Z496" s="39">
        <f>IFERROR(IF(Y496=0,"",ROUNDUP(Y496/H496,0)*0.01196),"")</f>
        <v>0.22724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106.62878787878788</v>
      </c>
      <c r="BN496" s="75">
        <f t="shared" si="73"/>
        <v>106.97</v>
      </c>
      <c r="BO496" s="75">
        <f t="shared" si="74"/>
        <v>0.18210955710955709</v>
      </c>
      <c r="BP496" s="75">
        <f t="shared" si="75"/>
        <v>0.18269230769230771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47.348484848484844</v>
      </c>
      <c r="Y500" s="41">
        <f>IFERROR(Y492/H492,"0")+IFERROR(Y493/H493,"0")+IFERROR(Y494/H494,"0")+IFERROR(Y495/H495,"0")+IFERROR(Y496/H496,"0")+IFERROR(Y497/H497,"0")+IFERROR(Y498/H498,"0")+IFERROR(Y499/H499,"0")</f>
        <v>48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0.57407999999999992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250</v>
      </c>
      <c r="Y501" s="41">
        <f>IFERROR(SUM(Y492:Y499),"0")</f>
        <v>253.44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200</v>
      </c>
      <c r="Y503" s="53">
        <f>IFERROR(IF(X503="",0,CEILING((X503/$H503),1)*$H503),"")</f>
        <v>200.64000000000001</v>
      </c>
      <c r="Z503" s="39">
        <f>IFERROR(IF(Y503=0,"",ROUNDUP(Y503/H503,0)*0.01196),"")</f>
        <v>0.45448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213.25757575757575</v>
      </c>
      <c r="BN503" s="75">
        <f>IFERROR(Y503*I503/H503,"0")</f>
        <v>213.94</v>
      </c>
      <c r="BO503" s="75">
        <f>IFERROR(1/J503*(X503/H503),"0")</f>
        <v>0.36421911421911418</v>
      </c>
      <c r="BP503" s="75">
        <f>IFERROR(1/J503*(Y503/H503),"0")</f>
        <v>0.36538461538461542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37.878787878787875</v>
      </c>
      <c r="Y506" s="41">
        <f>IFERROR(Y503/H503,"0")+IFERROR(Y504/H504,"0")+IFERROR(Y505/H505,"0")</f>
        <v>38</v>
      </c>
      <c r="Z506" s="41">
        <f>IFERROR(IF(Z503="",0,Z503),"0")+IFERROR(IF(Z504="",0,Z504),"0")+IFERROR(IF(Z505="",0,Z505),"0")</f>
        <v>0.45448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200</v>
      </c>
      <c r="Y507" s="41">
        <f>IFERROR(SUM(Y503:Y505),"0")</f>
        <v>200.64000000000001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100</v>
      </c>
      <c r="Y509" s="53">
        <f t="shared" ref="Y509:Y515" si="76">IFERROR(IF(X509="",0,CEILING((X509/$H509),1)*$H509),"")</f>
        <v>100.32000000000001</v>
      </c>
      <c r="Z509" s="39">
        <f>IFERROR(IF(Y509=0,"",ROUNDUP(Y509/H509,0)*0.01196),"")</f>
        <v>0.22724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106.62878787878788</v>
      </c>
      <c r="BN509" s="75">
        <f t="shared" ref="BN509:BN515" si="78">IFERROR(Y509*I509/H509,"0")</f>
        <v>106.97</v>
      </c>
      <c r="BO509" s="75">
        <f t="shared" ref="BO509:BO515" si="79">IFERROR(1/J509*(X509/H509),"0")</f>
        <v>0.18210955710955709</v>
      </c>
      <c r="BP509" s="75">
        <f t="shared" ref="BP509:BP515" si="80">IFERROR(1/J509*(Y509/H509),"0")</f>
        <v>0.18269230769230771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100</v>
      </c>
      <c r="Y510" s="53">
        <f t="shared" si="76"/>
        <v>100.32000000000001</v>
      </c>
      <c r="Z510" s="39">
        <f>IFERROR(IF(Y510=0,"",ROUNDUP(Y510/H510,0)*0.01196),"")</f>
        <v>0.22724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106.62878787878788</v>
      </c>
      <c r="BN510" s="75">
        <f t="shared" si="78"/>
        <v>106.97</v>
      </c>
      <c r="BO510" s="75">
        <f t="shared" si="79"/>
        <v>0.18210955710955709</v>
      </c>
      <c r="BP510" s="75">
        <f t="shared" si="80"/>
        <v>0.18269230769230771</v>
      </c>
    </row>
    <row r="511" spans="1:68" ht="27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30</v>
      </c>
      <c r="Y511" s="53">
        <f t="shared" si="76"/>
        <v>31.68</v>
      </c>
      <c r="Z511" s="39">
        <f>IFERROR(IF(Y511=0,"",ROUNDUP(Y511/H511,0)*0.01196),"")</f>
        <v>7.1760000000000004E-2</v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31.988636363636363</v>
      </c>
      <c r="BN511" s="75">
        <f t="shared" si="78"/>
        <v>33.779999999999994</v>
      </c>
      <c r="BO511" s="75">
        <f t="shared" si="79"/>
        <v>5.4632867132867136E-2</v>
      </c>
      <c r="BP511" s="75">
        <f t="shared" si="80"/>
        <v>5.7692307692307696E-2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43.560606060606055</v>
      </c>
      <c r="Y516" s="41">
        <f>IFERROR(Y509/H509,"0")+IFERROR(Y510/H510,"0")+IFERROR(Y511/H511,"0")+IFERROR(Y512/H512,"0")+IFERROR(Y513/H513,"0")+IFERROR(Y514/H514,"0")+IFERROR(Y515/H515,"0")</f>
        <v>44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0.52624000000000004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230</v>
      </c>
      <c r="Y517" s="41">
        <f>IFERROR(SUM(Y509:Y515),"0")</f>
        <v>232.32000000000002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4366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4495.2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4555.7961486951681</v>
      </c>
      <c r="Y547" s="41">
        <f>IFERROR(SUM(BN22:BN543),"0")</f>
        <v>4690.496000000001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7</v>
      </c>
      <c r="Y548" s="42">
        <f>ROUNDUP(SUM(BP22:BP543),0)</f>
        <v>8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4730.7961486951681</v>
      </c>
      <c r="Y549" s="41">
        <f>GrossWeightTotalR+PalletQtyTotalR*25</f>
        <v>4890.496000000001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514.7064388044779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532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8.0729399999999991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21.6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165.6</v>
      </c>
      <c r="F556" s="50">
        <f>IFERROR(Y84*1,"0")+IFERROR(Y85*1,"0")+IFERROR(Y86*1,"0")+IFERROR(Y87*1,"0")+IFERROR(Y88*1,"0")+IFERROR(Y89*1,"0")+IFERROR(Y93*1,"0")+IFERROR(Y94*1,"0")+IFERROR(Y95*1,"0")+IFERROR(Y96*1,"0")</f>
        <v>337.5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388.8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52.5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50.400000000000006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162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94.2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2070</v>
      </c>
      <c r="X556" s="50">
        <f>IFERROR(Y449*1,"0")+IFERROR(Y450*1,"0")+IFERROR(Y454*1,"0")+IFERROR(Y458*1,"0")+IFERROR(Y459*1,"0")+IFERROR(Y460*1,"0")</f>
        <v>207</v>
      </c>
      <c r="Y556" s="50">
        <f>IFERROR(Y466*1,"0")+IFERROR(Y467*1,"0")+IFERROR(Y468*1,"0")+IFERROR(Y469*1,"0")+IFERROR(Y470*1,"0")+IFERROR(Y471*1,"0")+IFERROR(Y475*1,"0")</f>
        <v>156.60000000000002</v>
      </c>
      <c r="Z556" s="50">
        <f>IFERROR(Y480*1,"0")+IFERROR(Y484*1,"0")+IFERROR(Y485*1,"0")+IFERROR(Y486*1,"0")</f>
        <v>102.60000000000001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686.40000000000009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30,00"/>
        <filter val="1,85"/>
        <filter val="100,00"/>
        <filter val="102,00"/>
        <filter val="11,90"/>
        <filter val="123,00"/>
        <filter val="132,00"/>
        <filter val="14,29"/>
        <filter val="14,37"/>
        <filter val="150,00"/>
        <filter val="16,37"/>
        <filter val="18,52"/>
        <filter val="19,05"/>
        <filter val="20,00"/>
        <filter val="200,00"/>
        <filter val="22,22"/>
        <filter val="23,00"/>
        <filter val="230,00"/>
        <filter val="24,69"/>
        <filter val="250,00"/>
        <filter val="27,78"/>
        <filter val="3,14"/>
        <filter val="30,00"/>
        <filter val="300,00"/>
        <filter val="32,00"/>
        <filter val="33,33"/>
        <filter val="37,04"/>
        <filter val="37,88"/>
        <filter val="4 366,00"/>
        <filter val="4 555,80"/>
        <filter val="4 730,80"/>
        <filter val="43,56"/>
        <filter val="47,35"/>
        <filter val="50,00"/>
        <filter val="500,00"/>
        <filter val="514,71"/>
        <filter val="7"/>
        <filter val="73,00"/>
        <filter val="8,00"/>
        <filter val="80,00"/>
        <filter val="9,74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9" spans="2:8" x14ac:dyDescent="0.2">
      <c r="B9" s="51" t="s">
        <v>861</v>
      </c>
      <c r="C9" s="51" t="s">
        <v>862</v>
      </c>
      <c r="D9" s="51" t="s">
        <v>863</v>
      </c>
      <c r="E9" s="51" t="s">
        <v>46</v>
      </c>
    </row>
    <row r="10" spans="2:8" x14ac:dyDescent="0.2">
      <c r="B10" s="51" t="s">
        <v>864</v>
      </c>
      <c r="C10" s="51" t="s">
        <v>865</v>
      </c>
      <c r="D10" s="51" t="s">
        <v>866</v>
      </c>
      <c r="E10" s="51" t="s">
        <v>46</v>
      </c>
    </row>
    <row r="11" spans="2:8" x14ac:dyDescent="0.2">
      <c r="B11" s="51" t="s">
        <v>867</v>
      </c>
      <c r="C11" s="51" t="s">
        <v>868</v>
      </c>
      <c r="D11" s="51" t="s">
        <v>869</v>
      </c>
      <c r="E11" s="51" t="s">
        <v>46</v>
      </c>
    </row>
    <row r="12" spans="2:8" x14ac:dyDescent="0.2">
      <c r="B12" s="51" t="s">
        <v>870</v>
      </c>
      <c r="C12" s="51" t="s">
        <v>871</v>
      </c>
      <c r="D12" s="51" t="s">
        <v>872</v>
      </c>
      <c r="E12" s="51" t="s">
        <v>46</v>
      </c>
    </row>
    <row r="13" spans="2:8" x14ac:dyDescent="0.2">
      <c r="B13" s="51" t="s">
        <v>873</v>
      </c>
      <c r="C13" s="51" t="s">
        <v>874</v>
      </c>
      <c r="D13" s="51" t="s">
        <v>124</v>
      </c>
      <c r="E13" s="51" t="s">
        <v>46</v>
      </c>
    </row>
    <row r="15" spans="2:8" x14ac:dyDescent="0.2">
      <c r="B15" s="51" t="s">
        <v>875</v>
      </c>
      <c r="C15" s="51" t="s">
        <v>853</v>
      </c>
      <c r="D15" s="51" t="s">
        <v>46</v>
      </c>
      <c r="E15" s="51" t="s">
        <v>46</v>
      </c>
    </row>
    <row r="17" spans="2:5" x14ac:dyDescent="0.2">
      <c r="B17" s="51" t="s">
        <v>876</v>
      </c>
      <c r="C17" s="51" t="s">
        <v>856</v>
      </c>
      <c r="D17" s="51" t="s">
        <v>46</v>
      </c>
      <c r="E17" s="51" t="s">
        <v>46</v>
      </c>
    </row>
    <row r="19" spans="2:5" x14ac:dyDescent="0.2">
      <c r="B19" s="51" t="s">
        <v>877</v>
      </c>
      <c r="C19" s="51" t="s">
        <v>859</v>
      </c>
      <c r="D19" s="51" t="s">
        <v>46</v>
      </c>
      <c r="E19" s="51" t="s">
        <v>46</v>
      </c>
    </row>
    <row r="21" spans="2:5" x14ac:dyDescent="0.2">
      <c r="B21" s="51" t="s">
        <v>878</v>
      </c>
      <c r="C21" s="51" t="s">
        <v>862</v>
      </c>
      <c r="D21" s="51" t="s">
        <v>46</v>
      </c>
      <c r="E21" s="51" t="s">
        <v>46</v>
      </c>
    </row>
    <row r="23" spans="2:5" x14ac:dyDescent="0.2">
      <c r="B23" s="51" t="s">
        <v>879</v>
      </c>
      <c r="C23" s="51" t="s">
        <v>865</v>
      </c>
      <c r="D23" s="51" t="s">
        <v>46</v>
      </c>
      <c r="E23" s="51" t="s">
        <v>46</v>
      </c>
    </row>
    <row r="25" spans="2:5" x14ac:dyDescent="0.2">
      <c r="B25" s="51" t="s">
        <v>880</v>
      </c>
      <c r="C25" s="51" t="s">
        <v>868</v>
      </c>
      <c r="D25" s="51" t="s">
        <v>46</v>
      </c>
      <c r="E25" s="51" t="s">
        <v>46</v>
      </c>
    </row>
    <row r="27" spans="2:5" x14ac:dyDescent="0.2">
      <c r="B27" s="51" t="s">
        <v>881</v>
      </c>
      <c r="C27" s="51" t="s">
        <v>871</v>
      </c>
      <c r="D27" s="51" t="s">
        <v>46</v>
      </c>
      <c r="E27" s="51" t="s">
        <v>46</v>
      </c>
    </row>
    <row r="29" spans="2:5" x14ac:dyDescent="0.2">
      <c r="B29" s="51" t="s">
        <v>882</v>
      </c>
      <c r="C29" s="51" t="s">
        <v>874</v>
      </c>
      <c r="D29" s="51" t="s">
        <v>46</v>
      </c>
      <c r="E29" s="51" t="s">
        <v>46</v>
      </c>
    </row>
    <row r="31" spans="2:5" x14ac:dyDescent="0.2">
      <c r="B31" s="51" t="s">
        <v>883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884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885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886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887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888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889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890</v>
      </c>
      <c r="C38" s="51" t="s">
        <v>46</v>
      </c>
      <c r="D38" s="51" t="s">
        <v>46</v>
      </c>
      <c r="E38" s="51" t="s">
        <v>46</v>
      </c>
    </row>
    <row r="39" spans="2:5" x14ac:dyDescent="0.2">
      <c r="B39" s="51" t="s">
        <v>891</v>
      </c>
      <c r="C39" s="51" t="s">
        <v>46</v>
      </c>
      <c r="D39" s="51" t="s">
        <v>46</v>
      </c>
      <c r="E39" s="51" t="s">
        <v>46</v>
      </c>
    </row>
    <row r="40" spans="2:5" x14ac:dyDescent="0.2">
      <c r="B40" s="51" t="s">
        <v>892</v>
      </c>
      <c r="C40" s="51" t="s">
        <v>46</v>
      </c>
      <c r="D40" s="51" t="s">
        <v>46</v>
      </c>
      <c r="E40" s="51" t="s">
        <v>46</v>
      </c>
    </row>
    <row r="41" spans="2:5" x14ac:dyDescent="0.2">
      <c r="B41" s="51" t="s">
        <v>893</v>
      </c>
      <c r="C41" s="51" t="s">
        <v>46</v>
      </c>
      <c r="D41" s="51" t="s">
        <v>46</v>
      </c>
      <c r="E41" s="51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2026-10-13T08:48:57Z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