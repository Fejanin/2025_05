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5C4FDEE0-52C4-40EA-A15E-0EC16C8E5C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P414" i="2"/>
  <c r="BO414" i="2"/>
  <c r="BN414" i="2"/>
  <c r="BM414" i="2"/>
  <c r="Z414" i="2"/>
  <c r="Y414" i="2"/>
  <c r="P414" i="2"/>
  <c r="BO413" i="2"/>
  <c r="BM413" i="2"/>
  <c r="Y413" i="2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P406" i="2"/>
  <c r="BO406" i="2"/>
  <c r="BN406" i="2"/>
  <c r="BM406" i="2"/>
  <c r="Z406" i="2"/>
  <c r="Y406" i="2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Z389" i="2"/>
  <c r="Y389" i="2"/>
  <c r="BN389" i="2" s="1"/>
  <c r="P389" i="2"/>
  <c r="BO388" i="2"/>
  <c r="BM388" i="2"/>
  <c r="Y388" i="2"/>
  <c r="BP388" i="2" s="1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Z371" i="2"/>
  <c r="Y371" i="2"/>
  <c r="BN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P368" i="2"/>
  <c r="BP367" i="2"/>
  <c r="BO367" i="2"/>
  <c r="BN367" i="2"/>
  <c r="BM367" i="2"/>
  <c r="Z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Y350" i="2" s="1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P305" i="2"/>
  <c r="BO305" i="2"/>
  <c r="BM305" i="2"/>
  <c r="Y305" i="2"/>
  <c r="BN305" i="2" s="1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P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P284" i="2"/>
  <c r="BO284" i="2"/>
  <c r="BM284" i="2"/>
  <c r="Y284" i="2"/>
  <c r="BN284" i="2" s="1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BN274" i="2" s="1"/>
  <c r="P274" i="2"/>
  <c r="BO273" i="2"/>
  <c r="BN273" i="2"/>
  <c r="BM273" i="2"/>
  <c r="Z273" i="2"/>
  <c r="Y273" i="2"/>
  <c r="P273" i="2"/>
  <c r="X271" i="2"/>
  <c r="X270" i="2"/>
  <c r="BO269" i="2"/>
  <c r="BM269" i="2"/>
  <c r="Y269" i="2"/>
  <c r="P269" i="2"/>
  <c r="BO268" i="2"/>
  <c r="BM268" i="2"/>
  <c r="Y268" i="2"/>
  <c r="BP268" i="2" s="1"/>
  <c r="P268" i="2"/>
  <c r="X266" i="2"/>
  <c r="X265" i="2"/>
  <c r="BP264" i="2"/>
  <c r="BO264" i="2"/>
  <c r="BN264" i="2"/>
  <c r="BM264" i="2"/>
  <c r="Z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P241" i="2"/>
  <c r="BO241" i="2"/>
  <c r="BM241" i="2"/>
  <c r="Y241" i="2"/>
  <c r="BN241" i="2" s="1"/>
  <c r="P241" i="2"/>
  <c r="BO240" i="2"/>
  <c r="BN240" i="2"/>
  <c r="BM240" i="2"/>
  <c r="Z240" i="2"/>
  <c r="Y240" i="2"/>
  <c r="P240" i="2"/>
  <c r="X238" i="2"/>
  <c r="X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P229" i="2"/>
  <c r="BO229" i="2"/>
  <c r="BN229" i="2"/>
  <c r="BM229" i="2"/>
  <c r="Z229" i="2"/>
  <c r="Y229" i="2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X220" i="2"/>
  <c r="X219" i="2"/>
  <c r="BO218" i="2"/>
  <c r="BM218" i="2"/>
  <c r="Y218" i="2"/>
  <c r="BP218" i="2" s="1"/>
  <c r="P218" i="2"/>
  <c r="X215" i="2"/>
  <c r="X214" i="2"/>
  <c r="BP213" i="2"/>
  <c r="BO213" i="2"/>
  <c r="BN213" i="2"/>
  <c r="BM213" i="2"/>
  <c r="Z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P207" i="2" s="1"/>
  <c r="P207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M191" i="2"/>
  <c r="Y191" i="2"/>
  <c r="Z191" i="2" s="1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P165" i="2"/>
  <c r="X162" i="2"/>
  <c r="X161" i="2"/>
  <c r="BO160" i="2"/>
  <c r="BM160" i="2"/>
  <c r="Y160" i="2"/>
  <c r="P160" i="2"/>
  <c r="X158" i="2"/>
  <c r="X157" i="2"/>
  <c r="BO156" i="2"/>
  <c r="BM156" i="2"/>
  <c r="Z156" i="2"/>
  <c r="Y156" i="2"/>
  <c r="P156" i="2"/>
  <c r="BO155" i="2"/>
  <c r="BM155" i="2"/>
  <c r="Y155" i="2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Z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Z80" i="2" s="1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29" i="2" l="1"/>
  <c r="BN40" i="2"/>
  <c r="BN55" i="2"/>
  <c r="BN63" i="2"/>
  <c r="BN76" i="2"/>
  <c r="BN91" i="2"/>
  <c r="BN106" i="2"/>
  <c r="BN154" i="2"/>
  <c r="BP154" i="2"/>
  <c r="Z181" i="2"/>
  <c r="BP181" i="2"/>
  <c r="BP184" i="2"/>
  <c r="BN184" i="2"/>
  <c r="Z184" i="2"/>
  <c r="BN218" i="2"/>
  <c r="Z226" i="2"/>
  <c r="BP226" i="2"/>
  <c r="BN278" i="2"/>
  <c r="BN291" i="2"/>
  <c r="Z291" i="2"/>
  <c r="BP331" i="2"/>
  <c r="BN331" i="2"/>
  <c r="Z331" i="2"/>
  <c r="BN333" i="2"/>
  <c r="Z333" i="2"/>
  <c r="BN369" i="2"/>
  <c r="Z369" i="2"/>
  <c r="BN388" i="2"/>
  <c r="Z399" i="2"/>
  <c r="BP399" i="2"/>
  <c r="BP402" i="2"/>
  <c r="BN402" i="2"/>
  <c r="Z402" i="2"/>
  <c r="BP427" i="2"/>
  <c r="BN427" i="2"/>
  <c r="Z427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BN80" i="2"/>
  <c r="BN95" i="2"/>
  <c r="Z97" i="2"/>
  <c r="BN97" i="2"/>
  <c r="BP98" i="2"/>
  <c r="Z117" i="2"/>
  <c r="BN117" i="2"/>
  <c r="Z124" i="2"/>
  <c r="BP124" i="2"/>
  <c r="BP140" i="2"/>
  <c r="BN140" i="2"/>
  <c r="Z140" i="2"/>
  <c r="Y161" i="2"/>
  <c r="BP160" i="2"/>
  <c r="BN165" i="2"/>
  <c r="Z165" i="2"/>
  <c r="BN193" i="2"/>
  <c r="Y195" i="2"/>
  <c r="Y203" i="2"/>
  <c r="Y202" i="2"/>
  <c r="BP201" i="2"/>
  <c r="BN201" i="2"/>
  <c r="Z201" i="2"/>
  <c r="Z202" i="2" s="1"/>
  <c r="BP208" i="2"/>
  <c r="BN208" i="2"/>
  <c r="Z208" i="2"/>
  <c r="BP234" i="2"/>
  <c r="BN234" i="2"/>
  <c r="Z234" i="2"/>
  <c r="BN236" i="2"/>
  <c r="Z236" i="2"/>
  <c r="BN269" i="2"/>
  <c r="Z269" i="2"/>
  <c r="BP294" i="2"/>
  <c r="BN294" i="2"/>
  <c r="Z294" i="2"/>
  <c r="BN347" i="2"/>
  <c r="BP372" i="2"/>
  <c r="BN372" i="2"/>
  <c r="Z372" i="2"/>
  <c r="BN413" i="2"/>
  <c r="Z413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173" i="2"/>
  <c r="Y175" i="2"/>
  <c r="BN183" i="2"/>
  <c r="BN207" i="2"/>
  <c r="BN235" i="2"/>
  <c r="Y259" i="2"/>
  <c r="Y260" i="2"/>
  <c r="Y266" i="2"/>
  <c r="BN268" i="2"/>
  <c r="BN332" i="2"/>
  <c r="BN401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2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<sst xmlns="http://schemas.openxmlformats.org/spreadsheetml/2006/main" count="4359" uniqueCount="922">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</sst>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450</v>
      </c>
      <c r="Y434" s="55">
        <f t="shared" si="68"/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464.1</v>
      </c>
      <c r="BN434" s="78">
        <f t="shared" si="70"/>
        <v>464.1</v>
      </c>
      <c r="BO434" s="78">
        <f t="shared" si="71"/>
        <v>0.625</v>
      </c>
      <c r="BP434" s="78">
        <f t="shared" si="72"/>
        <v>0.625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68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154.69999999999999</v>
      </c>
      <c r="BN437" s="78">
        <f t="shared" si="70"/>
        <v>154.69999999999999</v>
      </c>
      <c r="BO437" s="78">
        <f t="shared" si="71"/>
        <v>0.20833333333333331</v>
      </c>
      <c r="BP437" s="78">
        <f t="shared" si="72"/>
        <v>0.20833333333333331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40</v>
      </c>
      <c r="Y441" s="43">
        <f>IFERROR(Y433/H433,"0")+IFERROR(Y434/H434,"0")+IFERROR(Y435/H435,"0")+IFERROR(Y436/H436,"0")+IFERROR(Y437/H437,"0")+IFERROR(Y438/H438,"0")+IFERROR(Y439/H439,"0")+IFERROR(Y440/H440,"0")</f>
        <v>40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0.86999999999999988</v>
      </c>
      <c r="AA441" s="67"/>
      <c r="AB441" s="67"/>
      <c r="AC441" s="67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600</v>
      </c>
      <c r="Y442" s="43">
        <f>IFERROR(SUM(Y433:Y440),"0")</f>
        <v>600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600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600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618.79999999999995</v>
      </c>
      <c r="Y562" s="43">
        <f>IFERROR(SUM(BN22:BN558),"0")</f>
        <v>618.79999999999995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643.79999999999995</v>
      </c>
      <c r="Y564" s="43">
        <f>GrossWeightTotalR+PalletQtyTotalR*25</f>
        <v>643.79999999999995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40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40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0.86999999999999988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600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50,00"/>
        <filter val="40,00"/>
        <filter val="45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