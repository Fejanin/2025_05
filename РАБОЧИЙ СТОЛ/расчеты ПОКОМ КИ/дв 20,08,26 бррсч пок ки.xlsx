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5AF5211C-7B49-4381-88A6-E5395611BD3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Sheet!$A$3:$AG$129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67" i="1" l="1"/>
  <c r="R129" i="1"/>
  <c r="U129" i="1" s="1"/>
  <c r="L129" i="1"/>
  <c r="R128" i="1"/>
  <c r="L128" i="1"/>
  <c r="R127" i="1"/>
  <c r="U127" i="1" s="1"/>
  <c r="L127" i="1"/>
  <c r="R126" i="1"/>
  <c r="S126" i="1" s="1"/>
  <c r="L126" i="1"/>
  <c r="R125" i="1"/>
  <c r="U125" i="1" s="1"/>
  <c r="L125" i="1"/>
  <c r="R124" i="1"/>
  <c r="L124" i="1"/>
  <c r="R123" i="1"/>
  <c r="U123" i="1" s="1"/>
  <c r="L123" i="1"/>
  <c r="F122" i="1"/>
  <c r="F5" i="1" s="1"/>
  <c r="E122" i="1"/>
  <c r="L122" i="1" s="1"/>
  <c r="R121" i="1"/>
  <c r="U121" i="1" s="1"/>
  <c r="L121" i="1"/>
  <c r="R120" i="1"/>
  <c r="L120" i="1"/>
  <c r="R119" i="1"/>
  <c r="U119" i="1" s="1"/>
  <c r="L119" i="1"/>
  <c r="R118" i="1"/>
  <c r="L118" i="1"/>
  <c r="R117" i="1"/>
  <c r="U117" i="1" s="1"/>
  <c r="L117" i="1"/>
  <c r="R116" i="1"/>
  <c r="L116" i="1"/>
  <c r="R115" i="1"/>
  <c r="U115" i="1" s="1"/>
  <c r="L115" i="1"/>
  <c r="R114" i="1"/>
  <c r="S114" i="1" s="1"/>
  <c r="L114" i="1"/>
  <c r="R113" i="1"/>
  <c r="U113" i="1" s="1"/>
  <c r="L113" i="1"/>
  <c r="R112" i="1"/>
  <c r="L112" i="1"/>
  <c r="R111" i="1"/>
  <c r="U111" i="1" s="1"/>
  <c r="L111" i="1"/>
  <c r="R110" i="1"/>
  <c r="L110" i="1"/>
  <c r="R109" i="1"/>
  <c r="U109" i="1" s="1"/>
  <c r="L109" i="1"/>
  <c r="R108" i="1"/>
  <c r="U108" i="1" s="1"/>
  <c r="L108" i="1"/>
  <c r="R107" i="1"/>
  <c r="U107" i="1" s="1"/>
  <c r="L107" i="1"/>
  <c r="R106" i="1"/>
  <c r="L106" i="1"/>
  <c r="R105" i="1"/>
  <c r="U105" i="1" s="1"/>
  <c r="L105" i="1"/>
  <c r="R104" i="1"/>
  <c r="L104" i="1"/>
  <c r="R103" i="1"/>
  <c r="U103" i="1" s="1"/>
  <c r="L103" i="1"/>
  <c r="R102" i="1"/>
  <c r="L102" i="1"/>
  <c r="R101" i="1"/>
  <c r="U101" i="1" s="1"/>
  <c r="L101" i="1"/>
  <c r="R100" i="1"/>
  <c r="U100" i="1" s="1"/>
  <c r="L100" i="1"/>
  <c r="R99" i="1"/>
  <c r="L99" i="1"/>
  <c r="R98" i="1"/>
  <c r="U98" i="1" s="1"/>
  <c r="L98" i="1"/>
  <c r="R97" i="1"/>
  <c r="U97" i="1" s="1"/>
  <c r="L97" i="1"/>
  <c r="R96" i="1"/>
  <c r="U96" i="1" s="1"/>
  <c r="L96" i="1"/>
  <c r="R95" i="1"/>
  <c r="L95" i="1"/>
  <c r="R94" i="1"/>
  <c r="U94" i="1" s="1"/>
  <c r="L94" i="1"/>
  <c r="R93" i="1"/>
  <c r="S93" i="1" s="1"/>
  <c r="L93" i="1"/>
  <c r="R92" i="1"/>
  <c r="T92" i="1" s="1"/>
  <c r="L92" i="1"/>
  <c r="R91" i="1"/>
  <c r="U91" i="1" s="1"/>
  <c r="L91" i="1"/>
  <c r="R90" i="1"/>
  <c r="L90" i="1"/>
  <c r="R89" i="1"/>
  <c r="L89" i="1"/>
  <c r="R88" i="1"/>
  <c r="U88" i="1" s="1"/>
  <c r="L88" i="1"/>
  <c r="R87" i="1"/>
  <c r="U87" i="1" s="1"/>
  <c r="L87" i="1"/>
  <c r="R86" i="1"/>
  <c r="T86" i="1" s="1"/>
  <c r="L86" i="1"/>
  <c r="R85" i="1"/>
  <c r="U85" i="1" s="1"/>
  <c r="L85" i="1"/>
  <c r="R84" i="1"/>
  <c r="U84" i="1" s="1"/>
  <c r="L84" i="1"/>
  <c r="R83" i="1"/>
  <c r="U83" i="1" s="1"/>
  <c r="L83" i="1"/>
  <c r="R82" i="1"/>
  <c r="U82" i="1" s="1"/>
  <c r="L82" i="1"/>
  <c r="R81" i="1"/>
  <c r="L81" i="1"/>
  <c r="R80" i="1"/>
  <c r="U80" i="1" s="1"/>
  <c r="L80" i="1"/>
  <c r="R79" i="1"/>
  <c r="L79" i="1"/>
  <c r="R78" i="1"/>
  <c r="U78" i="1" s="1"/>
  <c r="L78" i="1"/>
  <c r="R77" i="1"/>
  <c r="L77" i="1"/>
  <c r="R76" i="1"/>
  <c r="T76" i="1" s="1"/>
  <c r="L76" i="1"/>
  <c r="R75" i="1"/>
  <c r="U75" i="1" s="1"/>
  <c r="L75" i="1"/>
  <c r="R74" i="1"/>
  <c r="L74" i="1"/>
  <c r="R73" i="1"/>
  <c r="U73" i="1" s="1"/>
  <c r="L73" i="1"/>
  <c r="R72" i="1"/>
  <c r="L72" i="1"/>
  <c r="R71" i="1"/>
  <c r="U71" i="1" s="1"/>
  <c r="L71" i="1"/>
  <c r="R70" i="1"/>
  <c r="L70" i="1"/>
  <c r="R69" i="1"/>
  <c r="T69" i="1" s="1"/>
  <c r="L69" i="1"/>
  <c r="R68" i="1"/>
  <c r="U68" i="1" s="1"/>
  <c r="L68" i="1"/>
  <c r="L67" i="1"/>
  <c r="R66" i="1"/>
  <c r="U66" i="1" s="1"/>
  <c r="L66" i="1"/>
  <c r="R65" i="1"/>
  <c r="S65" i="1" s="1"/>
  <c r="L65" i="1"/>
  <c r="R64" i="1"/>
  <c r="U64" i="1" s="1"/>
  <c r="L64" i="1"/>
  <c r="R63" i="1"/>
  <c r="L63" i="1"/>
  <c r="R62" i="1"/>
  <c r="U62" i="1" s="1"/>
  <c r="L62" i="1"/>
  <c r="R61" i="1"/>
  <c r="L61" i="1"/>
  <c r="R60" i="1"/>
  <c r="U60" i="1" s="1"/>
  <c r="L60" i="1"/>
  <c r="R59" i="1"/>
  <c r="L59" i="1"/>
  <c r="R58" i="1"/>
  <c r="U58" i="1" s="1"/>
  <c r="L58" i="1"/>
  <c r="R57" i="1"/>
  <c r="L57" i="1"/>
  <c r="R56" i="1"/>
  <c r="U56" i="1" s="1"/>
  <c r="L56" i="1"/>
  <c r="R55" i="1"/>
  <c r="S55" i="1" s="1"/>
  <c r="L55" i="1"/>
  <c r="R54" i="1"/>
  <c r="U54" i="1" s="1"/>
  <c r="L54" i="1"/>
  <c r="R53" i="1"/>
  <c r="L53" i="1"/>
  <c r="R52" i="1"/>
  <c r="U52" i="1" s="1"/>
  <c r="L52" i="1"/>
  <c r="R51" i="1"/>
  <c r="S51" i="1" s="1"/>
  <c r="L51" i="1"/>
  <c r="R50" i="1"/>
  <c r="U50" i="1" s="1"/>
  <c r="L50" i="1"/>
  <c r="R49" i="1"/>
  <c r="L49" i="1"/>
  <c r="R48" i="1"/>
  <c r="U48" i="1" s="1"/>
  <c r="L48" i="1"/>
  <c r="R47" i="1"/>
  <c r="L47" i="1"/>
  <c r="R46" i="1"/>
  <c r="U46" i="1" s="1"/>
  <c r="L46" i="1"/>
  <c r="R45" i="1"/>
  <c r="L45" i="1"/>
  <c r="R44" i="1"/>
  <c r="U44" i="1" s="1"/>
  <c r="L44" i="1"/>
  <c r="R43" i="1"/>
  <c r="L43" i="1"/>
  <c r="R42" i="1"/>
  <c r="T42" i="1" s="1"/>
  <c r="L42" i="1"/>
  <c r="R41" i="1"/>
  <c r="U41" i="1" s="1"/>
  <c r="L41" i="1"/>
  <c r="R40" i="1"/>
  <c r="L40" i="1"/>
  <c r="R39" i="1"/>
  <c r="U39" i="1" s="1"/>
  <c r="L39" i="1"/>
  <c r="R38" i="1"/>
  <c r="L38" i="1"/>
  <c r="R37" i="1"/>
  <c r="U37" i="1" s="1"/>
  <c r="L37" i="1"/>
  <c r="R36" i="1"/>
  <c r="L36" i="1"/>
  <c r="R35" i="1"/>
  <c r="U35" i="1" s="1"/>
  <c r="L35" i="1"/>
  <c r="R34" i="1"/>
  <c r="L34" i="1"/>
  <c r="R33" i="1"/>
  <c r="U33" i="1" s="1"/>
  <c r="L33" i="1"/>
  <c r="R32" i="1"/>
  <c r="S32" i="1" s="1"/>
  <c r="L32" i="1"/>
  <c r="AG31" i="1"/>
  <c r="R31" i="1"/>
  <c r="U31" i="1" s="1"/>
  <c r="L31" i="1"/>
  <c r="R30" i="1"/>
  <c r="L30" i="1"/>
  <c r="R29" i="1"/>
  <c r="U29" i="1" s="1"/>
  <c r="L29" i="1"/>
  <c r="R28" i="1"/>
  <c r="L28" i="1"/>
  <c r="R27" i="1"/>
  <c r="U27" i="1" s="1"/>
  <c r="L27" i="1"/>
  <c r="R26" i="1"/>
  <c r="L26" i="1"/>
  <c r="R25" i="1"/>
  <c r="T25" i="1" s="1"/>
  <c r="L25" i="1"/>
  <c r="R24" i="1"/>
  <c r="U24" i="1" s="1"/>
  <c r="L24" i="1"/>
  <c r="R23" i="1"/>
  <c r="L23" i="1"/>
  <c r="R22" i="1"/>
  <c r="U22" i="1" s="1"/>
  <c r="L22" i="1"/>
  <c r="R21" i="1"/>
  <c r="L21" i="1"/>
  <c r="R20" i="1"/>
  <c r="U20" i="1" s="1"/>
  <c r="L20" i="1"/>
  <c r="R19" i="1"/>
  <c r="L19" i="1"/>
  <c r="R18" i="1"/>
  <c r="U18" i="1" s="1"/>
  <c r="L18" i="1"/>
  <c r="R17" i="1"/>
  <c r="L17" i="1"/>
  <c r="R16" i="1"/>
  <c r="U16" i="1" s="1"/>
  <c r="L16" i="1"/>
  <c r="R15" i="1"/>
  <c r="L15" i="1"/>
  <c r="R14" i="1"/>
  <c r="U14" i="1" s="1"/>
  <c r="L14" i="1"/>
  <c r="R13" i="1"/>
  <c r="L13" i="1"/>
  <c r="R12" i="1"/>
  <c r="U12" i="1" s="1"/>
  <c r="L12" i="1"/>
  <c r="R11" i="1"/>
  <c r="L11" i="1"/>
  <c r="R10" i="1"/>
  <c r="U10" i="1" s="1"/>
  <c r="L10" i="1"/>
  <c r="R9" i="1"/>
  <c r="U9" i="1" s="1"/>
  <c r="L9" i="1"/>
  <c r="R8" i="1"/>
  <c r="L8" i="1"/>
  <c r="R7" i="1"/>
  <c r="U7" i="1" s="1"/>
  <c r="L7" i="1"/>
  <c r="R6" i="1"/>
  <c r="S6" i="1" s="1"/>
  <c r="AG6" i="1" s="1"/>
  <c r="L6" i="1"/>
  <c r="AE5" i="1"/>
  <c r="AD5" i="1"/>
  <c r="AC5" i="1"/>
  <c r="AB5" i="1"/>
  <c r="AA5" i="1"/>
  <c r="Z5" i="1"/>
  <c r="Y5" i="1"/>
  <c r="X5" i="1"/>
  <c r="W5" i="1"/>
  <c r="V5" i="1"/>
  <c r="Q5" i="1"/>
  <c r="P5" i="1"/>
  <c r="O5" i="1"/>
  <c r="N5" i="1"/>
  <c r="M5" i="1"/>
  <c r="K5" i="1"/>
  <c r="S117" i="1" l="1"/>
  <c r="AG117" i="1" s="1"/>
  <c r="S35" i="1"/>
  <c r="AG35" i="1" s="1"/>
  <c r="S52" i="1"/>
  <c r="AG52" i="1" s="1"/>
  <c r="E5" i="1"/>
  <c r="AG14" i="1"/>
  <c r="AG98" i="1"/>
  <c r="T108" i="1"/>
  <c r="S22" i="1"/>
  <c r="L5" i="1"/>
  <c r="S64" i="1"/>
  <c r="AG64" i="1" s="1"/>
  <c r="S71" i="1"/>
  <c r="AG71" i="1" s="1"/>
  <c r="S75" i="1"/>
  <c r="AG75" i="1" s="1"/>
  <c r="S85" i="1"/>
  <c r="AG85" i="1" s="1"/>
  <c r="AG91" i="1"/>
  <c r="AG103" i="1"/>
  <c r="AG109" i="1"/>
  <c r="S115" i="1"/>
  <c r="AG115" i="1" s="1"/>
  <c r="S119" i="1"/>
  <c r="AG119" i="1" s="1"/>
  <c r="AG125" i="1"/>
  <c r="AG10" i="1"/>
  <c r="S18" i="1"/>
  <c r="AG18" i="1" s="1"/>
  <c r="AG27" i="1"/>
  <c r="S62" i="1"/>
  <c r="AG62" i="1" s="1"/>
  <c r="S66" i="1"/>
  <c r="AG66" i="1" s="1"/>
  <c r="S73" i="1"/>
  <c r="AG73" i="1" s="1"/>
  <c r="AG80" i="1"/>
  <c r="S88" i="1"/>
  <c r="AG94" i="1"/>
  <c r="S101" i="1"/>
  <c r="AG101" i="1" s="1"/>
  <c r="AG105" i="1"/>
  <c r="AG111" i="1"/>
  <c r="AG123" i="1"/>
  <c r="AG127" i="1"/>
  <c r="AG8" i="1"/>
  <c r="AG13" i="1"/>
  <c r="S17" i="1"/>
  <c r="AG17" i="1" s="1"/>
  <c r="S21" i="1"/>
  <c r="AG21" i="1" s="1"/>
  <c r="AG23" i="1"/>
  <c r="AG26" i="1"/>
  <c r="AG28" i="1"/>
  <c r="AG30" i="1"/>
  <c r="AG32" i="1"/>
  <c r="S34" i="1"/>
  <c r="AG34" i="1" s="1"/>
  <c r="AG36" i="1"/>
  <c r="S38" i="1"/>
  <c r="AG38" i="1" s="1"/>
  <c r="AG40" i="1"/>
  <c r="AG45" i="1"/>
  <c r="AG49" i="1"/>
  <c r="AG53" i="1"/>
  <c r="S57" i="1"/>
  <c r="AG57" i="1" s="1"/>
  <c r="AG61" i="1"/>
  <c r="AG70" i="1"/>
  <c r="AG79" i="1"/>
  <c r="U90" i="1"/>
  <c r="T90" i="1"/>
  <c r="S95" i="1"/>
  <c r="AG95" i="1" s="1"/>
  <c r="S102" i="1"/>
  <c r="AG102" i="1" s="1"/>
  <c r="AG106" i="1"/>
  <c r="AG114" i="1"/>
  <c r="AG44" i="1"/>
  <c r="S48" i="1"/>
  <c r="AG48" i="1" s="1"/>
  <c r="AG56" i="1"/>
  <c r="S60" i="1"/>
  <c r="AG60" i="1" s="1"/>
  <c r="S68" i="1"/>
  <c r="AG68" i="1" s="1"/>
  <c r="AG78" i="1"/>
  <c r="S113" i="1"/>
  <c r="AG113" i="1" s="1"/>
  <c r="AG121" i="1"/>
  <c r="S11" i="1"/>
  <c r="AG11" i="1" s="1"/>
  <c r="S15" i="1"/>
  <c r="AG15" i="1" s="1"/>
  <c r="S19" i="1"/>
  <c r="AG19" i="1" s="1"/>
  <c r="AG43" i="1"/>
  <c r="S47" i="1"/>
  <c r="AG47" i="1" s="1"/>
  <c r="AG51" i="1"/>
  <c r="AG55" i="1"/>
  <c r="AG59" i="1"/>
  <c r="AG65" i="1"/>
  <c r="S74" i="1"/>
  <c r="AG74" i="1" s="1"/>
  <c r="S89" i="1"/>
  <c r="AG89" i="1" s="1"/>
  <c r="U89" i="1"/>
  <c r="AG93" i="1"/>
  <c r="S99" i="1"/>
  <c r="AG99" i="1" s="1"/>
  <c r="AG104" i="1"/>
  <c r="AG110" i="1"/>
  <c r="AG118" i="1"/>
  <c r="AG126" i="1"/>
  <c r="S7" i="1"/>
  <c r="S12" i="1"/>
  <c r="AG12" i="1" s="1"/>
  <c r="S16" i="1"/>
  <c r="AG16" i="1" s="1"/>
  <c r="S20" i="1"/>
  <c r="AG20" i="1" s="1"/>
  <c r="S24" i="1"/>
  <c r="AG24" i="1" s="1"/>
  <c r="AG29" i="1"/>
  <c r="S33" i="1"/>
  <c r="AG33" i="1" s="1"/>
  <c r="AG37" i="1"/>
  <c r="AG41" i="1"/>
  <c r="AG46" i="1"/>
  <c r="AG50" i="1"/>
  <c r="S54" i="1"/>
  <c r="AG54" i="1" s="1"/>
  <c r="S58" i="1"/>
  <c r="AG58" i="1" s="1"/>
  <c r="S63" i="1"/>
  <c r="AG63" i="1" s="1"/>
  <c r="AG67" i="1"/>
  <c r="S72" i="1"/>
  <c r="AG72" i="1" s="1"/>
  <c r="S77" i="1"/>
  <c r="AG77" i="1" s="1"/>
  <c r="S81" i="1"/>
  <c r="AG81" i="1" s="1"/>
  <c r="S87" i="1"/>
  <c r="AG87" i="1" s="1"/>
  <c r="AG112" i="1"/>
  <c r="AG116" i="1"/>
  <c r="S120" i="1"/>
  <c r="AG120" i="1" s="1"/>
  <c r="AG124" i="1"/>
  <c r="S128" i="1"/>
  <c r="AG128" i="1" s="1"/>
  <c r="T6" i="1"/>
  <c r="T31" i="1"/>
  <c r="T101" i="1"/>
  <c r="T27" i="1"/>
  <c r="T44" i="1"/>
  <c r="T83" i="1"/>
  <c r="T97" i="1"/>
  <c r="T9" i="1"/>
  <c r="T16" i="1"/>
  <c r="T29" i="1"/>
  <c r="T41" i="1"/>
  <c r="U47" i="1"/>
  <c r="U49" i="1"/>
  <c r="T50" i="1"/>
  <c r="U51" i="1"/>
  <c r="U53" i="1"/>
  <c r="T54" i="1"/>
  <c r="U55" i="1"/>
  <c r="U57" i="1"/>
  <c r="U59" i="1"/>
  <c r="U61" i="1"/>
  <c r="U63" i="1"/>
  <c r="U65" i="1"/>
  <c r="U67" i="1"/>
  <c r="U69" i="1"/>
  <c r="U77" i="1"/>
  <c r="T78" i="1"/>
  <c r="U79" i="1"/>
  <c r="U81" i="1"/>
  <c r="T82" i="1"/>
  <c r="T84" i="1"/>
  <c r="U93" i="1"/>
  <c r="U95" i="1"/>
  <c r="T96" i="1"/>
  <c r="U99" i="1"/>
  <c r="T100" i="1"/>
  <c r="T107" i="1"/>
  <c r="T121" i="1"/>
  <c r="R122" i="1"/>
  <c r="T123" i="1"/>
  <c r="U124" i="1"/>
  <c r="U126" i="1"/>
  <c r="U128" i="1"/>
  <c r="T129" i="1"/>
  <c r="U6" i="1"/>
  <c r="U8" i="1"/>
  <c r="U11" i="1"/>
  <c r="U13" i="1"/>
  <c r="U15" i="1"/>
  <c r="U17" i="1"/>
  <c r="U19" i="1"/>
  <c r="U21" i="1"/>
  <c r="U23" i="1"/>
  <c r="U25" i="1"/>
  <c r="U26" i="1"/>
  <c r="U28" i="1"/>
  <c r="U30" i="1"/>
  <c r="U32" i="1"/>
  <c r="U34" i="1"/>
  <c r="U36" i="1"/>
  <c r="U38" i="1"/>
  <c r="U40" i="1"/>
  <c r="U42" i="1"/>
  <c r="U43" i="1"/>
  <c r="U45" i="1"/>
  <c r="U70" i="1"/>
  <c r="U72" i="1"/>
  <c r="U74" i="1"/>
  <c r="U76" i="1"/>
  <c r="U86" i="1"/>
  <c r="U92" i="1"/>
  <c r="U102" i="1"/>
  <c r="U104" i="1"/>
  <c r="U106" i="1"/>
  <c r="U110" i="1"/>
  <c r="U112" i="1"/>
  <c r="U114" i="1"/>
  <c r="U116" i="1"/>
  <c r="U118" i="1"/>
  <c r="U120" i="1"/>
  <c r="T52" i="1" l="1"/>
  <c r="T85" i="1"/>
  <c r="T75" i="1"/>
  <c r="T64" i="1"/>
  <c r="T62" i="1"/>
  <c r="T60" i="1"/>
  <c r="T33" i="1"/>
  <c r="T24" i="1"/>
  <c r="T46" i="1"/>
  <c r="T37" i="1"/>
  <c r="T20" i="1"/>
  <c r="T12" i="1"/>
  <c r="T109" i="1"/>
  <c r="T111" i="1"/>
  <c r="T113" i="1"/>
  <c r="T91" i="1"/>
  <c r="T119" i="1"/>
  <c r="T10" i="1"/>
  <c r="T73" i="1"/>
  <c r="T14" i="1"/>
  <c r="T22" i="1"/>
  <c r="AG22" i="1"/>
  <c r="T127" i="1"/>
  <c r="T125" i="1"/>
  <c r="T98" i="1"/>
  <c r="T71" i="1"/>
  <c r="T68" i="1"/>
  <c r="T66" i="1"/>
  <c r="T58" i="1"/>
  <c r="T56" i="1"/>
  <c r="T48" i="1"/>
  <c r="T105" i="1"/>
  <c r="T35" i="1"/>
  <c r="T18" i="1"/>
  <c r="T115" i="1"/>
  <c r="T89" i="1"/>
  <c r="T74" i="1"/>
  <c r="T65" i="1"/>
  <c r="T59" i="1"/>
  <c r="T55" i="1"/>
  <c r="T51" i="1"/>
  <c r="T47" i="1"/>
  <c r="T43" i="1"/>
  <c r="T19" i="1"/>
  <c r="T15" i="1"/>
  <c r="T11" i="1"/>
  <c r="AG39" i="1"/>
  <c r="T39" i="1"/>
  <c r="T120" i="1"/>
  <c r="T81" i="1"/>
  <c r="T63" i="1"/>
  <c r="T117" i="1"/>
  <c r="T103" i="1"/>
  <c r="T94" i="1"/>
  <c r="T80" i="1"/>
  <c r="T128" i="1"/>
  <c r="T112" i="1"/>
  <c r="T72" i="1"/>
  <c r="T88" i="1"/>
  <c r="AG88" i="1"/>
  <c r="AG122" i="1"/>
  <c r="T124" i="1"/>
  <c r="T116" i="1"/>
  <c r="T87" i="1"/>
  <c r="T77" i="1"/>
  <c r="T67" i="1"/>
  <c r="AG7" i="1"/>
  <c r="T7" i="1"/>
  <c r="S5" i="1"/>
  <c r="T126" i="1"/>
  <c r="T118" i="1"/>
  <c r="T110" i="1"/>
  <c r="T104" i="1"/>
  <c r="T99" i="1"/>
  <c r="T93" i="1"/>
  <c r="T114" i="1"/>
  <c r="T106" i="1"/>
  <c r="T102" i="1"/>
  <c r="T95" i="1"/>
  <c r="T79" i="1"/>
  <c r="T70" i="1"/>
  <c r="T61" i="1"/>
  <c r="T57" i="1"/>
  <c r="T53" i="1"/>
  <c r="T49" i="1"/>
  <c r="T45" i="1"/>
  <c r="T40" i="1"/>
  <c r="T38" i="1"/>
  <c r="T36" i="1"/>
  <c r="T34" i="1"/>
  <c r="T32" i="1"/>
  <c r="T30" i="1"/>
  <c r="T28" i="1"/>
  <c r="T26" i="1"/>
  <c r="T23" i="1"/>
  <c r="T21" i="1"/>
  <c r="T17" i="1"/>
  <c r="T13" i="1"/>
  <c r="T8" i="1"/>
  <c r="R5" i="1"/>
  <c r="U122" i="1"/>
  <c r="AG5" i="1" l="1"/>
  <c r="T122" i="1"/>
</calcChain>
</file>

<file path=xl/sharedStrings.xml><?xml version="1.0" encoding="utf-8"?>
<sst xmlns="http://schemas.openxmlformats.org/spreadsheetml/2006/main" count="457" uniqueCount="179">
  <si>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</si>
  <si>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</si>
  <si>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</si>
  <si>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</si>
  <si>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</si>
  <si>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</si>
  <si>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</si>
  <si>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</si>
  <si>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</si>
  <si>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</si>
  <si>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</si>
  <si>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</si>
  <si>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</si>
  <si>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</si>
  <si>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</si>
  <si>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</si>
  <si>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</si>
  <si>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</si>
  <si>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</si>
  <si>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</si>
  <si>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</si>
  <si>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</si>
  <si>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17,08,</t>
  </si>
  <si>
    <t>17,08,недогр</t>
  </si>
  <si>
    <t>17,08,доз</t>
  </si>
  <si>
    <t>20,08,</t>
  </si>
  <si>
    <t>18,08,</t>
  </si>
  <si>
    <t>13,08,</t>
  </si>
  <si>
    <t>11,08,</t>
  </si>
  <si>
    <t>06,08,</t>
  </si>
  <si>
    <t>04,08,</t>
  </si>
  <si>
    <t>30,07,</t>
  </si>
  <si>
    <t>28,07,</t>
  </si>
  <si>
    <t>23,07,</t>
  </si>
  <si>
    <t>21,07,</t>
  </si>
  <si>
    <t>16,07,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</si>
  <si>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</si>
  <si>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</si>
  <si>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</si>
  <si>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</si>
  <si>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нужно увеличить продажи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</si>
  <si>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</si>
  <si>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</si>
  <si>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</si>
  <si>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</si>
  <si>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</si>
  <si>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</si>
  <si>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</si>
  <si>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</si>
  <si>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</si>
  <si>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</si>
  <si>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</si>
  <si>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</si>
  <si>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</si>
  <si>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</si>
  <si>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</si>
  <si>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</si>
  <si>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</si>
  <si>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</si>
  <si>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</si>
  <si>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</si>
  <si>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</si>
  <si>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</si>
  <si>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</si>
  <si>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</si>
  <si>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</si>
  <si>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</si>
  <si>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</si>
  <si>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</si>
  <si>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</si>
  <si>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</si>
  <si>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</si>
  <si>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</si>
  <si>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</si>
  <si>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</si>
  <si>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</si>
  <si>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</si>
  <si>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</si>
  <si>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</si>
  <si>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>не в матрице</t>
  </si>
  <si>
    <t xml:space="preserve"> 301  Сосиски Сочинки по-баварски с сыром,  0.4кг, ТМ Стародворье  ПОКОМ</t>
  </si>
  <si>
    <t>нужно увеличить продажи!!!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</si>
  <si>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</si>
  <si>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</si>
  <si>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</si>
  <si>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</si>
  <si>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</si>
  <si>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</si>
  <si>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</si>
  <si>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</si>
  <si>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</si>
  <si>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</si>
  <si>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</si>
  <si>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</si>
  <si>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</si>
  <si>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</si>
  <si>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</si>
  <si>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</si>
  <si>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</si>
  <si>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</si>
  <si>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</si>
  <si>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>80кг под задачи ТК (31,07,26)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</si>
  <si>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</si>
  <si>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</si>
  <si>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</si>
  <si>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</si>
  <si>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</si>
  <si>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</si>
  <si>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</si>
  <si>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</si>
  <si>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</si>
  <si>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</si>
  <si>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</si>
  <si>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</si>
  <si>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</si>
  <si>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</si>
  <si>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</si>
  <si>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</si>
  <si>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</si>
  <si>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</si>
  <si>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>17шт списание сроки (11,08,26)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</si>
  <si>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</si>
  <si>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</si>
  <si>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</si>
  <si>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</si>
  <si>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</si>
  <si>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</si>
  <si>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</si>
  <si>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</si>
  <si>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</si>
  <si>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</si>
  <si>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</si>
  <si>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</si>
  <si>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</si>
  <si>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80шт сеть Молоко (07,08,26)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</si>
  <si>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</si>
  <si>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</si>
  <si>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</si>
  <si>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</si>
  <si>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</si>
  <si>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>46кг списание сроки (11,08,26)</t>
  </si>
  <si>
    <t xml:space="preserve"> 551  Колбаса Сливушка ТМ Вязанка в модифицированной газовой среде 0,11 кг нарезка  ПОКОМ</t>
  </si>
  <si>
    <t>70шт сеть Молоко (07,08,26)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</si>
  <si>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</si>
  <si>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</si>
  <si>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</si>
  <si>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</si>
  <si>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14шт списание сроки (11,08,26) / 70шт сеть Молоко (07,08,26)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</si>
  <si>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</si>
  <si>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</si>
  <si>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</si>
  <si>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</si>
  <si>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</si>
  <si>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</si>
  <si>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</si>
  <si>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</si>
  <si>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</si>
  <si>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</si>
  <si>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</si>
  <si>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</si>
  <si>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</si>
  <si>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</si>
  <si>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</si>
  <si>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</si>
  <si>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</si>
  <si>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</si>
  <si>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>новинка / 500шт Боярко (07,08,26)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</si>
  <si>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</si>
  <si>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</si>
  <si>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</si>
  <si>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</si>
  <si>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</si>
  <si>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</si>
  <si>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</si>
  <si>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</si>
  <si>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</si>
  <si>
    <t>заказываем с 22,07,26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</si>
  <si>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181кг списание (11,08,26)</t>
    </r>
  </si>
  <si>
    <t>нужно увеличить продажи / 70шт сеть Молоко (07,08,26)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</si>
</sst>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164" fontId="6" fillId="7" borderId="1" xfId="1" applyNumberFormat="1" applyFont="1" applyFill="1"/>
    <xf numFmtId="164" fontId="5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6" sqref="AF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9" width="7" customWidth="1"/>
    <col min="20" max="21" width="5" customWidth="1"/>
    <col min="22" max="31" width="6" customWidth="1"/>
    <col min="32" max="32" width="40.42578125" customWidth="1"/>
    <col min="33" max="33" width="7" customWidth="1"/>
    <col min="34" max="45" width="3" customWidth="1"/>
  </cols>
  <sheetData>
    <row r="1" spans="1:45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/>
      <c r="T4" s="1"/>
      <c r="U4" s="1"/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 x14ac:dyDescent="0.25">
      <c r="A5" s="1"/>
      <c r="B5" s="1"/>
      <c r="C5" s="1"/>
      <c r="D5" s="1"/>
      <c r="E5" s="4">
        <f>SUM(E6:E499)</f>
        <v>21085.244999999995</v>
      </c>
      <c r="F5" s="4">
        <f>SUM(F6:F499)</f>
        <v>17790.478000000003</v>
      </c>
      <c r="G5" s="7"/>
      <c r="H5" s="1"/>
      <c r="I5" s="1"/>
      <c r="J5" s="1"/>
      <c r="K5" s="4">
        <f t="shared" ref="K5:S5" si="0">SUM(K6:K499)</f>
        <v>28518.525000000005</v>
      </c>
      <c r="L5" s="4">
        <f t="shared" si="0"/>
        <v>-7433.2800000000007</v>
      </c>
      <c r="M5" s="4">
        <f t="shared" si="0"/>
        <v>0</v>
      </c>
      <c r="N5" s="4">
        <f t="shared" si="0"/>
        <v>0</v>
      </c>
      <c r="O5" s="4">
        <f t="shared" si="0"/>
        <v>13199.154219999999</v>
      </c>
      <c r="P5" s="4">
        <f t="shared" si="0"/>
        <v>-3371.2559999999999</v>
      </c>
      <c r="Q5" s="4">
        <f t="shared" si="0"/>
        <v>1700</v>
      </c>
      <c r="R5" s="4">
        <f t="shared" si="0"/>
        <v>4217.0490000000009</v>
      </c>
      <c r="S5" s="4">
        <f t="shared" si="0"/>
        <v>19437.626243999999</v>
      </c>
      <c r="T5" s="1"/>
      <c r="U5" s="1"/>
      <c r="V5" s="4">
        <f t="shared" ref="V5:AE5" si="1">SUM(V6:V499)</f>
        <v>3809.9485999999984</v>
      </c>
      <c r="W5" s="4">
        <f t="shared" si="1"/>
        <v>4467.6592000000001</v>
      </c>
      <c r="X5" s="4">
        <f t="shared" si="1"/>
        <v>4046.9829999999988</v>
      </c>
      <c r="Y5" s="4">
        <f t="shared" si="1"/>
        <v>3390.857199999999</v>
      </c>
      <c r="Z5" s="4">
        <f t="shared" si="1"/>
        <v>3745.7852000000003</v>
      </c>
      <c r="AA5" s="4">
        <f t="shared" si="1"/>
        <v>4644.2882000000009</v>
      </c>
      <c r="AB5" s="4">
        <f t="shared" si="1"/>
        <v>4604.8541999999989</v>
      </c>
      <c r="AC5" s="4">
        <f t="shared" si="1"/>
        <v>4923.7491999999984</v>
      </c>
      <c r="AD5" s="4">
        <f t="shared" si="1"/>
        <v>4846.7421999999979</v>
      </c>
      <c r="AE5" s="4">
        <f t="shared" si="1"/>
        <v>4677.3707999999961</v>
      </c>
      <c r="AF5" s="1"/>
      <c r="AG5" s="4">
        <f>SUM(AG6:AG499)</f>
        <v>14795.224444000001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 x14ac:dyDescent="0.25">
      <c r="A6" s="1" t="s">
        <v>36</v>
      </c>
      <c r="B6" s="1" t="s">
        <v>37</v>
      </c>
      <c r="C6" s="1">
        <v>243.61799999999999</v>
      </c>
      <c r="D6" s="1">
        <v>262.77100000000002</v>
      </c>
      <c r="E6" s="1">
        <v>319.81400000000002</v>
      </c>
      <c r="F6" s="1">
        <v>176.00700000000001</v>
      </c>
      <c r="G6" s="7">
        <v>1</v>
      </c>
      <c r="H6" s="1">
        <v>50</v>
      </c>
      <c r="I6" s="1" t="s">
        <v>38</v>
      </c>
      <c r="J6" s="1"/>
      <c r="K6" s="1">
        <v>297.5</v>
      </c>
      <c r="L6" s="1">
        <f t="shared" ref="L6:L37" si="2">E6-K6</f>
        <v>22.314000000000021</v>
      </c>
      <c r="M6" s="1"/>
      <c r="N6" s="1"/>
      <c r="O6" s="1">
        <v>230.60028399999999</v>
      </c>
      <c r="P6" s="1"/>
      <c r="Q6" s="1">
        <v>100</v>
      </c>
      <c r="R6" s="1">
        <f t="shared" ref="R6:R37" si="3">E6/5</f>
        <v>63.962800000000001</v>
      </c>
      <c r="S6" s="5">
        <f>12*R6-Q6-P6-O6-F6</f>
        <v>260.94631599999997</v>
      </c>
      <c r="T6" s="1">
        <f t="shared" ref="T6:T37" si="4">(F6+O6+P6+Q6+S6)/R6</f>
        <v>11.999999999999998</v>
      </c>
      <c r="U6" s="1">
        <f t="shared" ref="U6:U37" si="5">(F6+O6+P6+Q6)/R6</f>
        <v>7.9203425115848587</v>
      </c>
      <c r="V6" s="1">
        <v>58.955199999999998</v>
      </c>
      <c r="W6" s="1">
        <v>54.327599999999997</v>
      </c>
      <c r="X6" s="1">
        <v>47.706800000000001</v>
      </c>
      <c r="Y6" s="1">
        <v>28.063800000000001</v>
      </c>
      <c r="Z6" s="1">
        <v>26.715599999999998</v>
      </c>
      <c r="AA6" s="1">
        <v>48.6646</v>
      </c>
      <c r="AB6" s="1">
        <v>55.111400000000003</v>
      </c>
      <c r="AC6" s="1">
        <v>50.386399999999988</v>
      </c>
      <c r="AD6" s="1">
        <v>51.108400000000003</v>
      </c>
      <c r="AE6" s="1">
        <v>52.763399999999997</v>
      </c>
      <c r="AF6" s="1"/>
      <c r="AG6" s="1">
        <f>G6*S6</f>
        <v>260.94631599999997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 x14ac:dyDescent="0.25">
      <c r="A7" s="1" t="s">
        <v>39</v>
      </c>
      <c r="B7" s="1" t="s">
        <v>37</v>
      </c>
      <c r="C7" s="1">
        <v>97.340999999999994</v>
      </c>
      <c r="D7" s="1">
        <v>833.14800000000002</v>
      </c>
      <c r="E7" s="1">
        <v>376.19400000000002</v>
      </c>
      <c r="F7" s="1">
        <v>483.07400000000001</v>
      </c>
      <c r="G7" s="7">
        <v>1</v>
      </c>
      <c r="H7" s="1">
        <v>45</v>
      </c>
      <c r="I7" s="1" t="s">
        <v>38</v>
      </c>
      <c r="J7" s="1"/>
      <c r="K7" s="1">
        <v>915.56</v>
      </c>
      <c r="L7" s="1">
        <f t="shared" si="2"/>
        <v>-539.36599999999999</v>
      </c>
      <c r="M7" s="1"/>
      <c r="N7" s="1"/>
      <c r="O7" s="1">
        <v>382.19719199999969</v>
      </c>
      <c r="P7" s="1"/>
      <c r="Q7" s="1"/>
      <c r="R7" s="1">
        <f t="shared" si="3"/>
        <v>75.238799999999998</v>
      </c>
      <c r="S7" s="5">
        <f t="shared" ref="S7:S8" si="6">12*R7-Q7-P7-O7-F7</f>
        <v>37.594408000000215</v>
      </c>
      <c r="T7" s="1">
        <f t="shared" si="4"/>
        <v>11.999999999999998</v>
      </c>
      <c r="U7" s="1">
        <f t="shared" si="5"/>
        <v>11.500332169040439</v>
      </c>
      <c r="V7" s="1">
        <v>35.7254</v>
      </c>
      <c r="W7" s="1">
        <v>94.933799999999991</v>
      </c>
      <c r="X7" s="1">
        <v>81.040400000000005</v>
      </c>
      <c r="Y7" s="1">
        <v>58.811599999999999</v>
      </c>
      <c r="Z7" s="1">
        <v>63.0702</v>
      </c>
      <c r="AA7" s="1">
        <v>39.780999999999999</v>
      </c>
      <c r="AB7" s="1">
        <v>30.569600000000001</v>
      </c>
      <c r="AC7" s="1">
        <v>17.161999999999999</v>
      </c>
      <c r="AD7" s="1">
        <v>29.265599999999999</v>
      </c>
      <c r="AE7" s="1">
        <v>120.8122</v>
      </c>
      <c r="AF7" s="1"/>
      <c r="AG7" s="1">
        <f>G7*S7</f>
        <v>37.594408000000215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 x14ac:dyDescent="0.25">
      <c r="A8" s="1" t="s">
        <v>41</v>
      </c>
      <c r="B8" s="1" t="s">
        <v>37</v>
      </c>
      <c r="C8" s="1">
        <v>164.37700000000001</v>
      </c>
      <c r="D8" s="1">
        <v>886.57299999999998</v>
      </c>
      <c r="E8" s="1">
        <v>383.09800000000001</v>
      </c>
      <c r="F8" s="1">
        <v>592.16099999999994</v>
      </c>
      <c r="G8" s="7">
        <v>1</v>
      </c>
      <c r="H8" s="1">
        <v>45</v>
      </c>
      <c r="I8" s="1" t="s">
        <v>38</v>
      </c>
      <c r="J8" s="1"/>
      <c r="K8" s="1">
        <v>1123.634</v>
      </c>
      <c r="L8" s="1">
        <f t="shared" si="2"/>
        <v>-740.53600000000006</v>
      </c>
      <c r="M8" s="1"/>
      <c r="N8" s="1"/>
      <c r="O8" s="1">
        <v>451.65939999999989</v>
      </c>
      <c r="P8" s="1"/>
      <c r="Q8" s="1"/>
      <c r="R8" s="1">
        <f t="shared" si="3"/>
        <v>76.619600000000005</v>
      </c>
      <c r="S8" s="5"/>
      <c r="T8" s="1">
        <f t="shared" si="4"/>
        <v>13.623412286151321</v>
      </c>
      <c r="U8" s="1">
        <f t="shared" si="5"/>
        <v>13.623412286151321</v>
      </c>
      <c r="V8" s="1">
        <v>58.682200000000002</v>
      </c>
      <c r="W8" s="1">
        <v>110.33499999999999</v>
      </c>
      <c r="X8" s="1">
        <v>93.042000000000002</v>
      </c>
      <c r="Y8" s="1">
        <v>68.473199999999991</v>
      </c>
      <c r="Z8" s="1">
        <v>73.171999999999997</v>
      </c>
      <c r="AA8" s="1">
        <v>62.864999999999988</v>
      </c>
      <c r="AB8" s="1">
        <v>52.998600000000003</v>
      </c>
      <c r="AC8" s="1">
        <v>41.674400000000013</v>
      </c>
      <c r="AD8" s="1">
        <v>95.290599999999998</v>
      </c>
      <c r="AE8" s="1">
        <v>107.0196</v>
      </c>
      <c r="AF8" s="14" t="s">
        <v>40</v>
      </c>
      <c r="AG8" s="1">
        <f>G8*S8</f>
        <v>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 x14ac:dyDescent="0.25">
      <c r="A9" s="9" t="s">
        <v>42</v>
      </c>
      <c r="B9" s="9" t="s">
        <v>43</v>
      </c>
      <c r="C9" s="9"/>
      <c r="D9" s="9"/>
      <c r="E9" s="9"/>
      <c r="F9" s="9"/>
      <c r="G9" s="10">
        <v>0</v>
      </c>
      <c r="H9" s="9"/>
      <c r="I9" s="9" t="s">
        <v>38</v>
      </c>
      <c r="J9" s="9"/>
      <c r="K9" s="9"/>
      <c r="L9" s="9">
        <f t="shared" si="2"/>
        <v>0</v>
      </c>
      <c r="M9" s="9"/>
      <c r="N9" s="9"/>
      <c r="O9" s="9">
        <v>0</v>
      </c>
      <c r="P9" s="9"/>
      <c r="Q9" s="9"/>
      <c r="R9" s="9">
        <f t="shared" si="3"/>
        <v>0</v>
      </c>
      <c r="S9" s="11"/>
      <c r="T9" s="9" t="e">
        <f t="shared" si="4"/>
        <v>#DIV/0!</v>
      </c>
      <c r="U9" s="9" t="e">
        <f t="shared" si="5"/>
        <v>#DIV/0!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 t="s">
        <v>44</v>
      </c>
      <c r="AG9" s="9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 x14ac:dyDescent="0.25">
      <c r="A10" s="1" t="s">
        <v>45</v>
      </c>
      <c r="B10" s="1" t="s">
        <v>43</v>
      </c>
      <c r="C10" s="1">
        <v>558</v>
      </c>
      <c r="D10" s="1">
        <v>24</v>
      </c>
      <c r="E10" s="1">
        <v>303</v>
      </c>
      <c r="F10" s="1">
        <v>293</v>
      </c>
      <c r="G10" s="7">
        <v>0.45</v>
      </c>
      <c r="H10" s="1">
        <v>45</v>
      </c>
      <c r="I10" s="1" t="s">
        <v>38</v>
      </c>
      <c r="J10" s="1"/>
      <c r="K10" s="1">
        <v>831</v>
      </c>
      <c r="L10" s="1">
        <f t="shared" si="2"/>
        <v>-528</v>
      </c>
      <c r="M10" s="1"/>
      <c r="N10" s="1"/>
      <c r="O10" s="1">
        <v>694.96000000000015</v>
      </c>
      <c r="P10" s="1"/>
      <c r="Q10" s="1"/>
      <c r="R10" s="1">
        <f t="shared" si="3"/>
        <v>60.6</v>
      </c>
      <c r="S10" s="5"/>
      <c r="T10" s="1">
        <f t="shared" si="4"/>
        <v>16.302970297029706</v>
      </c>
      <c r="U10" s="1">
        <f t="shared" si="5"/>
        <v>16.302970297029706</v>
      </c>
      <c r="V10" s="1">
        <v>118.4</v>
      </c>
      <c r="W10" s="1">
        <v>112.2</v>
      </c>
      <c r="X10" s="1">
        <v>85.6</v>
      </c>
      <c r="Y10" s="1">
        <v>78.400000000000006</v>
      </c>
      <c r="Z10" s="1">
        <v>92.6</v>
      </c>
      <c r="AA10" s="1">
        <v>123.8</v>
      </c>
      <c r="AB10" s="1">
        <v>121.2</v>
      </c>
      <c r="AC10" s="1">
        <v>130.4</v>
      </c>
      <c r="AD10" s="1">
        <v>130.80000000000001</v>
      </c>
      <c r="AE10" s="1">
        <v>112.4</v>
      </c>
      <c r="AF10" s="1"/>
      <c r="AG10" s="1">
        <f t="shared" ref="AG10:AG24" si="7">G10*S10</f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 x14ac:dyDescent="0.25">
      <c r="A11" s="1" t="s">
        <v>46</v>
      </c>
      <c r="B11" s="1" t="s">
        <v>43</v>
      </c>
      <c r="C11" s="1">
        <v>599</v>
      </c>
      <c r="D11" s="1">
        <v>379</v>
      </c>
      <c r="E11" s="1">
        <v>815</v>
      </c>
      <c r="F11" s="1">
        <v>83</v>
      </c>
      <c r="G11" s="7">
        <v>0.45</v>
      </c>
      <c r="H11" s="1">
        <v>45</v>
      </c>
      <c r="I11" s="1" t="s">
        <v>38</v>
      </c>
      <c r="J11" s="1"/>
      <c r="K11" s="1">
        <v>1064</v>
      </c>
      <c r="L11" s="1">
        <f t="shared" si="2"/>
        <v>-249</v>
      </c>
      <c r="M11" s="1"/>
      <c r="N11" s="1"/>
      <c r="O11" s="1">
        <v>767.80799999999988</v>
      </c>
      <c r="P11" s="1"/>
      <c r="Q11" s="1"/>
      <c r="R11" s="1">
        <f t="shared" si="3"/>
        <v>163</v>
      </c>
      <c r="S11" s="5">
        <f t="shared" ref="S10:S24" si="8">12*R11-Q11-P11-O11-F11</f>
        <v>1105.192</v>
      </c>
      <c r="T11" s="1">
        <f t="shared" si="4"/>
        <v>12</v>
      </c>
      <c r="U11" s="1">
        <f t="shared" si="5"/>
        <v>5.2196809815950909</v>
      </c>
      <c r="V11" s="1">
        <v>152.80000000000001</v>
      </c>
      <c r="W11" s="1">
        <v>151.19999999999999</v>
      </c>
      <c r="X11" s="1">
        <v>121.8</v>
      </c>
      <c r="Y11" s="1">
        <v>115.2</v>
      </c>
      <c r="Z11" s="1">
        <v>136.4</v>
      </c>
      <c r="AA11" s="1">
        <v>154.6</v>
      </c>
      <c r="AB11" s="1">
        <v>104</v>
      </c>
      <c r="AC11" s="1">
        <v>95.2</v>
      </c>
      <c r="AD11" s="1">
        <v>133.4</v>
      </c>
      <c r="AE11" s="1">
        <v>138</v>
      </c>
      <c r="AF11" s="1"/>
      <c r="AG11" s="1">
        <f t="shared" si="7"/>
        <v>497.33640000000003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5" x14ac:dyDescent="0.25">
      <c r="A12" s="1" t="s">
        <v>47</v>
      </c>
      <c r="B12" s="1" t="s">
        <v>43</v>
      </c>
      <c r="C12" s="1"/>
      <c r="D12" s="1">
        <v>47</v>
      </c>
      <c r="E12" s="1">
        <v>46</v>
      </c>
      <c r="F12" s="1">
        <v>-3</v>
      </c>
      <c r="G12" s="7">
        <v>0.17</v>
      </c>
      <c r="H12" s="1">
        <v>180</v>
      </c>
      <c r="I12" s="1" t="s">
        <v>38</v>
      </c>
      <c r="J12" s="1"/>
      <c r="K12" s="1">
        <v>97</v>
      </c>
      <c r="L12" s="1">
        <f t="shared" si="2"/>
        <v>-51</v>
      </c>
      <c r="M12" s="1"/>
      <c r="N12" s="1"/>
      <c r="O12" s="1">
        <v>96.299999999999983</v>
      </c>
      <c r="P12" s="1"/>
      <c r="Q12" s="1"/>
      <c r="R12" s="1">
        <f t="shared" si="3"/>
        <v>9.1999999999999993</v>
      </c>
      <c r="S12" s="5">
        <f t="shared" si="8"/>
        <v>17.100000000000009</v>
      </c>
      <c r="T12" s="1">
        <f t="shared" si="4"/>
        <v>12</v>
      </c>
      <c r="U12" s="1">
        <f t="shared" si="5"/>
        <v>10.141304347826086</v>
      </c>
      <c r="V12" s="1">
        <v>6.6</v>
      </c>
      <c r="W12" s="1">
        <v>19.399999999999999</v>
      </c>
      <c r="X12" s="1">
        <v>18</v>
      </c>
      <c r="Y12" s="1">
        <v>11.6</v>
      </c>
      <c r="Z12" s="1">
        <v>15</v>
      </c>
      <c r="AA12" s="1">
        <v>14</v>
      </c>
      <c r="AB12" s="1">
        <v>14.8</v>
      </c>
      <c r="AC12" s="1">
        <v>20</v>
      </c>
      <c r="AD12" s="1">
        <v>20.2</v>
      </c>
      <c r="AE12" s="1">
        <v>24.8</v>
      </c>
      <c r="AF12" s="1"/>
      <c r="AG12" s="1">
        <f t="shared" si="7"/>
        <v>2.9070000000000018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5" x14ac:dyDescent="0.25">
      <c r="A13" s="1" t="s">
        <v>48</v>
      </c>
      <c r="B13" s="1" t="s">
        <v>43</v>
      </c>
      <c r="C13" s="1">
        <v>47</v>
      </c>
      <c r="D13" s="1">
        <v>80</v>
      </c>
      <c r="E13" s="1">
        <v>108</v>
      </c>
      <c r="F13" s="1">
        <v>6</v>
      </c>
      <c r="G13" s="7">
        <v>0.3</v>
      </c>
      <c r="H13" s="1">
        <v>40</v>
      </c>
      <c r="I13" s="13" t="s">
        <v>49</v>
      </c>
      <c r="J13" s="1"/>
      <c r="K13" s="1">
        <v>164</v>
      </c>
      <c r="L13" s="1">
        <f t="shared" si="2"/>
        <v>-56</v>
      </c>
      <c r="M13" s="1"/>
      <c r="N13" s="1"/>
      <c r="O13" s="1">
        <v>153.79599999999999</v>
      </c>
      <c r="P13" s="1">
        <v>-156</v>
      </c>
      <c r="Q13" s="1"/>
      <c r="R13" s="1">
        <f t="shared" si="3"/>
        <v>21.6</v>
      </c>
      <c r="S13" s="5">
        <v>60</v>
      </c>
      <c r="T13" s="1">
        <f t="shared" si="4"/>
        <v>2.9535185185185178</v>
      </c>
      <c r="U13" s="1">
        <f t="shared" si="5"/>
        <v>0.17574074074074036</v>
      </c>
      <c r="V13" s="1">
        <v>18.399999999999999</v>
      </c>
      <c r="W13" s="1">
        <v>34.4</v>
      </c>
      <c r="X13" s="1">
        <v>29.2</v>
      </c>
      <c r="Y13" s="1">
        <v>16.399999999999999</v>
      </c>
      <c r="Z13" s="1">
        <v>19.8</v>
      </c>
      <c r="AA13" s="1">
        <v>23.6</v>
      </c>
      <c r="AB13" s="1">
        <v>21</v>
      </c>
      <c r="AC13" s="1">
        <v>13.6</v>
      </c>
      <c r="AD13" s="1">
        <v>30.4</v>
      </c>
      <c r="AE13" s="1">
        <v>28.8</v>
      </c>
      <c r="AF13" s="1"/>
      <c r="AG13" s="1">
        <f t="shared" si="7"/>
        <v>18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5" x14ac:dyDescent="0.25">
      <c r="A14" s="1" t="s">
        <v>50</v>
      </c>
      <c r="B14" s="1" t="s">
        <v>43</v>
      </c>
      <c r="C14" s="1">
        <v>20</v>
      </c>
      <c r="D14" s="1">
        <v>340</v>
      </c>
      <c r="E14" s="1">
        <v>120</v>
      </c>
      <c r="F14" s="1">
        <v>215</v>
      </c>
      <c r="G14" s="7">
        <v>0.17</v>
      </c>
      <c r="H14" s="1">
        <v>180</v>
      </c>
      <c r="I14" s="1" t="s">
        <v>38</v>
      </c>
      <c r="J14" s="1"/>
      <c r="K14" s="1">
        <v>254</v>
      </c>
      <c r="L14" s="1">
        <f t="shared" si="2"/>
        <v>-134</v>
      </c>
      <c r="M14" s="1"/>
      <c r="N14" s="1"/>
      <c r="O14" s="1">
        <v>293.10399999999998</v>
      </c>
      <c r="P14" s="1"/>
      <c r="Q14" s="1"/>
      <c r="R14" s="1">
        <f t="shared" si="3"/>
        <v>24</v>
      </c>
      <c r="S14" s="5"/>
      <c r="T14" s="1">
        <f t="shared" si="4"/>
        <v>21.170999999999999</v>
      </c>
      <c r="U14" s="1">
        <f t="shared" si="5"/>
        <v>21.170999999999999</v>
      </c>
      <c r="V14" s="1">
        <v>26.8</v>
      </c>
      <c r="W14" s="1">
        <v>45.6</v>
      </c>
      <c r="X14" s="1">
        <v>32</v>
      </c>
      <c r="Y14" s="1">
        <v>21.4</v>
      </c>
      <c r="Z14" s="1">
        <v>18.2</v>
      </c>
      <c r="AA14" s="1">
        <v>21.2</v>
      </c>
      <c r="AB14" s="1">
        <v>27.6</v>
      </c>
      <c r="AC14" s="1">
        <v>28.6</v>
      </c>
      <c r="AD14" s="1">
        <v>30.2</v>
      </c>
      <c r="AE14" s="1">
        <v>40.200000000000003</v>
      </c>
      <c r="AF14" s="1"/>
      <c r="AG14" s="1">
        <f t="shared" si="7"/>
        <v>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5" x14ac:dyDescent="0.25">
      <c r="A15" s="1" t="s">
        <v>51</v>
      </c>
      <c r="B15" s="1" t="s">
        <v>37</v>
      </c>
      <c r="C15" s="1">
        <v>684.798</v>
      </c>
      <c r="D15" s="1">
        <v>223.33799999999999</v>
      </c>
      <c r="E15" s="1">
        <v>396.67500000000001</v>
      </c>
      <c r="F15" s="1">
        <v>482.12799999999999</v>
      </c>
      <c r="G15" s="7">
        <v>1</v>
      </c>
      <c r="H15" s="1">
        <v>70</v>
      </c>
      <c r="I15" s="1" t="s">
        <v>38</v>
      </c>
      <c r="J15" s="1"/>
      <c r="K15" s="1">
        <v>374.47899999999998</v>
      </c>
      <c r="L15" s="1">
        <f t="shared" si="2"/>
        <v>22.196000000000026</v>
      </c>
      <c r="M15" s="1"/>
      <c r="N15" s="1"/>
      <c r="O15" s="1">
        <v>158.871252</v>
      </c>
      <c r="P15" s="1"/>
      <c r="Q15" s="1">
        <v>200</v>
      </c>
      <c r="R15" s="1">
        <f t="shared" si="3"/>
        <v>79.335000000000008</v>
      </c>
      <c r="S15" s="5">
        <f t="shared" si="8"/>
        <v>111.02074800000008</v>
      </c>
      <c r="T15" s="1">
        <f t="shared" si="4"/>
        <v>11.999999999999998</v>
      </c>
      <c r="U15" s="1">
        <f t="shared" si="5"/>
        <v>10.600608205709962</v>
      </c>
      <c r="V15" s="1">
        <v>73.63</v>
      </c>
      <c r="W15" s="1">
        <v>79.357799999999997</v>
      </c>
      <c r="X15" s="1">
        <v>76.665199999999999</v>
      </c>
      <c r="Y15" s="1">
        <v>60.802999999999997</v>
      </c>
      <c r="Z15" s="1">
        <v>75.010400000000004</v>
      </c>
      <c r="AA15" s="1">
        <v>103.798</v>
      </c>
      <c r="AB15" s="1">
        <v>100.63639999999999</v>
      </c>
      <c r="AC15" s="1">
        <v>101.03440000000001</v>
      </c>
      <c r="AD15" s="1">
        <v>101.12820000000001</v>
      </c>
      <c r="AE15" s="1">
        <v>101.80880000000001</v>
      </c>
      <c r="AF15" s="1"/>
      <c r="AG15" s="1">
        <f t="shared" si="7"/>
        <v>111.02074800000008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5" x14ac:dyDescent="0.25">
      <c r="A16" s="1" t="s">
        <v>52</v>
      </c>
      <c r="B16" s="1" t="s">
        <v>37</v>
      </c>
      <c r="C16" s="1">
        <v>4416.5460000000003</v>
      </c>
      <c r="D16" s="1">
        <v>117.127</v>
      </c>
      <c r="E16" s="1">
        <v>2218.6590000000001</v>
      </c>
      <c r="F16" s="1">
        <v>2120.4940000000001</v>
      </c>
      <c r="G16" s="7">
        <v>1</v>
      </c>
      <c r="H16" s="1">
        <v>50</v>
      </c>
      <c r="I16" s="1" t="s">
        <v>38</v>
      </c>
      <c r="J16" s="1"/>
      <c r="K16" s="1">
        <v>2266.6640000000002</v>
      </c>
      <c r="L16" s="1">
        <f t="shared" si="2"/>
        <v>-48.005000000000109</v>
      </c>
      <c r="M16" s="1"/>
      <c r="N16" s="1"/>
      <c r="O16" s="1">
        <v>0</v>
      </c>
      <c r="P16" s="1"/>
      <c r="Q16" s="1">
        <v>900</v>
      </c>
      <c r="R16" s="1">
        <f t="shared" si="3"/>
        <v>443.73180000000002</v>
      </c>
      <c r="S16" s="5">
        <f t="shared" si="8"/>
        <v>2304.2876000000001</v>
      </c>
      <c r="T16" s="1">
        <f t="shared" si="4"/>
        <v>12</v>
      </c>
      <c r="U16" s="1">
        <f t="shared" si="5"/>
        <v>6.8070262262024039</v>
      </c>
      <c r="V16" s="1">
        <v>379.55279999999999</v>
      </c>
      <c r="W16" s="1">
        <v>332.78500000000003</v>
      </c>
      <c r="X16" s="1">
        <v>290.48419999999999</v>
      </c>
      <c r="Y16" s="1">
        <v>294.3408</v>
      </c>
      <c r="Z16" s="1">
        <v>370.44220000000001</v>
      </c>
      <c r="AA16" s="1">
        <v>447.33139999999997</v>
      </c>
      <c r="AB16" s="1">
        <v>426.28320000000002</v>
      </c>
      <c r="AC16" s="1">
        <v>485.00200000000012</v>
      </c>
      <c r="AD16" s="1">
        <v>444.64399999999989</v>
      </c>
      <c r="AE16" s="1">
        <v>417.89479999999998</v>
      </c>
      <c r="AF16" s="1"/>
      <c r="AG16" s="1">
        <f t="shared" si="7"/>
        <v>2304.2876000000001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1:45" x14ac:dyDescent="0.25">
      <c r="A17" s="1" t="s">
        <v>53</v>
      </c>
      <c r="B17" s="1" t="s">
        <v>37</v>
      </c>
      <c r="C17" s="1">
        <v>88.659000000000006</v>
      </c>
      <c r="D17" s="1">
        <v>6.9969999999999999</v>
      </c>
      <c r="E17" s="1">
        <v>70.046999999999997</v>
      </c>
      <c r="F17" s="1">
        <v>15.119</v>
      </c>
      <c r="G17" s="7">
        <v>1</v>
      </c>
      <c r="H17" s="1">
        <v>60</v>
      </c>
      <c r="I17" s="1" t="s">
        <v>38</v>
      </c>
      <c r="J17" s="1"/>
      <c r="K17" s="1">
        <v>80.8</v>
      </c>
      <c r="L17" s="1">
        <f t="shared" si="2"/>
        <v>-10.753</v>
      </c>
      <c r="M17" s="1"/>
      <c r="N17" s="1"/>
      <c r="O17" s="1">
        <v>85.641000000000005</v>
      </c>
      <c r="P17" s="1"/>
      <c r="Q17" s="1"/>
      <c r="R17" s="1">
        <f t="shared" si="3"/>
        <v>14.009399999999999</v>
      </c>
      <c r="S17" s="5">
        <f t="shared" si="8"/>
        <v>67.352799999999988</v>
      </c>
      <c r="T17" s="1">
        <f t="shared" si="4"/>
        <v>12</v>
      </c>
      <c r="U17" s="1">
        <f t="shared" si="5"/>
        <v>7.1923137322083752</v>
      </c>
      <c r="V17" s="1">
        <v>15.593999999999999</v>
      </c>
      <c r="W17" s="1">
        <v>14.525</v>
      </c>
      <c r="X17" s="1">
        <v>9.8002000000000002</v>
      </c>
      <c r="Y17" s="1">
        <v>6.9792000000000014</v>
      </c>
      <c r="Z17" s="1">
        <v>11.373200000000001</v>
      </c>
      <c r="AA17" s="1">
        <v>21.314399999999999</v>
      </c>
      <c r="AB17" s="1">
        <v>17.635999999999999</v>
      </c>
      <c r="AC17" s="1">
        <v>7.6536</v>
      </c>
      <c r="AD17" s="1">
        <v>10.663399999999999</v>
      </c>
      <c r="AE17" s="1">
        <v>17.847000000000001</v>
      </c>
      <c r="AF17" s="1"/>
      <c r="AG17" s="1">
        <f t="shared" si="7"/>
        <v>67.352799999999988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1:45" x14ac:dyDescent="0.25">
      <c r="A18" s="1" t="s">
        <v>54</v>
      </c>
      <c r="B18" s="1" t="s">
        <v>37</v>
      </c>
      <c r="C18" s="1">
        <v>23.561</v>
      </c>
      <c r="D18" s="1">
        <v>58.179000000000002</v>
      </c>
      <c r="E18" s="1">
        <v>36.154000000000003</v>
      </c>
      <c r="F18" s="1">
        <v>47.442</v>
      </c>
      <c r="G18" s="7">
        <v>1</v>
      </c>
      <c r="H18" s="1">
        <v>60</v>
      </c>
      <c r="I18" s="1" t="s">
        <v>38</v>
      </c>
      <c r="J18" s="1"/>
      <c r="K18" s="1">
        <v>47.5</v>
      </c>
      <c r="L18" s="1">
        <f t="shared" si="2"/>
        <v>-11.345999999999997</v>
      </c>
      <c r="M18" s="1"/>
      <c r="N18" s="1"/>
      <c r="O18" s="1">
        <v>0</v>
      </c>
      <c r="P18" s="1"/>
      <c r="Q18" s="1"/>
      <c r="R18" s="1">
        <f t="shared" si="3"/>
        <v>7.2308000000000003</v>
      </c>
      <c r="S18" s="5">
        <f t="shared" si="8"/>
        <v>39.327599999999997</v>
      </c>
      <c r="T18" s="1">
        <f t="shared" si="4"/>
        <v>11.999999999999998</v>
      </c>
      <c r="U18" s="1">
        <f t="shared" si="5"/>
        <v>6.5610997400011062</v>
      </c>
      <c r="V18" s="1">
        <v>4.5262000000000002</v>
      </c>
      <c r="W18" s="1">
        <v>6.3393999999999986</v>
      </c>
      <c r="X18" s="1">
        <v>6.4408000000000003</v>
      </c>
      <c r="Y18" s="1">
        <v>6.5603999999999996</v>
      </c>
      <c r="Z18" s="1">
        <v>4.7707999999999986</v>
      </c>
      <c r="AA18" s="1">
        <v>6.2031999999999998</v>
      </c>
      <c r="AB18" s="1">
        <v>6.2096</v>
      </c>
      <c r="AC18" s="1">
        <v>4.9654000000000007</v>
      </c>
      <c r="AD18" s="1">
        <v>3.7240000000000002</v>
      </c>
      <c r="AE18" s="1">
        <v>4.6079999999999997</v>
      </c>
      <c r="AF18" s="1"/>
      <c r="AG18" s="1">
        <f t="shared" si="7"/>
        <v>39.327599999999997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1:45" x14ac:dyDescent="0.25">
      <c r="A19" s="1" t="s">
        <v>55</v>
      </c>
      <c r="B19" s="1" t="s">
        <v>37</v>
      </c>
      <c r="C19" s="1">
        <v>12.614000000000001</v>
      </c>
      <c r="D19" s="1">
        <v>40.593000000000004</v>
      </c>
      <c r="E19" s="1">
        <v>25.119</v>
      </c>
      <c r="F19" s="1">
        <v>27.356000000000002</v>
      </c>
      <c r="G19" s="7">
        <v>1</v>
      </c>
      <c r="H19" s="1">
        <v>180</v>
      </c>
      <c r="I19" s="1" t="s">
        <v>38</v>
      </c>
      <c r="J19" s="1"/>
      <c r="K19" s="1">
        <v>25.82</v>
      </c>
      <c r="L19" s="1">
        <f t="shared" si="2"/>
        <v>-0.70100000000000051</v>
      </c>
      <c r="M19" s="1"/>
      <c r="N19" s="1"/>
      <c r="O19" s="1">
        <v>21.337600000000009</v>
      </c>
      <c r="P19" s="1"/>
      <c r="Q19" s="1"/>
      <c r="R19" s="1">
        <f t="shared" si="3"/>
        <v>5.0237999999999996</v>
      </c>
      <c r="S19" s="5">
        <f t="shared" si="8"/>
        <v>11.591999999999985</v>
      </c>
      <c r="T19" s="1">
        <f t="shared" si="4"/>
        <v>12</v>
      </c>
      <c r="U19" s="1">
        <f t="shared" si="5"/>
        <v>9.6925833034754589</v>
      </c>
      <c r="V19" s="1">
        <v>4.1154000000000002</v>
      </c>
      <c r="W19" s="1">
        <v>5.633</v>
      </c>
      <c r="X19" s="1">
        <v>5.0154000000000014</v>
      </c>
      <c r="Y19" s="1">
        <v>2.7675999999999998</v>
      </c>
      <c r="Z19" s="1">
        <v>2.0844</v>
      </c>
      <c r="AA19" s="1">
        <v>1.048</v>
      </c>
      <c r="AB19" s="1">
        <v>2.5106000000000002</v>
      </c>
      <c r="AC19" s="1">
        <v>4.2141999999999999</v>
      </c>
      <c r="AD19" s="1">
        <v>3.7368000000000001</v>
      </c>
      <c r="AE19" s="1">
        <v>4.8635999999999999</v>
      </c>
      <c r="AF19" s="1"/>
      <c r="AG19" s="1">
        <f t="shared" si="7"/>
        <v>11.591999999999985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 x14ac:dyDescent="0.25">
      <c r="A20" s="1" t="s">
        <v>56</v>
      </c>
      <c r="B20" s="1" t="s">
        <v>37</v>
      </c>
      <c r="C20" s="1">
        <v>395.41300000000001</v>
      </c>
      <c r="D20" s="1">
        <v>75.944000000000003</v>
      </c>
      <c r="E20" s="1">
        <v>378.36</v>
      </c>
      <c r="F20" s="1">
        <v>89.471999999999994</v>
      </c>
      <c r="G20" s="7">
        <v>1</v>
      </c>
      <c r="H20" s="1">
        <v>60</v>
      </c>
      <c r="I20" s="1" t="s">
        <v>38</v>
      </c>
      <c r="J20" s="1"/>
      <c r="K20" s="1">
        <v>326.88</v>
      </c>
      <c r="L20" s="1">
        <f t="shared" si="2"/>
        <v>51.480000000000018</v>
      </c>
      <c r="M20" s="1"/>
      <c r="N20" s="1"/>
      <c r="O20" s="1">
        <v>382.25206800000018</v>
      </c>
      <c r="P20" s="1"/>
      <c r="Q20" s="1"/>
      <c r="R20" s="1">
        <f t="shared" si="3"/>
        <v>75.671999999999997</v>
      </c>
      <c r="S20" s="5">
        <f t="shared" si="8"/>
        <v>436.33993199999986</v>
      </c>
      <c r="T20" s="1">
        <f t="shared" si="4"/>
        <v>12.000000000000002</v>
      </c>
      <c r="U20" s="1">
        <f t="shared" si="5"/>
        <v>6.2337993973993049</v>
      </c>
      <c r="V20" s="1">
        <v>73.896600000000007</v>
      </c>
      <c r="W20" s="1">
        <v>72.609400000000008</v>
      </c>
      <c r="X20" s="1">
        <v>53.276200000000003</v>
      </c>
      <c r="Y20" s="1">
        <v>50.758800000000001</v>
      </c>
      <c r="Z20" s="1">
        <v>59.435799999999993</v>
      </c>
      <c r="AA20" s="1">
        <v>77.672799999999995</v>
      </c>
      <c r="AB20" s="1">
        <v>76.057199999999995</v>
      </c>
      <c r="AC20" s="1">
        <v>82.202399999999997</v>
      </c>
      <c r="AD20" s="1">
        <v>88.697599999999994</v>
      </c>
      <c r="AE20" s="1">
        <v>89.646000000000001</v>
      </c>
      <c r="AF20" s="1"/>
      <c r="AG20" s="1">
        <f t="shared" si="7"/>
        <v>436.33993199999986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x14ac:dyDescent="0.25">
      <c r="A21" s="1" t="s">
        <v>57</v>
      </c>
      <c r="B21" s="1" t="s">
        <v>37</v>
      </c>
      <c r="C21" s="1">
        <v>101.229</v>
      </c>
      <c r="D21" s="1">
        <v>91.501000000000005</v>
      </c>
      <c r="E21" s="1">
        <v>67.596000000000004</v>
      </c>
      <c r="F21" s="1">
        <v>118.13</v>
      </c>
      <c r="G21" s="7">
        <v>1</v>
      </c>
      <c r="H21" s="1">
        <v>70</v>
      </c>
      <c r="I21" s="1" t="s">
        <v>38</v>
      </c>
      <c r="J21" s="1"/>
      <c r="K21" s="1">
        <v>123.3</v>
      </c>
      <c r="L21" s="1">
        <f t="shared" si="2"/>
        <v>-55.703999999999994</v>
      </c>
      <c r="M21" s="1"/>
      <c r="N21" s="1"/>
      <c r="O21" s="1">
        <v>23.079350000000051</v>
      </c>
      <c r="P21" s="1"/>
      <c r="Q21" s="1"/>
      <c r="R21" s="1">
        <f t="shared" si="3"/>
        <v>13.519200000000001</v>
      </c>
      <c r="S21" s="5">
        <f t="shared" si="8"/>
        <v>21.021049999999974</v>
      </c>
      <c r="T21" s="1">
        <f t="shared" si="4"/>
        <v>12.000000000000002</v>
      </c>
      <c r="U21" s="1">
        <f t="shared" si="5"/>
        <v>10.445096603349313</v>
      </c>
      <c r="V21" s="1">
        <v>6.452</v>
      </c>
      <c r="W21" s="1">
        <v>17.515000000000001</v>
      </c>
      <c r="X21" s="1">
        <v>20.354600000000001</v>
      </c>
      <c r="Y21" s="1">
        <v>12.7774</v>
      </c>
      <c r="Z21" s="1">
        <v>14.9056</v>
      </c>
      <c r="AA21" s="1">
        <v>21.267399999999999</v>
      </c>
      <c r="AB21" s="1">
        <v>15.830399999999999</v>
      </c>
      <c r="AC21" s="1">
        <v>19.5242</v>
      </c>
      <c r="AD21" s="1">
        <v>23.744399999999999</v>
      </c>
      <c r="AE21" s="1">
        <v>22.281199999999998</v>
      </c>
      <c r="AF21" s="1"/>
      <c r="AG21" s="1">
        <f t="shared" si="7"/>
        <v>21.021049999999974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 x14ac:dyDescent="0.25">
      <c r="A22" s="1" t="s">
        <v>58</v>
      </c>
      <c r="B22" s="1" t="s">
        <v>37</v>
      </c>
      <c r="C22" s="1">
        <v>158.40199999999999</v>
      </c>
      <c r="D22" s="1">
        <v>87.801000000000002</v>
      </c>
      <c r="E22" s="1">
        <v>209.887</v>
      </c>
      <c r="F22" s="1">
        <v>28.498000000000001</v>
      </c>
      <c r="G22" s="7">
        <v>1</v>
      </c>
      <c r="H22" s="1">
        <v>70</v>
      </c>
      <c r="I22" s="1" t="s">
        <v>38</v>
      </c>
      <c r="J22" s="1"/>
      <c r="K22" s="1">
        <v>202.2</v>
      </c>
      <c r="L22" s="1">
        <f t="shared" si="2"/>
        <v>7.6870000000000118</v>
      </c>
      <c r="M22" s="1"/>
      <c r="N22" s="1"/>
      <c r="O22" s="1">
        <v>188.75653600000001</v>
      </c>
      <c r="P22" s="1"/>
      <c r="Q22" s="1"/>
      <c r="R22" s="1">
        <f t="shared" si="3"/>
        <v>41.977400000000003</v>
      </c>
      <c r="S22" s="5">
        <f t="shared" si="8"/>
        <v>286.47426400000001</v>
      </c>
      <c r="T22" s="1">
        <f t="shared" si="4"/>
        <v>11.999999999999998</v>
      </c>
      <c r="U22" s="1">
        <f t="shared" si="5"/>
        <v>5.1755119659626363</v>
      </c>
      <c r="V22" s="1">
        <v>38.621600000000001</v>
      </c>
      <c r="W22" s="1">
        <v>36.080399999999997</v>
      </c>
      <c r="X22" s="1">
        <v>27.281199999999998</v>
      </c>
      <c r="Y22" s="1">
        <v>19.441600000000001</v>
      </c>
      <c r="Z22" s="1">
        <v>26.1462</v>
      </c>
      <c r="AA22" s="1">
        <v>35.3934</v>
      </c>
      <c r="AB22" s="1">
        <v>33.106000000000002</v>
      </c>
      <c r="AC22" s="1">
        <v>38.613</v>
      </c>
      <c r="AD22" s="1">
        <v>42.749600000000001</v>
      </c>
      <c r="AE22" s="1">
        <v>46.347000000000001</v>
      </c>
      <c r="AF22" s="1"/>
      <c r="AG22" s="1">
        <f t="shared" si="7"/>
        <v>286.47426400000001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1:45" x14ac:dyDescent="0.25">
      <c r="A23" s="1" t="s">
        <v>59</v>
      </c>
      <c r="B23" s="1" t="s">
        <v>37</v>
      </c>
      <c r="C23" s="1">
        <v>0.23400000000000001</v>
      </c>
      <c r="D23" s="1">
        <v>57.444000000000003</v>
      </c>
      <c r="E23" s="1">
        <v>1.387</v>
      </c>
      <c r="F23" s="1">
        <v>56.305</v>
      </c>
      <c r="G23" s="7">
        <v>1</v>
      </c>
      <c r="H23" s="1">
        <v>180</v>
      </c>
      <c r="I23" s="1" t="s">
        <v>38</v>
      </c>
      <c r="J23" s="1"/>
      <c r="K23" s="1">
        <v>5.49</v>
      </c>
      <c r="L23" s="1">
        <f t="shared" si="2"/>
        <v>-4.1029999999999998</v>
      </c>
      <c r="M23" s="1"/>
      <c r="N23" s="1"/>
      <c r="O23" s="1">
        <v>59.302200000000013</v>
      </c>
      <c r="P23" s="1"/>
      <c r="Q23" s="1"/>
      <c r="R23" s="1">
        <f t="shared" si="3"/>
        <v>0.27739999999999998</v>
      </c>
      <c r="S23" s="5"/>
      <c r="T23" s="1">
        <f t="shared" si="4"/>
        <v>416.7527036770008</v>
      </c>
      <c r="U23" s="1">
        <f t="shared" si="5"/>
        <v>416.7527036770008</v>
      </c>
      <c r="V23" s="1">
        <v>1.9434</v>
      </c>
      <c r="W23" s="1">
        <v>9.5144000000000002</v>
      </c>
      <c r="X23" s="1">
        <v>7.9891999999999994</v>
      </c>
      <c r="Y23" s="1">
        <v>1.3806</v>
      </c>
      <c r="Z23" s="1">
        <v>1.7283999999999999</v>
      </c>
      <c r="AA23" s="1">
        <v>4.5865999999999998</v>
      </c>
      <c r="AB23" s="1">
        <v>6.9908000000000001</v>
      </c>
      <c r="AC23" s="1">
        <v>5.9451999999999998</v>
      </c>
      <c r="AD23" s="1">
        <v>3.044</v>
      </c>
      <c r="AE23" s="1">
        <v>3.5346000000000002</v>
      </c>
      <c r="AF23" s="1"/>
      <c r="AG23" s="1">
        <f t="shared" si="7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1:45" x14ac:dyDescent="0.25">
      <c r="A24" s="1" t="s">
        <v>60</v>
      </c>
      <c r="B24" s="1" t="s">
        <v>37</v>
      </c>
      <c r="C24" s="1">
        <v>291.596</v>
      </c>
      <c r="D24" s="1">
        <v>83.825999999999993</v>
      </c>
      <c r="E24" s="1">
        <v>222.02500000000001</v>
      </c>
      <c r="F24" s="1">
        <v>145.51499999999999</v>
      </c>
      <c r="G24" s="7">
        <v>1</v>
      </c>
      <c r="H24" s="1">
        <v>70</v>
      </c>
      <c r="I24" s="1" t="s">
        <v>38</v>
      </c>
      <c r="J24" s="1"/>
      <c r="K24" s="1">
        <v>229.8</v>
      </c>
      <c r="L24" s="1">
        <f t="shared" si="2"/>
        <v>-7.7750000000000057</v>
      </c>
      <c r="M24" s="1"/>
      <c r="N24" s="1"/>
      <c r="O24" s="1">
        <v>144.34988799999999</v>
      </c>
      <c r="P24" s="1"/>
      <c r="Q24" s="1"/>
      <c r="R24" s="1">
        <f t="shared" si="3"/>
        <v>44.405000000000001</v>
      </c>
      <c r="S24" s="5">
        <f t="shared" si="8"/>
        <v>242.99511200000006</v>
      </c>
      <c r="T24" s="1">
        <f t="shared" si="4"/>
        <v>12</v>
      </c>
      <c r="U24" s="1">
        <f t="shared" si="5"/>
        <v>6.5277533611079823</v>
      </c>
      <c r="V24" s="1">
        <v>38.7042</v>
      </c>
      <c r="W24" s="1">
        <v>38.443199999999997</v>
      </c>
      <c r="X24" s="1">
        <v>28.137799999999999</v>
      </c>
      <c r="Y24" s="1">
        <v>28.372</v>
      </c>
      <c r="Z24" s="1">
        <v>35.245800000000003</v>
      </c>
      <c r="AA24" s="1">
        <v>48.939599999999999</v>
      </c>
      <c r="AB24" s="1">
        <v>43.491199999999999</v>
      </c>
      <c r="AC24" s="1">
        <v>38.692599999999999</v>
      </c>
      <c r="AD24" s="1">
        <v>45.932200000000002</v>
      </c>
      <c r="AE24" s="1">
        <v>42.074399999999997</v>
      </c>
      <c r="AF24" s="1"/>
      <c r="AG24" s="1">
        <f t="shared" si="7"/>
        <v>242.99511200000006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1:45" x14ac:dyDescent="0.25">
      <c r="A25" s="9" t="s">
        <v>61</v>
      </c>
      <c r="B25" s="9" t="s">
        <v>37</v>
      </c>
      <c r="C25" s="9"/>
      <c r="D25" s="9"/>
      <c r="E25" s="9"/>
      <c r="F25" s="9"/>
      <c r="G25" s="10">
        <v>0</v>
      </c>
      <c r="H25" s="9"/>
      <c r="I25" s="9" t="s">
        <v>38</v>
      </c>
      <c r="J25" s="9"/>
      <c r="K25" s="9"/>
      <c r="L25" s="9">
        <f t="shared" si="2"/>
        <v>0</v>
      </c>
      <c r="M25" s="9"/>
      <c r="N25" s="9"/>
      <c r="O25" s="9">
        <v>0</v>
      </c>
      <c r="P25" s="9"/>
      <c r="Q25" s="9"/>
      <c r="R25" s="9">
        <f t="shared" si="3"/>
        <v>0</v>
      </c>
      <c r="S25" s="11"/>
      <c r="T25" s="9" t="e">
        <f t="shared" si="4"/>
        <v>#DIV/0!</v>
      </c>
      <c r="U25" s="9" t="e">
        <f t="shared" si="5"/>
        <v>#DIV/0!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 t="s">
        <v>44</v>
      </c>
      <c r="AG25" s="9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1:45" x14ac:dyDescent="0.25">
      <c r="A26" s="1" t="s">
        <v>62</v>
      </c>
      <c r="B26" s="1" t="s">
        <v>37</v>
      </c>
      <c r="C26" s="1">
        <v>5.5609999999999999</v>
      </c>
      <c r="D26" s="1">
        <v>329.553</v>
      </c>
      <c r="E26" s="1">
        <v>70.097999999999999</v>
      </c>
      <c r="F26" s="1">
        <v>220.167</v>
      </c>
      <c r="G26" s="7">
        <v>1</v>
      </c>
      <c r="H26" s="1"/>
      <c r="I26" s="1" t="s">
        <v>38</v>
      </c>
      <c r="J26" s="1"/>
      <c r="K26" s="1">
        <v>133</v>
      </c>
      <c r="L26" s="1">
        <f t="shared" si="2"/>
        <v>-62.902000000000001</v>
      </c>
      <c r="M26" s="1"/>
      <c r="N26" s="1"/>
      <c r="O26" s="1">
        <v>0</v>
      </c>
      <c r="P26" s="1"/>
      <c r="Q26" s="1"/>
      <c r="R26" s="1">
        <f t="shared" si="3"/>
        <v>14.019600000000001</v>
      </c>
      <c r="S26" s="5"/>
      <c r="T26" s="1">
        <f t="shared" si="4"/>
        <v>15.704228366001882</v>
      </c>
      <c r="U26" s="1">
        <f t="shared" si="5"/>
        <v>15.704228366001882</v>
      </c>
      <c r="V26" s="1">
        <v>0.69540000000000002</v>
      </c>
      <c r="W26" s="1">
        <v>3.7128000000000001</v>
      </c>
      <c r="X26" s="1">
        <v>7.3063999999999991</v>
      </c>
      <c r="Y26" s="1">
        <v>22.351600000000001</v>
      </c>
      <c r="Z26" s="1">
        <v>23.732600000000001</v>
      </c>
      <c r="AA26" s="1">
        <v>5.7994000000000003</v>
      </c>
      <c r="AB26" s="1">
        <v>0</v>
      </c>
      <c r="AC26" s="1">
        <v>0</v>
      </c>
      <c r="AD26" s="1">
        <v>0</v>
      </c>
      <c r="AE26" s="1">
        <v>0</v>
      </c>
      <c r="AF26" s="1" t="s">
        <v>176</v>
      </c>
      <c r="AG26" s="1">
        <f t="shared" ref="AG26:AG41" si="9">G26*S26</f>
        <v>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1:45" x14ac:dyDescent="0.25">
      <c r="A27" s="1" t="s">
        <v>63</v>
      </c>
      <c r="B27" s="1" t="s">
        <v>37</v>
      </c>
      <c r="C27" s="1">
        <v>-2.5000000000000001E-2</v>
      </c>
      <c r="D27" s="1"/>
      <c r="E27" s="1">
        <v>-5.8150000000000004</v>
      </c>
      <c r="F27" s="1">
        <v>-2.5000000000000001E-2</v>
      </c>
      <c r="G27" s="7">
        <v>1</v>
      </c>
      <c r="H27" s="1">
        <v>40</v>
      </c>
      <c r="I27" s="13" t="s">
        <v>49</v>
      </c>
      <c r="J27" s="1"/>
      <c r="K27" s="1">
        <v>17.3</v>
      </c>
      <c r="L27" s="1">
        <f t="shared" si="2"/>
        <v>-23.115000000000002</v>
      </c>
      <c r="M27" s="1"/>
      <c r="N27" s="1"/>
      <c r="O27" s="1">
        <v>100</v>
      </c>
      <c r="P27" s="1">
        <v>-108</v>
      </c>
      <c r="Q27" s="1"/>
      <c r="R27" s="1">
        <f t="shared" si="3"/>
        <v>-1.163</v>
      </c>
      <c r="S27" s="5">
        <v>70</v>
      </c>
      <c r="T27" s="1">
        <f t="shared" si="4"/>
        <v>-53.28890799656061</v>
      </c>
      <c r="U27" s="1">
        <f t="shared" si="5"/>
        <v>6.9002579535683628</v>
      </c>
      <c r="V27" s="1">
        <v>-0.50919999999999999</v>
      </c>
      <c r="W27" s="1">
        <v>-0.21679999999999999</v>
      </c>
      <c r="X27" s="1">
        <v>-0.21679999999999999</v>
      </c>
      <c r="Y27" s="1">
        <v>9.5777999999999999</v>
      </c>
      <c r="Z27" s="1">
        <v>37.691400000000002</v>
      </c>
      <c r="AA27" s="1">
        <v>56.543799999999997</v>
      </c>
      <c r="AB27" s="1">
        <v>34.541200000000003</v>
      </c>
      <c r="AC27" s="1">
        <v>38.505600000000001</v>
      </c>
      <c r="AD27" s="1">
        <v>32.977800000000002</v>
      </c>
      <c r="AE27" s="1">
        <v>14.902200000000001</v>
      </c>
      <c r="AF27" s="1"/>
      <c r="AG27" s="1">
        <f t="shared" si="9"/>
        <v>70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 x14ac:dyDescent="0.25">
      <c r="A28" s="1" t="s">
        <v>64</v>
      </c>
      <c r="B28" s="1" t="s">
        <v>37</v>
      </c>
      <c r="C28" s="1">
        <v>142.84</v>
      </c>
      <c r="D28" s="1">
        <v>166.49100000000001</v>
      </c>
      <c r="E28" s="1">
        <v>212.571</v>
      </c>
      <c r="F28" s="1">
        <v>9.2710000000000008</v>
      </c>
      <c r="G28" s="7">
        <v>1</v>
      </c>
      <c r="H28" s="1">
        <v>30</v>
      </c>
      <c r="I28" s="13" t="s">
        <v>49</v>
      </c>
      <c r="J28" s="1"/>
      <c r="K28" s="1">
        <v>323.60000000000002</v>
      </c>
      <c r="L28" s="1">
        <f t="shared" si="2"/>
        <v>-111.02900000000002</v>
      </c>
      <c r="M28" s="1"/>
      <c r="N28" s="1"/>
      <c r="O28" s="1">
        <v>180</v>
      </c>
      <c r="P28" s="1"/>
      <c r="Q28" s="1"/>
      <c r="R28" s="1">
        <f t="shared" si="3"/>
        <v>42.514200000000002</v>
      </c>
      <c r="S28" s="5">
        <v>200</v>
      </c>
      <c r="T28" s="1">
        <f t="shared" si="4"/>
        <v>9.1562583795531847</v>
      </c>
      <c r="U28" s="1">
        <f t="shared" si="5"/>
        <v>4.4519478197872715</v>
      </c>
      <c r="V28" s="1">
        <v>44.266199999999998</v>
      </c>
      <c r="W28" s="1">
        <v>41.836200000000012</v>
      </c>
      <c r="X28" s="1">
        <v>28.0486</v>
      </c>
      <c r="Y28" s="1">
        <v>11.816000000000001</v>
      </c>
      <c r="Z28" s="1">
        <v>3.6137999999999999</v>
      </c>
      <c r="AA28" s="1">
        <v>28.007400000000001</v>
      </c>
      <c r="AB28" s="1">
        <v>35.287799999999997</v>
      </c>
      <c r="AC28" s="1">
        <v>16.3886</v>
      </c>
      <c r="AD28" s="1">
        <v>14.622999999999999</v>
      </c>
      <c r="AE28" s="1">
        <v>57.747199999999999</v>
      </c>
      <c r="AF28" s="1"/>
      <c r="AG28" s="1">
        <f t="shared" si="9"/>
        <v>200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1:45" x14ac:dyDescent="0.25">
      <c r="A29" s="1" t="s">
        <v>65</v>
      </c>
      <c r="B29" s="1" t="s">
        <v>37</v>
      </c>
      <c r="C29" s="1">
        <v>1.518</v>
      </c>
      <c r="D29" s="1">
        <v>1.4</v>
      </c>
      <c r="E29" s="1">
        <v>-12.749000000000001</v>
      </c>
      <c r="F29" s="1">
        <v>1.518</v>
      </c>
      <c r="G29" s="7">
        <v>1</v>
      </c>
      <c r="H29" s="1">
        <v>40</v>
      </c>
      <c r="I29" s="13" t="s">
        <v>49</v>
      </c>
      <c r="J29" s="1"/>
      <c r="K29" s="1">
        <v>144.4</v>
      </c>
      <c r="L29" s="1">
        <f t="shared" si="2"/>
        <v>-157.149</v>
      </c>
      <c r="M29" s="1"/>
      <c r="N29" s="1"/>
      <c r="O29" s="1">
        <v>500</v>
      </c>
      <c r="P29" s="1">
        <v>-504</v>
      </c>
      <c r="Q29" s="1"/>
      <c r="R29" s="1">
        <f t="shared" si="3"/>
        <v>-2.5498000000000003</v>
      </c>
      <c r="S29" s="5">
        <v>300</v>
      </c>
      <c r="T29" s="1">
        <f t="shared" si="4"/>
        <v>-116.68287708839907</v>
      </c>
      <c r="U29" s="1">
        <f t="shared" si="5"/>
        <v>0.97340967919053556</v>
      </c>
      <c r="V29" s="1">
        <v>-1.9388000000000001</v>
      </c>
      <c r="W29" s="1">
        <v>2.0426000000000002</v>
      </c>
      <c r="X29" s="1">
        <v>72.69919999999999</v>
      </c>
      <c r="Y29" s="1">
        <v>116.389</v>
      </c>
      <c r="Z29" s="1">
        <v>99.9422</v>
      </c>
      <c r="AA29" s="1">
        <v>194.2286</v>
      </c>
      <c r="AB29" s="1">
        <v>221.15479999999999</v>
      </c>
      <c r="AC29" s="1">
        <v>290.73820000000001</v>
      </c>
      <c r="AD29" s="1">
        <v>221.20740000000001</v>
      </c>
      <c r="AE29" s="1">
        <v>21.023</v>
      </c>
      <c r="AF29" s="1"/>
      <c r="AG29" s="1">
        <f t="shared" si="9"/>
        <v>300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 x14ac:dyDescent="0.25">
      <c r="A30" s="1" t="s">
        <v>66</v>
      </c>
      <c r="B30" s="1" t="s">
        <v>37</v>
      </c>
      <c r="C30" s="1">
        <v>2.95</v>
      </c>
      <c r="D30" s="1"/>
      <c r="E30" s="1">
        <v>2.4049999999999998</v>
      </c>
      <c r="F30" s="1">
        <v>-0.03</v>
      </c>
      <c r="G30" s="7">
        <v>1</v>
      </c>
      <c r="H30" s="1">
        <v>40</v>
      </c>
      <c r="I30" s="13" t="s">
        <v>49</v>
      </c>
      <c r="J30" s="1"/>
      <c r="K30" s="1">
        <v>2.8</v>
      </c>
      <c r="L30" s="1">
        <f t="shared" si="2"/>
        <v>-0.39500000000000002</v>
      </c>
      <c r="M30" s="1"/>
      <c r="N30" s="1"/>
      <c r="O30" s="1">
        <v>31.142400000000009</v>
      </c>
      <c r="P30" s="1">
        <v>-36</v>
      </c>
      <c r="Q30" s="1"/>
      <c r="R30" s="1">
        <f t="shared" si="3"/>
        <v>0.48099999999999998</v>
      </c>
      <c r="S30" s="5">
        <v>20</v>
      </c>
      <c r="T30" s="1">
        <f t="shared" si="4"/>
        <v>31.418711018711036</v>
      </c>
      <c r="U30" s="1">
        <f t="shared" si="5"/>
        <v>-10.161330561330544</v>
      </c>
      <c r="V30" s="1">
        <v>1.6794</v>
      </c>
      <c r="W30" s="1">
        <v>6.8876000000000008</v>
      </c>
      <c r="X30" s="1">
        <v>7.1876000000000007</v>
      </c>
      <c r="Y30" s="1">
        <v>1.4984</v>
      </c>
      <c r="Z30" s="1">
        <v>0</v>
      </c>
      <c r="AA30" s="1">
        <v>0</v>
      </c>
      <c r="AB30" s="1">
        <v>0.90600000000000003</v>
      </c>
      <c r="AC30" s="1">
        <v>5.2767999999999997</v>
      </c>
      <c r="AD30" s="1">
        <v>4.3708</v>
      </c>
      <c r="AE30" s="1">
        <v>-0.6048</v>
      </c>
      <c r="AF30" s="1"/>
      <c r="AG30" s="1">
        <f t="shared" si="9"/>
        <v>20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1:45" x14ac:dyDescent="0.25">
      <c r="A31" s="1" t="s">
        <v>67</v>
      </c>
      <c r="B31" s="1" t="s">
        <v>37</v>
      </c>
      <c r="C31" s="1">
        <v>46.752000000000002</v>
      </c>
      <c r="D31" s="1">
        <v>185.83</v>
      </c>
      <c r="E31" s="1">
        <v>47.689</v>
      </c>
      <c r="F31" s="1">
        <v>115.91</v>
      </c>
      <c r="G31" s="7">
        <v>1</v>
      </c>
      <c r="H31" s="1">
        <v>30</v>
      </c>
      <c r="I31" s="1" t="s">
        <v>38</v>
      </c>
      <c r="J31" s="1"/>
      <c r="K31" s="1">
        <v>86.4</v>
      </c>
      <c r="L31" s="1">
        <f t="shared" si="2"/>
        <v>-38.711000000000006</v>
      </c>
      <c r="M31" s="1"/>
      <c r="N31" s="1"/>
      <c r="O31" s="1">
        <v>0</v>
      </c>
      <c r="P31" s="1"/>
      <c r="Q31" s="1"/>
      <c r="R31" s="1">
        <f t="shared" si="3"/>
        <v>9.5378000000000007</v>
      </c>
      <c r="S31" s="5"/>
      <c r="T31" s="1">
        <f t="shared" si="4"/>
        <v>12.152697687097652</v>
      </c>
      <c r="U31" s="1">
        <f t="shared" si="5"/>
        <v>12.152697687097652</v>
      </c>
      <c r="V31" s="1">
        <v>4.1444000000000001</v>
      </c>
      <c r="W31" s="1">
        <v>12.799799999999999</v>
      </c>
      <c r="X31" s="1">
        <v>20.229199999999999</v>
      </c>
      <c r="Y31" s="1">
        <v>9.969199999999999</v>
      </c>
      <c r="Z31" s="1">
        <v>5.0338000000000003</v>
      </c>
      <c r="AA31" s="1">
        <v>7.6532</v>
      </c>
      <c r="AB31" s="1">
        <v>15.609400000000001</v>
      </c>
      <c r="AC31" s="1">
        <v>19.0808</v>
      </c>
      <c r="AD31" s="1">
        <v>10.242800000000001</v>
      </c>
      <c r="AE31" s="1">
        <v>10.489800000000001</v>
      </c>
      <c r="AF31" s="1"/>
      <c r="AG31" s="1">
        <f t="shared" si="9"/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1:45" x14ac:dyDescent="0.25">
      <c r="A32" s="1" t="s">
        <v>68</v>
      </c>
      <c r="B32" s="1" t="s">
        <v>37</v>
      </c>
      <c r="C32" s="1">
        <v>147.94</v>
      </c>
      <c r="D32" s="1">
        <v>81.150999999999996</v>
      </c>
      <c r="E32" s="1">
        <v>108.22199999999999</v>
      </c>
      <c r="F32" s="1">
        <v>18.972000000000001</v>
      </c>
      <c r="G32" s="7">
        <v>1</v>
      </c>
      <c r="H32" s="1">
        <v>50</v>
      </c>
      <c r="I32" s="1" t="s">
        <v>38</v>
      </c>
      <c r="J32" s="1"/>
      <c r="K32" s="1">
        <v>137.36500000000001</v>
      </c>
      <c r="L32" s="1">
        <f t="shared" si="2"/>
        <v>-29.143000000000015</v>
      </c>
      <c r="M32" s="1"/>
      <c r="N32" s="1"/>
      <c r="O32" s="1">
        <v>0</v>
      </c>
      <c r="P32" s="1"/>
      <c r="Q32" s="1"/>
      <c r="R32" s="1">
        <f t="shared" si="3"/>
        <v>21.644399999999997</v>
      </c>
      <c r="S32" s="5">
        <f>8*R32-Q32-P32-O32-F32</f>
        <v>154.18319999999997</v>
      </c>
      <c r="T32" s="1">
        <f t="shared" si="4"/>
        <v>8</v>
      </c>
      <c r="U32" s="1">
        <f t="shared" si="5"/>
        <v>0.87653157398680503</v>
      </c>
      <c r="V32" s="1">
        <v>16.348800000000001</v>
      </c>
      <c r="W32" s="1">
        <v>13.0716</v>
      </c>
      <c r="X32" s="1">
        <v>12.183</v>
      </c>
      <c r="Y32" s="1">
        <v>16.6722</v>
      </c>
      <c r="Z32" s="1">
        <v>19.813600000000001</v>
      </c>
      <c r="AA32" s="1">
        <v>12.786799999999999</v>
      </c>
      <c r="AB32" s="1">
        <v>7.3365999999999998</v>
      </c>
      <c r="AC32" s="1">
        <v>20.953199999999999</v>
      </c>
      <c r="AD32" s="1">
        <v>32.764400000000002</v>
      </c>
      <c r="AE32" s="1">
        <v>27.847000000000001</v>
      </c>
      <c r="AF32" s="1"/>
      <c r="AG32" s="1">
        <f t="shared" si="9"/>
        <v>154.18319999999997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1:45" x14ac:dyDescent="0.25">
      <c r="A33" s="1" t="s">
        <v>69</v>
      </c>
      <c r="B33" s="1" t="s">
        <v>37</v>
      </c>
      <c r="C33" s="1">
        <v>51.743000000000002</v>
      </c>
      <c r="D33" s="1">
        <v>110.541</v>
      </c>
      <c r="E33" s="1">
        <v>61.192999999999998</v>
      </c>
      <c r="F33" s="1">
        <v>61.167000000000002</v>
      </c>
      <c r="G33" s="7">
        <v>1</v>
      </c>
      <c r="H33" s="1">
        <v>50</v>
      </c>
      <c r="I33" s="1" t="s">
        <v>38</v>
      </c>
      <c r="J33" s="1"/>
      <c r="K33" s="1">
        <v>95.7</v>
      </c>
      <c r="L33" s="1">
        <f t="shared" si="2"/>
        <v>-34.507000000000005</v>
      </c>
      <c r="M33" s="1"/>
      <c r="N33" s="1"/>
      <c r="O33" s="1">
        <v>0</v>
      </c>
      <c r="P33" s="1"/>
      <c r="Q33" s="1"/>
      <c r="R33" s="1">
        <f t="shared" si="3"/>
        <v>12.2386</v>
      </c>
      <c r="S33" s="5">
        <f t="shared" ref="S26:S41" si="10">12*R33-Q33-P33-O33-F33</f>
        <v>85.696200000000005</v>
      </c>
      <c r="T33" s="1">
        <f t="shared" si="4"/>
        <v>12</v>
      </c>
      <c r="U33" s="1">
        <f t="shared" si="5"/>
        <v>4.9978755740035625</v>
      </c>
      <c r="V33" s="1">
        <v>7.5937999999999999</v>
      </c>
      <c r="W33" s="1">
        <v>11.585599999999999</v>
      </c>
      <c r="X33" s="1">
        <v>11.974</v>
      </c>
      <c r="Y33" s="1">
        <v>13.573399999999999</v>
      </c>
      <c r="Z33" s="1">
        <v>14.6586</v>
      </c>
      <c r="AA33" s="1">
        <v>12.297599999999999</v>
      </c>
      <c r="AB33" s="1">
        <v>10.6524</v>
      </c>
      <c r="AC33" s="1">
        <v>7.8666</v>
      </c>
      <c r="AD33" s="1">
        <v>12.2232</v>
      </c>
      <c r="AE33" s="1">
        <v>20.489599999999999</v>
      </c>
      <c r="AF33" s="1"/>
      <c r="AG33" s="1">
        <f t="shared" si="9"/>
        <v>85.696200000000005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1:45" x14ac:dyDescent="0.25">
      <c r="A34" s="1" t="s">
        <v>70</v>
      </c>
      <c r="B34" s="1" t="s">
        <v>43</v>
      </c>
      <c r="C34" s="1">
        <v>656.505</v>
      </c>
      <c r="D34" s="1">
        <v>565</v>
      </c>
      <c r="E34" s="1">
        <v>1224</v>
      </c>
      <c r="F34" s="1">
        <v>37.505000000000003</v>
      </c>
      <c r="G34" s="7">
        <v>0.4</v>
      </c>
      <c r="H34" s="1">
        <v>45</v>
      </c>
      <c r="I34" s="13" t="s">
        <v>49</v>
      </c>
      <c r="J34" s="1"/>
      <c r="K34" s="1">
        <v>2105</v>
      </c>
      <c r="L34" s="1">
        <f t="shared" si="2"/>
        <v>-881</v>
      </c>
      <c r="M34" s="1"/>
      <c r="N34" s="1"/>
      <c r="O34" s="1">
        <v>1586.1</v>
      </c>
      <c r="P34" s="1"/>
      <c r="Q34" s="1"/>
      <c r="R34" s="1">
        <f t="shared" si="3"/>
        <v>244.8</v>
      </c>
      <c r="S34" s="5">
        <f t="shared" si="10"/>
        <v>1313.9950000000003</v>
      </c>
      <c r="T34" s="1">
        <f t="shared" si="4"/>
        <v>12.000000000000002</v>
      </c>
      <c r="U34" s="1">
        <f t="shared" si="5"/>
        <v>6.6323733660130717</v>
      </c>
      <c r="V34" s="1">
        <v>275.8</v>
      </c>
      <c r="W34" s="1">
        <v>345</v>
      </c>
      <c r="X34" s="1">
        <v>296.8</v>
      </c>
      <c r="Y34" s="1">
        <v>241.8</v>
      </c>
      <c r="Z34" s="1">
        <v>278.8</v>
      </c>
      <c r="AA34" s="1">
        <v>324.39999999999998</v>
      </c>
      <c r="AB34" s="1">
        <v>336.4</v>
      </c>
      <c r="AC34" s="1">
        <v>363</v>
      </c>
      <c r="AD34" s="1">
        <v>355.6</v>
      </c>
      <c r="AE34" s="1">
        <v>357.8</v>
      </c>
      <c r="AF34" s="1"/>
      <c r="AG34" s="1">
        <f t="shared" si="9"/>
        <v>525.59800000000018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1:45" x14ac:dyDescent="0.25">
      <c r="A35" s="1" t="s">
        <v>71</v>
      </c>
      <c r="B35" s="1" t="s">
        <v>43</v>
      </c>
      <c r="C35" s="1">
        <v>699</v>
      </c>
      <c r="D35" s="1">
        <v>4</v>
      </c>
      <c r="E35" s="1">
        <v>320</v>
      </c>
      <c r="F35" s="1">
        <v>179</v>
      </c>
      <c r="G35" s="7">
        <v>0.45</v>
      </c>
      <c r="H35" s="1">
        <v>50</v>
      </c>
      <c r="I35" s="1" t="s">
        <v>38</v>
      </c>
      <c r="J35" s="1"/>
      <c r="K35" s="1">
        <v>322</v>
      </c>
      <c r="L35" s="1">
        <f t="shared" si="2"/>
        <v>-2</v>
      </c>
      <c r="M35" s="1"/>
      <c r="N35" s="1"/>
      <c r="O35" s="1">
        <v>0</v>
      </c>
      <c r="P35" s="1"/>
      <c r="Q35" s="1"/>
      <c r="R35" s="1">
        <f t="shared" si="3"/>
        <v>64</v>
      </c>
      <c r="S35" s="5">
        <f>10*R35-Q35-P35-O35-F35</f>
        <v>461</v>
      </c>
      <c r="T35" s="1">
        <f t="shared" si="4"/>
        <v>10</v>
      </c>
      <c r="U35" s="1">
        <f t="shared" si="5"/>
        <v>2.796875</v>
      </c>
      <c r="V35" s="1">
        <v>59.8</v>
      </c>
      <c r="W35" s="1">
        <v>55.6</v>
      </c>
      <c r="X35" s="1">
        <v>41.6</v>
      </c>
      <c r="Y35" s="1">
        <v>39.4</v>
      </c>
      <c r="Z35" s="1">
        <v>68.8</v>
      </c>
      <c r="AA35" s="1">
        <v>92.6</v>
      </c>
      <c r="AB35" s="1">
        <v>61</v>
      </c>
      <c r="AC35" s="1">
        <v>66.8</v>
      </c>
      <c r="AD35" s="1">
        <v>81</v>
      </c>
      <c r="AE35" s="1">
        <v>67.8</v>
      </c>
      <c r="AF35" s="1"/>
      <c r="AG35" s="1">
        <f t="shared" si="9"/>
        <v>207.45000000000002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1:45" x14ac:dyDescent="0.25">
      <c r="A36" s="1" t="s">
        <v>72</v>
      </c>
      <c r="B36" s="1" t="s">
        <v>43</v>
      </c>
      <c r="C36" s="1">
        <v>13</v>
      </c>
      <c r="D36" s="1">
        <v>302</v>
      </c>
      <c r="E36" s="1">
        <v>331</v>
      </c>
      <c r="F36" s="1">
        <v>-14</v>
      </c>
      <c r="G36" s="7">
        <v>0.4</v>
      </c>
      <c r="H36" s="1">
        <v>45</v>
      </c>
      <c r="I36" s="13" t="s">
        <v>49</v>
      </c>
      <c r="J36" s="1"/>
      <c r="K36" s="1">
        <v>653</v>
      </c>
      <c r="L36" s="1">
        <f t="shared" si="2"/>
        <v>-322</v>
      </c>
      <c r="M36" s="1"/>
      <c r="N36" s="1"/>
      <c r="O36" s="1">
        <v>332.15</v>
      </c>
      <c r="P36" s="1">
        <v>-336</v>
      </c>
      <c r="Q36" s="1"/>
      <c r="R36" s="1">
        <f t="shared" si="3"/>
        <v>66.2</v>
      </c>
      <c r="S36" s="5">
        <v>300</v>
      </c>
      <c r="T36" s="1">
        <f t="shared" si="4"/>
        <v>4.2620845921450146</v>
      </c>
      <c r="U36" s="1">
        <f t="shared" si="5"/>
        <v>-0.26963746223564988</v>
      </c>
      <c r="V36" s="1">
        <v>45.2</v>
      </c>
      <c r="W36" s="1">
        <v>106.8</v>
      </c>
      <c r="X36" s="1">
        <v>113.8</v>
      </c>
      <c r="Y36" s="1">
        <v>107</v>
      </c>
      <c r="Z36" s="1">
        <v>101.8</v>
      </c>
      <c r="AA36" s="1">
        <v>124.8</v>
      </c>
      <c r="AB36" s="1">
        <v>136.80000000000001</v>
      </c>
      <c r="AC36" s="1">
        <v>134</v>
      </c>
      <c r="AD36" s="1">
        <v>123.8</v>
      </c>
      <c r="AE36" s="1">
        <v>108.4</v>
      </c>
      <c r="AF36" s="1"/>
      <c r="AG36" s="1">
        <f t="shared" si="9"/>
        <v>120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1:45" x14ac:dyDescent="0.25">
      <c r="A37" s="1" t="s">
        <v>73</v>
      </c>
      <c r="B37" s="1" t="s">
        <v>43</v>
      </c>
      <c r="C37" s="1">
        <v>130</v>
      </c>
      <c r="D37" s="1">
        <v>1</v>
      </c>
      <c r="E37" s="1">
        <v>88</v>
      </c>
      <c r="F37" s="1">
        <v>-6</v>
      </c>
      <c r="G37" s="7">
        <v>0.4</v>
      </c>
      <c r="H37" s="1">
        <v>40</v>
      </c>
      <c r="I37" s="13" t="s">
        <v>49</v>
      </c>
      <c r="J37" s="1"/>
      <c r="K37" s="1">
        <v>200</v>
      </c>
      <c r="L37" s="1">
        <f t="shared" si="2"/>
        <v>-112</v>
      </c>
      <c r="M37" s="1"/>
      <c r="N37" s="1"/>
      <c r="O37" s="1">
        <v>64.399999999999977</v>
      </c>
      <c r="P37" s="1">
        <v>-65.999999999999986</v>
      </c>
      <c r="Q37" s="1"/>
      <c r="R37" s="1">
        <f t="shared" si="3"/>
        <v>17.600000000000001</v>
      </c>
      <c r="S37" s="5">
        <v>50</v>
      </c>
      <c r="T37" s="1">
        <f t="shared" si="4"/>
        <v>2.4090909090909083</v>
      </c>
      <c r="U37" s="1">
        <f t="shared" si="5"/>
        <v>-0.43181818181818227</v>
      </c>
      <c r="V37" s="1">
        <v>16.8</v>
      </c>
      <c r="W37" s="1">
        <v>16.2</v>
      </c>
      <c r="X37" s="1">
        <v>11.8</v>
      </c>
      <c r="Y37" s="1">
        <v>10.6</v>
      </c>
      <c r="Z37" s="1">
        <v>20.6</v>
      </c>
      <c r="AA37" s="1">
        <v>26</v>
      </c>
      <c r="AB37" s="1">
        <v>27.2</v>
      </c>
      <c r="AC37" s="1">
        <v>26</v>
      </c>
      <c r="AD37" s="1">
        <v>11</v>
      </c>
      <c r="AE37" s="1">
        <v>9</v>
      </c>
      <c r="AF37" s="1"/>
      <c r="AG37" s="1">
        <f t="shared" si="9"/>
        <v>20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1:45" x14ac:dyDescent="0.25">
      <c r="A38" s="1" t="s">
        <v>74</v>
      </c>
      <c r="B38" s="1" t="s">
        <v>37</v>
      </c>
      <c r="C38" s="1">
        <v>-2.1999999999999999E-2</v>
      </c>
      <c r="D38" s="1">
        <v>81.257000000000005</v>
      </c>
      <c r="E38" s="1">
        <v>30.61</v>
      </c>
      <c r="F38" s="1">
        <v>39.874000000000002</v>
      </c>
      <c r="G38" s="7">
        <v>1</v>
      </c>
      <c r="H38" s="1">
        <v>45</v>
      </c>
      <c r="I38" s="1" t="s">
        <v>38</v>
      </c>
      <c r="J38" s="1"/>
      <c r="K38" s="1">
        <v>45.5</v>
      </c>
      <c r="L38" s="1">
        <f t="shared" ref="L38:L69" si="11">E38-K38</f>
        <v>-14.89</v>
      </c>
      <c r="M38" s="1"/>
      <c r="N38" s="1"/>
      <c r="O38" s="1">
        <v>0</v>
      </c>
      <c r="P38" s="1"/>
      <c r="Q38" s="1"/>
      <c r="R38" s="1">
        <f t="shared" ref="R38:R69" si="12">E38/5</f>
        <v>6.1219999999999999</v>
      </c>
      <c r="S38" s="5">
        <f t="shared" si="10"/>
        <v>33.589999999999996</v>
      </c>
      <c r="T38" s="1">
        <f t="shared" ref="T38:T69" si="13">(F38+O38+P38+Q38+S38)/R38</f>
        <v>12</v>
      </c>
      <c r="U38" s="1">
        <f t="shared" ref="U38:U69" si="14">(F38+O38+P38+Q38)/R38</f>
        <v>6.5132309702711542</v>
      </c>
      <c r="V38" s="1">
        <v>-6.3E-2</v>
      </c>
      <c r="W38" s="1">
        <v>5.2148000000000003</v>
      </c>
      <c r="X38" s="1">
        <v>6.1369999999999996</v>
      </c>
      <c r="Y38" s="1">
        <v>4.6671999999999993</v>
      </c>
      <c r="Z38" s="1">
        <v>6.0350000000000001</v>
      </c>
      <c r="AA38" s="1">
        <v>5.3391999999999999</v>
      </c>
      <c r="AB38" s="1">
        <v>4.4689999999999994</v>
      </c>
      <c r="AC38" s="1">
        <v>1.9303999999999999</v>
      </c>
      <c r="AD38" s="1">
        <v>2.2482000000000002</v>
      </c>
      <c r="AE38" s="1">
        <v>5.7770000000000001</v>
      </c>
      <c r="AF38" s="1"/>
      <c r="AG38" s="1">
        <f t="shared" si="9"/>
        <v>33.589999999999996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1:45" x14ac:dyDescent="0.25">
      <c r="A39" s="1" t="s">
        <v>75</v>
      </c>
      <c r="B39" s="1" t="s">
        <v>43</v>
      </c>
      <c r="C39" s="1">
        <v>129</v>
      </c>
      <c r="D39" s="1">
        <v>165</v>
      </c>
      <c r="E39" s="1">
        <v>61</v>
      </c>
      <c r="F39" s="1">
        <v>205</v>
      </c>
      <c r="G39" s="7">
        <v>0.1</v>
      </c>
      <c r="H39" s="1">
        <v>731</v>
      </c>
      <c r="I39" s="1" t="s">
        <v>38</v>
      </c>
      <c r="J39" s="1"/>
      <c r="K39" s="1">
        <v>76</v>
      </c>
      <c r="L39" s="1">
        <f t="shared" si="11"/>
        <v>-15</v>
      </c>
      <c r="M39" s="1"/>
      <c r="N39" s="1"/>
      <c r="O39" s="1">
        <v>0</v>
      </c>
      <c r="P39" s="1"/>
      <c r="Q39" s="1"/>
      <c r="R39" s="1">
        <f t="shared" si="12"/>
        <v>12.2</v>
      </c>
      <c r="S39" s="5"/>
      <c r="T39" s="1">
        <f t="shared" si="13"/>
        <v>16.803278688524593</v>
      </c>
      <c r="U39" s="1">
        <f t="shared" si="14"/>
        <v>16.803278688524593</v>
      </c>
      <c r="V39" s="1">
        <v>7.6</v>
      </c>
      <c r="W39" s="1">
        <v>11.8</v>
      </c>
      <c r="X39" s="1">
        <v>17.600000000000001</v>
      </c>
      <c r="Y39" s="1">
        <v>22.8</v>
      </c>
      <c r="Z39" s="1">
        <v>20.2</v>
      </c>
      <c r="AA39" s="1">
        <v>22</v>
      </c>
      <c r="AB39" s="1">
        <v>19.399999999999999</v>
      </c>
      <c r="AC39" s="1">
        <v>23.4</v>
      </c>
      <c r="AD39" s="1">
        <v>27.4</v>
      </c>
      <c r="AE39" s="1">
        <v>21.2</v>
      </c>
      <c r="AF39" s="1"/>
      <c r="AG39" s="1">
        <f t="shared" si="9"/>
        <v>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1:45" x14ac:dyDescent="0.25">
      <c r="A40" s="1" t="s">
        <v>76</v>
      </c>
      <c r="B40" s="1" t="s">
        <v>43</v>
      </c>
      <c r="C40" s="1"/>
      <c r="D40" s="1"/>
      <c r="E40" s="1">
        <v>-8</v>
      </c>
      <c r="F40" s="1"/>
      <c r="G40" s="7">
        <v>0.35</v>
      </c>
      <c r="H40" s="1">
        <v>40</v>
      </c>
      <c r="I40" s="13" t="s">
        <v>49</v>
      </c>
      <c r="J40" s="1"/>
      <c r="K40" s="1">
        <v>9</v>
      </c>
      <c r="L40" s="1">
        <f t="shared" si="11"/>
        <v>-17</v>
      </c>
      <c r="M40" s="1"/>
      <c r="N40" s="1"/>
      <c r="O40" s="1">
        <v>60</v>
      </c>
      <c r="P40" s="1">
        <v>-60.000000000000007</v>
      </c>
      <c r="Q40" s="1"/>
      <c r="R40" s="1">
        <f t="shared" si="12"/>
        <v>-1.6</v>
      </c>
      <c r="S40" s="5">
        <v>50</v>
      </c>
      <c r="T40" s="1">
        <f t="shared" si="13"/>
        <v>-31.249999999999993</v>
      </c>
      <c r="U40" s="1">
        <f t="shared" si="14"/>
        <v>4.4408920985006262E-15</v>
      </c>
      <c r="V40" s="1">
        <v>-1</v>
      </c>
      <c r="W40" s="1">
        <v>-1.4</v>
      </c>
      <c r="X40" s="1">
        <v>-0.8</v>
      </c>
      <c r="Y40" s="1">
        <v>10.8</v>
      </c>
      <c r="Z40" s="1">
        <v>15.8</v>
      </c>
      <c r="AA40" s="1">
        <v>20.2</v>
      </c>
      <c r="AB40" s="1">
        <v>28.4</v>
      </c>
      <c r="AC40" s="1">
        <v>33</v>
      </c>
      <c r="AD40" s="1">
        <v>19.600000000000001</v>
      </c>
      <c r="AE40" s="1">
        <v>-0.4</v>
      </c>
      <c r="AF40" s="1"/>
      <c r="AG40" s="1">
        <f t="shared" si="9"/>
        <v>17.5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1:45" x14ac:dyDescent="0.25">
      <c r="A41" s="1" t="s">
        <v>77</v>
      </c>
      <c r="B41" s="1" t="s">
        <v>37</v>
      </c>
      <c r="C41" s="1">
        <v>50.331000000000003</v>
      </c>
      <c r="D41" s="1">
        <v>66.239999999999995</v>
      </c>
      <c r="E41" s="1">
        <v>82.370999999999995</v>
      </c>
      <c r="F41" s="1">
        <v>17.526</v>
      </c>
      <c r="G41" s="7">
        <v>1</v>
      </c>
      <c r="H41" s="1">
        <v>40</v>
      </c>
      <c r="I41" s="13" t="s">
        <v>49</v>
      </c>
      <c r="J41" s="1"/>
      <c r="K41" s="1">
        <v>96.6</v>
      </c>
      <c r="L41" s="1">
        <f t="shared" si="11"/>
        <v>-14.228999999999999</v>
      </c>
      <c r="M41" s="1"/>
      <c r="N41" s="1"/>
      <c r="O41" s="1">
        <v>33.443199999999997</v>
      </c>
      <c r="P41" s="1">
        <v>-33.6</v>
      </c>
      <c r="Q41" s="1"/>
      <c r="R41" s="1">
        <f t="shared" si="12"/>
        <v>16.4742</v>
      </c>
      <c r="S41" s="5">
        <v>40</v>
      </c>
      <c r="T41" s="1">
        <f t="shared" si="13"/>
        <v>3.4823663668038507</v>
      </c>
      <c r="U41" s="1">
        <f t="shared" si="14"/>
        <v>1.0543273724976023</v>
      </c>
      <c r="V41" s="1">
        <v>12.819800000000001</v>
      </c>
      <c r="W41" s="1">
        <v>11.537800000000001</v>
      </c>
      <c r="X41" s="1">
        <v>8.0475999999999992</v>
      </c>
      <c r="Y41" s="1">
        <v>10.005599999999999</v>
      </c>
      <c r="Z41" s="1">
        <v>12.919600000000001</v>
      </c>
      <c r="AA41" s="1">
        <v>11.806800000000001</v>
      </c>
      <c r="AB41" s="1">
        <v>7.1319999999999997</v>
      </c>
      <c r="AC41" s="1">
        <v>-0.14000000000000001</v>
      </c>
      <c r="AD41" s="1">
        <v>1.7484</v>
      </c>
      <c r="AE41" s="1">
        <v>8.5668000000000006</v>
      </c>
      <c r="AF41" s="1"/>
      <c r="AG41" s="1">
        <f t="shared" si="9"/>
        <v>40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1:45" x14ac:dyDescent="0.25">
      <c r="A42" s="9" t="s">
        <v>78</v>
      </c>
      <c r="B42" s="9" t="s">
        <v>43</v>
      </c>
      <c r="C42" s="9">
        <v>13</v>
      </c>
      <c r="D42" s="9"/>
      <c r="E42" s="9">
        <v>13</v>
      </c>
      <c r="F42" s="9">
        <v>-1</v>
      </c>
      <c r="G42" s="10">
        <v>0</v>
      </c>
      <c r="H42" s="9">
        <v>50</v>
      </c>
      <c r="I42" s="9" t="s">
        <v>79</v>
      </c>
      <c r="J42" s="9"/>
      <c r="K42" s="9">
        <v>21</v>
      </c>
      <c r="L42" s="9">
        <f t="shared" si="11"/>
        <v>-8</v>
      </c>
      <c r="M42" s="9"/>
      <c r="N42" s="9"/>
      <c r="O42" s="9">
        <v>0</v>
      </c>
      <c r="P42" s="9"/>
      <c r="Q42" s="9"/>
      <c r="R42" s="9">
        <f t="shared" si="12"/>
        <v>2.6</v>
      </c>
      <c r="S42" s="11"/>
      <c r="T42" s="9">
        <f t="shared" si="13"/>
        <v>-0.38461538461538458</v>
      </c>
      <c r="U42" s="9">
        <f t="shared" si="14"/>
        <v>-0.38461538461538458</v>
      </c>
      <c r="V42" s="9">
        <v>2.2000000000000002</v>
      </c>
      <c r="W42" s="9">
        <v>4.4000000000000004</v>
      </c>
      <c r="X42" s="9">
        <v>4</v>
      </c>
      <c r="Y42" s="9">
        <v>2.2000000000000002</v>
      </c>
      <c r="Z42" s="9">
        <v>3.2</v>
      </c>
      <c r="AA42" s="9">
        <v>7</v>
      </c>
      <c r="AB42" s="9">
        <v>7</v>
      </c>
      <c r="AC42" s="9">
        <v>4.5999999999999996</v>
      </c>
      <c r="AD42" s="9">
        <v>4.5999999999999996</v>
      </c>
      <c r="AE42" s="9">
        <v>6.6</v>
      </c>
      <c r="AF42" s="9"/>
      <c r="AG42" s="9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1:45" x14ac:dyDescent="0.25">
      <c r="A43" s="1" t="s">
        <v>80</v>
      </c>
      <c r="B43" s="1" t="s">
        <v>43</v>
      </c>
      <c r="C43" s="1">
        <v>48</v>
      </c>
      <c r="D43" s="1">
        <v>102</v>
      </c>
      <c r="E43" s="1">
        <v>77</v>
      </c>
      <c r="F43" s="1">
        <v>48</v>
      </c>
      <c r="G43" s="7">
        <v>0.4</v>
      </c>
      <c r="H43" s="1">
        <v>40</v>
      </c>
      <c r="I43" s="13" t="s">
        <v>49</v>
      </c>
      <c r="J43" s="1"/>
      <c r="K43" s="1">
        <v>243</v>
      </c>
      <c r="L43" s="1">
        <f t="shared" si="11"/>
        <v>-166</v>
      </c>
      <c r="M43" s="1"/>
      <c r="N43" s="1"/>
      <c r="O43" s="1">
        <v>40</v>
      </c>
      <c r="P43" s="1"/>
      <c r="Q43" s="1"/>
      <c r="R43" s="1">
        <f t="shared" si="12"/>
        <v>15.4</v>
      </c>
      <c r="S43" s="5">
        <v>60</v>
      </c>
      <c r="T43" s="1">
        <f t="shared" si="13"/>
        <v>9.6103896103896105</v>
      </c>
      <c r="U43" s="1">
        <f t="shared" si="14"/>
        <v>5.7142857142857144</v>
      </c>
      <c r="V43" s="1">
        <v>-2.2000000000000002</v>
      </c>
      <c r="W43" s="1">
        <v>-2.4</v>
      </c>
      <c r="X43" s="1">
        <v>-3.6</v>
      </c>
      <c r="Y43" s="1">
        <v>-4.2</v>
      </c>
      <c r="Z43" s="1">
        <v>-3</v>
      </c>
      <c r="AA43" s="1">
        <v>8.4</v>
      </c>
      <c r="AB43" s="1">
        <v>11.2</v>
      </c>
      <c r="AC43" s="1">
        <v>18.8</v>
      </c>
      <c r="AD43" s="1">
        <v>25.6</v>
      </c>
      <c r="AE43" s="1">
        <v>53</v>
      </c>
      <c r="AF43" s="1"/>
      <c r="AG43" s="1">
        <f t="shared" ref="AG43:AG68" si="15">G43*S43</f>
        <v>24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1:45" x14ac:dyDescent="0.25">
      <c r="A44" s="1" t="s">
        <v>82</v>
      </c>
      <c r="B44" s="1" t="s">
        <v>43</v>
      </c>
      <c r="C44" s="1">
        <v>53</v>
      </c>
      <c r="D44" s="1">
        <v>240</v>
      </c>
      <c r="E44" s="1">
        <v>91</v>
      </c>
      <c r="F44" s="1">
        <v>178</v>
      </c>
      <c r="G44" s="7">
        <v>0.4</v>
      </c>
      <c r="H44" s="1">
        <v>45</v>
      </c>
      <c r="I44" s="13" t="s">
        <v>49</v>
      </c>
      <c r="J44" s="1"/>
      <c r="K44" s="1">
        <v>194</v>
      </c>
      <c r="L44" s="1">
        <f t="shared" si="11"/>
        <v>-103</v>
      </c>
      <c r="M44" s="1"/>
      <c r="N44" s="1"/>
      <c r="O44" s="1">
        <v>150</v>
      </c>
      <c r="P44" s="1"/>
      <c r="Q44" s="1"/>
      <c r="R44" s="1">
        <f t="shared" si="12"/>
        <v>18.2</v>
      </c>
      <c r="S44" s="5">
        <v>100</v>
      </c>
      <c r="T44" s="1">
        <f t="shared" si="13"/>
        <v>23.516483516483518</v>
      </c>
      <c r="U44" s="1">
        <f t="shared" si="14"/>
        <v>18.021978021978022</v>
      </c>
      <c r="V44" s="1">
        <v>29.8</v>
      </c>
      <c r="W44" s="1">
        <v>45.4</v>
      </c>
      <c r="X44" s="1">
        <v>46.2</v>
      </c>
      <c r="Y44" s="1">
        <v>24.8</v>
      </c>
      <c r="Z44" s="1">
        <v>1</v>
      </c>
      <c r="AA44" s="1">
        <v>13.4</v>
      </c>
      <c r="AB44" s="1">
        <v>25.4</v>
      </c>
      <c r="AC44" s="1">
        <v>53.4</v>
      </c>
      <c r="AD44" s="1">
        <v>48.2</v>
      </c>
      <c r="AE44" s="1">
        <v>27.4</v>
      </c>
      <c r="AF44" s="1"/>
      <c r="AG44" s="1">
        <f t="shared" si="15"/>
        <v>40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1:45" x14ac:dyDescent="0.25">
      <c r="A45" s="1" t="s">
        <v>83</v>
      </c>
      <c r="B45" s="1" t="s">
        <v>37</v>
      </c>
      <c r="C45" s="1">
        <v>81.075000000000003</v>
      </c>
      <c r="D45" s="1">
        <v>4.367</v>
      </c>
      <c r="E45" s="1">
        <v>83.962999999999994</v>
      </c>
      <c r="F45" s="1">
        <v>-5.0670000000000002</v>
      </c>
      <c r="G45" s="7">
        <v>1</v>
      </c>
      <c r="H45" s="1">
        <v>40</v>
      </c>
      <c r="I45" s="13" t="s">
        <v>49</v>
      </c>
      <c r="J45" s="1"/>
      <c r="K45" s="1">
        <v>133.9</v>
      </c>
      <c r="L45" s="1">
        <f t="shared" si="11"/>
        <v>-49.937000000000012</v>
      </c>
      <c r="M45" s="1"/>
      <c r="N45" s="1"/>
      <c r="O45" s="1">
        <v>138.45522399999999</v>
      </c>
      <c r="P45" s="1">
        <v>-138.6</v>
      </c>
      <c r="Q45" s="1"/>
      <c r="R45" s="1">
        <f t="shared" si="12"/>
        <v>16.7926</v>
      </c>
      <c r="S45" s="5">
        <v>50</v>
      </c>
      <c r="T45" s="1">
        <f t="shared" si="13"/>
        <v>2.6671405261841516</v>
      </c>
      <c r="U45" s="1">
        <f t="shared" si="14"/>
        <v>-0.3103614687421849</v>
      </c>
      <c r="V45" s="1">
        <v>16.431999999999999</v>
      </c>
      <c r="W45" s="1">
        <v>25.953600000000002</v>
      </c>
      <c r="X45" s="1">
        <v>18.532599999999999</v>
      </c>
      <c r="Y45" s="1">
        <v>11.743399999999999</v>
      </c>
      <c r="Z45" s="1">
        <v>20.163799999999998</v>
      </c>
      <c r="AA45" s="1">
        <v>20.949200000000001</v>
      </c>
      <c r="AB45" s="1">
        <v>12.702400000000001</v>
      </c>
      <c r="AC45" s="1">
        <v>19.9008</v>
      </c>
      <c r="AD45" s="1">
        <v>25.02</v>
      </c>
      <c r="AE45" s="1">
        <v>23.82</v>
      </c>
      <c r="AF45" s="1"/>
      <c r="AG45" s="1">
        <f t="shared" si="15"/>
        <v>50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1:45" x14ac:dyDescent="0.25">
      <c r="A46" s="1" t="s">
        <v>84</v>
      </c>
      <c r="B46" s="1" t="s">
        <v>43</v>
      </c>
      <c r="C46" s="1">
        <v>447</v>
      </c>
      <c r="D46" s="1">
        <v>8</v>
      </c>
      <c r="E46" s="1">
        <v>385</v>
      </c>
      <c r="F46" s="1">
        <v>14</v>
      </c>
      <c r="G46" s="7">
        <v>0.35</v>
      </c>
      <c r="H46" s="1">
        <v>40</v>
      </c>
      <c r="I46" s="13" t="s">
        <v>49</v>
      </c>
      <c r="J46" s="1"/>
      <c r="K46" s="1">
        <v>464</v>
      </c>
      <c r="L46" s="1">
        <f t="shared" si="11"/>
        <v>-79</v>
      </c>
      <c r="M46" s="1"/>
      <c r="N46" s="1"/>
      <c r="O46" s="1">
        <v>156.2880000000001</v>
      </c>
      <c r="P46" s="1">
        <v>-162</v>
      </c>
      <c r="Q46" s="1"/>
      <c r="R46" s="1">
        <f t="shared" si="12"/>
        <v>77</v>
      </c>
      <c r="S46" s="5">
        <v>120</v>
      </c>
      <c r="T46" s="1">
        <f t="shared" si="13"/>
        <v>1.6660779220779234</v>
      </c>
      <c r="U46" s="1">
        <f t="shared" si="14"/>
        <v>0.10763636363636489</v>
      </c>
      <c r="V46" s="1">
        <v>65.400000000000006</v>
      </c>
      <c r="W46" s="1">
        <v>53.2</v>
      </c>
      <c r="X46" s="1">
        <v>48.8</v>
      </c>
      <c r="Y46" s="1">
        <v>40.6</v>
      </c>
      <c r="Z46" s="1">
        <v>37.200000000000003</v>
      </c>
      <c r="AA46" s="1">
        <v>44</v>
      </c>
      <c r="AB46" s="1">
        <v>52.6</v>
      </c>
      <c r="AC46" s="1">
        <v>65.599999999999994</v>
      </c>
      <c r="AD46" s="1">
        <v>46.2</v>
      </c>
      <c r="AE46" s="1">
        <v>30.6</v>
      </c>
      <c r="AF46" s="1"/>
      <c r="AG46" s="1">
        <f t="shared" si="15"/>
        <v>42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1:45" x14ac:dyDescent="0.25">
      <c r="A47" s="1" t="s">
        <v>85</v>
      </c>
      <c r="B47" s="1" t="s">
        <v>43</v>
      </c>
      <c r="C47" s="1">
        <v>80</v>
      </c>
      <c r="D47" s="1">
        <v>318</v>
      </c>
      <c r="E47" s="1">
        <v>256</v>
      </c>
      <c r="F47" s="1">
        <v>103</v>
      </c>
      <c r="G47" s="7">
        <v>0.4</v>
      </c>
      <c r="H47" s="1">
        <v>40</v>
      </c>
      <c r="I47" s="1" t="s">
        <v>38</v>
      </c>
      <c r="J47" s="1"/>
      <c r="K47" s="1">
        <v>378</v>
      </c>
      <c r="L47" s="1">
        <f t="shared" si="11"/>
        <v>-122</v>
      </c>
      <c r="M47" s="1"/>
      <c r="N47" s="1"/>
      <c r="O47" s="1">
        <v>150</v>
      </c>
      <c r="P47" s="1"/>
      <c r="Q47" s="1"/>
      <c r="R47" s="1">
        <f t="shared" si="12"/>
        <v>51.2</v>
      </c>
      <c r="S47" s="5">
        <f t="shared" ref="S43:S68" si="16">12*R47-Q47-P47-O47-F47</f>
        <v>361.40000000000009</v>
      </c>
      <c r="T47" s="1">
        <f t="shared" si="13"/>
        <v>12.000000000000002</v>
      </c>
      <c r="U47" s="1">
        <f t="shared" si="14"/>
        <v>4.94140625</v>
      </c>
      <c r="V47" s="1">
        <v>37.4</v>
      </c>
      <c r="W47" s="1">
        <v>52.2</v>
      </c>
      <c r="X47" s="1">
        <v>49.4</v>
      </c>
      <c r="Y47" s="1">
        <v>36</v>
      </c>
      <c r="Z47" s="1">
        <v>40.799999999999997</v>
      </c>
      <c r="AA47" s="1">
        <v>54</v>
      </c>
      <c r="AB47" s="1">
        <v>35.799999999999997</v>
      </c>
      <c r="AC47" s="1">
        <v>5.6</v>
      </c>
      <c r="AD47" s="1">
        <v>1</v>
      </c>
      <c r="AE47" s="1">
        <v>56</v>
      </c>
      <c r="AF47" s="1"/>
      <c r="AG47" s="1">
        <f t="shared" si="15"/>
        <v>144.56000000000003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1:45" x14ac:dyDescent="0.25">
      <c r="A48" s="1" t="s">
        <v>86</v>
      </c>
      <c r="B48" s="1" t="s">
        <v>37</v>
      </c>
      <c r="C48" s="1">
        <v>86.105000000000004</v>
      </c>
      <c r="D48" s="1">
        <v>46.082000000000001</v>
      </c>
      <c r="E48" s="1">
        <v>81.069000000000003</v>
      </c>
      <c r="F48" s="1">
        <v>46.142000000000003</v>
      </c>
      <c r="G48" s="7">
        <v>1</v>
      </c>
      <c r="H48" s="1">
        <v>50</v>
      </c>
      <c r="I48" s="1" t="s">
        <v>38</v>
      </c>
      <c r="J48" s="1"/>
      <c r="K48" s="1">
        <v>88.7</v>
      </c>
      <c r="L48" s="1">
        <f t="shared" si="11"/>
        <v>-7.6310000000000002</v>
      </c>
      <c r="M48" s="1"/>
      <c r="N48" s="1"/>
      <c r="O48" s="1">
        <v>102.643072</v>
      </c>
      <c r="P48" s="1"/>
      <c r="Q48" s="1"/>
      <c r="R48" s="1">
        <f t="shared" si="12"/>
        <v>16.213799999999999</v>
      </c>
      <c r="S48" s="5">
        <f t="shared" si="16"/>
        <v>45.780527999999983</v>
      </c>
      <c r="T48" s="1">
        <f t="shared" si="13"/>
        <v>12</v>
      </c>
      <c r="U48" s="1">
        <f t="shared" si="14"/>
        <v>9.176446730562855</v>
      </c>
      <c r="V48" s="1">
        <v>20.591200000000001</v>
      </c>
      <c r="W48" s="1">
        <v>19.520800000000001</v>
      </c>
      <c r="X48" s="1">
        <v>15.0738</v>
      </c>
      <c r="Y48" s="1">
        <v>11.8742</v>
      </c>
      <c r="Z48" s="1">
        <v>13.991400000000001</v>
      </c>
      <c r="AA48" s="1">
        <v>17.976199999999999</v>
      </c>
      <c r="AB48" s="1">
        <v>14.181800000000001</v>
      </c>
      <c r="AC48" s="1">
        <v>13.4892</v>
      </c>
      <c r="AD48" s="1">
        <v>18.758400000000002</v>
      </c>
      <c r="AE48" s="1">
        <v>21.601400000000002</v>
      </c>
      <c r="AF48" s="1"/>
      <c r="AG48" s="1">
        <f t="shared" si="15"/>
        <v>45.780527999999983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1:45" x14ac:dyDescent="0.25">
      <c r="A49" s="1" t="s">
        <v>87</v>
      </c>
      <c r="B49" s="1" t="s">
        <v>37</v>
      </c>
      <c r="C49" s="1">
        <v>29.724</v>
      </c>
      <c r="D49" s="1"/>
      <c r="E49" s="1">
        <v>-5.2560000000000002</v>
      </c>
      <c r="F49" s="1">
        <v>28.358000000000001</v>
      </c>
      <c r="G49" s="7">
        <v>1</v>
      </c>
      <c r="H49" s="1">
        <v>50</v>
      </c>
      <c r="I49" s="1" t="s">
        <v>38</v>
      </c>
      <c r="J49" s="1"/>
      <c r="K49" s="1">
        <v>163</v>
      </c>
      <c r="L49" s="1">
        <f t="shared" si="11"/>
        <v>-168.256</v>
      </c>
      <c r="M49" s="1"/>
      <c r="N49" s="1"/>
      <c r="O49" s="1">
        <v>80</v>
      </c>
      <c r="P49" s="1"/>
      <c r="Q49" s="1"/>
      <c r="R49" s="1">
        <f t="shared" si="12"/>
        <v>-1.0512000000000001</v>
      </c>
      <c r="S49" s="5"/>
      <c r="T49" s="1">
        <f t="shared" si="13"/>
        <v>-103.08028919330289</v>
      </c>
      <c r="U49" s="1">
        <f t="shared" si="14"/>
        <v>-103.08028919330289</v>
      </c>
      <c r="V49" s="1">
        <v>-0.624</v>
      </c>
      <c r="W49" s="1">
        <v>14.5092</v>
      </c>
      <c r="X49" s="1">
        <v>18.899000000000001</v>
      </c>
      <c r="Y49" s="1">
        <v>16.585999999999999</v>
      </c>
      <c r="Z49" s="1">
        <v>22.036000000000001</v>
      </c>
      <c r="AA49" s="1">
        <v>27.9922</v>
      </c>
      <c r="AB49" s="1">
        <v>30.0686</v>
      </c>
      <c r="AC49" s="1">
        <v>29.352599999999999</v>
      </c>
      <c r="AD49" s="1">
        <v>27.397400000000001</v>
      </c>
      <c r="AE49" s="1">
        <v>30.834</v>
      </c>
      <c r="AF49" s="15" t="s">
        <v>177</v>
      </c>
      <c r="AG49" s="1">
        <f t="shared" si="15"/>
        <v>0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spans="1:45" x14ac:dyDescent="0.25">
      <c r="A50" s="1" t="s">
        <v>88</v>
      </c>
      <c r="B50" s="1" t="s">
        <v>37</v>
      </c>
      <c r="C50" s="1">
        <v>0.434</v>
      </c>
      <c r="D50" s="1"/>
      <c r="E50" s="1">
        <v>-4.5259999999999998</v>
      </c>
      <c r="F50" s="1">
        <v>0.434</v>
      </c>
      <c r="G50" s="7">
        <v>1</v>
      </c>
      <c r="H50" s="1">
        <v>45</v>
      </c>
      <c r="I50" s="13" t="s">
        <v>49</v>
      </c>
      <c r="J50" s="1"/>
      <c r="K50" s="1">
        <v>34.9</v>
      </c>
      <c r="L50" s="1">
        <f t="shared" si="11"/>
        <v>-39.426000000000002</v>
      </c>
      <c r="M50" s="1"/>
      <c r="N50" s="1"/>
      <c r="O50" s="1">
        <v>194.66149400000009</v>
      </c>
      <c r="P50" s="1">
        <v>-198</v>
      </c>
      <c r="Q50" s="1"/>
      <c r="R50" s="1">
        <f t="shared" si="12"/>
        <v>-0.9052</v>
      </c>
      <c r="S50" s="5">
        <v>100</v>
      </c>
      <c r="T50" s="1">
        <f t="shared" si="13"/>
        <v>-107.26413389306241</v>
      </c>
      <c r="U50" s="1">
        <f t="shared" si="14"/>
        <v>3.2086897923109947</v>
      </c>
      <c r="V50" s="1">
        <v>-0.41320000000000001</v>
      </c>
      <c r="W50" s="1">
        <v>43.441600000000001</v>
      </c>
      <c r="X50" s="1">
        <v>47.674599999999998</v>
      </c>
      <c r="Y50" s="1">
        <v>5.6109999999999998</v>
      </c>
      <c r="Z50" s="1">
        <v>1.4787999999999999</v>
      </c>
      <c r="AA50" s="1">
        <v>26.138999999999999</v>
      </c>
      <c r="AB50" s="1">
        <v>35.246200000000002</v>
      </c>
      <c r="AC50" s="1">
        <v>41.248800000000003</v>
      </c>
      <c r="AD50" s="1">
        <v>33.955399999999997</v>
      </c>
      <c r="AE50" s="1">
        <v>1.6262000000000001</v>
      </c>
      <c r="AF50" s="1"/>
      <c r="AG50" s="1">
        <f t="shared" si="15"/>
        <v>100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spans="1:45" x14ac:dyDescent="0.25">
      <c r="A51" s="1" t="s">
        <v>89</v>
      </c>
      <c r="B51" s="1" t="s">
        <v>43</v>
      </c>
      <c r="C51" s="1">
        <v>263</v>
      </c>
      <c r="D51" s="1">
        <v>41</v>
      </c>
      <c r="E51" s="1">
        <v>170</v>
      </c>
      <c r="F51" s="1">
        <v>110</v>
      </c>
      <c r="G51" s="7">
        <v>0.45</v>
      </c>
      <c r="H51" s="1">
        <v>50</v>
      </c>
      <c r="I51" s="1" t="s">
        <v>38</v>
      </c>
      <c r="J51" s="1"/>
      <c r="K51" s="1">
        <v>191</v>
      </c>
      <c r="L51" s="1">
        <f t="shared" si="11"/>
        <v>-21</v>
      </c>
      <c r="M51" s="1"/>
      <c r="N51" s="1"/>
      <c r="O51" s="1">
        <v>39.399999999999977</v>
      </c>
      <c r="P51" s="1"/>
      <c r="Q51" s="1"/>
      <c r="R51" s="1">
        <f t="shared" si="12"/>
        <v>34</v>
      </c>
      <c r="S51" s="5">
        <f>11*R51-Q51-P51-O51-F51</f>
        <v>224.60000000000002</v>
      </c>
      <c r="T51" s="1">
        <f t="shared" si="13"/>
        <v>11</v>
      </c>
      <c r="U51" s="1">
        <f t="shared" si="14"/>
        <v>4.394117647058823</v>
      </c>
      <c r="V51" s="1">
        <v>40.4</v>
      </c>
      <c r="W51" s="1">
        <v>25.2</v>
      </c>
      <c r="X51" s="1">
        <v>18.399999999999999</v>
      </c>
      <c r="Y51" s="1">
        <v>19.8</v>
      </c>
      <c r="Z51" s="1">
        <v>29.6</v>
      </c>
      <c r="AA51" s="1">
        <v>39.4</v>
      </c>
      <c r="AB51" s="1">
        <v>27.6</v>
      </c>
      <c r="AC51" s="1">
        <v>20.8</v>
      </c>
      <c r="AD51" s="1">
        <v>35.4</v>
      </c>
      <c r="AE51" s="1">
        <v>42.4</v>
      </c>
      <c r="AF51" s="1"/>
      <c r="AG51" s="1">
        <f t="shared" si="15"/>
        <v>101.07000000000001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pans="1:45" x14ac:dyDescent="0.25">
      <c r="A52" s="1" t="s">
        <v>90</v>
      </c>
      <c r="B52" s="1" t="s">
        <v>43</v>
      </c>
      <c r="C52" s="1">
        <v>492</v>
      </c>
      <c r="D52" s="1">
        <v>3</v>
      </c>
      <c r="E52" s="1">
        <v>304</v>
      </c>
      <c r="F52" s="1">
        <v>1</v>
      </c>
      <c r="G52" s="7">
        <v>0.45</v>
      </c>
      <c r="H52" s="1">
        <v>50</v>
      </c>
      <c r="I52" s="1" t="s">
        <v>38</v>
      </c>
      <c r="J52" s="1"/>
      <c r="K52" s="1">
        <v>318</v>
      </c>
      <c r="L52" s="1">
        <f t="shared" si="11"/>
        <v>-14</v>
      </c>
      <c r="M52" s="1"/>
      <c r="N52" s="1"/>
      <c r="O52" s="1">
        <v>52.799999999999947</v>
      </c>
      <c r="P52" s="1"/>
      <c r="Q52" s="1"/>
      <c r="R52" s="1">
        <f t="shared" si="12"/>
        <v>60.8</v>
      </c>
      <c r="S52" s="5">
        <f>8*R52-Q52-P52-O52-F52</f>
        <v>432.6</v>
      </c>
      <c r="T52" s="1">
        <f t="shared" si="13"/>
        <v>8</v>
      </c>
      <c r="U52" s="1">
        <f t="shared" si="14"/>
        <v>0.88486842105263075</v>
      </c>
      <c r="V52" s="1">
        <v>57.4</v>
      </c>
      <c r="W52" s="1">
        <v>45.4</v>
      </c>
      <c r="X52" s="1">
        <v>38.200000000000003</v>
      </c>
      <c r="Y52" s="1">
        <v>34.200000000000003</v>
      </c>
      <c r="Z52" s="1">
        <v>42.6</v>
      </c>
      <c r="AA52" s="1">
        <v>64.400000000000006</v>
      </c>
      <c r="AB52" s="1">
        <v>46.6</v>
      </c>
      <c r="AC52" s="1">
        <v>38.4</v>
      </c>
      <c r="AD52" s="1">
        <v>47.2</v>
      </c>
      <c r="AE52" s="1">
        <v>63.6</v>
      </c>
      <c r="AF52" s="1"/>
      <c r="AG52" s="1">
        <f t="shared" si="15"/>
        <v>194.67000000000002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spans="1:45" x14ac:dyDescent="0.25">
      <c r="A53" s="1" t="s">
        <v>91</v>
      </c>
      <c r="B53" s="1" t="s">
        <v>43</v>
      </c>
      <c r="C53" s="1">
        <v>3</v>
      </c>
      <c r="D53" s="1">
        <v>126</v>
      </c>
      <c r="E53" s="1">
        <v>27</v>
      </c>
      <c r="F53" s="1">
        <v>74</v>
      </c>
      <c r="G53" s="7">
        <v>0.4</v>
      </c>
      <c r="H53" s="1">
        <v>40</v>
      </c>
      <c r="I53" s="1" t="s">
        <v>38</v>
      </c>
      <c r="J53" s="1"/>
      <c r="K53" s="1">
        <v>41</v>
      </c>
      <c r="L53" s="1">
        <f t="shared" si="11"/>
        <v>-14</v>
      </c>
      <c r="M53" s="1"/>
      <c r="N53" s="1"/>
      <c r="O53" s="1">
        <v>17.199999999999982</v>
      </c>
      <c r="P53" s="1">
        <v>-18</v>
      </c>
      <c r="Q53" s="1"/>
      <c r="R53" s="1">
        <f t="shared" si="12"/>
        <v>5.4</v>
      </c>
      <c r="S53" s="5"/>
      <c r="T53" s="1">
        <f t="shared" si="13"/>
        <v>13.555555555555552</v>
      </c>
      <c r="U53" s="1">
        <f t="shared" si="14"/>
        <v>13.555555555555552</v>
      </c>
      <c r="V53" s="1">
        <v>1.4</v>
      </c>
      <c r="W53" s="1">
        <v>11.6</v>
      </c>
      <c r="X53" s="1">
        <v>12.6</v>
      </c>
      <c r="Y53" s="1">
        <v>5.4</v>
      </c>
      <c r="Z53" s="1">
        <v>5</v>
      </c>
      <c r="AA53" s="1">
        <v>4.8</v>
      </c>
      <c r="AB53" s="1">
        <v>5.2</v>
      </c>
      <c r="AC53" s="1">
        <v>8.4</v>
      </c>
      <c r="AD53" s="1">
        <v>6.2</v>
      </c>
      <c r="AE53" s="1">
        <v>0.6</v>
      </c>
      <c r="AF53" s="1"/>
      <c r="AG53" s="1">
        <f t="shared" si="15"/>
        <v>0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pans="1:45" x14ac:dyDescent="0.25">
      <c r="A54" s="1" t="s">
        <v>92</v>
      </c>
      <c r="B54" s="1" t="s">
        <v>43</v>
      </c>
      <c r="C54" s="1">
        <v>11</v>
      </c>
      <c r="D54" s="1">
        <v>66</v>
      </c>
      <c r="E54" s="1">
        <v>32</v>
      </c>
      <c r="F54" s="1">
        <v>27</v>
      </c>
      <c r="G54" s="7">
        <v>0.4</v>
      </c>
      <c r="H54" s="1">
        <v>40</v>
      </c>
      <c r="I54" s="13" t="s">
        <v>49</v>
      </c>
      <c r="J54" s="1"/>
      <c r="K54" s="1">
        <v>47</v>
      </c>
      <c r="L54" s="1">
        <f t="shared" si="11"/>
        <v>-15</v>
      </c>
      <c r="M54" s="1"/>
      <c r="N54" s="1"/>
      <c r="O54" s="1">
        <v>20</v>
      </c>
      <c r="P54" s="1"/>
      <c r="Q54" s="1"/>
      <c r="R54" s="1">
        <f t="shared" si="12"/>
        <v>6.4</v>
      </c>
      <c r="S54" s="5">
        <f t="shared" si="16"/>
        <v>29.800000000000011</v>
      </c>
      <c r="T54" s="1">
        <f t="shared" si="13"/>
        <v>12.000000000000002</v>
      </c>
      <c r="U54" s="1">
        <f t="shared" si="14"/>
        <v>7.34375</v>
      </c>
      <c r="V54" s="1">
        <v>1.6</v>
      </c>
      <c r="W54" s="1">
        <v>2.6</v>
      </c>
      <c r="X54" s="1">
        <v>2.4</v>
      </c>
      <c r="Y54" s="1">
        <v>5.6</v>
      </c>
      <c r="Z54" s="1">
        <v>7.2</v>
      </c>
      <c r="AA54" s="1">
        <v>17.2</v>
      </c>
      <c r="AB54" s="1">
        <v>18.600000000000001</v>
      </c>
      <c r="AC54" s="1">
        <v>9.4</v>
      </c>
      <c r="AD54" s="1">
        <v>6.2</v>
      </c>
      <c r="AE54" s="1">
        <v>10.199999999999999</v>
      </c>
      <c r="AF54" s="1"/>
      <c r="AG54" s="1">
        <f t="shared" si="15"/>
        <v>11.920000000000005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pans="1:45" x14ac:dyDescent="0.25">
      <c r="A55" s="1" t="s">
        <v>93</v>
      </c>
      <c r="B55" s="1" t="s">
        <v>37</v>
      </c>
      <c r="C55" s="1">
        <v>82.049000000000007</v>
      </c>
      <c r="D55" s="1">
        <v>36.887</v>
      </c>
      <c r="E55" s="1">
        <v>76.433999999999997</v>
      </c>
      <c r="F55" s="1">
        <v>3.5760000000000001</v>
      </c>
      <c r="G55" s="7">
        <v>1</v>
      </c>
      <c r="H55" s="1">
        <v>50</v>
      </c>
      <c r="I55" s="1" t="s">
        <v>38</v>
      </c>
      <c r="J55" s="1"/>
      <c r="K55" s="1">
        <v>99.4</v>
      </c>
      <c r="L55" s="1">
        <f t="shared" si="11"/>
        <v>-22.966000000000008</v>
      </c>
      <c r="M55" s="1"/>
      <c r="N55" s="1"/>
      <c r="O55" s="1">
        <v>28.279399999999981</v>
      </c>
      <c r="P55" s="1"/>
      <c r="Q55" s="1"/>
      <c r="R55" s="1">
        <f t="shared" si="12"/>
        <v>15.286799999999999</v>
      </c>
      <c r="S55" s="5">
        <f>9*R55-Q55-P55-O55-F55</f>
        <v>105.72580000000002</v>
      </c>
      <c r="T55" s="1">
        <f t="shared" si="13"/>
        <v>9</v>
      </c>
      <c r="U55" s="1">
        <f t="shared" si="14"/>
        <v>2.0838501190569629</v>
      </c>
      <c r="V55" s="1">
        <v>16.098400000000002</v>
      </c>
      <c r="W55" s="1">
        <v>11.240600000000001</v>
      </c>
      <c r="X55" s="1">
        <v>10.952</v>
      </c>
      <c r="Y55" s="1">
        <v>10.156599999999999</v>
      </c>
      <c r="Z55" s="1">
        <v>6.9614000000000003</v>
      </c>
      <c r="AA55" s="1">
        <v>12.7996</v>
      </c>
      <c r="AB55" s="1">
        <v>15.9956</v>
      </c>
      <c r="AC55" s="1">
        <v>14.400600000000001</v>
      </c>
      <c r="AD55" s="1">
        <v>10.9184</v>
      </c>
      <c r="AE55" s="1">
        <v>9.3290000000000006</v>
      </c>
      <c r="AF55" s="1"/>
      <c r="AG55" s="1">
        <f t="shared" si="15"/>
        <v>105.72580000000002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pans="1:45" x14ac:dyDescent="0.25">
      <c r="A56" s="1" t="s">
        <v>94</v>
      </c>
      <c r="B56" s="1" t="s">
        <v>43</v>
      </c>
      <c r="C56" s="1">
        <v>74</v>
      </c>
      <c r="D56" s="1">
        <v>227</v>
      </c>
      <c r="E56" s="1">
        <v>44</v>
      </c>
      <c r="F56" s="1">
        <v>243</v>
      </c>
      <c r="G56" s="7">
        <v>0.1</v>
      </c>
      <c r="H56" s="1">
        <v>731</v>
      </c>
      <c r="I56" s="1" t="s">
        <v>38</v>
      </c>
      <c r="J56" s="1"/>
      <c r="K56" s="1">
        <v>61</v>
      </c>
      <c r="L56" s="1">
        <f t="shared" si="11"/>
        <v>-17</v>
      </c>
      <c r="M56" s="1"/>
      <c r="N56" s="1"/>
      <c r="O56" s="1">
        <v>0</v>
      </c>
      <c r="P56" s="1"/>
      <c r="Q56" s="1"/>
      <c r="R56" s="1">
        <f t="shared" si="12"/>
        <v>8.8000000000000007</v>
      </c>
      <c r="S56" s="5"/>
      <c r="T56" s="1">
        <f t="shared" si="13"/>
        <v>27.61363636363636</v>
      </c>
      <c r="U56" s="1">
        <f t="shared" si="14"/>
        <v>27.61363636363636</v>
      </c>
      <c r="V56" s="1">
        <v>7.2</v>
      </c>
      <c r="W56" s="1">
        <v>5.6</v>
      </c>
      <c r="X56" s="1">
        <v>9</v>
      </c>
      <c r="Y56" s="1">
        <v>20</v>
      </c>
      <c r="Z56" s="1">
        <v>18.8</v>
      </c>
      <c r="AA56" s="1">
        <v>13.8</v>
      </c>
      <c r="AB56" s="1">
        <v>10.4</v>
      </c>
      <c r="AC56" s="1">
        <v>7.8</v>
      </c>
      <c r="AD56" s="1">
        <v>11</v>
      </c>
      <c r="AE56" s="1">
        <v>13.6</v>
      </c>
      <c r="AF56" s="16" t="s">
        <v>81</v>
      </c>
      <c r="AG56" s="1">
        <f t="shared" si="15"/>
        <v>0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spans="1:45" x14ac:dyDescent="0.25">
      <c r="A57" s="1" t="s">
        <v>95</v>
      </c>
      <c r="B57" s="1" t="s">
        <v>37</v>
      </c>
      <c r="C57" s="1">
        <v>87.093999999999994</v>
      </c>
      <c r="D57" s="1">
        <v>58.191000000000003</v>
      </c>
      <c r="E57" s="1">
        <v>106.738</v>
      </c>
      <c r="F57" s="1">
        <v>38.125999999999998</v>
      </c>
      <c r="G57" s="7">
        <v>1</v>
      </c>
      <c r="H57" s="1">
        <v>50</v>
      </c>
      <c r="I57" s="1" t="s">
        <v>38</v>
      </c>
      <c r="J57" s="1"/>
      <c r="K57" s="1">
        <v>161</v>
      </c>
      <c r="L57" s="1">
        <f t="shared" si="11"/>
        <v>-54.262</v>
      </c>
      <c r="M57" s="1"/>
      <c r="N57" s="1"/>
      <c r="O57" s="1">
        <v>197.342016</v>
      </c>
      <c r="P57" s="1"/>
      <c r="Q57" s="1"/>
      <c r="R57" s="1">
        <f t="shared" si="12"/>
        <v>21.3476</v>
      </c>
      <c r="S57" s="5">
        <f t="shared" si="16"/>
        <v>20.703184</v>
      </c>
      <c r="T57" s="1">
        <f t="shared" si="13"/>
        <v>12</v>
      </c>
      <c r="U57" s="1">
        <f t="shared" si="14"/>
        <v>11.030186812569095</v>
      </c>
      <c r="V57" s="1">
        <v>36.7468</v>
      </c>
      <c r="W57" s="1">
        <v>31.912400000000002</v>
      </c>
      <c r="X57" s="1">
        <v>21.061199999999999</v>
      </c>
      <c r="Y57" s="1">
        <v>16.559200000000001</v>
      </c>
      <c r="Z57" s="1">
        <v>14.959199999999999</v>
      </c>
      <c r="AA57" s="1">
        <v>24.415600000000001</v>
      </c>
      <c r="AB57" s="1">
        <v>28.695599999999999</v>
      </c>
      <c r="AC57" s="1">
        <v>35.496600000000001</v>
      </c>
      <c r="AD57" s="1">
        <v>35.494799999999998</v>
      </c>
      <c r="AE57" s="1">
        <v>30.4786</v>
      </c>
      <c r="AF57" s="1"/>
      <c r="AG57" s="1">
        <f t="shared" si="15"/>
        <v>20.703184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spans="1:45" x14ac:dyDescent="0.25">
      <c r="A58" s="1" t="s">
        <v>96</v>
      </c>
      <c r="B58" s="1" t="s">
        <v>37</v>
      </c>
      <c r="C58" s="1">
        <v>23.192</v>
      </c>
      <c r="D58" s="1">
        <v>54.414999999999999</v>
      </c>
      <c r="E58" s="1">
        <v>33.948999999999998</v>
      </c>
      <c r="F58" s="1">
        <v>43.71</v>
      </c>
      <c r="G58" s="7">
        <v>1</v>
      </c>
      <c r="H58" s="1">
        <v>55</v>
      </c>
      <c r="I58" s="1" t="s">
        <v>38</v>
      </c>
      <c r="J58" s="1"/>
      <c r="K58" s="1">
        <v>51.6</v>
      </c>
      <c r="L58" s="1">
        <f t="shared" si="11"/>
        <v>-17.651000000000003</v>
      </c>
      <c r="M58" s="1"/>
      <c r="N58" s="1"/>
      <c r="O58" s="1">
        <v>7.4152000000000058</v>
      </c>
      <c r="P58" s="1"/>
      <c r="Q58" s="1"/>
      <c r="R58" s="1">
        <f t="shared" si="12"/>
        <v>6.7897999999999996</v>
      </c>
      <c r="S58" s="5">
        <f t="shared" si="16"/>
        <v>30.352399999999996</v>
      </c>
      <c r="T58" s="1">
        <f t="shared" si="13"/>
        <v>12</v>
      </c>
      <c r="U58" s="1">
        <f t="shared" si="14"/>
        <v>7.5297063241921718</v>
      </c>
      <c r="V58" s="1">
        <v>5.1970000000000001</v>
      </c>
      <c r="W58" s="1">
        <v>6.2530000000000001</v>
      </c>
      <c r="X58" s="1">
        <v>6.7727999999999993</v>
      </c>
      <c r="Y58" s="1">
        <v>5.6981999999999999</v>
      </c>
      <c r="Z58" s="1">
        <v>4.8959999999999999</v>
      </c>
      <c r="AA58" s="1">
        <v>5.1875999999999998</v>
      </c>
      <c r="AB58" s="1">
        <v>7.9328000000000003</v>
      </c>
      <c r="AC58" s="1">
        <v>9.3141999999999996</v>
      </c>
      <c r="AD58" s="1">
        <v>6.2875999999999994</v>
      </c>
      <c r="AE58" s="1">
        <v>7.8018000000000001</v>
      </c>
      <c r="AF58" s="1"/>
      <c r="AG58" s="1">
        <f t="shared" si="15"/>
        <v>30.352399999999996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spans="1:45" x14ac:dyDescent="0.25">
      <c r="A59" s="1" t="s">
        <v>97</v>
      </c>
      <c r="B59" s="1" t="s">
        <v>43</v>
      </c>
      <c r="C59" s="1">
        <v>135</v>
      </c>
      <c r="D59" s="1">
        <v>80</v>
      </c>
      <c r="E59" s="1">
        <v>50</v>
      </c>
      <c r="F59" s="1">
        <v>146</v>
      </c>
      <c r="G59" s="7">
        <v>0.1</v>
      </c>
      <c r="H59" s="1">
        <v>731</v>
      </c>
      <c r="I59" s="1" t="s">
        <v>38</v>
      </c>
      <c r="J59" s="1"/>
      <c r="K59" s="1">
        <v>70</v>
      </c>
      <c r="L59" s="1">
        <f t="shared" si="11"/>
        <v>-20</v>
      </c>
      <c r="M59" s="1"/>
      <c r="N59" s="1"/>
      <c r="O59" s="1">
        <v>0</v>
      </c>
      <c r="P59" s="1"/>
      <c r="Q59" s="1"/>
      <c r="R59" s="1">
        <f t="shared" si="12"/>
        <v>10</v>
      </c>
      <c r="S59" s="5"/>
      <c r="T59" s="1">
        <f t="shared" si="13"/>
        <v>14.6</v>
      </c>
      <c r="U59" s="1">
        <f t="shared" si="14"/>
        <v>14.6</v>
      </c>
      <c r="V59" s="1">
        <v>5</v>
      </c>
      <c r="W59" s="1">
        <v>10.199999999999999</v>
      </c>
      <c r="X59" s="1">
        <v>8.1999999999999993</v>
      </c>
      <c r="Y59" s="1">
        <v>17.2</v>
      </c>
      <c r="Z59" s="1">
        <v>17.8</v>
      </c>
      <c r="AA59" s="1">
        <v>18.600000000000001</v>
      </c>
      <c r="AB59" s="1">
        <v>16.8</v>
      </c>
      <c r="AC59" s="1">
        <v>10.8</v>
      </c>
      <c r="AD59" s="1">
        <v>12.8</v>
      </c>
      <c r="AE59" s="1">
        <v>10.199999999999999</v>
      </c>
      <c r="AF59" s="15" t="s">
        <v>40</v>
      </c>
      <c r="AG59" s="1">
        <f t="shared" si="15"/>
        <v>0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pans="1:45" x14ac:dyDescent="0.25">
      <c r="A60" s="1" t="s">
        <v>98</v>
      </c>
      <c r="B60" s="1" t="s">
        <v>43</v>
      </c>
      <c r="C60" s="1">
        <v>23</v>
      </c>
      <c r="D60" s="1"/>
      <c r="E60" s="1">
        <v>9</v>
      </c>
      <c r="F60" s="1">
        <v>13</v>
      </c>
      <c r="G60" s="7">
        <v>0.4</v>
      </c>
      <c r="H60" s="1">
        <v>50</v>
      </c>
      <c r="I60" s="1" t="s">
        <v>38</v>
      </c>
      <c r="J60" s="1"/>
      <c r="K60" s="1">
        <v>14</v>
      </c>
      <c r="L60" s="1">
        <f t="shared" si="11"/>
        <v>-5</v>
      </c>
      <c r="M60" s="1"/>
      <c r="N60" s="1"/>
      <c r="O60" s="1">
        <v>0</v>
      </c>
      <c r="P60" s="1"/>
      <c r="Q60" s="1"/>
      <c r="R60" s="1">
        <f t="shared" si="12"/>
        <v>1.8</v>
      </c>
      <c r="S60" s="5">
        <f t="shared" si="16"/>
        <v>8.6000000000000014</v>
      </c>
      <c r="T60" s="1">
        <f t="shared" si="13"/>
        <v>12</v>
      </c>
      <c r="U60" s="1">
        <f t="shared" si="14"/>
        <v>7.2222222222222223</v>
      </c>
      <c r="V60" s="1">
        <v>1.8</v>
      </c>
      <c r="W60" s="1">
        <v>2</v>
      </c>
      <c r="X60" s="1">
        <v>1.2</v>
      </c>
      <c r="Y60" s="1">
        <v>1</v>
      </c>
      <c r="Z60" s="1">
        <v>1.4</v>
      </c>
      <c r="AA60" s="1">
        <v>2.4</v>
      </c>
      <c r="AB60" s="1">
        <v>2</v>
      </c>
      <c r="AC60" s="1">
        <v>0.8</v>
      </c>
      <c r="AD60" s="1">
        <v>0.8</v>
      </c>
      <c r="AE60" s="1">
        <v>1.6</v>
      </c>
      <c r="AF60" s="1"/>
      <c r="AG60" s="1">
        <f t="shared" si="15"/>
        <v>3.4400000000000008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spans="1:45" x14ac:dyDescent="0.25">
      <c r="A61" s="1" t="s">
        <v>99</v>
      </c>
      <c r="B61" s="1" t="s">
        <v>37</v>
      </c>
      <c r="C61" s="1">
        <v>-30.9</v>
      </c>
      <c r="D61" s="1">
        <v>222.00800000000001</v>
      </c>
      <c r="E61" s="1">
        <v>137.46899999999999</v>
      </c>
      <c r="F61" s="1">
        <v>27.710999999999999</v>
      </c>
      <c r="G61" s="7">
        <v>1</v>
      </c>
      <c r="H61" s="1">
        <v>40</v>
      </c>
      <c r="I61" s="13" t="s">
        <v>49</v>
      </c>
      <c r="J61" s="1"/>
      <c r="K61" s="1">
        <v>215.4</v>
      </c>
      <c r="L61" s="1">
        <f t="shared" si="11"/>
        <v>-77.931000000000012</v>
      </c>
      <c r="M61" s="1"/>
      <c r="N61" s="1"/>
      <c r="O61" s="1">
        <v>0</v>
      </c>
      <c r="P61" s="1"/>
      <c r="Q61" s="1"/>
      <c r="R61" s="1">
        <f t="shared" si="12"/>
        <v>27.4938</v>
      </c>
      <c r="S61" s="5">
        <v>130</v>
      </c>
      <c r="T61" s="1">
        <f t="shared" si="13"/>
        <v>5.7362387156377075</v>
      </c>
      <c r="U61" s="1">
        <f t="shared" si="14"/>
        <v>1.0078999629007266</v>
      </c>
      <c r="V61" s="1">
        <v>-0.44119999999999998</v>
      </c>
      <c r="W61" s="1">
        <v>24.540400000000002</v>
      </c>
      <c r="X61" s="1">
        <v>38.078800000000001</v>
      </c>
      <c r="Y61" s="1">
        <v>18.853999999999999</v>
      </c>
      <c r="Z61" s="1">
        <v>16.659800000000001</v>
      </c>
      <c r="AA61" s="1">
        <v>14.296200000000001</v>
      </c>
      <c r="AB61" s="1">
        <v>17.922999999999998</v>
      </c>
      <c r="AC61" s="1">
        <v>17.2974</v>
      </c>
      <c r="AD61" s="1">
        <v>4.2414000000000014</v>
      </c>
      <c r="AE61" s="1">
        <v>8.469199999999999</v>
      </c>
      <c r="AF61" s="1"/>
      <c r="AG61" s="1">
        <f t="shared" si="15"/>
        <v>130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spans="1:45" x14ac:dyDescent="0.25">
      <c r="A62" s="1" t="s">
        <v>100</v>
      </c>
      <c r="B62" s="1" t="s">
        <v>37</v>
      </c>
      <c r="C62" s="1">
        <v>-3.6920000000000002</v>
      </c>
      <c r="D62" s="1">
        <v>137.042</v>
      </c>
      <c r="E62" s="1">
        <v>51.895000000000003</v>
      </c>
      <c r="F62" s="1">
        <v>59.121000000000002</v>
      </c>
      <c r="G62" s="7">
        <v>1</v>
      </c>
      <c r="H62" s="1">
        <v>40</v>
      </c>
      <c r="I62" s="1" t="s">
        <v>38</v>
      </c>
      <c r="J62" s="1"/>
      <c r="K62" s="1">
        <v>100.2</v>
      </c>
      <c r="L62" s="1">
        <f t="shared" si="11"/>
        <v>-48.305</v>
      </c>
      <c r="M62" s="1"/>
      <c r="N62" s="1"/>
      <c r="O62" s="1">
        <v>43.73365000000004</v>
      </c>
      <c r="P62" s="1"/>
      <c r="Q62" s="1"/>
      <c r="R62" s="1">
        <f t="shared" si="12"/>
        <v>10.379000000000001</v>
      </c>
      <c r="S62" s="5">
        <f t="shared" si="16"/>
        <v>21.693349999999974</v>
      </c>
      <c r="T62" s="1">
        <f t="shared" si="13"/>
        <v>12.000000000000002</v>
      </c>
      <c r="U62" s="1">
        <f t="shared" si="14"/>
        <v>9.9098805279892126</v>
      </c>
      <c r="V62" s="1">
        <v>0.11600000000000001</v>
      </c>
      <c r="W62" s="1">
        <v>14.08</v>
      </c>
      <c r="X62" s="1">
        <v>17.272600000000001</v>
      </c>
      <c r="Y62" s="1">
        <v>5.9125999999999994</v>
      </c>
      <c r="Z62" s="1">
        <v>4.6542000000000003</v>
      </c>
      <c r="AA62" s="1">
        <v>3.8302</v>
      </c>
      <c r="AB62" s="1">
        <v>5.4445999999999994</v>
      </c>
      <c r="AC62" s="1">
        <v>7.3133999999999997</v>
      </c>
      <c r="AD62" s="1">
        <v>8.4963999999999995</v>
      </c>
      <c r="AE62" s="1">
        <v>5.2677999999999994</v>
      </c>
      <c r="AF62" s="1" t="s">
        <v>101</v>
      </c>
      <c r="AG62" s="1">
        <f t="shared" si="15"/>
        <v>21.693349999999974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spans="1:45" x14ac:dyDescent="0.25">
      <c r="A63" s="1" t="s">
        <v>102</v>
      </c>
      <c r="B63" s="1" t="s">
        <v>43</v>
      </c>
      <c r="C63" s="1">
        <v>494</v>
      </c>
      <c r="D63" s="1">
        <v>314</v>
      </c>
      <c r="E63" s="1">
        <v>457</v>
      </c>
      <c r="F63" s="1">
        <v>29</v>
      </c>
      <c r="G63" s="7">
        <v>0.4</v>
      </c>
      <c r="H63" s="1">
        <v>40</v>
      </c>
      <c r="I63" s="1" t="s">
        <v>38</v>
      </c>
      <c r="J63" s="1"/>
      <c r="K63" s="1">
        <v>724</v>
      </c>
      <c r="L63" s="1">
        <f t="shared" si="11"/>
        <v>-267</v>
      </c>
      <c r="M63" s="1"/>
      <c r="N63" s="1"/>
      <c r="O63" s="1">
        <v>539.8760000000002</v>
      </c>
      <c r="P63" s="1"/>
      <c r="Q63" s="1"/>
      <c r="R63" s="1">
        <f t="shared" si="12"/>
        <v>91.4</v>
      </c>
      <c r="S63" s="5">
        <f t="shared" si="16"/>
        <v>527.92399999999998</v>
      </c>
      <c r="T63" s="1">
        <f t="shared" si="13"/>
        <v>12.000000000000002</v>
      </c>
      <c r="U63" s="1">
        <f t="shared" si="14"/>
        <v>6.2240262582056909</v>
      </c>
      <c r="V63" s="1">
        <v>92.8</v>
      </c>
      <c r="W63" s="1">
        <v>116.4</v>
      </c>
      <c r="X63" s="1">
        <v>96.4</v>
      </c>
      <c r="Y63" s="1">
        <v>76.2</v>
      </c>
      <c r="Z63" s="1">
        <v>89.8</v>
      </c>
      <c r="AA63" s="1">
        <v>109.4</v>
      </c>
      <c r="AB63" s="1">
        <v>105.6</v>
      </c>
      <c r="AC63" s="1">
        <v>92.6</v>
      </c>
      <c r="AD63" s="1">
        <v>65.8</v>
      </c>
      <c r="AE63" s="1">
        <v>9.1999999999999993</v>
      </c>
      <c r="AF63" s="1"/>
      <c r="AG63" s="1">
        <f t="shared" si="15"/>
        <v>211.1696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pans="1:45" x14ac:dyDescent="0.25">
      <c r="A64" s="1" t="s">
        <v>103</v>
      </c>
      <c r="B64" s="1" t="s">
        <v>43</v>
      </c>
      <c r="C64" s="1">
        <v>30</v>
      </c>
      <c r="D64" s="1">
        <v>222</v>
      </c>
      <c r="E64" s="1">
        <v>206</v>
      </c>
      <c r="F64" s="1">
        <v>6</v>
      </c>
      <c r="G64" s="7">
        <v>0.4</v>
      </c>
      <c r="H64" s="1">
        <v>40</v>
      </c>
      <c r="I64" s="13" t="s">
        <v>49</v>
      </c>
      <c r="J64" s="1"/>
      <c r="K64" s="1">
        <v>336</v>
      </c>
      <c r="L64" s="1">
        <f t="shared" si="11"/>
        <v>-130</v>
      </c>
      <c r="M64" s="1"/>
      <c r="N64" s="1"/>
      <c r="O64" s="1">
        <v>300</v>
      </c>
      <c r="P64" s="1"/>
      <c r="Q64" s="1"/>
      <c r="R64" s="1">
        <f t="shared" si="12"/>
        <v>41.2</v>
      </c>
      <c r="S64" s="5">
        <f t="shared" si="16"/>
        <v>188.40000000000003</v>
      </c>
      <c r="T64" s="1">
        <f t="shared" si="13"/>
        <v>12</v>
      </c>
      <c r="U64" s="1">
        <f t="shared" si="14"/>
        <v>7.4271844660194173</v>
      </c>
      <c r="V64" s="1">
        <v>26.2</v>
      </c>
      <c r="W64" s="1">
        <v>68.599999999999994</v>
      </c>
      <c r="X64" s="1">
        <v>67</v>
      </c>
      <c r="Y64" s="1">
        <v>23</v>
      </c>
      <c r="Z64" s="1">
        <v>6</v>
      </c>
      <c r="AA64" s="1">
        <v>53.4</v>
      </c>
      <c r="AB64" s="1">
        <v>72</v>
      </c>
      <c r="AC64" s="1">
        <v>66.2</v>
      </c>
      <c r="AD64" s="1">
        <v>60.8</v>
      </c>
      <c r="AE64" s="1">
        <v>62.2</v>
      </c>
      <c r="AF64" s="1"/>
      <c r="AG64" s="1">
        <f t="shared" si="15"/>
        <v>75.360000000000014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spans="1:45" x14ac:dyDescent="0.25">
      <c r="A65" s="1" t="s">
        <v>104</v>
      </c>
      <c r="B65" s="1" t="s">
        <v>37</v>
      </c>
      <c r="C65" s="1">
        <v>163.16200000000001</v>
      </c>
      <c r="D65" s="1">
        <v>21.88</v>
      </c>
      <c r="E65" s="1">
        <v>165.25200000000001</v>
      </c>
      <c r="F65" s="1">
        <v>-7.5179999999999998</v>
      </c>
      <c r="G65" s="7">
        <v>1</v>
      </c>
      <c r="H65" s="1">
        <v>40</v>
      </c>
      <c r="I65" s="1" t="s">
        <v>38</v>
      </c>
      <c r="J65" s="1"/>
      <c r="K65" s="1">
        <v>205.88</v>
      </c>
      <c r="L65" s="1">
        <f t="shared" si="11"/>
        <v>-40.627999999999986</v>
      </c>
      <c r="M65" s="1"/>
      <c r="N65" s="1"/>
      <c r="O65" s="1">
        <v>124.79461999999999</v>
      </c>
      <c r="P65" s="1"/>
      <c r="Q65" s="1"/>
      <c r="R65" s="1">
        <f t="shared" si="12"/>
        <v>33.050400000000003</v>
      </c>
      <c r="S65" s="5">
        <f>11*R65-Q65-P65-O65-F65</f>
        <v>246.27778000000004</v>
      </c>
      <c r="T65" s="1">
        <f t="shared" si="13"/>
        <v>11</v>
      </c>
      <c r="U65" s="1">
        <f t="shared" si="14"/>
        <v>3.5484175683198989</v>
      </c>
      <c r="V65" s="1">
        <v>30.191199999999998</v>
      </c>
      <c r="W65" s="1">
        <v>25.393000000000001</v>
      </c>
      <c r="X65" s="1">
        <v>20.536000000000001</v>
      </c>
      <c r="Y65" s="1">
        <v>16.688199999999998</v>
      </c>
      <c r="Z65" s="1">
        <v>22.345800000000001</v>
      </c>
      <c r="AA65" s="1">
        <v>30.636800000000001</v>
      </c>
      <c r="AB65" s="1">
        <v>29.345600000000001</v>
      </c>
      <c r="AC65" s="1">
        <v>27.9176</v>
      </c>
      <c r="AD65" s="1">
        <v>32.401799999999987</v>
      </c>
      <c r="AE65" s="1">
        <v>36.8142</v>
      </c>
      <c r="AF65" s="1"/>
      <c r="AG65" s="1">
        <f t="shared" si="15"/>
        <v>246.27778000000004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spans="1:45" x14ac:dyDescent="0.25">
      <c r="A66" s="1" t="s">
        <v>105</v>
      </c>
      <c r="B66" s="1" t="s">
        <v>37</v>
      </c>
      <c r="C66" s="1">
        <v>152.59700000000001</v>
      </c>
      <c r="D66" s="1">
        <v>35.206000000000003</v>
      </c>
      <c r="E66" s="1">
        <v>121.503</v>
      </c>
      <c r="F66" s="1">
        <v>11.657</v>
      </c>
      <c r="G66" s="7">
        <v>1</v>
      </c>
      <c r="H66" s="1">
        <v>40</v>
      </c>
      <c r="I66" s="1" t="s">
        <v>38</v>
      </c>
      <c r="J66" s="1"/>
      <c r="K66" s="1">
        <v>198.791</v>
      </c>
      <c r="L66" s="1">
        <f t="shared" si="11"/>
        <v>-77.287999999999997</v>
      </c>
      <c r="M66" s="1"/>
      <c r="N66" s="1"/>
      <c r="O66" s="1">
        <v>150.12626</v>
      </c>
      <c r="P66" s="1"/>
      <c r="Q66" s="1"/>
      <c r="R66" s="1">
        <f t="shared" si="12"/>
        <v>24.300599999999999</v>
      </c>
      <c r="S66" s="5">
        <f t="shared" si="16"/>
        <v>129.82393999999996</v>
      </c>
      <c r="T66" s="1">
        <f t="shared" si="13"/>
        <v>12</v>
      </c>
      <c r="U66" s="1">
        <f t="shared" si="14"/>
        <v>6.657582940338922</v>
      </c>
      <c r="V66" s="1">
        <v>29.9604</v>
      </c>
      <c r="W66" s="1">
        <v>28.129000000000001</v>
      </c>
      <c r="X66" s="1">
        <v>21.1816</v>
      </c>
      <c r="Y66" s="1">
        <v>16.5672</v>
      </c>
      <c r="Z66" s="1">
        <v>20.6828</v>
      </c>
      <c r="AA66" s="1">
        <v>25.505199999999999</v>
      </c>
      <c r="AB66" s="1">
        <v>30.630400000000002</v>
      </c>
      <c r="AC66" s="1">
        <v>35.2286</v>
      </c>
      <c r="AD66" s="1">
        <v>27.577400000000001</v>
      </c>
      <c r="AE66" s="1">
        <v>23.778400000000001</v>
      </c>
      <c r="AF66" s="1"/>
      <c r="AG66" s="1">
        <f t="shared" si="15"/>
        <v>129.82393999999996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spans="1:45" x14ac:dyDescent="0.25">
      <c r="A67" s="1" t="s">
        <v>106</v>
      </c>
      <c r="B67" s="1" t="s">
        <v>37</v>
      </c>
      <c r="C67" s="1">
        <v>11.715999999999999</v>
      </c>
      <c r="D67" s="1">
        <v>462.89400000000001</v>
      </c>
      <c r="E67" s="1">
        <v>150.91</v>
      </c>
      <c r="F67" s="1">
        <v>236.404</v>
      </c>
      <c r="G67" s="7">
        <v>1</v>
      </c>
      <c r="H67" s="1">
        <v>40</v>
      </c>
      <c r="I67" s="13" t="s">
        <v>49</v>
      </c>
      <c r="J67" s="1"/>
      <c r="K67" s="1">
        <v>319.709</v>
      </c>
      <c r="L67" s="1">
        <f t="shared" si="11"/>
        <v>-168.79900000000001</v>
      </c>
      <c r="M67" s="1"/>
      <c r="N67" s="1"/>
      <c r="O67" s="1">
        <v>418.05531999999971</v>
      </c>
      <c r="P67" s="1"/>
      <c r="Q67" s="1"/>
      <c r="R67" s="1">
        <f t="shared" si="12"/>
        <v>30.181999999999999</v>
      </c>
      <c r="S67" s="5"/>
      <c r="T67" s="1">
        <f t="shared" si="13"/>
        <v>21.683762507454766</v>
      </c>
      <c r="U67" s="1">
        <f t="shared" si="14"/>
        <v>21.683762507454766</v>
      </c>
      <c r="V67" s="1">
        <v>6.6635999999999997</v>
      </c>
      <c r="W67" s="1">
        <v>112.02800000000001</v>
      </c>
      <c r="X67" s="1">
        <v>120.03919999999999</v>
      </c>
      <c r="Y67" s="1">
        <v>49.153199999999998</v>
      </c>
      <c r="Z67" s="1">
        <v>53.758000000000003</v>
      </c>
      <c r="AA67" s="1">
        <v>60.426599999999993</v>
      </c>
      <c r="AB67" s="1">
        <v>71.873000000000005</v>
      </c>
      <c r="AC67" s="1">
        <v>68.0488</v>
      </c>
      <c r="AD67" s="1">
        <v>44.416800000000002</v>
      </c>
      <c r="AE67" s="1">
        <v>80.647599999999997</v>
      </c>
      <c r="AF67" s="1"/>
      <c r="AG67" s="1">
        <f t="shared" si="15"/>
        <v>0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pans="1:45" x14ac:dyDescent="0.25">
      <c r="A68" s="1" t="s">
        <v>107</v>
      </c>
      <c r="B68" s="1" t="s">
        <v>37</v>
      </c>
      <c r="C68" s="1">
        <v>119.944</v>
      </c>
      <c r="D68" s="1">
        <v>106.099</v>
      </c>
      <c r="E68" s="1">
        <v>196.98699999999999</v>
      </c>
      <c r="F68" s="1">
        <v>9.3160000000000007</v>
      </c>
      <c r="G68" s="7">
        <v>1</v>
      </c>
      <c r="H68" s="1">
        <v>40</v>
      </c>
      <c r="I68" s="1" t="s">
        <v>38</v>
      </c>
      <c r="J68" s="1"/>
      <c r="K68" s="1">
        <v>240.10900000000001</v>
      </c>
      <c r="L68" s="1">
        <f t="shared" si="11"/>
        <v>-43.122000000000014</v>
      </c>
      <c r="M68" s="1"/>
      <c r="N68" s="1"/>
      <c r="O68" s="1">
        <v>194.6657920000001</v>
      </c>
      <c r="P68" s="1"/>
      <c r="Q68" s="1"/>
      <c r="R68" s="1">
        <f t="shared" si="12"/>
        <v>39.397399999999998</v>
      </c>
      <c r="S68" s="5">
        <f t="shared" si="16"/>
        <v>268.78700799999984</v>
      </c>
      <c r="T68" s="1">
        <f t="shared" si="13"/>
        <v>12</v>
      </c>
      <c r="U68" s="1">
        <f t="shared" si="14"/>
        <v>5.1775445080132219</v>
      </c>
      <c r="V68" s="1">
        <v>36.114600000000003</v>
      </c>
      <c r="W68" s="1">
        <v>34.558800000000012</v>
      </c>
      <c r="X68" s="1">
        <v>25.469000000000001</v>
      </c>
      <c r="Y68" s="1">
        <v>24.119199999999999</v>
      </c>
      <c r="Z68" s="1">
        <v>27.015599999999999</v>
      </c>
      <c r="AA68" s="1">
        <v>23.341799999999999</v>
      </c>
      <c r="AB68" s="1">
        <v>16.409400000000002</v>
      </c>
      <c r="AC68" s="1">
        <v>37.777799999999999</v>
      </c>
      <c r="AD68" s="1">
        <v>58.898200000000003</v>
      </c>
      <c r="AE68" s="1">
        <v>45.1404</v>
      </c>
      <c r="AF68" s="1"/>
      <c r="AG68" s="1">
        <f t="shared" si="15"/>
        <v>268.78700799999984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spans="1:45" x14ac:dyDescent="0.25">
      <c r="A69" s="9" t="s">
        <v>108</v>
      </c>
      <c r="B69" s="9" t="s">
        <v>43</v>
      </c>
      <c r="C69" s="9"/>
      <c r="D69" s="9"/>
      <c r="E69" s="9"/>
      <c r="F69" s="9"/>
      <c r="G69" s="10">
        <v>0</v>
      </c>
      <c r="H69" s="9"/>
      <c r="I69" s="9" t="s">
        <v>38</v>
      </c>
      <c r="J69" s="9"/>
      <c r="K69" s="9"/>
      <c r="L69" s="9">
        <f t="shared" si="11"/>
        <v>0</v>
      </c>
      <c r="M69" s="9"/>
      <c r="N69" s="9"/>
      <c r="O69" s="9">
        <v>0</v>
      </c>
      <c r="P69" s="9"/>
      <c r="Q69" s="9"/>
      <c r="R69" s="9">
        <f t="shared" si="12"/>
        <v>0</v>
      </c>
      <c r="S69" s="11"/>
      <c r="T69" s="9" t="e">
        <f t="shared" si="13"/>
        <v>#DIV/0!</v>
      </c>
      <c r="U69" s="9" t="e">
        <f t="shared" si="14"/>
        <v>#DIV/0!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 t="s">
        <v>44</v>
      </c>
      <c r="AG69" s="9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pans="1:45" x14ac:dyDescent="0.25">
      <c r="A70" s="1" t="s">
        <v>109</v>
      </c>
      <c r="B70" s="1" t="s">
        <v>37</v>
      </c>
      <c r="C70" s="1">
        <v>37.328000000000003</v>
      </c>
      <c r="D70" s="1">
        <v>311.64800000000002</v>
      </c>
      <c r="E70" s="1">
        <v>55.277999999999999</v>
      </c>
      <c r="F70" s="1">
        <v>226.66</v>
      </c>
      <c r="G70" s="7">
        <v>1</v>
      </c>
      <c r="H70" s="1">
        <v>30</v>
      </c>
      <c r="I70" s="1" t="s">
        <v>38</v>
      </c>
      <c r="J70" s="1"/>
      <c r="K70" s="1">
        <v>172.7</v>
      </c>
      <c r="L70" s="1">
        <f t="shared" ref="L70:L101" si="17">E70-K70</f>
        <v>-117.422</v>
      </c>
      <c r="M70" s="1"/>
      <c r="N70" s="1"/>
      <c r="O70" s="1">
        <v>6.4275499999999974</v>
      </c>
      <c r="P70" s="1"/>
      <c r="Q70" s="1"/>
      <c r="R70" s="1">
        <f t="shared" ref="R70:R101" si="18">E70/5</f>
        <v>11.0556</v>
      </c>
      <c r="S70" s="5"/>
      <c r="T70" s="1">
        <f t="shared" ref="T70:T101" si="19">(F70+O70+P70+Q70+S70)/R70</f>
        <v>21.083211223271462</v>
      </c>
      <c r="U70" s="1">
        <f t="shared" ref="U70:U101" si="20">(F70+O70+P70+Q70)/R70</f>
        <v>21.083211223271462</v>
      </c>
      <c r="V70" s="1">
        <v>4.7800000000000002E-2</v>
      </c>
      <c r="W70" s="1">
        <v>28.5642</v>
      </c>
      <c r="X70" s="1">
        <v>35.5794</v>
      </c>
      <c r="Y70" s="1">
        <v>22.786799999999999</v>
      </c>
      <c r="Z70" s="1">
        <v>21.472200000000001</v>
      </c>
      <c r="AA70" s="1">
        <v>26.0868</v>
      </c>
      <c r="AB70" s="1">
        <v>29.864999999999998</v>
      </c>
      <c r="AC70" s="1">
        <v>35.738799999999998</v>
      </c>
      <c r="AD70" s="1">
        <v>40.323999999999977</v>
      </c>
      <c r="AE70" s="1">
        <v>35.8322</v>
      </c>
      <c r="AF70" s="16" t="s">
        <v>81</v>
      </c>
      <c r="AG70" s="1">
        <f t="shared" ref="AG70:AG75" si="21">G70*S70</f>
        <v>0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spans="1:45" x14ac:dyDescent="0.25">
      <c r="A71" s="1" t="s">
        <v>110</v>
      </c>
      <c r="B71" s="1" t="s">
        <v>43</v>
      </c>
      <c r="C71" s="1">
        <v>74</v>
      </c>
      <c r="D71" s="1">
        <v>49</v>
      </c>
      <c r="E71" s="1">
        <v>108</v>
      </c>
      <c r="F71" s="1">
        <v>9</v>
      </c>
      <c r="G71" s="7">
        <v>0.6</v>
      </c>
      <c r="H71" s="1">
        <v>60</v>
      </c>
      <c r="I71" s="1" t="s">
        <v>38</v>
      </c>
      <c r="J71" s="1"/>
      <c r="K71" s="1">
        <v>100</v>
      </c>
      <c r="L71" s="1">
        <f t="shared" si="17"/>
        <v>8</v>
      </c>
      <c r="M71" s="1"/>
      <c r="N71" s="1"/>
      <c r="O71" s="1">
        <v>141.952</v>
      </c>
      <c r="P71" s="1"/>
      <c r="Q71" s="1"/>
      <c r="R71" s="1">
        <f t="shared" si="18"/>
        <v>21.6</v>
      </c>
      <c r="S71" s="5">
        <f t="shared" ref="S70:S75" si="22">12*R71-Q71-P71-O71-F71</f>
        <v>108.24800000000005</v>
      </c>
      <c r="T71" s="1">
        <f t="shared" si="19"/>
        <v>12.000000000000002</v>
      </c>
      <c r="U71" s="1">
        <f t="shared" si="20"/>
        <v>6.9885185185185179</v>
      </c>
      <c r="V71" s="1">
        <v>26</v>
      </c>
      <c r="W71" s="1">
        <v>22.8</v>
      </c>
      <c r="X71" s="1">
        <v>9.8000000000000007</v>
      </c>
      <c r="Y71" s="1">
        <v>15.2</v>
      </c>
      <c r="Z71" s="1">
        <v>27</v>
      </c>
      <c r="AA71" s="1">
        <v>26.6</v>
      </c>
      <c r="AB71" s="1">
        <v>13.2</v>
      </c>
      <c r="AC71" s="1">
        <v>11.8</v>
      </c>
      <c r="AD71" s="1">
        <v>20.399999999999999</v>
      </c>
      <c r="AE71" s="1">
        <v>20.2</v>
      </c>
      <c r="AF71" s="1"/>
      <c r="AG71" s="1">
        <f t="shared" si="21"/>
        <v>64.94880000000002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pans="1:45" x14ac:dyDescent="0.25">
      <c r="A72" s="1" t="s">
        <v>111</v>
      </c>
      <c r="B72" s="1" t="s">
        <v>43</v>
      </c>
      <c r="C72" s="1">
        <v>234</v>
      </c>
      <c r="D72" s="1">
        <v>2</v>
      </c>
      <c r="E72" s="1">
        <v>142</v>
      </c>
      <c r="F72" s="1">
        <v>75</v>
      </c>
      <c r="G72" s="7">
        <v>0.6</v>
      </c>
      <c r="H72" s="1">
        <v>60</v>
      </c>
      <c r="I72" s="1" t="s">
        <v>38</v>
      </c>
      <c r="J72" s="1"/>
      <c r="K72" s="1">
        <v>147</v>
      </c>
      <c r="L72" s="1">
        <f t="shared" si="17"/>
        <v>-5</v>
      </c>
      <c r="M72" s="1"/>
      <c r="N72" s="1"/>
      <c r="O72" s="1">
        <v>205.99199999999999</v>
      </c>
      <c r="P72" s="1"/>
      <c r="Q72" s="1"/>
      <c r="R72" s="1">
        <f t="shared" si="18"/>
        <v>28.4</v>
      </c>
      <c r="S72" s="5">
        <f t="shared" si="22"/>
        <v>59.807999999999964</v>
      </c>
      <c r="T72" s="1">
        <f t="shared" si="19"/>
        <v>11.999999999999998</v>
      </c>
      <c r="U72" s="1">
        <f t="shared" si="20"/>
        <v>9.894084507042253</v>
      </c>
      <c r="V72" s="1">
        <v>31.4</v>
      </c>
      <c r="W72" s="1">
        <v>38.799999999999997</v>
      </c>
      <c r="X72" s="1">
        <v>27.8</v>
      </c>
      <c r="Y72" s="1">
        <v>15.2</v>
      </c>
      <c r="Z72" s="1">
        <v>26.6</v>
      </c>
      <c r="AA72" s="1">
        <v>40.799999999999997</v>
      </c>
      <c r="AB72" s="1">
        <v>41.2</v>
      </c>
      <c r="AC72" s="1">
        <v>32.6</v>
      </c>
      <c r="AD72" s="1">
        <v>37.200000000000003</v>
      </c>
      <c r="AE72" s="1">
        <v>36.200000000000003</v>
      </c>
      <c r="AF72" s="1"/>
      <c r="AG72" s="1">
        <f t="shared" si="21"/>
        <v>35.884799999999977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spans="1:45" x14ac:dyDescent="0.25">
      <c r="A73" s="1" t="s">
        <v>112</v>
      </c>
      <c r="B73" s="1" t="s">
        <v>43</v>
      </c>
      <c r="C73" s="1">
        <v>51</v>
      </c>
      <c r="D73" s="1">
        <v>130</v>
      </c>
      <c r="E73" s="1">
        <v>118</v>
      </c>
      <c r="F73" s="1">
        <v>68</v>
      </c>
      <c r="G73" s="7">
        <v>0.4</v>
      </c>
      <c r="H73" s="1">
        <v>90</v>
      </c>
      <c r="I73" s="1" t="s">
        <v>38</v>
      </c>
      <c r="J73" s="1"/>
      <c r="K73" s="1">
        <v>131</v>
      </c>
      <c r="L73" s="1">
        <f t="shared" si="17"/>
        <v>-13</v>
      </c>
      <c r="M73" s="1"/>
      <c r="N73" s="1"/>
      <c r="O73" s="1">
        <v>55.200000000000017</v>
      </c>
      <c r="P73" s="1"/>
      <c r="Q73" s="1"/>
      <c r="R73" s="1">
        <f t="shared" si="18"/>
        <v>23.6</v>
      </c>
      <c r="S73" s="5">
        <f t="shared" si="22"/>
        <v>160.00000000000003</v>
      </c>
      <c r="T73" s="1">
        <f t="shared" si="19"/>
        <v>12.000000000000002</v>
      </c>
      <c r="U73" s="1">
        <f t="shared" si="20"/>
        <v>5.2203389830508478</v>
      </c>
      <c r="V73" s="1">
        <v>19</v>
      </c>
      <c r="W73" s="1">
        <v>18.8</v>
      </c>
      <c r="X73" s="1">
        <v>19.8</v>
      </c>
      <c r="Y73" s="1">
        <v>17.600000000000001</v>
      </c>
      <c r="Z73" s="1">
        <v>13.6</v>
      </c>
      <c r="AA73" s="1">
        <v>19</v>
      </c>
      <c r="AB73" s="1">
        <v>22.6</v>
      </c>
      <c r="AC73" s="1">
        <v>21.8</v>
      </c>
      <c r="AD73" s="1">
        <v>17.8</v>
      </c>
      <c r="AE73" s="1">
        <v>17.2</v>
      </c>
      <c r="AF73" s="1"/>
      <c r="AG73" s="1">
        <f t="shared" si="21"/>
        <v>64.000000000000014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pans="1:45" x14ac:dyDescent="0.25">
      <c r="A74" s="1" t="s">
        <v>113</v>
      </c>
      <c r="B74" s="1" t="s">
        <v>43</v>
      </c>
      <c r="C74" s="1">
        <v>49</v>
      </c>
      <c r="D74" s="1">
        <v>288</v>
      </c>
      <c r="E74" s="1">
        <v>189</v>
      </c>
      <c r="F74" s="1">
        <v>141</v>
      </c>
      <c r="G74" s="7">
        <v>0.33</v>
      </c>
      <c r="H74" s="1">
        <v>60</v>
      </c>
      <c r="I74" s="1" t="s">
        <v>38</v>
      </c>
      <c r="J74" s="1"/>
      <c r="K74" s="1">
        <v>218</v>
      </c>
      <c r="L74" s="1">
        <f t="shared" si="17"/>
        <v>-29</v>
      </c>
      <c r="M74" s="1"/>
      <c r="N74" s="1"/>
      <c r="O74" s="1">
        <v>92.379999999999953</v>
      </c>
      <c r="P74" s="1"/>
      <c r="Q74" s="1"/>
      <c r="R74" s="1">
        <f t="shared" si="18"/>
        <v>37.799999999999997</v>
      </c>
      <c r="S74" s="5">
        <f t="shared" si="22"/>
        <v>220.22000000000003</v>
      </c>
      <c r="T74" s="1">
        <f t="shared" si="19"/>
        <v>12</v>
      </c>
      <c r="U74" s="1">
        <f t="shared" si="20"/>
        <v>6.1740740740740732</v>
      </c>
      <c r="V74" s="1">
        <v>30.4</v>
      </c>
      <c r="W74" s="1">
        <v>37</v>
      </c>
      <c r="X74" s="1">
        <v>38.200000000000003</v>
      </c>
      <c r="Y74" s="1">
        <v>31.8</v>
      </c>
      <c r="Z74" s="1">
        <v>24.8</v>
      </c>
      <c r="AA74" s="1">
        <v>29.4</v>
      </c>
      <c r="AB74" s="1">
        <v>26.2</v>
      </c>
      <c r="AC74" s="1">
        <v>28.6</v>
      </c>
      <c r="AD74" s="1">
        <v>30.2</v>
      </c>
      <c r="AE74" s="1">
        <v>28.8</v>
      </c>
      <c r="AF74" s="1"/>
      <c r="AG74" s="1">
        <f t="shared" si="21"/>
        <v>72.672600000000017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</row>
    <row r="75" spans="1:45" x14ac:dyDescent="0.25">
      <c r="A75" s="1" t="s">
        <v>114</v>
      </c>
      <c r="B75" s="1" t="s">
        <v>43</v>
      </c>
      <c r="C75" s="1">
        <v>26</v>
      </c>
      <c r="D75" s="1">
        <v>298</v>
      </c>
      <c r="E75" s="1">
        <v>128</v>
      </c>
      <c r="F75" s="1">
        <v>212</v>
      </c>
      <c r="G75" s="7">
        <v>0.35</v>
      </c>
      <c r="H75" s="1">
        <v>90</v>
      </c>
      <c r="I75" s="1" t="s">
        <v>38</v>
      </c>
      <c r="J75" s="1"/>
      <c r="K75" s="1">
        <v>130</v>
      </c>
      <c r="L75" s="1">
        <f t="shared" si="17"/>
        <v>-2</v>
      </c>
      <c r="M75" s="1"/>
      <c r="N75" s="1"/>
      <c r="O75" s="1">
        <v>3.8000000000002392</v>
      </c>
      <c r="P75" s="1"/>
      <c r="Q75" s="1"/>
      <c r="R75" s="1">
        <f t="shared" si="18"/>
        <v>25.6</v>
      </c>
      <c r="S75" s="5">
        <f t="shared" si="22"/>
        <v>91.399999999999807</v>
      </c>
      <c r="T75" s="1">
        <f t="shared" si="19"/>
        <v>12.000000000000002</v>
      </c>
      <c r="U75" s="1">
        <f t="shared" si="20"/>
        <v>8.4296875000000089</v>
      </c>
      <c r="V75" s="1">
        <v>21.8</v>
      </c>
      <c r="W75" s="1">
        <v>26.8</v>
      </c>
      <c r="X75" s="1">
        <v>32.6</v>
      </c>
      <c r="Y75" s="1">
        <v>30.2</v>
      </c>
      <c r="Z75" s="1">
        <v>21.8</v>
      </c>
      <c r="AA75" s="1">
        <v>25.6</v>
      </c>
      <c r="AB75" s="1">
        <v>22</v>
      </c>
      <c r="AC75" s="1">
        <v>30.2</v>
      </c>
      <c r="AD75" s="1">
        <v>31</v>
      </c>
      <c r="AE75" s="1">
        <v>18.600000000000001</v>
      </c>
      <c r="AF75" s="1"/>
      <c r="AG75" s="1">
        <f t="shared" si="21"/>
        <v>31.989999999999931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</row>
    <row r="76" spans="1:45" x14ac:dyDescent="0.25">
      <c r="A76" s="9" t="s">
        <v>115</v>
      </c>
      <c r="B76" s="9" t="s">
        <v>43</v>
      </c>
      <c r="C76" s="9"/>
      <c r="D76" s="9"/>
      <c r="E76" s="9"/>
      <c r="F76" s="9"/>
      <c r="G76" s="10">
        <v>0</v>
      </c>
      <c r="H76" s="9"/>
      <c r="I76" s="9" t="s">
        <v>38</v>
      </c>
      <c r="J76" s="9"/>
      <c r="K76" s="9"/>
      <c r="L76" s="9">
        <f t="shared" si="17"/>
        <v>0</v>
      </c>
      <c r="M76" s="9"/>
      <c r="N76" s="9"/>
      <c r="O76" s="9">
        <v>0</v>
      </c>
      <c r="P76" s="9"/>
      <c r="Q76" s="9"/>
      <c r="R76" s="9">
        <f t="shared" si="18"/>
        <v>0</v>
      </c>
      <c r="S76" s="11"/>
      <c r="T76" s="9" t="e">
        <f t="shared" si="19"/>
        <v>#DIV/0!</v>
      </c>
      <c r="U76" s="9" t="e">
        <f t="shared" si="20"/>
        <v>#DIV/0!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 t="s">
        <v>44</v>
      </c>
      <c r="AG76" s="9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</row>
    <row r="77" spans="1:45" x14ac:dyDescent="0.25">
      <c r="A77" s="1" t="s">
        <v>116</v>
      </c>
      <c r="B77" s="1" t="s">
        <v>43</v>
      </c>
      <c r="C77" s="1">
        <v>132</v>
      </c>
      <c r="D77" s="1">
        <v>40</v>
      </c>
      <c r="E77" s="1">
        <v>53</v>
      </c>
      <c r="F77" s="1">
        <v>92</v>
      </c>
      <c r="G77" s="7">
        <v>0.6</v>
      </c>
      <c r="H77" s="1">
        <v>70</v>
      </c>
      <c r="I77" s="1" t="s">
        <v>38</v>
      </c>
      <c r="J77" s="1"/>
      <c r="K77" s="1">
        <v>63</v>
      </c>
      <c r="L77" s="1">
        <f t="shared" si="17"/>
        <v>-10</v>
      </c>
      <c r="M77" s="1"/>
      <c r="N77" s="1"/>
      <c r="O77" s="1">
        <v>11.19999999999999</v>
      </c>
      <c r="P77" s="1"/>
      <c r="Q77" s="1"/>
      <c r="R77" s="1">
        <f t="shared" si="18"/>
        <v>10.6</v>
      </c>
      <c r="S77" s="5">
        <f t="shared" ref="S77:S81" si="23">12*R77-Q77-P77-O77-F77</f>
        <v>24</v>
      </c>
      <c r="T77" s="1">
        <f t="shared" si="19"/>
        <v>12</v>
      </c>
      <c r="U77" s="1">
        <f t="shared" si="20"/>
        <v>9.7358490566037723</v>
      </c>
      <c r="V77" s="1">
        <v>8.6</v>
      </c>
      <c r="W77" s="1">
        <v>14.6</v>
      </c>
      <c r="X77" s="1">
        <v>17</v>
      </c>
      <c r="Y77" s="1">
        <v>8.1999999999999993</v>
      </c>
      <c r="Z77" s="1">
        <v>3</v>
      </c>
      <c r="AA77" s="1">
        <v>16</v>
      </c>
      <c r="AB77" s="1">
        <v>20.2</v>
      </c>
      <c r="AC77" s="1">
        <v>17.399999999999999</v>
      </c>
      <c r="AD77" s="1">
        <v>11.6</v>
      </c>
      <c r="AE77" s="1">
        <v>2</v>
      </c>
      <c r="AF77" s="1"/>
      <c r="AG77" s="1">
        <f>G77*S77</f>
        <v>14.399999999999999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</row>
    <row r="78" spans="1:45" x14ac:dyDescent="0.25">
      <c r="A78" s="1" t="s">
        <v>117</v>
      </c>
      <c r="B78" s="1" t="s">
        <v>43</v>
      </c>
      <c r="C78" s="1">
        <v>20</v>
      </c>
      <c r="D78" s="1">
        <v>129</v>
      </c>
      <c r="E78" s="1">
        <v>24</v>
      </c>
      <c r="F78" s="1">
        <v>107</v>
      </c>
      <c r="G78" s="7">
        <v>0.33</v>
      </c>
      <c r="H78" s="1">
        <v>40</v>
      </c>
      <c r="I78" s="1" t="s">
        <v>38</v>
      </c>
      <c r="J78" s="1"/>
      <c r="K78" s="1">
        <v>77</v>
      </c>
      <c r="L78" s="1">
        <f t="shared" si="17"/>
        <v>-53</v>
      </c>
      <c r="M78" s="1"/>
      <c r="N78" s="1"/>
      <c r="O78" s="1">
        <v>0</v>
      </c>
      <c r="P78" s="1"/>
      <c r="Q78" s="1"/>
      <c r="R78" s="1">
        <f t="shared" si="18"/>
        <v>4.8</v>
      </c>
      <c r="S78" s="5"/>
      <c r="T78" s="1">
        <f t="shared" si="19"/>
        <v>22.291666666666668</v>
      </c>
      <c r="U78" s="1">
        <f t="shared" si="20"/>
        <v>22.291666666666668</v>
      </c>
      <c r="V78" s="1">
        <v>3.2</v>
      </c>
      <c r="W78" s="1">
        <v>4.8</v>
      </c>
      <c r="X78" s="1">
        <v>6.8</v>
      </c>
      <c r="Y78" s="1">
        <v>9.8000000000000007</v>
      </c>
      <c r="Z78" s="1">
        <v>10.8</v>
      </c>
      <c r="AA78" s="1">
        <v>16.2</v>
      </c>
      <c r="AB78" s="1">
        <v>8.8000000000000007</v>
      </c>
      <c r="AC78" s="1">
        <v>5.4</v>
      </c>
      <c r="AD78" s="1">
        <v>11.6</v>
      </c>
      <c r="AE78" s="1">
        <v>9</v>
      </c>
      <c r="AF78" s="16" t="s">
        <v>81</v>
      </c>
      <c r="AG78" s="1">
        <f>G78*S78</f>
        <v>0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</row>
    <row r="79" spans="1:45" x14ac:dyDescent="0.25">
      <c r="A79" s="1" t="s">
        <v>118</v>
      </c>
      <c r="B79" s="1" t="s">
        <v>43</v>
      </c>
      <c r="C79" s="1">
        <v>19</v>
      </c>
      <c r="D79" s="1">
        <v>108</v>
      </c>
      <c r="E79" s="1">
        <v>34</v>
      </c>
      <c r="F79" s="1">
        <v>87</v>
      </c>
      <c r="G79" s="7">
        <v>0.4</v>
      </c>
      <c r="H79" s="1">
        <v>55</v>
      </c>
      <c r="I79" s="1" t="s">
        <v>38</v>
      </c>
      <c r="J79" s="1"/>
      <c r="K79" s="1">
        <v>43</v>
      </c>
      <c r="L79" s="1">
        <f t="shared" si="17"/>
        <v>-9</v>
      </c>
      <c r="M79" s="1"/>
      <c r="N79" s="1"/>
      <c r="O79" s="1">
        <v>0</v>
      </c>
      <c r="P79" s="1"/>
      <c r="Q79" s="1"/>
      <c r="R79" s="1">
        <f t="shared" si="18"/>
        <v>6.8</v>
      </c>
      <c r="S79" s="5"/>
      <c r="T79" s="1">
        <f t="shared" si="19"/>
        <v>12.794117647058824</v>
      </c>
      <c r="U79" s="1">
        <f t="shared" si="20"/>
        <v>12.794117647058824</v>
      </c>
      <c r="V79" s="1">
        <v>4.2</v>
      </c>
      <c r="W79" s="1">
        <v>9</v>
      </c>
      <c r="X79" s="1">
        <v>11.2</v>
      </c>
      <c r="Y79" s="1">
        <v>7.2</v>
      </c>
      <c r="Z79" s="1">
        <v>6</v>
      </c>
      <c r="AA79" s="1">
        <v>7.2</v>
      </c>
      <c r="AB79" s="1">
        <v>5.8</v>
      </c>
      <c r="AC79" s="1">
        <v>10.4</v>
      </c>
      <c r="AD79" s="1">
        <v>12.2</v>
      </c>
      <c r="AE79" s="1">
        <v>7.2</v>
      </c>
      <c r="AF79" s="1"/>
      <c r="AG79" s="1">
        <f>G79*S79</f>
        <v>0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</row>
    <row r="80" spans="1:45" x14ac:dyDescent="0.25">
      <c r="A80" s="1" t="s">
        <v>119</v>
      </c>
      <c r="B80" s="1" t="s">
        <v>43</v>
      </c>
      <c r="C80" s="1">
        <v>-3</v>
      </c>
      <c r="D80" s="1"/>
      <c r="E80" s="1">
        <v>-3</v>
      </c>
      <c r="F80" s="1">
        <v>-3</v>
      </c>
      <c r="G80" s="7">
        <v>0.35</v>
      </c>
      <c r="H80" s="1">
        <v>40</v>
      </c>
      <c r="I80" s="1" t="s">
        <v>38</v>
      </c>
      <c r="J80" s="1"/>
      <c r="K80" s="1"/>
      <c r="L80" s="1">
        <f t="shared" si="17"/>
        <v>-3</v>
      </c>
      <c r="M80" s="1"/>
      <c r="N80" s="1"/>
      <c r="O80" s="1">
        <v>19.8</v>
      </c>
      <c r="P80" s="1"/>
      <c r="Q80" s="1"/>
      <c r="R80" s="1">
        <f t="shared" si="18"/>
        <v>-0.6</v>
      </c>
      <c r="S80" s="5"/>
      <c r="T80" s="1">
        <f t="shared" si="19"/>
        <v>-28.000000000000004</v>
      </c>
      <c r="U80" s="1">
        <f t="shared" si="20"/>
        <v>-28.000000000000004</v>
      </c>
      <c r="V80" s="1">
        <v>0.4</v>
      </c>
      <c r="W80" s="1">
        <v>1.4</v>
      </c>
      <c r="X80" s="1">
        <v>0.6</v>
      </c>
      <c r="Y80" s="1">
        <v>1.4</v>
      </c>
      <c r="Z80" s="1">
        <v>4</v>
      </c>
      <c r="AA80" s="1">
        <v>6.8</v>
      </c>
      <c r="AB80" s="1">
        <v>6.8</v>
      </c>
      <c r="AC80" s="1">
        <v>4.4000000000000004</v>
      </c>
      <c r="AD80" s="1">
        <v>3.8</v>
      </c>
      <c r="AE80" s="1">
        <v>4.8</v>
      </c>
      <c r="AF80" s="1" t="s">
        <v>120</v>
      </c>
      <c r="AG80" s="1">
        <f>G80*S80</f>
        <v>0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</row>
    <row r="81" spans="1:45" x14ac:dyDescent="0.25">
      <c r="A81" s="1" t="s">
        <v>121</v>
      </c>
      <c r="B81" s="1" t="s">
        <v>43</v>
      </c>
      <c r="C81" s="1">
        <v>142</v>
      </c>
      <c r="D81" s="1"/>
      <c r="E81" s="1">
        <v>90</v>
      </c>
      <c r="F81" s="1">
        <v>61</v>
      </c>
      <c r="G81" s="7">
        <v>0.35</v>
      </c>
      <c r="H81" s="1">
        <v>45</v>
      </c>
      <c r="I81" s="1" t="s">
        <v>38</v>
      </c>
      <c r="J81" s="1"/>
      <c r="K81" s="1">
        <v>84</v>
      </c>
      <c r="L81" s="1">
        <f t="shared" si="17"/>
        <v>6</v>
      </c>
      <c r="M81" s="1"/>
      <c r="N81" s="1"/>
      <c r="O81" s="1">
        <v>57.200000000000017</v>
      </c>
      <c r="P81" s="1"/>
      <c r="Q81" s="1"/>
      <c r="R81" s="1">
        <f t="shared" si="18"/>
        <v>18</v>
      </c>
      <c r="S81" s="5">
        <f t="shared" si="23"/>
        <v>97.799999999999983</v>
      </c>
      <c r="T81" s="1">
        <f t="shared" si="19"/>
        <v>12</v>
      </c>
      <c r="U81" s="1">
        <f t="shared" si="20"/>
        <v>6.5666666666666673</v>
      </c>
      <c r="V81" s="1">
        <v>20.6</v>
      </c>
      <c r="W81" s="1">
        <v>16.600000000000001</v>
      </c>
      <c r="X81" s="1">
        <v>12.4</v>
      </c>
      <c r="Y81" s="1">
        <v>5.6</v>
      </c>
      <c r="Z81" s="1">
        <v>14.8</v>
      </c>
      <c r="AA81" s="1">
        <v>33</v>
      </c>
      <c r="AB81" s="1">
        <v>26</v>
      </c>
      <c r="AC81" s="1">
        <v>36.6</v>
      </c>
      <c r="AD81" s="1">
        <v>33.4</v>
      </c>
      <c r="AE81" s="1">
        <v>18.8</v>
      </c>
      <c r="AF81" s="1"/>
      <c r="AG81" s="1">
        <f>G81*S81</f>
        <v>34.22999999999999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</row>
    <row r="82" spans="1:45" x14ac:dyDescent="0.25">
      <c r="A82" s="9" t="s">
        <v>122</v>
      </c>
      <c r="B82" s="9" t="s">
        <v>43</v>
      </c>
      <c r="C82" s="9"/>
      <c r="D82" s="9"/>
      <c r="E82" s="9"/>
      <c r="F82" s="9"/>
      <c r="G82" s="10">
        <v>0</v>
      </c>
      <c r="H82" s="9"/>
      <c r="I82" s="9" t="s">
        <v>38</v>
      </c>
      <c r="J82" s="9"/>
      <c r="K82" s="9"/>
      <c r="L82" s="9">
        <f t="shared" si="17"/>
        <v>0</v>
      </c>
      <c r="M82" s="9"/>
      <c r="N82" s="9"/>
      <c r="O82" s="9">
        <v>0</v>
      </c>
      <c r="P82" s="9"/>
      <c r="Q82" s="9"/>
      <c r="R82" s="9">
        <f t="shared" si="18"/>
        <v>0</v>
      </c>
      <c r="S82" s="11"/>
      <c r="T82" s="9" t="e">
        <f t="shared" si="19"/>
        <v>#DIV/0!</v>
      </c>
      <c r="U82" s="9" t="e">
        <f t="shared" si="20"/>
        <v>#DIV/0!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 t="s">
        <v>44</v>
      </c>
      <c r="AG82" s="9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</row>
    <row r="83" spans="1:45" x14ac:dyDescent="0.25">
      <c r="A83" s="9" t="s">
        <v>123</v>
      </c>
      <c r="B83" s="9" t="s">
        <v>37</v>
      </c>
      <c r="C83" s="9"/>
      <c r="D83" s="9"/>
      <c r="E83" s="9"/>
      <c r="F83" s="9"/>
      <c r="G83" s="10">
        <v>0</v>
      </c>
      <c r="H83" s="9"/>
      <c r="I83" s="9" t="s">
        <v>38</v>
      </c>
      <c r="J83" s="9"/>
      <c r="K83" s="9"/>
      <c r="L83" s="9">
        <f t="shared" si="17"/>
        <v>0</v>
      </c>
      <c r="M83" s="9"/>
      <c r="N83" s="9"/>
      <c r="O83" s="9">
        <v>0</v>
      </c>
      <c r="P83" s="9"/>
      <c r="Q83" s="9"/>
      <c r="R83" s="9">
        <f t="shared" si="18"/>
        <v>0</v>
      </c>
      <c r="S83" s="11"/>
      <c r="T83" s="9" t="e">
        <f t="shared" si="19"/>
        <v>#DIV/0!</v>
      </c>
      <c r="U83" s="9" t="e">
        <f t="shared" si="20"/>
        <v>#DIV/0!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 t="s">
        <v>44</v>
      </c>
      <c r="AG83" s="9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</row>
    <row r="84" spans="1:45" x14ac:dyDescent="0.25">
      <c r="A84" s="9" t="s">
        <v>124</v>
      </c>
      <c r="B84" s="9" t="s">
        <v>37</v>
      </c>
      <c r="C84" s="9"/>
      <c r="D84" s="9"/>
      <c r="E84" s="9"/>
      <c r="F84" s="9"/>
      <c r="G84" s="10">
        <v>0</v>
      </c>
      <c r="H84" s="9"/>
      <c r="I84" s="9" t="s">
        <v>38</v>
      </c>
      <c r="J84" s="9"/>
      <c r="K84" s="9"/>
      <c r="L84" s="9">
        <f t="shared" si="17"/>
        <v>0</v>
      </c>
      <c r="M84" s="9"/>
      <c r="N84" s="9"/>
      <c r="O84" s="9">
        <v>0</v>
      </c>
      <c r="P84" s="9"/>
      <c r="Q84" s="9"/>
      <c r="R84" s="9">
        <f t="shared" si="18"/>
        <v>0</v>
      </c>
      <c r="S84" s="11"/>
      <c r="T84" s="9" t="e">
        <f t="shared" si="19"/>
        <v>#DIV/0!</v>
      </c>
      <c r="U84" s="9" t="e">
        <f t="shared" si="20"/>
        <v>#DIV/0!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 t="s">
        <v>44</v>
      </c>
      <c r="AG84" s="9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</row>
    <row r="85" spans="1:45" x14ac:dyDescent="0.25">
      <c r="A85" s="1" t="s">
        <v>125</v>
      </c>
      <c r="B85" s="1" t="s">
        <v>37</v>
      </c>
      <c r="C85" s="1">
        <v>225.84899999999999</v>
      </c>
      <c r="D85" s="1">
        <v>95.108999999999995</v>
      </c>
      <c r="E85" s="1">
        <v>164.679</v>
      </c>
      <c r="F85" s="1">
        <v>137.69900000000001</v>
      </c>
      <c r="G85" s="7">
        <v>1</v>
      </c>
      <c r="H85" s="1">
        <v>60</v>
      </c>
      <c r="I85" s="1" t="s">
        <v>38</v>
      </c>
      <c r="J85" s="1"/>
      <c r="K85" s="1">
        <v>168.2</v>
      </c>
      <c r="L85" s="1">
        <f t="shared" si="17"/>
        <v>-3.5209999999999866</v>
      </c>
      <c r="M85" s="1"/>
      <c r="N85" s="1"/>
      <c r="O85" s="1">
        <v>137.00832</v>
      </c>
      <c r="P85" s="1"/>
      <c r="Q85" s="1"/>
      <c r="R85" s="1">
        <f t="shared" si="18"/>
        <v>32.9358</v>
      </c>
      <c r="S85" s="5">
        <f>12*R85-Q85-P85-O85-F85</f>
        <v>120.52227999999997</v>
      </c>
      <c r="T85" s="1">
        <f t="shared" si="19"/>
        <v>11.999999999999998</v>
      </c>
      <c r="U85" s="1">
        <f t="shared" si="20"/>
        <v>8.3406906770140683</v>
      </c>
      <c r="V85" s="1">
        <v>27.771799999999999</v>
      </c>
      <c r="W85" s="1">
        <v>31.998000000000001</v>
      </c>
      <c r="X85" s="1">
        <v>23.875599999999999</v>
      </c>
      <c r="Y85" s="1">
        <v>20.068999999999999</v>
      </c>
      <c r="Z85" s="1">
        <v>23.865600000000001</v>
      </c>
      <c r="AA85" s="1">
        <v>32.620199999999997</v>
      </c>
      <c r="AB85" s="1">
        <v>28.968800000000002</v>
      </c>
      <c r="AC85" s="1">
        <v>43.807400000000001</v>
      </c>
      <c r="AD85" s="1">
        <v>49.8904</v>
      </c>
      <c r="AE85" s="1">
        <v>45.323</v>
      </c>
      <c r="AF85" s="1"/>
      <c r="AG85" s="1">
        <f>G85*S85</f>
        <v>120.52227999999997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</row>
    <row r="86" spans="1:45" x14ac:dyDescent="0.25">
      <c r="A86" s="9" t="s">
        <v>126</v>
      </c>
      <c r="B86" s="9" t="s">
        <v>43</v>
      </c>
      <c r="C86" s="9"/>
      <c r="D86" s="9"/>
      <c r="E86" s="9"/>
      <c r="F86" s="9"/>
      <c r="G86" s="10">
        <v>0</v>
      </c>
      <c r="H86" s="9"/>
      <c r="I86" s="9" t="s">
        <v>38</v>
      </c>
      <c r="J86" s="9"/>
      <c r="K86" s="9"/>
      <c r="L86" s="9">
        <f t="shared" si="17"/>
        <v>0</v>
      </c>
      <c r="M86" s="9"/>
      <c r="N86" s="9"/>
      <c r="O86" s="9">
        <v>0</v>
      </c>
      <c r="P86" s="9"/>
      <c r="Q86" s="9"/>
      <c r="R86" s="9">
        <f t="shared" si="18"/>
        <v>0</v>
      </c>
      <c r="S86" s="11"/>
      <c r="T86" s="9" t="e">
        <f t="shared" si="19"/>
        <v>#DIV/0!</v>
      </c>
      <c r="U86" s="9" t="e">
        <f t="shared" si="20"/>
        <v>#DIV/0!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 s="9" t="s">
        <v>44</v>
      </c>
      <c r="AG86" s="9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</row>
    <row r="87" spans="1:45" x14ac:dyDescent="0.25">
      <c r="A87" s="1" t="s">
        <v>127</v>
      </c>
      <c r="B87" s="1" t="s">
        <v>37</v>
      </c>
      <c r="C87" s="1">
        <v>1427.962</v>
      </c>
      <c r="D87" s="1">
        <v>2015.52</v>
      </c>
      <c r="E87" s="1">
        <v>1574.749</v>
      </c>
      <c r="F87" s="1">
        <v>1653.079</v>
      </c>
      <c r="G87" s="7">
        <v>1</v>
      </c>
      <c r="H87" s="1">
        <v>60</v>
      </c>
      <c r="I87" s="1" t="s">
        <v>38</v>
      </c>
      <c r="J87" s="1"/>
      <c r="K87" s="1">
        <v>1618.634</v>
      </c>
      <c r="L87" s="1">
        <f t="shared" si="17"/>
        <v>-43.884999999999991</v>
      </c>
      <c r="M87" s="1"/>
      <c r="N87" s="1"/>
      <c r="O87" s="1">
        <v>11.793995999999961</v>
      </c>
      <c r="P87" s="1"/>
      <c r="Q87" s="1">
        <v>500</v>
      </c>
      <c r="R87" s="1">
        <f t="shared" si="18"/>
        <v>314.94979999999998</v>
      </c>
      <c r="S87" s="5">
        <f t="shared" ref="S87:S89" si="24">12*R87-Q87-P87-O87-F87</f>
        <v>1614.524604</v>
      </c>
      <c r="T87" s="1">
        <f t="shared" si="19"/>
        <v>12.000000000000002</v>
      </c>
      <c r="U87" s="1">
        <f t="shared" si="20"/>
        <v>6.8737081147535264</v>
      </c>
      <c r="V87" s="1">
        <v>244.9546</v>
      </c>
      <c r="W87" s="1">
        <v>250.4194</v>
      </c>
      <c r="X87" s="1">
        <v>227.70859999999999</v>
      </c>
      <c r="Y87" s="1">
        <v>184.99260000000001</v>
      </c>
      <c r="Z87" s="1">
        <v>192.30119999999999</v>
      </c>
      <c r="AA87" s="1">
        <v>242.393</v>
      </c>
      <c r="AB87" s="1">
        <v>281.09039999999999</v>
      </c>
      <c r="AC87" s="1">
        <v>332.67239999999998</v>
      </c>
      <c r="AD87" s="1">
        <v>305.48419999999999</v>
      </c>
      <c r="AE87" s="1">
        <v>286.5274</v>
      </c>
      <c r="AF87" s="1"/>
      <c r="AG87" s="1">
        <f>G87*S87</f>
        <v>1614.524604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</row>
    <row r="88" spans="1:45" x14ac:dyDescent="0.25">
      <c r="A88" s="1" t="s">
        <v>128</v>
      </c>
      <c r="B88" s="1" t="s">
        <v>37</v>
      </c>
      <c r="C88" s="1">
        <v>1560.107</v>
      </c>
      <c r="D88" s="1">
        <v>1014.49</v>
      </c>
      <c r="E88" s="1">
        <v>941.21199999999999</v>
      </c>
      <c r="F88" s="1">
        <v>1624.521</v>
      </c>
      <c r="G88" s="7">
        <v>1</v>
      </c>
      <c r="H88" s="1">
        <v>60</v>
      </c>
      <c r="I88" s="1" t="s">
        <v>38</v>
      </c>
      <c r="J88" s="1"/>
      <c r="K88" s="1">
        <v>914</v>
      </c>
      <c r="L88" s="1">
        <f t="shared" si="17"/>
        <v>27.211999999999989</v>
      </c>
      <c r="M88" s="1"/>
      <c r="N88" s="1"/>
      <c r="O88" s="1">
        <v>173.61546000000041</v>
      </c>
      <c r="P88" s="1"/>
      <c r="Q88" s="1"/>
      <c r="R88" s="1">
        <f t="shared" si="18"/>
        <v>188.2424</v>
      </c>
      <c r="S88" s="5">
        <f t="shared" si="24"/>
        <v>460.77233999999976</v>
      </c>
      <c r="T88" s="1">
        <f t="shared" si="19"/>
        <v>12</v>
      </c>
      <c r="U88" s="1">
        <f t="shared" si="20"/>
        <v>9.5522393467146642</v>
      </c>
      <c r="V88" s="1">
        <v>175.36760000000001</v>
      </c>
      <c r="W88" s="1">
        <v>241.06899999999999</v>
      </c>
      <c r="X88" s="1">
        <v>210.56899999999999</v>
      </c>
      <c r="Y88" s="1">
        <v>112.8832</v>
      </c>
      <c r="Z88" s="1">
        <v>123.03279999999999</v>
      </c>
      <c r="AA88" s="1">
        <v>190.5642</v>
      </c>
      <c r="AB88" s="1">
        <v>220.67740000000001</v>
      </c>
      <c r="AC88" s="1">
        <v>250.80779999999999</v>
      </c>
      <c r="AD88" s="1">
        <v>213.42420000000001</v>
      </c>
      <c r="AE88" s="1">
        <v>191.51259999999999</v>
      </c>
      <c r="AF88" s="1"/>
      <c r="AG88" s="1">
        <f>G88*S88</f>
        <v>460.77233999999976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</row>
    <row r="89" spans="1:45" x14ac:dyDescent="0.25">
      <c r="A89" s="1" t="s">
        <v>129</v>
      </c>
      <c r="B89" s="1" t="s">
        <v>37</v>
      </c>
      <c r="C89" s="1">
        <v>4617.4799999999996</v>
      </c>
      <c r="D89" s="1">
        <v>716.024</v>
      </c>
      <c r="E89" s="1">
        <v>2117.902</v>
      </c>
      <c r="F89" s="1">
        <v>3033.0410000000002</v>
      </c>
      <c r="G89" s="7">
        <v>1</v>
      </c>
      <c r="H89" s="1">
        <v>60</v>
      </c>
      <c r="I89" s="1" t="s">
        <v>38</v>
      </c>
      <c r="J89" s="1"/>
      <c r="K89" s="1">
        <v>2131.11</v>
      </c>
      <c r="L89" s="1">
        <f t="shared" si="17"/>
        <v>-13.208000000000084</v>
      </c>
      <c r="M89" s="1"/>
      <c r="N89" s="1"/>
      <c r="O89" s="1">
        <v>0</v>
      </c>
      <c r="P89" s="1"/>
      <c r="Q89" s="1"/>
      <c r="R89" s="1">
        <f t="shared" si="18"/>
        <v>423.5804</v>
      </c>
      <c r="S89" s="5">
        <f t="shared" si="24"/>
        <v>2049.9237999999996</v>
      </c>
      <c r="T89" s="1">
        <f t="shared" si="19"/>
        <v>12</v>
      </c>
      <c r="U89" s="1">
        <f t="shared" si="20"/>
        <v>7.1604847627510626</v>
      </c>
      <c r="V89" s="1">
        <v>376.52600000000001</v>
      </c>
      <c r="W89" s="1">
        <v>336.5274</v>
      </c>
      <c r="X89" s="1">
        <v>281.4778</v>
      </c>
      <c r="Y89" s="1">
        <v>275.24520000000001</v>
      </c>
      <c r="Z89" s="1">
        <v>319.42960000000011</v>
      </c>
      <c r="AA89" s="1">
        <v>353.96559999999999</v>
      </c>
      <c r="AB89" s="1">
        <v>357.76280000000003</v>
      </c>
      <c r="AC89" s="1">
        <v>414.20119999999997</v>
      </c>
      <c r="AD89" s="1">
        <v>411.19539999999989</v>
      </c>
      <c r="AE89" s="1">
        <v>457.66879999999998</v>
      </c>
      <c r="AF89" s="1"/>
      <c r="AG89" s="1">
        <f>G89*S89</f>
        <v>2049.9237999999996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</row>
    <row r="90" spans="1:45" x14ac:dyDescent="0.25">
      <c r="A90" s="9" t="s">
        <v>130</v>
      </c>
      <c r="B90" s="9" t="s">
        <v>37</v>
      </c>
      <c r="C90" s="9"/>
      <c r="D90" s="9"/>
      <c r="E90" s="9"/>
      <c r="F90" s="9"/>
      <c r="G90" s="10">
        <v>0</v>
      </c>
      <c r="H90" s="9"/>
      <c r="I90" s="9" t="s">
        <v>38</v>
      </c>
      <c r="J90" s="9"/>
      <c r="K90" s="9"/>
      <c r="L90" s="9">
        <f t="shared" si="17"/>
        <v>0</v>
      </c>
      <c r="M90" s="9"/>
      <c r="N90" s="9"/>
      <c r="O90" s="9">
        <v>0</v>
      </c>
      <c r="P90" s="9"/>
      <c r="Q90" s="9"/>
      <c r="R90" s="9">
        <f t="shared" si="18"/>
        <v>0</v>
      </c>
      <c r="S90" s="11"/>
      <c r="T90" s="9" t="e">
        <f t="shared" si="19"/>
        <v>#DIV/0!</v>
      </c>
      <c r="U90" s="9" t="e">
        <f t="shared" si="20"/>
        <v>#DIV/0!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 t="s">
        <v>44</v>
      </c>
      <c r="AG90" s="9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</row>
    <row r="91" spans="1:45" x14ac:dyDescent="0.25">
      <c r="A91" s="1" t="s">
        <v>131</v>
      </c>
      <c r="B91" s="1" t="s">
        <v>43</v>
      </c>
      <c r="C91" s="1">
        <v>59</v>
      </c>
      <c r="D91" s="1">
        <v>6</v>
      </c>
      <c r="E91" s="1">
        <v>54</v>
      </c>
      <c r="F91" s="1">
        <v>-4</v>
      </c>
      <c r="G91" s="7">
        <v>0.3</v>
      </c>
      <c r="H91" s="1">
        <v>40</v>
      </c>
      <c r="I91" s="13" t="s">
        <v>49</v>
      </c>
      <c r="J91" s="1"/>
      <c r="K91" s="1">
        <v>155</v>
      </c>
      <c r="L91" s="1">
        <f t="shared" si="17"/>
        <v>-101</v>
      </c>
      <c r="M91" s="1"/>
      <c r="N91" s="1"/>
      <c r="O91" s="1">
        <v>129.66800000000001</v>
      </c>
      <c r="P91" s="1">
        <v>-132</v>
      </c>
      <c r="Q91" s="1"/>
      <c r="R91" s="1">
        <f t="shared" si="18"/>
        <v>10.8</v>
      </c>
      <c r="S91" s="5">
        <v>50</v>
      </c>
      <c r="T91" s="1">
        <f t="shared" si="19"/>
        <v>4.0433333333333339</v>
      </c>
      <c r="U91" s="1">
        <f t="shared" si="20"/>
        <v>-0.58629629629629565</v>
      </c>
      <c r="V91" s="1">
        <v>19.399999999999999</v>
      </c>
      <c r="W91" s="1">
        <v>20.2</v>
      </c>
      <c r="X91" s="1">
        <v>9.8000000000000007</v>
      </c>
      <c r="Y91" s="1">
        <v>5.4</v>
      </c>
      <c r="Z91" s="1">
        <v>12.2</v>
      </c>
      <c r="AA91" s="1">
        <v>28.4</v>
      </c>
      <c r="AB91" s="1">
        <v>31.2</v>
      </c>
      <c r="AC91" s="1">
        <v>25.6</v>
      </c>
      <c r="AD91" s="1">
        <v>17</v>
      </c>
      <c r="AE91" s="1">
        <v>10.199999999999999</v>
      </c>
      <c r="AF91" s="1"/>
      <c r="AG91" s="1">
        <f>G91*S91</f>
        <v>15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</row>
    <row r="92" spans="1:45" x14ac:dyDescent="0.25">
      <c r="A92" s="9" t="s">
        <v>132</v>
      </c>
      <c r="B92" s="9" t="s">
        <v>43</v>
      </c>
      <c r="C92" s="9"/>
      <c r="D92" s="9"/>
      <c r="E92" s="9"/>
      <c r="F92" s="9"/>
      <c r="G92" s="10">
        <v>0</v>
      </c>
      <c r="H92" s="9"/>
      <c r="I92" s="9" t="s">
        <v>38</v>
      </c>
      <c r="J92" s="9"/>
      <c r="K92" s="9"/>
      <c r="L92" s="9">
        <f t="shared" si="17"/>
        <v>0</v>
      </c>
      <c r="M92" s="9"/>
      <c r="N92" s="9"/>
      <c r="O92" s="9">
        <v>0</v>
      </c>
      <c r="P92" s="9"/>
      <c r="Q92" s="9"/>
      <c r="R92" s="9">
        <f t="shared" si="18"/>
        <v>0</v>
      </c>
      <c r="S92" s="11"/>
      <c r="T92" s="9" t="e">
        <f t="shared" si="19"/>
        <v>#DIV/0!</v>
      </c>
      <c r="U92" s="9" t="e">
        <f t="shared" si="20"/>
        <v>#DIV/0!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 t="s">
        <v>44</v>
      </c>
      <c r="AG92" s="9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</row>
    <row r="93" spans="1:45" x14ac:dyDescent="0.25">
      <c r="A93" s="1" t="s">
        <v>133</v>
      </c>
      <c r="B93" s="1" t="s">
        <v>43</v>
      </c>
      <c r="C93" s="1">
        <v>165</v>
      </c>
      <c r="D93" s="1">
        <v>90</v>
      </c>
      <c r="E93" s="1">
        <v>128</v>
      </c>
      <c r="F93" s="1">
        <v>116</v>
      </c>
      <c r="G93" s="7">
        <v>7.0000000000000007E-2</v>
      </c>
      <c r="H93" s="1">
        <v>90</v>
      </c>
      <c r="I93" s="1" t="s">
        <v>38</v>
      </c>
      <c r="J93" s="1"/>
      <c r="K93" s="1">
        <v>126</v>
      </c>
      <c r="L93" s="1">
        <f t="shared" si="17"/>
        <v>2</v>
      </c>
      <c r="M93" s="1"/>
      <c r="N93" s="1"/>
      <c r="O93" s="1">
        <v>15</v>
      </c>
      <c r="P93" s="1">
        <v>-18</v>
      </c>
      <c r="Q93" s="1"/>
      <c r="R93" s="1">
        <f t="shared" si="18"/>
        <v>25.6</v>
      </c>
      <c r="S93" s="5">
        <f>11*R93-Q93-P93-O93-F93</f>
        <v>168.60000000000002</v>
      </c>
      <c r="T93" s="1">
        <f t="shared" si="19"/>
        <v>11</v>
      </c>
      <c r="U93" s="1">
        <f t="shared" si="20"/>
        <v>4.4140625</v>
      </c>
      <c r="V93" s="1">
        <v>25.4</v>
      </c>
      <c r="W93" s="1">
        <v>15.4</v>
      </c>
      <c r="X93" s="1">
        <v>12.2</v>
      </c>
      <c r="Y93" s="1">
        <v>8.4</v>
      </c>
      <c r="Z93" s="1">
        <v>10.8</v>
      </c>
      <c r="AA93" s="1">
        <v>19.600000000000001</v>
      </c>
      <c r="AB93" s="1">
        <v>20.399999999999999</v>
      </c>
      <c r="AC93" s="1">
        <v>13</v>
      </c>
      <c r="AD93" s="1">
        <v>11</v>
      </c>
      <c r="AE93" s="1">
        <v>13.2</v>
      </c>
      <c r="AF93" s="1" t="s">
        <v>134</v>
      </c>
      <c r="AG93" s="1">
        <f>G93*S93</f>
        <v>11.802000000000003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</row>
    <row r="94" spans="1:45" x14ac:dyDescent="0.25">
      <c r="A94" s="1" t="s">
        <v>135</v>
      </c>
      <c r="B94" s="1" t="s">
        <v>43</v>
      </c>
      <c r="C94" s="1">
        <v>14</v>
      </c>
      <c r="D94" s="1">
        <v>79</v>
      </c>
      <c r="E94" s="1">
        <v>8</v>
      </c>
      <c r="F94" s="1">
        <v>65</v>
      </c>
      <c r="G94" s="7">
        <v>7.0000000000000007E-2</v>
      </c>
      <c r="H94" s="1">
        <v>90</v>
      </c>
      <c r="I94" s="13" t="s">
        <v>49</v>
      </c>
      <c r="J94" s="1"/>
      <c r="K94" s="1">
        <v>124</v>
      </c>
      <c r="L94" s="1">
        <f t="shared" si="17"/>
        <v>-116</v>
      </c>
      <c r="M94" s="1"/>
      <c r="N94" s="1"/>
      <c r="O94" s="1">
        <v>50</v>
      </c>
      <c r="P94" s="1">
        <v>-50</v>
      </c>
      <c r="Q94" s="1"/>
      <c r="R94" s="1">
        <f t="shared" si="18"/>
        <v>1.6</v>
      </c>
      <c r="S94" s="5">
        <v>30</v>
      </c>
      <c r="T94" s="1">
        <f t="shared" si="19"/>
        <v>59.375</v>
      </c>
      <c r="U94" s="1">
        <f t="shared" si="20"/>
        <v>40.625</v>
      </c>
      <c r="V94" s="1">
        <v>0.4</v>
      </c>
      <c r="W94" s="1">
        <v>9.8000000000000007</v>
      </c>
      <c r="X94" s="1">
        <v>13.8</v>
      </c>
      <c r="Y94" s="1">
        <v>17.8</v>
      </c>
      <c r="Z94" s="1">
        <v>18.8</v>
      </c>
      <c r="AA94" s="1">
        <v>16.399999999999999</v>
      </c>
      <c r="AB94" s="1">
        <v>14</v>
      </c>
      <c r="AC94" s="1">
        <v>15</v>
      </c>
      <c r="AD94" s="1">
        <v>20.8</v>
      </c>
      <c r="AE94" s="1">
        <v>16.8</v>
      </c>
      <c r="AF94" s="1" t="s">
        <v>134</v>
      </c>
      <c r="AG94" s="1">
        <f>G94*S94</f>
        <v>2.1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</row>
    <row r="95" spans="1:45" x14ac:dyDescent="0.25">
      <c r="A95" s="1" t="s">
        <v>136</v>
      </c>
      <c r="B95" s="1" t="s">
        <v>43</v>
      </c>
      <c r="C95" s="1">
        <v>178</v>
      </c>
      <c r="D95" s="1">
        <v>92</v>
      </c>
      <c r="E95" s="1">
        <v>123</v>
      </c>
      <c r="F95" s="1">
        <v>144</v>
      </c>
      <c r="G95" s="7">
        <v>7.0000000000000007E-2</v>
      </c>
      <c r="H95" s="1">
        <v>90</v>
      </c>
      <c r="I95" s="1" t="s">
        <v>38</v>
      </c>
      <c r="J95" s="1"/>
      <c r="K95" s="1">
        <v>121</v>
      </c>
      <c r="L95" s="1">
        <f t="shared" si="17"/>
        <v>2</v>
      </c>
      <c r="M95" s="1"/>
      <c r="N95" s="1"/>
      <c r="O95" s="1">
        <v>0</v>
      </c>
      <c r="P95" s="1"/>
      <c r="Q95" s="1"/>
      <c r="R95" s="1">
        <f t="shared" si="18"/>
        <v>24.6</v>
      </c>
      <c r="S95" s="5">
        <f t="shared" ref="S93:S95" si="25">12*R95-Q95-P95-O95-F95</f>
        <v>151.20000000000005</v>
      </c>
      <c r="T95" s="1">
        <f t="shared" si="19"/>
        <v>12.000000000000002</v>
      </c>
      <c r="U95" s="1">
        <f t="shared" si="20"/>
        <v>5.8536585365853657</v>
      </c>
      <c r="V95" s="1">
        <v>23.6</v>
      </c>
      <c r="W95" s="1">
        <v>12.4</v>
      </c>
      <c r="X95" s="1">
        <v>7.2</v>
      </c>
      <c r="Y95" s="1">
        <v>6.8</v>
      </c>
      <c r="Z95" s="1">
        <v>10</v>
      </c>
      <c r="AA95" s="1">
        <v>18.399999999999999</v>
      </c>
      <c r="AB95" s="1">
        <v>16.399999999999999</v>
      </c>
      <c r="AC95" s="1">
        <v>10.199999999999999</v>
      </c>
      <c r="AD95" s="1">
        <v>12</v>
      </c>
      <c r="AE95" s="1">
        <v>10.6</v>
      </c>
      <c r="AF95" s="1" t="s">
        <v>134</v>
      </c>
      <c r="AG95" s="1">
        <f>G95*S95</f>
        <v>10.584000000000005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</row>
    <row r="96" spans="1:45" x14ac:dyDescent="0.25">
      <c r="A96" s="9" t="s">
        <v>137</v>
      </c>
      <c r="B96" s="9" t="s">
        <v>43</v>
      </c>
      <c r="C96" s="9">
        <v>57</v>
      </c>
      <c r="D96" s="9">
        <v>3</v>
      </c>
      <c r="E96" s="9">
        <v>50</v>
      </c>
      <c r="F96" s="9">
        <v>2</v>
      </c>
      <c r="G96" s="10">
        <v>0</v>
      </c>
      <c r="H96" s="9">
        <v>90</v>
      </c>
      <c r="I96" s="9" t="s">
        <v>79</v>
      </c>
      <c r="J96" s="9"/>
      <c r="K96" s="9">
        <v>70</v>
      </c>
      <c r="L96" s="9">
        <f t="shared" si="17"/>
        <v>-20</v>
      </c>
      <c r="M96" s="9"/>
      <c r="N96" s="9"/>
      <c r="O96" s="9">
        <v>0</v>
      </c>
      <c r="P96" s="9"/>
      <c r="Q96" s="9"/>
      <c r="R96" s="9">
        <f t="shared" si="18"/>
        <v>10</v>
      </c>
      <c r="S96" s="11"/>
      <c r="T96" s="9">
        <f t="shared" si="19"/>
        <v>0.2</v>
      </c>
      <c r="U96" s="9">
        <f t="shared" si="20"/>
        <v>0.2</v>
      </c>
      <c r="V96" s="9">
        <v>11.2</v>
      </c>
      <c r="W96" s="9">
        <v>9.8000000000000007</v>
      </c>
      <c r="X96" s="9">
        <v>9</v>
      </c>
      <c r="Y96" s="9">
        <v>7.4</v>
      </c>
      <c r="Z96" s="9">
        <v>7.4</v>
      </c>
      <c r="AA96" s="9">
        <v>8.6</v>
      </c>
      <c r="AB96" s="9">
        <v>12</v>
      </c>
      <c r="AC96" s="9">
        <v>14.4</v>
      </c>
      <c r="AD96" s="9">
        <v>13.8</v>
      </c>
      <c r="AE96" s="9">
        <v>14.8</v>
      </c>
      <c r="AF96" s="9"/>
      <c r="AG96" s="9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</row>
    <row r="97" spans="1:45" x14ac:dyDescent="0.25">
      <c r="A97" s="9" t="s">
        <v>138</v>
      </c>
      <c r="B97" s="9" t="s">
        <v>43</v>
      </c>
      <c r="C97" s="9"/>
      <c r="D97" s="9"/>
      <c r="E97" s="9"/>
      <c r="F97" s="9"/>
      <c r="G97" s="10">
        <v>0</v>
      </c>
      <c r="H97" s="9"/>
      <c r="I97" s="9" t="s">
        <v>38</v>
      </c>
      <c r="J97" s="9"/>
      <c r="K97" s="9"/>
      <c r="L97" s="9">
        <f t="shared" si="17"/>
        <v>0</v>
      </c>
      <c r="M97" s="9"/>
      <c r="N97" s="9"/>
      <c r="O97" s="9">
        <v>0</v>
      </c>
      <c r="P97" s="9"/>
      <c r="Q97" s="9"/>
      <c r="R97" s="9">
        <f t="shared" si="18"/>
        <v>0</v>
      </c>
      <c r="S97" s="11"/>
      <c r="T97" s="9" t="e">
        <f t="shared" si="19"/>
        <v>#DIV/0!</v>
      </c>
      <c r="U97" s="9" t="e">
        <f t="shared" si="20"/>
        <v>#DIV/0!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 t="s">
        <v>44</v>
      </c>
      <c r="AG97" s="9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</row>
    <row r="98" spans="1:45" x14ac:dyDescent="0.25">
      <c r="A98" s="1" t="s">
        <v>139</v>
      </c>
      <c r="B98" s="1" t="s">
        <v>37</v>
      </c>
      <c r="C98" s="1">
        <v>4.0960000000000001</v>
      </c>
      <c r="D98" s="1"/>
      <c r="E98" s="1">
        <v>-3.2170000000000001</v>
      </c>
      <c r="F98" s="1">
        <v>4.0960000000000001</v>
      </c>
      <c r="G98" s="7">
        <v>1</v>
      </c>
      <c r="H98" s="1">
        <v>55</v>
      </c>
      <c r="I98" s="1" t="s">
        <v>38</v>
      </c>
      <c r="J98" s="1"/>
      <c r="K98" s="1">
        <v>8.6</v>
      </c>
      <c r="L98" s="1">
        <f t="shared" si="17"/>
        <v>-11.817</v>
      </c>
      <c r="M98" s="1"/>
      <c r="N98" s="1"/>
      <c r="O98" s="1">
        <v>8</v>
      </c>
      <c r="P98" s="1"/>
      <c r="Q98" s="1"/>
      <c r="R98" s="1">
        <f t="shared" si="18"/>
        <v>-0.64339999999999997</v>
      </c>
      <c r="S98" s="5"/>
      <c r="T98" s="1">
        <f t="shared" si="19"/>
        <v>-18.80012433944669</v>
      </c>
      <c r="U98" s="1">
        <f t="shared" si="20"/>
        <v>-18.80012433944669</v>
      </c>
      <c r="V98" s="1">
        <v>-0.32300000000000001</v>
      </c>
      <c r="W98" s="1">
        <v>0</v>
      </c>
      <c r="X98" s="1">
        <v>2.1076000000000001</v>
      </c>
      <c r="Y98" s="1">
        <v>1.9372</v>
      </c>
      <c r="Z98" s="1">
        <v>2.2138</v>
      </c>
      <c r="AA98" s="1">
        <v>4.1204000000000001</v>
      </c>
      <c r="AB98" s="1">
        <v>3.4714</v>
      </c>
      <c r="AC98" s="1">
        <v>2.1972</v>
      </c>
      <c r="AD98" s="1">
        <v>3.1594000000000002</v>
      </c>
      <c r="AE98" s="1">
        <v>4.0695999999999994</v>
      </c>
      <c r="AF98" s="1" t="s">
        <v>140</v>
      </c>
      <c r="AG98" s="1">
        <f>G98*S98</f>
        <v>0</v>
      </c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</row>
    <row r="99" spans="1:45" x14ac:dyDescent="0.25">
      <c r="A99" s="1" t="s">
        <v>141</v>
      </c>
      <c r="B99" s="1" t="s">
        <v>43</v>
      </c>
      <c r="C99" s="1"/>
      <c r="D99" s="1">
        <v>110</v>
      </c>
      <c r="E99" s="1">
        <v>57</v>
      </c>
      <c r="F99" s="1">
        <v>53</v>
      </c>
      <c r="G99" s="7">
        <v>0.11</v>
      </c>
      <c r="H99" s="1">
        <v>30</v>
      </c>
      <c r="I99" s="1" t="s">
        <v>38</v>
      </c>
      <c r="J99" s="1"/>
      <c r="K99" s="1">
        <v>59</v>
      </c>
      <c r="L99" s="1">
        <f t="shared" si="17"/>
        <v>-2</v>
      </c>
      <c r="M99" s="1"/>
      <c r="N99" s="1"/>
      <c r="O99" s="1">
        <v>0</v>
      </c>
      <c r="P99" s="1"/>
      <c r="Q99" s="1"/>
      <c r="R99" s="1">
        <f t="shared" si="18"/>
        <v>11.4</v>
      </c>
      <c r="S99" s="5">
        <f t="shared" ref="S98:S99" si="26">12*R99-Q99-P99-O99-F99</f>
        <v>83.800000000000011</v>
      </c>
      <c r="T99" s="1">
        <f t="shared" si="19"/>
        <v>12</v>
      </c>
      <c r="U99" s="1">
        <f t="shared" si="20"/>
        <v>4.6491228070175437</v>
      </c>
      <c r="V99" s="1">
        <v>0</v>
      </c>
      <c r="W99" s="1">
        <v>0</v>
      </c>
      <c r="X99" s="1">
        <v>0</v>
      </c>
      <c r="Y99" s="1">
        <v>0</v>
      </c>
      <c r="Z99" s="1">
        <v>3.2</v>
      </c>
      <c r="AA99" s="1">
        <v>3.2</v>
      </c>
      <c r="AB99" s="1">
        <v>0</v>
      </c>
      <c r="AC99" s="1">
        <v>0</v>
      </c>
      <c r="AD99" s="1">
        <v>0</v>
      </c>
      <c r="AE99" s="1">
        <v>0</v>
      </c>
      <c r="AF99" s="1" t="s">
        <v>142</v>
      </c>
      <c r="AG99" s="1">
        <f>G99*S99</f>
        <v>9.2180000000000017</v>
      </c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</row>
    <row r="100" spans="1:45" x14ac:dyDescent="0.25">
      <c r="A100" s="9" t="s">
        <v>143</v>
      </c>
      <c r="B100" s="9" t="s">
        <v>43</v>
      </c>
      <c r="C100" s="9"/>
      <c r="D100" s="9"/>
      <c r="E100" s="9"/>
      <c r="F100" s="9"/>
      <c r="G100" s="10">
        <v>0</v>
      </c>
      <c r="H100" s="9"/>
      <c r="I100" s="9" t="s">
        <v>38</v>
      </c>
      <c r="J100" s="9"/>
      <c r="K100" s="9"/>
      <c r="L100" s="9">
        <f t="shared" si="17"/>
        <v>0</v>
      </c>
      <c r="M100" s="9"/>
      <c r="N100" s="9"/>
      <c r="O100" s="9">
        <v>0</v>
      </c>
      <c r="P100" s="9"/>
      <c r="Q100" s="9"/>
      <c r="R100" s="9">
        <f t="shared" si="18"/>
        <v>0</v>
      </c>
      <c r="S100" s="11"/>
      <c r="T100" s="9" t="e">
        <f t="shared" si="19"/>
        <v>#DIV/0!</v>
      </c>
      <c r="U100" s="9" t="e">
        <f t="shared" si="20"/>
        <v>#DIV/0!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 t="s">
        <v>44</v>
      </c>
      <c r="AG100" s="9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</row>
    <row r="101" spans="1:45" x14ac:dyDescent="0.25">
      <c r="A101" s="1" t="s">
        <v>144</v>
      </c>
      <c r="B101" s="1" t="s">
        <v>43</v>
      </c>
      <c r="C101" s="1">
        <v>155</v>
      </c>
      <c r="D101" s="1">
        <v>82</v>
      </c>
      <c r="E101" s="1">
        <v>131</v>
      </c>
      <c r="F101" s="1">
        <v>106</v>
      </c>
      <c r="G101" s="7">
        <v>0.08</v>
      </c>
      <c r="H101" s="1">
        <v>45</v>
      </c>
      <c r="I101" s="1" t="s">
        <v>38</v>
      </c>
      <c r="J101" s="1"/>
      <c r="K101" s="1">
        <v>123</v>
      </c>
      <c r="L101" s="1">
        <f t="shared" si="17"/>
        <v>8</v>
      </c>
      <c r="M101" s="1"/>
      <c r="N101" s="1"/>
      <c r="O101" s="1">
        <v>45</v>
      </c>
      <c r="P101" s="1"/>
      <c r="Q101" s="1"/>
      <c r="R101" s="1">
        <f t="shared" si="18"/>
        <v>26.2</v>
      </c>
      <c r="S101" s="5">
        <f t="shared" ref="S101:S106" si="27">12*R101-Q101-P101-O101-F101</f>
        <v>163.39999999999998</v>
      </c>
      <c r="T101" s="1">
        <f t="shared" si="19"/>
        <v>12</v>
      </c>
      <c r="U101" s="1">
        <f t="shared" si="20"/>
        <v>5.7633587786259541</v>
      </c>
      <c r="V101" s="1">
        <v>19.600000000000001</v>
      </c>
      <c r="W101" s="1">
        <v>16.399999999999999</v>
      </c>
      <c r="X101" s="1">
        <v>14.8</v>
      </c>
      <c r="Y101" s="1">
        <v>14</v>
      </c>
      <c r="Z101" s="1">
        <v>17.399999999999999</v>
      </c>
      <c r="AA101" s="1">
        <v>23</v>
      </c>
      <c r="AB101" s="1">
        <v>22.2</v>
      </c>
      <c r="AC101" s="1">
        <v>15.4</v>
      </c>
      <c r="AD101" s="1">
        <v>9.8000000000000007</v>
      </c>
      <c r="AE101" s="1">
        <v>10.6</v>
      </c>
      <c r="AF101" s="1" t="s">
        <v>142</v>
      </c>
      <c r="AG101" s="1">
        <f t="shared" ref="AG101:AG106" si="28">G101*S101</f>
        <v>13.071999999999999</v>
      </c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</row>
    <row r="102" spans="1:45" x14ac:dyDescent="0.25">
      <c r="A102" s="1" t="s">
        <v>145</v>
      </c>
      <c r="B102" s="1" t="s">
        <v>43</v>
      </c>
      <c r="C102" s="1">
        <v>63</v>
      </c>
      <c r="D102" s="1">
        <v>196</v>
      </c>
      <c r="E102" s="1">
        <v>83</v>
      </c>
      <c r="F102" s="1">
        <v>162</v>
      </c>
      <c r="G102" s="7">
        <v>0.08</v>
      </c>
      <c r="H102" s="1">
        <v>45</v>
      </c>
      <c r="I102" s="1" t="s">
        <v>38</v>
      </c>
      <c r="J102" s="1"/>
      <c r="K102" s="1">
        <v>91</v>
      </c>
      <c r="L102" s="1">
        <f t="shared" ref="L102:L133" si="29">E102-K102</f>
        <v>-8</v>
      </c>
      <c r="M102" s="1"/>
      <c r="N102" s="1"/>
      <c r="O102" s="1">
        <v>0</v>
      </c>
      <c r="P102" s="1"/>
      <c r="Q102" s="1"/>
      <c r="R102" s="1">
        <f t="shared" ref="R102:R129" si="30">E102/5</f>
        <v>16.600000000000001</v>
      </c>
      <c r="S102" s="5">
        <f t="shared" si="27"/>
        <v>37.200000000000017</v>
      </c>
      <c r="T102" s="1">
        <f t="shared" ref="T102:T133" si="31">(F102+O102+P102+Q102+S102)/R102</f>
        <v>12</v>
      </c>
      <c r="U102" s="1">
        <f t="shared" ref="U102:U129" si="32">(F102+O102+P102+Q102)/R102</f>
        <v>9.759036144578312</v>
      </c>
      <c r="V102" s="1">
        <v>15.2</v>
      </c>
      <c r="W102" s="1">
        <v>10.199999999999999</v>
      </c>
      <c r="X102" s="1">
        <v>18.2</v>
      </c>
      <c r="Y102" s="1">
        <v>15.6</v>
      </c>
      <c r="Z102" s="1">
        <v>12</v>
      </c>
      <c r="AA102" s="1">
        <v>14</v>
      </c>
      <c r="AB102" s="1">
        <v>14</v>
      </c>
      <c r="AC102" s="1">
        <v>12.4</v>
      </c>
      <c r="AD102" s="1">
        <v>17.399999999999999</v>
      </c>
      <c r="AE102" s="1">
        <v>17</v>
      </c>
      <c r="AF102" s="1" t="s">
        <v>142</v>
      </c>
      <c r="AG102" s="1">
        <f t="shared" si="28"/>
        <v>2.9760000000000013</v>
      </c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</row>
    <row r="103" spans="1:45" x14ac:dyDescent="0.25">
      <c r="A103" s="1" t="s">
        <v>146</v>
      </c>
      <c r="B103" s="1" t="s">
        <v>43</v>
      </c>
      <c r="C103" s="1"/>
      <c r="D103" s="1">
        <v>80</v>
      </c>
      <c r="E103" s="1">
        <v>17</v>
      </c>
      <c r="F103" s="1">
        <v>63</v>
      </c>
      <c r="G103" s="7">
        <v>0.17</v>
      </c>
      <c r="H103" s="1">
        <v>30</v>
      </c>
      <c r="I103" s="1" t="s">
        <v>38</v>
      </c>
      <c r="J103" s="1"/>
      <c r="K103" s="1">
        <v>17</v>
      </c>
      <c r="L103" s="1">
        <f t="shared" si="29"/>
        <v>0</v>
      </c>
      <c r="M103" s="1"/>
      <c r="N103" s="1"/>
      <c r="O103" s="1">
        <v>8</v>
      </c>
      <c r="P103" s="1"/>
      <c r="Q103" s="1"/>
      <c r="R103" s="1">
        <f t="shared" si="30"/>
        <v>3.4</v>
      </c>
      <c r="S103" s="5"/>
      <c r="T103" s="1">
        <f t="shared" si="31"/>
        <v>20.882352941176471</v>
      </c>
      <c r="U103" s="1">
        <f t="shared" si="32"/>
        <v>20.882352941176471</v>
      </c>
      <c r="V103" s="1">
        <v>0</v>
      </c>
      <c r="W103" s="1">
        <v>0</v>
      </c>
      <c r="X103" s="1">
        <v>0</v>
      </c>
      <c r="Y103" s="1">
        <v>0.4</v>
      </c>
      <c r="Z103" s="1">
        <v>0.8</v>
      </c>
      <c r="AA103" s="1">
        <v>0.4</v>
      </c>
      <c r="AB103" s="1">
        <v>0.2</v>
      </c>
      <c r="AC103" s="1">
        <v>0.4</v>
      </c>
      <c r="AD103" s="1">
        <v>0.2</v>
      </c>
      <c r="AE103" s="1">
        <v>0</v>
      </c>
      <c r="AF103" s="1" t="s">
        <v>147</v>
      </c>
      <c r="AG103" s="1">
        <f t="shared" si="28"/>
        <v>0</v>
      </c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</row>
    <row r="104" spans="1:45" x14ac:dyDescent="0.25">
      <c r="A104" s="1" t="s">
        <v>148</v>
      </c>
      <c r="B104" s="1" t="s">
        <v>37</v>
      </c>
      <c r="C104" s="1">
        <v>52.978999999999999</v>
      </c>
      <c r="D104" s="1">
        <v>29.713000000000001</v>
      </c>
      <c r="E104" s="1">
        <v>94.433000000000007</v>
      </c>
      <c r="F104" s="1">
        <v>-21.622</v>
      </c>
      <c r="G104" s="7">
        <v>1</v>
      </c>
      <c r="H104" s="1">
        <v>40</v>
      </c>
      <c r="I104" s="13" t="s">
        <v>49</v>
      </c>
      <c r="J104" s="1"/>
      <c r="K104" s="1">
        <v>125.2</v>
      </c>
      <c r="L104" s="1">
        <f t="shared" si="29"/>
        <v>-30.766999999999996</v>
      </c>
      <c r="M104" s="1"/>
      <c r="N104" s="1"/>
      <c r="O104" s="1">
        <v>153.165516</v>
      </c>
      <c r="P104" s="1">
        <v>-154</v>
      </c>
      <c r="Q104" s="1"/>
      <c r="R104" s="1">
        <f t="shared" si="30"/>
        <v>18.886600000000001</v>
      </c>
      <c r="S104" s="5">
        <v>50</v>
      </c>
      <c r="T104" s="1">
        <f t="shared" si="31"/>
        <v>1.4583628604407362</v>
      </c>
      <c r="U104" s="1">
        <f t="shared" si="32"/>
        <v>-1.1890167632077764</v>
      </c>
      <c r="V104" s="1">
        <v>18.115600000000001</v>
      </c>
      <c r="W104" s="1">
        <v>24.947399999999998</v>
      </c>
      <c r="X104" s="1">
        <v>22.3066</v>
      </c>
      <c r="Y104" s="1">
        <v>15.290800000000001</v>
      </c>
      <c r="Z104" s="1">
        <v>20.459199999999999</v>
      </c>
      <c r="AA104" s="1">
        <v>22.341999999999999</v>
      </c>
      <c r="AB104" s="1">
        <v>26.3384</v>
      </c>
      <c r="AC104" s="1">
        <v>31.392800000000001</v>
      </c>
      <c r="AD104" s="1">
        <v>26.237200000000001</v>
      </c>
      <c r="AE104" s="1">
        <v>30.513999999999999</v>
      </c>
      <c r="AF104" s="1"/>
      <c r="AG104" s="1">
        <f t="shared" si="28"/>
        <v>50</v>
      </c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</row>
    <row r="105" spans="1:45" x14ac:dyDescent="0.25">
      <c r="A105" s="1" t="s">
        <v>149</v>
      </c>
      <c r="B105" s="1" t="s">
        <v>37</v>
      </c>
      <c r="C105" s="1">
        <v>128.94200000000001</v>
      </c>
      <c r="D105" s="1">
        <v>5.9050000000000002</v>
      </c>
      <c r="E105" s="1">
        <v>81.629000000000005</v>
      </c>
      <c r="F105" s="1">
        <v>18.283999999999999</v>
      </c>
      <c r="G105" s="7">
        <v>1</v>
      </c>
      <c r="H105" s="1">
        <v>40</v>
      </c>
      <c r="I105" s="13" t="s">
        <v>49</v>
      </c>
      <c r="J105" s="1"/>
      <c r="K105" s="1">
        <v>111.6</v>
      </c>
      <c r="L105" s="1">
        <f t="shared" si="29"/>
        <v>-29.970999999999989</v>
      </c>
      <c r="M105" s="1"/>
      <c r="N105" s="1"/>
      <c r="O105" s="1">
        <v>84.715600000000023</v>
      </c>
      <c r="P105" s="1">
        <v>-87.5</v>
      </c>
      <c r="Q105" s="1"/>
      <c r="R105" s="1">
        <f t="shared" si="30"/>
        <v>16.325800000000001</v>
      </c>
      <c r="S105" s="5">
        <v>50</v>
      </c>
      <c r="T105" s="1">
        <f t="shared" si="31"/>
        <v>4.0120300383442169</v>
      </c>
      <c r="U105" s="1">
        <f t="shared" si="32"/>
        <v>0.94939298533609462</v>
      </c>
      <c r="V105" s="1">
        <v>12.1866</v>
      </c>
      <c r="W105" s="1">
        <v>20.2988</v>
      </c>
      <c r="X105" s="1">
        <v>19.150400000000001</v>
      </c>
      <c r="Y105" s="1">
        <v>10.0184</v>
      </c>
      <c r="Z105" s="1">
        <v>10.5992</v>
      </c>
      <c r="AA105" s="1">
        <v>15.360799999999999</v>
      </c>
      <c r="AB105" s="1">
        <v>21.815000000000001</v>
      </c>
      <c r="AC105" s="1">
        <v>26.238600000000002</v>
      </c>
      <c r="AD105" s="1">
        <v>26.207999999999998</v>
      </c>
      <c r="AE105" s="1">
        <v>30.0702</v>
      </c>
      <c r="AF105" s="1"/>
      <c r="AG105" s="1">
        <f t="shared" si="28"/>
        <v>50</v>
      </c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</row>
    <row r="106" spans="1:45" x14ac:dyDescent="0.25">
      <c r="A106" s="1" t="s">
        <v>150</v>
      </c>
      <c r="B106" s="1" t="s">
        <v>37</v>
      </c>
      <c r="C106" s="1">
        <v>105.149</v>
      </c>
      <c r="D106" s="1">
        <v>0.72</v>
      </c>
      <c r="E106" s="1">
        <v>91.513000000000005</v>
      </c>
      <c r="F106" s="1">
        <v>0.51</v>
      </c>
      <c r="G106" s="7">
        <v>1</v>
      </c>
      <c r="H106" s="1">
        <v>40</v>
      </c>
      <c r="I106" s="13" t="s">
        <v>49</v>
      </c>
      <c r="J106" s="1"/>
      <c r="K106" s="1">
        <v>152.9</v>
      </c>
      <c r="L106" s="1">
        <f t="shared" si="29"/>
        <v>-61.387</v>
      </c>
      <c r="M106" s="1"/>
      <c r="N106" s="1"/>
      <c r="O106" s="1">
        <v>118.435712</v>
      </c>
      <c r="P106" s="1">
        <v>-75.555999999999997</v>
      </c>
      <c r="Q106" s="1"/>
      <c r="R106" s="1">
        <f t="shared" si="30"/>
        <v>18.302600000000002</v>
      </c>
      <c r="S106" s="5">
        <v>50</v>
      </c>
      <c r="T106" s="1">
        <f t="shared" si="31"/>
        <v>5.1025380000655645</v>
      </c>
      <c r="U106" s="1">
        <f t="shared" si="32"/>
        <v>2.3706856949285893</v>
      </c>
      <c r="V106" s="1">
        <v>15.167199999999999</v>
      </c>
      <c r="W106" s="1">
        <v>24.976800000000001</v>
      </c>
      <c r="X106" s="1">
        <v>27.531199999999998</v>
      </c>
      <c r="Y106" s="1">
        <v>20.959199999999999</v>
      </c>
      <c r="Z106" s="1">
        <v>21.774000000000001</v>
      </c>
      <c r="AA106" s="1">
        <v>25.6434</v>
      </c>
      <c r="AB106" s="1">
        <v>20.285</v>
      </c>
      <c r="AC106" s="1">
        <v>3.4573999999999998</v>
      </c>
      <c r="AD106" s="1">
        <v>9.8133999999999997</v>
      </c>
      <c r="AE106" s="1">
        <v>30.8186</v>
      </c>
      <c r="AF106" s="1"/>
      <c r="AG106" s="1">
        <f t="shared" si="28"/>
        <v>50</v>
      </c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</row>
    <row r="107" spans="1:45" x14ac:dyDescent="0.25">
      <c r="A107" s="9" t="s">
        <v>151</v>
      </c>
      <c r="B107" s="9" t="s">
        <v>43</v>
      </c>
      <c r="C107" s="9"/>
      <c r="D107" s="9"/>
      <c r="E107" s="9"/>
      <c r="F107" s="9"/>
      <c r="G107" s="10">
        <v>0</v>
      </c>
      <c r="H107" s="9"/>
      <c r="I107" s="9" t="s">
        <v>38</v>
      </c>
      <c r="J107" s="9"/>
      <c r="K107" s="9"/>
      <c r="L107" s="9">
        <f t="shared" si="29"/>
        <v>0</v>
      </c>
      <c r="M107" s="9"/>
      <c r="N107" s="9"/>
      <c r="O107" s="9">
        <v>0</v>
      </c>
      <c r="P107" s="9"/>
      <c r="Q107" s="9"/>
      <c r="R107" s="9">
        <f t="shared" si="30"/>
        <v>0</v>
      </c>
      <c r="S107" s="11"/>
      <c r="T107" s="9" t="e">
        <f t="shared" si="31"/>
        <v>#DIV/0!</v>
      </c>
      <c r="U107" s="9" t="e">
        <f t="shared" si="32"/>
        <v>#DIV/0!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 t="s">
        <v>44</v>
      </c>
      <c r="AG107" s="9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</row>
    <row r="108" spans="1:45" x14ac:dyDescent="0.25">
      <c r="A108" s="9" t="s">
        <v>152</v>
      </c>
      <c r="B108" s="9" t="s">
        <v>37</v>
      </c>
      <c r="C108" s="9"/>
      <c r="D108" s="9"/>
      <c r="E108" s="9"/>
      <c r="F108" s="9"/>
      <c r="G108" s="10">
        <v>0</v>
      </c>
      <c r="H108" s="9"/>
      <c r="I108" s="9" t="s">
        <v>38</v>
      </c>
      <c r="J108" s="9"/>
      <c r="K108" s="9"/>
      <c r="L108" s="9">
        <f t="shared" si="29"/>
        <v>0</v>
      </c>
      <c r="M108" s="9"/>
      <c r="N108" s="9"/>
      <c r="O108" s="9">
        <v>0</v>
      </c>
      <c r="P108" s="9"/>
      <c r="Q108" s="9"/>
      <c r="R108" s="9">
        <f t="shared" si="30"/>
        <v>0</v>
      </c>
      <c r="S108" s="11"/>
      <c r="T108" s="9" t="e">
        <f t="shared" si="31"/>
        <v>#DIV/0!</v>
      </c>
      <c r="U108" s="9" t="e">
        <f t="shared" si="32"/>
        <v>#DIV/0!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 t="s">
        <v>44</v>
      </c>
      <c r="AG108" s="9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</row>
    <row r="109" spans="1:45" x14ac:dyDescent="0.25">
      <c r="A109" s="1" t="s">
        <v>153</v>
      </c>
      <c r="B109" s="1" t="s">
        <v>43</v>
      </c>
      <c r="C109" s="1">
        <v>133</v>
      </c>
      <c r="D109" s="1">
        <v>10</v>
      </c>
      <c r="E109" s="1">
        <v>92</v>
      </c>
      <c r="F109" s="1"/>
      <c r="G109" s="7">
        <v>0.28000000000000003</v>
      </c>
      <c r="H109" s="1">
        <v>40</v>
      </c>
      <c r="I109" s="13" t="s">
        <v>49</v>
      </c>
      <c r="J109" s="1"/>
      <c r="K109" s="1">
        <v>239</v>
      </c>
      <c r="L109" s="1">
        <f t="shared" si="29"/>
        <v>-147</v>
      </c>
      <c r="M109" s="1"/>
      <c r="N109" s="1"/>
      <c r="O109" s="1">
        <v>226.488</v>
      </c>
      <c r="P109" s="1">
        <v>-228</v>
      </c>
      <c r="Q109" s="1"/>
      <c r="R109" s="1">
        <f t="shared" si="30"/>
        <v>18.399999999999999</v>
      </c>
      <c r="S109" s="5">
        <v>100</v>
      </c>
      <c r="T109" s="1">
        <f t="shared" si="31"/>
        <v>5.3526086956521741</v>
      </c>
      <c r="U109" s="1">
        <f t="shared" si="32"/>
        <v>-8.2173913043478292E-2</v>
      </c>
      <c r="V109" s="1">
        <v>41</v>
      </c>
      <c r="W109" s="1">
        <v>43.2</v>
      </c>
      <c r="X109" s="1">
        <v>41</v>
      </c>
      <c r="Y109" s="1">
        <v>34</v>
      </c>
      <c r="Z109" s="1">
        <v>24.2</v>
      </c>
      <c r="AA109" s="1">
        <v>32.6</v>
      </c>
      <c r="AB109" s="1">
        <v>45.6</v>
      </c>
      <c r="AC109" s="1">
        <v>52.8</v>
      </c>
      <c r="AD109" s="1">
        <v>57.2</v>
      </c>
      <c r="AE109" s="1">
        <v>51.4</v>
      </c>
      <c r="AF109" s="1"/>
      <c r="AG109" s="1">
        <f t="shared" ref="AG109:AG128" si="33">G109*S109</f>
        <v>28.000000000000004</v>
      </c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</row>
    <row r="110" spans="1:45" x14ac:dyDescent="0.25">
      <c r="A110" s="1" t="s">
        <v>154</v>
      </c>
      <c r="B110" s="1" t="s">
        <v>43</v>
      </c>
      <c r="C110" s="1">
        <v>131</v>
      </c>
      <c r="D110" s="1">
        <v>2</v>
      </c>
      <c r="E110" s="1">
        <v>138</v>
      </c>
      <c r="F110" s="1">
        <v>1</v>
      </c>
      <c r="G110" s="7">
        <v>0.28000000000000003</v>
      </c>
      <c r="H110" s="1">
        <v>40</v>
      </c>
      <c r="I110" s="13" t="s">
        <v>49</v>
      </c>
      <c r="J110" s="1"/>
      <c r="K110" s="1">
        <v>239</v>
      </c>
      <c r="L110" s="1">
        <f t="shared" si="29"/>
        <v>-101</v>
      </c>
      <c r="M110" s="1"/>
      <c r="N110" s="1"/>
      <c r="O110" s="1">
        <v>283.90800000000007</v>
      </c>
      <c r="P110" s="1">
        <v>-288</v>
      </c>
      <c r="Q110" s="1"/>
      <c r="R110" s="1">
        <f t="shared" si="30"/>
        <v>27.6</v>
      </c>
      <c r="S110" s="5">
        <v>100</v>
      </c>
      <c r="T110" s="1">
        <f t="shared" si="31"/>
        <v>3.5111594202898577</v>
      </c>
      <c r="U110" s="1">
        <f t="shared" si="32"/>
        <v>-0.11202898550724374</v>
      </c>
      <c r="V110" s="1">
        <v>49.6</v>
      </c>
      <c r="W110" s="1">
        <v>46.2</v>
      </c>
      <c r="X110" s="1">
        <v>36</v>
      </c>
      <c r="Y110" s="1">
        <v>21</v>
      </c>
      <c r="Z110" s="1">
        <v>19.399999999999999</v>
      </c>
      <c r="AA110" s="1">
        <v>32.799999999999997</v>
      </c>
      <c r="AB110" s="1">
        <v>43.4</v>
      </c>
      <c r="AC110" s="1">
        <v>46.6</v>
      </c>
      <c r="AD110" s="1">
        <v>24</v>
      </c>
      <c r="AE110" s="1">
        <v>-0.2</v>
      </c>
      <c r="AF110" s="1"/>
      <c r="AG110" s="1">
        <f t="shared" si="33"/>
        <v>28.000000000000004</v>
      </c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</row>
    <row r="111" spans="1:45" x14ac:dyDescent="0.25">
      <c r="A111" s="1" t="s">
        <v>155</v>
      </c>
      <c r="B111" s="1" t="s">
        <v>43</v>
      </c>
      <c r="C111" s="1">
        <v>44</v>
      </c>
      <c r="D111" s="1">
        <v>2</v>
      </c>
      <c r="E111" s="1">
        <v>37</v>
      </c>
      <c r="F111" s="1"/>
      <c r="G111" s="7">
        <v>0.28000000000000003</v>
      </c>
      <c r="H111" s="1">
        <v>40</v>
      </c>
      <c r="I111" s="13" t="s">
        <v>49</v>
      </c>
      <c r="J111" s="1"/>
      <c r="K111" s="1">
        <v>243</v>
      </c>
      <c r="L111" s="1">
        <f t="shared" si="29"/>
        <v>-206</v>
      </c>
      <c r="M111" s="1"/>
      <c r="N111" s="1"/>
      <c r="O111" s="1">
        <v>251.68</v>
      </c>
      <c r="P111" s="1">
        <v>-252</v>
      </c>
      <c r="Q111" s="1"/>
      <c r="R111" s="1">
        <f t="shared" si="30"/>
        <v>7.4</v>
      </c>
      <c r="S111" s="5">
        <v>100</v>
      </c>
      <c r="T111" s="1">
        <f t="shared" si="31"/>
        <v>13.470270270270271</v>
      </c>
      <c r="U111" s="1">
        <f t="shared" si="32"/>
        <v>-4.3243243243242323E-2</v>
      </c>
      <c r="V111" s="1">
        <v>32.6</v>
      </c>
      <c r="W111" s="1">
        <v>47</v>
      </c>
      <c r="X111" s="1">
        <v>37.200000000000003</v>
      </c>
      <c r="Y111" s="1">
        <v>34.799999999999997</v>
      </c>
      <c r="Z111" s="1">
        <v>33.200000000000003</v>
      </c>
      <c r="AA111" s="1">
        <v>37.799999999999997</v>
      </c>
      <c r="AB111" s="1">
        <v>41.6</v>
      </c>
      <c r="AC111" s="1">
        <v>45</v>
      </c>
      <c r="AD111" s="1">
        <v>46</v>
      </c>
      <c r="AE111" s="1">
        <v>43.4</v>
      </c>
      <c r="AF111" s="1"/>
      <c r="AG111" s="1">
        <f t="shared" si="33"/>
        <v>28.000000000000004</v>
      </c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</row>
    <row r="112" spans="1:45" x14ac:dyDescent="0.25">
      <c r="A112" s="1" t="s">
        <v>156</v>
      </c>
      <c r="B112" s="1" t="s">
        <v>43</v>
      </c>
      <c r="C112" s="1">
        <v>66</v>
      </c>
      <c r="D112" s="1">
        <v>72</v>
      </c>
      <c r="E112" s="1">
        <v>42</v>
      </c>
      <c r="F112" s="1">
        <v>100</v>
      </c>
      <c r="G112" s="7">
        <v>0.09</v>
      </c>
      <c r="H112" s="1">
        <v>45</v>
      </c>
      <c r="I112" s="1" t="s">
        <v>38</v>
      </c>
      <c r="J112" s="1"/>
      <c r="K112" s="1">
        <v>48</v>
      </c>
      <c r="L112" s="1">
        <f t="shared" si="29"/>
        <v>-6</v>
      </c>
      <c r="M112" s="1"/>
      <c r="N112" s="1"/>
      <c r="O112" s="1">
        <v>40</v>
      </c>
      <c r="P112" s="1"/>
      <c r="Q112" s="1"/>
      <c r="R112" s="1">
        <f t="shared" si="30"/>
        <v>8.4</v>
      </c>
      <c r="S112" s="5"/>
      <c r="T112" s="1">
        <f t="shared" si="31"/>
        <v>16.666666666666664</v>
      </c>
      <c r="U112" s="1">
        <f t="shared" si="32"/>
        <v>16.666666666666664</v>
      </c>
      <c r="V112" s="1">
        <v>9.4</v>
      </c>
      <c r="W112" s="1">
        <v>10</v>
      </c>
      <c r="X112" s="1">
        <v>5.6</v>
      </c>
      <c r="Y112" s="1">
        <v>2.4</v>
      </c>
      <c r="Z112" s="1">
        <v>3.6</v>
      </c>
      <c r="AA112" s="1">
        <v>8.1999999999999993</v>
      </c>
      <c r="AB112" s="1">
        <v>9.6</v>
      </c>
      <c r="AC112" s="1">
        <v>6.6</v>
      </c>
      <c r="AD112" s="1">
        <v>2.8</v>
      </c>
      <c r="AE112" s="1">
        <v>4.2</v>
      </c>
      <c r="AF112" s="15" t="s">
        <v>178</v>
      </c>
      <c r="AG112" s="1">
        <f t="shared" si="33"/>
        <v>0</v>
      </c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</row>
    <row r="113" spans="1:45" x14ac:dyDescent="0.25">
      <c r="A113" s="1" t="s">
        <v>157</v>
      </c>
      <c r="B113" s="1" t="s">
        <v>37</v>
      </c>
      <c r="C113" s="1">
        <v>155.19200000000001</v>
      </c>
      <c r="D113" s="1"/>
      <c r="E113" s="1">
        <v>59.387999999999998</v>
      </c>
      <c r="F113" s="1">
        <v>94.930999999999997</v>
      </c>
      <c r="G113" s="7">
        <v>1</v>
      </c>
      <c r="H113" s="1">
        <v>60</v>
      </c>
      <c r="I113" s="1" t="s">
        <v>38</v>
      </c>
      <c r="J113" s="1"/>
      <c r="K113" s="1">
        <v>62.5</v>
      </c>
      <c r="L113" s="1">
        <f t="shared" si="29"/>
        <v>-3.1120000000000019</v>
      </c>
      <c r="M113" s="1"/>
      <c r="N113" s="1"/>
      <c r="O113" s="1">
        <v>0</v>
      </c>
      <c r="P113" s="1"/>
      <c r="Q113" s="1"/>
      <c r="R113" s="1">
        <f t="shared" si="30"/>
        <v>11.877599999999999</v>
      </c>
      <c r="S113" s="5">
        <f t="shared" ref="S109:S128" si="34">12*R113-Q113-P113-O113-F113</f>
        <v>47.600199999999987</v>
      </c>
      <c r="T113" s="1">
        <f t="shared" si="31"/>
        <v>12</v>
      </c>
      <c r="U113" s="1">
        <f t="shared" si="32"/>
        <v>7.9924395500774574</v>
      </c>
      <c r="V113" s="1">
        <v>12.359</v>
      </c>
      <c r="W113" s="1">
        <v>9.2641999999999989</v>
      </c>
      <c r="X113" s="1">
        <v>7.4257999999999997</v>
      </c>
      <c r="Y113" s="1">
        <v>8.0817999999999994</v>
      </c>
      <c r="Z113" s="1">
        <v>7.9066000000000001</v>
      </c>
      <c r="AA113" s="1">
        <v>7.5061999999999998</v>
      </c>
      <c r="AB113" s="1">
        <v>11.083399999999999</v>
      </c>
      <c r="AC113" s="1">
        <v>18.972999999999999</v>
      </c>
      <c r="AD113" s="1">
        <v>21.614599999999999</v>
      </c>
      <c r="AE113" s="1">
        <v>13.019600000000001</v>
      </c>
      <c r="AF113" s="1"/>
      <c r="AG113" s="1">
        <f t="shared" si="33"/>
        <v>47.600199999999987</v>
      </c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</row>
    <row r="114" spans="1:45" x14ac:dyDescent="0.25">
      <c r="A114" s="1" t="s">
        <v>158</v>
      </c>
      <c r="B114" s="1" t="s">
        <v>37</v>
      </c>
      <c r="C114" s="1">
        <v>99.858999999999995</v>
      </c>
      <c r="D114" s="1">
        <v>52.292000000000002</v>
      </c>
      <c r="E114" s="1">
        <v>94.8</v>
      </c>
      <c r="F114" s="1">
        <v>47.354999999999997</v>
      </c>
      <c r="G114" s="7">
        <v>1</v>
      </c>
      <c r="H114" s="1">
        <v>50</v>
      </c>
      <c r="I114" s="1" t="s">
        <v>38</v>
      </c>
      <c r="J114" s="1"/>
      <c r="K114" s="1">
        <v>105.5</v>
      </c>
      <c r="L114" s="1">
        <f t="shared" si="29"/>
        <v>-10.700000000000003</v>
      </c>
      <c r="M114" s="1"/>
      <c r="N114" s="1"/>
      <c r="O114" s="1">
        <v>20.598000000000042</v>
      </c>
      <c r="P114" s="1"/>
      <c r="Q114" s="1"/>
      <c r="R114" s="1">
        <f t="shared" si="30"/>
        <v>18.96</v>
      </c>
      <c r="S114" s="5">
        <f>11*R114-Q114-P114-O114-F114</f>
        <v>140.60699999999997</v>
      </c>
      <c r="T114" s="1">
        <f t="shared" si="31"/>
        <v>11</v>
      </c>
      <c r="U114" s="1">
        <f t="shared" si="32"/>
        <v>3.5840189873417736</v>
      </c>
      <c r="V114" s="1">
        <v>21.4636</v>
      </c>
      <c r="W114" s="1">
        <v>13.702</v>
      </c>
      <c r="X114" s="1">
        <v>12.7056</v>
      </c>
      <c r="Y114" s="1">
        <v>13.9284</v>
      </c>
      <c r="Z114" s="1">
        <v>8.4375999999999998</v>
      </c>
      <c r="AA114" s="1">
        <v>7.9498000000000006</v>
      </c>
      <c r="AB114" s="1">
        <v>13.4292</v>
      </c>
      <c r="AC114" s="1">
        <v>21.123000000000001</v>
      </c>
      <c r="AD114" s="1">
        <v>25.892800000000001</v>
      </c>
      <c r="AE114" s="1">
        <v>21.508199999999999</v>
      </c>
      <c r="AF114" s="1"/>
      <c r="AG114" s="1">
        <f t="shared" si="33"/>
        <v>140.60699999999997</v>
      </c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</row>
    <row r="115" spans="1:45" x14ac:dyDescent="0.25">
      <c r="A115" s="1" t="s">
        <v>159</v>
      </c>
      <c r="B115" s="1" t="s">
        <v>43</v>
      </c>
      <c r="C115" s="1">
        <v>57</v>
      </c>
      <c r="D115" s="1">
        <v>72</v>
      </c>
      <c r="E115" s="1">
        <v>54</v>
      </c>
      <c r="F115" s="1">
        <v>85</v>
      </c>
      <c r="G115" s="7">
        <v>0.09</v>
      </c>
      <c r="H115" s="1">
        <v>45</v>
      </c>
      <c r="I115" s="1" t="s">
        <v>38</v>
      </c>
      <c r="J115" s="1"/>
      <c r="K115" s="1">
        <v>44</v>
      </c>
      <c r="L115" s="1">
        <f t="shared" si="29"/>
        <v>10</v>
      </c>
      <c r="M115" s="1"/>
      <c r="N115" s="1"/>
      <c r="O115" s="1">
        <v>13.600000000000019</v>
      </c>
      <c r="P115" s="1"/>
      <c r="Q115" s="1"/>
      <c r="R115" s="1">
        <f t="shared" si="30"/>
        <v>10.8</v>
      </c>
      <c r="S115" s="5">
        <f t="shared" si="34"/>
        <v>31</v>
      </c>
      <c r="T115" s="1">
        <f t="shared" si="31"/>
        <v>12.000000000000002</v>
      </c>
      <c r="U115" s="1">
        <f t="shared" si="32"/>
        <v>9.1296296296296315</v>
      </c>
      <c r="V115" s="1">
        <v>11</v>
      </c>
      <c r="W115" s="1">
        <v>11.8</v>
      </c>
      <c r="X115" s="1">
        <v>6</v>
      </c>
      <c r="Y115" s="1">
        <v>3.4</v>
      </c>
      <c r="Z115" s="1">
        <v>6.2</v>
      </c>
      <c r="AA115" s="1">
        <v>9.4</v>
      </c>
      <c r="AB115" s="1">
        <v>6</v>
      </c>
      <c r="AC115" s="1">
        <v>3.8</v>
      </c>
      <c r="AD115" s="1">
        <v>5.2</v>
      </c>
      <c r="AE115" s="1">
        <v>5.6</v>
      </c>
      <c r="AF115" s="1" t="s">
        <v>142</v>
      </c>
      <c r="AG115" s="1">
        <f t="shared" si="33"/>
        <v>2.79</v>
      </c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</row>
    <row r="116" spans="1:45" x14ac:dyDescent="0.25">
      <c r="A116" s="1" t="s">
        <v>160</v>
      </c>
      <c r="B116" s="1" t="s">
        <v>43</v>
      </c>
      <c r="C116" s="1">
        <v>4</v>
      </c>
      <c r="D116" s="1">
        <v>71</v>
      </c>
      <c r="E116" s="1">
        <v>29</v>
      </c>
      <c r="F116" s="1">
        <v>51</v>
      </c>
      <c r="G116" s="7">
        <v>0.09</v>
      </c>
      <c r="H116" s="1">
        <v>45</v>
      </c>
      <c r="I116" s="1" t="s">
        <v>38</v>
      </c>
      <c r="J116" s="1"/>
      <c r="K116" s="1">
        <v>50</v>
      </c>
      <c r="L116" s="1">
        <f t="shared" si="29"/>
        <v>-21</v>
      </c>
      <c r="M116" s="1"/>
      <c r="N116" s="1"/>
      <c r="O116" s="1">
        <v>85.800000000000011</v>
      </c>
      <c r="P116" s="1"/>
      <c r="Q116" s="1"/>
      <c r="R116" s="1">
        <f t="shared" si="30"/>
        <v>5.8</v>
      </c>
      <c r="S116" s="5"/>
      <c r="T116" s="1">
        <f t="shared" si="31"/>
        <v>23.586206896551726</v>
      </c>
      <c r="U116" s="1">
        <f t="shared" si="32"/>
        <v>23.586206896551726</v>
      </c>
      <c r="V116" s="1">
        <v>10</v>
      </c>
      <c r="W116" s="1">
        <v>13.4</v>
      </c>
      <c r="X116" s="1">
        <v>7.2</v>
      </c>
      <c r="Y116" s="1">
        <v>5.6</v>
      </c>
      <c r="Z116" s="1">
        <v>5.6</v>
      </c>
      <c r="AA116" s="1">
        <v>7.8</v>
      </c>
      <c r="AB116" s="1">
        <v>6</v>
      </c>
      <c r="AC116" s="1">
        <v>3.2</v>
      </c>
      <c r="AD116" s="1">
        <v>3.8</v>
      </c>
      <c r="AE116" s="1">
        <v>6.2</v>
      </c>
      <c r="AF116" s="1" t="s">
        <v>142</v>
      </c>
      <c r="AG116" s="1">
        <f t="shared" si="33"/>
        <v>0</v>
      </c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</row>
    <row r="117" spans="1:45" x14ac:dyDescent="0.25">
      <c r="A117" s="1" t="s">
        <v>161</v>
      </c>
      <c r="B117" s="1" t="s">
        <v>37</v>
      </c>
      <c r="C117" s="1">
        <v>96.287999999999997</v>
      </c>
      <c r="D117" s="1">
        <v>42.622</v>
      </c>
      <c r="E117" s="1">
        <v>102.858</v>
      </c>
      <c r="F117" s="1">
        <v>33.277000000000001</v>
      </c>
      <c r="G117" s="7">
        <v>1</v>
      </c>
      <c r="H117" s="1">
        <v>60</v>
      </c>
      <c r="I117" s="1" t="s">
        <v>38</v>
      </c>
      <c r="J117" s="1"/>
      <c r="K117" s="1">
        <v>98.9</v>
      </c>
      <c r="L117" s="1">
        <f t="shared" si="29"/>
        <v>3.9579999999999984</v>
      </c>
      <c r="M117" s="1"/>
      <c r="N117" s="1"/>
      <c r="O117" s="1">
        <v>53.730400000000053</v>
      </c>
      <c r="P117" s="1"/>
      <c r="Q117" s="1"/>
      <c r="R117" s="1">
        <f t="shared" si="30"/>
        <v>20.5716</v>
      </c>
      <c r="S117" s="5">
        <f>11*R117-Q117-P117-O117-F117</f>
        <v>139.28019999999992</v>
      </c>
      <c r="T117" s="1">
        <f t="shared" si="31"/>
        <v>10.999999999999998</v>
      </c>
      <c r="U117" s="1">
        <f t="shared" si="32"/>
        <v>4.2294911431293647</v>
      </c>
      <c r="V117" s="1">
        <v>16.994599999999998</v>
      </c>
      <c r="W117" s="1">
        <v>15.692399999999999</v>
      </c>
      <c r="X117" s="1">
        <v>14.6084</v>
      </c>
      <c r="Y117" s="1">
        <v>7.5492000000000008</v>
      </c>
      <c r="Z117" s="1">
        <v>5.8979999999999997</v>
      </c>
      <c r="AA117" s="1">
        <v>11.662599999999999</v>
      </c>
      <c r="AB117" s="1">
        <v>14.193199999999999</v>
      </c>
      <c r="AC117" s="1">
        <v>18.148800000000001</v>
      </c>
      <c r="AD117" s="1">
        <v>14.731400000000001</v>
      </c>
      <c r="AE117" s="1">
        <v>11.702199999999999</v>
      </c>
      <c r="AF117" s="1"/>
      <c r="AG117" s="1">
        <f t="shared" si="33"/>
        <v>139.28019999999992</v>
      </c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</row>
    <row r="118" spans="1:45" x14ac:dyDescent="0.25">
      <c r="A118" s="1" t="s">
        <v>162</v>
      </c>
      <c r="B118" s="1" t="s">
        <v>37</v>
      </c>
      <c r="C118" s="1">
        <v>99.981999999999999</v>
      </c>
      <c r="D118" s="1">
        <v>125.696</v>
      </c>
      <c r="E118" s="1">
        <v>99.923000000000002</v>
      </c>
      <c r="F118" s="1">
        <v>104.789</v>
      </c>
      <c r="G118" s="7">
        <v>1</v>
      </c>
      <c r="H118" s="1">
        <v>60</v>
      </c>
      <c r="I118" s="1" t="s">
        <v>38</v>
      </c>
      <c r="J118" s="1"/>
      <c r="K118" s="1">
        <v>110</v>
      </c>
      <c r="L118" s="1">
        <f t="shared" si="29"/>
        <v>-10.076999999999998</v>
      </c>
      <c r="M118" s="1"/>
      <c r="N118" s="1"/>
      <c r="O118" s="1">
        <v>135.60924800000001</v>
      </c>
      <c r="P118" s="1"/>
      <c r="Q118" s="1"/>
      <c r="R118" s="1">
        <f t="shared" si="30"/>
        <v>19.9846</v>
      </c>
      <c r="S118" s="5"/>
      <c r="T118" s="1">
        <f t="shared" si="31"/>
        <v>12.029174864645778</v>
      </c>
      <c r="U118" s="1">
        <f t="shared" si="32"/>
        <v>12.029174864645778</v>
      </c>
      <c r="V118" s="1">
        <v>26.598199999999999</v>
      </c>
      <c r="W118" s="1">
        <v>30.647200000000002</v>
      </c>
      <c r="X118" s="1">
        <v>27.384</v>
      </c>
      <c r="Y118" s="1">
        <v>11.255599999999999</v>
      </c>
      <c r="Z118" s="1">
        <v>13.8432</v>
      </c>
      <c r="AA118" s="1">
        <v>24.488800000000001</v>
      </c>
      <c r="AB118" s="1">
        <v>27.658799999999999</v>
      </c>
      <c r="AC118" s="1">
        <v>32.487400000000001</v>
      </c>
      <c r="AD118" s="1">
        <v>32.491</v>
      </c>
      <c r="AE118" s="1">
        <v>33.539200000000001</v>
      </c>
      <c r="AF118" s="1"/>
      <c r="AG118" s="1">
        <f t="shared" si="33"/>
        <v>0</v>
      </c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</row>
    <row r="119" spans="1:45" x14ac:dyDescent="0.25">
      <c r="A119" s="1" t="s">
        <v>163</v>
      </c>
      <c r="B119" s="1" t="s">
        <v>37</v>
      </c>
      <c r="C119" s="1">
        <v>48.972999999999999</v>
      </c>
      <c r="D119" s="1">
        <v>37.750999999999998</v>
      </c>
      <c r="E119" s="1">
        <v>27.091999999999999</v>
      </c>
      <c r="F119" s="1">
        <v>55.319000000000003</v>
      </c>
      <c r="G119" s="7">
        <v>1</v>
      </c>
      <c r="H119" s="1">
        <v>60</v>
      </c>
      <c r="I119" s="1" t="s">
        <v>38</v>
      </c>
      <c r="J119" s="1"/>
      <c r="K119" s="1">
        <v>32.9</v>
      </c>
      <c r="L119" s="1">
        <f t="shared" si="29"/>
        <v>-5.8079999999999998</v>
      </c>
      <c r="M119" s="1"/>
      <c r="N119" s="1"/>
      <c r="O119" s="1">
        <v>0</v>
      </c>
      <c r="P119" s="1"/>
      <c r="Q119" s="1"/>
      <c r="R119" s="1">
        <f t="shared" si="30"/>
        <v>5.4184000000000001</v>
      </c>
      <c r="S119" s="5">
        <f t="shared" si="34"/>
        <v>9.7018000000000058</v>
      </c>
      <c r="T119" s="1">
        <f t="shared" si="31"/>
        <v>12.000000000000002</v>
      </c>
      <c r="U119" s="1">
        <f t="shared" si="32"/>
        <v>10.209471430680644</v>
      </c>
      <c r="V119" s="1">
        <v>5.4029999999999996</v>
      </c>
      <c r="W119" s="1">
        <v>3.9361999999999999</v>
      </c>
      <c r="X119" s="1">
        <v>5.5831999999999997</v>
      </c>
      <c r="Y119" s="1">
        <v>5.3019999999999996</v>
      </c>
      <c r="Z119" s="1">
        <v>3.3967999999999998</v>
      </c>
      <c r="AA119" s="1">
        <v>6.5150000000000006</v>
      </c>
      <c r="AB119" s="1">
        <v>7.4676</v>
      </c>
      <c r="AC119" s="1">
        <v>6.0911999999999997</v>
      </c>
      <c r="AD119" s="1">
        <v>8.3735999999999997</v>
      </c>
      <c r="AE119" s="1">
        <v>6.7864000000000004</v>
      </c>
      <c r="AF119" s="1"/>
      <c r="AG119" s="1">
        <f t="shared" si="33"/>
        <v>9.7018000000000058</v>
      </c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</row>
    <row r="120" spans="1:45" x14ac:dyDescent="0.25">
      <c r="A120" s="1" t="s">
        <v>164</v>
      </c>
      <c r="B120" s="1" t="s">
        <v>37</v>
      </c>
      <c r="C120" s="1">
        <v>1756.7329999999999</v>
      </c>
      <c r="D120" s="1">
        <v>280.30599999999998</v>
      </c>
      <c r="E120" s="1">
        <v>971.73099999999999</v>
      </c>
      <c r="F120" s="1">
        <v>972.70299999999997</v>
      </c>
      <c r="G120" s="7">
        <v>1</v>
      </c>
      <c r="H120" s="1">
        <v>60</v>
      </c>
      <c r="I120" s="1" t="s">
        <v>38</v>
      </c>
      <c r="J120" s="1"/>
      <c r="K120" s="1">
        <v>1019</v>
      </c>
      <c r="L120" s="1">
        <f t="shared" si="29"/>
        <v>-47.269000000000005</v>
      </c>
      <c r="M120" s="1"/>
      <c r="N120" s="1"/>
      <c r="O120" s="1">
        <v>0</v>
      </c>
      <c r="P120" s="1"/>
      <c r="Q120" s="1"/>
      <c r="R120" s="1">
        <f t="shared" si="30"/>
        <v>194.34620000000001</v>
      </c>
      <c r="S120" s="5">
        <f t="shared" si="34"/>
        <v>1359.4514000000004</v>
      </c>
      <c r="T120" s="1">
        <f t="shared" si="31"/>
        <v>12.000000000000002</v>
      </c>
      <c r="U120" s="1">
        <f t="shared" si="32"/>
        <v>5.0050013841279117</v>
      </c>
      <c r="V120" s="1">
        <v>173.6292</v>
      </c>
      <c r="W120" s="1">
        <v>165.13419999999999</v>
      </c>
      <c r="X120" s="1">
        <v>149.19040000000001</v>
      </c>
      <c r="Y120" s="1">
        <v>130.2586</v>
      </c>
      <c r="Z120" s="1">
        <v>161.93</v>
      </c>
      <c r="AA120" s="1">
        <v>151.02940000000001</v>
      </c>
      <c r="AB120" s="1">
        <v>117.4376</v>
      </c>
      <c r="AC120" s="1">
        <v>168.51339999999999</v>
      </c>
      <c r="AD120" s="1">
        <v>198.84460000000001</v>
      </c>
      <c r="AE120" s="1">
        <v>196.62360000000001</v>
      </c>
      <c r="AF120" s="1"/>
      <c r="AG120" s="1">
        <f t="shared" si="33"/>
        <v>1359.4514000000004</v>
      </c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</row>
    <row r="121" spans="1:45" x14ac:dyDescent="0.25">
      <c r="A121" s="1" t="s">
        <v>165</v>
      </c>
      <c r="B121" s="1" t="s">
        <v>43</v>
      </c>
      <c r="C121" s="1">
        <v>2</v>
      </c>
      <c r="D121" s="1">
        <v>144</v>
      </c>
      <c r="E121" s="1"/>
      <c r="F121" s="1">
        <v>106</v>
      </c>
      <c r="G121" s="7">
        <v>0.25</v>
      </c>
      <c r="H121" s="1"/>
      <c r="I121" s="13" t="s">
        <v>49</v>
      </c>
      <c r="J121" s="1"/>
      <c r="K121" s="1">
        <v>5</v>
      </c>
      <c r="L121" s="1">
        <f t="shared" si="29"/>
        <v>-5</v>
      </c>
      <c r="M121" s="1"/>
      <c r="N121" s="1"/>
      <c r="O121" s="1">
        <v>80</v>
      </c>
      <c r="P121" s="1">
        <v>-84</v>
      </c>
      <c r="Q121" s="1"/>
      <c r="R121" s="1">
        <f t="shared" si="30"/>
        <v>0</v>
      </c>
      <c r="S121" s="5">
        <v>50</v>
      </c>
      <c r="T121" s="1" t="e">
        <f t="shared" si="31"/>
        <v>#DIV/0!</v>
      </c>
      <c r="U121" s="1" t="e">
        <f t="shared" si="32"/>
        <v>#DIV/0!</v>
      </c>
      <c r="V121" s="1">
        <v>0</v>
      </c>
      <c r="W121" s="1">
        <v>1.8</v>
      </c>
      <c r="X121" s="1">
        <v>8.1999999999999993</v>
      </c>
      <c r="Y121" s="1">
        <v>40.200000000000003</v>
      </c>
      <c r="Z121" s="1">
        <v>33.799999999999997</v>
      </c>
      <c r="AA121" s="1">
        <v>0</v>
      </c>
      <c r="AB121" s="1">
        <v>0</v>
      </c>
      <c r="AC121" s="1">
        <v>0</v>
      </c>
      <c r="AD121" s="1">
        <v>0.05</v>
      </c>
      <c r="AE121" s="1">
        <v>0</v>
      </c>
      <c r="AF121" s="1" t="s">
        <v>166</v>
      </c>
      <c r="AG121" s="1">
        <f t="shared" si="33"/>
        <v>12.5</v>
      </c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</row>
    <row r="122" spans="1:45" x14ac:dyDescent="0.25">
      <c r="A122" s="1" t="s">
        <v>167</v>
      </c>
      <c r="B122" s="1" t="s">
        <v>43</v>
      </c>
      <c r="C122" s="1">
        <v>68</v>
      </c>
      <c r="D122" s="1"/>
      <c r="E122" s="12">
        <f>0+E129</f>
        <v>21</v>
      </c>
      <c r="F122" s="12">
        <f>61+F129</f>
        <v>26</v>
      </c>
      <c r="G122" s="7">
        <v>0.32500000000000001</v>
      </c>
      <c r="H122" s="1"/>
      <c r="I122" s="13" t="s">
        <v>49</v>
      </c>
      <c r="J122" s="1"/>
      <c r="K122" s="1"/>
      <c r="L122" s="1">
        <f t="shared" si="29"/>
        <v>21</v>
      </c>
      <c r="M122" s="1"/>
      <c r="N122" s="1"/>
      <c r="O122" s="1">
        <v>100</v>
      </c>
      <c r="P122" s="1"/>
      <c r="Q122" s="1"/>
      <c r="R122" s="1">
        <f t="shared" si="30"/>
        <v>4.2</v>
      </c>
      <c r="S122" s="5"/>
      <c r="T122" s="1">
        <f t="shared" si="31"/>
        <v>30</v>
      </c>
      <c r="U122" s="1">
        <f t="shared" si="32"/>
        <v>30</v>
      </c>
      <c r="V122" s="1">
        <v>4.2</v>
      </c>
      <c r="W122" s="1">
        <v>5.8</v>
      </c>
      <c r="X122" s="1">
        <v>7.2</v>
      </c>
      <c r="Y122" s="1">
        <v>21.2</v>
      </c>
      <c r="Z122" s="1">
        <v>15.8</v>
      </c>
      <c r="AA122" s="1">
        <v>0</v>
      </c>
      <c r="AB122" s="1">
        <v>0</v>
      </c>
      <c r="AC122" s="1">
        <v>0</v>
      </c>
      <c r="AD122" s="1">
        <v>6.5000000000000002E-2</v>
      </c>
      <c r="AE122" s="1">
        <v>0</v>
      </c>
      <c r="AF122" s="1" t="s">
        <v>166</v>
      </c>
      <c r="AG122" s="1">
        <f t="shared" si="33"/>
        <v>0</v>
      </c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</row>
    <row r="123" spans="1:45" x14ac:dyDescent="0.25">
      <c r="A123" s="1" t="s">
        <v>168</v>
      </c>
      <c r="B123" s="1" t="s">
        <v>43</v>
      </c>
      <c r="C123" s="1"/>
      <c r="D123" s="1">
        <v>612</v>
      </c>
      <c r="E123" s="1">
        <v>148</v>
      </c>
      <c r="F123" s="1">
        <v>412</v>
      </c>
      <c r="G123" s="7">
        <v>0.25</v>
      </c>
      <c r="H123" s="1"/>
      <c r="I123" s="1" t="s">
        <v>38</v>
      </c>
      <c r="J123" s="1"/>
      <c r="K123" s="1">
        <v>196</v>
      </c>
      <c r="L123" s="1">
        <f t="shared" si="29"/>
        <v>-48</v>
      </c>
      <c r="M123" s="1"/>
      <c r="N123" s="1"/>
      <c r="O123" s="1">
        <v>0</v>
      </c>
      <c r="P123" s="1"/>
      <c r="Q123" s="1"/>
      <c r="R123" s="1">
        <f t="shared" si="30"/>
        <v>29.6</v>
      </c>
      <c r="S123" s="5"/>
      <c r="T123" s="1">
        <f t="shared" si="31"/>
        <v>13.918918918918918</v>
      </c>
      <c r="U123" s="1">
        <f t="shared" si="32"/>
        <v>13.918918918918918</v>
      </c>
      <c r="V123" s="1">
        <v>1.2</v>
      </c>
      <c r="W123" s="1">
        <v>1.8</v>
      </c>
      <c r="X123" s="1">
        <v>8</v>
      </c>
      <c r="Y123" s="1">
        <v>40.4</v>
      </c>
      <c r="Z123" s="1">
        <v>34.4</v>
      </c>
      <c r="AA123" s="1">
        <v>0</v>
      </c>
      <c r="AB123" s="1">
        <v>0</v>
      </c>
      <c r="AC123" s="1">
        <v>0</v>
      </c>
      <c r="AD123" s="1">
        <v>0.05</v>
      </c>
      <c r="AE123" s="1">
        <v>0</v>
      </c>
      <c r="AF123" s="1" t="s">
        <v>166</v>
      </c>
      <c r="AG123" s="1">
        <f t="shared" si="33"/>
        <v>0</v>
      </c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</row>
    <row r="124" spans="1:45" x14ac:dyDescent="0.25">
      <c r="A124" s="1" t="s">
        <v>169</v>
      </c>
      <c r="B124" s="1" t="s">
        <v>43</v>
      </c>
      <c r="C124" s="1">
        <v>379</v>
      </c>
      <c r="D124" s="1">
        <v>16.434999999999999</v>
      </c>
      <c r="E124" s="1">
        <v>276</v>
      </c>
      <c r="F124" s="1">
        <v>53</v>
      </c>
      <c r="G124" s="7">
        <v>0.3</v>
      </c>
      <c r="H124" s="1">
        <v>40</v>
      </c>
      <c r="I124" s="13" t="s">
        <v>49</v>
      </c>
      <c r="J124" s="1"/>
      <c r="K124" s="1">
        <v>327</v>
      </c>
      <c r="L124" s="1">
        <f t="shared" si="29"/>
        <v>-51</v>
      </c>
      <c r="M124" s="1"/>
      <c r="N124" s="1"/>
      <c r="O124" s="1">
        <v>60</v>
      </c>
      <c r="P124" s="1">
        <v>-60</v>
      </c>
      <c r="Q124" s="1"/>
      <c r="R124" s="1">
        <f t="shared" si="30"/>
        <v>55.2</v>
      </c>
      <c r="S124" s="5">
        <v>80</v>
      </c>
      <c r="T124" s="1">
        <f t="shared" si="31"/>
        <v>2.4094202898550723</v>
      </c>
      <c r="U124" s="1">
        <f t="shared" si="32"/>
        <v>0.96014492753623182</v>
      </c>
      <c r="V124" s="1">
        <v>43.487000000000002</v>
      </c>
      <c r="W124" s="1">
        <v>36.4</v>
      </c>
      <c r="X124" s="1">
        <v>33.200000000000003</v>
      </c>
      <c r="Y124" s="1">
        <v>32.200000000000003</v>
      </c>
      <c r="Z124" s="1">
        <v>32</v>
      </c>
      <c r="AA124" s="1">
        <v>44.4</v>
      </c>
      <c r="AB124" s="1">
        <v>38.4</v>
      </c>
      <c r="AC124" s="1">
        <v>19.399999999999999</v>
      </c>
      <c r="AD124" s="1">
        <v>29</v>
      </c>
      <c r="AE124" s="1">
        <v>46.8</v>
      </c>
      <c r="AF124" s="1"/>
      <c r="AG124" s="1">
        <f t="shared" si="33"/>
        <v>24</v>
      </c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</row>
    <row r="125" spans="1:45" x14ac:dyDescent="0.25">
      <c r="A125" s="1" t="s">
        <v>170</v>
      </c>
      <c r="B125" s="1" t="s">
        <v>43</v>
      </c>
      <c r="C125" s="1">
        <v>57</v>
      </c>
      <c r="D125" s="1">
        <v>2</v>
      </c>
      <c r="E125" s="1">
        <v>47</v>
      </c>
      <c r="F125" s="1">
        <v>3</v>
      </c>
      <c r="G125" s="7">
        <v>0.3</v>
      </c>
      <c r="H125" s="1">
        <v>40</v>
      </c>
      <c r="I125" s="13" t="s">
        <v>49</v>
      </c>
      <c r="J125" s="1"/>
      <c r="K125" s="1">
        <v>163</v>
      </c>
      <c r="L125" s="1">
        <f t="shared" si="29"/>
        <v>-116</v>
      </c>
      <c r="M125" s="1"/>
      <c r="N125" s="1"/>
      <c r="O125" s="1">
        <v>80</v>
      </c>
      <c r="P125" s="1">
        <v>-84</v>
      </c>
      <c r="Q125" s="1"/>
      <c r="R125" s="1">
        <f t="shared" si="30"/>
        <v>9.4</v>
      </c>
      <c r="S125" s="5">
        <v>60</v>
      </c>
      <c r="T125" s="1">
        <f t="shared" si="31"/>
        <v>6.2765957446808507</v>
      </c>
      <c r="U125" s="1">
        <f t="shared" si="32"/>
        <v>-0.10638297872340426</v>
      </c>
      <c r="V125" s="1">
        <v>19</v>
      </c>
      <c r="W125" s="1">
        <v>30.6</v>
      </c>
      <c r="X125" s="1">
        <v>31</v>
      </c>
      <c r="Y125" s="1">
        <v>25.2</v>
      </c>
      <c r="Z125" s="1">
        <v>24.6</v>
      </c>
      <c r="AA125" s="1">
        <v>23.6</v>
      </c>
      <c r="AB125" s="1">
        <v>18.399999999999999</v>
      </c>
      <c r="AC125" s="1">
        <v>7.4</v>
      </c>
      <c r="AD125" s="1">
        <v>13.2</v>
      </c>
      <c r="AE125" s="1">
        <v>39.200000000000003</v>
      </c>
      <c r="AF125" s="1"/>
      <c r="AG125" s="1">
        <f t="shared" si="33"/>
        <v>18</v>
      </c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</row>
    <row r="126" spans="1:45" x14ac:dyDescent="0.25">
      <c r="A126" s="1" t="s">
        <v>171</v>
      </c>
      <c r="B126" s="1" t="s">
        <v>37</v>
      </c>
      <c r="C126" s="1">
        <v>31.56</v>
      </c>
      <c r="D126" s="1"/>
      <c r="E126" s="1">
        <v>23.277999999999999</v>
      </c>
      <c r="F126" s="1">
        <v>8.31</v>
      </c>
      <c r="G126" s="7">
        <v>1</v>
      </c>
      <c r="H126" s="1">
        <v>50</v>
      </c>
      <c r="I126" s="1" t="s">
        <v>38</v>
      </c>
      <c r="J126" s="1"/>
      <c r="K126" s="1">
        <v>27.9</v>
      </c>
      <c r="L126" s="1">
        <f t="shared" si="29"/>
        <v>-4.6219999999999999</v>
      </c>
      <c r="M126" s="1"/>
      <c r="N126" s="1"/>
      <c r="O126" s="1">
        <v>0</v>
      </c>
      <c r="P126" s="1"/>
      <c r="Q126" s="1"/>
      <c r="R126" s="1">
        <f t="shared" si="30"/>
        <v>4.6555999999999997</v>
      </c>
      <c r="S126" s="5">
        <f>9*R126-Q126-P126-O126-F126</f>
        <v>33.590399999999995</v>
      </c>
      <c r="T126" s="1">
        <f t="shared" si="31"/>
        <v>9</v>
      </c>
      <c r="U126" s="1">
        <f t="shared" si="32"/>
        <v>1.7849471604089699</v>
      </c>
      <c r="V126" s="1">
        <v>3.5312000000000001</v>
      </c>
      <c r="W126" s="1">
        <v>1.0506</v>
      </c>
      <c r="X126" s="1">
        <v>1.6064000000000001</v>
      </c>
      <c r="Y126" s="1">
        <v>2.1257999999999999</v>
      </c>
      <c r="Z126" s="1">
        <v>2.6814</v>
      </c>
      <c r="AA126" s="1">
        <v>3.0156000000000001</v>
      </c>
      <c r="AB126" s="1">
        <v>2.7410000000000001</v>
      </c>
      <c r="AC126" s="1">
        <v>3.8424</v>
      </c>
      <c r="AD126" s="1">
        <v>3.2942</v>
      </c>
      <c r="AE126" s="1">
        <v>3.3081999999999998</v>
      </c>
      <c r="AF126" s="1"/>
      <c r="AG126" s="1">
        <f t="shared" si="33"/>
        <v>33.590399999999995</v>
      </c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</row>
    <row r="127" spans="1:45" x14ac:dyDescent="0.25">
      <c r="A127" s="1" t="s">
        <v>172</v>
      </c>
      <c r="B127" s="1" t="s">
        <v>43</v>
      </c>
      <c r="C127" s="1">
        <v>7</v>
      </c>
      <c r="D127" s="1">
        <v>174</v>
      </c>
      <c r="E127" s="1">
        <v>89</v>
      </c>
      <c r="F127" s="1">
        <v>61</v>
      </c>
      <c r="G127" s="7">
        <v>0.3</v>
      </c>
      <c r="H127" s="1">
        <v>40</v>
      </c>
      <c r="I127" s="13" t="s">
        <v>49</v>
      </c>
      <c r="J127" s="1"/>
      <c r="K127" s="1">
        <v>160</v>
      </c>
      <c r="L127" s="1">
        <f t="shared" si="29"/>
        <v>-71</v>
      </c>
      <c r="M127" s="1"/>
      <c r="N127" s="1"/>
      <c r="O127" s="1">
        <v>40</v>
      </c>
      <c r="P127" s="1">
        <v>-42</v>
      </c>
      <c r="Q127" s="1"/>
      <c r="R127" s="1">
        <f t="shared" si="30"/>
        <v>17.8</v>
      </c>
      <c r="S127" s="5">
        <v>50</v>
      </c>
      <c r="T127" s="1">
        <f t="shared" si="31"/>
        <v>6.1235955056179776</v>
      </c>
      <c r="U127" s="1">
        <f t="shared" si="32"/>
        <v>3.3146067415730336</v>
      </c>
      <c r="V127" s="1">
        <v>5.4</v>
      </c>
      <c r="W127" s="1">
        <v>17.8</v>
      </c>
      <c r="X127" s="1">
        <v>18.600000000000001</v>
      </c>
      <c r="Y127" s="1">
        <v>19.600000000000001</v>
      </c>
      <c r="Z127" s="1">
        <v>19.8</v>
      </c>
      <c r="AA127" s="1">
        <v>17.600000000000001</v>
      </c>
      <c r="AB127" s="1">
        <v>21.6</v>
      </c>
      <c r="AC127" s="1">
        <v>22.8</v>
      </c>
      <c r="AD127" s="1">
        <v>13.4</v>
      </c>
      <c r="AE127" s="1">
        <v>-0.8</v>
      </c>
      <c r="AF127" s="1"/>
      <c r="AG127" s="1">
        <f t="shared" si="33"/>
        <v>15</v>
      </c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</row>
    <row r="128" spans="1:45" x14ac:dyDescent="0.25">
      <c r="A128" s="1" t="s">
        <v>173</v>
      </c>
      <c r="B128" s="1" t="s">
        <v>43</v>
      </c>
      <c r="C128" s="1">
        <v>50</v>
      </c>
      <c r="D128" s="1">
        <v>31</v>
      </c>
      <c r="E128" s="1">
        <v>33</v>
      </c>
      <c r="F128" s="1">
        <v>34</v>
      </c>
      <c r="G128" s="7">
        <v>0.12</v>
      </c>
      <c r="H128" s="1">
        <v>45</v>
      </c>
      <c r="I128" s="1" t="s">
        <v>38</v>
      </c>
      <c r="J128" s="1"/>
      <c r="K128" s="1">
        <v>53</v>
      </c>
      <c r="L128" s="1">
        <f t="shared" si="29"/>
        <v>-20</v>
      </c>
      <c r="M128" s="1"/>
      <c r="N128" s="1"/>
      <c r="O128" s="1">
        <v>32.399999999999991</v>
      </c>
      <c r="P128" s="1"/>
      <c r="Q128" s="1"/>
      <c r="R128" s="1">
        <f t="shared" si="30"/>
        <v>6.6</v>
      </c>
      <c r="S128" s="5">
        <f t="shared" si="34"/>
        <v>12.799999999999997</v>
      </c>
      <c r="T128" s="1">
        <f t="shared" si="31"/>
        <v>11.999999999999998</v>
      </c>
      <c r="U128" s="1">
        <f t="shared" si="32"/>
        <v>10.060606060606061</v>
      </c>
      <c r="V128" s="1">
        <v>7</v>
      </c>
      <c r="W128" s="1">
        <v>9.1999999999999993</v>
      </c>
      <c r="X128" s="1">
        <v>9</v>
      </c>
      <c r="Y128" s="1">
        <v>5.6</v>
      </c>
      <c r="Z128" s="1">
        <v>5.4</v>
      </c>
      <c r="AA128" s="1">
        <v>8</v>
      </c>
      <c r="AB128" s="1">
        <v>11.2</v>
      </c>
      <c r="AC128" s="1">
        <v>9.1999999999999993</v>
      </c>
      <c r="AD128" s="1">
        <v>4.5999999999999996</v>
      </c>
      <c r="AE128" s="1">
        <v>8.1999999999999993</v>
      </c>
      <c r="AF128" s="1"/>
      <c r="AG128" s="1">
        <f t="shared" si="33"/>
        <v>1.5359999999999996</v>
      </c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</row>
    <row r="129" spans="1:45" x14ac:dyDescent="0.25">
      <c r="A129" s="9" t="s">
        <v>174</v>
      </c>
      <c r="B129" s="9" t="s">
        <v>43</v>
      </c>
      <c r="C129" s="9"/>
      <c r="D129" s="9"/>
      <c r="E129" s="12">
        <v>21</v>
      </c>
      <c r="F129" s="12">
        <v>-35</v>
      </c>
      <c r="G129" s="10">
        <v>0</v>
      </c>
      <c r="H129" s="9"/>
      <c r="I129" s="9" t="s">
        <v>175</v>
      </c>
      <c r="J129" s="9" t="s">
        <v>167</v>
      </c>
      <c r="K129" s="9">
        <v>21</v>
      </c>
      <c r="L129" s="9">
        <f t="shared" si="29"/>
        <v>0</v>
      </c>
      <c r="M129" s="9"/>
      <c r="N129" s="9"/>
      <c r="O129" s="9">
        <v>0</v>
      </c>
      <c r="P129" s="9"/>
      <c r="Q129" s="9"/>
      <c r="R129" s="9">
        <f t="shared" si="30"/>
        <v>4.2</v>
      </c>
      <c r="S129" s="11"/>
      <c r="T129" s="9">
        <f t="shared" si="31"/>
        <v>-8.3333333333333321</v>
      </c>
      <c r="U129" s="9">
        <f t="shared" si="32"/>
        <v>-8.3333333333333321</v>
      </c>
      <c r="V129" s="9">
        <v>0.2</v>
      </c>
      <c r="W129" s="9">
        <v>0</v>
      </c>
      <c r="X129" s="9">
        <v>0.8</v>
      </c>
      <c r="Y129" s="9">
        <v>1.8</v>
      </c>
      <c r="Z129" s="9">
        <v>1</v>
      </c>
      <c r="AA129" s="9">
        <v>0</v>
      </c>
      <c r="AB129" s="9">
        <v>0</v>
      </c>
      <c r="AC129" s="9">
        <v>0</v>
      </c>
      <c r="AD129" s="9">
        <v>0</v>
      </c>
      <c r="AE129" s="9">
        <v>0</v>
      </c>
      <c r="AF129" s="9"/>
      <c r="AG129" s="9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</row>
    <row r="130" spans="1:45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</row>
    <row r="131" spans="1:45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</row>
    <row r="132" spans="1:45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</row>
    <row r="133" spans="1:45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</row>
    <row r="134" spans="1:45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</row>
    <row r="135" spans="1:45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</row>
    <row r="136" spans="1:45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</row>
    <row r="137" spans="1:45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</row>
    <row r="138" spans="1:45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</row>
    <row r="139" spans="1:45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</row>
    <row r="140" spans="1:45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</row>
    <row r="141" spans="1:45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</row>
    <row r="142" spans="1:45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</row>
    <row r="143" spans="1:45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</row>
    <row r="144" spans="1:45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</row>
    <row r="145" spans="1:45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</row>
    <row r="146" spans="1:45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</row>
    <row r="147" spans="1:45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</row>
    <row r="148" spans="1:45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</row>
    <row r="149" spans="1:45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</row>
    <row r="150" spans="1:45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</row>
    <row r="151" spans="1:45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</row>
    <row r="152" spans="1:45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</row>
    <row r="153" spans="1:45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</row>
    <row r="154" spans="1:45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</row>
    <row r="155" spans="1:45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</row>
    <row r="156" spans="1:45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</row>
    <row r="157" spans="1:45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</row>
    <row r="158" spans="1:45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</row>
    <row r="159" spans="1:45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</row>
    <row r="160" spans="1:45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</row>
    <row r="161" spans="1:45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</row>
    <row r="162" spans="1:45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</row>
    <row r="163" spans="1:45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</row>
    <row r="164" spans="1:45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</row>
    <row r="165" spans="1:45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</row>
    <row r="166" spans="1:45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</row>
    <row r="167" spans="1:45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</row>
    <row r="168" spans="1:45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</row>
    <row r="169" spans="1:45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</row>
    <row r="170" spans="1:45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</row>
    <row r="171" spans="1:45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</row>
    <row r="172" spans="1:45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</row>
    <row r="173" spans="1:45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</row>
    <row r="174" spans="1:45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</row>
    <row r="175" spans="1:45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</row>
    <row r="176" spans="1:45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</row>
    <row r="177" spans="1:45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</row>
    <row r="178" spans="1:45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</row>
    <row r="179" spans="1:45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</row>
    <row r="180" spans="1:45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</row>
    <row r="181" spans="1:45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</row>
    <row r="182" spans="1:45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</row>
    <row r="183" spans="1:45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</row>
    <row r="184" spans="1:45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</row>
    <row r="185" spans="1:45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</row>
    <row r="186" spans="1:45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</row>
    <row r="187" spans="1:45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</row>
    <row r="188" spans="1:45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</row>
    <row r="189" spans="1:45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</row>
    <row r="190" spans="1:45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</row>
    <row r="191" spans="1:45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</row>
    <row r="192" spans="1:45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</row>
    <row r="193" spans="1:45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</row>
    <row r="194" spans="1:45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</row>
    <row r="195" spans="1:45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</row>
    <row r="196" spans="1:45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</row>
    <row r="197" spans="1:45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</row>
    <row r="198" spans="1:45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</row>
    <row r="199" spans="1:45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</row>
    <row r="200" spans="1:45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</row>
    <row r="201" spans="1:45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</row>
    <row r="202" spans="1:45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</row>
    <row r="203" spans="1:45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</row>
    <row r="204" spans="1:45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</row>
    <row r="205" spans="1:45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</row>
    <row r="206" spans="1:45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</row>
    <row r="207" spans="1:45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</row>
    <row r="208" spans="1:45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</row>
    <row r="209" spans="1:45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</row>
    <row r="210" spans="1:45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</row>
    <row r="211" spans="1:45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</row>
    <row r="212" spans="1:45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</row>
    <row r="213" spans="1:45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</row>
    <row r="214" spans="1:45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</row>
    <row r="215" spans="1:45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</row>
    <row r="216" spans="1:45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</row>
    <row r="217" spans="1:45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</row>
    <row r="218" spans="1:45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</row>
    <row r="219" spans="1:45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</row>
    <row r="220" spans="1:45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</row>
    <row r="221" spans="1:45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</row>
    <row r="222" spans="1:45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</row>
    <row r="223" spans="1:45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</row>
    <row r="224" spans="1:45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</row>
    <row r="225" spans="1:45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</row>
    <row r="226" spans="1:45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</row>
    <row r="227" spans="1:45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</row>
    <row r="228" spans="1:45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</row>
    <row r="229" spans="1:45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</row>
    <row r="230" spans="1:45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</row>
    <row r="231" spans="1:45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</row>
    <row r="232" spans="1:45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</row>
    <row r="233" spans="1:45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</row>
    <row r="234" spans="1:45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</row>
    <row r="235" spans="1:45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</row>
    <row r="236" spans="1:45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</row>
    <row r="237" spans="1:45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</row>
    <row r="238" spans="1:45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</row>
    <row r="239" spans="1:45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</row>
    <row r="240" spans="1:45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</row>
    <row r="241" spans="1:45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</row>
    <row r="242" spans="1:45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</row>
    <row r="243" spans="1:45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</row>
    <row r="244" spans="1:45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</row>
    <row r="245" spans="1:45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</row>
    <row r="246" spans="1:45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</row>
    <row r="247" spans="1:45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</row>
    <row r="248" spans="1:45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</row>
    <row r="249" spans="1:45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</row>
    <row r="250" spans="1:45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</row>
    <row r="251" spans="1:45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</row>
    <row r="252" spans="1:45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</row>
    <row r="253" spans="1:45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</row>
    <row r="254" spans="1:45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</row>
    <row r="255" spans="1:45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</row>
    <row r="256" spans="1:45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</row>
    <row r="257" spans="1:45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</row>
    <row r="258" spans="1:45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</row>
    <row r="259" spans="1:45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</row>
    <row r="260" spans="1:45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</row>
    <row r="261" spans="1:45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</row>
    <row r="262" spans="1:45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</row>
    <row r="263" spans="1:45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</row>
    <row r="264" spans="1:45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</row>
    <row r="265" spans="1:45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</row>
    <row r="266" spans="1:45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</row>
    <row r="267" spans="1:45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</row>
    <row r="268" spans="1:45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</row>
    <row r="269" spans="1:45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</row>
    <row r="270" spans="1:45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</row>
    <row r="271" spans="1:45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</row>
    <row r="272" spans="1:45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</row>
    <row r="273" spans="1:45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</row>
    <row r="274" spans="1:45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</row>
    <row r="275" spans="1:45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</row>
    <row r="276" spans="1:45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</row>
    <row r="277" spans="1:45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</row>
    <row r="278" spans="1:45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</row>
    <row r="279" spans="1:45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</row>
    <row r="280" spans="1:45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</row>
    <row r="281" spans="1:45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</row>
    <row r="282" spans="1:45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</row>
    <row r="283" spans="1:45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</row>
    <row r="284" spans="1:45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</row>
    <row r="285" spans="1:45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</row>
    <row r="286" spans="1:45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</row>
    <row r="287" spans="1:45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</row>
    <row r="288" spans="1:45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</row>
    <row r="289" spans="1:45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</row>
    <row r="290" spans="1:45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</row>
    <row r="291" spans="1:45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</row>
    <row r="292" spans="1:45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</row>
    <row r="293" spans="1:45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</row>
    <row r="294" spans="1:45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</row>
    <row r="295" spans="1:45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</row>
    <row r="296" spans="1:45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</row>
    <row r="297" spans="1:45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</row>
    <row r="298" spans="1:45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</row>
    <row r="299" spans="1:45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</row>
    <row r="300" spans="1:45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</row>
    <row r="301" spans="1:45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</row>
    <row r="302" spans="1:45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</row>
    <row r="303" spans="1:45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</row>
    <row r="304" spans="1:45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spans="1:45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</row>
    <row r="306" spans="1:45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</row>
    <row r="307" spans="1:45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</row>
    <row r="308" spans="1:45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</row>
    <row r="309" spans="1:45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</row>
    <row r="310" spans="1:45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</row>
    <row r="311" spans="1:45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</row>
    <row r="312" spans="1:45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</row>
    <row r="313" spans="1:45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</row>
    <row r="314" spans="1:45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</row>
    <row r="315" spans="1:45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</row>
    <row r="316" spans="1:45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</row>
    <row r="317" spans="1:45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</row>
    <row r="318" spans="1:45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</row>
    <row r="319" spans="1:45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</row>
    <row r="320" spans="1:45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</row>
    <row r="321" spans="1:45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</row>
    <row r="322" spans="1:45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</row>
    <row r="323" spans="1:45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</row>
    <row r="324" spans="1:45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</row>
    <row r="325" spans="1:45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</row>
    <row r="326" spans="1:45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</row>
    <row r="327" spans="1:45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</row>
    <row r="328" spans="1:45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</row>
    <row r="329" spans="1:45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</row>
    <row r="330" spans="1:45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</row>
    <row r="331" spans="1:45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</row>
    <row r="332" spans="1:45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</row>
    <row r="333" spans="1:45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</row>
    <row r="334" spans="1:45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</row>
    <row r="335" spans="1:45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</row>
    <row r="336" spans="1:45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</row>
    <row r="337" spans="1:45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</row>
    <row r="338" spans="1:45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</row>
    <row r="339" spans="1:45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</row>
    <row r="340" spans="1:45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</row>
    <row r="341" spans="1:45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</row>
    <row r="342" spans="1:45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</row>
    <row r="343" spans="1:45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</row>
    <row r="344" spans="1:45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</row>
    <row r="345" spans="1:45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</row>
    <row r="346" spans="1:45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</row>
    <row r="347" spans="1:45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</row>
    <row r="348" spans="1:45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</row>
    <row r="349" spans="1:45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</row>
    <row r="350" spans="1:45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</row>
    <row r="351" spans="1:45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</row>
    <row r="352" spans="1:45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</row>
    <row r="353" spans="1:45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</row>
    <row r="354" spans="1:45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</row>
    <row r="355" spans="1:45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</row>
    <row r="356" spans="1:45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</row>
    <row r="357" spans="1:45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</row>
    <row r="358" spans="1:45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</row>
    <row r="359" spans="1:45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</row>
    <row r="360" spans="1:45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</row>
    <row r="361" spans="1:45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</row>
    <row r="362" spans="1:45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</row>
    <row r="363" spans="1:45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</row>
    <row r="364" spans="1:45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</row>
    <row r="365" spans="1:45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</row>
    <row r="366" spans="1:45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</row>
    <row r="367" spans="1:45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</row>
    <row r="368" spans="1:45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</row>
    <row r="369" spans="1:45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</row>
    <row r="370" spans="1:45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</row>
    <row r="371" spans="1:45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</row>
    <row r="372" spans="1:45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</row>
    <row r="373" spans="1:45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</row>
    <row r="374" spans="1:45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</row>
    <row r="375" spans="1:45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</row>
    <row r="376" spans="1:45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</row>
    <row r="377" spans="1:45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</row>
    <row r="378" spans="1:45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</row>
    <row r="379" spans="1:45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</row>
    <row r="380" spans="1:45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</row>
    <row r="381" spans="1:45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</row>
    <row r="382" spans="1:45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</row>
    <row r="383" spans="1:45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</row>
    <row r="384" spans="1:45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</row>
    <row r="385" spans="1:45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</row>
    <row r="386" spans="1:45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</row>
    <row r="387" spans="1:45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</row>
    <row r="388" spans="1:45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</row>
    <row r="389" spans="1:45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</row>
    <row r="390" spans="1:45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</row>
    <row r="391" spans="1:45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</row>
    <row r="392" spans="1:45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</row>
    <row r="393" spans="1:45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</row>
    <row r="394" spans="1:45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</row>
    <row r="395" spans="1:45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</row>
    <row r="396" spans="1:45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</row>
    <row r="397" spans="1:45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</row>
    <row r="398" spans="1:45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</row>
    <row r="399" spans="1:45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</row>
    <row r="400" spans="1:45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</row>
    <row r="401" spans="1:45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</row>
    <row r="402" spans="1:45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</row>
    <row r="403" spans="1:45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</row>
    <row r="404" spans="1:45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</row>
    <row r="405" spans="1:45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</row>
    <row r="406" spans="1:45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</row>
    <row r="407" spans="1:45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</row>
    <row r="408" spans="1:45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</row>
    <row r="409" spans="1:45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</row>
    <row r="410" spans="1:45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</row>
    <row r="411" spans="1:45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</row>
    <row r="412" spans="1:45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</row>
    <row r="413" spans="1:45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</row>
    <row r="414" spans="1:45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</row>
    <row r="415" spans="1:45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</row>
    <row r="416" spans="1:45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</row>
    <row r="417" spans="1:45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</row>
    <row r="418" spans="1:45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</row>
    <row r="419" spans="1:45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</row>
    <row r="420" spans="1:45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</row>
    <row r="421" spans="1:45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</row>
    <row r="422" spans="1:45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</row>
    <row r="423" spans="1:45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</row>
    <row r="424" spans="1:45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</row>
    <row r="425" spans="1:45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</row>
    <row r="426" spans="1:45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</row>
    <row r="427" spans="1:45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</row>
    <row r="428" spans="1:45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</row>
    <row r="429" spans="1:45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</row>
    <row r="430" spans="1:45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</row>
    <row r="431" spans="1:45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</row>
    <row r="432" spans="1:45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</row>
    <row r="433" spans="1:45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</row>
    <row r="434" spans="1:45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</row>
    <row r="435" spans="1:45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</row>
    <row r="436" spans="1:45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</row>
    <row r="437" spans="1:45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</row>
    <row r="438" spans="1:45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</row>
    <row r="439" spans="1:45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</row>
    <row r="440" spans="1:45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</row>
    <row r="441" spans="1:45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</row>
    <row r="442" spans="1:45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</row>
    <row r="443" spans="1:45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</row>
    <row r="444" spans="1:45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</row>
    <row r="445" spans="1:45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</row>
    <row r="446" spans="1:45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</row>
    <row r="447" spans="1:45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</row>
    <row r="448" spans="1:45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</row>
    <row r="449" spans="1:45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</row>
    <row r="450" spans="1:45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</row>
    <row r="451" spans="1:45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</row>
    <row r="452" spans="1:45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</row>
    <row r="453" spans="1:45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</row>
    <row r="454" spans="1:45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</row>
    <row r="455" spans="1:45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</row>
    <row r="456" spans="1:45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</row>
    <row r="457" spans="1:45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</row>
    <row r="458" spans="1:45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</row>
    <row r="459" spans="1:45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</row>
    <row r="460" spans="1:45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</row>
    <row r="461" spans="1:45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</row>
    <row r="462" spans="1:45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</row>
    <row r="463" spans="1:45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</row>
    <row r="464" spans="1:45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</row>
    <row r="465" spans="1:45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</row>
    <row r="466" spans="1:45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</row>
    <row r="467" spans="1:45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</row>
    <row r="468" spans="1:45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</row>
    <row r="469" spans="1:45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</row>
    <row r="470" spans="1:45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</row>
    <row r="471" spans="1:45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</row>
    <row r="472" spans="1:45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</row>
    <row r="473" spans="1:45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</row>
    <row r="474" spans="1:45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</row>
    <row r="475" spans="1:45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</row>
    <row r="476" spans="1:45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</row>
    <row r="477" spans="1:45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</row>
    <row r="478" spans="1:45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</row>
    <row r="479" spans="1:45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</row>
    <row r="480" spans="1:45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</row>
    <row r="481" spans="1:45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</row>
    <row r="482" spans="1:45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</row>
    <row r="483" spans="1:45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</row>
    <row r="484" spans="1:45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</row>
    <row r="485" spans="1:45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</row>
    <row r="486" spans="1:45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</row>
    <row r="487" spans="1:45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</row>
    <row r="488" spans="1:45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</row>
    <row r="489" spans="1:45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</row>
    <row r="490" spans="1:45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</row>
    <row r="491" spans="1:45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</row>
    <row r="492" spans="1:45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</row>
    <row r="493" spans="1:45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</row>
    <row r="494" spans="1:45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</row>
    <row r="495" spans="1:45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</row>
    <row r="496" spans="1:45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</row>
    <row r="497" spans="1:45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</row>
    <row r="498" spans="1:45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</row>
    <row r="499" spans="1:45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</row>
  </sheetData>
  <autoFilter ref="A3:AG12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2026-08-20T11:44:25Z</dcterms:created>
  <dcterms:modified xsi:type="dcterms:W3CDTF">2026-08-20T12:08:57Z</dcterms:modified>
</cp:coreProperties>
</file>