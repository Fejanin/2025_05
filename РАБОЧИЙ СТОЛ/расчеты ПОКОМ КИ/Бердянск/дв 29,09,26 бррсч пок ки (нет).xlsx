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566AED36-44A6-44E0-95C5-44EE04F57BCD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Sheet!$A$3:$AM$129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W128" i="1" l="1"/>
  <c r="W127" i="1"/>
  <c r="W125" i="1"/>
  <c r="W124" i="1"/>
  <c r="W109" i="1"/>
  <c r="W97" i="1"/>
  <c r="W95" i="1"/>
  <c r="W93" i="1"/>
  <c r="W91" i="1"/>
  <c r="W81" i="1"/>
  <c r="W80" i="1"/>
  <c r="W75" i="1"/>
  <c r="W74" i="1"/>
  <c r="W73" i="1"/>
  <c r="W70" i="1"/>
  <c r="W68" i="1"/>
  <c r="W67" i="1"/>
  <c r="W66" i="1"/>
  <c r="W65" i="1"/>
  <c r="W62" i="1"/>
  <c r="W54" i="1"/>
  <c r="W53" i="1"/>
  <c r="W50" i="1"/>
  <c r="W47" i="1"/>
  <c r="W46" i="1"/>
  <c r="W45" i="1"/>
  <c r="W43" i="1"/>
  <c r="W41" i="1"/>
  <c r="W40" i="1"/>
  <c r="W38" i="1"/>
  <c r="W37" i="1"/>
  <c r="W34" i="1"/>
  <c r="W33" i="1"/>
  <c r="W32" i="1"/>
  <c r="W30" i="1"/>
  <c r="W29" i="1"/>
  <c r="W27" i="1"/>
  <c r="W26" i="1"/>
  <c r="W24" i="1"/>
  <c r="W22" i="1"/>
  <c r="W18" i="1"/>
  <c r="W15" i="1"/>
  <c r="W13" i="1"/>
  <c r="W98" i="1" l="1"/>
  <c r="W9" i="1"/>
  <c r="AM9" i="1" s="1"/>
  <c r="W10" i="1"/>
  <c r="AM10" i="1" s="1"/>
  <c r="W11" i="1"/>
  <c r="AM11" i="1" s="1"/>
  <c r="W12" i="1"/>
  <c r="AM12" i="1" s="1"/>
  <c r="W16" i="1"/>
  <c r="AM16" i="1" s="1"/>
  <c r="W17" i="1"/>
  <c r="AM17" i="1" s="1"/>
  <c r="AM18" i="1"/>
  <c r="W19" i="1"/>
  <c r="AM19" i="1" s="1"/>
  <c r="W20" i="1"/>
  <c r="AM20" i="1" s="1"/>
  <c r="W21" i="1"/>
  <c r="AM21" i="1" s="1"/>
  <c r="AM22" i="1"/>
  <c r="W25" i="1"/>
  <c r="AM25" i="1" s="1"/>
  <c r="AM26" i="1"/>
  <c r="AM27" i="1"/>
  <c r="AM29" i="1"/>
  <c r="AM32" i="1"/>
  <c r="AM34" i="1"/>
  <c r="AM38" i="1"/>
  <c r="W39" i="1"/>
  <c r="AM39" i="1" s="1"/>
  <c r="AM40" i="1"/>
  <c r="W42" i="1"/>
  <c r="AM42" i="1" s="1"/>
  <c r="W44" i="1"/>
  <c r="AM44" i="1" s="1"/>
  <c r="AM46" i="1"/>
  <c r="W48" i="1"/>
  <c r="AM48" i="1" s="1"/>
  <c r="W49" i="1"/>
  <c r="AM49" i="1" s="1"/>
  <c r="AM50" i="1"/>
  <c r="W51" i="1"/>
  <c r="AM51" i="1" s="1"/>
  <c r="AM53" i="1"/>
  <c r="W57" i="1"/>
  <c r="AM57" i="1" s="1"/>
  <c r="W58" i="1"/>
  <c r="AM58" i="1" s="1"/>
  <c r="AM62" i="1"/>
  <c r="AM66" i="1"/>
  <c r="AM68" i="1"/>
  <c r="W69" i="1"/>
  <c r="AM69" i="1" s="1"/>
  <c r="AM70" i="1"/>
  <c r="W71" i="1"/>
  <c r="AM71" i="1" s="1"/>
  <c r="W72" i="1"/>
  <c r="AM72" i="1" s="1"/>
  <c r="AM74" i="1"/>
  <c r="W76" i="1"/>
  <c r="AM76" i="1" s="1"/>
  <c r="W77" i="1"/>
  <c r="AM77" i="1" s="1"/>
  <c r="W78" i="1"/>
  <c r="AM78" i="1" s="1"/>
  <c r="W79" i="1"/>
  <c r="AM79" i="1" s="1"/>
  <c r="AM80" i="1"/>
  <c r="W82" i="1"/>
  <c r="AM82" i="1" s="1"/>
  <c r="W83" i="1"/>
  <c r="AM83" i="1" s="1"/>
  <c r="W84" i="1"/>
  <c r="AM84" i="1" s="1"/>
  <c r="W85" i="1"/>
  <c r="AM85" i="1" s="1"/>
  <c r="W86" i="1"/>
  <c r="AM86" i="1" s="1"/>
  <c r="W87" i="1"/>
  <c r="AM87" i="1" s="1"/>
  <c r="W88" i="1"/>
  <c r="AM88" i="1" s="1"/>
  <c r="W89" i="1"/>
  <c r="AM89" i="1" s="1"/>
  <c r="W90" i="1"/>
  <c r="AM90" i="1" s="1"/>
  <c r="W92" i="1"/>
  <c r="AM92" i="1" s="1"/>
  <c r="AM95" i="1"/>
  <c r="W99" i="1"/>
  <c r="AM99" i="1" s="1"/>
  <c r="W100" i="1"/>
  <c r="AM100" i="1" s="1"/>
  <c r="W101" i="1"/>
  <c r="AM101" i="1" s="1"/>
  <c r="W102" i="1"/>
  <c r="AM102" i="1" s="1"/>
  <c r="W106" i="1"/>
  <c r="AM106" i="1" s="1"/>
  <c r="W107" i="1"/>
  <c r="AM107" i="1" s="1"/>
  <c r="AM109" i="1"/>
  <c r="W114" i="1"/>
  <c r="AM114" i="1" s="1"/>
  <c r="W115" i="1"/>
  <c r="AM115" i="1" s="1"/>
  <c r="W116" i="1"/>
  <c r="AM116" i="1" s="1"/>
  <c r="W118" i="1"/>
  <c r="AM118" i="1" s="1"/>
  <c r="W119" i="1"/>
  <c r="AM119" i="1" s="1"/>
  <c r="W120" i="1"/>
  <c r="AM120" i="1" s="1"/>
  <c r="W121" i="1"/>
  <c r="AM121" i="1" s="1"/>
  <c r="W122" i="1"/>
  <c r="AM122" i="1" s="1"/>
  <c r="W123" i="1"/>
  <c r="AM123" i="1" s="1"/>
  <c r="AM125" i="1"/>
  <c r="W126" i="1"/>
  <c r="AM126" i="1" s="1"/>
  <c r="AM127" i="1"/>
  <c r="AM128" i="1"/>
  <c r="W129" i="1"/>
  <c r="AM129" i="1" s="1"/>
  <c r="AM13" i="1"/>
  <c r="AM15" i="1"/>
  <c r="AM24" i="1"/>
  <c r="AM30" i="1"/>
  <c r="AM33" i="1"/>
  <c r="AM37" i="1"/>
  <c r="AM41" i="1"/>
  <c r="AM43" i="1"/>
  <c r="AM45" i="1"/>
  <c r="AM47" i="1"/>
  <c r="AM54" i="1"/>
  <c r="AM65" i="1"/>
  <c r="AM67" i="1"/>
  <c r="AM73" i="1"/>
  <c r="AM75" i="1"/>
  <c r="AM81" i="1"/>
  <c r="AM91" i="1"/>
  <c r="AM93" i="1"/>
  <c r="AM97" i="1"/>
  <c r="AM124" i="1"/>
  <c r="X14" i="1"/>
  <c r="W14" i="1" s="1"/>
  <c r="AM14" i="1" s="1"/>
  <c r="X28" i="1"/>
  <c r="X103" i="1"/>
  <c r="X104" i="1"/>
  <c r="X105" i="1"/>
  <c r="X108" i="1"/>
  <c r="X110" i="1"/>
  <c r="W110" i="1" s="1"/>
  <c r="W105" i="1" l="1"/>
  <c r="AM105" i="1" s="1"/>
  <c r="W103" i="1"/>
  <c r="AM103" i="1" s="1"/>
  <c r="W108" i="1"/>
  <c r="AM108" i="1" s="1"/>
  <c r="W104" i="1"/>
  <c r="AM104" i="1" s="1"/>
  <c r="W28" i="1"/>
  <c r="AM28" i="1" s="1"/>
  <c r="X5" i="1"/>
  <c r="Q5" i="1" l="1"/>
  <c r="T5" i="1" l="1"/>
  <c r="S5" i="1" l="1"/>
  <c r="P5" i="1"/>
  <c r="U129" i="1" l="1"/>
  <c r="L129" i="1"/>
  <c r="U128" i="1"/>
  <c r="L128" i="1"/>
  <c r="U127" i="1"/>
  <c r="L127" i="1"/>
  <c r="U126" i="1"/>
  <c r="L126" i="1"/>
  <c r="U125" i="1"/>
  <c r="L125" i="1"/>
  <c r="U124" i="1"/>
  <c r="L124" i="1"/>
  <c r="U123" i="1"/>
  <c r="L123" i="1"/>
  <c r="U122" i="1"/>
  <c r="L122" i="1"/>
  <c r="U121" i="1"/>
  <c r="L121" i="1"/>
  <c r="U120" i="1"/>
  <c r="L120" i="1"/>
  <c r="U119" i="1"/>
  <c r="L119" i="1"/>
  <c r="U118" i="1"/>
  <c r="L118" i="1"/>
  <c r="U117" i="1"/>
  <c r="L117" i="1"/>
  <c r="U116" i="1"/>
  <c r="L116" i="1"/>
  <c r="U115" i="1"/>
  <c r="L115" i="1"/>
  <c r="U114" i="1"/>
  <c r="L114" i="1"/>
  <c r="U113" i="1"/>
  <c r="L113" i="1"/>
  <c r="U112" i="1"/>
  <c r="L112" i="1"/>
  <c r="U111" i="1"/>
  <c r="L111" i="1"/>
  <c r="U110" i="1"/>
  <c r="L110" i="1"/>
  <c r="U109" i="1"/>
  <c r="L109" i="1"/>
  <c r="U108" i="1"/>
  <c r="L108" i="1"/>
  <c r="U107" i="1"/>
  <c r="L107" i="1"/>
  <c r="U106" i="1"/>
  <c r="L106" i="1"/>
  <c r="U105" i="1"/>
  <c r="L105" i="1"/>
  <c r="U104" i="1"/>
  <c r="L104" i="1"/>
  <c r="U103" i="1"/>
  <c r="L103" i="1"/>
  <c r="U102" i="1"/>
  <c r="L102" i="1"/>
  <c r="U101" i="1"/>
  <c r="L101" i="1"/>
  <c r="U100" i="1"/>
  <c r="L100" i="1"/>
  <c r="U99" i="1"/>
  <c r="L99" i="1"/>
  <c r="U98" i="1"/>
  <c r="L98" i="1"/>
  <c r="U97" i="1"/>
  <c r="AN97" i="1" s="1"/>
  <c r="L97" i="1"/>
  <c r="F97" i="1"/>
  <c r="Z97" i="1" s="1"/>
  <c r="U96" i="1"/>
  <c r="L96" i="1"/>
  <c r="U95" i="1"/>
  <c r="L95" i="1"/>
  <c r="U94" i="1"/>
  <c r="L94" i="1"/>
  <c r="U93" i="1"/>
  <c r="L93" i="1"/>
  <c r="U92" i="1"/>
  <c r="L92" i="1"/>
  <c r="U91" i="1"/>
  <c r="L91" i="1"/>
  <c r="U90" i="1"/>
  <c r="L90" i="1"/>
  <c r="U89" i="1"/>
  <c r="L89" i="1"/>
  <c r="U88" i="1"/>
  <c r="L88" i="1"/>
  <c r="U87" i="1"/>
  <c r="L87" i="1"/>
  <c r="U86" i="1"/>
  <c r="L86" i="1"/>
  <c r="U85" i="1"/>
  <c r="L85" i="1"/>
  <c r="U84" i="1"/>
  <c r="L84" i="1"/>
  <c r="U83" i="1"/>
  <c r="L83" i="1"/>
  <c r="U82" i="1"/>
  <c r="L82" i="1"/>
  <c r="U81" i="1"/>
  <c r="L81" i="1"/>
  <c r="U80" i="1"/>
  <c r="L80" i="1"/>
  <c r="U79" i="1"/>
  <c r="L79" i="1"/>
  <c r="U78" i="1"/>
  <c r="L78" i="1"/>
  <c r="U77" i="1"/>
  <c r="L77" i="1"/>
  <c r="U76" i="1"/>
  <c r="L76" i="1"/>
  <c r="U75" i="1"/>
  <c r="L75" i="1"/>
  <c r="U74" i="1"/>
  <c r="L74" i="1"/>
  <c r="U73" i="1"/>
  <c r="L73" i="1"/>
  <c r="U72" i="1"/>
  <c r="L72" i="1"/>
  <c r="U71" i="1"/>
  <c r="L71" i="1"/>
  <c r="U70" i="1"/>
  <c r="L70" i="1"/>
  <c r="U69" i="1"/>
  <c r="L69" i="1"/>
  <c r="U68" i="1"/>
  <c r="L68" i="1"/>
  <c r="U67" i="1"/>
  <c r="L67" i="1"/>
  <c r="U66" i="1"/>
  <c r="L66" i="1"/>
  <c r="U65" i="1"/>
  <c r="L65" i="1"/>
  <c r="U64" i="1"/>
  <c r="L64" i="1"/>
  <c r="U63" i="1"/>
  <c r="L63" i="1"/>
  <c r="U62" i="1"/>
  <c r="L62" i="1"/>
  <c r="U61" i="1"/>
  <c r="L61" i="1"/>
  <c r="U60" i="1"/>
  <c r="L60" i="1"/>
  <c r="U59" i="1"/>
  <c r="W59" i="1" s="1"/>
  <c r="AM59" i="1" s="1"/>
  <c r="L59" i="1"/>
  <c r="U58" i="1"/>
  <c r="L58" i="1"/>
  <c r="U57" i="1"/>
  <c r="L57" i="1"/>
  <c r="F56" i="1"/>
  <c r="E56" i="1"/>
  <c r="L56" i="1" s="1"/>
  <c r="U55" i="1"/>
  <c r="L55" i="1"/>
  <c r="U54" i="1"/>
  <c r="L54" i="1"/>
  <c r="U53" i="1"/>
  <c r="L53" i="1"/>
  <c r="U52" i="1"/>
  <c r="L52" i="1"/>
  <c r="U51" i="1"/>
  <c r="L51" i="1"/>
  <c r="U50" i="1"/>
  <c r="L50" i="1"/>
  <c r="U49" i="1"/>
  <c r="L49" i="1"/>
  <c r="U48" i="1"/>
  <c r="L48" i="1"/>
  <c r="U47" i="1"/>
  <c r="L47" i="1"/>
  <c r="U46" i="1"/>
  <c r="L46" i="1"/>
  <c r="U45" i="1"/>
  <c r="L45" i="1"/>
  <c r="U44" i="1"/>
  <c r="L44" i="1"/>
  <c r="U43" i="1"/>
  <c r="L43" i="1"/>
  <c r="U42" i="1"/>
  <c r="L42" i="1"/>
  <c r="U41" i="1"/>
  <c r="L41" i="1"/>
  <c r="U40" i="1"/>
  <c r="L40" i="1"/>
  <c r="U39" i="1"/>
  <c r="L39" i="1"/>
  <c r="U38" i="1"/>
  <c r="L38" i="1"/>
  <c r="U37" i="1"/>
  <c r="L37" i="1"/>
  <c r="U36" i="1"/>
  <c r="L36" i="1"/>
  <c r="U35" i="1"/>
  <c r="L35" i="1"/>
  <c r="U34" i="1"/>
  <c r="L34" i="1"/>
  <c r="U33" i="1"/>
  <c r="L33" i="1"/>
  <c r="U32" i="1"/>
  <c r="L32" i="1"/>
  <c r="U31" i="1"/>
  <c r="L31" i="1"/>
  <c r="U30" i="1"/>
  <c r="L30" i="1"/>
  <c r="U29" i="1"/>
  <c r="L29" i="1"/>
  <c r="U28" i="1"/>
  <c r="L28" i="1"/>
  <c r="U27" i="1"/>
  <c r="L27" i="1"/>
  <c r="U26" i="1"/>
  <c r="L26" i="1"/>
  <c r="U25" i="1"/>
  <c r="L25" i="1"/>
  <c r="U24" i="1"/>
  <c r="L24" i="1"/>
  <c r="U23" i="1"/>
  <c r="L23" i="1"/>
  <c r="U22" i="1"/>
  <c r="L22" i="1"/>
  <c r="U21" i="1"/>
  <c r="L21" i="1"/>
  <c r="U20" i="1"/>
  <c r="L20" i="1"/>
  <c r="U19" i="1"/>
  <c r="L19" i="1"/>
  <c r="U18" i="1"/>
  <c r="L18" i="1"/>
  <c r="U17" i="1"/>
  <c r="L17" i="1"/>
  <c r="U16" i="1"/>
  <c r="L16" i="1"/>
  <c r="U15" i="1"/>
  <c r="L15" i="1"/>
  <c r="U14" i="1"/>
  <c r="L14" i="1"/>
  <c r="U13" i="1"/>
  <c r="L13" i="1"/>
  <c r="U12" i="1"/>
  <c r="L12" i="1"/>
  <c r="U11" i="1"/>
  <c r="L11" i="1"/>
  <c r="U10" i="1"/>
  <c r="L10" i="1"/>
  <c r="U9" i="1"/>
  <c r="L9" i="1"/>
  <c r="U8" i="1"/>
  <c r="W8" i="1" s="1"/>
  <c r="AM8" i="1" s="1"/>
  <c r="L8" i="1"/>
  <c r="U7" i="1"/>
  <c r="L7" i="1"/>
  <c r="U6" i="1"/>
  <c r="L6" i="1"/>
  <c r="AK5" i="1"/>
  <c r="AJ5" i="1"/>
  <c r="AI5" i="1"/>
  <c r="AH5" i="1"/>
  <c r="AG5" i="1"/>
  <c r="AF5" i="1"/>
  <c r="AE5" i="1"/>
  <c r="AD5" i="1"/>
  <c r="AC5" i="1"/>
  <c r="AB5" i="1"/>
  <c r="R5" i="1"/>
  <c r="O5" i="1"/>
  <c r="N5" i="1"/>
  <c r="M5" i="1"/>
  <c r="K5" i="1"/>
  <c r="AA6" i="1" l="1"/>
  <c r="AN6" i="1"/>
  <c r="AA7" i="1"/>
  <c r="AN7" i="1"/>
  <c r="Z8" i="1"/>
  <c r="AN8" i="1"/>
  <c r="Z9" i="1"/>
  <c r="AN9" i="1"/>
  <c r="Z10" i="1"/>
  <c r="AN10" i="1"/>
  <c r="Z11" i="1"/>
  <c r="AN11" i="1"/>
  <c r="Z12" i="1"/>
  <c r="AN12" i="1"/>
  <c r="Z13" i="1"/>
  <c r="AN13" i="1"/>
  <c r="Z14" i="1"/>
  <c r="AN14" i="1"/>
  <c r="Z15" i="1"/>
  <c r="AN15" i="1"/>
  <c r="Z16" i="1"/>
  <c r="AN16" i="1"/>
  <c r="Z17" i="1"/>
  <c r="AN17" i="1"/>
  <c r="Z18" i="1"/>
  <c r="AN18" i="1"/>
  <c r="Z19" i="1"/>
  <c r="AN19" i="1"/>
  <c r="Z20" i="1"/>
  <c r="AN20" i="1"/>
  <c r="Z21" i="1"/>
  <c r="AN21" i="1"/>
  <c r="Z22" i="1"/>
  <c r="AN22" i="1"/>
  <c r="AA23" i="1"/>
  <c r="AN23" i="1"/>
  <c r="Z24" i="1"/>
  <c r="AN24" i="1"/>
  <c r="Z25" i="1"/>
  <c r="AN25" i="1"/>
  <c r="Z26" i="1"/>
  <c r="AN26" i="1"/>
  <c r="Z27" i="1"/>
  <c r="AN27" i="1"/>
  <c r="Z28" i="1"/>
  <c r="AN28" i="1"/>
  <c r="Z29" i="1"/>
  <c r="AN29" i="1"/>
  <c r="Z30" i="1"/>
  <c r="AN30" i="1"/>
  <c r="AA31" i="1"/>
  <c r="AN31" i="1"/>
  <c r="Z32" i="1"/>
  <c r="AN32" i="1"/>
  <c r="Z33" i="1"/>
  <c r="AN33" i="1"/>
  <c r="Z34" i="1"/>
  <c r="AN34" i="1"/>
  <c r="AA35" i="1"/>
  <c r="AN35" i="1"/>
  <c r="AA36" i="1"/>
  <c r="AN36" i="1"/>
  <c r="Z37" i="1"/>
  <c r="AN37" i="1"/>
  <c r="Z38" i="1"/>
  <c r="AN38" i="1"/>
  <c r="Z39" i="1"/>
  <c r="AN39" i="1"/>
  <c r="Z40" i="1"/>
  <c r="AN40" i="1"/>
  <c r="Z41" i="1"/>
  <c r="AN41" i="1"/>
  <c r="Z42" i="1"/>
  <c r="AN42" i="1"/>
  <c r="Z43" i="1"/>
  <c r="AN43" i="1"/>
  <c r="Z44" i="1"/>
  <c r="AN44" i="1"/>
  <c r="Z45" i="1"/>
  <c r="AN45" i="1"/>
  <c r="Z46" i="1"/>
  <c r="AN46" i="1"/>
  <c r="Z47" i="1"/>
  <c r="AN47" i="1"/>
  <c r="Z48" i="1"/>
  <c r="AN48" i="1"/>
  <c r="Z49" i="1"/>
  <c r="AN49" i="1"/>
  <c r="Z50" i="1"/>
  <c r="AN50" i="1"/>
  <c r="Z51" i="1"/>
  <c r="AN51" i="1"/>
  <c r="AA52" i="1"/>
  <c r="AN52" i="1"/>
  <c r="Z53" i="1"/>
  <c r="AN53" i="1"/>
  <c r="Z54" i="1"/>
  <c r="AN54" i="1"/>
  <c r="AA55" i="1"/>
  <c r="AN55" i="1"/>
  <c r="Z57" i="1"/>
  <c r="AN57" i="1"/>
  <c r="Z58" i="1"/>
  <c r="AN58" i="1"/>
  <c r="Z59" i="1"/>
  <c r="AN59" i="1"/>
  <c r="AA60" i="1"/>
  <c r="AN60" i="1"/>
  <c r="AA61" i="1"/>
  <c r="AN61" i="1"/>
  <c r="Z62" i="1"/>
  <c r="AN62" i="1"/>
  <c r="AA63" i="1"/>
  <c r="AN63" i="1"/>
  <c r="AA64" i="1"/>
  <c r="AN64" i="1"/>
  <c r="Z65" i="1"/>
  <c r="AN65" i="1"/>
  <c r="Z66" i="1"/>
  <c r="AN66" i="1"/>
  <c r="Z67" i="1"/>
  <c r="AN67" i="1"/>
  <c r="Z68" i="1"/>
  <c r="AN68" i="1"/>
  <c r="Z69" i="1"/>
  <c r="AN69" i="1"/>
  <c r="Z70" i="1"/>
  <c r="AN70" i="1"/>
  <c r="Z71" i="1"/>
  <c r="AN71" i="1"/>
  <c r="Z72" i="1"/>
  <c r="AN72" i="1"/>
  <c r="Z73" i="1"/>
  <c r="AN73" i="1"/>
  <c r="Z74" i="1"/>
  <c r="AN74" i="1"/>
  <c r="Z75" i="1"/>
  <c r="AN75" i="1"/>
  <c r="Z76" i="1"/>
  <c r="AN76" i="1"/>
  <c r="Z77" i="1"/>
  <c r="AN77" i="1"/>
  <c r="Z78" i="1"/>
  <c r="AN78" i="1"/>
  <c r="Z79" i="1"/>
  <c r="AN79" i="1"/>
  <c r="Z80" i="1"/>
  <c r="AN80" i="1"/>
  <c r="Z81" i="1"/>
  <c r="AN81" i="1"/>
  <c r="Z82" i="1"/>
  <c r="AN82" i="1"/>
  <c r="Z83" i="1"/>
  <c r="AN83" i="1"/>
  <c r="Z84" i="1"/>
  <c r="AN84" i="1"/>
  <c r="Z85" i="1"/>
  <c r="AN85" i="1"/>
  <c r="Z86" i="1"/>
  <c r="AN86" i="1"/>
  <c r="Z87" i="1"/>
  <c r="AN87" i="1"/>
  <c r="Z88" i="1"/>
  <c r="AN88" i="1"/>
  <c r="Z89" i="1"/>
  <c r="AN89" i="1"/>
  <c r="Z90" i="1"/>
  <c r="AN90" i="1"/>
  <c r="Z91" i="1"/>
  <c r="AN91" i="1"/>
  <c r="Z92" i="1"/>
  <c r="AN92" i="1"/>
  <c r="Z93" i="1"/>
  <c r="AN93" i="1"/>
  <c r="AA94" i="1"/>
  <c r="AN94" i="1"/>
  <c r="Z95" i="1"/>
  <c r="AN95" i="1"/>
  <c r="AA96" i="1"/>
  <c r="AN96" i="1"/>
  <c r="AA98" i="1"/>
  <c r="AN98" i="1"/>
  <c r="Z99" i="1"/>
  <c r="AN99" i="1"/>
  <c r="Z100" i="1"/>
  <c r="AN100" i="1"/>
  <c r="Z101" i="1"/>
  <c r="AN101" i="1"/>
  <c r="Z102" i="1"/>
  <c r="AN102" i="1"/>
  <c r="Z103" i="1"/>
  <c r="AN103" i="1"/>
  <c r="Z104" i="1"/>
  <c r="AN104" i="1"/>
  <c r="Z105" i="1"/>
  <c r="AN105" i="1"/>
  <c r="Z106" i="1"/>
  <c r="AN106" i="1"/>
  <c r="Z107" i="1"/>
  <c r="AN107" i="1"/>
  <c r="Z108" i="1"/>
  <c r="AN108" i="1"/>
  <c r="Z109" i="1"/>
  <c r="AN109" i="1"/>
  <c r="AA110" i="1"/>
  <c r="AN110" i="1"/>
  <c r="AA111" i="1"/>
  <c r="AN111" i="1"/>
  <c r="AA112" i="1"/>
  <c r="AN112" i="1"/>
  <c r="AA113" i="1"/>
  <c r="AN113" i="1"/>
  <c r="Z114" i="1"/>
  <c r="AN114" i="1"/>
  <c r="Z115" i="1"/>
  <c r="AN115" i="1"/>
  <c r="Z116" i="1"/>
  <c r="AN116" i="1"/>
  <c r="AA117" i="1"/>
  <c r="AN117" i="1"/>
  <c r="Z118" i="1"/>
  <c r="AN118" i="1"/>
  <c r="Z119" i="1"/>
  <c r="AN119" i="1"/>
  <c r="Z120" i="1"/>
  <c r="AN120" i="1"/>
  <c r="Z121" i="1"/>
  <c r="AN121" i="1"/>
  <c r="Z122" i="1"/>
  <c r="AN122" i="1"/>
  <c r="Z123" i="1"/>
  <c r="AN123" i="1"/>
  <c r="Z124" i="1"/>
  <c r="AN124" i="1"/>
  <c r="Z125" i="1"/>
  <c r="AN125" i="1"/>
  <c r="Z126" i="1"/>
  <c r="AN126" i="1"/>
  <c r="Z127" i="1"/>
  <c r="AN127" i="1"/>
  <c r="Z128" i="1"/>
  <c r="AN128" i="1"/>
  <c r="Z129" i="1"/>
  <c r="AN129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4" i="1"/>
  <c r="AA25" i="1"/>
  <c r="AA26" i="1"/>
  <c r="AA27" i="1"/>
  <c r="AA28" i="1"/>
  <c r="AA29" i="1"/>
  <c r="AA30" i="1"/>
  <c r="AA32" i="1"/>
  <c r="AA33" i="1"/>
  <c r="AA34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3" i="1"/>
  <c r="AA54" i="1"/>
  <c r="AA57" i="1"/>
  <c r="AA58" i="1"/>
  <c r="AA59" i="1"/>
  <c r="AA62" i="1"/>
  <c r="AA65" i="1"/>
  <c r="AA66" i="1"/>
  <c r="AA67" i="1"/>
  <c r="AA68" i="1"/>
  <c r="AA69" i="1"/>
  <c r="AA70" i="1"/>
  <c r="AA71" i="1"/>
  <c r="AA72" i="1"/>
  <c r="AA73" i="1"/>
  <c r="AA74" i="1"/>
  <c r="AA75" i="1"/>
  <c r="AA95" i="1"/>
  <c r="AA105" i="1"/>
  <c r="AA106" i="1"/>
  <c r="AA107" i="1"/>
  <c r="AA108" i="1"/>
  <c r="AA109" i="1"/>
  <c r="AA114" i="1"/>
  <c r="AA115" i="1"/>
  <c r="AA116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7" i="1"/>
  <c r="AA99" i="1"/>
  <c r="AA100" i="1"/>
  <c r="AA101" i="1"/>
  <c r="AA102" i="1"/>
  <c r="AA103" i="1"/>
  <c r="AA104" i="1"/>
  <c r="V35" i="1"/>
  <c r="W35" i="1" s="1"/>
  <c r="F5" i="1"/>
  <c r="V112" i="1"/>
  <c r="W112" i="1" s="1"/>
  <c r="E5" i="1"/>
  <c r="V55" i="1"/>
  <c r="W55" i="1" s="1"/>
  <c r="V94" i="1"/>
  <c r="V7" i="1"/>
  <c r="W7" i="1" s="1"/>
  <c r="V6" i="1"/>
  <c r="W6" i="1" s="1"/>
  <c r="L5" i="1"/>
  <c r="V23" i="1"/>
  <c r="W23" i="1" s="1"/>
  <c r="V36" i="1"/>
  <c r="W36" i="1" s="1"/>
  <c r="V61" i="1"/>
  <c r="W61" i="1" s="1"/>
  <c r="V63" i="1"/>
  <c r="W63" i="1" s="1"/>
  <c r="V96" i="1"/>
  <c r="W96" i="1" s="1"/>
  <c r="V117" i="1"/>
  <c r="W117" i="1" s="1"/>
  <c r="V31" i="1"/>
  <c r="W31" i="1" s="1"/>
  <c r="V52" i="1"/>
  <c r="W52" i="1" s="1"/>
  <c r="V60" i="1"/>
  <c r="W60" i="1" s="1"/>
  <c r="V64" i="1"/>
  <c r="W64" i="1" s="1"/>
  <c r="V110" i="1"/>
  <c r="V98" i="1"/>
  <c r="V111" i="1"/>
  <c r="W111" i="1" s="1"/>
  <c r="V113" i="1"/>
  <c r="W113" i="1" s="1"/>
  <c r="U56" i="1"/>
  <c r="Z94" i="1" l="1"/>
  <c r="W94" i="1"/>
  <c r="AN56" i="1"/>
  <c r="AN5" i="1" s="1"/>
  <c r="W56" i="1"/>
  <c r="AM56" i="1" s="1"/>
  <c r="AM113" i="1"/>
  <c r="Z113" i="1"/>
  <c r="AM98" i="1"/>
  <c r="Z98" i="1"/>
  <c r="AM64" i="1"/>
  <c r="Z64" i="1"/>
  <c r="Z52" i="1"/>
  <c r="AM52" i="1"/>
  <c r="AM117" i="1"/>
  <c r="Z117" i="1"/>
  <c r="AM63" i="1"/>
  <c r="Z63" i="1"/>
  <c r="Z36" i="1"/>
  <c r="AM36" i="1"/>
  <c r="AM7" i="1"/>
  <c r="Z7" i="1"/>
  <c r="AM55" i="1"/>
  <c r="Z55" i="1"/>
  <c r="Z112" i="1"/>
  <c r="AM112" i="1"/>
  <c r="AM35" i="1"/>
  <c r="Z35" i="1"/>
  <c r="AM111" i="1"/>
  <c r="Z111" i="1"/>
  <c r="AM110" i="1"/>
  <c r="Z110" i="1"/>
  <c r="AM60" i="1"/>
  <c r="Z60" i="1"/>
  <c r="AM31" i="1"/>
  <c r="Z31" i="1"/>
  <c r="AM96" i="1"/>
  <c r="Z96" i="1"/>
  <c r="AM61" i="1"/>
  <c r="Z61" i="1"/>
  <c r="AM23" i="1"/>
  <c r="Z23" i="1"/>
  <c r="AM6" i="1"/>
  <c r="Z6" i="1"/>
  <c r="AM94" i="1"/>
  <c r="AA56" i="1"/>
  <c r="U5" i="1"/>
  <c r="V5" i="1"/>
  <c r="W5" i="1" l="1"/>
  <c r="Z56" i="1"/>
  <c r="AM5" i="1"/>
</calcChain>
</file>

<file path=xl/sharedStrings.xml><?xml version="1.0" encoding="utf-8"?>
<sst xmlns="http://schemas.openxmlformats.org/spreadsheetml/2006/main" count="481" uniqueCount="192">
  <si>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</si>
  <si>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</si>
  <si>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</si>
  <si>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</si>
  <si>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</si>
  <si>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</si>
  <si>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</si>
  <si>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</si>
  <si>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</si>
  <si>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</si>
  <si>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</si>
  <si>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</si>
  <si>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</si>
  <si>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</si>
  <si>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</si>
  <si>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</si>
  <si>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</si>
  <si>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</si>
  <si>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</si>
  <si>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</si>
  <si>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</si>
  <si>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</si>
  <si>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27,09,</t>
  </si>
  <si>
    <t>29,09,</t>
  </si>
  <si>
    <t>24,09,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</si>
  <si>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</si>
  <si>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</si>
  <si>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</si>
  <si>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</si>
  <si>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</si>
  <si>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</si>
  <si>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</si>
  <si>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</si>
  <si>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</si>
  <si>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</si>
  <si>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</si>
  <si>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</si>
  <si>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</si>
  <si>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</si>
  <si>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</si>
  <si>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</si>
  <si>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</si>
  <si>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</si>
  <si>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</si>
  <si>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</si>
  <si>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</si>
  <si>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</si>
  <si>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</si>
  <si>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</si>
  <si>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</si>
  <si>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</si>
  <si>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</si>
  <si>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</si>
  <si>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</si>
  <si>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</si>
  <si>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</si>
  <si>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</si>
  <si>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</si>
  <si>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</si>
  <si>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</si>
  <si>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</si>
  <si>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</si>
  <si>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</si>
  <si>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</si>
  <si>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</si>
  <si>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</si>
  <si>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53кг списано (16,09,26)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</si>
  <si>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</si>
  <si>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</si>
  <si>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</si>
  <si>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</si>
  <si>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</si>
  <si>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</si>
  <si>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</si>
  <si>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</si>
  <si>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</si>
  <si>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</si>
  <si>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</si>
  <si>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>не в матрице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</si>
  <si>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</si>
  <si>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</si>
  <si>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</si>
  <si>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</si>
  <si>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</si>
  <si>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</si>
  <si>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</si>
  <si>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</si>
  <si>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</si>
  <si>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</si>
  <si>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</si>
  <si>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</si>
  <si>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</si>
  <si>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</si>
  <si>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</si>
  <si>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</si>
  <si>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</si>
  <si>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</si>
  <si>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</si>
  <si>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</si>
  <si>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</si>
  <si>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</si>
  <si>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</si>
  <si>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</si>
  <si>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</si>
  <si>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</si>
  <si>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</si>
  <si>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</si>
  <si>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>90кг списано (16,09,26)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</si>
  <si>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</si>
  <si>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</si>
  <si>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</si>
  <si>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</si>
  <si>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</si>
  <si>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</si>
  <si>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заказываем с 28,08,26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</si>
  <si>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</si>
  <si>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</si>
  <si>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</si>
  <si>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</si>
  <si>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</si>
  <si>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</si>
  <si>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</si>
  <si>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</si>
  <si>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</si>
  <si>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</si>
  <si>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</si>
  <si>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</si>
  <si>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</si>
  <si>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</si>
  <si>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1274кг списано (19,09,26)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</si>
  <si>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</si>
  <si>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</si>
  <si>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</si>
  <si>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</si>
  <si>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</si>
  <si>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</si>
  <si>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</si>
  <si>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</si>
  <si>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46кг списание сроки (11,08,26)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</si>
  <si>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</si>
  <si>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</si>
  <si>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</si>
  <si>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</si>
  <si>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</si>
  <si>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57шт списание (16,09,26) / 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</si>
  <si>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</si>
  <si>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</si>
  <si>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</si>
  <si>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</si>
  <si>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</si>
  <si>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</si>
  <si>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</si>
  <si>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</si>
  <si>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</si>
  <si>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</si>
  <si>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</si>
  <si>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</si>
  <si>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</si>
  <si>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</si>
  <si>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</si>
  <si>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</si>
  <si>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</si>
  <si>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546кг списано (19,09,26)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</si>
  <si>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</si>
  <si>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</si>
  <si>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>нужно увеличить продажи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</si>
  <si>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</si>
  <si>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</si>
  <si>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дубль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</si>
  <si>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</si>
  <si>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</si>
  <si>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</si>
  <si>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</si>
  <si>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</si>
  <si>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</si>
  <si>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</si>
  <si>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нужно увеличить продажи!!!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</si>
  <si>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281кг списано (19,09,26)</t>
    </r>
  </si>
  <si>
    <t>92шт списаны (16,09,26)</t>
  </si>
  <si>
    <t>ПРОМО сентябрь / 181кг списание (11,08,26)</t>
  </si>
  <si>
    <t>27,09,доз</t>
  </si>
  <si>
    <t>29,09,доз</t>
  </si>
  <si>
    <t>Мариуполь</t>
  </si>
  <si>
    <t>27,09,доз2</t>
  </si>
  <si>
    <t>ТК</t>
  </si>
  <si>
    <t>Боярко</t>
  </si>
  <si>
    <t>ТК ком</t>
  </si>
  <si>
    <t>0, нет потребности</t>
  </si>
  <si>
    <t>нет потребности / 51шт списана (16,09,26)</t>
  </si>
  <si>
    <t>дн</t>
  </si>
  <si>
    <t>заказ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</si>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</sst>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7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4" fillId="6" borderId="1" xfId="1" applyNumberFormat="1" applyFont="1" applyFill="1"/>
    <xf numFmtId="164" fontId="1" fillId="7" borderId="1" xfId="1" applyNumberFormat="1" applyFill="1"/>
    <xf numFmtId="164" fontId="5" fillId="7" borderId="1" xfId="1" applyNumberFormat="1" applyFont="1" applyFill="1"/>
    <xf numFmtId="164" fontId="6" fillId="7" borderId="1" xfId="1" applyNumberFormat="1" applyFont="1" applyFill="1"/>
    <xf numFmtId="164" fontId="6" fillId="0" borderId="1" xfId="1" applyNumberFormat="1" applyFont="1"/>
    <xf numFmtId="164" fontId="8" fillId="0" borderId="1" xfId="1" applyNumberFormat="1" applyFont="1"/>
    <xf numFmtId="164" fontId="9" fillId="2" borderId="1" xfId="1" applyNumberFormat="1" applyFont="1" applyFill="1"/>
    <xf numFmtId="164" fontId="8" fillId="3" borderId="1" xfId="1" applyNumberFormat="1" applyFont="1" applyFill="1"/>
    <xf numFmtId="164" fontId="8" fillId="5" borderId="1" xfId="1" applyNumberFormat="1" applyFont="1" applyFill="1"/>
    <xf numFmtId="0" fontId="7" fillId="0" borderId="1" xfId="0" applyFont="1"/>
    <xf numFmtId="164" fontId="1" fillId="0" borderId="1" xfId="1" applyNumberFormat="1" applyBorder="1"/>
    <xf numFmtId="164" fontId="1" fillId="5" borderId="1" xfId="1" applyNumberFormat="1" applyFill="1" applyBorder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2025_05/&#1056;&#1040;&#1041;&#1054;&#1063;&#1048;&#1049;%20&#1057;&#1058;&#1054;&#1051;/&#1088;&#1072;&#1089;&#1095;&#1077;&#1090;&#1099;%20&#1055;&#1054;&#1050;&#1054;&#1052;%20&#1050;&#1048;/_&#1050;&#1086;&#1087;&#1080;&#1103;%20&#1076;&#1074;%20290926%20&#1073;&#1088;&#1088;&#1089;&#1095;%20&#1087;&#1086;&#1082;%20&#1082;&#1080;%20(&#1041;&#1086;&#1103;&#1088;&#1082;&#1086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2">
          <cell r="P2">
            <v>600</v>
          </cell>
          <cell r="R2">
            <v>450</v>
          </cell>
        </row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ср нов</v>
          </cell>
          <cell r="U3" t="str">
            <v>расчет</v>
          </cell>
        </row>
        <row r="4">
          <cell r="O4" t="str">
            <v>27,09,</v>
          </cell>
          <cell r="P4" t="str">
            <v>27,09,доз</v>
          </cell>
          <cell r="Q4" t="str">
            <v>29,09,</v>
          </cell>
          <cell r="R4" t="str">
            <v>29,09,доз</v>
          </cell>
          <cell r="S4" t="str">
            <v>Мариуполь</v>
          </cell>
          <cell r="T4" t="str">
            <v>29,09,</v>
          </cell>
        </row>
        <row r="5">
          <cell r="E5">
            <v>12872.132999999998</v>
          </cell>
          <cell r="F5">
            <v>18886.486999999997</v>
          </cell>
          <cell r="K5">
            <v>14025.300000000003</v>
          </cell>
          <cell r="L5">
            <v>-1153.1670000000001</v>
          </cell>
          <cell r="M5">
            <v>0</v>
          </cell>
          <cell r="N5">
            <v>0</v>
          </cell>
          <cell r="O5">
            <v>8232.0673739488429</v>
          </cell>
          <cell r="P5">
            <v>600</v>
          </cell>
          <cell r="Q5">
            <v>13802.115944170748</v>
          </cell>
          <cell r="R5">
            <v>450</v>
          </cell>
          <cell r="S5">
            <v>-1560</v>
          </cell>
          <cell r="T5">
            <v>2574.4265999999993</v>
          </cell>
          <cell r="U5">
            <v>2035.1485091774287</v>
          </cell>
          <cell r="V5">
            <v>1630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108.248</v>
          </cell>
          <cell r="D6">
            <v>315.43900000000002</v>
          </cell>
          <cell r="E6">
            <v>176.14099999999999</v>
          </cell>
          <cell r="F6">
            <v>97.177000000000007</v>
          </cell>
          <cell r="G6">
            <v>1</v>
          </cell>
          <cell r="H6">
            <v>50</v>
          </cell>
          <cell r="I6" t="str">
            <v>матрица</v>
          </cell>
          <cell r="K6">
            <v>166.4</v>
          </cell>
          <cell r="L6">
            <v>9.7409999999999854</v>
          </cell>
          <cell r="O6">
            <v>0</v>
          </cell>
          <cell r="Q6">
            <v>90.360999999999933</v>
          </cell>
          <cell r="T6">
            <v>35.228200000000001</v>
          </cell>
          <cell r="U6">
            <v>199.97220000000004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60.430999999999997</v>
          </cell>
          <cell r="D7">
            <v>732.99300000000005</v>
          </cell>
          <cell r="E7">
            <v>243.976</v>
          </cell>
          <cell r="F7">
            <v>143.76599999999999</v>
          </cell>
          <cell r="G7">
            <v>1</v>
          </cell>
          <cell r="H7">
            <v>45</v>
          </cell>
          <cell r="I7" t="str">
            <v>матрица</v>
          </cell>
          <cell r="K7">
            <v>246</v>
          </cell>
          <cell r="L7">
            <v>-2.0240000000000009</v>
          </cell>
          <cell r="O7">
            <v>152.32748036826791</v>
          </cell>
          <cell r="Q7">
            <v>217.62223963173241</v>
          </cell>
          <cell r="T7">
            <v>48.795200000000001</v>
          </cell>
          <cell r="U7">
            <v>23.031479999999675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288.74099999999999</v>
          </cell>
          <cell r="D8">
            <v>490.85</v>
          </cell>
          <cell r="E8">
            <v>264.69200000000001</v>
          </cell>
          <cell r="F8">
            <v>502.459</v>
          </cell>
          <cell r="G8">
            <v>1</v>
          </cell>
          <cell r="H8">
            <v>45</v>
          </cell>
          <cell r="I8" t="str">
            <v>матрица</v>
          </cell>
          <cell r="K8">
            <v>258.2</v>
          </cell>
          <cell r="L8">
            <v>6.4920000000000186</v>
          </cell>
          <cell r="O8">
            <v>206.50970044406151</v>
          </cell>
          <cell r="Q8">
            <v>0</v>
          </cell>
          <cell r="T8">
            <v>52.938400000000001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Q9">
            <v>0</v>
          </cell>
          <cell r="T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D10">
            <v>756</v>
          </cell>
          <cell r="E10">
            <v>164</v>
          </cell>
          <cell r="F10">
            <v>567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167</v>
          </cell>
          <cell r="L10">
            <v>-3</v>
          </cell>
          <cell r="O10">
            <v>300</v>
          </cell>
          <cell r="Q10">
            <v>0</v>
          </cell>
          <cell r="T10">
            <v>32.799999999999997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297</v>
          </cell>
          <cell r="D11">
            <v>766</v>
          </cell>
          <cell r="E11">
            <v>295</v>
          </cell>
          <cell r="F11">
            <v>660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310</v>
          </cell>
          <cell r="L11">
            <v>-15</v>
          </cell>
          <cell r="O11">
            <v>466.692943063352</v>
          </cell>
          <cell r="Q11">
            <v>0</v>
          </cell>
          <cell r="T11">
            <v>59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16</v>
          </cell>
          <cell r="D12">
            <v>180</v>
          </cell>
          <cell r="E12">
            <v>16</v>
          </cell>
          <cell r="F12">
            <v>109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29</v>
          </cell>
          <cell r="L12">
            <v>-13</v>
          </cell>
          <cell r="O12">
            <v>137.06887966804979</v>
          </cell>
          <cell r="Q12">
            <v>0</v>
          </cell>
          <cell r="T12">
            <v>3.2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3</v>
          </cell>
          <cell r="D13">
            <v>155</v>
          </cell>
          <cell r="E13">
            <v>93</v>
          </cell>
          <cell r="F13">
            <v>11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98</v>
          </cell>
          <cell r="L13">
            <v>-5</v>
          </cell>
          <cell r="O13">
            <v>83.308900523560212</v>
          </cell>
          <cell r="Q13">
            <v>211.23842931937159</v>
          </cell>
          <cell r="T13">
            <v>18.600000000000001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104</v>
          </cell>
          <cell r="D14">
            <v>259</v>
          </cell>
          <cell r="E14">
            <v>157</v>
          </cell>
          <cell r="F14">
            <v>32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159</v>
          </cell>
          <cell r="L14">
            <v>-2</v>
          </cell>
          <cell r="O14">
            <v>0</v>
          </cell>
          <cell r="Q14">
            <v>337</v>
          </cell>
          <cell r="T14">
            <v>31.4</v>
          </cell>
          <cell r="V14">
            <v>100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258.83499999999998</v>
          </cell>
          <cell r="D15">
            <v>578.524</v>
          </cell>
          <cell r="E15">
            <v>183.52199999999999</v>
          </cell>
          <cell r="F15">
            <v>370.28100000000001</v>
          </cell>
          <cell r="G15">
            <v>1</v>
          </cell>
          <cell r="H15">
            <v>70</v>
          </cell>
          <cell r="I15" t="str">
            <v>НЕДОГРУЗ / матрица</v>
          </cell>
          <cell r="K15">
            <v>167.3</v>
          </cell>
          <cell r="L15">
            <v>16.22199999999998</v>
          </cell>
          <cell r="O15">
            <v>126.9810882813124</v>
          </cell>
          <cell r="Q15">
            <v>0</v>
          </cell>
          <cell r="T15">
            <v>36.7044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933.52499999999998</v>
          </cell>
          <cell r="D16">
            <v>3664.058</v>
          </cell>
          <cell r="E16">
            <v>1306.7619999999999</v>
          </cell>
          <cell r="F16">
            <v>2074.0459999999998</v>
          </cell>
          <cell r="G16">
            <v>1</v>
          </cell>
          <cell r="H16">
            <v>50</v>
          </cell>
          <cell r="I16" t="str">
            <v>матрица</v>
          </cell>
          <cell r="K16">
            <v>1672.5</v>
          </cell>
          <cell r="L16">
            <v>-365.73800000000006</v>
          </cell>
          <cell r="O16">
            <v>200</v>
          </cell>
          <cell r="Q16">
            <v>2052.8198000000011</v>
          </cell>
          <cell r="S16">
            <v>-510</v>
          </cell>
          <cell r="T16">
            <v>261.35239999999999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52.344000000000001</v>
          </cell>
          <cell r="D17">
            <v>26.436</v>
          </cell>
          <cell r="E17">
            <v>7.0510000000000002</v>
          </cell>
          <cell r="F17">
            <v>69.073999999999998</v>
          </cell>
          <cell r="G17">
            <v>1</v>
          </cell>
          <cell r="H17">
            <v>60</v>
          </cell>
          <cell r="I17" t="str">
            <v>матрица</v>
          </cell>
          <cell r="K17">
            <v>7.4</v>
          </cell>
          <cell r="L17">
            <v>-0.3490000000000002</v>
          </cell>
          <cell r="O17">
            <v>0</v>
          </cell>
          <cell r="Q17">
            <v>0</v>
          </cell>
          <cell r="T17">
            <v>1.4102000000000001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24.83</v>
          </cell>
          <cell r="D18">
            <v>47.454999999999998</v>
          </cell>
          <cell r="E18">
            <v>5.843</v>
          </cell>
          <cell r="F18">
            <v>59.124000000000002</v>
          </cell>
          <cell r="G18">
            <v>1</v>
          </cell>
          <cell r="H18">
            <v>60</v>
          </cell>
          <cell r="I18" t="str">
            <v>НЕДОГРУЗ / матрица</v>
          </cell>
          <cell r="K18">
            <v>6</v>
          </cell>
          <cell r="L18">
            <v>-0.15700000000000003</v>
          </cell>
          <cell r="O18">
            <v>0</v>
          </cell>
          <cell r="Q18">
            <v>0</v>
          </cell>
          <cell r="T18">
            <v>1.1686000000000001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14.474</v>
          </cell>
          <cell r="D19">
            <v>44.308999999999997</v>
          </cell>
          <cell r="E19">
            <v>24.315999999999999</v>
          </cell>
          <cell r="F19">
            <v>-0.35599999999999998</v>
          </cell>
          <cell r="G19">
            <v>1</v>
          </cell>
          <cell r="H19">
            <v>180</v>
          </cell>
          <cell r="I19" t="str">
            <v>матрица</v>
          </cell>
          <cell r="K19">
            <v>20.55</v>
          </cell>
          <cell r="L19">
            <v>3.7659999999999982</v>
          </cell>
          <cell r="O19">
            <v>0</v>
          </cell>
          <cell r="Q19">
            <v>63.97999999999999</v>
          </cell>
          <cell r="T19">
            <v>4.8632</v>
          </cell>
          <cell r="U19">
            <v>10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200.721</v>
          </cell>
          <cell r="D20">
            <v>248.965</v>
          </cell>
          <cell r="E20">
            <v>124.098</v>
          </cell>
          <cell r="F20">
            <v>292.072</v>
          </cell>
          <cell r="G20">
            <v>1</v>
          </cell>
          <cell r="H20">
            <v>60</v>
          </cell>
          <cell r="I20" t="str">
            <v>матрица</v>
          </cell>
          <cell r="K20">
            <v>113.4</v>
          </cell>
          <cell r="L20">
            <v>10.697999999999993</v>
          </cell>
          <cell r="O20">
            <v>120.11363661258849</v>
          </cell>
          <cell r="Q20">
            <v>0</v>
          </cell>
          <cell r="T20">
            <v>24.819600000000001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3.5609999999999999</v>
          </cell>
          <cell r="D21">
            <v>323.59699999999998</v>
          </cell>
          <cell r="E21">
            <v>14.904</v>
          </cell>
          <cell r="F21">
            <v>132.24</v>
          </cell>
          <cell r="G21">
            <v>1</v>
          </cell>
          <cell r="H21">
            <v>70</v>
          </cell>
          <cell r="I21" t="str">
            <v>матрица</v>
          </cell>
          <cell r="K21">
            <v>20.5</v>
          </cell>
          <cell r="L21">
            <v>-5.5960000000000001</v>
          </cell>
          <cell r="O21">
            <v>0</v>
          </cell>
          <cell r="Q21">
            <v>0</v>
          </cell>
          <cell r="T21">
            <v>2.9807999999999999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65.918999999999997</v>
          </cell>
          <cell r="D22">
            <v>300.55200000000002</v>
          </cell>
          <cell r="E22">
            <v>61.494999999999997</v>
          </cell>
          <cell r="F22">
            <v>167.727</v>
          </cell>
          <cell r="G22">
            <v>1</v>
          </cell>
          <cell r="H22">
            <v>70</v>
          </cell>
          <cell r="I22" t="str">
            <v>НЕДОГРУЗ / матрица</v>
          </cell>
          <cell r="K22">
            <v>57.3</v>
          </cell>
          <cell r="L22">
            <v>4.1950000000000003</v>
          </cell>
          <cell r="O22">
            <v>0</v>
          </cell>
          <cell r="Q22">
            <v>0</v>
          </cell>
          <cell r="T22">
            <v>12.298999999999999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C23">
            <v>12.022</v>
          </cell>
          <cell r="D23">
            <v>75.141000000000005</v>
          </cell>
          <cell r="E23">
            <v>31.407</v>
          </cell>
          <cell r="F23">
            <v>5.8010000000000002</v>
          </cell>
          <cell r="G23">
            <v>1</v>
          </cell>
          <cell r="H23">
            <v>180</v>
          </cell>
          <cell r="I23" t="str">
            <v>матрица</v>
          </cell>
          <cell r="K23">
            <v>27.95</v>
          </cell>
          <cell r="L23">
            <v>3.4570000000000007</v>
          </cell>
          <cell r="O23">
            <v>0</v>
          </cell>
          <cell r="Q23">
            <v>58.63280000000001</v>
          </cell>
          <cell r="T23">
            <v>6.2813999999999997</v>
          </cell>
          <cell r="U23">
            <v>4.6615999999999875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33.406999999999996</v>
          </cell>
          <cell r="D24">
            <v>485.142</v>
          </cell>
          <cell r="E24">
            <v>60.539000000000001</v>
          </cell>
          <cell r="F24">
            <v>130.392</v>
          </cell>
          <cell r="G24">
            <v>1</v>
          </cell>
          <cell r="H24">
            <v>70</v>
          </cell>
          <cell r="I24" t="str">
            <v>НЕДОГРУЗ / матрица</v>
          </cell>
          <cell r="K24">
            <v>52.1</v>
          </cell>
          <cell r="L24">
            <v>8.4390000000000001</v>
          </cell>
          <cell r="O24">
            <v>0</v>
          </cell>
          <cell r="Q24">
            <v>0</v>
          </cell>
          <cell r="T24">
            <v>12.107800000000001</v>
          </cell>
          <cell r="U24">
            <v>4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G25">
            <v>0</v>
          </cell>
          <cell r="I25" t="str">
            <v>матрица</v>
          </cell>
          <cell r="L25">
            <v>0</v>
          </cell>
          <cell r="Q25">
            <v>0</v>
          </cell>
          <cell r="T25">
            <v>0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D26">
            <v>246.52199999999999</v>
          </cell>
          <cell r="E26">
            <v>20.658999999999999</v>
          </cell>
          <cell r="F26">
            <v>177.697</v>
          </cell>
          <cell r="G26">
            <v>1</v>
          </cell>
          <cell r="I26" t="str">
            <v>НЕДОГРУЗ / матрица</v>
          </cell>
          <cell r="K26">
            <v>31.4</v>
          </cell>
          <cell r="L26">
            <v>-10.741</v>
          </cell>
          <cell r="O26">
            <v>55.239207031064041</v>
          </cell>
          <cell r="Q26">
            <v>0</v>
          </cell>
          <cell r="T26">
            <v>4.1318000000000001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C27">
            <v>-6.3E-2</v>
          </cell>
          <cell r="F27">
            <v>-6.3E-2</v>
          </cell>
          <cell r="G27">
            <v>1</v>
          </cell>
          <cell r="H27">
            <v>40</v>
          </cell>
          <cell r="I27" t="str">
            <v>НЕДОГРУЗ / матрица</v>
          </cell>
          <cell r="K27">
            <v>10.8</v>
          </cell>
          <cell r="L27">
            <v>-10.8</v>
          </cell>
          <cell r="O27">
            <v>126</v>
          </cell>
          <cell r="Q27">
            <v>52</v>
          </cell>
          <cell r="T27">
            <v>0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-0.155</v>
          </cell>
          <cell r="D28">
            <v>379.387</v>
          </cell>
          <cell r="E28">
            <v>184.75299999999999</v>
          </cell>
          <cell r="F28">
            <v>108.821</v>
          </cell>
          <cell r="G28">
            <v>1</v>
          </cell>
          <cell r="H28">
            <v>30</v>
          </cell>
          <cell r="I28" t="str">
            <v>НЕДОГРУЗ / матрица</v>
          </cell>
          <cell r="K28">
            <v>189.3</v>
          </cell>
          <cell r="L28">
            <v>-4.5470000000000255</v>
          </cell>
          <cell r="O28">
            <v>0</v>
          </cell>
          <cell r="Q28">
            <v>58.979179999999992</v>
          </cell>
          <cell r="T28">
            <v>36.950599999999994</v>
          </cell>
          <cell r="U28">
            <v>200</v>
          </cell>
          <cell r="V28">
            <v>280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209.53299999999999</v>
          </cell>
          <cell r="D29">
            <v>918.75400000000002</v>
          </cell>
          <cell r="E29">
            <v>410.95499999999998</v>
          </cell>
          <cell r="F29">
            <v>189.71</v>
          </cell>
          <cell r="G29">
            <v>1</v>
          </cell>
          <cell r="H29">
            <v>40</v>
          </cell>
          <cell r="I29" t="str">
            <v>НЕДОГРУЗ / матрица</v>
          </cell>
          <cell r="K29">
            <v>361.3</v>
          </cell>
          <cell r="L29">
            <v>49.654999999999973</v>
          </cell>
          <cell r="O29">
            <v>0</v>
          </cell>
          <cell r="Q29">
            <v>1111.8580199999999</v>
          </cell>
          <cell r="T29">
            <v>82.191000000000003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C30">
            <v>4.75</v>
          </cell>
          <cell r="D30">
            <v>27.341000000000001</v>
          </cell>
          <cell r="E30">
            <v>7.6840000000000002</v>
          </cell>
          <cell r="F30">
            <v>19.503</v>
          </cell>
          <cell r="G30">
            <v>1</v>
          </cell>
          <cell r="H30">
            <v>40</v>
          </cell>
          <cell r="I30" t="str">
            <v>НЕДОГРУЗ / матрица</v>
          </cell>
          <cell r="K30">
            <v>6.5</v>
          </cell>
          <cell r="L30">
            <v>1.1840000000000002</v>
          </cell>
          <cell r="O30">
            <v>34.767980045267677</v>
          </cell>
          <cell r="Q30">
            <v>26</v>
          </cell>
          <cell r="T30">
            <v>1.5367999999999999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71.459999999999994</v>
          </cell>
          <cell r="D31">
            <v>95.381</v>
          </cell>
          <cell r="E31">
            <v>89.665999999999997</v>
          </cell>
          <cell r="F31">
            <v>28.18</v>
          </cell>
          <cell r="G31">
            <v>1</v>
          </cell>
          <cell r="H31">
            <v>30</v>
          </cell>
          <cell r="I31" t="str">
            <v>матрица</v>
          </cell>
          <cell r="K31">
            <v>85.4</v>
          </cell>
          <cell r="L31">
            <v>4.2659999999999911</v>
          </cell>
          <cell r="O31">
            <v>0</v>
          </cell>
          <cell r="Q31">
            <v>163.13900000000001</v>
          </cell>
          <cell r="T31">
            <v>17.933199999999999</v>
          </cell>
          <cell r="U31">
            <v>5.9461999999999833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D32">
            <v>355.39</v>
          </cell>
          <cell r="E32">
            <v>35.710999999999999</v>
          </cell>
          <cell r="F32">
            <v>97.412999999999997</v>
          </cell>
          <cell r="G32">
            <v>1</v>
          </cell>
          <cell r="H32">
            <v>50</v>
          </cell>
          <cell r="I32" t="str">
            <v>НЕДОГРУЗ / матрица</v>
          </cell>
          <cell r="K32">
            <v>91.8</v>
          </cell>
          <cell r="L32">
            <v>-56.088999999999999</v>
          </cell>
          <cell r="O32">
            <v>0</v>
          </cell>
          <cell r="Q32">
            <v>0</v>
          </cell>
          <cell r="T32">
            <v>7.1421999999999999</v>
          </cell>
          <cell r="U32">
            <v>80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C33">
            <v>-3.66</v>
          </cell>
          <cell r="D33">
            <v>196.33699999999999</v>
          </cell>
          <cell r="E33">
            <v>-0.94899999999999995</v>
          </cell>
          <cell r="F33">
            <v>94.058000000000007</v>
          </cell>
          <cell r="G33">
            <v>1</v>
          </cell>
          <cell r="H33">
            <v>50</v>
          </cell>
          <cell r="I33" t="str">
            <v>НЕДОГРУЗ / матрица</v>
          </cell>
          <cell r="K33">
            <v>24</v>
          </cell>
          <cell r="L33">
            <v>-24.949000000000002</v>
          </cell>
          <cell r="O33">
            <v>126.3529594469065</v>
          </cell>
          <cell r="Q33">
            <v>0</v>
          </cell>
          <cell r="T33">
            <v>-0.1898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D34">
            <v>1853</v>
          </cell>
          <cell r="E34">
            <v>747</v>
          </cell>
          <cell r="F34">
            <v>1039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775</v>
          </cell>
          <cell r="L34">
            <v>-28</v>
          </cell>
          <cell r="O34">
            <v>568.63585951940854</v>
          </cell>
          <cell r="Q34">
            <v>0</v>
          </cell>
          <cell r="T34">
            <v>149.4</v>
          </cell>
          <cell r="U34">
            <v>100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243</v>
          </cell>
          <cell r="D35">
            <v>682</v>
          </cell>
          <cell r="E35">
            <v>161</v>
          </cell>
          <cell r="F35">
            <v>73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155</v>
          </cell>
          <cell r="L35">
            <v>6</v>
          </cell>
          <cell r="O35">
            <v>0</v>
          </cell>
          <cell r="Q35">
            <v>218.6</v>
          </cell>
          <cell r="T35">
            <v>32.200000000000003</v>
          </cell>
          <cell r="U35">
            <v>62.600000000000051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58</v>
          </cell>
          <cell r="D36">
            <v>581</v>
          </cell>
          <cell r="E36">
            <v>238</v>
          </cell>
          <cell r="F36">
            <v>217</v>
          </cell>
          <cell r="G36">
            <v>0.4</v>
          </cell>
          <cell r="H36">
            <v>45</v>
          </cell>
          <cell r="I36" t="str">
            <v>НЕДОГРУЗ / матрица</v>
          </cell>
          <cell r="K36">
            <v>238</v>
          </cell>
          <cell r="L36">
            <v>0</v>
          </cell>
          <cell r="O36">
            <v>50</v>
          </cell>
          <cell r="Q36">
            <v>104</v>
          </cell>
          <cell r="T36">
            <v>47.6</v>
          </cell>
          <cell r="U36">
            <v>152.60000000000002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D37">
            <v>150</v>
          </cell>
          <cell r="G37">
            <v>0.4</v>
          </cell>
          <cell r="H37">
            <v>40</v>
          </cell>
          <cell r="I37" t="str">
            <v>НЕДОГРУЗ / матрица</v>
          </cell>
          <cell r="L37">
            <v>0</v>
          </cell>
          <cell r="O37">
            <v>75.581395348837205</v>
          </cell>
          <cell r="Q37">
            <v>0</v>
          </cell>
          <cell r="T37">
            <v>0</v>
          </cell>
          <cell r="U37">
            <v>30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7.1020000000000003</v>
          </cell>
          <cell r="D38">
            <v>115.23099999999999</v>
          </cell>
          <cell r="E38">
            <v>32.363</v>
          </cell>
          <cell r="F38">
            <v>70.415999999999997</v>
          </cell>
          <cell r="G38">
            <v>1</v>
          </cell>
          <cell r="H38">
            <v>45</v>
          </cell>
          <cell r="I38" t="str">
            <v>НЕДОГРУЗ / матрица</v>
          </cell>
          <cell r="K38">
            <v>32.6</v>
          </cell>
          <cell r="L38">
            <v>-0.23700000000000188</v>
          </cell>
          <cell r="O38">
            <v>31.517523165112291</v>
          </cell>
          <cell r="Q38">
            <v>13</v>
          </cell>
          <cell r="T38">
            <v>6.4725999999999999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80</v>
          </cell>
          <cell r="D39">
            <v>260</v>
          </cell>
          <cell r="E39">
            <v>146</v>
          </cell>
          <cell r="F39">
            <v>-3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157</v>
          </cell>
          <cell r="L39">
            <v>-11</v>
          </cell>
          <cell r="O39">
            <v>284.8763285024155</v>
          </cell>
          <cell r="Q39">
            <v>374.52367149758442</v>
          </cell>
          <cell r="T39">
            <v>29.2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C40">
            <v>2</v>
          </cell>
          <cell r="E40">
            <v>-1</v>
          </cell>
          <cell r="F40">
            <v>2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26</v>
          </cell>
          <cell r="L40">
            <v>-27</v>
          </cell>
          <cell r="O40">
            <v>136</v>
          </cell>
          <cell r="Q40">
            <v>65</v>
          </cell>
          <cell r="T40">
            <v>-0.2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-6.4000000000000001E-2</v>
          </cell>
          <cell r="D41">
            <v>208.499</v>
          </cell>
          <cell r="E41">
            <v>31.774999999999999</v>
          </cell>
          <cell r="F41">
            <v>175.83699999999999</v>
          </cell>
          <cell r="G41">
            <v>1</v>
          </cell>
          <cell r="H41">
            <v>40</v>
          </cell>
          <cell r="I41" t="str">
            <v>НЕДОГРУЗ / матрица</v>
          </cell>
          <cell r="K41">
            <v>74.2</v>
          </cell>
          <cell r="L41">
            <v>-42.425000000000004</v>
          </cell>
          <cell r="O41">
            <v>69.400144604067776</v>
          </cell>
          <cell r="Q41">
            <v>0</v>
          </cell>
          <cell r="T41">
            <v>6.3549999999999995</v>
          </cell>
        </row>
        <row r="42">
          <cell r="A42" t="str">
            <v xml:space="preserve"> 298  Колбаса Сливушка ТМ Вязанка, 0,375кг,  ПОКОМ</v>
          </cell>
          <cell r="B42" t="str">
            <v>шт</v>
          </cell>
          <cell r="C42">
            <v>-4</v>
          </cell>
          <cell r="D42">
            <v>4</v>
          </cell>
          <cell r="G42">
            <v>0</v>
          </cell>
          <cell r="H42">
            <v>50</v>
          </cell>
          <cell r="I42" t="str">
            <v>не в матрице</v>
          </cell>
          <cell r="L42">
            <v>0</v>
          </cell>
          <cell r="Q42">
            <v>0</v>
          </cell>
          <cell r="T42">
            <v>0</v>
          </cell>
        </row>
        <row r="43">
          <cell r="A43" t="str">
            <v xml:space="preserve"> 301  Сосиски Сочинки по-баварски с сыром,  0.4кг, ТМ Стародворье  ПОКОМ</v>
          </cell>
          <cell r="B43" t="str">
            <v>шт</v>
          </cell>
          <cell r="C43">
            <v>47</v>
          </cell>
          <cell r="D43">
            <v>102</v>
          </cell>
          <cell r="E43">
            <v>101</v>
          </cell>
          <cell r="F43">
            <v>38</v>
          </cell>
          <cell r="G43">
            <v>0.4</v>
          </cell>
          <cell r="H43">
            <v>40</v>
          </cell>
          <cell r="I43" t="str">
            <v>НЕДОГРУЗ / матрица</v>
          </cell>
          <cell r="K43">
            <v>95</v>
          </cell>
          <cell r="L43">
            <v>6</v>
          </cell>
          <cell r="O43">
            <v>85.296167247386762</v>
          </cell>
          <cell r="Q43">
            <v>130</v>
          </cell>
          <cell r="T43">
            <v>20.2</v>
          </cell>
        </row>
        <row r="44">
          <cell r="A44" t="str">
            <v xml:space="preserve"> 302  Сосиски Сочинки по-баварски,  0.4кг, ТМ Стародворье  ПОКОМ</v>
          </cell>
          <cell r="B44" t="str">
            <v>шт</v>
          </cell>
          <cell r="D44">
            <v>258</v>
          </cell>
          <cell r="E44">
            <v>26</v>
          </cell>
          <cell r="F44">
            <v>140</v>
          </cell>
          <cell r="G44">
            <v>0.4</v>
          </cell>
          <cell r="H44">
            <v>45</v>
          </cell>
          <cell r="I44" t="str">
            <v>матрица</v>
          </cell>
          <cell r="K44">
            <v>26</v>
          </cell>
          <cell r="L44">
            <v>0</v>
          </cell>
          <cell r="O44">
            <v>125.51020408163259</v>
          </cell>
          <cell r="Q44">
            <v>0</v>
          </cell>
          <cell r="T44">
            <v>5.2</v>
          </cell>
        </row>
        <row r="45">
          <cell r="A45" t="str">
            <v xml:space="preserve"> 305  Колбаса Сервелат Мясорубский с мелкорубленным окороком в/у  ТМ Стародворье ВЕС   ПОКОМ</v>
          </cell>
          <cell r="B45" t="str">
            <v>кг</v>
          </cell>
          <cell r="C45">
            <v>21.068000000000001</v>
          </cell>
          <cell r="D45">
            <v>205.20599999999999</v>
          </cell>
          <cell r="E45">
            <v>85.546999999999997</v>
          </cell>
          <cell r="F45">
            <v>40.094000000000001</v>
          </cell>
          <cell r="G45">
            <v>1</v>
          </cell>
          <cell r="H45">
            <v>40</v>
          </cell>
          <cell r="I45" t="str">
            <v>НЕДОГРУЗ / матрица</v>
          </cell>
          <cell r="K45">
            <v>118.9</v>
          </cell>
          <cell r="L45">
            <v>-33.353000000000009</v>
          </cell>
          <cell r="O45">
            <v>0</v>
          </cell>
          <cell r="Q45">
            <v>130</v>
          </cell>
          <cell r="T45">
            <v>17.109400000000001</v>
          </cell>
          <cell r="U45">
            <v>30</v>
          </cell>
        </row>
        <row r="46">
          <cell r="A46" t="str">
            <v xml:space="preserve"> 307  Колбаса Сервелат Мясорубский с мелкорубленным окороком 0,35 кг срез ТМ Стародворье   Поком</v>
          </cell>
          <cell r="B46" t="str">
            <v>шт</v>
          </cell>
          <cell r="C46">
            <v>47</v>
          </cell>
          <cell r="D46">
            <v>3</v>
          </cell>
          <cell r="E46">
            <v>67</v>
          </cell>
          <cell r="G46">
            <v>0.35</v>
          </cell>
          <cell r="H46">
            <v>40</v>
          </cell>
          <cell r="I46" t="str">
            <v>НЕДОГРУЗ / матрица</v>
          </cell>
          <cell r="K46">
            <v>83</v>
          </cell>
          <cell r="L46">
            <v>-16</v>
          </cell>
          <cell r="O46">
            <v>124.5150501672241</v>
          </cell>
          <cell r="Q46">
            <v>195</v>
          </cell>
          <cell r="T46">
            <v>13.4</v>
          </cell>
        </row>
        <row r="47">
          <cell r="A47" t="str">
            <v xml:space="preserve"> 309  Сосиски Сочинки с сыром 0,4 кг ТМ Стародворье  ПОКОМ</v>
          </cell>
          <cell r="B47" t="str">
            <v>шт</v>
          </cell>
          <cell r="C47">
            <v>330</v>
          </cell>
          <cell r="D47">
            <v>259</v>
          </cell>
          <cell r="E47">
            <v>233</v>
          </cell>
          <cell r="F47">
            <v>219</v>
          </cell>
          <cell r="G47">
            <v>0.4</v>
          </cell>
          <cell r="H47">
            <v>40</v>
          </cell>
          <cell r="I47" t="str">
            <v>НЕДОГРУЗ / матрица</v>
          </cell>
          <cell r="K47">
            <v>223</v>
          </cell>
          <cell r="L47">
            <v>10</v>
          </cell>
          <cell r="O47">
            <v>0</v>
          </cell>
          <cell r="Q47">
            <v>298.74</v>
          </cell>
          <cell r="T47">
            <v>46.6</v>
          </cell>
        </row>
        <row r="48">
          <cell r="A48" t="str">
            <v xml:space="preserve"> 312  Ветчина Филейская ВЕС ТМ  Вязанка ТС Столичная  ПОКОМ</v>
          </cell>
          <cell r="B48" t="str">
            <v>кг</v>
          </cell>
          <cell r="C48">
            <v>33.649000000000001</v>
          </cell>
          <cell r="D48">
            <v>118.65300000000001</v>
          </cell>
          <cell r="E48">
            <v>20.704000000000001</v>
          </cell>
          <cell r="F48">
            <v>134.81200000000001</v>
          </cell>
          <cell r="G48">
            <v>1</v>
          </cell>
          <cell r="H48">
            <v>50</v>
          </cell>
          <cell r="I48" t="str">
            <v>матрица</v>
          </cell>
          <cell r="K48">
            <v>18</v>
          </cell>
          <cell r="L48">
            <v>2.7040000000000006</v>
          </cell>
          <cell r="O48">
            <v>23.31891103012844</v>
          </cell>
          <cell r="Q48">
            <v>0</v>
          </cell>
          <cell r="T48">
            <v>4.1408000000000005</v>
          </cell>
        </row>
        <row r="49">
          <cell r="A49" t="str">
            <v xml:space="preserve"> 315  Колбаса вареная Молокуша ТМ Вязанка ВЕС, ПОКОМ</v>
          </cell>
          <cell r="B49" t="str">
            <v>кг</v>
          </cell>
          <cell r="D49">
            <v>389.73399999999998</v>
          </cell>
          <cell r="E49">
            <v>57.591000000000001</v>
          </cell>
          <cell r="F49">
            <v>164.82900000000001</v>
          </cell>
          <cell r="G49">
            <v>1</v>
          </cell>
          <cell r="H49">
            <v>50</v>
          </cell>
          <cell r="I49" t="str">
            <v>матрица</v>
          </cell>
          <cell r="K49">
            <v>55.6</v>
          </cell>
          <cell r="L49">
            <v>1.9909999999999997</v>
          </cell>
          <cell r="O49">
            <v>0</v>
          </cell>
          <cell r="Q49">
            <v>0</v>
          </cell>
          <cell r="T49">
            <v>11.5182</v>
          </cell>
        </row>
        <row r="50">
          <cell r="A50" t="str">
            <v xml:space="preserve"> 318  Сосиски Датские ТМ Зареченские, ВЕС  ПОКОМ</v>
          </cell>
          <cell r="B50" t="str">
            <v>кг</v>
          </cell>
          <cell r="C50">
            <v>0.434</v>
          </cell>
          <cell r="D50">
            <v>262.47500000000002</v>
          </cell>
          <cell r="F50">
            <v>95.174000000000007</v>
          </cell>
          <cell r="G50">
            <v>1</v>
          </cell>
          <cell r="H50">
            <v>45</v>
          </cell>
          <cell r="I50" t="str">
            <v>НЕДОГРУЗ / матрица</v>
          </cell>
          <cell r="K50">
            <v>2.8</v>
          </cell>
          <cell r="L50">
            <v>-2.8</v>
          </cell>
          <cell r="O50">
            <v>0</v>
          </cell>
          <cell r="Q50">
            <v>0</v>
          </cell>
          <cell r="T50">
            <v>0</v>
          </cell>
        </row>
        <row r="51">
          <cell r="A51" t="str">
            <v xml:space="preserve"> 319  Колбаса вареная Филейская ТМ Вязанка ТС Классическая, 0,45 кг. ПОКОМ</v>
          </cell>
          <cell r="B51" t="str">
            <v>шт</v>
          </cell>
          <cell r="C51">
            <v>103</v>
          </cell>
          <cell r="D51">
            <v>406</v>
          </cell>
          <cell r="E51">
            <v>49</v>
          </cell>
          <cell r="F51">
            <v>139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55</v>
          </cell>
          <cell r="L51">
            <v>-6</v>
          </cell>
          <cell r="O51">
            <v>0</v>
          </cell>
          <cell r="Q51">
            <v>12.6</v>
          </cell>
          <cell r="T51">
            <v>9.8000000000000007</v>
          </cell>
        </row>
        <row r="52">
          <cell r="A52" t="str">
            <v xml:space="preserve"> 322  Колбаса вареная Молокуша 0,45кг ТМ Вязанка  ПОКОМ</v>
          </cell>
          <cell r="B52" t="str">
            <v>шт</v>
          </cell>
          <cell r="C52">
            <v>230</v>
          </cell>
          <cell r="D52">
            <v>49</v>
          </cell>
          <cell r="E52">
            <v>115</v>
          </cell>
          <cell r="F52">
            <v>120</v>
          </cell>
          <cell r="G52">
            <v>0.45</v>
          </cell>
          <cell r="H52">
            <v>50</v>
          </cell>
          <cell r="I52" t="str">
            <v>матрица</v>
          </cell>
          <cell r="K52">
            <v>109</v>
          </cell>
          <cell r="L52">
            <v>6</v>
          </cell>
          <cell r="O52">
            <v>52.911627906976747</v>
          </cell>
          <cell r="Q52">
            <v>20</v>
          </cell>
          <cell r="T52">
            <v>23</v>
          </cell>
          <cell r="U52">
            <v>60.088372093023253</v>
          </cell>
        </row>
        <row r="53">
          <cell r="A53" t="str">
            <v xml:space="preserve"> 328  Сардельки Сочинки Стародворье ТМ  0,4 кг ПОКОМ</v>
          </cell>
          <cell r="B53" t="str">
            <v>шт</v>
          </cell>
          <cell r="C53">
            <v>21</v>
          </cell>
          <cell r="D53">
            <v>55</v>
          </cell>
          <cell r="E53">
            <v>40</v>
          </cell>
          <cell r="F53">
            <v>38</v>
          </cell>
          <cell r="G53">
            <v>0.4</v>
          </cell>
          <cell r="H53">
            <v>40</v>
          </cell>
          <cell r="I53" t="str">
            <v>НЕДОГРУЗ / матрица</v>
          </cell>
          <cell r="K53">
            <v>35</v>
          </cell>
          <cell r="L53">
            <v>5</v>
          </cell>
          <cell r="O53">
            <v>29.228070175438599</v>
          </cell>
          <cell r="Q53">
            <v>26</v>
          </cell>
          <cell r="T53">
            <v>8</v>
          </cell>
        </row>
        <row r="54">
          <cell r="A54" t="str">
            <v xml:space="preserve"> 329  Сардельки Сочинки с сыром Стародворье ТМ, 0,4 кг. ПОКОМ</v>
          </cell>
          <cell r="B54" t="str">
            <v>шт</v>
          </cell>
          <cell r="C54">
            <v>50</v>
          </cell>
          <cell r="D54">
            <v>43</v>
          </cell>
          <cell r="E54">
            <v>45</v>
          </cell>
          <cell r="F54">
            <v>50</v>
          </cell>
          <cell r="G54">
            <v>0.4</v>
          </cell>
          <cell r="H54">
            <v>40</v>
          </cell>
          <cell r="I54" t="str">
            <v>НЕДОГРУЗ / матрица</v>
          </cell>
          <cell r="K54">
            <v>40</v>
          </cell>
          <cell r="L54">
            <v>5</v>
          </cell>
          <cell r="O54">
            <v>4</v>
          </cell>
          <cell r="Q54">
            <v>45.759999999999977</v>
          </cell>
          <cell r="T54">
            <v>9</v>
          </cell>
        </row>
        <row r="55">
          <cell r="A55" t="str">
            <v xml:space="preserve"> 330  Колбаса вареная Филейская ТМ Вязанка ТС Классическая ВЕС  ПОКОМ</v>
          </cell>
          <cell r="B55" t="str">
            <v>кг</v>
          </cell>
          <cell r="C55">
            <v>16.245999999999999</v>
          </cell>
          <cell r="D55">
            <v>240.25899999999999</v>
          </cell>
          <cell r="E55">
            <v>36.345999999999997</v>
          </cell>
          <cell r="F55">
            <v>71.468000000000004</v>
          </cell>
          <cell r="G55">
            <v>1</v>
          </cell>
          <cell r="H55">
            <v>50</v>
          </cell>
          <cell r="I55" t="str">
            <v>матрица</v>
          </cell>
          <cell r="K55">
            <v>27.1</v>
          </cell>
          <cell r="L55">
            <v>9.2459999999999951</v>
          </cell>
          <cell r="O55">
            <v>0</v>
          </cell>
          <cell r="Q55">
            <v>0</v>
          </cell>
          <cell r="T55">
            <v>7.2691999999999997</v>
          </cell>
          <cell r="U55">
            <v>8.4931999999999874</v>
          </cell>
        </row>
        <row r="56">
          <cell r="A56" t="str">
            <v xml:space="preserve"> 334  Паштет Любительский ТМ Стародворье ламистер 0,1 кг  ПОКОМ</v>
          </cell>
          <cell r="B56" t="str">
            <v>шт</v>
          </cell>
          <cell r="C56">
            <v>157</v>
          </cell>
          <cell r="D56">
            <v>180</v>
          </cell>
          <cell r="E56">
            <v>179</v>
          </cell>
          <cell r="F56">
            <v>135</v>
          </cell>
          <cell r="G56">
            <v>0.1</v>
          </cell>
          <cell r="H56">
            <v>731</v>
          </cell>
          <cell r="I56" t="str">
            <v>матрица</v>
          </cell>
          <cell r="K56">
            <v>135</v>
          </cell>
          <cell r="L56">
            <v>44</v>
          </cell>
          <cell r="O56">
            <v>215.525052631579</v>
          </cell>
          <cell r="Q56">
            <v>86.474947368421113</v>
          </cell>
          <cell r="T56">
            <v>35.799999999999997</v>
          </cell>
        </row>
        <row r="57">
          <cell r="A57" t="str">
            <v xml:space="preserve"> 335  Колбаса Сливушка ТМ Вязанка. ВЕС.  ПОКОМ </v>
          </cell>
          <cell r="B57" t="str">
            <v>кг</v>
          </cell>
          <cell r="C57">
            <v>6.6539999999999999</v>
          </cell>
          <cell r="D57">
            <v>269.88900000000001</v>
          </cell>
          <cell r="E57">
            <v>21.364999999999998</v>
          </cell>
          <cell r="F57">
            <v>105.723</v>
          </cell>
          <cell r="G57">
            <v>1</v>
          </cell>
          <cell r="H57">
            <v>50</v>
          </cell>
          <cell r="I57" t="str">
            <v>матрица</v>
          </cell>
          <cell r="K57">
            <v>20.100000000000001</v>
          </cell>
          <cell r="L57">
            <v>1.264999999999997</v>
          </cell>
          <cell r="O57">
            <v>67.325150343878946</v>
          </cell>
          <cell r="Q57">
            <v>13.907999999999999</v>
          </cell>
          <cell r="T57">
            <v>4.2729999999999997</v>
          </cell>
        </row>
        <row r="58">
          <cell r="A58" t="str">
            <v xml:space="preserve"> 336  Ветчина Сливушка с индейкой ТМ Вязанка. ВЕС  ПОКОМ</v>
          </cell>
          <cell r="B58" t="str">
            <v>кг</v>
          </cell>
          <cell r="C58">
            <v>8.9999999999999993E-3</v>
          </cell>
          <cell r="D58">
            <v>64.917000000000002</v>
          </cell>
          <cell r="E58">
            <v>18.881</v>
          </cell>
          <cell r="F58">
            <v>44.698999999999998</v>
          </cell>
          <cell r="G58">
            <v>1</v>
          </cell>
          <cell r="H58">
            <v>55</v>
          </cell>
          <cell r="I58" t="str">
            <v>матрица</v>
          </cell>
          <cell r="K58">
            <v>18.3</v>
          </cell>
          <cell r="L58">
            <v>0.58099999999999952</v>
          </cell>
          <cell r="O58">
            <v>42.548510946944248</v>
          </cell>
          <cell r="Q58">
            <v>0</v>
          </cell>
          <cell r="T58">
            <v>3.7762000000000002</v>
          </cell>
        </row>
        <row r="59">
          <cell r="A59" t="str">
            <v xml:space="preserve"> 338  Паштет печеночный с морковью ТМ Стародворье ламистер 0,1 кг.  ПОКОМ</v>
          </cell>
          <cell r="B59" t="str">
            <v>шт</v>
          </cell>
          <cell r="C59">
            <v>189</v>
          </cell>
          <cell r="E59">
            <v>148</v>
          </cell>
          <cell r="F59">
            <v>43</v>
          </cell>
          <cell r="G59">
            <v>0.1</v>
          </cell>
          <cell r="H59">
            <v>731</v>
          </cell>
          <cell r="I59" t="str">
            <v>матрица</v>
          </cell>
          <cell r="K59">
            <v>141</v>
          </cell>
          <cell r="L59">
            <v>7</v>
          </cell>
          <cell r="O59">
            <v>91.06797642436149</v>
          </cell>
          <cell r="Q59">
            <v>221.53202357563839</v>
          </cell>
          <cell r="T59">
            <v>29.6</v>
          </cell>
        </row>
        <row r="60">
          <cell r="A60" t="str">
            <v xml:space="preserve"> 339  Колбаса вареная Филейская ТМ Вязанка ТС Классическая, 0,40 кг.  ПОКОМ</v>
          </cell>
          <cell r="B60" t="str">
            <v>шт</v>
          </cell>
          <cell r="C60">
            <v>14</v>
          </cell>
          <cell r="D60">
            <v>33</v>
          </cell>
          <cell r="E60">
            <v>14</v>
          </cell>
          <cell r="F60">
            <v>2</v>
          </cell>
          <cell r="G60">
            <v>0.4</v>
          </cell>
          <cell r="H60">
            <v>50</v>
          </cell>
          <cell r="I60" t="str">
            <v>матрица</v>
          </cell>
          <cell r="K60">
            <v>14</v>
          </cell>
          <cell r="L60">
            <v>0</v>
          </cell>
          <cell r="O60">
            <v>0</v>
          </cell>
          <cell r="Q60">
            <v>8.4000000000000021</v>
          </cell>
          <cell r="T60">
            <v>2.8</v>
          </cell>
          <cell r="U60">
            <v>20.399999999999995</v>
          </cell>
        </row>
        <row r="61">
          <cell r="A61" t="str">
            <v xml:space="preserve"> 340  Сосиски Сочинки Молочные ТМ Стародворье, ВЕС ПОКОМ</v>
          </cell>
          <cell r="B61" t="str">
            <v>кг</v>
          </cell>
          <cell r="C61">
            <v>62.716000000000001</v>
          </cell>
          <cell r="D61">
            <v>211.18600000000001</v>
          </cell>
          <cell r="E61">
            <v>146.48599999999999</v>
          </cell>
          <cell r="F61">
            <v>62.875</v>
          </cell>
          <cell r="G61">
            <v>1</v>
          </cell>
          <cell r="H61">
            <v>40</v>
          </cell>
          <cell r="I61" t="str">
            <v>НЕДОГРУЗ / матрица</v>
          </cell>
          <cell r="K61">
            <v>150.1</v>
          </cell>
          <cell r="L61">
            <v>-3.6140000000000043</v>
          </cell>
          <cell r="O61">
            <v>82.974373640960252</v>
          </cell>
          <cell r="Q61">
            <v>125.4214342667517</v>
          </cell>
          <cell r="T61">
            <v>29.297199999999997</v>
          </cell>
          <cell r="U61">
            <v>50.998392092288</v>
          </cell>
        </row>
        <row r="62">
          <cell r="A62" t="str">
            <v xml:space="preserve"> 341 Сосиски Сочинки Сливочные ТМ Стародворье ВЕС ПОКОМ</v>
          </cell>
          <cell r="B62" t="str">
            <v>кг</v>
          </cell>
          <cell r="C62">
            <v>-1.748</v>
          </cell>
          <cell r="D62">
            <v>8.2989999999999995</v>
          </cell>
          <cell r="E62">
            <v>8.3330000000000002</v>
          </cell>
          <cell r="F62">
            <v>-0.13900000000000001</v>
          </cell>
          <cell r="G62">
            <v>1</v>
          </cell>
          <cell r="H62">
            <v>40</v>
          </cell>
          <cell r="I62" t="str">
            <v>НЕДОГРУЗ / матрица</v>
          </cell>
          <cell r="K62">
            <v>18.600000000000001</v>
          </cell>
          <cell r="L62">
            <v>-10.267000000000001</v>
          </cell>
          <cell r="O62">
            <v>157.7291886195996</v>
          </cell>
          <cell r="Q62">
            <v>65</v>
          </cell>
          <cell r="T62">
            <v>1.6666000000000001</v>
          </cell>
        </row>
        <row r="63">
          <cell r="A63" t="str">
            <v xml:space="preserve"> 342 Сосиски Сочинки Молочные ТМ Стародворье 0,4 кг ПОКОМ</v>
          </cell>
          <cell r="B63" t="str">
            <v>шт</v>
          </cell>
          <cell r="C63">
            <v>132</v>
          </cell>
          <cell r="D63">
            <v>1007</v>
          </cell>
          <cell r="E63">
            <v>367</v>
          </cell>
          <cell r="F63">
            <v>294</v>
          </cell>
          <cell r="G63">
            <v>0.4</v>
          </cell>
          <cell r="H63">
            <v>40</v>
          </cell>
          <cell r="I63" t="str">
            <v>НЕДОГРУЗ / матрица</v>
          </cell>
          <cell r="K63">
            <v>368</v>
          </cell>
          <cell r="L63">
            <v>-1</v>
          </cell>
          <cell r="O63">
            <v>64.264919941775844</v>
          </cell>
          <cell r="Q63">
            <v>195</v>
          </cell>
          <cell r="T63">
            <v>73.400000000000006</v>
          </cell>
          <cell r="U63">
            <v>254.13508005822428</v>
          </cell>
        </row>
        <row r="64">
          <cell r="A64" t="str">
            <v xml:space="preserve"> 343 Сосиски Сочинки Сливочные ТМ Стародворье  0,4 кг ПОКОМ</v>
          </cell>
          <cell r="B64" t="str">
            <v>шт</v>
          </cell>
          <cell r="C64">
            <v>86</v>
          </cell>
          <cell r="D64">
            <v>355</v>
          </cell>
          <cell r="E64">
            <v>186</v>
          </cell>
          <cell r="F64">
            <v>234</v>
          </cell>
          <cell r="G64">
            <v>0.4</v>
          </cell>
          <cell r="H64">
            <v>40</v>
          </cell>
          <cell r="I64" t="str">
            <v>матрица</v>
          </cell>
          <cell r="K64">
            <v>197</v>
          </cell>
          <cell r="L64">
            <v>-11</v>
          </cell>
          <cell r="O64">
            <v>140.38267875125879</v>
          </cell>
          <cell r="Q64">
            <v>0</v>
          </cell>
          <cell r="T64">
            <v>37.200000000000003</v>
          </cell>
          <cell r="U64">
            <v>34.817321248741223</v>
          </cell>
        </row>
        <row r="65">
          <cell r="A65" t="str">
            <v xml:space="preserve"> 344  Колбаса Сочинка по-европейски с сочной грудинкой ТМ Стародворье, ВЕС ПОКОМ</v>
          </cell>
          <cell r="B65" t="str">
            <v>кг</v>
          </cell>
          <cell r="C65">
            <v>-8.1000000000000003E-2</v>
          </cell>
          <cell r="D65">
            <v>130.256</v>
          </cell>
          <cell r="E65">
            <v>0.91800000000000004</v>
          </cell>
          <cell r="F65">
            <v>38.722000000000001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64.2</v>
          </cell>
          <cell r="L65">
            <v>-63.282000000000004</v>
          </cell>
          <cell r="O65">
            <v>66.72749588742191</v>
          </cell>
          <cell r="Q65">
            <v>26</v>
          </cell>
          <cell r="T65">
            <v>0.18360000000000001</v>
          </cell>
          <cell r="U65">
            <v>20</v>
          </cell>
        </row>
        <row r="66">
          <cell r="A66" t="str">
            <v xml:space="preserve"> 345  Колбаса Сочинка по-фински с сочным окроком ТМ Стародворье ВЕС ПОКОМ</v>
          </cell>
          <cell r="B66" t="str">
            <v>кг</v>
          </cell>
          <cell r="D66">
            <v>102.29900000000001</v>
          </cell>
          <cell r="E66">
            <v>-4.4249999999999998</v>
          </cell>
          <cell r="F66">
            <v>11.657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4.5</v>
          </cell>
          <cell r="L66">
            <v>-8.9250000000000007</v>
          </cell>
          <cell r="O66">
            <v>65.506768635724328</v>
          </cell>
          <cell r="Q66">
            <v>26</v>
          </cell>
          <cell r="T66">
            <v>-0.88500000000000001</v>
          </cell>
        </row>
        <row r="67">
          <cell r="A67" t="str">
            <v xml:space="preserve"> 346  Колбаса Сочинка зернистая с сочной грудинкой ТМ Стародворье.ВЕС ПОКОМ</v>
          </cell>
          <cell r="B67" t="str">
            <v>кг</v>
          </cell>
          <cell r="C67">
            <v>50.837000000000003</v>
          </cell>
          <cell r="D67">
            <v>5.4580000000000002</v>
          </cell>
          <cell r="E67">
            <v>75.828999999999994</v>
          </cell>
          <cell r="F67">
            <v>-0.41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55.6</v>
          </cell>
          <cell r="L67">
            <v>20.228999999999992</v>
          </cell>
          <cell r="O67">
            <v>185.44251614261961</v>
          </cell>
          <cell r="Q67">
            <v>260</v>
          </cell>
          <cell r="T67">
            <v>15.165799999999999</v>
          </cell>
        </row>
        <row r="68">
          <cell r="A68" t="str">
            <v xml:space="preserve"> 347  Колбаса Сочинка рубленая с сочным окороком ТМ Стародворье ВЕС ПОКОМ</v>
          </cell>
          <cell r="B68" t="str">
            <v>кг</v>
          </cell>
          <cell r="G68">
            <v>1</v>
          </cell>
          <cell r="H68">
            <v>40</v>
          </cell>
          <cell r="I68" t="str">
            <v>НЕДОГРУЗ / матрица</v>
          </cell>
          <cell r="K68">
            <v>4.5</v>
          </cell>
          <cell r="L68">
            <v>-4.5</v>
          </cell>
          <cell r="O68">
            <v>94.231088526074814</v>
          </cell>
          <cell r="Q68">
            <v>26</v>
          </cell>
          <cell r="T68">
            <v>0</v>
          </cell>
        </row>
        <row r="69">
          <cell r="A69" t="str">
            <v xml:space="preserve"> 355  Колбаса Сервелат запеченный ТМ Стародворье ТС Дугушка. 0,6 кг. ПОКОМ</v>
          </cell>
          <cell r="B69" t="str">
            <v>шт</v>
          </cell>
          <cell r="G69">
            <v>0</v>
          </cell>
          <cell r="I69" t="str">
            <v>матрица</v>
          </cell>
          <cell r="L69">
            <v>0</v>
          </cell>
          <cell r="Q69">
            <v>0</v>
          </cell>
          <cell r="T69">
            <v>0</v>
          </cell>
        </row>
        <row r="70">
          <cell r="A70" t="str">
            <v xml:space="preserve"> 364  Сардельки Филейские Вязанка ВЕС NDX ТМ Вязанка  ПОКОМ</v>
          </cell>
          <cell r="B70" t="str">
            <v>кг</v>
          </cell>
          <cell r="C70">
            <v>57.883000000000003</v>
          </cell>
          <cell r="D70">
            <v>218.93899999999999</v>
          </cell>
          <cell r="E70">
            <v>114.258</v>
          </cell>
          <cell r="F70">
            <v>154.191</v>
          </cell>
          <cell r="G70">
            <v>1</v>
          </cell>
          <cell r="H70">
            <v>30</v>
          </cell>
          <cell r="I70" t="str">
            <v>НЕДОГРУЗ / матрица</v>
          </cell>
          <cell r="K70">
            <v>122.1</v>
          </cell>
          <cell r="L70">
            <v>-7.8419999999999987</v>
          </cell>
          <cell r="O70">
            <v>61.041236403526483</v>
          </cell>
          <cell r="Q70">
            <v>87.828732675415679</v>
          </cell>
          <cell r="T70">
            <v>22.851599999999998</v>
          </cell>
          <cell r="U70">
            <v>30</v>
          </cell>
        </row>
        <row r="71">
          <cell r="A71" t="str">
            <v xml:space="preserve"> 376  Колбаса Докторская Дугушка 0,6кг ГОСТ ТМ Стародворье  ПОКОМ </v>
          </cell>
          <cell r="B71" t="str">
            <v>шт</v>
          </cell>
          <cell r="C71">
            <v>100</v>
          </cell>
          <cell r="D71">
            <v>66</v>
          </cell>
          <cell r="E71">
            <v>28</v>
          </cell>
          <cell r="F71">
            <v>115</v>
          </cell>
          <cell r="G71">
            <v>0.6</v>
          </cell>
          <cell r="H71">
            <v>60</v>
          </cell>
          <cell r="I71" t="str">
            <v>матрица</v>
          </cell>
          <cell r="K71">
            <v>30</v>
          </cell>
          <cell r="L71">
            <v>-2</v>
          </cell>
          <cell r="O71">
            <v>77.89787234042555</v>
          </cell>
          <cell r="Q71">
            <v>0</v>
          </cell>
          <cell r="T71">
            <v>5.6</v>
          </cell>
        </row>
        <row r="72">
          <cell r="A72" t="str">
            <v xml:space="preserve"> 377  Колбаса Молочная Дугушка 0,6кг ТМ Стародворье  ПОКОМ</v>
          </cell>
          <cell r="B72" t="str">
            <v>шт</v>
          </cell>
          <cell r="C72">
            <v>110</v>
          </cell>
          <cell r="D72">
            <v>178</v>
          </cell>
          <cell r="E72">
            <v>56</v>
          </cell>
          <cell r="F72">
            <v>194</v>
          </cell>
          <cell r="G72">
            <v>0.6</v>
          </cell>
          <cell r="H72">
            <v>60</v>
          </cell>
          <cell r="I72" t="str">
            <v>матрица</v>
          </cell>
          <cell r="K72">
            <v>57</v>
          </cell>
          <cell r="L72">
            <v>-1</v>
          </cell>
          <cell r="O72">
            <v>66.136986301369859</v>
          </cell>
          <cell r="Q72">
            <v>0</v>
          </cell>
          <cell r="T72">
            <v>11.2</v>
          </cell>
        </row>
        <row r="73">
          <cell r="A73" t="str">
            <v xml:space="preserve"> 387  Колбаса вареная Мусульманская Халяль ТМ Вязанка, 0,4 кг ПОКОМ</v>
          </cell>
          <cell r="B73" t="str">
            <v>шт</v>
          </cell>
          <cell r="C73">
            <v>39</v>
          </cell>
          <cell r="D73">
            <v>273</v>
          </cell>
          <cell r="E73">
            <v>39</v>
          </cell>
          <cell r="F73">
            <v>92</v>
          </cell>
          <cell r="G73">
            <v>0.4</v>
          </cell>
          <cell r="H73">
            <v>90</v>
          </cell>
          <cell r="I73" t="str">
            <v>НЕДОГРУЗ / матрица</v>
          </cell>
          <cell r="K73">
            <v>43</v>
          </cell>
          <cell r="L73">
            <v>-4</v>
          </cell>
          <cell r="O73">
            <v>48.218181818181819</v>
          </cell>
          <cell r="Q73">
            <v>0</v>
          </cell>
          <cell r="T73">
            <v>7.8</v>
          </cell>
        </row>
        <row r="74">
          <cell r="A74" t="str">
            <v xml:space="preserve"> 388  Сосиски Восточные Халяль ТМ Вязанка 0,33 кг АК. ПОКОМ</v>
          </cell>
          <cell r="B74" t="str">
            <v>шт</v>
          </cell>
          <cell r="C74">
            <v>87</v>
          </cell>
          <cell r="D74">
            <v>302</v>
          </cell>
          <cell r="E74">
            <v>86</v>
          </cell>
          <cell r="F74">
            <v>82</v>
          </cell>
          <cell r="G74">
            <v>0.33</v>
          </cell>
          <cell r="H74">
            <v>60</v>
          </cell>
          <cell r="I74" t="str">
            <v>НЕДОГРУЗ / матрица</v>
          </cell>
          <cell r="K74">
            <v>108</v>
          </cell>
          <cell r="L74">
            <v>-22</v>
          </cell>
          <cell r="O74">
            <v>67.583673469387747</v>
          </cell>
          <cell r="Q74">
            <v>0</v>
          </cell>
          <cell r="T74">
            <v>17.2</v>
          </cell>
          <cell r="U74">
            <v>60</v>
          </cell>
        </row>
        <row r="75">
          <cell r="A75" t="str">
            <v xml:space="preserve"> 394 Колбаса полукопченая Аль-Ислами халяль ТМ Вязанка оболочка фиброуз в в/у 0,35 кг  ПОКОМ</v>
          </cell>
          <cell r="B75" t="str">
            <v>шт</v>
          </cell>
          <cell r="C75">
            <v>47</v>
          </cell>
          <cell r="D75">
            <v>226</v>
          </cell>
          <cell r="E75">
            <v>45</v>
          </cell>
          <cell r="F75">
            <v>1</v>
          </cell>
          <cell r="G75">
            <v>0.35</v>
          </cell>
          <cell r="H75">
            <v>90</v>
          </cell>
          <cell r="I75" t="str">
            <v>НЕДОГРУЗ / матрица</v>
          </cell>
          <cell r="K75">
            <v>62</v>
          </cell>
          <cell r="L75">
            <v>-17</v>
          </cell>
          <cell r="O75">
            <v>61.167464114832534</v>
          </cell>
          <cell r="Q75">
            <v>130</v>
          </cell>
          <cell r="T75">
            <v>9</v>
          </cell>
        </row>
        <row r="76">
          <cell r="A76" t="str">
            <v xml:space="preserve"> 395  Колбаса Докторская ГОСТ ТМ Вязанка в оболочке полиамид 0,37 кг. ПОКОМ</v>
          </cell>
          <cell r="B76" t="str">
            <v>шт</v>
          </cell>
          <cell r="C76">
            <v>3</v>
          </cell>
          <cell r="D76">
            <v>60</v>
          </cell>
          <cell r="E76">
            <v>1</v>
          </cell>
          <cell r="F76">
            <v>32</v>
          </cell>
          <cell r="G76">
            <v>0.37</v>
          </cell>
          <cell r="I76" t="str">
            <v>матрица</v>
          </cell>
          <cell r="K76">
            <v>1</v>
          </cell>
          <cell r="L76">
            <v>0</v>
          </cell>
          <cell r="O76">
            <v>0</v>
          </cell>
          <cell r="Q76">
            <v>0</v>
          </cell>
          <cell r="T76">
            <v>0.2</v>
          </cell>
        </row>
        <row r="77">
          <cell r="A77" t="str">
            <v xml:space="preserve"> 397  Ветчина Дугушка ТМ Стародворье ТС Дугушка в полиамидной оболочке 0,6 кг. ПОКОМ</v>
          </cell>
          <cell r="B77" t="str">
            <v>шт</v>
          </cell>
          <cell r="C77">
            <v>28</v>
          </cell>
          <cell r="D77">
            <v>40</v>
          </cell>
          <cell r="E77">
            <v>10</v>
          </cell>
          <cell r="F77">
            <v>-21.2</v>
          </cell>
          <cell r="G77">
            <v>0.6</v>
          </cell>
          <cell r="H77">
            <v>70</v>
          </cell>
          <cell r="I77" t="str">
            <v>матрица</v>
          </cell>
          <cell r="K77">
            <v>10</v>
          </cell>
          <cell r="L77">
            <v>0</v>
          </cell>
          <cell r="O77">
            <v>36.901960784313729</v>
          </cell>
          <cell r="Q77">
            <v>71.098039215686256</v>
          </cell>
          <cell r="T77">
            <v>2</v>
          </cell>
        </row>
        <row r="78">
          <cell r="A78" t="str">
            <v xml:space="preserve"> 405  Сардельки Сливушки ТМ Вязанка в оболочке айпил 0,33 кг. ПОКОМ</v>
          </cell>
          <cell r="B78" t="str">
            <v>шт</v>
          </cell>
          <cell r="D78">
            <v>187</v>
          </cell>
          <cell r="E78">
            <v>17</v>
          </cell>
          <cell r="F78">
            <v>118</v>
          </cell>
          <cell r="G78">
            <v>0.33</v>
          </cell>
          <cell r="H78">
            <v>40</v>
          </cell>
          <cell r="I78" t="str">
            <v>матрица</v>
          </cell>
          <cell r="K78">
            <v>20</v>
          </cell>
          <cell r="L78">
            <v>-3</v>
          </cell>
          <cell r="O78">
            <v>19.78165938864629</v>
          </cell>
          <cell r="Q78">
            <v>0</v>
          </cell>
          <cell r="T78">
            <v>3.4</v>
          </cell>
        </row>
        <row r="79">
          <cell r="A79" t="str">
            <v xml:space="preserve"> 408  Ветчина Сливушка с индейкой ТМ Вязанка, 0,4кг  ПОКОМ</v>
          </cell>
          <cell r="B79" t="str">
            <v>шт</v>
          </cell>
          <cell r="D79">
            <v>177</v>
          </cell>
          <cell r="E79">
            <v>29</v>
          </cell>
          <cell r="F79">
            <v>65</v>
          </cell>
          <cell r="G79">
            <v>0.4</v>
          </cell>
          <cell r="H79">
            <v>55</v>
          </cell>
          <cell r="I79" t="str">
            <v>матрица</v>
          </cell>
          <cell r="K79">
            <v>30</v>
          </cell>
          <cell r="L79">
            <v>-1</v>
          </cell>
          <cell r="O79">
            <v>0</v>
          </cell>
          <cell r="Q79">
            <v>0</v>
          </cell>
          <cell r="T79">
            <v>5.8</v>
          </cell>
          <cell r="U79">
            <v>10</v>
          </cell>
        </row>
        <row r="80">
          <cell r="A80" t="str">
            <v xml:space="preserve"> 410  Сосиски Баварские с сыром ТМ Стародворье 0,35 кг. ПОКОМ</v>
          </cell>
          <cell r="B80" t="str">
            <v>шт</v>
          </cell>
          <cell r="C80">
            <v>6</v>
          </cell>
          <cell r="D80">
            <v>48</v>
          </cell>
          <cell r="E80">
            <v>12</v>
          </cell>
          <cell r="F80">
            <v>10</v>
          </cell>
          <cell r="G80">
            <v>0.35</v>
          </cell>
          <cell r="H80">
            <v>40</v>
          </cell>
          <cell r="I80" t="str">
            <v>НЕДОГРУЗ / матрица</v>
          </cell>
          <cell r="K80">
            <v>10</v>
          </cell>
          <cell r="L80">
            <v>2</v>
          </cell>
          <cell r="O80">
            <v>17</v>
          </cell>
          <cell r="Q80">
            <v>26</v>
          </cell>
          <cell r="T80">
            <v>2.4</v>
          </cell>
        </row>
        <row r="81">
          <cell r="A81" t="str">
            <v xml:space="preserve"> 412  Сосиски Баварские ТМ Стародворье 0,35 кг ПОКОМ</v>
          </cell>
          <cell r="B81" t="str">
            <v>шт</v>
          </cell>
          <cell r="C81">
            <v>19</v>
          </cell>
          <cell r="D81">
            <v>36</v>
          </cell>
          <cell r="E81">
            <v>14</v>
          </cell>
          <cell r="F81">
            <v>19</v>
          </cell>
          <cell r="G81">
            <v>0.35</v>
          </cell>
          <cell r="H81">
            <v>45</v>
          </cell>
          <cell r="I81" t="str">
            <v>НЕДОГРУЗ / матрица</v>
          </cell>
          <cell r="K81">
            <v>16</v>
          </cell>
          <cell r="L81">
            <v>-2</v>
          </cell>
          <cell r="O81">
            <v>15.74891774891775</v>
          </cell>
          <cell r="Q81">
            <v>0</v>
          </cell>
          <cell r="T81">
            <v>2.8</v>
          </cell>
        </row>
        <row r="82">
          <cell r="A82" t="str">
            <v xml:space="preserve"> 430  Колбаса Стародворская с окороком 0,4 кг. ТМ Стародворье в оболочке полиамид  ПОКОМ</v>
          </cell>
          <cell r="B82" t="str">
            <v>шт</v>
          </cell>
          <cell r="G82">
            <v>0</v>
          </cell>
          <cell r="I82" t="str">
            <v>матрица</v>
          </cell>
          <cell r="L82">
            <v>0</v>
          </cell>
          <cell r="Q82">
            <v>0</v>
          </cell>
          <cell r="T82">
            <v>0</v>
          </cell>
        </row>
        <row r="83">
          <cell r="A83" t="str">
            <v xml:space="preserve"> 433 Колбаса Стародворская со шпиком  в оболочке полиамид. ТМ Стародворье ВЕС ПОКОМ</v>
          </cell>
          <cell r="B83" t="str">
            <v>кг</v>
          </cell>
          <cell r="G83">
            <v>0</v>
          </cell>
          <cell r="I83" t="str">
            <v>матрица</v>
          </cell>
          <cell r="L83">
            <v>0</v>
          </cell>
          <cell r="Q83">
            <v>0</v>
          </cell>
          <cell r="T83">
            <v>0</v>
          </cell>
        </row>
        <row r="84">
          <cell r="A84" t="str">
            <v xml:space="preserve"> 436  Колбаса Молочная стародворская с молоком, ВЕС, ТМ Стародворье  ПОКОМ</v>
          </cell>
          <cell r="B84" t="str">
            <v>кг</v>
          </cell>
          <cell r="G84">
            <v>0</v>
          </cell>
          <cell r="I84" t="str">
            <v>матрица</v>
          </cell>
          <cell r="L84">
            <v>0</v>
          </cell>
          <cell r="Q84">
            <v>0</v>
          </cell>
          <cell r="T84">
            <v>0</v>
          </cell>
        </row>
        <row r="85">
          <cell r="A85" t="str">
            <v xml:space="preserve"> 449  Колбаса Дугушка Стародворская ВЕС ТС Дугушка ПОКОМ</v>
          </cell>
          <cell r="B85" t="str">
            <v>кг</v>
          </cell>
          <cell r="C85">
            <v>34.832999999999998</v>
          </cell>
          <cell r="D85">
            <v>346.64499999999998</v>
          </cell>
          <cell r="E85">
            <v>37.723999999999997</v>
          </cell>
          <cell r="F85">
            <v>312.149</v>
          </cell>
          <cell r="G85">
            <v>1</v>
          </cell>
          <cell r="H85">
            <v>60</v>
          </cell>
          <cell r="I85" t="str">
            <v>матрица</v>
          </cell>
          <cell r="K85">
            <v>41.6</v>
          </cell>
          <cell r="L85">
            <v>-3.8760000000000048</v>
          </cell>
          <cell r="O85">
            <v>30.76575472513327</v>
          </cell>
          <cell r="Q85">
            <v>0</v>
          </cell>
          <cell r="T85">
            <v>7.5447999999999995</v>
          </cell>
        </row>
        <row r="86">
          <cell r="A86" t="str">
            <v xml:space="preserve"> 451 Сосиски Филейские ТМ Вязанка в оболочке целлофан 0,3 кг. ПОКОМ</v>
          </cell>
          <cell r="B86" t="str">
            <v>шт</v>
          </cell>
          <cell r="G86">
            <v>0</v>
          </cell>
          <cell r="I86" t="str">
            <v>матрица</v>
          </cell>
          <cell r="L86">
            <v>0</v>
          </cell>
          <cell r="Q86">
            <v>0</v>
          </cell>
          <cell r="T86">
            <v>0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B87" t="str">
            <v>кг</v>
          </cell>
          <cell r="C87">
            <v>473.935</v>
          </cell>
          <cell r="D87">
            <v>2700.2730000000001</v>
          </cell>
          <cell r="E87">
            <v>769.81200000000001</v>
          </cell>
          <cell r="F87">
            <v>1420.5409999999999</v>
          </cell>
          <cell r="G87">
            <v>1</v>
          </cell>
          <cell r="H87">
            <v>60</v>
          </cell>
          <cell r="I87" t="str">
            <v>матрица</v>
          </cell>
          <cell r="K87">
            <v>1197.5</v>
          </cell>
          <cell r="L87">
            <v>-427.68799999999999</v>
          </cell>
          <cell r="O87">
            <v>626.82223060072488</v>
          </cell>
          <cell r="Q87">
            <v>1861.153369399276</v>
          </cell>
          <cell r="S87">
            <v>-390</v>
          </cell>
          <cell r="T87">
            <v>153.9624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B88" t="str">
            <v>кг</v>
          </cell>
          <cell r="C88">
            <v>439.36</v>
          </cell>
          <cell r="D88">
            <v>3351.049</v>
          </cell>
          <cell r="E88">
            <v>722.87300000000005</v>
          </cell>
          <cell r="F88">
            <v>2103.846</v>
          </cell>
          <cell r="G88">
            <v>1</v>
          </cell>
          <cell r="H88">
            <v>60</v>
          </cell>
          <cell r="I88" t="str">
            <v>матрица</v>
          </cell>
          <cell r="K88">
            <v>724</v>
          </cell>
          <cell r="L88">
            <v>-1.1269999999999527</v>
          </cell>
          <cell r="O88">
            <v>874.98797665822281</v>
          </cell>
          <cell r="Q88">
            <v>0</v>
          </cell>
          <cell r="S88">
            <v>-360</v>
          </cell>
          <cell r="T88">
            <v>144.5746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B89" t="str">
            <v>кг</v>
          </cell>
          <cell r="C89">
            <v>1197.05</v>
          </cell>
          <cell r="D89">
            <v>2959.875</v>
          </cell>
          <cell r="E89">
            <v>1299.866</v>
          </cell>
          <cell r="F89">
            <v>1710.1859999999999</v>
          </cell>
          <cell r="G89">
            <v>1</v>
          </cell>
          <cell r="H89">
            <v>60</v>
          </cell>
          <cell r="I89" t="str">
            <v>матрица</v>
          </cell>
          <cell r="K89">
            <v>1307.5</v>
          </cell>
          <cell r="L89">
            <v>-7.6340000000000146</v>
          </cell>
          <cell r="O89">
            <v>132.45345231080921</v>
          </cell>
          <cell r="P89">
            <v>450</v>
          </cell>
          <cell r="Q89">
            <v>1261.4407476891911</v>
          </cell>
          <cell r="R89">
            <v>450</v>
          </cell>
          <cell r="S89">
            <v>-300</v>
          </cell>
          <cell r="T89">
            <v>259.97320000000002</v>
          </cell>
        </row>
        <row r="90">
          <cell r="A90" t="str">
            <v xml:space="preserve"> 460  Колбаса Стародворская Традиционная ВЕС ТМ Стародворье в оболочке полиамид. ПОКОМ</v>
          </cell>
          <cell r="B90" t="str">
            <v>кг</v>
          </cell>
          <cell r="G90">
            <v>0</v>
          </cell>
          <cell r="I90" t="str">
            <v>матрица</v>
          </cell>
          <cell r="L90">
            <v>0</v>
          </cell>
          <cell r="Q90">
            <v>0</v>
          </cell>
          <cell r="T90">
            <v>0</v>
          </cell>
        </row>
        <row r="91">
          <cell r="A91" t="str">
            <v xml:space="preserve"> 498  Колбаса Сочинка рубленая с сочным окороком 0,3кг ТМ Стародворье  ПОКОМ</v>
          </cell>
          <cell r="B91" t="str">
            <v>шт</v>
          </cell>
          <cell r="G91">
            <v>0.3</v>
          </cell>
          <cell r="H91">
            <v>40</v>
          </cell>
          <cell r="I91" t="str">
            <v>НЕДОГРУЗ / матрица</v>
          </cell>
          <cell r="L91">
            <v>0</v>
          </cell>
          <cell r="O91">
            <v>34</v>
          </cell>
          <cell r="Q91">
            <v>13</v>
          </cell>
          <cell r="T91">
            <v>0</v>
          </cell>
          <cell r="U91">
            <v>10</v>
          </cell>
        </row>
        <row r="92">
          <cell r="A92" t="str">
            <v xml:space="preserve"> 517  Сосиски С сыром ТМ Ядрена копоть 0,3кг  ПОКОМ</v>
          </cell>
          <cell r="B92" t="str">
            <v>шт</v>
          </cell>
          <cell r="G92">
            <v>0</v>
          </cell>
          <cell r="I92" t="str">
            <v>матрица</v>
          </cell>
          <cell r="L92">
            <v>0</v>
          </cell>
          <cell r="Q92">
            <v>0</v>
          </cell>
          <cell r="T92">
            <v>0</v>
          </cell>
        </row>
        <row r="93">
          <cell r="A93" t="str">
            <v xml:space="preserve"> 523  Колбаса Сальчичон нарезка 0,07кг ТМ Стародворье  ПОКОМ </v>
          </cell>
          <cell r="B93" t="str">
            <v>шт</v>
          </cell>
          <cell r="C93">
            <v>35</v>
          </cell>
          <cell r="D93">
            <v>18</v>
          </cell>
          <cell r="E93">
            <v>43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42</v>
          </cell>
          <cell r="L93">
            <v>1</v>
          </cell>
          <cell r="O93">
            <v>53.65625</v>
          </cell>
          <cell r="Q93">
            <v>171.00687500000001</v>
          </cell>
          <cell r="T93">
            <v>8.6</v>
          </cell>
        </row>
        <row r="94">
          <cell r="A94" t="str">
            <v xml:space="preserve"> 524  Колбаса Сервелат Ореховый нарезка 0,07кг ТМ Стародворье  ПОКОМ</v>
          </cell>
          <cell r="B94" t="str">
            <v>шт</v>
          </cell>
          <cell r="C94">
            <v>119</v>
          </cell>
          <cell r="D94">
            <v>1</v>
          </cell>
          <cell r="E94">
            <v>78</v>
          </cell>
          <cell r="F94">
            <v>41</v>
          </cell>
          <cell r="G94">
            <v>7.0000000000000007E-2</v>
          </cell>
          <cell r="H94">
            <v>90</v>
          </cell>
          <cell r="I94" t="str">
            <v>НЕДОГРУЗ / матрица</v>
          </cell>
          <cell r="K94">
            <v>77</v>
          </cell>
          <cell r="L94">
            <v>1</v>
          </cell>
          <cell r="O94">
            <v>57.720930232558139</v>
          </cell>
          <cell r="Q94">
            <v>51.582790697674383</v>
          </cell>
          <cell r="T94">
            <v>15.6</v>
          </cell>
          <cell r="U94">
            <v>21.296279069767472</v>
          </cell>
        </row>
        <row r="95">
          <cell r="A95" t="str">
            <v xml:space="preserve"> 525  Колбаса Фуэт нарезка 0,07кг ТМ Стародворье  ПОКОМ</v>
          </cell>
          <cell r="B95" t="str">
            <v>шт</v>
          </cell>
          <cell r="C95">
            <v>98</v>
          </cell>
          <cell r="D95">
            <v>144</v>
          </cell>
          <cell r="E95">
            <v>62</v>
          </cell>
          <cell r="F95">
            <v>111</v>
          </cell>
          <cell r="G95">
            <v>7.0000000000000007E-2</v>
          </cell>
          <cell r="H95">
            <v>90</v>
          </cell>
          <cell r="I95" t="str">
            <v>НЕДОГРУЗ / матрица</v>
          </cell>
          <cell r="K95">
            <v>55</v>
          </cell>
          <cell r="L95">
            <v>7</v>
          </cell>
          <cell r="O95">
            <v>56.718894009216591</v>
          </cell>
          <cell r="Q95">
            <v>0</v>
          </cell>
          <cell r="T95">
            <v>12.4</v>
          </cell>
        </row>
        <row r="96">
          <cell r="A96" t="str">
            <v xml:space="preserve"> 544  Сосиски Мясные для гриля ТС Ядрена копоть 0,3 кг  ПОКОМ</v>
          </cell>
          <cell r="B96" t="str">
            <v>шт</v>
          </cell>
          <cell r="D96">
            <v>144</v>
          </cell>
          <cell r="E96">
            <v>40</v>
          </cell>
          <cell r="F96">
            <v>31</v>
          </cell>
          <cell r="G96">
            <v>0.3</v>
          </cell>
          <cell r="I96" t="str">
            <v>матрица</v>
          </cell>
          <cell r="K96">
            <v>45</v>
          </cell>
          <cell r="L96">
            <v>-5</v>
          </cell>
          <cell r="O96">
            <v>0</v>
          </cell>
          <cell r="Q96">
            <v>0</v>
          </cell>
          <cell r="T96">
            <v>8</v>
          </cell>
          <cell r="U96">
            <v>57</v>
          </cell>
        </row>
        <row r="97">
          <cell r="A97" t="str">
            <v xml:space="preserve"> 547  Колбаса Мясная Классическая ТМ Вязанка в оболочке полиамид. ВЕС  ПОКОМ</v>
          </cell>
          <cell r="B97" t="str">
            <v>кг</v>
          </cell>
          <cell r="D97">
            <v>24.245000000000001</v>
          </cell>
          <cell r="F97">
            <v>11.885</v>
          </cell>
          <cell r="G97">
            <v>1</v>
          </cell>
          <cell r="H97">
            <v>55</v>
          </cell>
          <cell r="I97" t="str">
            <v>НЕДОГРУЗ / матрица</v>
          </cell>
          <cell r="L97">
            <v>0</v>
          </cell>
          <cell r="O97">
            <v>4</v>
          </cell>
          <cell r="Q97">
            <v>5.2</v>
          </cell>
          <cell r="T97">
            <v>0</v>
          </cell>
        </row>
        <row r="98">
          <cell r="A98" t="str">
            <v xml:space="preserve"> 551  Колбаса Сливушка ТМ Вязанка в модифицированной газовой среде 0,11 кг нарезка  ПОКОМ</v>
          </cell>
          <cell r="B98" t="str">
            <v>шт</v>
          </cell>
          <cell r="C98">
            <v>51</v>
          </cell>
          <cell r="D98">
            <v>108</v>
          </cell>
          <cell r="E98">
            <v>50</v>
          </cell>
          <cell r="F98">
            <v>43</v>
          </cell>
          <cell r="G98">
            <v>0.11</v>
          </cell>
          <cell r="H98">
            <v>30</v>
          </cell>
          <cell r="I98" t="str">
            <v>матрица</v>
          </cell>
          <cell r="K98">
            <v>87</v>
          </cell>
          <cell r="L98">
            <v>-37</v>
          </cell>
          <cell r="O98">
            <v>0</v>
          </cell>
          <cell r="Q98">
            <v>0</v>
          </cell>
          <cell r="T98">
            <v>10</v>
          </cell>
          <cell r="U98">
            <v>67</v>
          </cell>
          <cell r="V98" t="str">
            <v>0, нет потребности</v>
          </cell>
        </row>
        <row r="99">
          <cell r="A99" t="str">
            <v xml:space="preserve"> 552  Ветчина Сливушка с индейкой ТМ Вязанка в модифицированной газовой среде 0,1 кг нарезка  ПОКОМ</v>
          </cell>
          <cell r="B99" t="str">
            <v>шт</v>
          </cell>
          <cell r="G99">
            <v>0</v>
          </cell>
          <cell r="I99" t="str">
            <v>матрица</v>
          </cell>
          <cell r="L99">
            <v>0</v>
          </cell>
          <cell r="Q99">
            <v>0</v>
          </cell>
          <cell r="T99">
            <v>0</v>
          </cell>
        </row>
        <row r="100">
          <cell r="A100" t="str">
            <v xml:space="preserve"> 553  Ассорти колбас Мясорубская коллекция: Сервелат Делюкс, С балыком 0,08 кг нарезка  ПОКОМ</v>
          </cell>
          <cell r="B100" t="str">
            <v>шт</v>
          </cell>
          <cell r="C100">
            <v>19</v>
          </cell>
          <cell r="D100">
            <v>201</v>
          </cell>
          <cell r="E100">
            <v>57</v>
          </cell>
          <cell r="F100">
            <v>163</v>
          </cell>
          <cell r="G100">
            <v>0.08</v>
          </cell>
          <cell r="H100">
            <v>45</v>
          </cell>
          <cell r="I100" t="str">
            <v>матрица</v>
          </cell>
          <cell r="K100">
            <v>55</v>
          </cell>
          <cell r="L100">
            <v>2</v>
          </cell>
          <cell r="O100">
            <v>43.185948477751772</v>
          </cell>
          <cell r="Q100">
            <v>0</v>
          </cell>
          <cell r="T100">
            <v>11.4</v>
          </cell>
        </row>
        <row r="101">
          <cell r="A101" t="str">
            <v xml:space="preserve"> 554  Колбаса Сервелат Мясорубский ТМ Стародворье в упаковке скин 0,08 кг нарезка  ПОКОМ</v>
          </cell>
          <cell r="B101" t="str">
            <v>шт</v>
          </cell>
          <cell r="C101">
            <v>77</v>
          </cell>
          <cell r="D101">
            <v>131</v>
          </cell>
          <cell r="E101">
            <v>53</v>
          </cell>
          <cell r="F101">
            <v>70</v>
          </cell>
          <cell r="G101">
            <v>0.08</v>
          </cell>
          <cell r="H101">
            <v>45</v>
          </cell>
          <cell r="I101" t="str">
            <v>матрица</v>
          </cell>
          <cell r="K101">
            <v>47</v>
          </cell>
          <cell r="L101">
            <v>6</v>
          </cell>
          <cell r="O101">
            <v>24.97568389057751</v>
          </cell>
          <cell r="Q101">
            <v>25.224316109422482</v>
          </cell>
          <cell r="T101">
            <v>10.6</v>
          </cell>
        </row>
        <row r="102">
          <cell r="A102" t="str">
            <v xml:space="preserve"> 555  Колбаса Молокуша ТМ Вязанка в модифицированной газовой среде 0,17 кг нарезка  ПОКОМ</v>
          </cell>
          <cell r="B102" t="str">
            <v>шт</v>
          </cell>
          <cell r="D102">
            <v>32</v>
          </cell>
          <cell r="F102">
            <v>32</v>
          </cell>
          <cell r="G102">
            <v>0.17</v>
          </cell>
          <cell r="H102">
            <v>30</v>
          </cell>
          <cell r="I102" t="str">
            <v>матрица</v>
          </cell>
          <cell r="L102">
            <v>0</v>
          </cell>
          <cell r="O102">
            <v>0</v>
          </cell>
          <cell r="Q102">
            <v>0</v>
          </cell>
          <cell r="T102">
            <v>0</v>
          </cell>
        </row>
        <row r="103">
          <cell r="A103" t="str">
            <v xml:space="preserve"> 556  Колбаса Сервелат Ореховый ТМ Вязанка в оболочке фиброуз в вакуумной упаковке, ВЕС  ПОКОМ</v>
          </cell>
          <cell r="B103" t="str">
            <v>кг</v>
          </cell>
          <cell r="C103">
            <v>4.0000000000000001E-3</v>
          </cell>
          <cell r="D103">
            <v>101.875</v>
          </cell>
          <cell r="E103">
            <v>101.179</v>
          </cell>
          <cell r="F103">
            <v>-0.72399999999999998</v>
          </cell>
          <cell r="G103">
            <v>1</v>
          </cell>
          <cell r="H103">
            <v>40</v>
          </cell>
          <cell r="I103" t="str">
            <v>НЕДОГРУЗ / матрица</v>
          </cell>
          <cell r="K103">
            <v>126.8</v>
          </cell>
          <cell r="L103">
            <v>-25.620999999999995</v>
          </cell>
          <cell r="O103">
            <v>61.237747397578516</v>
          </cell>
          <cell r="Q103">
            <v>156</v>
          </cell>
          <cell r="T103">
            <v>20.235800000000001</v>
          </cell>
          <cell r="U103">
            <v>25</v>
          </cell>
          <cell r="V103">
            <v>250</v>
          </cell>
        </row>
        <row r="104">
          <cell r="A104" t="str">
            <v xml:space="preserve"> 557  Колбаса Сервелат Финский ТМ Вязанка в оболочке фиброуз в вакуумной упаковке, ВЕС  ПОКОМ</v>
          </cell>
          <cell r="B104" t="str">
            <v>кг</v>
          </cell>
          <cell r="C104">
            <v>-2.4E-2</v>
          </cell>
          <cell r="D104">
            <v>252.357</v>
          </cell>
          <cell r="E104">
            <v>-0.73699999999999999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13.8</v>
          </cell>
          <cell r="L104">
            <v>-14.537000000000001</v>
          </cell>
          <cell r="O104">
            <v>57.042986938794677</v>
          </cell>
          <cell r="Q104">
            <v>91</v>
          </cell>
          <cell r="T104">
            <v>-0.1474</v>
          </cell>
          <cell r="V104">
            <v>250</v>
          </cell>
        </row>
        <row r="105">
          <cell r="A105" t="str">
            <v xml:space="preserve"> 558  Колбаса Балыковая НОВАЯ ВЕС Вязанка фиброуз в/у ПОКОМ</v>
          </cell>
          <cell r="B105" t="str">
            <v>кг</v>
          </cell>
          <cell r="E105">
            <v>-0.72</v>
          </cell>
          <cell r="G105">
            <v>1</v>
          </cell>
          <cell r="H105">
            <v>40</v>
          </cell>
          <cell r="I105" t="str">
            <v>НЕДОГРУЗ / матрица</v>
          </cell>
          <cell r="K105">
            <v>8.8000000000000007</v>
          </cell>
          <cell r="L105">
            <v>-9.5200000000000014</v>
          </cell>
          <cell r="O105">
            <v>56.175616647149567</v>
          </cell>
          <cell r="Q105">
            <v>39</v>
          </cell>
          <cell r="T105">
            <v>-0.14399999999999999</v>
          </cell>
          <cell r="V105">
            <v>250</v>
          </cell>
        </row>
        <row r="106">
          <cell r="A106" t="str">
            <v xml:space="preserve"> 564  Сосиски Сочные 0,3 кг ТМ Вязанка  ПОКОМ</v>
          </cell>
          <cell r="B106" t="str">
            <v>шт</v>
          </cell>
          <cell r="G106">
            <v>0</v>
          </cell>
          <cell r="I106" t="str">
            <v>матрица</v>
          </cell>
          <cell r="L106">
            <v>0</v>
          </cell>
          <cell r="Q106">
            <v>0</v>
          </cell>
          <cell r="T106">
            <v>0</v>
          </cell>
        </row>
        <row r="107">
          <cell r="A107" t="str">
            <v xml:space="preserve"> 567 Колбаса Со шпиком Стародворская ТМ Стародворье в оболочке полиамид ВЕС  ПОКОМ</v>
          </cell>
          <cell r="B107" t="str">
            <v>кг</v>
          </cell>
          <cell r="G107">
            <v>0</v>
          </cell>
          <cell r="I107" t="str">
            <v>матрица</v>
          </cell>
          <cell r="L107">
            <v>0</v>
          </cell>
          <cell r="Q107">
            <v>0</v>
          </cell>
          <cell r="T107">
            <v>0</v>
          </cell>
        </row>
        <row r="108">
          <cell r="A108" t="str">
            <v xml:space="preserve"> 569  Колбаса Балыковая ТМ Вязанка в оболочке фиброуз в вакуумной упаковке 0,28 кг срез.  ПОКОМ</v>
          </cell>
          <cell r="B108" t="str">
            <v>шт</v>
          </cell>
          <cell r="C108">
            <v>-3</v>
          </cell>
          <cell r="D108">
            <v>5</v>
          </cell>
          <cell r="E108">
            <v>-1</v>
          </cell>
          <cell r="G108">
            <v>0.28000000000000003</v>
          </cell>
          <cell r="H108">
            <v>40</v>
          </cell>
          <cell r="I108" t="str">
            <v>НЕДОГРУЗ / матрица</v>
          </cell>
          <cell r="K108">
            <v>44</v>
          </cell>
          <cell r="L108">
            <v>-45</v>
          </cell>
          <cell r="O108">
            <v>61.394285714285722</v>
          </cell>
          <cell r="Q108">
            <v>104</v>
          </cell>
          <cell r="T108">
            <v>-0.2</v>
          </cell>
          <cell r="V108">
            <v>250</v>
          </cell>
        </row>
        <row r="109">
          <cell r="A109" t="str">
            <v xml:space="preserve"> 570  Колбаса Сервелат Финский ТМ Вязанка в оболочке фиброуз в вак. упаковке 0,28 кг срез  ПОКОМ</v>
          </cell>
          <cell r="B109" t="str">
            <v>шт</v>
          </cell>
          <cell r="C109">
            <v>81</v>
          </cell>
          <cell r="D109">
            <v>457</v>
          </cell>
          <cell r="E109">
            <v>231</v>
          </cell>
          <cell r="F109">
            <v>6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225</v>
          </cell>
          <cell r="L109">
            <v>6</v>
          </cell>
          <cell r="O109">
            <v>0</v>
          </cell>
          <cell r="Q109">
            <v>524.42000000000007</v>
          </cell>
          <cell r="T109">
            <v>46.2</v>
          </cell>
        </row>
        <row r="110">
          <cell r="A110" t="str">
            <v xml:space="preserve"> 571  Колбаса Сервелат Ореховый ТМ Вязанка в оболочке фиброуз в вак. упаковке 0,28 кг срез  ПОКОМ</v>
          </cell>
          <cell r="B110" t="str">
            <v>шт</v>
          </cell>
          <cell r="D110">
            <v>176</v>
          </cell>
          <cell r="E110">
            <v>141</v>
          </cell>
          <cell r="F110">
            <v>7</v>
          </cell>
          <cell r="G110">
            <v>0.28000000000000003</v>
          </cell>
          <cell r="H110">
            <v>40</v>
          </cell>
          <cell r="I110" t="str">
            <v>НЕДОГРУЗ / матрица</v>
          </cell>
          <cell r="K110">
            <v>171</v>
          </cell>
          <cell r="L110">
            <v>-30</v>
          </cell>
          <cell r="O110">
            <v>31.38461538461538</v>
          </cell>
          <cell r="Q110">
            <v>91</v>
          </cell>
          <cell r="T110">
            <v>28.2</v>
          </cell>
          <cell r="U110">
            <v>180.8153846153846</v>
          </cell>
          <cell r="V110">
            <v>250</v>
          </cell>
        </row>
        <row r="111">
          <cell r="A111" t="str">
            <v xml:space="preserve"> 574  Колбаса Сервелат Финский ТМ Вязанка в упаковке скин 0,09 кг нарезка  ПОКОМ</v>
          </cell>
          <cell r="B111" t="str">
            <v>шт</v>
          </cell>
          <cell r="D111">
            <v>40</v>
          </cell>
          <cell r="E111">
            <v>34</v>
          </cell>
          <cell r="F111">
            <v>10</v>
          </cell>
          <cell r="G111">
            <v>0.09</v>
          </cell>
          <cell r="H111">
            <v>45</v>
          </cell>
          <cell r="I111" t="str">
            <v>матрица</v>
          </cell>
          <cell r="K111">
            <v>31</v>
          </cell>
          <cell r="L111">
            <v>3</v>
          </cell>
          <cell r="O111">
            <v>40.033472803347252</v>
          </cell>
          <cell r="Q111">
            <v>14.96652719665275</v>
          </cell>
          <cell r="T111">
            <v>6.8</v>
          </cell>
          <cell r="U111">
            <v>9.7999999999999972</v>
          </cell>
        </row>
        <row r="112">
          <cell r="A112" t="str">
            <v xml:space="preserve"> 579  Колбаса Ветчинно-рубленая ТМ Особый рецепт в оболочке полиамид.ВЕС  ПОКОМ</v>
          </cell>
          <cell r="B112" t="str">
            <v>кг</v>
          </cell>
          <cell r="C112">
            <v>22.446000000000002</v>
          </cell>
          <cell r="D112">
            <v>110.504</v>
          </cell>
          <cell r="E112">
            <v>79.486999999999995</v>
          </cell>
          <cell r="F112">
            <v>12.715</v>
          </cell>
          <cell r="G112">
            <v>1</v>
          </cell>
          <cell r="H112">
            <v>60</v>
          </cell>
          <cell r="I112" t="str">
            <v>матрица</v>
          </cell>
          <cell r="K112">
            <v>77.5</v>
          </cell>
          <cell r="L112">
            <v>1.9869999999999948</v>
          </cell>
          <cell r="O112">
            <v>0</v>
          </cell>
          <cell r="Q112">
            <v>57.112000000000023</v>
          </cell>
          <cell r="T112">
            <v>15.897399999999999</v>
          </cell>
          <cell r="U112">
            <v>105.04439999999997</v>
          </cell>
        </row>
        <row r="113">
          <cell r="A113" t="str">
            <v xml:space="preserve"> 580  Ветчина Нежная с индейкой ТМ Особый рецепт в оболочке полиамид.ВЕС  ПОКОМ</v>
          </cell>
          <cell r="B113" t="str">
            <v>кг</v>
          </cell>
          <cell r="D113">
            <v>209.26400000000001</v>
          </cell>
          <cell r="E113">
            <v>62.323</v>
          </cell>
          <cell r="F113">
            <v>74.664000000000001</v>
          </cell>
          <cell r="G113">
            <v>1</v>
          </cell>
          <cell r="H113">
            <v>50</v>
          </cell>
          <cell r="I113" t="str">
            <v>матрица</v>
          </cell>
          <cell r="K113">
            <v>62.5</v>
          </cell>
          <cell r="L113">
            <v>-0.1769999999999996</v>
          </cell>
          <cell r="O113">
            <v>0</v>
          </cell>
          <cell r="Q113">
            <v>0</v>
          </cell>
          <cell r="T113">
            <v>12.464600000000001</v>
          </cell>
          <cell r="U113">
            <v>62.446600000000004</v>
          </cell>
        </row>
        <row r="114">
          <cell r="A114" t="str">
            <v xml:space="preserve"> 583  Колбаса Балыковая ТМ Вязанка в упаковке скин 0,09 кг нарезка  ПОКОМ</v>
          </cell>
          <cell r="B114" t="str">
            <v>шт</v>
          </cell>
          <cell r="C114">
            <v>29</v>
          </cell>
          <cell r="D114">
            <v>32</v>
          </cell>
          <cell r="E114">
            <v>28</v>
          </cell>
          <cell r="F114">
            <v>29</v>
          </cell>
          <cell r="G114">
            <v>0.09</v>
          </cell>
          <cell r="H114">
            <v>45</v>
          </cell>
          <cell r="I114" t="str">
            <v>матрица</v>
          </cell>
          <cell r="K114">
            <v>39</v>
          </cell>
          <cell r="L114">
            <v>-11</v>
          </cell>
          <cell r="O114">
            <v>106.5606382978724</v>
          </cell>
          <cell r="Q114">
            <v>10</v>
          </cell>
          <cell r="T114">
            <v>5.6</v>
          </cell>
        </row>
        <row r="115">
          <cell r="A115" t="str">
            <v xml:space="preserve"> 584  Колбаса Сервелат Ореховый ТМ Вязанка в упаковке скин 0,09 кг нарезка  ПОКОМ</v>
          </cell>
          <cell r="B115" t="str">
            <v>шт</v>
          </cell>
          <cell r="C115">
            <v>47</v>
          </cell>
          <cell r="D115">
            <v>3</v>
          </cell>
          <cell r="E115">
            <v>47</v>
          </cell>
          <cell r="F115">
            <v>-1</v>
          </cell>
          <cell r="G115">
            <v>0.09</v>
          </cell>
          <cell r="H115">
            <v>45</v>
          </cell>
          <cell r="I115" t="str">
            <v>матрица</v>
          </cell>
          <cell r="K115">
            <v>42</v>
          </cell>
          <cell r="L115">
            <v>5</v>
          </cell>
          <cell r="O115">
            <v>57.46829268292683</v>
          </cell>
          <cell r="Q115">
            <v>48.931707317073183</v>
          </cell>
          <cell r="T115">
            <v>9.4</v>
          </cell>
        </row>
        <row r="116">
          <cell r="A116" t="str">
            <v xml:space="preserve"> 585  Колбаса Молочная ТМ Стародворье в оболочке вектор НД ВЕС.  ПОКОМ</v>
          </cell>
          <cell r="B116" t="str">
            <v>кг</v>
          </cell>
          <cell r="C116">
            <v>56.688000000000002</v>
          </cell>
          <cell r="D116">
            <v>59.113</v>
          </cell>
          <cell r="E116">
            <v>64.638999999999996</v>
          </cell>
          <cell r="F116">
            <v>49.704999999999998</v>
          </cell>
          <cell r="G116">
            <v>1</v>
          </cell>
          <cell r="H116">
            <v>60</v>
          </cell>
          <cell r="I116" t="str">
            <v>матрица</v>
          </cell>
          <cell r="K116">
            <v>59.2</v>
          </cell>
          <cell r="L116">
            <v>5.438999999999993</v>
          </cell>
          <cell r="O116">
            <v>50.296173455809154</v>
          </cell>
          <cell r="Q116">
            <v>50.464426544190857</v>
          </cell>
          <cell r="T116">
            <v>12.9278</v>
          </cell>
        </row>
        <row r="117">
          <cell r="A117" t="str">
            <v xml:space="preserve"> 586  Колбаса Мясная ТМ Стародворье в оболочке вектор НД ВЕС.  ПОКОМ</v>
          </cell>
          <cell r="B117" t="str">
            <v>кг</v>
          </cell>
          <cell r="C117">
            <v>44.167000000000002</v>
          </cell>
          <cell r="D117">
            <v>453.15199999999999</v>
          </cell>
          <cell r="E117">
            <v>112.8</v>
          </cell>
          <cell r="F117">
            <v>213.15799999999999</v>
          </cell>
          <cell r="G117">
            <v>1</v>
          </cell>
          <cell r="H117">
            <v>60</v>
          </cell>
          <cell r="I117" t="str">
            <v>матрица</v>
          </cell>
          <cell r="K117">
            <v>106.4</v>
          </cell>
          <cell r="L117">
            <v>6.3999999999999915</v>
          </cell>
          <cell r="O117">
            <v>0</v>
          </cell>
          <cell r="Q117">
            <v>0</v>
          </cell>
          <cell r="T117">
            <v>22.56</v>
          </cell>
          <cell r="U117">
            <v>35.00200000000001</v>
          </cell>
        </row>
        <row r="118">
          <cell r="A118" t="str">
            <v xml:space="preserve"> 588 Колбаса Со шпиком ТМ Стародворье в оболочке вектор ВЕС  ПОКОМ</v>
          </cell>
          <cell r="B118" t="str">
            <v>кг</v>
          </cell>
          <cell r="C118">
            <v>16.52</v>
          </cell>
          <cell r="D118">
            <v>109.107</v>
          </cell>
          <cell r="E118">
            <v>23.395</v>
          </cell>
          <cell r="F118">
            <v>69.727000000000004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22.2</v>
          </cell>
          <cell r="L118">
            <v>1.1950000000000003</v>
          </cell>
          <cell r="O118">
            <v>0</v>
          </cell>
          <cell r="Q118">
            <v>0</v>
          </cell>
          <cell r="T118">
            <v>4.6790000000000003</v>
          </cell>
        </row>
        <row r="119">
          <cell r="A119" t="str">
            <v xml:space="preserve"> 597  Колбаса Классическая ТМ Особый рецепт в оболочке полиамид ВЕС. ПОКОМ</v>
          </cell>
          <cell r="B119" t="str">
            <v>кг</v>
          </cell>
          <cell r="C119">
            <v>1591.829</v>
          </cell>
          <cell r="D119">
            <v>514.22900000000004</v>
          </cell>
          <cell r="E119">
            <v>675.20899999999995</v>
          </cell>
          <cell r="F119">
            <v>202.53800000000001</v>
          </cell>
          <cell r="G119">
            <v>1</v>
          </cell>
          <cell r="H119">
            <v>60</v>
          </cell>
          <cell r="I119" t="str">
            <v>матрица</v>
          </cell>
          <cell r="K119">
            <v>665</v>
          </cell>
          <cell r="L119">
            <v>10.208999999999946</v>
          </cell>
          <cell r="O119">
            <v>0</v>
          </cell>
          <cell r="P119">
            <v>150</v>
          </cell>
          <cell r="Q119">
            <v>1658.8091999999999</v>
          </cell>
          <cell r="T119">
            <v>135.04179999999999</v>
          </cell>
        </row>
        <row r="120">
          <cell r="A120" t="str">
            <v xml:space="preserve"> 614  Буженина в пряном маринаде 0,25 кг консервы из мяса индейки ТМ Стародворье  ПОКОМ</v>
          </cell>
          <cell r="B120" t="str">
            <v>шт</v>
          </cell>
          <cell r="C120">
            <v>210</v>
          </cell>
          <cell r="D120">
            <v>468</v>
          </cell>
          <cell r="E120">
            <v>73</v>
          </cell>
          <cell r="F120">
            <v>391</v>
          </cell>
          <cell r="G120">
            <v>0.25</v>
          </cell>
          <cell r="H120">
            <v>1096</v>
          </cell>
          <cell r="I120" t="str">
            <v>матрица</v>
          </cell>
          <cell r="K120">
            <v>58</v>
          </cell>
          <cell r="L120">
            <v>15</v>
          </cell>
          <cell r="O120">
            <v>0</v>
          </cell>
          <cell r="Q120">
            <v>0</v>
          </cell>
          <cell r="T120">
            <v>14.6</v>
          </cell>
        </row>
        <row r="121">
          <cell r="A121" t="str">
            <v xml:space="preserve"> 615  Гречка по-купечески с говядиной и овощами 0,325кг ТМ Стародворье  ПОКОМ</v>
          </cell>
          <cell r="B121" t="str">
            <v>шт</v>
          </cell>
          <cell r="C121">
            <v>120</v>
          </cell>
          <cell r="D121">
            <v>108</v>
          </cell>
          <cell r="E121">
            <v>7</v>
          </cell>
          <cell r="F121">
            <v>223</v>
          </cell>
          <cell r="G121">
            <v>0.32500000000000001</v>
          </cell>
          <cell r="H121">
            <v>1096</v>
          </cell>
          <cell r="I121" t="str">
            <v>матрица</v>
          </cell>
          <cell r="K121">
            <v>8</v>
          </cell>
          <cell r="L121">
            <v>-1</v>
          </cell>
          <cell r="O121">
            <v>0</v>
          </cell>
          <cell r="Q121">
            <v>0</v>
          </cell>
          <cell r="T121">
            <v>1.4</v>
          </cell>
        </row>
        <row r="122">
          <cell r="A122" t="str">
            <v xml:space="preserve"> 616  Индейка томлёная в собственном соку 0,25кг ТМ Стародлворье Консервый из мяс.птицы  ПОКОМ</v>
          </cell>
          <cell r="B122" t="str">
            <v>шт</v>
          </cell>
          <cell r="C122">
            <v>144</v>
          </cell>
          <cell r="D122">
            <v>708</v>
          </cell>
          <cell r="E122">
            <v>66</v>
          </cell>
          <cell r="F122">
            <v>680</v>
          </cell>
          <cell r="G122">
            <v>0.25</v>
          </cell>
          <cell r="H122">
            <v>1096</v>
          </cell>
          <cell r="I122" t="str">
            <v>матрица</v>
          </cell>
          <cell r="K122">
            <v>62</v>
          </cell>
          <cell r="L122">
            <v>4</v>
          </cell>
          <cell r="O122">
            <v>0</v>
          </cell>
          <cell r="Q122">
            <v>0</v>
          </cell>
          <cell r="T122">
            <v>13.2</v>
          </cell>
        </row>
        <row r="123">
          <cell r="A123" t="str">
            <v xml:space="preserve"> 633  Колбаса Мясная Классическая ТМ Вязанка в оболочке полиамид УМВ.ВЕС.  ПОКОМ</v>
          </cell>
          <cell r="B123" t="str">
            <v>кг</v>
          </cell>
          <cell r="D123">
            <v>11.885</v>
          </cell>
          <cell r="F123">
            <v>11.885</v>
          </cell>
          <cell r="G123">
            <v>0</v>
          </cell>
          <cell r="I123" t="str">
            <v>дубль</v>
          </cell>
          <cell r="J123" t="str">
            <v xml:space="preserve"> 547  Колбаса Мясная Классическая ТМ Вязанка в оболочке полиамид. ВЕС  ПОКОМ</v>
          </cell>
          <cell r="L123">
            <v>0</v>
          </cell>
          <cell r="T123">
            <v>0</v>
          </cell>
        </row>
        <row r="124">
          <cell r="A124" t="str">
            <v>495  Колбаса Сочинка по-европейски с сочной грудинкой 0,3кг ТМ Стародворье  ПОКОМ</v>
          </cell>
          <cell r="B124" t="str">
            <v>шт</v>
          </cell>
          <cell r="E124">
            <v>-1</v>
          </cell>
          <cell r="G124">
            <v>0.3</v>
          </cell>
          <cell r="H124">
            <v>40</v>
          </cell>
          <cell r="I124" t="str">
            <v>НЕДОГРУЗ / матрица</v>
          </cell>
          <cell r="K124">
            <v>3</v>
          </cell>
          <cell r="L124">
            <v>-4</v>
          </cell>
          <cell r="O124">
            <v>81.667774086378742</v>
          </cell>
          <cell r="Q124">
            <v>26</v>
          </cell>
          <cell r="T124">
            <v>-0.2</v>
          </cell>
        </row>
        <row r="125">
          <cell r="A125" t="str">
            <v>496  Колбаса Сочинка по-фински с сочным окроком 0,3кг ТМ Стародворье  ПОКОМ</v>
          </cell>
          <cell r="B125" t="str">
            <v>шт</v>
          </cell>
          <cell r="G125">
            <v>0.3</v>
          </cell>
          <cell r="H125">
            <v>40</v>
          </cell>
          <cell r="I125" t="str">
            <v>НЕДОГРУЗ / матрица</v>
          </cell>
          <cell r="K125">
            <v>3</v>
          </cell>
          <cell r="L125">
            <v>-3</v>
          </cell>
          <cell r="O125">
            <v>66.827586206896541</v>
          </cell>
          <cell r="Q125">
            <v>26</v>
          </cell>
          <cell r="T125">
            <v>0</v>
          </cell>
        </row>
        <row r="126">
          <cell r="A126" t="str">
            <v>503 Колбаса Филейская со шпиком ТМ Вязанка в оболочке полиамид.ПОКОМ</v>
          </cell>
          <cell r="B126" t="str">
            <v>кг</v>
          </cell>
          <cell r="C126">
            <v>5.15</v>
          </cell>
          <cell r="D126">
            <v>43.546999999999997</v>
          </cell>
          <cell r="E126">
            <v>7.0869999999999997</v>
          </cell>
          <cell r="F126">
            <v>39.341999999999999</v>
          </cell>
          <cell r="G126">
            <v>1</v>
          </cell>
          <cell r="H126">
            <v>50</v>
          </cell>
          <cell r="I126" t="str">
            <v>матрица</v>
          </cell>
          <cell r="K126">
            <v>9.1999999999999993</v>
          </cell>
          <cell r="L126">
            <v>-2.1129999999999995</v>
          </cell>
          <cell r="O126">
            <v>0</v>
          </cell>
          <cell r="Q126">
            <v>0</v>
          </cell>
          <cell r="T126">
            <v>1.4174</v>
          </cell>
        </row>
        <row r="127">
          <cell r="A127" t="str">
            <v>515  Колбаса Сервелат Мясорубский Делюкс 0,3кг ТМ Стародворье  ПОКОМ</v>
          </cell>
          <cell r="B127" t="str">
            <v>шт</v>
          </cell>
          <cell r="G127">
            <v>0.3</v>
          </cell>
          <cell r="H127">
            <v>40</v>
          </cell>
          <cell r="I127" t="str">
            <v>НЕДОГРУЗ / матрица</v>
          </cell>
          <cell r="K127">
            <v>3</v>
          </cell>
          <cell r="L127">
            <v>-3</v>
          </cell>
          <cell r="O127">
            <v>43</v>
          </cell>
          <cell r="Q127">
            <v>13</v>
          </cell>
          <cell r="T127">
            <v>0</v>
          </cell>
        </row>
        <row r="128">
          <cell r="A128" t="str">
            <v>519  Грудинка 0,12 кг нарезка ТМ Стародворье  ПОКОМ</v>
          </cell>
          <cell r="B128" t="str">
            <v>шт</v>
          </cell>
          <cell r="C128">
            <v>18</v>
          </cell>
          <cell r="D128">
            <v>76</v>
          </cell>
          <cell r="E128">
            <v>50</v>
          </cell>
          <cell r="F128">
            <v>12</v>
          </cell>
          <cell r="G128">
            <v>0.12</v>
          </cell>
          <cell r="H128">
            <v>45</v>
          </cell>
          <cell r="I128" t="str">
            <v>НЕДОГРУЗ / матрица</v>
          </cell>
          <cell r="K128">
            <v>44</v>
          </cell>
          <cell r="L128">
            <v>6</v>
          </cell>
          <cell r="O128">
            <v>38.333333333333343</v>
          </cell>
          <cell r="Q128">
            <v>57.286666666666648</v>
          </cell>
          <cell r="T128">
            <v>10</v>
          </cell>
          <cell r="U128">
            <v>10</v>
          </cell>
        </row>
        <row r="129">
          <cell r="A129" t="str">
            <v>БОНУС_ 334  Паштет Любительский ТМ Стародворье ламистер 0,1 кг  ПОКОМ</v>
          </cell>
          <cell r="B129" t="str">
            <v>шт</v>
          </cell>
          <cell r="C129">
            <v>-16</v>
          </cell>
          <cell r="D129">
            <v>70</v>
          </cell>
          <cell r="E129">
            <v>37</v>
          </cell>
          <cell r="F129">
            <v>12</v>
          </cell>
          <cell r="G129">
            <v>0</v>
          </cell>
          <cell r="I129" t="str">
            <v>бонус</v>
          </cell>
          <cell r="J129" t="str">
            <v xml:space="preserve"> 334  Паштет Любительский ТМ Стародворье ламистер 0,1 кг  ПОКОМ</v>
          </cell>
          <cell r="K129">
            <v>37</v>
          </cell>
          <cell r="L129">
            <v>0</v>
          </cell>
          <cell r="Q129">
            <v>0</v>
          </cell>
          <cell r="T129">
            <v>7.4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5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Z4" sqref="Z4"/>
    </sheetView>
  </sheetViews>
  <sheetFormatPr defaultRowHeight="15" x14ac:dyDescent="0.25"/>
  <cols>
    <col min="1" max="1" width="53.5703125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8.28515625" customWidth="1"/>
    <col min="10" max="10" width="1" customWidth="1"/>
    <col min="11" max="12" width="7" customWidth="1"/>
    <col min="13" max="14" width="0.42578125" customWidth="1"/>
    <col min="15" max="15" width="7" customWidth="1"/>
    <col min="16" max="17" width="7" style="22" customWidth="1"/>
    <col min="18" max="18" width="7" customWidth="1"/>
    <col min="19" max="19" width="7" style="22" customWidth="1"/>
    <col min="20" max="23" width="7" customWidth="1"/>
    <col min="24" max="25" width="7" style="25" customWidth="1"/>
    <col min="26" max="27" width="5" customWidth="1"/>
    <col min="28" max="37" width="6" customWidth="1"/>
    <col min="38" max="38" width="22.140625" customWidth="1"/>
    <col min="39" max="40" width="7" customWidth="1"/>
    <col min="41" max="51" width="3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8"/>
      <c r="Q1" s="18"/>
      <c r="R1" s="1"/>
      <c r="S1" s="18"/>
      <c r="T1" s="1"/>
      <c r="U1" s="1"/>
      <c r="V1" s="1"/>
      <c r="W1" s="26">
        <v>0</v>
      </c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8">
        <v>600</v>
      </c>
      <c r="Q2" s="18">
        <v>405</v>
      </c>
      <c r="R2" s="1"/>
      <c r="S2" s="18">
        <v>450</v>
      </c>
      <c r="T2" s="1"/>
      <c r="U2" s="1"/>
      <c r="V2" s="1"/>
      <c r="W2" s="1" t="s">
        <v>189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19" t="s">
        <v>14</v>
      </c>
      <c r="Q3" s="19" t="s">
        <v>14</v>
      </c>
      <c r="R3" s="2" t="s">
        <v>14</v>
      </c>
      <c r="S3" s="19" t="s">
        <v>14</v>
      </c>
      <c r="T3" s="19" t="s">
        <v>14</v>
      </c>
      <c r="U3" s="2" t="s">
        <v>15</v>
      </c>
      <c r="V3" s="3" t="s">
        <v>16</v>
      </c>
      <c r="W3" s="3" t="s">
        <v>190</v>
      </c>
      <c r="X3" s="3" t="s">
        <v>184</v>
      </c>
      <c r="Y3" s="3" t="s">
        <v>186</v>
      </c>
      <c r="Z3" s="2" t="s">
        <v>17</v>
      </c>
      <c r="AA3" s="2" t="s">
        <v>18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19</v>
      </c>
      <c r="AJ3" s="2" t="s">
        <v>19</v>
      </c>
      <c r="AK3" s="2" t="s">
        <v>19</v>
      </c>
      <c r="AL3" s="2" t="s">
        <v>20</v>
      </c>
      <c r="AM3" s="2" t="s">
        <v>21</v>
      </c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8" t="s">
        <v>180</v>
      </c>
      <c r="Q4" s="18" t="s">
        <v>183</v>
      </c>
      <c r="R4" s="1" t="s">
        <v>23</v>
      </c>
      <c r="S4" s="18" t="s">
        <v>181</v>
      </c>
      <c r="T4" s="1" t="s">
        <v>182</v>
      </c>
      <c r="U4" s="1" t="s">
        <v>23</v>
      </c>
      <c r="V4" s="1"/>
      <c r="W4" s="1" t="s">
        <v>191</v>
      </c>
      <c r="X4" s="1" t="s">
        <v>185</v>
      </c>
      <c r="Y4" s="1"/>
      <c r="Z4" s="1"/>
      <c r="AA4" s="1"/>
      <c r="AB4" s="1" t="s">
        <v>24</v>
      </c>
      <c r="AC4" s="1" t="s">
        <v>25</v>
      </c>
      <c r="AD4" s="1" t="s">
        <v>26</v>
      </c>
      <c r="AE4" s="1" t="s">
        <v>27</v>
      </c>
      <c r="AF4" s="1" t="s">
        <v>28</v>
      </c>
      <c r="AG4" s="1" t="s">
        <v>29</v>
      </c>
      <c r="AH4" s="1" t="s">
        <v>30</v>
      </c>
      <c r="AI4" s="1" t="s">
        <v>31</v>
      </c>
      <c r="AJ4" s="1" t="s">
        <v>32</v>
      </c>
      <c r="AK4" s="1" t="s">
        <v>33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SUM(E6:E495)</f>
        <v>12872.132999999998</v>
      </c>
      <c r="F5" s="4">
        <f>SUM(F6:F495)</f>
        <v>18886.486999999997</v>
      </c>
      <c r="G5" s="7"/>
      <c r="H5" s="1"/>
      <c r="I5" s="1"/>
      <c r="J5" s="1"/>
      <c r="K5" s="4">
        <f t="shared" ref="K5:X5" si="0">SUM(K6:K495)</f>
        <v>14025.300000000003</v>
      </c>
      <c r="L5" s="4">
        <f t="shared" si="0"/>
        <v>-1153.1670000000001</v>
      </c>
      <c r="M5" s="4">
        <f t="shared" si="0"/>
        <v>0</v>
      </c>
      <c r="N5" s="4">
        <f t="shared" si="0"/>
        <v>0</v>
      </c>
      <c r="O5" s="4">
        <f t="shared" si="0"/>
        <v>8232.0673739488429</v>
      </c>
      <c r="P5" s="20">
        <f t="shared" ref="P5:Q5" si="1">SUM(P6:P495)</f>
        <v>600</v>
      </c>
      <c r="Q5" s="20">
        <f t="shared" si="1"/>
        <v>405</v>
      </c>
      <c r="R5" s="4">
        <f t="shared" si="0"/>
        <v>13802.115944170748</v>
      </c>
      <c r="S5" s="20">
        <f t="shared" ref="S5" si="2">SUM(S6:S495)</f>
        <v>450</v>
      </c>
      <c r="T5" s="4">
        <f t="shared" si="0"/>
        <v>-1560</v>
      </c>
      <c r="U5" s="4">
        <f t="shared" si="0"/>
        <v>2574.4265999999993</v>
      </c>
      <c r="V5" s="4">
        <f t="shared" si="0"/>
        <v>2035.1485091774287</v>
      </c>
      <c r="W5" s="4">
        <f t="shared" si="0"/>
        <v>3192.3331245620443</v>
      </c>
      <c r="X5" s="4">
        <f t="shared" si="0"/>
        <v>1630</v>
      </c>
      <c r="Y5" s="4"/>
      <c r="Z5" s="1"/>
      <c r="AA5" s="1"/>
      <c r="AB5" s="4">
        <f t="shared" ref="AB5:AK5" si="3">SUM(AB6:AB495)</f>
        <v>2832.1130000000003</v>
      </c>
      <c r="AC5" s="4">
        <f t="shared" si="3"/>
        <v>3211.8783999999996</v>
      </c>
      <c r="AD5" s="4">
        <f t="shared" si="3"/>
        <v>3221.5873999999994</v>
      </c>
      <c r="AE5" s="4">
        <f t="shared" si="3"/>
        <v>3336.7943999999984</v>
      </c>
      <c r="AF5" s="4">
        <f t="shared" si="3"/>
        <v>4291.6760000000013</v>
      </c>
      <c r="AG5" s="4">
        <f t="shared" si="3"/>
        <v>4268.7132000000001</v>
      </c>
      <c r="AH5" s="4">
        <f t="shared" si="3"/>
        <v>3863.9036000000019</v>
      </c>
      <c r="AI5" s="4">
        <f t="shared" si="3"/>
        <v>3651.4625999999989</v>
      </c>
      <c r="AJ5" s="4">
        <f t="shared" si="3"/>
        <v>3632.7342000000017</v>
      </c>
      <c r="AK5" s="4">
        <f t="shared" si="3"/>
        <v>4200.8311999999987</v>
      </c>
      <c r="AL5" s="1"/>
      <c r="AM5" s="4">
        <f>SUM(AM6:AM495)</f>
        <v>2195</v>
      </c>
      <c r="AN5" s="4">
        <f>SUM(AN6:AN495)</f>
        <v>1893.2555999999997</v>
      </c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34</v>
      </c>
      <c r="B6" s="1" t="s">
        <v>35</v>
      </c>
      <c r="C6" s="1">
        <v>108.248</v>
      </c>
      <c r="D6" s="1">
        <v>315.43900000000002</v>
      </c>
      <c r="E6" s="1">
        <v>176.14099999999999</v>
      </c>
      <c r="F6" s="1">
        <v>97.177000000000007</v>
      </c>
      <c r="G6" s="7">
        <v>1</v>
      </c>
      <c r="H6" s="1">
        <v>50</v>
      </c>
      <c r="I6" s="1" t="s">
        <v>36</v>
      </c>
      <c r="J6" s="1"/>
      <c r="K6" s="1">
        <v>166.4</v>
      </c>
      <c r="L6" s="1">
        <f t="shared" ref="L6:L37" si="4">E6-K6</f>
        <v>9.7409999999999854</v>
      </c>
      <c r="M6" s="1"/>
      <c r="N6" s="1"/>
      <c r="O6" s="1">
        <v>0</v>
      </c>
      <c r="P6" s="18"/>
      <c r="Q6" s="18"/>
      <c r="R6" s="1">
        <v>90.360999999999933</v>
      </c>
      <c r="S6" s="18"/>
      <c r="T6" s="1"/>
      <c r="U6" s="1">
        <f t="shared" ref="U6:U37" si="5">E6/5</f>
        <v>35.228200000000001</v>
      </c>
      <c r="V6" s="5">
        <f>11*U6-R6-O6-F6</f>
        <v>199.97220000000004</v>
      </c>
      <c r="W6" s="5">
        <f>V6+U6*$W$1</f>
        <v>199.97220000000004</v>
      </c>
      <c r="X6" s="23"/>
      <c r="Y6" s="23"/>
      <c r="Z6" s="1">
        <f>(F6+O6+P6+R6+S6+T6+W6)/U6</f>
        <v>11</v>
      </c>
      <c r="AA6" s="1">
        <f>(F6+O6+P6+R6+S6+T6)/U6</f>
        <v>5.3235192260745636</v>
      </c>
      <c r="AB6" s="1">
        <v>20.837399999999999</v>
      </c>
      <c r="AC6" s="1">
        <v>32.624200000000002</v>
      </c>
      <c r="AD6" s="1">
        <v>49.9176</v>
      </c>
      <c r="AE6" s="1">
        <v>50.513599999999997</v>
      </c>
      <c r="AF6" s="1">
        <v>52.347000000000001</v>
      </c>
      <c r="AG6" s="1">
        <v>48.521000000000001</v>
      </c>
      <c r="AH6" s="1">
        <v>43.444600000000001</v>
      </c>
      <c r="AI6" s="1">
        <v>50.715400000000002</v>
      </c>
      <c r="AJ6" s="1">
        <v>50.555</v>
      </c>
      <c r="AK6" s="1">
        <v>49.53</v>
      </c>
      <c r="AL6" s="1"/>
      <c r="AM6" s="1">
        <f>ROUND(G6*W6,0)</f>
        <v>200</v>
      </c>
      <c r="AN6" s="1">
        <f>U6*G6</f>
        <v>35.228200000000001</v>
      </c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37</v>
      </c>
      <c r="B7" s="1" t="s">
        <v>35</v>
      </c>
      <c r="C7" s="1">
        <v>60.430999999999997</v>
      </c>
      <c r="D7" s="1">
        <v>732.99300000000005</v>
      </c>
      <c r="E7" s="1">
        <v>243.976</v>
      </c>
      <c r="F7" s="1">
        <v>143.76599999999999</v>
      </c>
      <c r="G7" s="7">
        <v>1</v>
      </c>
      <c r="H7" s="1">
        <v>45</v>
      </c>
      <c r="I7" s="1" t="s">
        <v>36</v>
      </c>
      <c r="J7" s="1"/>
      <c r="K7" s="1">
        <v>246</v>
      </c>
      <c r="L7" s="1">
        <f t="shared" si="4"/>
        <v>-2.0240000000000009</v>
      </c>
      <c r="M7" s="1"/>
      <c r="N7" s="1"/>
      <c r="O7" s="1">
        <v>152.32748036826791</v>
      </c>
      <c r="P7" s="18"/>
      <c r="Q7" s="18"/>
      <c r="R7" s="1">
        <v>217.62223963173241</v>
      </c>
      <c r="S7" s="18"/>
      <c r="T7" s="1"/>
      <c r="U7" s="1">
        <f t="shared" si="5"/>
        <v>48.795200000000001</v>
      </c>
      <c r="V7" s="5">
        <f t="shared" ref="V7" si="6">11*U7-R7-O7-F7</f>
        <v>23.031479999999675</v>
      </c>
      <c r="W7" s="5">
        <f t="shared" ref="W7:W8" si="7">V7+U7*$W$1</f>
        <v>23.031479999999675</v>
      </c>
      <c r="X7" s="23"/>
      <c r="Y7" s="23"/>
      <c r="Z7" s="1">
        <f t="shared" ref="Z7:Z70" si="8">(F7+O7+P7+R7+S7+T7+W7)/U7</f>
        <v>11</v>
      </c>
      <c r="AA7" s="1">
        <f t="shared" ref="AA7:AA70" si="9">(F7+O7+P7+R7+S7+T7)/U7</f>
        <v>10.527997016099953</v>
      </c>
      <c r="AB7" s="1">
        <v>46.159799999999997</v>
      </c>
      <c r="AC7" s="1">
        <v>75.304000000000002</v>
      </c>
      <c r="AD7" s="1">
        <v>93.414999999999992</v>
      </c>
      <c r="AE7" s="1">
        <v>102.57940000000001</v>
      </c>
      <c r="AF7" s="1">
        <v>91.360199999999992</v>
      </c>
      <c r="AG7" s="1">
        <v>75.338800000000006</v>
      </c>
      <c r="AH7" s="1">
        <v>78.611599999999996</v>
      </c>
      <c r="AI7" s="1">
        <v>107.873</v>
      </c>
      <c r="AJ7" s="1">
        <v>130.68199999999999</v>
      </c>
      <c r="AK7" s="1">
        <v>153.03919999999999</v>
      </c>
      <c r="AL7" s="1"/>
      <c r="AM7" s="1">
        <f t="shared" ref="AM7:AM70" si="10">ROUND(G7*W7,0)</f>
        <v>23</v>
      </c>
      <c r="AN7" s="1">
        <f t="shared" ref="AN7:AN70" si="11">U7*G7</f>
        <v>48.795200000000001</v>
      </c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38</v>
      </c>
      <c r="B8" s="1" t="s">
        <v>35</v>
      </c>
      <c r="C8" s="1">
        <v>288.74099999999999</v>
      </c>
      <c r="D8" s="1">
        <v>490.85</v>
      </c>
      <c r="E8" s="1">
        <v>264.69200000000001</v>
      </c>
      <c r="F8" s="1">
        <v>502.459</v>
      </c>
      <c r="G8" s="7">
        <v>1</v>
      </c>
      <c r="H8" s="1">
        <v>45</v>
      </c>
      <c r="I8" s="1" t="s">
        <v>36</v>
      </c>
      <c r="J8" s="1"/>
      <c r="K8" s="1">
        <v>258.2</v>
      </c>
      <c r="L8" s="1">
        <f t="shared" si="4"/>
        <v>6.4920000000000186</v>
      </c>
      <c r="M8" s="1"/>
      <c r="N8" s="1"/>
      <c r="O8" s="1">
        <v>206.50970044406151</v>
      </c>
      <c r="P8" s="18"/>
      <c r="Q8" s="18"/>
      <c r="R8" s="1">
        <v>0</v>
      </c>
      <c r="S8" s="18"/>
      <c r="T8" s="1"/>
      <c r="U8" s="1">
        <f t="shared" si="5"/>
        <v>52.938400000000001</v>
      </c>
      <c r="V8" s="5"/>
      <c r="W8" s="5">
        <f t="shared" si="7"/>
        <v>0</v>
      </c>
      <c r="X8" s="23"/>
      <c r="Y8" s="23"/>
      <c r="Z8" s="1">
        <f t="shared" si="8"/>
        <v>13.392333361870806</v>
      </c>
      <c r="AA8" s="1">
        <f t="shared" si="9"/>
        <v>13.392333361870806</v>
      </c>
      <c r="AB8" s="1">
        <v>54.453600000000009</v>
      </c>
      <c r="AC8" s="1">
        <v>85.114000000000004</v>
      </c>
      <c r="AD8" s="1">
        <v>96.858000000000004</v>
      </c>
      <c r="AE8" s="1">
        <v>78.322800000000001</v>
      </c>
      <c r="AF8" s="1">
        <v>84.352599999999995</v>
      </c>
      <c r="AG8" s="1">
        <v>119.5784</v>
      </c>
      <c r="AH8" s="1">
        <v>115.399</v>
      </c>
      <c r="AI8" s="1">
        <v>92.236400000000003</v>
      </c>
      <c r="AJ8" s="1">
        <v>101.6842</v>
      </c>
      <c r="AK8" s="1">
        <v>112.5746</v>
      </c>
      <c r="AL8" s="1"/>
      <c r="AM8" s="1">
        <f t="shared" si="10"/>
        <v>0</v>
      </c>
      <c r="AN8" s="1">
        <f t="shared" si="11"/>
        <v>52.938400000000001</v>
      </c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0" t="s">
        <v>39</v>
      </c>
      <c r="B9" s="10" t="s">
        <v>40</v>
      </c>
      <c r="C9" s="10"/>
      <c r="D9" s="10"/>
      <c r="E9" s="10"/>
      <c r="F9" s="10"/>
      <c r="G9" s="11">
        <v>0</v>
      </c>
      <c r="H9" s="10"/>
      <c r="I9" s="10" t="s">
        <v>36</v>
      </c>
      <c r="J9" s="10"/>
      <c r="K9" s="10"/>
      <c r="L9" s="10">
        <f t="shared" si="4"/>
        <v>0</v>
      </c>
      <c r="M9" s="10"/>
      <c r="N9" s="10"/>
      <c r="O9" s="10"/>
      <c r="P9" s="21"/>
      <c r="Q9" s="21"/>
      <c r="R9" s="10">
        <v>0</v>
      </c>
      <c r="S9" s="21"/>
      <c r="T9" s="10"/>
      <c r="U9" s="10">
        <f t="shared" si="5"/>
        <v>0</v>
      </c>
      <c r="V9" s="12"/>
      <c r="W9" s="5">
        <f t="shared" ref="W9:W69" si="12">V9</f>
        <v>0</v>
      </c>
      <c r="X9" s="23"/>
      <c r="Y9" s="24"/>
      <c r="Z9" s="1" t="e">
        <f t="shared" si="8"/>
        <v>#DIV/0!</v>
      </c>
      <c r="AA9" s="10" t="e">
        <f t="shared" si="9"/>
        <v>#DIV/0!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 t="s">
        <v>41</v>
      </c>
      <c r="AM9" s="1">
        <f t="shared" si="10"/>
        <v>0</v>
      </c>
      <c r="AN9" s="1">
        <f t="shared" si="11"/>
        <v>0</v>
      </c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42</v>
      </c>
      <c r="B10" s="1" t="s">
        <v>40</v>
      </c>
      <c r="C10" s="1"/>
      <c r="D10" s="1">
        <v>756</v>
      </c>
      <c r="E10" s="1">
        <v>164</v>
      </c>
      <c r="F10" s="1">
        <v>567</v>
      </c>
      <c r="G10" s="7">
        <v>0.45</v>
      </c>
      <c r="H10" s="1">
        <v>45</v>
      </c>
      <c r="I10" s="1" t="s">
        <v>36</v>
      </c>
      <c r="J10" s="1"/>
      <c r="K10" s="1">
        <v>167</v>
      </c>
      <c r="L10" s="1">
        <f t="shared" si="4"/>
        <v>-3</v>
      </c>
      <c r="M10" s="1"/>
      <c r="N10" s="1"/>
      <c r="O10" s="1">
        <v>300</v>
      </c>
      <c r="P10" s="18"/>
      <c r="Q10" s="18"/>
      <c r="R10" s="1">
        <v>0</v>
      </c>
      <c r="S10" s="18"/>
      <c r="T10" s="1"/>
      <c r="U10" s="1">
        <f t="shared" si="5"/>
        <v>32.799999999999997</v>
      </c>
      <c r="V10" s="5"/>
      <c r="W10" s="5">
        <f t="shared" si="12"/>
        <v>0</v>
      </c>
      <c r="X10" s="23"/>
      <c r="Y10" s="23"/>
      <c r="Z10" s="1">
        <f t="shared" si="8"/>
        <v>26.432926829268293</v>
      </c>
      <c r="AA10" s="1">
        <f t="shared" si="9"/>
        <v>26.432926829268293</v>
      </c>
      <c r="AB10" s="1">
        <v>1.8</v>
      </c>
      <c r="AC10" s="1">
        <v>-2.4</v>
      </c>
      <c r="AD10" s="1">
        <v>1.8</v>
      </c>
      <c r="AE10" s="1">
        <v>59.4</v>
      </c>
      <c r="AF10" s="1">
        <v>80.107600000000005</v>
      </c>
      <c r="AG10" s="1">
        <v>22.907599999999999</v>
      </c>
      <c r="AH10" s="1">
        <v>53.8</v>
      </c>
      <c r="AI10" s="1">
        <v>96.8</v>
      </c>
      <c r="AJ10" s="1">
        <v>76.400000000000006</v>
      </c>
      <c r="AK10" s="1">
        <v>41.6</v>
      </c>
      <c r="AL10" s="16" t="s">
        <v>177</v>
      </c>
      <c r="AM10" s="1">
        <f t="shared" si="10"/>
        <v>0</v>
      </c>
      <c r="AN10" s="1">
        <f t="shared" si="11"/>
        <v>14.76</v>
      </c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43</v>
      </c>
      <c r="B11" s="1" t="s">
        <v>40</v>
      </c>
      <c r="C11" s="1">
        <v>297</v>
      </c>
      <c r="D11" s="1">
        <v>766</v>
      </c>
      <c r="E11" s="1">
        <v>295</v>
      </c>
      <c r="F11" s="1">
        <v>660</v>
      </c>
      <c r="G11" s="7">
        <v>0.45</v>
      </c>
      <c r="H11" s="1">
        <v>45</v>
      </c>
      <c r="I11" s="1" t="s">
        <v>36</v>
      </c>
      <c r="J11" s="1"/>
      <c r="K11" s="1">
        <v>310</v>
      </c>
      <c r="L11" s="1">
        <f t="shared" si="4"/>
        <v>-15</v>
      </c>
      <c r="M11" s="1"/>
      <c r="N11" s="1"/>
      <c r="O11" s="1">
        <v>466.692943063352</v>
      </c>
      <c r="P11" s="18"/>
      <c r="Q11" s="18"/>
      <c r="R11" s="1">
        <v>0</v>
      </c>
      <c r="S11" s="18"/>
      <c r="T11" s="1"/>
      <c r="U11" s="1">
        <f t="shared" si="5"/>
        <v>59</v>
      </c>
      <c r="V11" s="5"/>
      <c r="W11" s="5">
        <f t="shared" si="12"/>
        <v>0</v>
      </c>
      <c r="X11" s="23"/>
      <c r="Y11" s="23"/>
      <c r="Z11" s="1">
        <f t="shared" si="8"/>
        <v>19.096490560395797</v>
      </c>
      <c r="AA11" s="1">
        <f t="shared" si="9"/>
        <v>19.096490560395797</v>
      </c>
      <c r="AB11" s="1">
        <v>68.400000000000006</v>
      </c>
      <c r="AC11" s="1">
        <v>186</v>
      </c>
      <c r="AD11" s="1">
        <v>149.80000000000001</v>
      </c>
      <c r="AE11" s="1">
        <v>27.2</v>
      </c>
      <c r="AF11" s="1">
        <v>95.2</v>
      </c>
      <c r="AG11" s="1">
        <v>169.6</v>
      </c>
      <c r="AH11" s="1">
        <v>188.2</v>
      </c>
      <c r="AI11" s="1">
        <v>158.4</v>
      </c>
      <c r="AJ11" s="1">
        <v>100.4</v>
      </c>
      <c r="AK11" s="1">
        <v>145.4</v>
      </c>
      <c r="AL11" s="1"/>
      <c r="AM11" s="1">
        <f t="shared" si="10"/>
        <v>0</v>
      </c>
      <c r="AN11" s="1">
        <f t="shared" si="11"/>
        <v>26.55</v>
      </c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44</v>
      </c>
      <c r="B12" s="1" t="s">
        <v>40</v>
      </c>
      <c r="C12" s="1">
        <v>16</v>
      </c>
      <c r="D12" s="1">
        <v>180</v>
      </c>
      <c r="E12" s="1">
        <v>16</v>
      </c>
      <c r="F12" s="1">
        <v>109</v>
      </c>
      <c r="G12" s="7">
        <v>0.17</v>
      </c>
      <c r="H12" s="1">
        <v>180</v>
      </c>
      <c r="I12" s="1" t="s">
        <v>36</v>
      </c>
      <c r="J12" s="1"/>
      <c r="K12" s="1">
        <v>29</v>
      </c>
      <c r="L12" s="1">
        <f t="shared" si="4"/>
        <v>-13</v>
      </c>
      <c r="M12" s="1"/>
      <c r="N12" s="1"/>
      <c r="O12" s="1">
        <v>137.06887966804979</v>
      </c>
      <c r="P12" s="18"/>
      <c r="Q12" s="18"/>
      <c r="R12" s="1">
        <v>0</v>
      </c>
      <c r="S12" s="18"/>
      <c r="T12" s="1"/>
      <c r="U12" s="1">
        <f t="shared" si="5"/>
        <v>3.2</v>
      </c>
      <c r="V12" s="5"/>
      <c r="W12" s="5">
        <f t="shared" si="12"/>
        <v>0</v>
      </c>
      <c r="X12" s="23"/>
      <c r="Y12" s="23"/>
      <c r="Z12" s="1">
        <f t="shared" si="8"/>
        <v>76.896524896265561</v>
      </c>
      <c r="AA12" s="1">
        <f t="shared" si="9"/>
        <v>76.896524896265561</v>
      </c>
      <c r="AB12" s="1">
        <v>13.4</v>
      </c>
      <c r="AC12" s="1">
        <v>30</v>
      </c>
      <c r="AD12" s="1">
        <v>20.399999999999999</v>
      </c>
      <c r="AE12" s="1">
        <v>8.4</v>
      </c>
      <c r="AF12" s="1">
        <v>9</v>
      </c>
      <c r="AG12" s="1">
        <v>4.4000000000000004</v>
      </c>
      <c r="AH12" s="1">
        <v>19.8</v>
      </c>
      <c r="AI12" s="1">
        <v>26.4</v>
      </c>
      <c r="AJ12" s="1">
        <v>7.6</v>
      </c>
      <c r="AK12" s="1">
        <v>9</v>
      </c>
      <c r="AL12" s="15" t="s">
        <v>176</v>
      </c>
      <c r="AM12" s="1">
        <f t="shared" si="10"/>
        <v>0</v>
      </c>
      <c r="AN12" s="1">
        <f t="shared" si="11"/>
        <v>0.54400000000000004</v>
      </c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45</v>
      </c>
      <c r="B13" s="1" t="s">
        <v>40</v>
      </c>
      <c r="C13" s="1">
        <v>3</v>
      </c>
      <c r="D13" s="1">
        <v>155</v>
      </c>
      <c r="E13" s="1">
        <v>93</v>
      </c>
      <c r="F13" s="1">
        <v>11</v>
      </c>
      <c r="G13" s="7">
        <v>0.3</v>
      </c>
      <c r="H13" s="1">
        <v>40</v>
      </c>
      <c r="I13" s="9" t="s">
        <v>46</v>
      </c>
      <c r="J13" s="1"/>
      <c r="K13" s="1">
        <v>98</v>
      </c>
      <c r="L13" s="1">
        <f t="shared" si="4"/>
        <v>-5</v>
      </c>
      <c r="M13" s="1"/>
      <c r="N13" s="1"/>
      <c r="O13" s="1">
        <v>83.308900523560212</v>
      </c>
      <c r="P13" s="18"/>
      <c r="Q13" s="18"/>
      <c r="R13" s="1">
        <v>211.23842931937159</v>
      </c>
      <c r="S13" s="18"/>
      <c r="T13" s="1"/>
      <c r="U13" s="1">
        <f t="shared" si="5"/>
        <v>18.600000000000001</v>
      </c>
      <c r="V13" s="5"/>
      <c r="W13" s="5">
        <f>V13</f>
        <v>0</v>
      </c>
      <c r="X13" s="23"/>
      <c r="Y13" s="23"/>
      <c r="Z13" s="1">
        <f t="shared" si="8"/>
        <v>16.427275798007084</v>
      </c>
      <c r="AA13" s="1">
        <f t="shared" si="9"/>
        <v>16.427275798007084</v>
      </c>
      <c r="AB13" s="1">
        <v>22.4</v>
      </c>
      <c r="AC13" s="1">
        <v>9.4</v>
      </c>
      <c r="AD13" s="1">
        <v>5.8</v>
      </c>
      <c r="AE13" s="1">
        <v>6.2</v>
      </c>
      <c r="AF13" s="1">
        <v>11.4</v>
      </c>
      <c r="AG13" s="1">
        <v>16</v>
      </c>
      <c r="AH13" s="1">
        <v>6.8</v>
      </c>
      <c r="AI13" s="1">
        <v>-1.2</v>
      </c>
      <c r="AJ13" s="1">
        <v>3.4</v>
      </c>
      <c r="AK13" s="1">
        <v>16.2</v>
      </c>
      <c r="AL13" s="1"/>
      <c r="AM13" s="1">
        <f t="shared" si="10"/>
        <v>0</v>
      </c>
      <c r="AN13" s="1">
        <f t="shared" si="11"/>
        <v>5.58</v>
      </c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47</v>
      </c>
      <c r="B14" s="1" t="s">
        <v>40</v>
      </c>
      <c r="C14" s="1">
        <v>104</v>
      </c>
      <c r="D14" s="1">
        <v>259</v>
      </c>
      <c r="E14" s="1">
        <v>157</v>
      </c>
      <c r="F14" s="1">
        <v>32</v>
      </c>
      <c r="G14" s="7">
        <v>0.17</v>
      </c>
      <c r="H14" s="1">
        <v>180</v>
      </c>
      <c r="I14" s="1" t="s">
        <v>36</v>
      </c>
      <c r="J14" s="1"/>
      <c r="K14" s="1">
        <v>159</v>
      </c>
      <c r="L14" s="1">
        <f t="shared" si="4"/>
        <v>-2</v>
      </c>
      <c r="M14" s="1"/>
      <c r="N14" s="1"/>
      <c r="O14" s="1">
        <v>0</v>
      </c>
      <c r="P14" s="18"/>
      <c r="Q14" s="18"/>
      <c r="R14" s="1">
        <v>337</v>
      </c>
      <c r="S14" s="18"/>
      <c r="T14" s="1"/>
      <c r="U14" s="1">
        <f t="shared" si="5"/>
        <v>31.4</v>
      </c>
      <c r="V14" s="5"/>
      <c r="W14" s="5">
        <f>X14</f>
        <v>100</v>
      </c>
      <c r="X14" s="23">
        <f>VLOOKUP(A14,[1]Sheet!$A:$V,22,0)</f>
        <v>100</v>
      </c>
      <c r="Y14" s="23"/>
      <c r="Z14" s="1">
        <f t="shared" si="8"/>
        <v>14.936305732484078</v>
      </c>
      <c r="AA14" s="1">
        <f t="shared" si="9"/>
        <v>11.751592356687899</v>
      </c>
      <c r="AB14" s="1">
        <v>32</v>
      </c>
      <c r="AC14" s="1">
        <v>38.6</v>
      </c>
      <c r="AD14" s="1">
        <v>35.799999999999997</v>
      </c>
      <c r="AE14" s="1">
        <v>42.8</v>
      </c>
      <c r="AF14" s="1">
        <v>55.6</v>
      </c>
      <c r="AG14" s="1">
        <v>50.6</v>
      </c>
      <c r="AH14" s="1">
        <v>53.6</v>
      </c>
      <c r="AI14" s="1">
        <v>49</v>
      </c>
      <c r="AJ14" s="1">
        <v>49.2</v>
      </c>
      <c r="AK14" s="1">
        <v>54.4</v>
      </c>
      <c r="AL14" s="1"/>
      <c r="AM14" s="1">
        <f t="shared" si="10"/>
        <v>17</v>
      </c>
      <c r="AN14" s="1">
        <f t="shared" si="11"/>
        <v>5.3380000000000001</v>
      </c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48</v>
      </c>
      <c r="B15" s="1" t="s">
        <v>35</v>
      </c>
      <c r="C15" s="1">
        <v>258.83499999999998</v>
      </c>
      <c r="D15" s="1">
        <v>578.524</v>
      </c>
      <c r="E15" s="1">
        <v>183.52199999999999</v>
      </c>
      <c r="F15" s="1">
        <v>370.28100000000001</v>
      </c>
      <c r="G15" s="7">
        <v>1</v>
      </c>
      <c r="H15" s="1">
        <v>70</v>
      </c>
      <c r="I15" s="9" t="s">
        <v>46</v>
      </c>
      <c r="J15" s="1"/>
      <c r="K15" s="1">
        <v>167.3</v>
      </c>
      <c r="L15" s="1">
        <f t="shared" si="4"/>
        <v>16.22199999999998</v>
      </c>
      <c r="M15" s="1"/>
      <c r="N15" s="1"/>
      <c r="O15" s="1">
        <v>126.9810882813124</v>
      </c>
      <c r="P15" s="18"/>
      <c r="Q15" s="18"/>
      <c r="R15" s="1">
        <v>0</v>
      </c>
      <c r="S15" s="18"/>
      <c r="T15" s="1"/>
      <c r="U15" s="1">
        <f t="shared" si="5"/>
        <v>36.7044</v>
      </c>
      <c r="V15" s="5"/>
      <c r="W15" s="5">
        <f>V15</f>
        <v>0</v>
      </c>
      <c r="X15" s="23"/>
      <c r="Y15" s="23"/>
      <c r="Z15" s="1">
        <f t="shared" si="8"/>
        <v>13.547751448908372</v>
      </c>
      <c r="AA15" s="1">
        <f t="shared" si="9"/>
        <v>13.547751448908372</v>
      </c>
      <c r="AB15" s="1">
        <v>34.183599999999998</v>
      </c>
      <c r="AC15" s="1">
        <v>66.669600000000003</v>
      </c>
      <c r="AD15" s="1">
        <v>94.391199999999998</v>
      </c>
      <c r="AE15" s="1">
        <v>92.775999999999996</v>
      </c>
      <c r="AF15" s="1">
        <v>91.034000000000006</v>
      </c>
      <c r="AG15" s="1">
        <v>96.842399999999998</v>
      </c>
      <c r="AH15" s="1">
        <v>93.471599999999995</v>
      </c>
      <c r="AI15" s="1">
        <v>88.441000000000003</v>
      </c>
      <c r="AJ15" s="1">
        <v>86.75739999999999</v>
      </c>
      <c r="AK15" s="1">
        <v>84.37</v>
      </c>
      <c r="AL15" s="1"/>
      <c r="AM15" s="1">
        <f t="shared" si="10"/>
        <v>0</v>
      </c>
      <c r="AN15" s="1">
        <f t="shared" si="11"/>
        <v>36.7044</v>
      </c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49</v>
      </c>
      <c r="B16" s="1" t="s">
        <v>35</v>
      </c>
      <c r="C16" s="1">
        <v>933.52499999999998</v>
      </c>
      <c r="D16" s="1">
        <v>3664.058</v>
      </c>
      <c r="E16" s="1">
        <v>1306.7619999999999</v>
      </c>
      <c r="F16" s="1">
        <v>2074.0459999999998</v>
      </c>
      <c r="G16" s="7">
        <v>1</v>
      </c>
      <c r="H16" s="1">
        <v>50</v>
      </c>
      <c r="I16" s="1" t="s">
        <v>36</v>
      </c>
      <c r="J16" s="1"/>
      <c r="K16" s="1">
        <v>1672.5</v>
      </c>
      <c r="L16" s="1">
        <f t="shared" si="4"/>
        <v>-365.73800000000006</v>
      </c>
      <c r="M16" s="1"/>
      <c r="N16" s="1"/>
      <c r="O16" s="1">
        <v>200</v>
      </c>
      <c r="P16" s="18"/>
      <c r="Q16" s="18"/>
      <c r="R16" s="1">
        <v>2052.8198000000011</v>
      </c>
      <c r="S16" s="18"/>
      <c r="T16" s="1">
        <v>-510</v>
      </c>
      <c r="U16" s="1">
        <f t="shared" si="5"/>
        <v>261.35239999999999</v>
      </c>
      <c r="V16" s="5"/>
      <c r="W16" s="5">
        <f t="shared" si="12"/>
        <v>0</v>
      </c>
      <c r="X16" s="23"/>
      <c r="Y16" s="23"/>
      <c r="Z16" s="1">
        <f t="shared" si="8"/>
        <v>14.60428830957742</v>
      </c>
      <c r="AA16" s="1">
        <f t="shared" si="9"/>
        <v>14.60428830957742</v>
      </c>
      <c r="AB16" s="1">
        <v>314.37259999999998</v>
      </c>
      <c r="AC16" s="1">
        <v>350.28039999999999</v>
      </c>
      <c r="AD16" s="1">
        <v>480.89580000000001</v>
      </c>
      <c r="AE16" s="1">
        <v>437.53480000000002</v>
      </c>
      <c r="AF16" s="1">
        <v>456.43400000000003</v>
      </c>
      <c r="AG16" s="1">
        <v>513.70119999999997</v>
      </c>
      <c r="AH16" s="1">
        <v>424.07979999999998</v>
      </c>
      <c r="AI16" s="1">
        <v>400.34519999999998</v>
      </c>
      <c r="AJ16" s="1">
        <v>421.65800000000002</v>
      </c>
      <c r="AK16" s="1">
        <v>435.88019999999989</v>
      </c>
      <c r="AL16" s="1"/>
      <c r="AM16" s="1">
        <f t="shared" si="10"/>
        <v>0</v>
      </c>
      <c r="AN16" s="1">
        <f t="shared" si="11"/>
        <v>261.35239999999999</v>
      </c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50</v>
      </c>
      <c r="B17" s="1" t="s">
        <v>35</v>
      </c>
      <c r="C17" s="1">
        <v>52.344000000000001</v>
      </c>
      <c r="D17" s="1">
        <v>26.436</v>
      </c>
      <c r="E17" s="1">
        <v>7.0510000000000002</v>
      </c>
      <c r="F17" s="1">
        <v>69.073999999999998</v>
      </c>
      <c r="G17" s="7">
        <v>1</v>
      </c>
      <c r="H17" s="1">
        <v>60</v>
      </c>
      <c r="I17" s="1" t="s">
        <v>36</v>
      </c>
      <c r="J17" s="1"/>
      <c r="K17" s="1">
        <v>7.4</v>
      </c>
      <c r="L17" s="1">
        <f t="shared" si="4"/>
        <v>-0.3490000000000002</v>
      </c>
      <c r="M17" s="1"/>
      <c r="N17" s="1"/>
      <c r="O17" s="1">
        <v>0</v>
      </c>
      <c r="P17" s="18"/>
      <c r="Q17" s="18"/>
      <c r="R17" s="1">
        <v>0</v>
      </c>
      <c r="S17" s="18"/>
      <c r="T17" s="1"/>
      <c r="U17" s="1">
        <f t="shared" si="5"/>
        <v>1.4102000000000001</v>
      </c>
      <c r="V17" s="5"/>
      <c r="W17" s="5">
        <f t="shared" si="12"/>
        <v>0</v>
      </c>
      <c r="X17" s="23"/>
      <c r="Y17" s="23"/>
      <c r="Z17" s="1">
        <f t="shared" si="8"/>
        <v>48.981704722734356</v>
      </c>
      <c r="AA17" s="1">
        <f t="shared" si="9"/>
        <v>48.981704722734356</v>
      </c>
      <c r="AB17" s="1">
        <v>0.70200000000000029</v>
      </c>
      <c r="AC17" s="1">
        <v>6.7040000000000006</v>
      </c>
      <c r="AD17" s="1">
        <v>9.8385999999999996</v>
      </c>
      <c r="AE17" s="1">
        <v>11.293200000000001</v>
      </c>
      <c r="AF17" s="1">
        <v>15.170199999999999</v>
      </c>
      <c r="AG17" s="1">
        <v>14.3386</v>
      </c>
      <c r="AH17" s="1">
        <v>12.2934</v>
      </c>
      <c r="AI17" s="1">
        <v>14.3178</v>
      </c>
      <c r="AJ17" s="1">
        <v>13.440799999999999</v>
      </c>
      <c r="AK17" s="1">
        <v>13.439399999999999</v>
      </c>
      <c r="AL17" s="15" t="s">
        <v>176</v>
      </c>
      <c r="AM17" s="1">
        <f t="shared" si="10"/>
        <v>0</v>
      </c>
      <c r="AN17" s="1">
        <f t="shared" si="11"/>
        <v>1.4102000000000001</v>
      </c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51</v>
      </c>
      <c r="B18" s="1" t="s">
        <v>35</v>
      </c>
      <c r="C18" s="1">
        <v>24.83</v>
      </c>
      <c r="D18" s="1">
        <v>47.454999999999998</v>
      </c>
      <c r="E18" s="1">
        <v>5.843</v>
      </c>
      <c r="F18" s="1">
        <v>59.124000000000002</v>
      </c>
      <c r="G18" s="7">
        <v>1</v>
      </c>
      <c r="H18" s="1">
        <v>60</v>
      </c>
      <c r="I18" s="9" t="s">
        <v>46</v>
      </c>
      <c r="J18" s="1"/>
      <c r="K18" s="1">
        <v>6</v>
      </c>
      <c r="L18" s="1">
        <f t="shared" si="4"/>
        <v>-0.15700000000000003</v>
      </c>
      <c r="M18" s="1"/>
      <c r="N18" s="1"/>
      <c r="O18" s="1">
        <v>0</v>
      </c>
      <c r="P18" s="18"/>
      <c r="Q18" s="18"/>
      <c r="R18" s="1">
        <v>0</v>
      </c>
      <c r="S18" s="18"/>
      <c r="T18" s="1"/>
      <c r="U18" s="1">
        <f t="shared" si="5"/>
        <v>1.1686000000000001</v>
      </c>
      <c r="V18" s="5"/>
      <c r="W18" s="5">
        <f>V18</f>
        <v>0</v>
      </c>
      <c r="X18" s="23"/>
      <c r="Y18" s="23"/>
      <c r="Z18" s="1">
        <f t="shared" si="8"/>
        <v>50.593873010439843</v>
      </c>
      <c r="AA18" s="1">
        <f t="shared" si="9"/>
        <v>50.593873010439843</v>
      </c>
      <c r="AB18" s="1">
        <v>0.5292</v>
      </c>
      <c r="AC18" s="1">
        <v>2.8111999999999999</v>
      </c>
      <c r="AD18" s="1">
        <v>5.9997999999999996</v>
      </c>
      <c r="AE18" s="1">
        <v>7.8230000000000004</v>
      </c>
      <c r="AF18" s="1">
        <v>10.795400000000001</v>
      </c>
      <c r="AG18" s="1">
        <v>9.7043999999999997</v>
      </c>
      <c r="AH18" s="1">
        <v>7.2253999999999996</v>
      </c>
      <c r="AI18" s="1">
        <v>9.3013999999999992</v>
      </c>
      <c r="AJ18" s="1">
        <v>8.0855999999999995</v>
      </c>
      <c r="AK18" s="1">
        <v>8.6264000000000003</v>
      </c>
      <c r="AL18" s="15" t="s">
        <v>176</v>
      </c>
      <c r="AM18" s="1">
        <f t="shared" si="10"/>
        <v>0</v>
      </c>
      <c r="AN18" s="1">
        <f t="shared" si="11"/>
        <v>1.1686000000000001</v>
      </c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52</v>
      </c>
      <c r="B19" s="1" t="s">
        <v>35</v>
      </c>
      <c r="C19" s="1">
        <v>14.474</v>
      </c>
      <c r="D19" s="1">
        <v>44.308999999999997</v>
      </c>
      <c r="E19" s="1">
        <v>24.315999999999999</v>
      </c>
      <c r="F19" s="1">
        <v>-0.35599999999999998</v>
      </c>
      <c r="G19" s="7">
        <v>1</v>
      </c>
      <c r="H19" s="1">
        <v>180</v>
      </c>
      <c r="I19" s="1" t="s">
        <v>36</v>
      </c>
      <c r="J19" s="1"/>
      <c r="K19" s="1">
        <v>20.55</v>
      </c>
      <c r="L19" s="1">
        <f t="shared" si="4"/>
        <v>3.7659999999999982</v>
      </c>
      <c r="M19" s="1"/>
      <c r="N19" s="1"/>
      <c r="O19" s="1">
        <v>0</v>
      </c>
      <c r="P19" s="18"/>
      <c r="Q19" s="18"/>
      <c r="R19" s="1">
        <v>63.97999999999999</v>
      </c>
      <c r="S19" s="18"/>
      <c r="T19" s="1"/>
      <c r="U19" s="1">
        <f t="shared" si="5"/>
        <v>4.8632</v>
      </c>
      <c r="V19" s="5">
        <v>10</v>
      </c>
      <c r="W19" s="5">
        <f t="shared" si="12"/>
        <v>10</v>
      </c>
      <c r="X19" s="23"/>
      <c r="Y19" s="23"/>
      <c r="Z19" s="1">
        <f t="shared" si="8"/>
        <v>15.139003125514064</v>
      </c>
      <c r="AA19" s="1">
        <f t="shared" si="9"/>
        <v>13.082743872347423</v>
      </c>
      <c r="AB19" s="1">
        <v>4.8779999999999992</v>
      </c>
      <c r="AC19" s="1">
        <v>4.3624000000000001</v>
      </c>
      <c r="AD19" s="1">
        <v>4.9363999999999999</v>
      </c>
      <c r="AE19" s="1">
        <v>5.5602</v>
      </c>
      <c r="AF19" s="1">
        <v>7.5060000000000002</v>
      </c>
      <c r="AG19" s="1">
        <v>7.0279999999999996</v>
      </c>
      <c r="AH19" s="1">
        <v>6.3250000000000002</v>
      </c>
      <c r="AI19" s="1">
        <v>6.3784000000000001</v>
      </c>
      <c r="AJ19" s="1">
        <v>6.1204000000000001</v>
      </c>
      <c r="AK19" s="1">
        <v>5.7140000000000004</v>
      </c>
      <c r="AL19" s="1"/>
      <c r="AM19" s="1">
        <f t="shared" si="10"/>
        <v>10</v>
      </c>
      <c r="AN19" s="1">
        <f t="shared" si="11"/>
        <v>4.8632</v>
      </c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53</v>
      </c>
      <c r="B20" s="1" t="s">
        <v>35</v>
      </c>
      <c r="C20" s="1">
        <v>200.721</v>
      </c>
      <c r="D20" s="1">
        <v>248.965</v>
      </c>
      <c r="E20" s="1">
        <v>124.098</v>
      </c>
      <c r="F20" s="1">
        <v>292.072</v>
      </c>
      <c r="G20" s="7">
        <v>1</v>
      </c>
      <c r="H20" s="1">
        <v>60</v>
      </c>
      <c r="I20" s="1" t="s">
        <v>36</v>
      </c>
      <c r="J20" s="1"/>
      <c r="K20" s="1">
        <v>113.4</v>
      </c>
      <c r="L20" s="1">
        <f t="shared" si="4"/>
        <v>10.697999999999993</v>
      </c>
      <c r="M20" s="1"/>
      <c r="N20" s="1"/>
      <c r="O20" s="1">
        <v>120.11363661258849</v>
      </c>
      <c r="P20" s="18"/>
      <c r="Q20" s="18"/>
      <c r="R20" s="1">
        <v>0</v>
      </c>
      <c r="S20" s="18"/>
      <c r="T20" s="1"/>
      <c r="U20" s="1">
        <f t="shared" si="5"/>
        <v>24.819600000000001</v>
      </c>
      <c r="V20" s="5"/>
      <c r="W20" s="5">
        <f t="shared" si="12"/>
        <v>0</v>
      </c>
      <c r="X20" s="23"/>
      <c r="Y20" s="23"/>
      <c r="Z20" s="1">
        <f t="shared" si="8"/>
        <v>16.607263477759048</v>
      </c>
      <c r="AA20" s="1">
        <f t="shared" si="9"/>
        <v>16.607263477759048</v>
      </c>
      <c r="AB20" s="1">
        <v>23.265000000000001</v>
      </c>
      <c r="AC20" s="1">
        <v>64.643600000000006</v>
      </c>
      <c r="AD20" s="1">
        <v>58.071800000000003</v>
      </c>
      <c r="AE20" s="1">
        <v>56.750199999999992</v>
      </c>
      <c r="AF20" s="1">
        <v>79.769800000000004</v>
      </c>
      <c r="AG20" s="1">
        <v>80.206800000000001</v>
      </c>
      <c r="AH20" s="1">
        <v>75.62</v>
      </c>
      <c r="AI20" s="1">
        <v>64.991</v>
      </c>
      <c r="AJ20" s="1">
        <v>61.033200000000001</v>
      </c>
      <c r="AK20" s="1">
        <v>58.342399999999998</v>
      </c>
      <c r="AL20" s="1"/>
      <c r="AM20" s="1">
        <f t="shared" si="10"/>
        <v>0</v>
      </c>
      <c r="AN20" s="1">
        <f t="shared" si="11"/>
        <v>24.819600000000001</v>
      </c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54</v>
      </c>
      <c r="B21" s="1" t="s">
        <v>35</v>
      </c>
      <c r="C21" s="1">
        <v>3.5609999999999999</v>
      </c>
      <c r="D21" s="1">
        <v>323.59699999999998</v>
      </c>
      <c r="E21" s="1">
        <v>14.904</v>
      </c>
      <c r="F21" s="1">
        <v>132.24</v>
      </c>
      <c r="G21" s="7">
        <v>1</v>
      </c>
      <c r="H21" s="1">
        <v>70</v>
      </c>
      <c r="I21" s="1" t="s">
        <v>36</v>
      </c>
      <c r="J21" s="1"/>
      <c r="K21" s="1">
        <v>20.5</v>
      </c>
      <c r="L21" s="1">
        <f t="shared" si="4"/>
        <v>-5.5960000000000001</v>
      </c>
      <c r="M21" s="1"/>
      <c r="N21" s="1"/>
      <c r="O21" s="1">
        <v>0</v>
      </c>
      <c r="P21" s="18"/>
      <c r="Q21" s="18"/>
      <c r="R21" s="1">
        <v>0</v>
      </c>
      <c r="S21" s="18"/>
      <c r="T21" s="1"/>
      <c r="U21" s="1">
        <f t="shared" si="5"/>
        <v>2.9807999999999999</v>
      </c>
      <c r="V21" s="5"/>
      <c r="W21" s="5">
        <f t="shared" si="12"/>
        <v>0</v>
      </c>
      <c r="X21" s="23"/>
      <c r="Y21" s="23"/>
      <c r="Z21" s="1">
        <f t="shared" si="8"/>
        <v>44.363929146537849</v>
      </c>
      <c r="AA21" s="1">
        <f t="shared" si="9"/>
        <v>44.363929146537849</v>
      </c>
      <c r="AB21" s="1">
        <v>1.7667999999999999</v>
      </c>
      <c r="AC21" s="1">
        <v>11.1084</v>
      </c>
      <c r="AD21" s="1">
        <v>22.072600000000001</v>
      </c>
      <c r="AE21" s="1">
        <v>24.557600000000001</v>
      </c>
      <c r="AF21" s="1">
        <v>24.7864</v>
      </c>
      <c r="AG21" s="1">
        <v>16.4818</v>
      </c>
      <c r="AH21" s="1">
        <v>17.9194</v>
      </c>
      <c r="AI21" s="1">
        <v>20.691400000000002</v>
      </c>
      <c r="AJ21" s="1">
        <v>19.97</v>
      </c>
      <c r="AK21" s="1">
        <v>26.1326</v>
      </c>
      <c r="AL21" s="1"/>
      <c r="AM21" s="1">
        <f t="shared" si="10"/>
        <v>0</v>
      </c>
      <c r="AN21" s="1">
        <f t="shared" si="11"/>
        <v>2.9807999999999999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x14ac:dyDescent="0.25">
      <c r="A22" s="1" t="s">
        <v>55</v>
      </c>
      <c r="B22" s="1" t="s">
        <v>35</v>
      </c>
      <c r="C22" s="1">
        <v>65.918999999999997</v>
      </c>
      <c r="D22" s="1">
        <v>300.55200000000002</v>
      </c>
      <c r="E22" s="1">
        <v>61.494999999999997</v>
      </c>
      <c r="F22" s="1">
        <v>167.727</v>
      </c>
      <c r="G22" s="7">
        <v>1</v>
      </c>
      <c r="H22" s="1">
        <v>70</v>
      </c>
      <c r="I22" s="9" t="s">
        <v>46</v>
      </c>
      <c r="J22" s="1"/>
      <c r="K22" s="1">
        <v>57.3</v>
      </c>
      <c r="L22" s="1">
        <f t="shared" si="4"/>
        <v>4.1950000000000003</v>
      </c>
      <c r="M22" s="1"/>
      <c r="N22" s="1"/>
      <c r="O22" s="1">
        <v>0</v>
      </c>
      <c r="P22" s="18"/>
      <c r="Q22" s="18"/>
      <c r="R22" s="1">
        <v>0</v>
      </c>
      <c r="S22" s="18"/>
      <c r="T22" s="1"/>
      <c r="U22" s="1">
        <f t="shared" si="5"/>
        <v>12.298999999999999</v>
      </c>
      <c r="V22" s="5"/>
      <c r="W22" s="5">
        <f>V22</f>
        <v>0</v>
      </c>
      <c r="X22" s="23"/>
      <c r="Y22" s="23"/>
      <c r="Z22" s="1">
        <f t="shared" si="8"/>
        <v>13.637450199203188</v>
      </c>
      <c r="AA22" s="1">
        <f t="shared" si="9"/>
        <v>13.637450199203188</v>
      </c>
      <c r="AB22" s="1">
        <v>9.3088000000000015</v>
      </c>
      <c r="AC22" s="1">
        <v>12.678599999999999</v>
      </c>
      <c r="AD22" s="1">
        <v>24.118200000000002</v>
      </c>
      <c r="AE22" s="1">
        <v>18.269200000000001</v>
      </c>
      <c r="AF22" s="1">
        <v>21.5534</v>
      </c>
      <c r="AG22" s="1">
        <v>26.809000000000001</v>
      </c>
      <c r="AH22" s="1">
        <v>31.9404</v>
      </c>
      <c r="AI22" s="1">
        <v>32.387</v>
      </c>
      <c r="AJ22" s="1">
        <v>26.2134</v>
      </c>
      <c r="AK22" s="1">
        <v>29.136800000000001</v>
      </c>
      <c r="AL22" s="1" t="s">
        <v>56</v>
      </c>
      <c r="AM22" s="1">
        <f t="shared" si="10"/>
        <v>0</v>
      </c>
      <c r="AN22" s="1">
        <f t="shared" si="11"/>
        <v>12.298999999999999</v>
      </c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" t="s">
        <v>57</v>
      </c>
      <c r="B23" s="1" t="s">
        <v>35</v>
      </c>
      <c r="C23" s="1">
        <v>12.022</v>
      </c>
      <c r="D23" s="1">
        <v>75.141000000000005</v>
      </c>
      <c r="E23" s="1">
        <v>31.407</v>
      </c>
      <c r="F23" s="1">
        <v>5.8010000000000002</v>
      </c>
      <c r="G23" s="7">
        <v>1</v>
      </c>
      <c r="H23" s="1">
        <v>180</v>
      </c>
      <c r="I23" s="1" t="s">
        <v>36</v>
      </c>
      <c r="J23" s="1"/>
      <c r="K23" s="1">
        <v>27.95</v>
      </c>
      <c r="L23" s="1">
        <f t="shared" si="4"/>
        <v>3.4570000000000007</v>
      </c>
      <c r="M23" s="1"/>
      <c r="N23" s="1"/>
      <c r="O23" s="1">
        <v>0</v>
      </c>
      <c r="P23" s="18"/>
      <c r="Q23" s="18"/>
      <c r="R23" s="1">
        <v>58.63280000000001</v>
      </c>
      <c r="S23" s="18"/>
      <c r="T23" s="1"/>
      <c r="U23" s="1">
        <f t="shared" si="5"/>
        <v>6.2813999999999997</v>
      </c>
      <c r="V23" s="5">
        <f t="shared" ref="V23" si="13">11*U23-R23-O23-F23</f>
        <v>4.6615999999999875</v>
      </c>
      <c r="W23" s="5">
        <f t="shared" si="12"/>
        <v>4.6615999999999875</v>
      </c>
      <c r="X23" s="23"/>
      <c r="Y23" s="23"/>
      <c r="Z23" s="1">
        <f t="shared" si="8"/>
        <v>11</v>
      </c>
      <c r="AA23" s="1">
        <f t="shared" si="9"/>
        <v>10.257872448817144</v>
      </c>
      <c r="AB23" s="1">
        <v>5.3385999999999996</v>
      </c>
      <c r="AC23" s="1">
        <v>3.8740000000000001</v>
      </c>
      <c r="AD23" s="1">
        <v>4.6496000000000004</v>
      </c>
      <c r="AE23" s="1">
        <v>6.7364000000000006</v>
      </c>
      <c r="AF23" s="1">
        <v>8.1237999999999992</v>
      </c>
      <c r="AG23" s="1">
        <v>7.3412000000000006</v>
      </c>
      <c r="AH23" s="1">
        <v>7.2737999999999996</v>
      </c>
      <c r="AI23" s="1">
        <v>6.770999999999999</v>
      </c>
      <c r="AJ23" s="1">
        <v>5.3578000000000001</v>
      </c>
      <c r="AK23" s="1">
        <v>2.327</v>
      </c>
      <c r="AL23" s="1"/>
      <c r="AM23" s="1">
        <f t="shared" si="10"/>
        <v>5</v>
      </c>
      <c r="AN23" s="1">
        <f t="shared" si="11"/>
        <v>6.2813999999999997</v>
      </c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x14ac:dyDescent="0.25">
      <c r="A24" s="1" t="s">
        <v>58</v>
      </c>
      <c r="B24" s="1" t="s">
        <v>35</v>
      </c>
      <c r="C24" s="1">
        <v>33.406999999999996</v>
      </c>
      <c r="D24" s="1">
        <v>485.142</v>
      </c>
      <c r="E24" s="1">
        <v>60.539000000000001</v>
      </c>
      <c r="F24" s="1">
        <v>130.392</v>
      </c>
      <c r="G24" s="7">
        <v>1</v>
      </c>
      <c r="H24" s="1">
        <v>70</v>
      </c>
      <c r="I24" s="9" t="s">
        <v>46</v>
      </c>
      <c r="J24" s="1"/>
      <c r="K24" s="1">
        <v>52.1</v>
      </c>
      <c r="L24" s="1">
        <f t="shared" si="4"/>
        <v>8.4390000000000001</v>
      </c>
      <c r="M24" s="1"/>
      <c r="N24" s="1"/>
      <c r="O24" s="1">
        <v>0</v>
      </c>
      <c r="P24" s="18"/>
      <c r="Q24" s="18"/>
      <c r="R24" s="1">
        <v>0</v>
      </c>
      <c r="S24" s="18"/>
      <c r="T24" s="1"/>
      <c r="U24" s="1">
        <f t="shared" si="5"/>
        <v>12.107800000000001</v>
      </c>
      <c r="V24" s="5">
        <v>4</v>
      </c>
      <c r="W24" s="5">
        <f>V24</f>
        <v>4</v>
      </c>
      <c r="X24" s="23"/>
      <c r="Y24" s="23"/>
      <c r="Z24" s="1">
        <f t="shared" si="8"/>
        <v>11.099621731445843</v>
      </c>
      <c r="AA24" s="1">
        <f t="shared" si="9"/>
        <v>10.769256181965343</v>
      </c>
      <c r="AB24" s="1">
        <v>10.0344</v>
      </c>
      <c r="AC24" s="1">
        <v>32.643000000000001</v>
      </c>
      <c r="AD24" s="1">
        <v>50.256799999999998</v>
      </c>
      <c r="AE24" s="1">
        <v>50.878</v>
      </c>
      <c r="AF24" s="1">
        <v>32.047199999999997</v>
      </c>
      <c r="AG24" s="1">
        <v>25.897600000000001</v>
      </c>
      <c r="AH24" s="1">
        <v>37.567</v>
      </c>
      <c r="AI24" s="1">
        <v>37.298999999999999</v>
      </c>
      <c r="AJ24" s="1">
        <v>36.141000000000012</v>
      </c>
      <c r="AK24" s="1">
        <v>39.828000000000003</v>
      </c>
      <c r="AL24" s="1" t="s">
        <v>56</v>
      </c>
      <c r="AM24" s="1">
        <f t="shared" si="10"/>
        <v>4</v>
      </c>
      <c r="AN24" s="1">
        <f t="shared" si="11"/>
        <v>12.107800000000001</v>
      </c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0" t="s">
        <v>59</v>
      </c>
      <c r="B25" s="10" t="s">
        <v>35</v>
      </c>
      <c r="C25" s="10"/>
      <c r="D25" s="10"/>
      <c r="E25" s="10"/>
      <c r="F25" s="10"/>
      <c r="G25" s="11">
        <v>0</v>
      </c>
      <c r="H25" s="10"/>
      <c r="I25" s="10" t="s">
        <v>36</v>
      </c>
      <c r="J25" s="10"/>
      <c r="K25" s="10"/>
      <c r="L25" s="10">
        <f t="shared" si="4"/>
        <v>0</v>
      </c>
      <c r="M25" s="10"/>
      <c r="N25" s="10"/>
      <c r="O25" s="10"/>
      <c r="P25" s="21"/>
      <c r="Q25" s="21"/>
      <c r="R25" s="10">
        <v>0</v>
      </c>
      <c r="S25" s="21"/>
      <c r="T25" s="10"/>
      <c r="U25" s="10">
        <f t="shared" si="5"/>
        <v>0</v>
      </c>
      <c r="V25" s="12"/>
      <c r="W25" s="5">
        <f t="shared" si="12"/>
        <v>0</v>
      </c>
      <c r="X25" s="23"/>
      <c r="Y25" s="24"/>
      <c r="Z25" s="1" t="e">
        <f t="shared" si="8"/>
        <v>#DIV/0!</v>
      </c>
      <c r="AA25" s="10" t="e">
        <f t="shared" si="9"/>
        <v>#DIV/0!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 t="s">
        <v>41</v>
      </c>
      <c r="AM25" s="1">
        <f t="shared" si="10"/>
        <v>0</v>
      </c>
      <c r="AN25" s="1">
        <f t="shared" si="11"/>
        <v>0</v>
      </c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x14ac:dyDescent="0.25">
      <c r="A26" s="1" t="s">
        <v>60</v>
      </c>
      <c r="B26" s="1" t="s">
        <v>35</v>
      </c>
      <c r="C26" s="1"/>
      <c r="D26" s="1">
        <v>246.52199999999999</v>
      </c>
      <c r="E26" s="1">
        <v>20.658999999999999</v>
      </c>
      <c r="F26" s="1">
        <v>177.697</v>
      </c>
      <c r="G26" s="7">
        <v>1</v>
      </c>
      <c r="H26" s="1"/>
      <c r="I26" s="9" t="s">
        <v>46</v>
      </c>
      <c r="J26" s="1"/>
      <c r="K26" s="1">
        <v>31.4</v>
      </c>
      <c r="L26" s="1">
        <f t="shared" si="4"/>
        <v>-10.741</v>
      </c>
      <c r="M26" s="1"/>
      <c r="N26" s="1"/>
      <c r="O26" s="1">
        <v>55.239207031064041</v>
      </c>
      <c r="P26" s="18"/>
      <c r="Q26" s="18"/>
      <c r="R26" s="1">
        <v>0</v>
      </c>
      <c r="S26" s="18"/>
      <c r="T26" s="1"/>
      <c r="U26" s="1">
        <f t="shared" si="5"/>
        <v>4.1318000000000001</v>
      </c>
      <c r="V26" s="5"/>
      <c r="W26" s="5">
        <f t="shared" si="12"/>
        <v>0</v>
      </c>
      <c r="X26" s="23"/>
      <c r="Y26" s="23"/>
      <c r="Z26" s="1">
        <f t="shared" si="8"/>
        <v>56.376447802668096</v>
      </c>
      <c r="AA26" s="1">
        <f t="shared" si="9"/>
        <v>56.376447802668096</v>
      </c>
      <c r="AB26" s="1">
        <v>11.148199999999999</v>
      </c>
      <c r="AC26" s="1">
        <v>25.6892</v>
      </c>
      <c r="AD26" s="1">
        <v>21.925799999999999</v>
      </c>
      <c r="AE26" s="1">
        <v>18.2592</v>
      </c>
      <c r="AF26" s="1">
        <v>16.141200000000001</v>
      </c>
      <c r="AG26" s="1">
        <v>2.0912000000000002</v>
      </c>
      <c r="AH26" s="1">
        <v>5.1159999999999997</v>
      </c>
      <c r="AI26" s="1">
        <v>17.8748</v>
      </c>
      <c r="AJ26" s="1">
        <v>40.319000000000003</v>
      </c>
      <c r="AK26" s="1">
        <v>42.488399999999999</v>
      </c>
      <c r="AL26" s="1"/>
      <c r="AM26" s="1">
        <f t="shared" si="10"/>
        <v>0</v>
      </c>
      <c r="AN26" s="1">
        <f t="shared" si="11"/>
        <v>4.1318000000000001</v>
      </c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61</v>
      </c>
      <c r="B27" s="1" t="s">
        <v>35</v>
      </c>
      <c r="C27" s="1">
        <v>-6.3E-2</v>
      </c>
      <c r="D27" s="1"/>
      <c r="E27" s="1"/>
      <c r="F27" s="1">
        <v>-6.3E-2</v>
      </c>
      <c r="G27" s="7">
        <v>1</v>
      </c>
      <c r="H27" s="1">
        <v>40</v>
      </c>
      <c r="I27" s="9" t="s">
        <v>46</v>
      </c>
      <c r="J27" s="1"/>
      <c r="K27" s="1">
        <v>10.8</v>
      </c>
      <c r="L27" s="1">
        <f t="shared" si="4"/>
        <v>-10.8</v>
      </c>
      <c r="M27" s="1"/>
      <c r="N27" s="1"/>
      <c r="O27" s="1">
        <v>126</v>
      </c>
      <c r="P27" s="18"/>
      <c r="Q27" s="18"/>
      <c r="R27" s="1">
        <v>52</v>
      </c>
      <c r="S27" s="18"/>
      <c r="T27" s="1"/>
      <c r="U27" s="1">
        <f t="shared" si="5"/>
        <v>0</v>
      </c>
      <c r="V27" s="5"/>
      <c r="W27" s="5">
        <f t="shared" si="12"/>
        <v>0</v>
      </c>
      <c r="X27" s="23"/>
      <c r="Y27" s="23"/>
      <c r="Z27" s="1" t="e">
        <f t="shared" si="8"/>
        <v>#DIV/0!</v>
      </c>
      <c r="AA27" s="1" t="e">
        <f t="shared" si="9"/>
        <v>#DIV/0!</v>
      </c>
      <c r="AB27" s="1">
        <v>2.1427999999999998</v>
      </c>
      <c r="AC27" s="1">
        <v>10.8134</v>
      </c>
      <c r="AD27" s="1">
        <v>17.641400000000001</v>
      </c>
      <c r="AE27" s="1">
        <v>8.9708000000000006</v>
      </c>
      <c r="AF27" s="1">
        <v>-0.30919999999999997</v>
      </c>
      <c r="AG27" s="1">
        <v>-0.6</v>
      </c>
      <c r="AH27" s="1">
        <v>-0.49919999999999998</v>
      </c>
      <c r="AI27" s="1">
        <v>-0.2084</v>
      </c>
      <c r="AJ27" s="1">
        <v>-0.311</v>
      </c>
      <c r="AK27" s="1">
        <v>-0.96479999999999999</v>
      </c>
      <c r="AL27" s="1"/>
      <c r="AM27" s="1">
        <f t="shared" si="10"/>
        <v>0</v>
      </c>
      <c r="AN27" s="1">
        <f t="shared" si="11"/>
        <v>0</v>
      </c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62</v>
      </c>
      <c r="B28" s="1" t="s">
        <v>35</v>
      </c>
      <c r="C28" s="1">
        <v>-0.155</v>
      </c>
      <c r="D28" s="1">
        <v>379.387</v>
      </c>
      <c r="E28" s="1">
        <v>184.75299999999999</v>
      </c>
      <c r="F28" s="1">
        <v>108.821</v>
      </c>
      <c r="G28" s="7">
        <v>1</v>
      </c>
      <c r="H28" s="1">
        <v>30</v>
      </c>
      <c r="I28" s="9" t="s">
        <v>46</v>
      </c>
      <c r="J28" s="1"/>
      <c r="K28" s="1">
        <v>189.3</v>
      </c>
      <c r="L28" s="1">
        <f t="shared" si="4"/>
        <v>-4.5470000000000255</v>
      </c>
      <c r="M28" s="1"/>
      <c r="N28" s="1"/>
      <c r="O28" s="1">
        <v>0</v>
      </c>
      <c r="P28" s="18"/>
      <c r="Q28" s="18"/>
      <c r="R28" s="1">
        <v>58.979179999999992</v>
      </c>
      <c r="S28" s="18"/>
      <c r="T28" s="1"/>
      <c r="U28" s="1">
        <f t="shared" si="5"/>
        <v>36.950599999999994</v>
      </c>
      <c r="V28" s="5">
        <v>200</v>
      </c>
      <c r="W28" s="5">
        <f>X28</f>
        <v>280</v>
      </c>
      <c r="X28" s="23">
        <f>VLOOKUP(A28,[1]Sheet!$A:$V,22,0)</f>
        <v>280</v>
      </c>
      <c r="Y28" s="23"/>
      <c r="Z28" s="1">
        <f t="shared" si="8"/>
        <v>12.118887920629165</v>
      </c>
      <c r="AA28" s="1">
        <f t="shared" si="9"/>
        <v>4.5412031198410849</v>
      </c>
      <c r="AB28" s="1">
        <v>19.311800000000002</v>
      </c>
      <c r="AC28" s="1">
        <v>9.3336000000000006</v>
      </c>
      <c r="AD28" s="1">
        <v>16.171600000000002</v>
      </c>
      <c r="AE28" s="1">
        <v>39.539400000000001</v>
      </c>
      <c r="AF28" s="1">
        <v>40.031599999999997</v>
      </c>
      <c r="AG28" s="1">
        <v>22.977399999999999</v>
      </c>
      <c r="AH28" s="1">
        <v>27.055800000000001</v>
      </c>
      <c r="AI28" s="1">
        <v>48.028799999999997</v>
      </c>
      <c r="AJ28" s="1">
        <v>31.125599999999999</v>
      </c>
      <c r="AK28" s="1">
        <v>27.609400000000001</v>
      </c>
      <c r="AL28" s="1"/>
      <c r="AM28" s="1">
        <f t="shared" si="10"/>
        <v>280</v>
      </c>
      <c r="AN28" s="1">
        <f t="shared" si="11"/>
        <v>36.950599999999994</v>
      </c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63</v>
      </c>
      <c r="B29" s="1" t="s">
        <v>35</v>
      </c>
      <c r="C29" s="1">
        <v>209.53299999999999</v>
      </c>
      <c r="D29" s="1">
        <v>918.75400000000002</v>
      </c>
      <c r="E29" s="1">
        <v>410.95499999999998</v>
      </c>
      <c r="F29" s="1">
        <v>189.71</v>
      </c>
      <c r="G29" s="7">
        <v>1</v>
      </c>
      <c r="H29" s="1">
        <v>40</v>
      </c>
      <c r="I29" s="9" t="s">
        <v>46</v>
      </c>
      <c r="J29" s="1"/>
      <c r="K29" s="1">
        <v>361.3</v>
      </c>
      <c r="L29" s="1">
        <f t="shared" si="4"/>
        <v>49.654999999999973</v>
      </c>
      <c r="M29" s="1"/>
      <c r="N29" s="1"/>
      <c r="O29" s="1">
        <v>0</v>
      </c>
      <c r="P29" s="18"/>
      <c r="Q29" s="18"/>
      <c r="R29" s="1">
        <v>1111.8580199999999</v>
      </c>
      <c r="S29" s="18"/>
      <c r="T29" s="1"/>
      <c r="U29" s="1">
        <f t="shared" si="5"/>
        <v>82.191000000000003</v>
      </c>
      <c r="V29" s="5"/>
      <c r="W29" s="5">
        <f t="shared" si="12"/>
        <v>0</v>
      </c>
      <c r="X29" s="23"/>
      <c r="Y29" s="23"/>
      <c r="Z29" s="1">
        <f t="shared" si="8"/>
        <v>15.835894684332834</v>
      </c>
      <c r="AA29" s="1">
        <f t="shared" si="9"/>
        <v>15.835894684332834</v>
      </c>
      <c r="AB29" s="1">
        <v>101.8682</v>
      </c>
      <c r="AC29" s="1">
        <v>58.460400000000007</v>
      </c>
      <c r="AD29" s="1">
        <v>43.297199999999997</v>
      </c>
      <c r="AE29" s="1">
        <v>65.6066</v>
      </c>
      <c r="AF29" s="1">
        <v>148.5498</v>
      </c>
      <c r="AG29" s="1">
        <v>181.39400000000001</v>
      </c>
      <c r="AH29" s="1">
        <v>103.46299999999999</v>
      </c>
      <c r="AI29" s="1">
        <v>27.103999999999999</v>
      </c>
      <c r="AJ29" s="1">
        <v>-0.1542</v>
      </c>
      <c r="AK29" s="1">
        <v>-1.585</v>
      </c>
      <c r="AL29" s="1"/>
      <c r="AM29" s="1">
        <f t="shared" si="10"/>
        <v>0</v>
      </c>
      <c r="AN29" s="1">
        <f t="shared" si="11"/>
        <v>82.191000000000003</v>
      </c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64</v>
      </c>
      <c r="B30" s="1" t="s">
        <v>35</v>
      </c>
      <c r="C30" s="1">
        <v>4.75</v>
      </c>
      <c r="D30" s="1">
        <v>27.341000000000001</v>
      </c>
      <c r="E30" s="1">
        <v>7.6840000000000002</v>
      </c>
      <c r="F30" s="1">
        <v>19.503</v>
      </c>
      <c r="G30" s="7">
        <v>1</v>
      </c>
      <c r="H30" s="1">
        <v>40</v>
      </c>
      <c r="I30" s="9" t="s">
        <v>46</v>
      </c>
      <c r="J30" s="1"/>
      <c r="K30" s="1">
        <v>6.5</v>
      </c>
      <c r="L30" s="1">
        <f t="shared" si="4"/>
        <v>1.1840000000000002</v>
      </c>
      <c r="M30" s="1"/>
      <c r="N30" s="1"/>
      <c r="O30" s="1">
        <v>34.767980045267677</v>
      </c>
      <c r="P30" s="18"/>
      <c r="Q30" s="18"/>
      <c r="R30" s="1">
        <v>26</v>
      </c>
      <c r="S30" s="18"/>
      <c r="T30" s="1"/>
      <c r="U30" s="1">
        <f t="shared" si="5"/>
        <v>1.5367999999999999</v>
      </c>
      <c r="V30" s="5"/>
      <c r="W30" s="5">
        <f t="shared" si="12"/>
        <v>0</v>
      </c>
      <c r="X30" s="23"/>
      <c r="Y30" s="23"/>
      <c r="Z30" s="1">
        <f t="shared" si="8"/>
        <v>52.232548181459968</v>
      </c>
      <c r="AA30" s="1">
        <f t="shared" si="9"/>
        <v>52.232548181459968</v>
      </c>
      <c r="AB30" s="1">
        <v>0.94800000000000006</v>
      </c>
      <c r="AC30" s="1">
        <v>1.244</v>
      </c>
      <c r="AD30" s="1">
        <v>4.5960000000000001</v>
      </c>
      <c r="AE30" s="1">
        <v>5.7263999999999999</v>
      </c>
      <c r="AF30" s="1">
        <v>3.5457999999999998</v>
      </c>
      <c r="AG30" s="1">
        <v>2.9331999999999998</v>
      </c>
      <c r="AH30" s="1">
        <v>2.6417999999999999</v>
      </c>
      <c r="AI30" s="1">
        <v>0</v>
      </c>
      <c r="AJ30" s="1">
        <v>0</v>
      </c>
      <c r="AK30" s="1">
        <v>0</v>
      </c>
      <c r="AL30" s="1"/>
      <c r="AM30" s="1">
        <f t="shared" si="10"/>
        <v>0</v>
      </c>
      <c r="AN30" s="1">
        <f t="shared" si="11"/>
        <v>1.5367999999999999</v>
      </c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65</v>
      </c>
      <c r="B31" s="1" t="s">
        <v>35</v>
      </c>
      <c r="C31" s="1">
        <v>71.459999999999994</v>
      </c>
      <c r="D31" s="1">
        <v>95.381</v>
      </c>
      <c r="E31" s="1">
        <v>89.665999999999997</v>
      </c>
      <c r="F31" s="1">
        <v>28.18</v>
      </c>
      <c r="G31" s="7">
        <v>1</v>
      </c>
      <c r="H31" s="1">
        <v>30</v>
      </c>
      <c r="I31" s="1" t="s">
        <v>36</v>
      </c>
      <c r="J31" s="1"/>
      <c r="K31" s="1">
        <v>85.4</v>
      </c>
      <c r="L31" s="1">
        <f t="shared" si="4"/>
        <v>4.2659999999999911</v>
      </c>
      <c r="M31" s="1"/>
      <c r="N31" s="1"/>
      <c r="O31" s="1">
        <v>0</v>
      </c>
      <c r="P31" s="18"/>
      <c r="Q31" s="18"/>
      <c r="R31" s="1">
        <v>163.13900000000001</v>
      </c>
      <c r="S31" s="18"/>
      <c r="T31" s="1"/>
      <c r="U31" s="1">
        <f t="shared" si="5"/>
        <v>17.933199999999999</v>
      </c>
      <c r="V31" s="5">
        <f t="shared" ref="V31:V36" si="14">11*U31-R31-O31-F31</f>
        <v>5.9461999999999833</v>
      </c>
      <c r="W31" s="5">
        <f>V31+U31*$W$1</f>
        <v>5.9461999999999833</v>
      </c>
      <c r="X31" s="23"/>
      <c r="Y31" s="23"/>
      <c r="Z31" s="1">
        <f t="shared" si="8"/>
        <v>11</v>
      </c>
      <c r="AA31" s="1">
        <f t="shared" si="9"/>
        <v>10.668425044052373</v>
      </c>
      <c r="AB31" s="1">
        <v>20.16</v>
      </c>
      <c r="AC31" s="1">
        <v>6.9640000000000004</v>
      </c>
      <c r="AD31" s="1">
        <v>-1.2383999999999999</v>
      </c>
      <c r="AE31" s="1">
        <v>7.7220000000000004</v>
      </c>
      <c r="AF31" s="1">
        <v>20.628799999999998</v>
      </c>
      <c r="AG31" s="1">
        <v>19.175799999999999</v>
      </c>
      <c r="AH31" s="1">
        <v>5.3548</v>
      </c>
      <c r="AI31" s="1">
        <v>3.99</v>
      </c>
      <c r="AJ31" s="1">
        <v>15.735799999999999</v>
      </c>
      <c r="AK31" s="1">
        <v>19.2578</v>
      </c>
      <c r="AL31" s="1" t="s">
        <v>66</v>
      </c>
      <c r="AM31" s="1">
        <f t="shared" si="10"/>
        <v>6</v>
      </c>
      <c r="AN31" s="1">
        <f t="shared" si="11"/>
        <v>17.933199999999999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67</v>
      </c>
      <c r="B32" s="1" t="s">
        <v>35</v>
      </c>
      <c r="C32" s="1"/>
      <c r="D32" s="1">
        <v>355.39</v>
      </c>
      <c r="E32" s="1">
        <v>35.710999999999999</v>
      </c>
      <c r="F32" s="1">
        <v>97.412999999999997</v>
      </c>
      <c r="G32" s="7">
        <v>1</v>
      </c>
      <c r="H32" s="1">
        <v>50</v>
      </c>
      <c r="I32" s="9" t="s">
        <v>46</v>
      </c>
      <c r="J32" s="1"/>
      <c r="K32" s="1">
        <v>91.8</v>
      </c>
      <c r="L32" s="1">
        <f t="shared" si="4"/>
        <v>-56.088999999999999</v>
      </c>
      <c r="M32" s="1"/>
      <c r="N32" s="1"/>
      <c r="O32" s="1">
        <v>0</v>
      </c>
      <c r="P32" s="18"/>
      <c r="Q32" s="18"/>
      <c r="R32" s="1">
        <v>0</v>
      </c>
      <c r="S32" s="18"/>
      <c r="T32" s="1"/>
      <c r="U32" s="1">
        <f t="shared" si="5"/>
        <v>7.1421999999999999</v>
      </c>
      <c r="V32" s="5">
        <v>80</v>
      </c>
      <c r="W32" s="5">
        <f t="shared" ref="W32:W34" si="15">V32</f>
        <v>80</v>
      </c>
      <c r="X32" s="23"/>
      <c r="Y32" s="23"/>
      <c r="Z32" s="1">
        <f t="shared" si="8"/>
        <v>24.840105289686655</v>
      </c>
      <c r="AA32" s="1">
        <f t="shared" si="9"/>
        <v>13.639074794881129</v>
      </c>
      <c r="AB32" s="1">
        <v>7.5117999999999991</v>
      </c>
      <c r="AC32" s="1">
        <v>0.18379999999999999</v>
      </c>
      <c r="AD32" s="1">
        <v>4.2085999999999997</v>
      </c>
      <c r="AE32" s="1">
        <v>21.8612</v>
      </c>
      <c r="AF32" s="1">
        <v>24.236000000000001</v>
      </c>
      <c r="AG32" s="1">
        <v>10.8574</v>
      </c>
      <c r="AH32" s="1">
        <v>12.3216</v>
      </c>
      <c r="AI32" s="1">
        <v>5.9024000000000001</v>
      </c>
      <c r="AJ32" s="1">
        <v>2.0255999999999998</v>
      </c>
      <c r="AK32" s="1">
        <v>11.801600000000001</v>
      </c>
      <c r="AL32" s="1" t="s">
        <v>56</v>
      </c>
      <c r="AM32" s="1">
        <f t="shared" si="10"/>
        <v>80</v>
      </c>
      <c r="AN32" s="1">
        <f t="shared" si="11"/>
        <v>7.1421999999999999</v>
      </c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x14ac:dyDescent="0.25">
      <c r="A33" s="1" t="s">
        <v>68</v>
      </c>
      <c r="B33" s="1" t="s">
        <v>35</v>
      </c>
      <c r="C33" s="1">
        <v>-3.66</v>
      </c>
      <c r="D33" s="1">
        <v>196.33699999999999</v>
      </c>
      <c r="E33" s="1">
        <v>-0.94899999999999995</v>
      </c>
      <c r="F33" s="1">
        <v>94.058000000000007</v>
      </c>
      <c r="G33" s="7">
        <v>1</v>
      </c>
      <c r="H33" s="1">
        <v>50</v>
      </c>
      <c r="I33" s="9" t="s">
        <v>46</v>
      </c>
      <c r="J33" s="1"/>
      <c r="K33" s="1">
        <v>24</v>
      </c>
      <c r="L33" s="1">
        <f t="shared" si="4"/>
        <v>-24.949000000000002</v>
      </c>
      <c r="M33" s="1"/>
      <c r="N33" s="1"/>
      <c r="O33" s="1">
        <v>126.3529594469065</v>
      </c>
      <c r="P33" s="18"/>
      <c r="Q33" s="18"/>
      <c r="R33" s="1">
        <v>0</v>
      </c>
      <c r="S33" s="18"/>
      <c r="T33" s="1"/>
      <c r="U33" s="1">
        <f t="shared" si="5"/>
        <v>-0.1898</v>
      </c>
      <c r="V33" s="5"/>
      <c r="W33" s="5">
        <f t="shared" si="15"/>
        <v>0</v>
      </c>
      <c r="X33" s="23"/>
      <c r="Y33" s="23"/>
      <c r="Z33" s="1">
        <f t="shared" si="8"/>
        <v>-1161.2800813851766</v>
      </c>
      <c r="AA33" s="1">
        <f t="shared" si="9"/>
        <v>-1161.2800813851766</v>
      </c>
      <c r="AB33" s="1">
        <v>7.3756000000000004</v>
      </c>
      <c r="AC33" s="1">
        <v>28.135400000000001</v>
      </c>
      <c r="AD33" s="1">
        <v>25.8796</v>
      </c>
      <c r="AE33" s="1">
        <v>9.8638000000000012</v>
      </c>
      <c r="AF33" s="1">
        <v>26.817399999999999</v>
      </c>
      <c r="AG33" s="1">
        <v>26.715599999999998</v>
      </c>
      <c r="AH33" s="1">
        <v>23.43</v>
      </c>
      <c r="AI33" s="1">
        <v>7.003400000000001</v>
      </c>
      <c r="AJ33" s="1">
        <v>13.5762</v>
      </c>
      <c r="AK33" s="1">
        <v>20.1646</v>
      </c>
      <c r="AL33" s="1"/>
      <c r="AM33" s="1">
        <f t="shared" si="10"/>
        <v>0</v>
      </c>
      <c r="AN33" s="1">
        <f t="shared" si="11"/>
        <v>-0.1898</v>
      </c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" t="s">
        <v>69</v>
      </c>
      <c r="B34" s="1" t="s">
        <v>40</v>
      </c>
      <c r="C34" s="1"/>
      <c r="D34" s="1">
        <v>1853</v>
      </c>
      <c r="E34" s="1">
        <v>747</v>
      </c>
      <c r="F34" s="1">
        <v>1039</v>
      </c>
      <c r="G34" s="7">
        <v>0.4</v>
      </c>
      <c r="H34" s="1">
        <v>45</v>
      </c>
      <c r="I34" s="9" t="s">
        <v>46</v>
      </c>
      <c r="J34" s="1"/>
      <c r="K34" s="1">
        <v>775</v>
      </c>
      <c r="L34" s="1">
        <f t="shared" si="4"/>
        <v>-28</v>
      </c>
      <c r="M34" s="1"/>
      <c r="N34" s="1"/>
      <c r="O34" s="1">
        <v>568.63585951940854</v>
      </c>
      <c r="P34" s="18"/>
      <c r="Q34" s="18"/>
      <c r="R34" s="1">
        <v>0</v>
      </c>
      <c r="S34" s="18"/>
      <c r="T34" s="1"/>
      <c r="U34" s="1">
        <f t="shared" si="5"/>
        <v>149.4</v>
      </c>
      <c r="V34" s="5">
        <v>100</v>
      </c>
      <c r="W34" s="5">
        <f t="shared" si="15"/>
        <v>100</v>
      </c>
      <c r="X34" s="23"/>
      <c r="Y34" s="23"/>
      <c r="Z34" s="1">
        <f t="shared" si="8"/>
        <v>11.42995889905896</v>
      </c>
      <c r="AA34" s="1">
        <f t="shared" si="9"/>
        <v>10.76061485622094</v>
      </c>
      <c r="AB34" s="1">
        <v>96.8</v>
      </c>
      <c r="AC34" s="1">
        <v>94.4</v>
      </c>
      <c r="AD34" s="1">
        <v>116.2</v>
      </c>
      <c r="AE34" s="1">
        <v>89.6</v>
      </c>
      <c r="AF34" s="1">
        <v>12.8</v>
      </c>
      <c r="AG34" s="1">
        <v>15.2</v>
      </c>
      <c r="AH34" s="1">
        <v>168.4</v>
      </c>
      <c r="AI34" s="1">
        <v>297.2</v>
      </c>
      <c r="AJ34" s="1">
        <v>169.4</v>
      </c>
      <c r="AK34" s="1">
        <v>158.80000000000001</v>
      </c>
      <c r="AL34" s="1"/>
      <c r="AM34" s="1">
        <f t="shared" si="10"/>
        <v>40</v>
      </c>
      <c r="AN34" s="1">
        <f t="shared" si="11"/>
        <v>59.760000000000005</v>
      </c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x14ac:dyDescent="0.25">
      <c r="A35" s="1" t="s">
        <v>70</v>
      </c>
      <c r="B35" s="1" t="s">
        <v>40</v>
      </c>
      <c r="C35" s="1">
        <v>243</v>
      </c>
      <c r="D35" s="1">
        <v>682</v>
      </c>
      <c r="E35" s="1">
        <v>161</v>
      </c>
      <c r="F35" s="1">
        <v>73</v>
      </c>
      <c r="G35" s="7">
        <v>0.45</v>
      </c>
      <c r="H35" s="1">
        <v>50</v>
      </c>
      <c r="I35" s="1" t="s">
        <v>36</v>
      </c>
      <c r="J35" s="1"/>
      <c r="K35" s="1">
        <v>155</v>
      </c>
      <c r="L35" s="1">
        <f t="shared" si="4"/>
        <v>6</v>
      </c>
      <c r="M35" s="1"/>
      <c r="N35" s="1"/>
      <c r="O35" s="1">
        <v>0</v>
      </c>
      <c r="P35" s="18"/>
      <c r="Q35" s="18"/>
      <c r="R35" s="1">
        <v>218.6</v>
      </c>
      <c r="S35" s="18"/>
      <c r="T35" s="1"/>
      <c r="U35" s="1">
        <f t="shared" si="5"/>
        <v>32.200000000000003</v>
      </c>
      <c r="V35" s="5">
        <f t="shared" si="14"/>
        <v>62.600000000000051</v>
      </c>
      <c r="W35" s="5">
        <f>V35+U35*$W$1</f>
        <v>62.600000000000051</v>
      </c>
      <c r="X35" s="23"/>
      <c r="Y35" s="23"/>
      <c r="Z35" s="1">
        <f t="shared" si="8"/>
        <v>11</v>
      </c>
      <c r="AA35" s="1">
        <f t="shared" si="9"/>
        <v>9.0559006211180115</v>
      </c>
      <c r="AB35" s="1">
        <v>28.2</v>
      </c>
      <c r="AC35" s="1">
        <v>49.8</v>
      </c>
      <c r="AD35" s="1">
        <v>55.4</v>
      </c>
      <c r="AE35" s="1">
        <v>60.4</v>
      </c>
      <c r="AF35" s="1">
        <v>85.4</v>
      </c>
      <c r="AG35" s="1">
        <v>80.2</v>
      </c>
      <c r="AH35" s="1">
        <v>64.400000000000006</v>
      </c>
      <c r="AI35" s="1">
        <v>40.4</v>
      </c>
      <c r="AJ35" s="1">
        <v>47</v>
      </c>
      <c r="AK35" s="1">
        <v>69.400000000000006</v>
      </c>
      <c r="AL35" s="1"/>
      <c r="AM35" s="1">
        <f t="shared" si="10"/>
        <v>28</v>
      </c>
      <c r="AN35" s="1">
        <f t="shared" si="11"/>
        <v>14.490000000000002</v>
      </c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" t="s">
        <v>71</v>
      </c>
      <c r="B36" s="1" t="s">
        <v>40</v>
      </c>
      <c r="C36" s="1">
        <v>58</v>
      </c>
      <c r="D36" s="1">
        <v>581</v>
      </c>
      <c r="E36" s="1">
        <v>238</v>
      </c>
      <c r="F36" s="1">
        <v>217</v>
      </c>
      <c r="G36" s="7">
        <v>0.4</v>
      </c>
      <c r="H36" s="1">
        <v>45</v>
      </c>
      <c r="I36" s="9" t="s">
        <v>46</v>
      </c>
      <c r="J36" s="1"/>
      <c r="K36" s="1">
        <v>238</v>
      </c>
      <c r="L36" s="1">
        <f t="shared" si="4"/>
        <v>0</v>
      </c>
      <c r="M36" s="1"/>
      <c r="N36" s="1"/>
      <c r="O36" s="1">
        <v>50</v>
      </c>
      <c r="P36" s="18"/>
      <c r="Q36" s="18"/>
      <c r="R36" s="1">
        <v>104</v>
      </c>
      <c r="S36" s="18"/>
      <c r="T36" s="1"/>
      <c r="U36" s="1">
        <f t="shared" si="5"/>
        <v>47.6</v>
      </c>
      <c r="V36" s="5">
        <f t="shared" si="14"/>
        <v>152.60000000000002</v>
      </c>
      <c r="W36" s="5">
        <f t="shared" ref="W36:W38" si="16">V36</f>
        <v>152.60000000000002</v>
      </c>
      <c r="X36" s="23"/>
      <c r="Y36" s="23"/>
      <c r="Z36" s="1">
        <f t="shared" si="8"/>
        <v>11</v>
      </c>
      <c r="AA36" s="1">
        <f t="shared" si="9"/>
        <v>7.7941176470588234</v>
      </c>
      <c r="AB36" s="1">
        <v>37.799999999999997</v>
      </c>
      <c r="AC36" s="1">
        <v>37.4</v>
      </c>
      <c r="AD36" s="1">
        <v>42.2</v>
      </c>
      <c r="AE36" s="1">
        <v>56.4</v>
      </c>
      <c r="AF36" s="1">
        <v>72.400000000000006</v>
      </c>
      <c r="AG36" s="1">
        <v>42.4</v>
      </c>
      <c r="AH36" s="1">
        <v>24.4</v>
      </c>
      <c r="AI36" s="1">
        <v>-0.6</v>
      </c>
      <c r="AJ36" s="1">
        <v>0.2</v>
      </c>
      <c r="AK36" s="1">
        <v>60.2</v>
      </c>
      <c r="AL36" s="1"/>
      <c r="AM36" s="1">
        <f t="shared" si="10"/>
        <v>61</v>
      </c>
      <c r="AN36" s="1">
        <f t="shared" si="11"/>
        <v>19.040000000000003</v>
      </c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x14ac:dyDescent="0.25">
      <c r="A37" s="1" t="s">
        <v>72</v>
      </c>
      <c r="B37" s="1" t="s">
        <v>40</v>
      </c>
      <c r="C37" s="1"/>
      <c r="D37" s="1">
        <v>150</v>
      </c>
      <c r="E37" s="1"/>
      <c r="F37" s="1"/>
      <c r="G37" s="7">
        <v>0.4</v>
      </c>
      <c r="H37" s="1">
        <v>40</v>
      </c>
      <c r="I37" s="9" t="s">
        <v>46</v>
      </c>
      <c r="J37" s="1"/>
      <c r="K37" s="1"/>
      <c r="L37" s="1">
        <f t="shared" si="4"/>
        <v>0</v>
      </c>
      <c r="M37" s="1"/>
      <c r="N37" s="1"/>
      <c r="O37" s="1">
        <v>75.581395348837205</v>
      </c>
      <c r="P37" s="18"/>
      <c r="Q37" s="18"/>
      <c r="R37" s="1">
        <v>0</v>
      </c>
      <c r="S37" s="18"/>
      <c r="T37" s="1"/>
      <c r="U37" s="1">
        <f t="shared" si="5"/>
        <v>0</v>
      </c>
      <c r="V37" s="5">
        <v>30</v>
      </c>
      <c r="W37" s="5">
        <f t="shared" si="16"/>
        <v>30</v>
      </c>
      <c r="X37" s="23"/>
      <c r="Y37" s="23"/>
      <c r="Z37" s="1" t="e">
        <f t="shared" si="8"/>
        <v>#DIV/0!</v>
      </c>
      <c r="AA37" s="1" t="e">
        <f t="shared" si="9"/>
        <v>#DIV/0!</v>
      </c>
      <c r="AB37" s="1">
        <v>0</v>
      </c>
      <c r="AC37" s="1">
        <v>0</v>
      </c>
      <c r="AD37" s="1">
        <v>0</v>
      </c>
      <c r="AE37" s="1">
        <v>-0.2</v>
      </c>
      <c r="AF37" s="1">
        <v>-0.2</v>
      </c>
      <c r="AG37" s="1">
        <v>0</v>
      </c>
      <c r="AH37" s="1">
        <v>0</v>
      </c>
      <c r="AI37" s="1">
        <v>3</v>
      </c>
      <c r="AJ37" s="1">
        <v>5.6</v>
      </c>
      <c r="AK37" s="1">
        <v>12.6</v>
      </c>
      <c r="AL37" s="1"/>
      <c r="AM37" s="1">
        <f t="shared" si="10"/>
        <v>12</v>
      </c>
      <c r="AN37" s="1">
        <f t="shared" si="11"/>
        <v>0</v>
      </c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" t="s">
        <v>73</v>
      </c>
      <c r="B38" s="1" t="s">
        <v>35</v>
      </c>
      <c r="C38" s="1">
        <v>7.1020000000000003</v>
      </c>
      <c r="D38" s="1">
        <v>115.23099999999999</v>
      </c>
      <c r="E38" s="1">
        <v>32.363</v>
      </c>
      <c r="F38" s="1">
        <v>70.415999999999997</v>
      </c>
      <c r="G38" s="7">
        <v>1</v>
      </c>
      <c r="H38" s="1">
        <v>45</v>
      </c>
      <c r="I38" s="9" t="s">
        <v>46</v>
      </c>
      <c r="J38" s="1"/>
      <c r="K38" s="1">
        <v>32.6</v>
      </c>
      <c r="L38" s="1">
        <f t="shared" ref="L38:L69" si="17">E38-K38</f>
        <v>-0.23700000000000188</v>
      </c>
      <c r="M38" s="1"/>
      <c r="N38" s="1"/>
      <c r="O38" s="1">
        <v>31.517523165112291</v>
      </c>
      <c r="P38" s="18"/>
      <c r="Q38" s="18"/>
      <c r="R38" s="1">
        <v>13</v>
      </c>
      <c r="S38" s="18"/>
      <c r="T38" s="1"/>
      <c r="U38" s="1">
        <f t="shared" ref="U38:U69" si="18">E38/5</f>
        <v>6.4725999999999999</v>
      </c>
      <c r="V38" s="5"/>
      <c r="W38" s="5">
        <f t="shared" si="16"/>
        <v>0</v>
      </c>
      <c r="X38" s="23"/>
      <c r="Y38" s="23"/>
      <c r="Z38" s="1">
        <f t="shared" si="8"/>
        <v>17.756932788232287</v>
      </c>
      <c r="AA38" s="1">
        <f t="shared" si="9"/>
        <v>17.756932788232287</v>
      </c>
      <c r="AB38" s="1">
        <v>8.2210000000000001</v>
      </c>
      <c r="AC38" s="1">
        <v>13.138</v>
      </c>
      <c r="AD38" s="1">
        <v>13.4964</v>
      </c>
      <c r="AE38" s="1">
        <v>12.9948</v>
      </c>
      <c r="AF38" s="1">
        <v>12.9156</v>
      </c>
      <c r="AG38" s="1">
        <v>11.095599999999999</v>
      </c>
      <c r="AH38" s="1">
        <v>7.1444000000000001</v>
      </c>
      <c r="AI38" s="1">
        <v>1.1714</v>
      </c>
      <c r="AJ38" s="1">
        <v>9.6359999999999992</v>
      </c>
      <c r="AK38" s="1">
        <v>15.555199999999999</v>
      </c>
      <c r="AL38" s="1" t="s">
        <v>56</v>
      </c>
      <c r="AM38" s="1">
        <f t="shared" si="10"/>
        <v>0</v>
      </c>
      <c r="AN38" s="1">
        <f t="shared" si="11"/>
        <v>6.4725999999999999</v>
      </c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x14ac:dyDescent="0.25">
      <c r="A39" s="1" t="s">
        <v>74</v>
      </c>
      <c r="B39" s="1" t="s">
        <v>40</v>
      </c>
      <c r="C39" s="1">
        <v>80</v>
      </c>
      <c r="D39" s="1">
        <v>260</v>
      </c>
      <c r="E39" s="1">
        <v>146</v>
      </c>
      <c r="F39" s="1">
        <v>-3</v>
      </c>
      <c r="G39" s="7">
        <v>0.1</v>
      </c>
      <c r="H39" s="1">
        <v>731</v>
      </c>
      <c r="I39" s="1" t="s">
        <v>36</v>
      </c>
      <c r="J39" s="1"/>
      <c r="K39" s="1">
        <v>157</v>
      </c>
      <c r="L39" s="1">
        <f t="shared" si="17"/>
        <v>-11</v>
      </c>
      <c r="M39" s="1"/>
      <c r="N39" s="1"/>
      <c r="O39" s="1">
        <v>284.8763285024155</v>
      </c>
      <c r="P39" s="18"/>
      <c r="Q39" s="18"/>
      <c r="R39" s="1">
        <v>374.52367149758442</v>
      </c>
      <c r="S39" s="18"/>
      <c r="T39" s="1"/>
      <c r="U39" s="1">
        <f t="shared" si="18"/>
        <v>29.2</v>
      </c>
      <c r="V39" s="5"/>
      <c r="W39" s="5">
        <f t="shared" si="12"/>
        <v>0</v>
      </c>
      <c r="X39" s="23"/>
      <c r="Y39" s="23"/>
      <c r="Z39" s="1">
        <f t="shared" si="8"/>
        <v>22.479452054794518</v>
      </c>
      <c r="AA39" s="1">
        <f t="shared" si="9"/>
        <v>22.479452054794518</v>
      </c>
      <c r="AB39" s="1">
        <v>50.8</v>
      </c>
      <c r="AC39" s="1">
        <v>58.6</v>
      </c>
      <c r="AD39" s="1">
        <v>39.6</v>
      </c>
      <c r="AE39" s="1">
        <v>43.2</v>
      </c>
      <c r="AF39" s="1">
        <v>50.2</v>
      </c>
      <c r="AG39" s="1">
        <v>33.6</v>
      </c>
      <c r="AH39" s="1">
        <v>22.8</v>
      </c>
      <c r="AI39" s="1">
        <v>25</v>
      </c>
      <c r="AJ39" s="1">
        <v>20.6</v>
      </c>
      <c r="AK39" s="1">
        <v>18.8</v>
      </c>
      <c r="AL39" s="1" t="s">
        <v>56</v>
      </c>
      <c r="AM39" s="1">
        <f t="shared" si="10"/>
        <v>0</v>
      </c>
      <c r="AN39" s="1">
        <f t="shared" si="11"/>
        <v>2.92</v>
      </c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" t="s">
        <v>75</v>
      </c>
      <c r="B40" s="1" t="s">
        <v>40</v>
      </c>
      <c r="C40" s="1">
        <v>2</v>
      </c>
      <c r="D40" s="1"/>
      <c r="E40" s="1">
        <v>-1</v>
      </c>
      <c r="F40" s="1">
        <v>2</v>
      </c>
      <c r="G40" s="7">
        <v>0.35</v>
      </c>
      <c r="H40" s="1">
        <v>40</v>
      </c>
      <c r="I40" s="9" t="s">
        <v>46</v>
      </c>
      <c r="J40" s="1"/>
      <c r="K40" s="1">
        <v>26</v>
      </c>
      <c r="L40" s="1">
        <f t="shared" si="17"/>
        <v>-27</v>
      </c>
      <c r="M40" s="1"/>
      <c r="N40" s="1"/>
      <c r="O40" s="1">
        <v>136</v>
      </c>
      <c r="P40" s="18"/>
      <c r="Q40" s="18"/>
      <c r="R40" s="1">
        <v>65</v>
      </c>
      <c r="S40" s="18"/>
      <c r="T40" s="1"/>
      <c r="U40" s="1">
        <f t="shared" si="18"/>
        <v>-0.2</v>
      </c>
      <c r="V40" s="5"/>
      <c r="W40" s="5">
        <f t="shared" si="12"/>
        <v>0</v>
      </c>
      <c r="X40" s="23"/>
      <c r="Y40" s="23"/>
      <c r="Z40" s="1">
        <f t="shared" si="8"/>
        <v>-1015</v>
      </c>
      <c r="AA40" s="1">
        <f t="shared" si="9"/>
        <v>-1015</v>
      </c>
      <c r="AB40" s="1">
        <v>0</v>
      </c>
      <c r="AC40" s="1">
        <v>13.6</v>
      </c>
      <c r="AD40" s="1">
        <v>19.8</v>
      </c>
      <c r="AE40" s="1">
        <v>6.8</v>
      </c>
      <c r="AF40" s="1">
        <v>0</v>
      </c>
      <c r="AG40" s="1">
        <v>-0.6</v>
      </c>
      <c r="AH40" s="1">
        <v>-0.6</v>
      </c>
      <c r="AI40" s="1">
        <v>-0.8</v>
      </c>
      <c r="AJ40" s="1">
        <v>-2.4</v>
      </c>
      <c r="AK40" s="1">
        <v>-2.8</v>
      </c>
      <c r="AL40" s="1"/>
      <c r="AM40" s="1">
        <f t="shared" si="10"/>
        <v>0</v>
      </c>
      <c r="AN40" s="1">
        <f t="shared" si="11"/>
        <v>-6.9999999999999993E-2</v>
      </c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x14ac:dyDescent="0.25">
      <c r="A41" s="1" t="s">
        <v>76</v>
      </c>
      <c r="B41" s="1" t="s">
        <v>35</v>
      </c>
      <c r="C41" s="1">
        <v>-6.4000000000000001E-2</v>
      </c>
      <c r="D41" s="1">
        <v>208.499</v>
      </c>
      <c r="E41" s="1">
        <v>31.774999999999999</v>
      </c>
      <c r="F41" s="1">
        <v>175.83699999999999</v>
      </c>
      <c r="G41" s="7">
        <v>1</v>
      </c>
      <c r="H41" s="1">
        <v>40</v>
      </c>
      <c r="I41" s="9" t="s">
        <v>46</v>
      </c>
      <c r="J41" s="1"/>
      <c r="K41" s="1">
        <v>74.2</v>
      </c>
      <c r="L41" s="1">
        <f t="shared" si="17"/>
        <v>-42.425000000000004</v>
      </c>
      <c r="M41" s="1"/>
      <c r="N41" s="1"/>
      <c r="O41" s="1">
        <v>69.400144604067776</v>
      </c>
      <c r="P41" s="18"/>
      <c r="Q41" s="18"/>
      <c r="R41" s="1">
        <v>0</v>
      </c>
      <c r="S41" s="18"/>
      <c r="T41" s="1"/>
      <c r="U41" s="1">
        <f t="shared" si="18"/>
        <v>6.3549999999999995</v>
      </c>
      <c r="V41" s="5"/>
      <c r="W41" s="5">
        <f t="shared" si="12"/>
        <v>0</v>
      </c>
      <c r="X41" s="23"/>
      <c r="Y41" s="23"/>
      <c r="Z41" s="1">
        <f t="shared" si="8"/>
        <v>38.589637231167238</v>
      </c>
      <c r="AA41" s="1">
        <f t="shared" si="9"/>
        <v>38.589637231167238</v>
      </c>
      <c r="AB41" s="1">
        <v>11.1378</v>
      </c>
      <c r="AC41" s="1">
        <v>21.081199999999999</v>
      </c>
      <c r="AD41" s="1">
        <v>19.641200000000001</v>
      </c>
      <c r="AE41" s="1">
        <v>9.0427999999999997</v>
      </c>
      <c r="AF41" s="1">
        <v>8.4745999999999988</v>
      </c>
      <c r="AG41" s="1">
        <v>7.7513999999999994</v>
      </c>
      <c r="AH41" s="1">
        <v>5.5529999999999999</v>
      </c>
      <c r="AI41" s="1">
        <v>-1.6140000000000001</v>
      </c>
      <c r="AJ41" s="1">
        <v>5.4058000000000002</v>
      </c>
      <c r="AK41" s="1">
        <v>14.0082</v>
      </c>
      <c r="AL41" s="1" t="s">
        <v>56</v>
      </c>
      <c r="AM41" s="1">
        <f t="shared" si="10"/>
        <v>0</v>
      </c>
      <c r="AN41" s="1">
        <f t="shared" si="11"/>
        <v>6.3549999999999995</v>
      </c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0" t="s">
        <v>77</v>
      </c>
      <c r="B42" s="10" t="s">
        <v>40</v>
      </c>
      <c r="C42" s="10">
        <v>-4</v>
      </c>
      <c r="D42" s="10">
        <v>4</v>
      </c>
      <c r="E42" s="10"/>
      <c r="F42" s="10"/>
      <c r="G42" s="11">
        <v>0</v>
      </c>
      <c r="H42" s="10">
        <v>50</v>
      </c>
      <c r="I42" s="10" t="s">
        <v>78</v>
      </c>
      <c r="J42" s="10"/>
      <c r="K42" s="10"/>
      <c r="L42" s="10">
        <f t="shared" si="17"/>
        <v>0</v>
      </c>
      <c r="M42" s="10"/>
      <c r="N42" s="10"/>
      <c r="O42" s="10"/>
      <c r="P42" s="21"/>
      <c r="Q42" s="21"/>
      <c r="R42" s="10">
        <v>0</v>
      </c>
      <c r="S42" s="21"/>
      <c r="T42" s="10"/>
      <c r="U42" s="10">
        <f t="shared" si="18"/>
        <v>0</v>
      </c>
      <c r="V42" s="12"/>
      <c r="W42" s="5">
        <f t="shared" si="12"/>
        <v>0</v>
      </c>
      <c r="X42" s="23"/>
      <c r="Y42" s="24"/>
      <c r="Z42" s="1" t="e">
        <f t="shared" si="8"/>
        <v>#DIV/0!</v>
      </c>
      <c r="AA42" s="10" t="e">
        <f t="shared" si="9"/>
        <v>#DIV/0!</v>
      </c>
      <c r="AB42" s="10">
        <v>0.6</v>
      </c>
      <c r="AC42" s="10">
        <v>0.8</v>
      </c>
      <c r="AD42" s="10">
        <v>0</v>
      </c>
      <c r="AE42" s="10">
        <v>0</v>
      </c>
      <c r="AF42" s="10">
        <v>0</v>
      </c>
      <c r="AG42" s="10">
        <v>0.2</v>
      </c>
      <c r="AH42" s="10">
        <v>-0.2</v>
      </c>
      <c r="AI42" s="10">
        <v>-0.2</v>
      </c>
      <c r="AJ42" s="10">
        <v>0</v>
      </c>
      <c r="AK42" s="10">
        <v>1.4</v>
      </c>
      <c r="AL42" s="10"/>
      <c r="AM42" s="1">
        <f t="shared" si="10"/>
        <v>0</v>
      </c>
      <c r="AN42" s="1">
        <f t="shared" si="11"/>
        <v>0</v>
      </c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79</v>
      </c>
      <c r="B43" s="1" t="s">
        <v>40</v>
      </c>
      <c r="C43" s="1">
        <v>47</v>
      </c>
      <c r="D43" s="1">
        <v>102</v>
      </c>
      <c r="E43" s="1">
        <v>101</v>
      </c>
      <c r="F43" s="1">
        <v>38</v>
      </c>
      <c r="G43" s="7">
        <v>0.4</v>
      </c>
      <c r="H43" s="1">
        <v>40</v>
      </c>
      <c r="I43" s="9" t="s">
        <v>46</v>
      </c>
      <c r="J43" s="1"/>
      <c r="K43" s="1">
        <v>95</v>
      </c>
      <c r="L43" s="1">
        <f t="shared" si="17"/>
        <v>6</v>
      </c>
      <c r="M43" s="1"/>
      <c r="N43" s="1"/>
      <c r="O43" s="1">
        <v>85.296167247386762</v>
      </c>
      <c r="P43" s="18"/>
      <c r="Q43" s="18"/>
      <c r="R43" s="1">
        <v>130</v>
      </c>
      <c r="S43" s="18"/>
      <c r="T43" s="1"/>
      <c r="U43" s="1">
        <f t="shared" si="18"/>
        <v>20.2</v>
      </c>
      <c r="V43" s="5"/>
      <c r="W43" s="5">
        <f>V43</f>
        <v>0</v>
      </c>
      <c r="X43" s="23"/>
      <c r="Y43" s="23"/>
      <c r="Z43" s="1">
        <f t="shared" si="8"/>
        <v>12.539414220167663</v>
      </c>
      <c r="AA43" s="1">
        <f t="shared" si="9"/>
        <v>12.539414220167663</v>
      </c>
      <c r="AB43" s="1">
        <v>19</v>
      </c>
      <c r="AC43" s="1">
        <v>9.6</v>
      </c>
      <c r="AD43" s="1">
        <v>9.4</v>
      </c>
      <c r="AE43" s="1">
        <v>6</v>
      </c>
      <c r="AF43" s="1">
        <v>12.8</v>
      </c>
      <c r="AG43" s="1">
        <v>21.4</v>
      </c>
      <c r="AH43" s="1">
        <v>19.8</v>
      </c>
      <c r="AI43" s="1">
        <v>8.6</v>
      </c>
      <c r="AJ43" s="1">
        <v>8.8000000000000007</v>
      </c>
      <c r="AK43" s="1">
        <v>24.4</v>
      </c>
      <c r="AL43" s="1"/>
      <c r="AM43" s="1">
        <f t="shared" si="10"/>
        <v>0</v>
      </c>
      <c r="AN43" s="1">
        <f t="shared" si="11"/>
        <v>8.08</v>
      </c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80</v>
      </c>
      <c r="B44" s="1" t="s">
        <v>40</v>
      </c>
      <c r="C44" s="1"/>
      <c r="D44" s="1">
        <v>258</v>
      </c>
      <c r="E44" s="1">
        <v>26</v>
      </c>
      <c r="F44" s="1">
        <v>140</v>
      </c>
      <c r="G44" s="7">
        <v>0.4</v>
      </c>
      <c r="H44" s="1">
        <v>45</v>
      </c>
      <c r="I44" s="1" t="s">
        <v>36</v>
      </c>
      <c r="J44" s="1"/>
      <c r="K44" s="1">
        <v>26</v>
      </c>
      <c r="L44" s="1">
        <f t="shared" si="17"/>
        <v>0</v>
      </c>
      <c r="M44" s="1"/>
      <c r="N44" s="1"/>
      <c r="O44" s="1">
        <v>125.51020408163259</v>
      </c>
      <c r="P44" s="18"/>
      <c r="Q44" s="18"/>
      <c r="R44" s="1">
        <v>0</v>
      </c>
      <c r="S44" s="18"/>
      <c r="T44" s="1"/>
      <c r="U44" s="1">
        <f t="shared" si="18"/>
        <v>5.2</v>
      </c>
      <c r="V44" s="5"/>
      <c r="W44" s="5">
        <f t="shared" si="12"/>
        <v>0</v>
      </c>
      <c r="X44" s="23"/>
      <c r="Y44" s="23"/>
      <c r="Z44" s="1">
        <f t="shared" si="8"/>
        <v>51.059654631083191</v>
      </c>
      <c r="AA44" s="1">
        <f t="shared" si="9"/>
        <v>51.059654631083191</v>
      </c>
      <c r="AB44" s="1">
        <v>0.4</v>
      </c>
      <c r="AC44" s="1">
        <v>11.4</v>
      </c>
      <c r="AD44" s="1">
        <v>16</v>
      </c>
      <c r="AE44" s="1">
        <v>27.8</v>
      </c>
      <c r="AF44" s="1">
        <v>36.4</v>
      </c>
      <c r="AG44" s="1">
        <v>23.2</v>
      </c>
      <c r="AH44" s="1">
        <v>30.2</v>
      </c>
      <c r="AI44" s="1">
        <v>28.6</v>
      </c>
      <c r="AJ44" s="1">
        <v>42.4</v>
      </c>
      <c r="AK44" s="1">
        <v>40.799999999999997</v>
      </c>
      <c r="AL44" s="17" t="s">
        <v>178</v>
      </c>
      <c r="AM44" s="1">
        <f t="shared" si="10"/>
        <v>0</v>
      </c>
      <c r="AN44" s="1">
        <f t="shared" si="11"/>
        <v>2.08</v>
      </c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1" t="s">
        <v>81</v>
      </c>
      <c r="B45" s="1" t="s">
        <v>35</v>
      </c>
      <c r="C45" s="1">
        <v>21.068000000000001</v>
      </c>
      <c r="D45" s="1">
        <v>205.20599999999999</v>
      </c>
      <c r="E45" s="1">
        <v>85.546999999999997</v>
      </c>
      <c r="F45" s="1">
        <v>40.094000000000001</v>
      </c>
      <c r="G45" s="7">
        <v>1</v>
      </c>
      <c r="H45" s="1">
        <v>40</v>
      </c>
      <c r="I45" s="9" t="s">
        <v>46</v>
      </c>
      <c r="J45" s="1"/>
      <c r="K45" s="1">
        <v>118.9</v>
      </c>
      <c r="L45" s="1">
        <f t="shared" si="17"/>
        <v>-33.353000000000009</v>
      </c>
      <c r="M45" s="1"/>
      <c r="N45" s="1"/>
      <c r="O45" s="1">
        <v>0</v>
      </c>
      <c r="P45" s="18"/>
      <c r="Q45" s="18"/>
      <c r="R45" s="1">
        <v>130</v>
      </c>
      <c r="S45" s="18"/>
      <c r="T45" s="1"/>
      <c r="U45" s="1">
        <f t="shared" si="18"/>
        <v>17.109400000000001</v>
      </c>
      <c r="V45" s="5">
        <v>30</v>
      </c>
      <c r="W45" s="5">
        <f t="shared" si="12"/>
        <v>30</v>
      </c>
      <c r="X45" s="23"/>
      <c r="Y45" s="23"/>
      <c r="Z45" s="1">
        <f t="shared" si="8"/>
        <v>11.694974692274421</v>
      </c>
      <c r="AA45" s="1">
        <f t="shared" si="9"/>
        <v>9.9415525968181218</v>
      </c>
      <c r="AB45" s="1">
        <v>24.5684</v>
      </c>
      <c r="AC45" s="1">
        <v>11.5448</v>
      </c>
      <c r="AD45" s="1">
        <v>8.1449999999999996</v>
      </c>
      <c r="AE45" s="1">
        <v>3.4784000000000002</v>
      </c>
      <c r="AF45" s="1">
        <v>2.7585999999999999</v>
      </c>
      <c r="AG45" s="1">
        <v>8.6112000000000002</v>
      </c>
      <c r="AH45" s="1">
        <v>5.2758000000000003</v>
      </c>
      <c r="AI45" s="1">
        <v>-0.58460000000000001</v>
      </c>
      <c r="AJ45" s="1">
        <v>1.7490000000000001</v>
      </c>
      <c r="AK45" s="1">
        <v>10.768800000000001</v>
      </c>
      <c r="AL45" s="1" t="s">
        <v>56</v>
      </c>
      <c r="AM45" s="1">
        <f t="shared" si="10"/>
        <v>30</v>
      </c>
      <c r="AN45" s="1">
        <f t="shared" si="11"/>
        <v>17.109400000000001</v>
      </c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1" t="s">
        <v>82</v>
      </c>
      <c r="B46" s="1" t="s">
        <v>40</v>
      </c>
      <c r="C46" s="1">
        <v>47</v>
      </c>
      <c r="D46" s="1">
        <v>3</v>
      </c>
      <c r="E46" s="1">
        <v>67</v>
      </c>
      <c r="F46" s="1"/>
      <c r="G46" s="7">
        <v>0.35</v>
      </c>
      <c r="H46" s="1">
        <v>40</v>
      </c>
      <c r="I46" s="9" t="s">
        <v>46</v>
      </c>
      <c r="J46" s="1"/>
      <c r="K46" s="1">
        <v>83</v>
      </c>
      <c r="L46" s="1">
        <f t="shared" si="17"/>
        <v>-16</v>
      </c>
      <c r="M46" s="1"/>
      <c r="N46" s="1"/>
      <c r="O46" s="1">
        <v>124.5150501672241</v>
      </c>
      <c r="P46" s="18"/>
      <c r="Q46" s="18"/>
      <c r="R46" s="1">
        <v>195</v>
      </c>
      <c r="S46" s="18"/>
      <c r="T46" s="1"/>
      <c r="U46" s="1">
        <f t="shared" si="18"/>
        <v>13.4</v>
      </c>
      <c r="V46" s="5"/>
      <c r="W46" s="5">
        <f t="shared" si="12"/>
        <v>0</v>
      </c>
      <c r="X46" s="23"/>
      <c r="Y46" s="23"/>
      <c r="Z46" s="1">
        <f t="shared" si="8"/>
        <v>23.844406728897322</v>
      </c>
      <c r="AA46" s="1">
        <f t="shared" si="9"/>
        <v>23.844406728897322</v>
      </c>
      <c r="AB46" s="1">
        <v>23</v>
      </c>
      <c r="AC46" s="1">
        <v>18.8</v>
      </c>
      <c r="AD46" s="1">
        <v>15.6</v>
      </c>
      <c r="AE46" s="1">
        <v>28.8</v>
      </c>
      <c r="AF46" s="1">
        <v>35.4</v>
      </c>
      <c r="AG46" s="1">
        <v>26.6</v>
      </c>
      <c r="AH46" s="1">
        <v>13.4</v>
      </c>
      <c r="AI46" s="1">
        <v>0.4</v>
      </c>
      <c r="AJ46" s="1">
        <v>13.8</v>
      </c>
      <c r="AK46" s="1">
        <v>44.6</v>
      </c>
      <c r="AL46" s="1"/>
      <c r="AM46" s="1">
        <f t="shared" si="10"/>
        <v>0</v>
      </c>
      <c r="AN46" s="1">
        <f t="shared" si="11"/>
        <v>4.6899999999999995</v>
      </c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 t="s">
        <v>83</v>
      </c>
      <c r="B47" s="1" t="s">
        <v>40</v>
      </c>
      <c r="C47" s="1">
        <v>330</v>
      </c>
      <c r="D47" s="1">
        <v>259</v>
      </c>
      <c r="E47" s="1">
        <v>233</v>
      </c>
      <c r="F47" s="1">
        <v>219</v>
      </c>
      <c r="G47" s="7">
        <v>0.4</v>
      </c>
      <c r="H47" s="1">
        <v>40</v>
      </c>
      <c r="I47" s="9" t="s">
        <v>46</v>
      </c>
      <c r="J47" s="1"/>
      <c r="K47" s="1">
        <v>223</v>
      </c>
      <c r="L47" s="1">
        <f t="shared" si="17"/>
        <v>10</v>
      </c>
      <c r="M47" s="1"/>
      <c r="N47" s="1"/>
      <c r="O47" s="1">
        <v>0</v>
      </c>
      <c r="P47" s="18"/>
      <c r="Q47" s="18"/>
      <c r="R47" s="1">
        <v>298.74</v>
      </c>
      <c r="S47" s="18"/>
      <c r="T47" s="1"/>
      <c r="U47" s="1">
        <f t="shared" si="18"/>
        <v>46.6</v>
      </c>
      <c r="V47" s="5"/>
      <c r="W47" s="5">
        <f t="shared" si="12"/>
        <v>0</v>
      </c>
      <c r="X47" s="23"/>
      <c r="Y47" s="23"/>
      <c r="Z47" s="1">
        <f t="shared" si="8"/>
        <v>11.11030042918455</v>
      </c>
      <c r="AA47" s="1">
        <f t="shared" si="9"/>
        <v>11.11030042918455</v>
      </c>
      <c r="AB47" s="1">
        <v>43.4</v>
      </c>
      <c r="AC47" s="1">
        <v>18.2</v>
      </c>
      <c r="AD47" s="1">
        <v>16.8</v>
      </c>
      <c r="AE47" s="1">
        <v>48.8</v>
      </c>
      <c r="AF47" s="1">
        <v>98</v>
      </c>
      <c r="AG47" s="1">
        <v>87.2</v>
      </c>
      <c r="AH47" s="1">
        <v>48.6</v>
      </c>
      <c r="AI47" s="1">
        <v>46</v>
      </c>
      <c r="AJ47" s="1">
        <v>59.4</v>
      </c>
      <c r="AK47" s="1">
        <v>74.400000000000006</v>
      </c>
      <c r="AL47" s="1"/>
      <c r="AM47" s="1">
        <f t="shared" si="10"/>
        <v>0</v>
      </c>
      <c r="AN47" s="1">
        <f t="shared" si="11"/>
        <v>18.64</v>
      </c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 t="s">
        <v>84</v>
      </c>
      <c r="B48" s="1" t="s">
        <v>35</v>
      </c>
      <c r="C48" s="1">
        <v>33.649000000000001</v>
      </c>
      <c r="D48" s="1">
        <v>118.65300000000001</v>
      </c>
      <c r="E48" s="1">
        <v>20.704000000000001</v>
      </c>
      <c r="F48" s="1">
        <v>134.81200000000001</v>
      </c>
      <c r="G48" s="7">
        <v>1</v>
      </c>
      <c r="H48" s="1">
        <v>50</v>
      </c>
      <c r="I48" s="1" t="s">
        <v>36</v>
      </c>
      <c r="J48" s="1"/>
      <c r="K48" s="1">
        <v>18</v>
      </c>
      <c r="L48" s="1">
        <f t="shared" si="17"/>
        <v>2.7040000000000006</v>
      </c>
      <c r="M48" s="1"/>
      <c r="N48" s="1"/>
      <c r="O48" s="1">
        <v>23.31891103012844</v>
      </c>
      <c r="P48" s="18"/>
      <c r="Q48" s="18"/>
      <c r="R48" s="1">
        <v>0</v>
      </c>
      <c r="S48" s="18"/>
      <c r="T48" s="1"/>
      <c r="U48" s="1">
        <f t="shared" si="18"/>
        <v>4.1408000000000005</v>
      </c>
      <c r="V48" s="5"/>
      <c r="W48" s="5">
        <f t="shared" si="12"/>
        <v>0</v>
      </c>
      <c r="X48" s="23"/>
      <c r="Y48" s="23"/>
      <c r="Z48" s="1">
        <f t="shared" si="8"/>
        <v>38.188492810599023</v>
      </c>
      <c r="AA48" s="1">
        <f t="shared" si="9"/>
        <v>38.188492810599023</v>
      </c>
      <c r="AB48" s="1">
        <v>7.4958</v>
      </c>
      <c r="AC48" s="1">
        <v>14.864000000000001</v>
      </c>
      <c r="AD48" s="1">
        <v>16.485800000000001</v>
      </c>
      <c r="AE48" s="1">
        <v>12.978999999999999</v>
      </c>
      <c r="AF48" s="1">
        <v>13.252599999999999</v>
      </c>
      <c r="AG48" s="1">
        <v>18.2804</v>
      </c>
      <c r="AH48" s="1">
        <v>17.846</v>
      </c>
      <c r="AI48" s="1">
        <v>16.891999999999999</v>
      </c>
      <c r="AJ48" s="1">
        <v>15.883800000000001</v>
      </c>
      <c r="AK48" s="1">
        <v>13.0962</v>
      </c>
      <c r="AL48" s="15" t="s">
        <v>176</v>
      </c>
      <c r="AM48" s="1">
        <f t="shared" si="10"/>
        <v>0</v>
      </c>
      <c r="AN48" s="1">
        <f t="shared" si="11"/>
        <v>4.1408000000000005</v>
      </c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 t="s">
        <v>85</v>
      </c>
      <c r="B49" s="1" t="s">
        <v>35</v>
      </c>
      <c r="C49" s="1"/>
      <c r="D49" s="1">
        <v>389.73399999999998</v>
      </c>
      <c r="E49" s="1">
        <v>57.591000000000001</v>
      </c>
      <c r="F49" s="1">
        <v>164.82900000000001</v>
      </c>
      <c r="G49" s="7">
        <v>1</v>
      </c>
      <c r="H49" s="1">
        <v>50</v>
      </c>
      <c r="I49" s="1" t="s">
        <v>36</v>
      </c>
      <c r="J49" s="1"/>
      <c r="K49" s="1">
        <v>55.6</v>
      </c>
      <c r="L49" s="1">
        <f t="shared" si="17"/>
        <v>1.9909999999999997</v>
      </c>
      <c r="M49" s="1"/>
      <c r="N49" s="1"/>
      <c r="O49" s="1">
        <v>0</v>
      </c>
      <c r="P49" s="18"/>
      <c r="Q49" s="18"/>
      <c r="R49" s="1">
        <v>0</v>
      </c>
      <c r="S49" s="18"/>
      <c r="T49" s="1"/>
      <c r="U49" s="1">
        <f t="shared" si="18"/>
        <v>11.5182</v>
      </c>
      <c r="V49" s="5"/>
      <c r="W49" s="5">
        <f t="shared" si="12"/>
        <v>0</v>
      </c>
      <c r="X49" s="23"/>
      <c r="Y49" s="23"/>
      <c r="Z49" s="1">
        <f t="shared" si="8"/>
        <v>14.310308902432672</v>
      </c>
      <c r="AA49" s="1">
        <f t="shared" si="9"/>
        <v>14.310308902432672</v>
      </c>
      <c r="AB49" s="1">
        <v>2.968</v>
      </c>
      <c r="AC49" s="1">
        <v>0.1734</v>
      </c>
      <c r="AD49" s="1">
        <v>14.5382</v>
      </c>
      <c r="AE49" s="1">
        <v>31.075199999999999</v>
      </c>
      <c r="AF49" s="1">
        <v>26.267199999999999</v>
      </c>
      <c r="AG49" s="1">
        <v>8.4220000000000006</v>
      </c>
      <c r="AH49" s="1">
        <v>-0.2974</v>
      </c>
      <c r="AI49" s="1">
        <v>10.7278</v>
      </c>
      <c r="AJ49" s="1">
        <v>16.38</v>
      </c>
      <c r="AK49" s="1">
        <v>5.3814000000000002</v>
      </c>
      <c r="AL49" s="17" t="s">
        <v>179</v>
      </c>
      <c r="AM49" s="1">
        <f t="shared" si="10"/>
        <v>0</v>
      </c>
      <c r="AN49" s="1">
        <f t="shared" si="11"/>
        <v>11.5182</v>
      </c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 t="s">
        <v>86</v>
      </c>
      <c r="B50" s="1" t="s">
        <v>35</v>
      </c>
      <c r="C50" s="1">
        <v>0.434</v>
      </c>
      <c r="D50" s="1">
        <v>262.47500000000002</v>
      </c>
      <c r="E50" s="1"/>
      <c r="F50" s="1">
        <v>95.174000000000007</v>
      </c>
      <c r="G50" s="7">
        <v>1</v>
      </c>
      <c r="H50" s="1">
        <v>45</v>
      </c>
      <c r="I50" s="9" t="s">
        <v>46</v>
      </c>
      <c r="J50" s="1"/>
      <c r="K50" s="1">
        <v>2.8</v>
      </c>
      <c r="L50" s="1">
        <f t="shared" si="17"/>
        <v>-2.8</v>
      </c>
      <c r="M50" s="1"/>
      <c r="N50" s="1"/>
      <c r="O50" s="1">
        <v>0</v>
      </c>
      <c r="P50" s="18"/>
      <c r="Q50" s="18"/>
      <c r="R50" s="1">
        <v>0</v>
      </c>
      <c r="S50" s="18"/>
      <c r="T50" s="1"/>
      <c r="U50" s="1">
        <f t="shared" si="18"/>
        <v>0</v>
      </c>
      <c r="V50" s="5"/>
      <c r="W50" s="5">
        <f>V50</f>
        <v>0</v>
      </c>
      <c r="X50" s="23"/>
      <c r="Y50" s="23"/>
      <c r="Z50" s="1" t="e">
        <f t="shared" si="8"/>
        <v>#DIV/0!</v>
      </c>
      <c r="AA50" s="1" t="e">
        <f t="shared" si="9"/>
        <v>#DIV/0!</v>
      </c>
      <c r="AB50" s="1">
        <v>0</v>
      </c>
      <c r="AC50" s="1">
        <v>0</v>
      </c>
      <c r="AD50" s="1">
        <v>0</v>
      </c>
      <c r="AE50" s="1">
        <v>-1.0289999999999999</v>
      </c>
      <c r="AF50" s="1">
        <v>-0.15640000000000001</v>
      </c>
      <c r="AG50" s="1">
        <v>-0.15640000000000001</v>
      </c>
      <c r="AH50" s="1">
        <v>-1.0711999999999999</v>
      </c>
      <c r="AI50" s="1">
        <v>-1.0711999999999999</v>
      </c>
      <c r="AJ50" s="1">
        <v>-0.8286</v>
      </c>
      <c r="AK50" s="1">
        <v>-1.7338</v>
      </c>
      <c r="AL50" s="1"/>
      <c r="AM50" s="1">
        <f t="shared" si="10"/>
        <v>0</v>
      </c>
      <c r="AN50" s="1">
        <f t="shared" si="11"/>
        <v>0</v>
      </c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 t="s">
        <v>87</v>
      </c>
      <c r="B51" s="1" t="s">
        <v>40</v>
      </c>
      <c r="C51" s="1">
        <v>103</v>
      </c>
      <c r="D51" s="1">
        <v>406</v>
      </c>
      <c r="E51" s="1">
        <v>49</v>
      </c>
      <c r="F51" s="1">
        <v>139</v>
      </c>
      <c r="G51" s="7">
        <v>0.45</v>
      </c>
      <c r="H51" s="1">
        <v>50</v>
      </c>
      <c r="I51" s="1" t="s">
        <v>36</v>
      </c>
      <c r="J51" s="1"/>
      <c r="K51" s="1">
        <v>55</v>
      </c>
      <c r="L51" s="1">
        <f t="shared" si="17"/>
        <v>-6</v>
      </c>
      <c r="M51" s="1"/>
      <c r="N51" s="1"/>
      <c r="O51" s="1">
        <v>0</v>
      </c>
      <c r="P51" s="18"/>
      <c r="Q51" s="18"/>
      <c r="R51" s="1">
        <v>12.6</v>
      </c>
      <c r="S51" s="18"/>
      <c r="T51" s="1"/>
      <c r="U51" s="1">
        <f t="shared" si="18"/>
        <v>9.8000000000000007</v>
      </c>
      <c r="V51" s="5"/>
      <c r="W51" s="5">
        <f t="shared" si="12"/>
        <v>0</v>
      </c>
      <c r="X51" s="23"/>
      <c r="Y51" s="23"/>
      <c r="Z51" s="1">
        <f t="shared" si="8"/>
        <v>15.469387755102039</v>
      </c>
      <c r="AA51" s="1">
        <f t="shared" si="9"/>
        <v>15.469387755102039</v>
      </c>
      <c r="AB51" s="1">
        <v>12.6</v>
      </c>
      <c r="AC51" s="1">
        <v>21.4</v>
      </c>
      <c r="AD51" s="1">
        <v>29</v>
      </c>
      <c r="AE51" s="1">
        <v>29.6</v>
      </c>
      <c r="AF51" s="1">
        <v>43</v>
      </c>
      <c r="AG51" s="1">
        <v>42.6</v>
      </c>
      <c r="AH51" s="1">
        <v>20.399999999999999</v>
      </c>
      <c r="AI51" s="1">
        <v>15.4</v>
      </c>
      <c r="AJ51" s="1">
        <v>31.4</v>
      </c>
      <c r="AK51" s="1">
        <v>32.4</v>
      </c>
      <c r="AL51" s="1"/>
      <c r="AM51" s="1">
        <f t="shared" si="10"/>
        <v>0</v>
      </c>
      <c r="AN51" s="1">
        <f t="shared" si="11"/>
        <v>4.41</v>
      </c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 t="s">
        <v>88</v>
      </c>
      <c r="B52" s="1" t="s">
        <v>40</v>
      </c>
      <c r="C52" s="1">
        <v>230</v>
      </c>
      <c r="D52" s="1">
        <v>49</v>
      </c>
      <c r="E52" s="1">
        <v>115</v>
      </c>
      <c r="F52" s="1">
        <v>120</v>
      </c>
      <c r="G52" s="7">
        <v>0.45</v>
      </c>
      <c r="H52" s="1">
        <v>50</v>
      </c>
      <c r="I52" s="1" t="s">
        <v>36</v>
      </c>
      <c r="J52" s="1"/>
      <c r="K52" s="1">
        <v>109</v>
      </c>
      <c r="L52" s="1">
        <f t="shared" si="17"/>
        <v>6</v>
      </c>
      <c r="M52" s="1"/>
      <c r="N52" s="1"/>
      <c r="O52" s="1">
        <v>52.911627906976747</v>
      </c>
      <c r="P52" s="18"/>
      <c r="Q52" s="18"/>
      <c r="R52" s="1">
        <v>20</v>
      </c>
      <c r="S52" s="18"/>
      <c r="T52" s="1"/>
      <c r="U52" s="1">
        <f t="shared" si="18"/>
        <v>23</v>
      </c>
      <c r="V52" s="5">
        <f t="shared" ref="V52:V64" si="19">11*U52-R52-O52-F52</f>
        <v>60.088372093023253</v>
      </c>
      <c r="W52" s="5">
        <f>V52+U52*$W$1</f>
        <v>60.088372093023253</v>
      </c>
      <c r="X52" s="23"/>
      <c r="Y52" s="23"/>
      <c r="Z52" s="1">
        <f t="shared" si="8"/>
        <v>11</v>
      </c>
      <c r="AA52" s="1">
        <f t="shared" si="9"/>
        <v>8.3874620829120321</v>
      </c>
      <c r="AB52" s="1">
        <v>20</v>
      </c>
      <c r="AC52" s="1">
        <v>43.2</v>
      </c>
      <c r="AD52" s="1">
        <v>32.200000000000003</v>
      </c>
      <c r="AE52" s="1">
        <v>15.8</v>
      </c>
      <c r="AF52" s="1">
        <v>47.8</v>
      </c>
      <c r="AG52" s="1">
        <v>63.2</v>
      </c>
      <c r="AH52" s="1">
        <v>48.6</v>
      </c>
      <c r="AI52" s="1">
        <v>28.2</v>
      </c>
      <c r="AJ52" s="1">
        <v>18</v>
      </c>
      <c r="AK52" s="1">
        <v>39.200000000000003</v>
      </c>
      <c r="AL52" s="1"/>
      <c r="AM52" s="1">
        <f t="shared" si="10"/>
        <v>27</v>
      </c>
      <c r="AN52" s="1">
        <f t="shared" si="11"/>
        <v>10.35</v>
      </c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 t="s">
        <v>89</v>
      </c>
      <c r="B53" s="1" t="s">
        <v>40</v>
      </c>
      <c r="C53" s="1">
        <v>21</v>
      </c>
      <c r="D53" s="1">
        <v>55</v>
      </c>
      <c r="E53" s="1">
        <v>40</v>
      </c>
      <c r="F53" s="1">
        <v>38</v>
      </c>
      <c r="G53" s="7">
        <v>0.4</v>
      </c>
      <c r="H53" s="1">
        <v>40</v>
      </c>
      <c r="I53" s="9" t="s">
        <v>46</v>
      </c>
      <c r="J53" s="1"/>
      <c r="K53" s="1">
        <v>35</v>
      </c>
      <c r="L53" s="1">
        <f t="shared" si="17"/>
        <v>5</v>
      </c>
      <c r="M53" s="1"/>
      <c r="N53" s="1"/>
      <c r="O53" s="1">
        <v>29.228070175438599</v>
      </c>
      <c r="P53" s="18"/>
      <c r="Q53" s="18"/>
      <c r="R53" s="1">
        <v>26</v>
      </c>
      <c r="S53" s="18"/>
      <c r="T53" s="1"/>
      <c r="U53" s="1">
        <f t="shared" si="18"/>
        <v>8</v>
      </c>
      <c r="V53" s="5"/>
      <c r="W53" s="5">
        <f t="shared" ref="W53:W54" si="20">V53</f>
        <v>0</v>
      </c>
      <c r="X53" s="23"/>
      <c r="Y53" s="23"/>
      <c r="Z53" s="1">
        <f t="shared" si="8"/>
        <v>11.653508771929825</v>
      </c>
      <c r="AA53" s="1">
        <f t="shared" si="9"/>
        <v>11.653508771929825</v>
      </c>
      <c r="AB53" s="1">
        <v>6.4</v>
      </c>
      <c r="AC53" s="1">
        <v>0.4</v>
      </c>
      <c r="AD53" s="1">
        <v>0</v>
      </c>
      <c r="AE53" s="1">
        <v>-0.2</v>
      </c>
      <c r="AF53" s="1">
        <v>-0.2</v>
      </c>
      <c r="AG53" s="1">
        <v>0</v>
      </c>
      <c r="AH53" s="1">
        <v>4</v>
      </c>
      <c r="AI53" s="1">
        <v>6.8</v>
      </c>
      <c r="AJ53" s="1">
        <v>14.2</v>
      </c>
      <c r="AK53" s="1">
        <v>16.399999999999999</v>
      </c>
      <c r="AL53" s="1"/>
      <c r="AM53" s="1">
        <f t="shared" si="10"/>
        <v>0</v>
      </c>
      <c r="AN53" s="1">
        <f t="shared" si="11"/>
        <v>3.2</v>
      </c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 t="s">
        <v>90</v>
      </c>
      <c r="B54" s="1" t="s">
        <v>40</v>
      </c>
      <c r="C54" s="1">
        <v>50</v>
      </c>
      <c r="D54" s="1">
        <v>43</v>
      </c>
      <c r="E54" s="1">
        <v>45</v>
      </c>
      <c r="F54" s="1">
        <v>50</v>
      </c>
      <c r="G54" s="7">
        <v>0.4</v>
      </c>
      <c r="H54" s="1">
        <v>40</v>
      </c>
      <c r="I54" s="9" t="s">
        <v>46</v>
      </c>
      <c r="J54" s="1"/>
      <c r="K54" s="1">
        <v>40</v>
      </c>
      <c r="L54" s="1">
        <f t="shared" si="17"/>
        <v>5</v>
      </c>
      <c r="M54" s="1"/>
      <c r="N54" s="1"/>
      <c r="O54" s="1">
        <v>4</v>
      </c>
      <c r="P54" s="18"/>
      <c r="Q54" s="18"/>
      <c r="R54" s="1">
        <v>45.759999999999977</v>
      </c>
      <c r="S54" s="18"/>
      <c r="T54" s="1"/>
      <c r="U54" s="1">
        <f t="shared" si="18"/>
        <v>9</v>
      </c>
      <c r="V54" s="5"/>
      <c r="W54" s="5">
        <f t="shared" si="20"/>
        <v>0</v>
      </c>
      <c r="X54" s="23"/>
      <c r="Y54" s="23"/>
      <c r="Z54" s="1">
        <f t="shared" si="8"/>
        <v>11.084444444444442</v>
      </c>
      <c r="AA54" s="1">
        <f t="shared" si="9"/>
        <v>11.084444444444442</v>
      </c>
      <c r="AB54" s="1">
        <v>8.6</v>
      </c>
      <c r="AC54" s="1">
        <v>3.6</v>
      </c>
      <c r="AD54" s="1">
        <v>1.6</v>
      </c>
      <c r="AE54" s="1">
        <v>0.4</v>
      </c>
      <c r="AF54" s="1">
        <v>5.8</v>
      </c>
      <c r="AG54" s="1">
        <v>8.8000000000000007</v>
      </c>
      <c r="AH54" s="1">
        <v>8.6</v>
      </c>
      <c r="AI54" s="1">
        <v>7.4</v>
      </c>
      <c r="AJ54" s="1">
        <v>8.1999999999999993</v>
      </c>
      <c r="AK54" s="1">
        <v>12.4</v>
      </c>
      <c r="AL54" s="1"/>
      <c r="AM54" s="1">
        <f t="shared" si="10"/>
        <v>0</v>
      </c>
      <c r="AN54" s="1">
        <f t="shared" si="11"/>
        <v>3.6</v>
      </c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 t="s">
        <v>91</v>
      </c>
      <c r="B55" s="1" t="s">
        <v>35</v>
      </c>
      <c r="C55" s="1">
        <v>16.245999999999999</v>
      </c>
      <c r="D55" s="1">
        <v>240.25899999999999</v>
      </c>
      <c r="E55" s="1">
        <v>36.345999999999997</v>
      </c>
      <c r="F55" s="1">
        <v>71.468000000000004</v>
      </c>
      <c r="G55" s="7">
        <v>1</v>
      </c>
      <c r="H55" s="1">
        <v>50</v>
      </c>
      <c r="I55" s="1" t="s">
        <v>36</v>
      </c>
      <c r="J55" s="1"/>
      <c r="K55" s="1">
        <v>27.1</v>
      </c>
      <c r="L55" s="1">
        <f t="shared" si="17"/>
        <v>9.2459999999999951</v>
      </c>
      <c r="M55" s="1"/>
      <c r="N55" s="1"/>
      <c r="O55" s="1">
        <v>0</v>
      </c>
      <c r="P55" s="18"/>
      <c r="Q55" s="18"/>
      <c r="R55" s="1">
        <v>0</v>
      </c>
      <c r="S55" s="18"/>
      <c r="T55" s="1"/>
      <c r="U55" s="1">
        <f t="shared" si="18"/>
        <v>7.2691999999999997</v>
      </c>
      <c r="V55" s="5">
        <f t="shared" si="19"/>
        <v>8.4931999999999874</v>
      </c>
      <c r="W55" s="5">
        <f t="shared" si="12"/>
        <v>8.4931999999999874</v>
      </c>
      <c r="X55" s="23"/>
      <c r="Y55" s="23"/>
      <c r="Z55" s="1">
        <f t="shared" si="8"/>
        <v>11</v>
      </c>
      <c r="AA55" s="1">
        <f t="shared" si="9"/>
        <v>9.8316183348924238</v>
      </c>
      <c r="AB55" s="1">
        <v>5.6552000000000007</v>
      </c>
      <c r="AC55" s="1">
        <v>10.2532</v>
      </c>
      <c r="AD55" s="1">
        <v>15.079599999999999</v>
      </c>
      <c r="AE55" s="1">
        <v>14.2872</v>
      </c>
      <c r="AF55" s="1">
        <v>18.321200000000001</v>
      </c>
      <c r="AG55" s="1">
        <v>15.973000000000001</v>
      </c>
      <c r="AH55" s="1">
        <v>7.6050000000000004</v>
      </c>
      <c r="AI55" s="1">
        <v>6.9670000000000014</v>
      </c>
      <c r="AJ55" s="1">
        <v>5.6665999999999999</v>
      </c>
      <c r="AK55" s="1">
        <v>8.1686000000000014</v>
      </c>
      <c r="AL55" s="1" t="s">
        <v>56</v>
      </c>
      <c r="AM55" s="1">
        <f t="shared" si="10"/>
        <v>8</v>
      </c>
      <c r="AN55" s="1">
        <f t="shared" si="11"/>
        <v>7.2691999999999997</v>
      </c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 t="s">
        <v>92</v>
      </c>
      <c r="B56" s="1" t="s">
        <v>40</v>
      </c>
      <c r="C56" s="1">
        <v>157</v>
      </c>
      <c r="D56" s="1">
        <v>180</v>
      </c>
      <c r="E56" s="13">
        <f>142+E129</f>
        <v>179</v>
      </c>
      <c r="F56" s="13">
        <f>123+F129</f>
        <v>135</v>
      </c>
      <c r="G56" s="7">
        <v>0.1</v>
      </c>
      <c r="H56" s="1">
        <v>731</v>
      </c>
      <c r="I56" s="1" t="s">
        <v>36</v>
      </c>
      <c r="J56" s="1"/>
      <c r="K56" s="1">
        <v>135</v>
      </c>
      <c r="L56" s="1">
        <f t="shared" si="17"/>
        <v>44</v>
      </c>
      <c r="M56" s="1"/>
      <c r="N56" s="1"/>
      <c r="O56" s="1">
        <v>215.525052631579</v>
      </c>
      <c r="P56" s="18"/>
      <c r="Q56" s="18"/>
      <c r="R56" s="1">
        <v>86.474947368421113</v>
      </c>
      <c r="S56" s="18"/>
      <c r="T56" s="1"/>
      <c r="U56" s="1">
        <f t="shared" si="18"/>
        <v>35.799999999999997</v>
      </c>
      <c r="V56" s="5"/>
      <c r="W56" s="5">
        <f>V56+U56*$W$1</f>
        <v>0</v>
      </c>
      <c r="X56" s="23"/>
      <c r="Y56" s="23"/>
      <c r="Z56" s="1">
        <f t="shared" si="8"/>
        <v>12.206703910614529</v>
      </c>
      <c r="AA56" s="1">
        <f t="shared" si="9"/>
        <v>12.206703910614529</v>
      </c>
      <c r="AB56" s="1">
        <v>39</v>
      </c>
      <c r="AC56" s="1">
        <v>54.6</v>
      </c>
      <c r="AD56" s="1">
        <v>50.4</v>
      </c>
      <c r="AE56" s="1">
        <v>48.6</v>
      </c>
      <c r="AF56" s="1">
        <v>62.6</v>
      </c>
      <c r="AG56" s="1">
        <v>47.8</v>
      </c>
      <c r="AH56" s="1">
        <v>19.2</v>
      </c>
      <c r="AI56" s="1">
        <v>14.6</v>
      </c>
      <c r="AJ56" s="1">
        <v>11.8</v>
      </c>
      <c r="AK56" s="1">
        <v>11</v>
      </c>
      <c r="AL56" s="1" t="s">
        <v>56</v>
      </c>
      <c r="AM56" s="1">
        <f t="shared" si="10"/>
        <v>0</v>
      </c>
      <c r="AN56" s="1">
        <f t="shared" si="11"/>
        <v>3.58</v>
      </c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 t="s">
        <v>93</v>
      </c>
      <c r="B57" s="1" t="s">
        <v>35</v>
      </c>
      <c r="C57" s="1">
        <v>6.6539999999999999</v>
      </c>
      <c r="D57" s="1">
        <v>269.88900000000001</v>
      </c>
      <c r="E57" s="1">
        <v>21.364999999999998</v>
      </c>
      <c r="F57" s="1">
        <v>105.723</v>
      </c>
      <c r="G57" s="7">
        <v>1</v>
      </c>
      <c r="H57" s="1">
        <v>50</v>
      </c>
      <c r="I57" s="1" t="s">
        <v>36</v>
      </c>
      <c r="J57" s="1"/>
      <c r="K57" s="1">
        <v>20.100000000000001</v>
      </c>
      <c r="L57" s="1">
        <f t="shared" si="17"/>
        <v>1.264999999999997</v>
      </c>
      <c r="M57" s="1"/>
      <c r="N57" s="1"/>
      <c r="O57" s="1">
        <v>67.325150343878946</v>
      </c>
      <c r="P57" s="18"/>
      <c r="Q57" s="18"/>
      <c r="R57" s="1">
        <v>13.907999999999999</v>
      </c>
      <c r="S57" s="18"/>
      <c r="T57" s="1"/>
      <c r="U57" s="1">
        <f t="shared" si="18"/>
        <v>4.2729999999999997</v>
      </c>
      <c r="V57" s="5"/>
      <c r="W57" s="5">
        <f t="shared" si="12"/>
        <v>0</v>
      </c>
      <c r="X57" s="23"/>
      <c r="Y57" s="23"/>
      <c r="Z57" s="1">
        <f t="shared" si="8"/>
        <v>43.752902022906376</v>
      </c>
      <c r="AA57" s="1">
        <f t="shared" si="9"/>
        <v>43.752902022906376</v>
      </c>
      <c r="AB57" s="1">
        <v>13.907999999999999</v>
      </c>
      <c r="AC57" s="1">
        <v>32.824800000000003</v>
      </c>
      <c r="AD57" s="1">
        <v>29.584199999999999</v>
      </c>
      <c r="AE57" s="1">
        <v>28.664000000000001</v>
      </c>
      <c r="AF57" s="1">
        <v>22.774799999999999</v>
      </c>
      <c r="AG57" s="1">
        <v>14.909599999999999</v>
      </c>
      <c r="AH57" s="1">
        <v>28.376000000000001</v>
      </c>
      <c r="AI57" s="1">
        <v>33.974800000000002</v>
      </c>
      <c r="AJ57" s="1">
        <v>26.335999999999999</v>
      </c>
      <c r="AK57" s="1">
        <v>11.852399999999999</v>
      </c>
      <c r="AL57" s="1" t="s">
        <v>56</v>
      </c>
      <c r="AM57" s="1">
        <f t="shared" si="10"/>
        <v>0</v>
      </c>
      <c r="AN57" s="1">
        <f t="shared" si="11"/>
        <v>4.2729999999999997</v>
      </c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 t="s">
        <v>94</v>
      </c>
      <c r="B58" s="1" t="s">
        <v>35</v>
      </c>
      <c r="C58" s="1">
        <v>8.9999999999999993E-3</v>
      </c>
      <c r="D58" s="1">
        <v>64.917000000000002</v>
      </c>
      <c r="E58" s="1">
        <v>18.881</v>
      </c>
      <c r="F58" s="1">
        <v>44.698999999999998</v>
      </c>
      <c r="G58" s="7">
        <v>1</v>
      </c>
      <c r="H58" s="1">
        <v>55</v>
      </c>
      <c r="I58" s="1" t="s">
        <v>36</v>
      </c>
      <c r="J58" s="1"/>
      <c r="K58" s="1">
        <v>18.3</v>
      </c>
      <c r="L58" s="1">
        <f t="shared" si="17"/>
        <v>0.58099999999999952</v>
      </c>
      <c r="M58" s="1"/>
      <c r="N58" s="1"/>
      <c r="O58" s="1">
        <v>42.548510946944248</v>
      </c>
      <c r="P58" s="18"/>
      <c r="Q58" s="18"/>
      <c r="R58" s="1">
        <v>0</v>
      </c>
      <c r="S58" s="18"/>
      <c r="T58" s="1"/>
      <c r="U58" s="1">
        <f t="shared" si="18"/>
        <v>3.7762000000000002</v>
      </c>
      <c r="V58" s="5"/>
      <c r="W58" s="5">
        <f t="shared" si="12"/>
        <v>0</v>
      </c>
      <c r="X58" s="23"/>
      <c r="Y58" s="23"/>
      <c r="Z58" s="1">
        <f t="shared" si="8"/>
        <v>23.104578927743297</v>
      </c>
      <c r="AA58" s="1">
        <f t="shared" si="9"/>
        <v>23.104578927743297</v>
      </c>
      <c r="AB58" s="1">
        <v>5.9706000000000001</v>
      </c>
      <c r="AC58" s="1">
        <v>8.2767999999999997</v>
      </c>
      <c r="AD58" s="1">
        <v>5.8301999999999996</v>
      </c>
      <c r="AE58" s="1">
        <v>6.5529999999999999</v>
      </c>
      <c r="AF58" s="1">
        <v>8.4641999999999999</v>
      </c>
      <c r="AG58" s="1">
        <v>5.9944000000000006</v>
      </c>
      <c r="AH58" s="1">
        <v>7.5114000000000001</v>
      </c>
      <c r="AI58" s="1">
        <v>6.9714</v>
      </c>
      <c r="AJ58" s="1">
        <v>5.4367999999999999</v>
      </c>
      <c r="AK58" s="1">
        <v>7.0358000000000001</v>
      </c>
      <c r="AL58" s="1"/>
      <c r="AM58" s="1">
        <f t="shared" si="10"/>
        <v>0</v>
      </c>
      <c r="AN58" s="1">
        <f t="shared" si="11"/>
        <v>3.7762000000000002</v>
      </c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 t="s">
        <v>95</v>
      </c>
      <c r="B59" s="1" t="s">
        <v>40</v>
      </c>
      <c r="C59" s="1">
        <v>189</v>
      </c>
      <c r="D59" s="1"/>
      <c r="E59" s="1">
        <v>148</v>
      </c>
      <c r="F59" s="1">
        <v>43</v>
      </c>
      <c r="G59" s="7">
        <v>0.1</v>
      </c>
      <c r="H59" s="1">
        <v>731</v>
      </c>
      <c r="I59" s="1" t="s">
        <v>36</v>
      </c>
      <c r="J59" s="1"/>
      <c r="K59" s="1">
        <v>141</v>
      </c>
      <c r="L59" s="1">
        <f t="shared" si="17"/>
        <v>7</v>
      </c>
      <c r="M59" s="1"/>
      <c r="N59" s="1"/>
      <c r="O59" s="1">
        <v>91.06797642436149</v>
      </c>
      <c r="P59" s="18"/>
      <c r="Q59" s="18"/>
      <c r="R59" s="1">
        <v>221.53202357563839</v>
      </c>
      <c r="S59" s="18"/>
      <c r="T59" s="1"/>
      <c r="U59" s="1">
        <f t="shared" si="18"/>
        <v>29.6</v>
      </c>
      <c r="V59" s="5"/>
      <c r="W59" s="5">
        <f>V59+U59*$W$1</f>
        <v>0</v>
      </c>
      <c r="X59" s="23"/>
      <c r="Y59" s="23"/>
      <c r="Z59" s="1">
        <f t="shared" si="8"/>
        <v>12.01351351351351</v>
      </c>
      <c r="AA59" s="1">
        <f t="shared" si="9"/>
        <v>12.01351351351351</v>
      </c>
      <c r="AB59" s="1">
        <v>31.2</v>
      </c>
      <c r="AC59" s="1">
        <v>34.799999999999997</v>
      </c>
      <c r="AD59" s="1">
        <v>32</v>
      </c>
      <c r="AE59" s="1">
        <v>34</v>
      </c>
      <c r="AF59" s="1">
        <v>39.6</v>
      </c>
      <c r="AG59" s="1">
        <v>29.8</v>
      </c>
      <c r="AH59" s="1">
        <v>25.2</v>
      </c>
      <c r="AI59" s="1">
        <v>21.2</v>
      </c>
      <c r="AJ59" s="1">
        <v>13.2</v>
      </c>
      <c r="AK59" s="1">
        <v>16.2</v>
      </c>
      <c r="AL59" s="1" t="s">
        <v>56</v>
      </c>
      <c r="AM59" s="1">
        <f t="shared" si="10"/>
        <v>0</v>
      </c>
      <c r="AN59" s="1">
        <f t="shared" si="11"/>
        <v>2.9600000000000004</v>
      </c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 t="s">
        <v>96</v>
      </c>
      <c r="B60" s="1" t="s">
        <v>40</v>
      </c>
      <c r="C60" s="1">
        <v>14</v>
      </c>
      <c r="D60" s="1">
        <v>33</v>
      </c>
      <c r="E60" s="1">
        <v>14</v>
      </c>
      <c r="F60" s="1">
        <v>2</v>
      </c>
      <c r="G60" s="7">
        <v>0.4</v>
      </c>
      <c r="H60" s="1">
        <v>50</v>
      </c>
      <c r="I60" s="1" t="s">
        <v>36</v>
      </c>
      <c r="J60" s="1"/>
      <c r="K60" s="1">
        <v>14</v>
      </c>
      <c r="L60" s="1">
        <f t="shared" si="17"/>
        <v>0</v>
      </c>
      <c r="M60" s="1"/>
      <c r="N60" s="1"/>
      <c r="O60" s="1">
        <v>0</v>
      </c>
      <c r="P60" s="18"/>
      <c r="Q60" s="18"/>
      <c r="R60" s="1">
        <v>8.4000000000000021</v>
      </c>
      <c r="S60" s="18"/>
      <c r="T60" s="1"/>
      <c r="U60" s="1">
        <f t="shared" si="18"/>
        <v>2.8</v>
      </c>
      <c r="V60" s="5">
        <f t="shared" si="19"/>
        <v>20.399999999999995</v>
      </c>
      <c r="W60" s="5">
        <f t="shared" si="12"/>
        <v>20.399999999999995</v>
      </c>
      <c r="X60" s="23"/>
      <c r="Y60" s="23"/>
      <c r="Z60" s="1">
        <f t="shared" si="8"/>
        <v>11</v>
      </c>
      <c r="AA60" s="1">
        <f t="shared" si="9"/>
        <v>3.7142857142857153</v>
      </c>
      <c r="AB60" s="1">
        <v>1.8</v>
      </c>
      <c r="AC60" s="1">
        <v>1</v>
      </c>
      <c r="AD60" s="1">
        <v>3.4</v>
      </c>
      <c r="AE60" s="1">
        <v>4</v>
      </c>
      <c r="AF60" s="1">
        <v>3.4</v>
      </c>
      <c r="AG60" s="1">
        <v>3.2</v>
      </c>
      <c r="AH60" s="1">
        <v>1.2</v>
      </c>
      <c r="AI60" s="1">
        <v>0.2</v>
      </c>
      <c r="AJ60" s="1">
        <v>3</v>
      </c>
      <c r="AK60" s="1">
        <v>3.4</v>
      </c>
      <c r="AL60" s="1"/>
      <c r="AM60" s="1">
        <f t="shared" si="10"/>
        <v>8</v>
      </c>
      <c r="AN60" s="1">
        <f t="shared" si="11"/>
        <v>1.1199999999999999</v>
      </c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 t="s">
        <v>97</v>
      </c>
      <c r="B61" s="1" t="s">
        <v>35</v>
      </c>
      <c r="C61" s="1">
        <v>62.716000000000001</v>
      </c>
      <c r="D61" s="1">
        <v>211.18600000000001</v>
      </c>
      <c r="E61" s="1">
        <v>146.48599999999999</v>
      </c>
      <c r="F61" s="1">
        <v>62.875</v>
      </c>
      <c r="G61" s="7">
        <v>1</v>
      </c>
      <c r="H61" s="1">
        <v>40</v>
      </c>
      <c r="I61" s="9" t="s">
        <v>46</v>
      </c>
      <c r="J61" s="1"/>
      <c r="K61" s="1">
        <v>150.1</v>
      </c>
      <c r="L61" s="1">
        <f t="shared" si="17"/>
        <v>-3.6140000000000043</v>
      </c>
      <c r="M61" s="1"/>
      <c r="N61" s="1"/>
      <c r="O61" s="1">
        <v>82.974373640960252</v>
      </c>
      <c r="P61" s="18"/>
      <c r="Q61" s="18"/>
      <c r="R61" s="1">
        <v>125.4214342667517</v>
      </c>
      <c r="S61" s="18"/>
      <c r="T61" s="1"/>
      <c r="U61" s="1">
        <f t="shared" si="18"/>
        <v>29.297199999999997</v>
      </c>
      <c r="V61" s="5">
        <f t="shared" si="19"/>
        <v>50.998392092288</v>
      </c>
      <c r="W61" s="5">
        <f t="shared" si="12"/>
        <v>50.998392092288</v>
      </c>
      <c r="X61" s="23"/>
      <c r="Y61" s="23"/>
      <c r="Z61" s="1">
        <f t="shared" si="8"/>
        <v>11</v>
      </c>
      <c r="AA61" s="1">
        <f t="shared" si="9"/>
        <v>9.2592741937015148</v>
      </c>
      <c r="AB61" s="1">
        <v>24.019200000000001</v>
      </c>
      <c r="AC61" s="1">
        <v>15.448399999999999</v>
      </c>
      <c r="AD61" s="1">
        <v>13.5816</v>
      </c>
      <c r="AE61" s="1">
        <v>21.594999999999999</v>
      </c>
      <c r="AF61" s="1">
        <v>26.615600000000001</v>
      </c>
      <c r="AG61" s="1">
        <v>27.269600000000001</v>
      </c>
      <c r="AH61" s="1">
        <v>19.244599999999998</v>
      </c>
      <c r="AI61" s="1">
        <v>2.0972</v>
      </c>
      <c r="AJ61" s="1">
        <v>14.3964</v>
      </c>
      <c r="AK61" s="1">
        <v>41.171799999999998</v>
      </c>
      <c r="AL61" s="1"/>
      <c r="AM61" s="1">
        <f t="shared" si="10"/>
        <v>51</v>
      </c>
      <c r="AN61" s="1">
        <f t="shared" si="11"/>
        <v>29.297199999999997</v>
      </c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 t="s">
        <v>98</v>
      </c>
      <c r="B62" s="1" t="s">
        <v>35</v>
      </c>
      <c r="C62" s="1">
        <v>-1.748</v>
      </c>
      <c r="D62" s="1">
        <v>8.2989999999999995</v>
      </c>
      <c r="E62" s="1">
        <v>8.3330000000000002</v>
      </c>
      <c r="F62" s="1">
        <v>-0.13900000000000001</v>
      </c>
      <c r="G62" s="7">
        <v>1</v>
      </c>
      <c r="H62" s="1">
        <v>40</v>
      </c>
      <c r="I62" s="9" t="s">
        <v>46</v>
      </c>
      <c r="J62" s="1"/>
      <c r="K62" s="1">
        <v>18.600000000000001</v>
      </c>
      <c r="L62" s="1">
        <f t="shared" si="17"/>
        <v>-10.267000000000001</v>
      </c>
      <c r="M62" s="1"/>
      <c r="N62" s="1"/>
      <c r="O62" s="1">
        <v>157.7291886195996</v>
      </c>
      <c r="P62" s="18"/>
      <c r="Q62" s="18"/>
      <c r="R62" s="1">
        <v>65</v>
      </c>
      <c r="S62" s="18"/>
      <c r="T62" s="1"/>
      <c r="U62" s="1">
        <f t="shared" si="18"/>
        <v>1.6666000000000001</v>
      </c>
      <c r="V62" s="5"/>
      <c r="W62" s="5">
        <f t="shared" si="12"/>
        <v>0</v>
      </c>
      <c r="X62" s="23"/>
      <c r="Y62" s="23"/>
      <c r="Z62" s="1">
        <f t="shared" si="8"/>
        <v>133.55945554998175</v>
      </c>
      <c r="AA62" s="1">
        <f t="shared" si="9"/>
        <v>133.55945554998175</v>
      </c>
      <c r="AB62" s="1">
        <v>5.6360000000000001</v>
      </c>
      <c r="AC62" s="1">
        <v>11.8102</v>
      </c>
      <c r="AD62" s="1">
        <v>25.3964</v>
      </c>
      <c r="AE62" s="1">
        <v>39.029400000000003</v>
      </c>
      <c r="AF62" s="1">
        <v>33.448999999999998</v>
      </c>
      <c r="AG62" s="1">
        <v>20.904800000000002</v>
      </c>
      <c r="AH62" s="1">
        <v>8.2733999999999988</v>
      </c>
      <c r="AI62" s="1">
        <v>11.537800000000001</v>
      </c>
      <c r="AJ62" s="1">
        <v>27.928999999999998</v>
      </c>
      <c r="AK62" s="1">
        <v>28.781600000000001</v>
      </c>
      <c r="AL62" s="1"/>
      <c r="AM62" s="1">
        <f t="shared" si="10"/>
        <v>0</v>
      </c>
      <c r="AN62" s="1">
        <f t="shared" si="11"/>
        <v>1.6666000000000001</v>
      </c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 t="s">
        <v>99</v>
      </c>
      <c r="B63" s="1" t="s">
        <v>40</v>
      </c>
      <c r="C63" s="1">
        <v>132</v>
      </c>
      <c r="D63" s="1">
        <v>1007</v>
      </c>
      <c r="E63" s="1">
        <v>367</v>
      </c>
      <c r="F63" s="1">
        <v>294</v>
      </c>
      <c r="G63" s="7">
        <v>0.4</v>
      </c>
      <c r="H63" s="1">
        <v>40</v>
      </c>
      <c r="I63" s="9" t="s">
        <v>46</v>
      </c>
      <c r="J63" s="1"/>
      <c r="K63" s="1">
        <v>368</v>
      </c>
      <c r="L63" s="1">
        <f t="shared" si="17"/>
        <v>-1</v>
      </c>
      <c r="M63" s="1"/>
      <c r="N63" s="1"/>
      <c r="O63" s="1">
        <v>64.264919941775844</v>
      </c>
      <c r="P63" s="18"/>
      <c r="Q63" s="18"/>
      <c r="R63" s="1">
        <v>195</v>
      </c>
      <c r="S63" s="18"/>
      <c r="T63" s="1"/>
      <c r="U63" s="1">
        <f t="shared" si="18"/>
        <v>73.400000000000006</v>
      </c>
      <c r="V63" s="5">
        <f t="shared" si="19"/>
        <v>254.13508005822428</v>
      </c>
      <c r="W63" s="5">
        <f t="shared" si="12"/>
        <v>254.13508005822428</v>
      </c>
      <c r="X63" s="23"/>
      <c r="Y63" s="23"/>
      <c r="Z63" s="1">
        <f t="shared" si="8"/>
        <v>11</v>
      </c>
      <c r="AA63" s="1">
        <f t="shared" si="9"/>
        <v>7.5376692090160189</v>
      </c>
      <c r="AB63" s="1">
        <v>57.2</v>
      </c>
      <c r="AC63" s="1">
        <v>35.799999999999997</v>
      </c>
      <c r="AD63" s="1">
        <v>36.6</v>
      </c>
      <c r="AE63" s="1">
        <v>28.8</v>
      </c>
      <c r="AF63" s="1">
        <v>9</v>
      </c>
      <c r="AG63" s="1">
        <v>49</v>
      </c>
      <c r="AH63" s="1">
        <v>115.2</v>
      </c>
      <c r="AI63" s="1">
        <v>114</v>
      </c>
      <c r="AJ63" s="1">
        <v>79.599999999999994</v>
      </c>
      <c r="AK63" s="1">
        <v>77.400000000000006</v>
      </c>
      <c r="AL63" s="1"/>
      <c r="AM63" s="1">
        <f t="shared" si="10"/>
        <v>102</v>
      </c>
      <c r="AN63" s="1">
        <f t="shared" si="11"/>
        <v>29.360000000000003</v>
      </c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 t="s">
        <v>100</v>
      </c>
      <c r="B64" s="1" t="s">
        <v>40</v>
      </c>
      <c r="C64" s="1">
        <v>86</v>
      </c>
      <c r="D64" s="1">
        <v>355</v>
      </c>
      <c r="E64" s="1">
        <v>186</v>
      </c>
      <c r="F64" s="1">
        <v>234</v>
      </c>
      <c r="G64" s="7">
        <v>0.4</v>
      </c>
      <c r="H64" s="1">
        <v>40</v>
      </c>
      <c r="I64" s="1" t="s">
        <v>36</v>
      </c>
      <c r="J64" s="1"/>
      <c r="K64" s="1">
        <v>197</v>
      </c>
      <c r="L64" s="1">
        <f t="shared" si="17"/>
        <v>-11</v>
      </c>
      <c r="M64" s="1"/>
      <c r="N64" s="1"/>
      <c r="O64" s="1">
        <v>140.38267875125879</v>
      </c>
      <c r="P64" s="18"/>
      <c r="Q64" s="18"/>
      <c r="R64" s="1">
        <v>0</v>
      </c>
      <c r="S64" s="18"/>
      <c r="T64" s="1"/>
      <c r="U64" s="1">
        <f t="shared" si="18"/>
        <v>37.200000000000003</v>
      </c>
      <c r="V64" s="5">
        <f t="shared" si="19"/>
        <v>34.817321248741223</v>
      </c>
      <c r="W64" s="5">
        <f>V64+U64*$W$1</f>
        <v>34.817321248741223</v>
      </c>
      <c r="X64" s="23"/>
      <c r="Y64" s="23"/>
      <c r="Z64" s="1">
        <f t="shared" si="8"/>
        <v>11</v>
      </c>
      <c r="AA64" s="1">
        <f t="shared" si="9"/>
        <v>10.064050504066097</v>
      </c>
      <c r="AB64" s="1">
        <v>29.6</v>
      </c>
      <c r="AC64" s="1">
        <v>34.200000000000003</v>
      </c>
      <c r="AD64" s="1">
        <v>38.4</v>
      </c>
      <c r="AE64" s="1">
        <v>38.200000000000003</v>
      </c>
      <c r="AF64" s="1">
        <v>54</v>
      </c>
      <c r="AG64" s="1">
        <v>42.6</v>
      </c>
      <c r="AH64" s="1">
        <v>53.4</v>
      </c>
      <c r="AI64" s="1">
        <v>71.599999999999994</v>
      </c>
      <c r="AJ64" s="1">
        <v>43.4</v>
      </c>
      <c r="AK64" s="1">
        <v>48.2</v>
      </c>
      <c r="AL64" s="1"/>
      <c r="AM64" s="1">
        <f t="shared" si="10"/>
        <v>14</v>
      </c>
      <c r="AN64" s="1">
        <f t="shared" si="11"/>
        <v>14.880000000000003</v>
      </c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 t="s">
        <v>101</v>
      </c>
      <c r="B65" s="1" t="s">
        <v>35</v>
      </c>
      <c r="C65" s="1">
        <v>-8.1000000000000003E-2</v>
      </c>
      <c r="D65" s="1">
        <v>130.256</v>
      </c>
      <c r="E65" s="1">
        <v>0.91800000000000004</v>
      </c>
      <c r="F65" s="1">
        <v>38.722000000000001</v>
      </c>
      <c r="G65" s="7">
        <v>1</v>
      </c>
      <c r="H65" s="1">
        <v>40</v>
      </c>
      <c r="I65" s="9" t="s">
        <v>46</v>
      </c>
      <c r="J65" s="1"/>
      <c r="K65" s="1">
        <v>64.2</v>
      </c>
      <c r="L65" s="1">
        <f t="shared" si="17"/>
        <v>-63.282000000000004</v>
      </c>
      <c r="M65" s="1"/>
      <c r="N65" s="1"/>
      <c r="O65" s="1">
        <v>66.72749588742191</v>
      </c>
      <c r="P65" s="18"/>
      <c r="Q65" s="18"/>
      <c r="R65" s="1">
        <v>26</v>
      </c>
      <c r="S65" s="18"/>
      <c r="T65" s="1"/>
      <c r="U65" s="1">
        <f t="shared" si="18"/>
        <v>0.18360000000000001</v>
      </c>
      <c r="V65" s="5">
        <v>20</v>
      </c>
      <c r="W65" s="5">
        <f t="shared" ref="W65:W68" si="21">V65</f>
        <v>20</v>
      </c>
      <c r="X65" s="23"/>
      <c r="Y65" s="23"/>
      <c r="Z65" s="1">
        <f t="shared" si="8"/>
        <v>824.88832182691658</v>
      </c>
      <c r="AA65" s="1">
        <f t="shared" si="9"/>
        <v>715.95585995327826</v>
      </c>
      <c r="AB65" s="1">
        <v>14.255800000000001</v>
      </c>
      <c r="AC65" s="1">
        <v>19.347200000000001</v>
      </c>
      <c r="AD65" s="1">
        <v>13.451000000000001</v>
      </c>
      <c r="AE65" s="1">
        <v>8.1768000000000001</v>
      </c>
      <c r="AF65" s="1">
        <v>2.9136000000000002</v>
      </c>
      <c r="AG65" s="1">
        <v>16.226600000000001</v>
      </c>
      <c r="AH65" s="1">
        <v>18.217400000000001</v>
      </c>
      <c r="AI65" s="1">
        <v>20.844200000000001</v>
      </c>
      <c r="AJ65" s="1">
        <v>20.661999999999999</v>
      </c>
      <c r="AK65" s="1">
        <v>14.938599999999999</v>
      </c>
      <c r="AL65" s="1"/>
      <c r="AM65" s="1">
        <f t="shared" si="10"/>
        <v>20</v>
      </c>
      <c r="AN65" s="1">
        <f t="shared" si="11"/>
        <v>0.18360000000000001</v>
      </c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 t="s">
        <v>102</v>
      </c>
      <c r="B66" s="1" t="s">
        <v>35</v>
      </c>
      <c r="C66" s="1"/>
      <c r="D66" s="1">
        <v>102.29900000000001</v>
      </c>
      <c r="E66" s="1">
        <v>-4.4249999999999998</v>
      </c>
      <c r="F66" s="1">
        <v>11.657</v>
      </c>
      <c r="G66" s="7">
        <v>1</v>
      </c>
      <c r="H66" s="1">
        <v>40</v>
      </c>
      <c r="I66" s="9" t="s">
        <v>46</v>
      </c>
      <c r="J66" s="1"/>
      <c r="K66" s="1">
        <v>4.5</v>
      </c>
      <c r="L66" s="1">
        <f t="shared" si="17"/>
        <v>-8.9250000000000007</v>
      </c>
      <c r="M66" s="1"/>
      <c r="N66" s="1"/>
      <c r="O66" s="1">
        <v>65.506768635724328</v>
      </c>
      <c r="P66" s="18"/>
      <c r="Q66" s="18"/>
      <c r="R66" s="1">
        <v>26</v>
      </c>
      <c r="S66" s="18"/>
      <c r="T66" s="1"/>
      <c r="U66" s="1">
        <f t="shared" si="18"/>
        <v>-0.88500000000000001</v>
      </c>
      <c r="V66" s="5"/>
      <c r="W66" s="5">
        <f t="shared" si="21"/>
        <v>0</v>
      </c>
      <c r="X66" s="23"/>
      <c r="Y66" s="23"/>
      <c r="Z66" s="1">
        <f t="shared" si="8"/>
        <v>-116.56923009686365</v>
      </c>
      <c r="AA66" s="1">
        <f t="shared" si="9"/>
        <v>-116.56923009686365</v>
      </c>
      <c r="AB66" s="1">
        <v>-0.18</v>
      </c>
      <c r="AC66" s="1">
        <v>-0.3654</v>
      </c>
      <c r="AD66" s="1">
        <v>-0.3654</v>
      </c>
      <c r="AE66" s="1">
        <v>-1.2702</v>
      </c>
      <c r="AF66" s="1">
        <v>-1.0875999999999999</v>
      </c>
      <c r="AG66" s="1">
        <v>10.1266</v>
      </c>
      <c r="AH66" s="1">
        <v>11.384600000000001</v>
      </c>
      <c r="AI66" s="1">
        <v>8.4802</v>
      </c>
      <c r="AJ66" s="1">
        <v>12.4748</v>
      </c>
      <c r="AK66" s="1">
        <v>12.3028</v>
      </c>
      <c r="AL66" s="1"/>
      <c r="AM66" s="1">
        <f t="shared" si="10"/>
        <v>0</v>
      </c>
      <c r="AN66" s="1">
        <f t="shared" si="11"/>
        <v>-0.88500000000000001</v>
      </c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 t="s">
        <v>103</v>
      </c>
      <c r="B67" s="1" t="s">
        <v>35</v>
      </c>
      <c r="C67" s="1">
        <v>50.837000000000003</v>
      </c>
      <c r="D67" s="1">
        <v>5.4580000000000002</v>
      </c>
      <c r="E67" s="1">
        <v>75.828999999999994</v>
      </c>
      <c r="F67" s="1">
        <v>-0.41</v>
      </c>
      <c r="G67" s="7">
        <v>1</v>
      </c>
      <c r="H67" s="1">
        <v>40</v>
      </c>
      <c r="I67" s="9" t="s">
        <v>46</v>
      </c>
      <c r="J67" s="1"/>
      <c r="K67" s="1">
        <v>55.6</v>
      </c>
      <c r="L67" s="1">
        <f t="shared" si="17"/>
        <v>20.228999999999992</v>
      </c>
      <c r="M67" s="1"/>
      <c r="N67" s="1"/>
      <c r="O67" s="1">
        <v>185.44251614261961</v>
      </c>
      <c r="P67" s="18"/>
      <c r="Q67" s="18"/>
      <c r="R67" s="1">
        <v>260</v>
      </c>
      <c r="S67" s="18"/>
      <c r="T67" s="1"/>
      <c r="U67" s="1">
        <f t="shared" si="18"/>
        <v>15.165799999999999</v>
      </c>
      <c r="V67" s="5"/>
      <c r="W67" s="5">
        <f t="shared" si="21"/>
        <v>0</v>
      </c>
      <c r="X67" s="23"/>
      <c r="Y67" s="23"/>
      <c r="Z67" s="1">
        <f t="shared" si="8"/>
        <v>29.344480089584437</v>
      </c>
      <c r="AA67" s="1">
        <f t="shared" si="9"/>
        <v>29.344480089584437</v>
      </c>
      <c r="AB67" s="1">
        <v>54.539200000000008</v>
      </c>
      <c r="AC67" s="1">
        <v>38.833599999999997</v>
      </c>
      <c r="AD67" s="1">
        <v>-1.4410000000000001</v>
      </c>
      <c r="AE67" s="1">
        <v>-0.9012</v>
      </c>
      <c r="AF67" s="1">
        <v>26.5594</v>
      </c>
      <c r="AG67" s="1">
        <v>56.472000000000001</v>
      </c>
      <c r="AH67" s="1">
        <v>75.826599999999999</v>
      </c>
      <c r="AI67" s="1">
        <v>76.188999999999993</v>
      </c>
      <c r="AJ67" s="1">
        <v>96.034199999999998</v>
      </c>
      <c r="AK67" s="1">
        <v>98.497799999999998</v>
      </c>
      <c r="AL67" s="1"/>
      <c r="AM67" s="1">
        <f t="shared" si="10"/>
        <v>0</v>
      </c>
      <c r="AN67" s="1">
        <f t="shared" si="11"/>
        <v>15.165799999999999</v>
      </c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 t="s">
        <v>104</v>
      </c>
      <c r="B68" s="1" t="s">
        <v>35</v>
      </c>
      <c r="C68" s="1"/>
      <c r="D68" s="1"/>
      <c r="E68" s="1"/>
      <c r="F68" s="1"/>
      <c r="G68" s="7">
        <v>1</v>
      </c>
      <c r="H68" s="1">
        <v>40</v>
      </c>
      <c r="I68" s="9" t="s">
        <v>46</v>
      </c>
      <c r="J68" s="1"/>
      <c r="K68" s="1">
        <v>4.5</v>
      </c>
      <c r="L68" s="1">
        <f t="shared" si="17"/>
        <v>-4.5</v>
      </c>
      <c r="M68" s="1"/>
      <c r="N68" s="1"/>
      <c r="O68" s="1">
        <v>94.231088526074814</v>
      </c>
      <c r="P68" s="18"/>
      <c r="Q68" s="18"/>
      <c r="R68" s="1">
        <v>26</v>
      </c>
      <c r="S68" s="18"/>
      <c r="T68" s="1"/>
      <c r="U68" s="1">
        <f t="shared" si="18"/>
        <v>0</v>
      </c>
      <c r="V68" s="5"/>
      <c r="W68" s="5">
        <f t="shared" si="21"/>
        <v>0</v>
      </c>
      <c r="X68" s="23"/>
      <c r="Y68" s="23"/>
      <c r="Z68" s="1" t="e">
        <f t="shared" si="8"/>
        <v>#DIV/0!</v>
      </c>
      <c r="AA68" s="1" t="e">
        <f t="shared" si="9"/>
        <v>#DIV/0!</v>
      </c>
      <c r="AB68" s="1">
        <v>-0.1852</v>
      </c>
      <c r="AC68" s="1">
        <v>2.7107999999999999</v>
      </c>
      <c r="AD68" s="1">
        <v>18.175599999999999</v>
      </c>
      <c r="AE68" s="1">
        <v>14.3584</v>
      </c>
      <c r="AF68" s="1">
        <v>-0.11700000000000001</v>
      </c>
      <c r="AG68" s="1">
        <v>11.7364</v>
      </c>
      <c r="AH68" s="1">
        <v>16.224799999999998</v>
      </c>
      <c r="AI68" s="1">
        <v>34.017000000000003</v>
      </c>
      <c r="AJ68" s="1">
        <v>35.487000000000002</v>
      </c>
      <c r="AK68" s="1">
        <v>19.944600000000001</v>
      </c>
      <c r="AL68" s="1"/>
      <c r="AM68" s="1">
        <f t="shared" si="10"/>
        <v>0</v>
      </c>
      <c r="AN68" s="1">
        <f t="shared" si="11"/>
        <v>0</v>
      </c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0" t="s">
        <v>105</v>
      </c>
      <c r="B69" s="10" t="s">
        <v>40</v>
      </c>
      <c r="C69" s="10"/>
      <c r="D69" s="10"/>
      <c r="E69" s="10"/>
      <c r="F69" s="10"/>
      <c r="G69" s="11">
        <v>0</v>
      </c>
      <c r="H69" s="10"/>
      <c r="I69" s="10" t="s">
        <v>36</v>
      </c>
      <c r="J69" s="10"/>
      <c r="K69" s="10"/>
      <c r="L69" s="10">
        <f t="shared" si="17"/>
        <v>0</v>
      </c>
      <c r="M69" s="10"/>
      <c r="N69" s="10"/>
      <c r="O69" s="10"/>
      <c r="P69" s="21"/>
      <c r="Q69" s="21"/>
      <c r="R69" s="10">
        <v>0</v>
      </c>
      <c r="S69" s="21"/>
      <c r="T69" s="10"/>
      <c r="U69" s="10">
        <f t="shared" si="18"/>
        <v>0</v>
      </c>
      <c r="V69" s="12"/>
      <c r="W69" s="5">
        <f t="shared" si="12"/>
        <v>0</v>
      </c>
      <c r="X69" s="23"/>
      <c r="Y69" s="24"/>
      <c r="Z69" s="1" t="e">
        <f t="shared" si="8"/>
        <v>#DIV/0!</v>
      </c>
      <c r="AA69" s="10" t="e">
        <f t="shared" si="9"/>
        <v>#DIV/0!</v>
      </c>
      <c r="AB69" s="10">
        <v>0</v>
      </c>
      <c r="AC69" s="10">
        <v>0</v>
      </c>
      <c r="AD69" s="10">
        <v>0</v>
      </c>
      <c r="AE69" s="10">
        <v>0</v>
      </c>
      <c r="AF69" s="10">
        <v>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0" t="s">
        <v>41</v>
      </c>
      <c r="AM69" s="1">
        <f t="shared" si="10"/>
        <v>0</v>
      </c>
      <c r="AN69" s="1">
        <f t="shared" si="11"/>
        <v>0</v>
      </c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 t="s">
        <v>106</v>
      </c>
      <c r="B70" s="1" t="s">
        <v>35</v>
      </c>
      <c r="C70" s="1">
        <v>57.883000000000003</v>
      </c>
      <c r="D70" s="1">
        <v>218.93899999999999</v>
      </c>
      <c r="E70" s="1">
        <v>114.258</v>
      </c>
      <c r="F70" s="1">
        <v>154.191</v>
      </c>
      <c r="G70" s="7">
        <v>1</v>
      </c>
      <c r="H70" s="1">
        <v>30</v>
      </c>
      <c r="I70" s="9" t="s">
        <v>46</v>
      </c>
      <c r="J70" s="1"/>
      <c r="K70" s="1">
        <v>122.1</v>
      </c>
      <c r="L70" s="1">
        <f t="shared" ref="L70:L101" si="22">E70-K70</f>
        <v>-7.8419999999999987</v>
      </c>
      <c r="M70" s="1"/>
      <c r="N70" s="1"/>
      <c r="O70" s="1">
        <v>61.041236403526483</v>
      </c>
      <c r="P70" s="18"/>
      <c r="Q70" s="18"/>
      <c r="R70" s="1">
        <v>87.828732675415679</v>
      </c>
      <c r="S70" s="18"/>
      <c r="T70" s="1"/>
      <c r="U70" s="1">
        <f t="shared" ref="U70:U101" si="23">E70/5</f>
        <v>22.851599999999998</v>
      </c>
      <c r="V70" s="5">
        <v>30</v>
      </c>
      <c r="W70" s="5">
        <f>V70</f>
        <v>30</v>
      </c>
      <c r="X70" s="23"/>
      <c r="Y70" s="23"/>
      <c r="Z70" s="1">
        <f t="shared" si="8"/>
        <v>14.574951823020804</v>
      </c>
      <c r="AA70" s="1">
        <f t="shared" si="9"/>
        <v>13.262133464568878</v>
      </c>
      <c r="AB70" s="1">
        <v>27.151399999999999</v>
      </c>
      <c r="AC70" s="1">
        <v>11.3246</v>
      </c>
      <c r="AD70" s="1">
        <v>-3.0474000000000001</v>
      </c>
      <c r="AE70" s="1">
        <v>6.3057999999999996</v>
      </c>
      <c r="AF70" s="1">
        <v>38.624600000000001</v>
      </c>
      <c r="AG70" s="1">
        <v>42.8994</v>
      </c>
      <c r="AH70" s="1">
        <v>11.5352</v>
      </c>
      <c r="AI70" s="1">
        <v>1.75</v>
      </c>
      <c r="AJ70" s="1">
        <v>29.075600000000001</v>
      </c>
      <c r="AK70" s="1">
        <v>33.2898</v>
      </c>
      <c r="AL70" s="1" t="s">
        <v>107</v>
      </c>
      <c r="AM70" s="1">
        <f t="shared" si="10"/>
        <v>30</v>
      </c>
      <c r="AN70" s="1">
        <f t="shared" si="11"/>
        <v>22.851599999999998</v>
      </c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 t="s">
        <v>108</v>
      </c>
      <c r="B71" s="1" t="s">
        <v>40</v>
      </c>
      <c r="C71" s="1">
        <v>100</v>
      </c>
      <c r="D71" s="1">
        <v>66</v>
      </c>
      <c r="E71" s="1">
        <v>28</v>
      </c>
      <c r="F71" s="1">
        <v>115</v>
      </c>
      <c r="G71" s="7">
        <v>0.6</v>
      </c>
      <c r="H71" s="1">
        <v>60</v>
      </c>
      <c r="I71" s="1" t="s">
        <v>36</v>
      </c>
      <c r="J71" s="1"/>
      <c r="K71" s="1">
        <v>30</v>
      </c>
      <c r="L71" s="1">
        <f t="shared" si="22"/>
        <v>-2</v>
      </c>
      <c r="M71" s="1"/>
      <c r="N71" s="1"/>
      <c r="O71" s="1">
        <v>77.89787234042555</v>
      </c>
      <c r="P71" s="18"/>
      <c r="Q71" s="18"/>
      <c r="R71" s="1">
        <v>0</v>
      </c>
      <c r="S71" s="18"/>
      <c r="T71" s="1"/>
      <c r="U71" s="1">
        <f t="shared" si="23"/>
        <v>5.6</v>
      </c>
      <c r="V71" s="5"/>
      <c r="W71" s="5">
        <f t="shared" ref="W71:W129" si="24">V71</f>
        <v>0</v>
      </c>
      <c r="X71" s="23"/>
      <c r="Y71" s="23"/>
      <c r="Z71" s="1">
        <f t="shared" ref="Z71:Z129" si="25">(F71+O71+P71+R71+S71+T71+W71)/U71</f>
        <v>34.446048632218847</v>
      </c>
      <c r="AA71" s="1">
        <f t="shared" ref="AA71:AA129" si="26">(F71+O71+P71+R71+S71+T71)/U71</f>
        <v>34.446048632218847</v>
      </c>
      <c r="AB71" s="1">
        <v>11</v>
      </c>
      <c r="AC71" s="1">
        <v>36.200000000000003</v>
      </c>
      <c r="AD71" s="1">
        <v>27</v>
      </c>
      <c r="AE71" s="1">
        <v>1.2</v>
      </c>
      <c r="AF71" s="1">
        <v>3.2</v>
      </c>
      <c r="AG71" s="1">
        <v>19.399999999999999</v>
      </c>
      <c r="AH71" s="1">
        <v>37</v>
      </c>
      <c r="AI71" s="1">
        <v>27.2</v>
      </c>
      <c r="AJ71" s="1">
        <v>8.6</v>
      </c>
      <c r="AK71" s="1">
        <v>18.600000000000001</v>
      </c>
      <c r="AL71" s="15" t="s">
        <v>176</v>
      </c>
      <c r="AM71" s="1">
        <f t="shared" ref="AM71:AM129" si="27">ROUND(G71*W71,0)</f>
        <v>0</v>
      </c>
      <c r="AN71" s="1">
        <f t="shared" ref="AN71:AN129" si="28">U71*G71</f>
        <v>3.36</v>
      </c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 t="s">
        <v>109</v>
      </c>
      <c r="B72" s="1" t="s">
        <v>40</v>
      </c>
      <c r="C72" s="1">
        <v>110</v>
      </c>
      <c r="D72" s="1">
        <v>178</v>
      </c>
      <c r="E72" s="1">
        <v>56</v>
      </c>
      <c r="F72" s="1">
        <v>194</v>
      </c>
      <c r="G72" s="7">
        <v>0.6</v>
      </c>
      <c r="H72" s="1">
        <v>60</v>
      </c>
      <c r="I72" s="1" t="s">
        <v>36</v>
      </c>
      <c r="J72" s="1"/>
      <c r="K72" s="1">
        <v>57</v>
      </c>
      <c r="L72" s="1">
        <f t="shared" si="22"/>
        <v>-1</v>
      </c>
      <c r="M72" s="1"/>
      <c r="N72" s="1"/>
      <c r="O72" s="1">
        <v>66.136986301369859</v>
      </c>
      <c r="P72" s="18"/>
      <c r="Q72" s="18"/>
      <c r="R72" s="1">
        <v>0</v>
      </c>
      <c r="S72" s="18"/>
      <c r="T72" s="1"/>
      <c r="U72" s="1">
        <f t="shared" si="23"/>
        <v>11.2</v>
      </c>
      <c r="V72" s="5"/>
      <c r="W72" s="5">
        <f t="shared" si="24"/>
        <v>0</v>
      </c>
      <c r="X72" s="23"/>
      <c r="Y72" s="23"/>
      <c r="Z72" s="1">
        <f t="shared" si="25"/>
        <v>23.226516634050881</v>
      </c>
      <c r="AA72" s="1">
        <f t="shared" si="26"/>
        <v>23.226516634050881</v>
      </c>
      <c r="AB72" s="1">
        <v>17.2</v>
      </c>
      <c r="AC72" s="1">
        <v>47.6</v>
      </c>
      <c r="AD72" s="1">
        <v>37</v>
      </c>
      <c r="AE72" s="1">
        <v>11.8</v>
      </c>
      <c r="AF72" s="1">
        <v>25.4</v>
      </c>
      <c r="AG72" s="1">
        <v>30.4</v>
      </c>
      <c r="AH72" s="1">
        <v>51</v>
      </c>
      <c r="AI72" s="1">
        <v>42</v>
      </c>
      <c r="AJ72" s="1">
        <v>18.399999999999999</v>
      </c>
      <c r="AK72" s="1">
        <v>32</v>
      </c>
      <c r="AL72" s="14" t="s">
        <v>165</v>
      </c>
      <c r="AM72" s="1">
        <f t="shared" si="27"/>
        <v>0</v>
      </c>
      <c r="AN72" s="1">
        <f t="shared" si="28"/>
        <v>6.72</v>
      </c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 t="s">
        <v>110</v>
      </c>
      <c r="B73" s="1" t="s">
        <v>40</v>
      </c>
      <c r="C73" s="1">
        <v>39</v>
      </c>
      <c r="D73" s="1">
        <v>273</v>
      </c>
      <c r="E73" s="1">
        <v>39</v>
      </c>
      <c r="F73" s="1">
        <v>92</v>
      </c>
      <c r="G73" s="7">
        <v>0.4</v>
      </c>
      <c r="H73" s="1">
        <v>90</v>
      </c>
      <c r="I73" s="9" t="s">
        <v>46</v>
      </c>
      <c r="J73" s="1"/>
      <c r="K73" s="1">
        <v>43</v>
      </c>
      <c r="L73" s="1">
        <f t="shared" si="22"/>
        <v>-4</v>
      </c>
      <c r="M73" s="1"/>
      <c r="N73" s="1"/>
      <c r="O73" s="1">
        <v>48.218181818181819</v>
      </c>
      <c r="P73" s="18"/>
      <c r="Q73" s="18"/>
      <c r="R73" s="1">
        <v>0</v>
      </c>
      <c r="S73" s="18"/>
      <c r="T73" s="1"/>
      <c r="U73" s="1">
        <f t="shared" si="23"/>
        <v>7.8</v>
      </c>
      <c r="V73" s="5"/>
      <c r="W73" s="5">
        <f t="shared" si="24"/>
        <v>0</v>
      </c>
      <c r="X73" s="23"/>
      <c r="Y73" s="23"/>
      <c r="Z73" s="1">
        <f t="shared" si="25"/>
        <v>17.976689976689975</v>
      </c>
      <c r="AA73" s="1">
        <f t="shared" si="26"/>
        <v>17.976689976689975</v>
      </c>
      <c r="AB73" s="1">
        <v>11.6</v>
      </c>
      <c r="AC73" s="1">
        <v>18</v>
      </c>
      <c r="AD73" s="1">
        <v>23.6</v>
      </c>
      <c r="AE73" s="1">
        <v>29</v>
      </c>
      <c r="AF73" s="1">
        <v>27.8</v>
      </c>
      <c r="AG73" s="1">
        <v>26</v>
      </c>
      <c r="AH73" s="1">
        <v>21.4</v>
      </c>
      <c r="AI73" s="1">
        <v>17</v>
      </c>
      <c r="AJ73" s="1">
        <v>24.2</v>
      </c>
      <c r="AK73" s="1">
        <v>25.2</v>
      </c>
      <c r="AL73" s="1"/>
      <c r="AM73" s="1">
        <f t="shared" si="27"/>
        <v>0</v>
      </c>
      <c r="AN73" s="1">
        <f t="shared" si="28"/>
        <v>3.12</v>
      </c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 t="s">
        <v>111</v>
      </c>
      <c r="B74" s="1" t="s">
        <v>40</v>
      </c>
      <c r="C74" s="1">
        <v>87</v>
      </c>
      <c r="D74" s="1">
        <v>302</v>
      </c>
      <c r="E74" s="1">
        <v>86</v>
      </c>
      <c r="F74" s="1">
        <v>82</v>
      </c>
      <c r="G74" s="7">
        <v>0.33</v>
      </c>
      <c r="H74" s="1">
        <v>60</v>
      </c>
      <c r="I74" s="9" t="s">
        <v>46</v>
      </c>
      <c r="J74" s="1"/>
      <c r="K74" s="1">
        <v>108</v>
      </c>
      <c r="L74" s="1">
        <f t="shared" si="22"/>
        <v>-22</v>
      </c>
      <c r="M74" s="1"/>
      <c r="N74" s="1"/>
      <c r="O74" s="1">
        <v>67.583673469387747</v>
      </c>
      <c r="P74" s="18"/>
      <c r="Q74" s="18"/>
      <c r="R74" s="1">
        <v>0</v>
      </c>
      <c r="S74" s="18"/>
      <c r="T74" s="1"/>
      <c r="U74" s="1">
        <f t="shared" si="23"/>
        <v>17.2</v>
      </c>
      <c r="V74" s="5">
        <v>60</v>
      </c>
      <c r="W74" s="5">
        <f t="shared" si="24"/>
        <v>60</v>
      </c>
      <c r="X74" s="23"/>
      <c r="Y74" s="23"/>
      <c r="Z74" s="1">
        <f t="shared" si="25"/>
        <v>12.185097294731847</v>
      </c>
      <c r="AA74" s="1">
        <f t="shared" si="26"/>
        <v>8.6967252017085901</v>
      </c>
      <c r="AB74" s="1">
        <v>16</v>
      </c>
      <c r="AC74" s="1">
        <v>21.2</v>
      </c>
      <c r="AD74" s="1">
        <v>23.8</v>
      </c>
      <c r="AE74" s="1">
        <v>36.200000000000003</v>
      </c>
      <c r="AF74" s="1">
        <v>36.4</v>
      </c>
      <c r="AG74" s="1">
        <v>33.6</v>
      </c>
      <c r="AH74" s="1">
        <v>31.8</v>
      </c>
      <c r="AI74" s="1">
        <v>29.6</v>
      </c>
      <c r="AJ74" s="1">
        <v>46.4</v>
      </c>
      <c r="AK74" s="1">
        <v>50.6</v>
      </c>
      <c r="AL74" s="1"/>
      <c r="AM74" s="1">
        <f t="shared" si="27"/>
        <v>20</v>
      </c>
      <c r="AN74" s="1">
        <f t="shared" si="28"/>
        <v>5.6760000000000002</v>
      </c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 t="s">
        <v>112</v>
      </c>
      <c r="B75" s="1" t="s">
        <v>40</v>
      </c>
      <c r="C75" s="1">
        <v>47</v>
      </c>
      <c r="D75" s="1">
        <v>226</v>
      </c>
      <c r="E75" s="1">
        <v>45</v>
      </c>
      <c r="F75" s="1">
        <v>1</v>
      </c>
      <c r="G75" s="7">
        <v>0.35</v>
      </c>
      <c r="H75" s="1">
        <v>90</v>
      </c>
      <c r="I75" s="9" t="s">
        <v>46</v>
      </c>
      <c r="J75" s="1"/>
      <c r="K75" s="1">
        <v>62</v>
      </c>
      <c r="L75" s="1">
        <f t="shared" si="22"/>
        <v>-17</v>
      </c>
      <c r="M75" s="1"/>
      <c r="N75" s="1"/>
      <c r="O75" s="1">
        <v>61.167464114832534</v>
      </c>
      <c r="P75" s="18"/>
      <c r="Q75" s="18"/>
      <c r="R75" s="1">
        <v>130</v>
      </c>
      <c r="S75" s="18"/>
      <c r="T75" s="1"/>
      <c r="U75" s="1">
        <f t="shared" si="23"/>
        <v>9</v>
      </c>
      <c r="V75" s="5"/>
      <c r="W75" s="5">
        <f t="shared" si="24"/>
        <v>0</v>
      </c>
      <c r="X75" s="23"/>
      <c r="Y75" s="23"/>
      <c r="Z75" s="1">
        <f t="shared" si="25"/>
        <v>21.351940457203614</v>
      </c>
      <c r="AA75" s="1">
        <f t="shared" si="26"/>
        <v>21.351940457203614</v>
      </c>
      <c r="AB75" s="1">
        <v>12.8</v>
      </c>
      <c r="AC75" s="1">
        <v>20</v>
      </c>
      <c r="AD75" s="1">
        <v>25.6</v>
      </c>
      <c r="AE75" s="1">
        <v>33.4</v>
      </c>
      <c r="AF75" s="1">
        <v>36.200000000000003</v>
      </c>
      <c r="AG75" s="1">
        <v>29.8</v>
      </c>
      <c r="AH75" s="1">
        <v>32.4</v>
      </c>
      <c r="AI75" s="1">
        <v>29.2</v>
      </c>
      <c r="AJ75" s="1">
        <v>27.2</v>
      </c>
      <c r="AK75" s="1">
        <v>29.8</v>
      </c>
      <c r="AL75" s="1"/>
      <c r="AM75" s="1">
        <f t="shared" si="27"/>
        <v>0</v>
      </c>
      <c r="AN75" s="1">
        <f t="shared" si="28"/>
        <v>3.15</v>
      </c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 t="s">
        <v>113</v>
      </c>
      <c r="B76" s="1" t="s">
        <v>40</v>
      </c>
      <c r="C76" s="1">
        <v>3</v>
      </c>
      <c r="D76" s="1">
        <v>60</v>
      </c>
      <c r="E76" s="1">
        <v>1</v>
      </c>
      <c r="F76" s="1">
        <v>32</v>
      </c>
      <c r="G76" s="7">
        <v>0.37</v>
      </c>
      <c r="H76" s="1"/>
      <c r="I76" s="1" t="s">
        <v>36</v>
      </c>
      <c r="J76" s="1"/>
      <c r="K76" s="1">
        <v>1</v>
      </c>
      <c r="L76" s="1">
        <f t="shared" si="22"/>
        <v>0</v>
      </c>
      <c r="M76" s="1"/>
      <c r="N76" s="1"/>
      <c r="O76" s="1">
        <v>0</v>
      </c>
      <c r="P76" s="18"/>
      <c r="Q76" s="18"/>
      <c r="R76" s="1">
        <v>0</v>
      </c>
      <c r="S76" s="18"/>
      <c r="T76" s="1"/>
      <c r="U76" s="1">
        <f t="shared" si="23"/>
        <v>0.2</v>
      </c>
      <c r="V76" s="5"/>
      <c r="W76" s="5">
        <f t="shared" si="24"/>
        <v>0</v>
      </c>
      <c r="X76" s="23"/>
      <c r="Y76" s="23"/>
      <c r="Z76" s="1">
        <f t="shared" si="25"/>
        <v>160</v>
      </c>
      <c r="AA76" s="1">
        <f t="shared" si="26"/>
        <v>160</v>
      </c>
      <c r="AB76" s="1">
        <v>0.4</v>
      </c>
      <c r="AC76" s="1">
        <v>1.8</v>
      </c>
      <c r="AD76" s="1">
        <v>4.5999999999999996</v>
      </c>
      <c r="AE76" s="1">
        <v>3.6</v>
      </c>
      <c r="AF76" s="1">
        <v>0.4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 t="s">
        <v>114</v>
      </c>
      <c r="AM76" s="1">
        <f t="shared" si="27"/>
        <v>0</v>
      </c>
      <c r="AN76" s="1">
        <f t="shared" si="28"/>
        <v>7.3999999999999996E-2</v>
      </c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 t="s">
        <v>115</v>
      </c>
      <c r="B77" s="1" t="s">
        <v>40</v>
      </c>
      <c r="C77" s="1">
        <v>28</v>
      </c>
      <c r="D77" s="1">
        <v>40</v>
      </c>
      <c r="E77" s="1">
        <v>10</v>
      </c>
      <c r="F77" s="1">
        <v>-21.2</v>
      </c>
      <c r="G77" s="7">
        <v>0.6</v>
      </c>
      <c r="H77" s="1">
        <v>70</v>
      </c>
      <c r="I77" s="1" t="s">
        <v>36</v>
      </c>
      <c r="J77" s="1"/>
      <c r="K77" s="1">
        <v>10</v>
      </c>
      <c r="L77" s="1">
        <f t="shared" si="22"/>
        <v>0</v>
      </c>
      <c r="M77" s="1"/>
      <c r="N77" s="1"/>
      <c r="O77" s="1">
        <v>36.901960784313729</v>
      </c>
      <c r="P77" s="18"/>
      <c r="Q77" s="18"/>
      <c r="R77" s="1">
        <v>71.098039215686256</v>
      </c>
      <c r="S77" s="18"/>
      <c r="T77" s="1"/>
      <c r="U77" s="1">
        <f t="shared" si="23"/>
        <v>2</v>
      </c>
      <c r="V77" s="5"/>
      <c r="W77" s="5">
        <f t="shared" si="24"/>
        <v>0</v>
      </c>
      <c r="X77" s="23"/>
      <c r="Y77" s="23"/>
      <c r="Z77" s="1">
        <f t="shared" si="25"/>
        <v>43.399999999999991</v>
      </c>
      <c r="AA77" s="1">
        <f t="shared" si="26"/>
        <v>43.399999999999991</v>
      </c>
      <c r="AB77" s="1">
        <v>6.6</v>
      </c>
      <c r="AC77" s="1">
        <v>21.8</v>
      </c>
      <c r="AD77" s="1">
        <v>14</v>
      </c>
      <c r="AE77" s="1">
        <v>3</v>
      </c>
      <c r="AF77" s="1">
        <v>5</v>
      </c>
      <c r="AG77" s="1">
        <v>8</v>
      </c>
      <c r="AH77" s="1">
        <v>19</v>
      </c>
      <c r="AI77" s="1">
        <v>18.399999999999999</v>
      </c>
      <c r="AJ77" s="1">
        <v>8.4</v>
      </c>
      <c r="AK77" s="1">
        <v>11.8</v>
      </c>
      <c r="AL77" s="1"/>
      <c r="AM77" s="1">
        <f t="shared" si="27"/>
        <v>0</v>
      </c>
      <c r="AN77" s="1">
        <f t="shared" si="28"/>
        <v>1.2</v>
      </c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 t="s">
        <v>116</v>
      </c>
      <c r="B78" s="1" t="s">
        <v>40</v>
      </c>
      <c r="C78" s="1"/>
      <c r="D78" s="1">
        <v>187</v>
      </c>
      <c r="E78" s="1">
        <v>17</v>
      </c>
      <c r="F78" s="1">
        <v>118</v>
      </c>
      <c r="G78" s="7">
        <v>0.33</v>
      </c>
      <c r="H78" s="1">
        <v>40</v>
      </c>
      <c r="I78" s="1" t="s">
        <v>36</v>
      </c>
      <c r="J78" s="1"/>
      <c r="K78" s="1">
        <v>20</v>
      </c>
      <c r="L78" s="1">
        <f t="shared" si="22"/>
        <v>-3</v>
      </c>
      <c r="M78" s="1"/>
      <c r="N78" s="1"/>
      <c r="O78" s="1">
        <v>19.78165938864629</v>
      </c>
      <c r="P78" s="18"/>
      <c r="Q78" s="18"/>
      <c r="R78" s="1">
        <v>0</v>
      </c>
      <c r="S78" s="18"/>
      <c r="T78" s="1"/>
      <c r="U78" s="1">
        <f t="shared" si="23"/>
        <v>3.4</v>
      </c>
      <c r="V78" s="5"/>
      <c r="W78" s="5">
        <f t="shared" si="24"/>
        <v>0</v>
      </c>
      <c r="X78" s="23"/>
      <c r="Y78" s="23"/>
      <c r="Z78" s="1">
        <f t="shared" si="25"/>
        <v>40.52401746724891</v>
      </c>
      <c r="AA78" s="1">
        <f t="shared" si="26"/>
        <v>40.52401746724891</v>
      </c>
      <c r="AB78" s="1">
        <v>0.2</v>
      </c>
      <c r="AC78" s="1">
        <v>1.6</v>
      </c>
      <c r="AD78" s="1">
        <v>5</v>
      </c>
      <c r="AE78" s="1">
        <v>15.8</v>
      </c>
      <c r="AF78" s="1">
        <v>18</v>
      </c>
      <c r="AG78" s="1">
        <v>7</v>
      </c>
      <c r="AH78" s="1">
        <v>9.6</v>
      </c>
      <c r="AI78" s="1">
        <v>13.4</v>
      </c>
      <c r="AJ78" s="1">
        <v>11</v>
      </c>
      <c r="AK78" s="1">
        <v>16.600000000000001</v>
      </c>
      <c r="AL78" s="1"/>
      <c r="AM78" s="1">
        <f t="shared" si="27"/>
        <v>0</v>
      </c>
      <c r="AN78" s="1">
        <f t="shared" si="28"/>
        <v>1.1220000000000001</v>
      </c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 t="s">
        <v>117</v>
      </c>
      <c r="B79" s="1" t="s">
        <v>40</v>
      </c>
      <c r="C79" s="1"/>
      <c r="D79" s="1">
        <v>177</v>
      </c>
      <c r="E79" s="1">
        <v>29</v>
      </c>
      <c r="F79" s="1">
        <v>65</v>
      </c>
      <c r="G79" s="7">
        <v>0.4</v>
      </c>
      <c r="H79" s="1">
        <v>55</v>
      </c>
      <c r="I79" s="1" t="s">
        <v>36</v>
      </c>
      <c r="J79" s="1"/>
      <c r="K79" s="1">
        <v>30</v>
      </c>
      <c r="L79" s="1">
        <f t="shared" si="22"/>
        <v>-1</v>
      </c>
      <c r="M79" s="1"/>
      <c r="N79" s="1"/>
      <c r="O79" s="1">
        <v>0</v>
      </c>
      <c r="P79" s="18"/>
      <c r="Q79" s="18"/>
      <c r="R79" s="1">
        <v>0</v>
      </c>
      <c r="S79" s="18"/>
      <c r="T79" s="1"/>
      <c r="U79" s="1">
        <f t="shared" si="23"/>
        <v>5.8</v>
      </c>
      <c r="V79" s="5">
        <v>10</v>
      </c>
      <c r="W79" s="5">
        <f t="shared" si="24"/>
        <v>10</v>
      </c>
      <c r="X79" s="23"/>
      <c r="Y79" s="23"/>
      <c r="Z79" s="1">
        <f t="shared" si="25"/>
        <v>12.931034482758621</v>
      </c>
      <c r="AA79" s="1">
        <f t="shared" si="26"/>
        <v>11.206896551724139</v>
      </c>
      <c r="AB79" s="1">
        <v>2.2000000000000002</v>
      </c>
      <c r="AC79" s="1">
        <v>6</v>
      </c>
      <c r="AD79" s="1">
        <v>11.6</v>
      </c>
      <c r="AE79" s="1">
        <v>12.4</v>
      </c>
      <c r="AF79" s="1">
        <v>11.4</v>
      </c>
      <c r="AG79" s="1">
        <v>6.2</v>
      </c>
      <c r="AH79" s="1">
        <v>8.4</v>
      </c>
      <c r="AI79" s="1">
        <v>10.6</v>
      </c>
      <c r="AJ79" s="1">
        <v>6.2</v>
      </c>
      <c r="AK79" s="1">
        <v>7</v>
      </c>
      <c r="AL79" s="1"/>
      <c r="AM79" s="1">
        <f t="shared" si="27"/>
        <v>4</v>
      </c>
      <c r="AN79" s="1">
        <f t="shared" si="28"/>
        <v>2.3199999999999998</v>
      </c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 t="s">
        <v>118</v>
      </c>
      <c r="B80" s="1" t="s">
        <v>40</v>
      </c>
      <c r="C80" s="1">
        <v>6</v>
      </c>
      <c r="D80" s="1">
        <v>48</v>
      </c>
      <c r="E80" s="1">
        <v>12</v>
      </c>
      <c r="F80" s="1">
        <v>10</v>
      </c>
      <c r="G80" s="7">
        <v>0.35</v>
      </c>
      <c r="H80" s="1">
        <v>40</v>
      </c>
      <c r="I80" s="9" t="s">
        <v>46</v>
      </c>
      <c r="J80" s="1"/>
      <c r="K80" s="1">
        <v>10</v>
      </c>
      <c r="L80" s="1">
        <f t="shared" si="22"/>
        <v>2</v>
      </c>
      <c r="M80" s="1"/>
      <c r="N80" s="1"/>
      <c r="O80" s="1">
        <v>17</v>
      </c>
      <c r="P80" s="18"/>
      <c r="Q80" s="18"/>
      <c r="R80" s="1">
        <v>26</v>
      </c>
      <c r="S80" s="18"/>
      <c r="T80" s="1"/>
      <c r="U80" s="1">
        <f t="shared" si="23"/>
        <v>2.4</v>
      </c>
      <c r="V80" s="5"/>
      <c r="W80" s="5">
        <f t="shared" si="24"/>
        <v>0</v>
      </c>
      <c r="X80" s="23"/>
      <c r="Y80" s="23"/>
      <c r="Z80" s="1">
        <f t="shared" si="25"/>
        <v>22.083333333333336</v>
      </c>
      <c r="AA80" s="1">
        <f t="shared" si="26"/>
        <v>22.083333333333336</v>
      </c>
      <c r="AB80" s="1">
        <v>3.2</v>
      </c>
      <c r="AC80" s="1">
        <v>2</v>
      </c>
      <c r="AD80" s="1">
        <v>1.2</v>
      </c>
      <c r="AE80" s="1">
        <v>0</v>
      </c>
      <c r="AF80" s="1">
        <v>-0.6</v>
      </c>
      <c r="AG80" s="1">
        <v>-0.4</v>
      </c>
      <c r="AH80" s="1">
        <v>3.6</v>
      </c>
      <c r="AI80" s="1">
        <v>4.4000000000000004</v>
      </c>
      <c r="AJ80" s="1">
        <v>1</v>
      </c>
      <c r="AK80" s="1">
        <v>-0.4</v>
      </c>
      <c r="AL80" s="1" t="s">
        <v>119</v>
      </c>
      <c r="AM80" s="1">
        <f t="shared" si="27"/>
        <v>0</v>
      </c>
      <c r="AN80" s="1">
        <f t="shared" si="28"/>
        <v>0.84</v>
      </c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 t="s">
        <v>120</v>
      </c>
      <c r="B81" s="1" t="s">
        <v>40</v>
      </c>
      <c r="C81" s="1">
        <v>19</v>
      </c>
      <c r="D81" s="1">
        <v>36</v>
      </c>
      <c r="E81" s="1">
        <v>14</v>
      </c>
      <c r="F81" s="1">
        <v>19</v>
      </c>
      <c r="G81" s="7">
        <v>0.35</v>
      </c>
      <c r="H81" s="1">
        <v>45</v>
      </c>
      <c r="I81" s="9" t="s">
        <v>46</v>
      </c>
      <c r="J81" s="1"/>
      <c r="K81" s="1">
        <v>16</v>
      </c>
      <c r="L81" s="1">
        <f t="shared" si="22"/>
        <v>-2</v>
      </c>
      <c r="M81" s="1"/>
      <c r="N81" s="1"/>
      <c r="O81" s="1">
        <v>15.74891774891775</v>
      </c>
      <c r="P81" s="18"/>
      <c r="Q81" s="18"/>
      <c r="R81" s="1">
        <v>0</v>
      </c>
      <c r="S81" s="18"/>
      <c r="T81" s="1"/>
      <c r="U81" s="1">
        <f t="shared" si="23"/>
        <v>2.8</v>
      </c>
      <c r="V81" s="5"/>
      <c r="W81" s="5">
        <f t="shared" si="24"/>
        <v>0</v>
      </c>
      <c r="X81" s="23"/>
      <c r="Y81" s="23"/>
      <c r="Z81" s="1">
        <f t="shared" si="25"/>
        <v>12.410327767470624</v>
      </c>
      <c r="AA81" s="1">
        <f t="shared" si="26"/>
        <v>12.410327767470624</v>
      </c>
      <c r="AB81" s="1">
        <v>2.6</v>
      </c>
      <c r="AC81" s="1">
        <v>6.6</v>
      </c>
      <c r="AD81" s="1">
        <v>10.6</v>
      </c>
      <c r="AE81" s="1">
        <v>11</v>
      </c>
      <c r="AF81" s="1">
        <v>11.8</v>
      </c>
      <c r="AG81" s="1">
        <v>10.199999999999999</v>
      </c>
      <c r="AH81" s="1">
        <v>11</v>
      </c>
      <c r="AI81" s="1">
        <v>7</v>
      </c>
      <c r="AJ81" s="1">
        <v>9.4</v>
      </c>
      <c r="AK81" s="1">
        <v>13</v>
      </c>
      <c r="AL81" s="1"/>
      <c r="AM81" s="1">
        <f t="shared" si="27"/>
        <v>0</v>
      </c>
      <c r="AN81" s="1">
        <f t="shared" si="28"/>
        <v>0.97999999999999987</v>
      </c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0" t="s">
        <v>121</v>
      </c>
      <c r="B82" s="10" t="s">
        <v>40</v>
      </c>
      <c r="C82" s="10"/>
      <c r="D82" s="10"/>
      <c r="E82" s="10"/>
      <c r="F82" s="10"/>
      <c r="G82" s="11">
        <v>0</v>
      </c>
      <c r="H82" s="10"/>
      <c r="I82" s="10" t="s">
        <v>36</v>
      </c>
      <c r="J82" s="10"/>
      <c r="K82" s="10"/>
      <c r="L82" s="10">
        <f t="shared" si="22"/>
        <v>0</v>
      </c>
      <c r="M82" s="10"/>
      <c r="N82" s="10"/>
      <c r="O82" s="10"/>
      <c r="P82" s="21"/>
      <c r="Q82" s="21"/>
      <c r="R82" s="10">
        <v>0</v>
      </c>
      <c r="S82" s="21"/>
      <c r="T82" s="10"/>
      <c r="U82" s="10">
        <f t="shared" si="23"/>
        <v>0</v>
      </c>
      <c r="V82" s="12"/>
      <c r="W82" s="5">
        <f t="shared" si="24"/>
        <v>0</v>
      </c>
      <c r="X82" s="23"/>
      <c r="Y82" s="24"/>
      <c r="Z82" s="1" t="e">
        <f t="shared" si="25"/>
        <v>#DIV/0!</v>
      </c>
      <c r="AA82" s="10" t="e">
        <f t="shared" si="26"/>
        <v>#DIV/0!</v>
      </c>
      <c r="AB82" s="10">
        <v>0</v>
      </c>
      <c r="AC82" s="10">
        <v>0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0" t="s">
        <v>41</v>
      </c>
      <c r="AM82" s="1">
        <f t="shared" si="27"/>
        <v>0</v>
      </c>
      <c r="AN82" s="1">
        <f t="shared" si="28"/>
        <v>0</v>
      </c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0" t="s">
        <v>122</v>
      </c>
      <c r="B83" s="10" t="s">
        <v>35</v>
      </c>
      <c r="C83" s="10"/>
      <c r="D83" s="10"/>
      <c r="E83" s="10"/>
      <c r="F83" s="10"/>
      <c r="G83" s="11">
        <v>0</v>
      </c>
      <c r="H83" s="10"/>
      <c r="I83" s="10" t="s">
        <v>36</v>
      </c>
      <c r="J83" s="10"/>
      <c r="K83" s="10"/>
      <c r="L83" s="10">
        <f t="shared" si="22"/>
        <v>0</v>
      </c>
      <c r="M83" s="10"/>
      <c r="N83" s="10"/>
      <c r="O83" s="10"/>
      <c r="P83" s="21"/>
      <c r="Q83" s="21"/>
      <c r="R83" s="10">
        <v>0</v>
      </c>
      <c r="S83" s="21"/>
      <c r="T83" s="10"/>
      <c r="U83" s="10">
        <f t="shared" si="23"/>
        <v>0</v>
      </c>
      <c r="V83" s="12"/>
      <c r="W83" s="5">
        <f t="shared" si="24"/>
        <v>0</v>
      </c>
      <c r="X83" s="23"/>
      <c r="Y83" s="24"/>
      <c r="Z83" s="1" t="e">
        <f t="shared" si="25"/>
        <v>#DIV/0!</v>
      </c>
      <c r="AA83" s="10" t="e">
        <f t="shared" si="26"/>
        <v>#DIV/0!</v>
      </c>
      <c r="AB83" s="10">
        <v>0</v>
      </c>
      <c r="AC83" s="10">
        <v>0</v>
      </c>
      <c r="AD83" s="10">
        <v>0</v>
      </c>
      <c r="AE83" s="10">
        <v>0</v>
      </c>
      <c r="AF83" s="10">
        <v>0</v>
      </c>
      <c r="AG83" s="10">
        <v>0</v>
      </c>
      <c r="AH83" s="10">
        <v>0</v>
      </c>
      <c r="AI83" s="10">
        <v>0</v>
      </c>
      <c r="AJ83" s="10">
        <v>0</v>
      </c>
      <c r="AK83" s="10">
        <v>0</v>
      </c>
      <c r="AL83" s="10" t="s">
        <v>41</v>
      </c>
      <c r="AM83" s="1">
        <f t="shared" si="27"/>
        <v>0</v>
      </c>
      <c r="AN83" s="1">
        <f t="shared" si="28"/>
        <v>0</v>
      </c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0" t="s">
        <v>123</v>
      </c>
      <c r="B84" s="10" t="s">
        <v>35</v>
      </c>
      <c r="C84" s="10"/>
      <c r="D84" s="10"/>
      <c r="E84" s="10"/>
      <c r="F84" s="10"/>
      <c r="G84" s="11">
        <v>0</v>
      </c>
      <c r="H84" s="10"/>
      <c r="I84" s="10" t="s">
        <v>36</v>
      </c>
      <c r="J84" s="10"/>
      <c r="K84" s="10"/>
      <c r="L84" s="10">
        <f t="shared" si="22"/>
        <v>0</v>
      </c>
      <c r="M84" s="10"/>
      <c r="N84" s="10"/>
      <c r="O84" s="10"/>
      <c r="P84" s="21"/>
      <c r="Q84" s="21"/>
      <c r="R84" s="10">
        <v>0</v>
      </c>
      <c r="S84" s="21"/>
      <c r="T84" s="10"/>
      <c r="U84" s="10">
        <f t="shared" si="23"/>
        <v>0</v>
      </c>
      <c r="V84" s="12"/>
      <c r="W84" s="5">
        <f t="shared" si="24"/>
        <v>0</v>
      </c>
      <c r="X84" s="23"/>
      <c r="Y84" s="24"/>
      <c r="Z84" s="1" t="e">
        <f t="shared" si="25"/>
        <v>#DIV/0!</v>
      </c>
      <c r="AA84" s="10" t="e">
        <f t="shared" si="26"/>
        <v>#DIV/0!</v>
      </c>
      <c r="AB84" s="10">
        <v>0</v>
      </c>
      <c r="AC84" s="10">
        <v>0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0" t="s">
        <v>41</v>
      </c>
      <c r="AM84" s="1">
        <f t="shared" si="27"/>
        <v>0</v>
      </c>
      <c r="AN84" s="1">
        <f t="shared" si="28"/>
        <v>0</v>
      </c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 t="s">
        <v>124</v>
      </c>
      <c r="B85" s="1" t="s">
        <v>35</v>
      </c>
      <c r="C85" s="1">
        <v>34.832999999999998</v>
      </c>
      <c r="D85" s="1">
        <v>346.64499999999998</v>
      </c>
      <c r="E85" s="1">
        <v>37.723999999999997</v>
      </c>
      <c r="F85" s="1">
        <v>312.149</v>
      </c>
      <c r="G85" s="7">
        <v>1</v>
      </c>
      <c r="H85" s="1">
        <v>60</v>
      </c>
      <c r="I85" s="1" t="s">
        <v>36</v>
      </c>
      <c r="J85" s="1"/>
      <c r="K85" s="1">
        <v>41.6</v>
      </c>
      <c r="L85" s="1">
        <f t="shared" si="22"/>
        <v>-3.8760000000000048</v>
      </c>
      <c r="M85" s="1"/>
      <c r="N85" s="1"/>
      <c r="O85" s="1">
        <v>30.76575472513327</v>
      </c>
      <c r="P85" s="18"/>
      <c r="Q85" s="18"/>
      <c r="R85" s="1">
        <v>0</v>
      </c>
      <c r="S85" s="18"/>
      <c r="T85" s="1"/>
      <c r="U85" s="1">
        <f t="shared" si="23"/>
        <v>7.5447999999999995</v>
      </c>
      <c r="V85" s="5"/>
      <c r="W85" s="5">
        <f t="shared" si="24"/>
        <v>0</v>
      </c>
      <c r="X85" s="23"/>
      <c r="Y85" s="23"/>
      <c r="Z85" s="1">
        <f t="shared" si="25"/>
        <v>45.450476450685677</v>
      </c>
      <c r="AA85" s="1">
        <f t="shared" si="26"/>
        <v>45.450476450685677</v>
      </c>
      <c r="AB85" s="1">
        <v>9.0503999999999998</v>
      </c>
      <c r="AC85" s="1">
        <v>31.274799999999999</v>
      </c>
      <c r="AD85" s="1">
        <v>38.356999999999999</v>
      </c>
      <c r="AE85" s="1">
        <v>28.520600000000002</v>
      </c>
      <c r="AF85" s="1">
        <v>36.330599999999997</v>
      </c>
      <c r="AG85" s="1">
        <v>35.1526</v>
      </c>
      <c r="AH85" s="1">
        <v>35.555399999999999</v>
      </c>
      <c r="AI85" s="1">
        <v>38.276200000000003</v>
      </c>
      <c r="AJ85" s="1">
        <v>32.9236</v>
      </c>
      <c r="AK85" s="1">
        <v>36.190600000000003</v>
      </c>
      <c r="AL85" s="1"/>
      <c r="AM85" s="1">
        <f t="shared" si="27"/>
        <v>0</v>
      </c>
      <c r="AN85" s="1">
        <f t="shared" si="28"/>
        <v>7.5447999999999995</v>
      </c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0" t="s">
        <v>125</v>
      </c>
      <c r="B86" s="10" t="s">
        <v>40</v>
      </c>
      <c r="C86" s="10"/>
      <c r="D86" s="10"/>
      <c r="E86" s="10"/>
      <c r="F86" s="10"/>
      <c r="G86" s="11">
        <v>0</v>
      </c>
      <c r="H86" s="10"/>
      <c r="I86" s="10" t="s">
        <v>36</v>
      </c>
      <c r="J86" s="10"/>
      <c r="K86" s="10"/>
      <c r="L86" s="10">
        <f t="shared" si="22"/>
        <v>0</v>
      </c>
      <c r="M86" s="10"/>
      <c r="N86" s="10"/>
      <c r="O86" s="10"/>
      <c r="P86" s="21"/>
      <c r="Q86" s="21"/>
      <c r="R86" s="10">
        <v>0</v>
      </c>
      <c r="S86" s="21"/>
      <c r="T86" s="10"/>
      <c r="U86" s="10">
        <f t="shared" si="23"/>
        <v>0</v>
      </c>
      <c r="V86" s="12"/>
      <c r="W86" s="5">
        <f t="shared" si="24"/>
        <v>0</v>
      </c>
      <c r="X86" s="23"/>
      <c r="Y86" s="24"/>
      <c r="Z86" s="1" t="e">
        <f t="shared" si="25"/>
        <v>#DIV/0!</v>
      </c>
      <c r="AA86" s="10" t="e">
        <f t="shared" si="26"/>
        <v>#DIV/0!</v>
      </c>
      <c r="AB86" s="10">
        <v>0</v>
      </c>
      <c r="AC86" s="10">
        <v>0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0</v>
      </c>
      <c r="AL86" s="10" t="s">
        <v>41</v>
      </c>
      <c r="AM86" s="1">
        <f t="shared" si="27"/>
        <v>0</v>
      </c>
      <c r="AN86" s="1">
        <f t="shared" si="28"/>
        <v>0</v>
      </c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 t="s">
        <v>126</v>
      </c>
      <c r="B87" s="1" t="s">
        <v>35</v>
      </c>
      <c r="C87" s="1">
        <v>473.935</v>
      </c>
      <c r="D87" s="1">
        <v>2700.2730000000001</v>
      </c>
      <c r="E87" s="1">
        <v>769.81200000000001</v>
      </c>
      <c r="F87" s="1">
        <v>1420.5409999999999</v>
      </c>
      <c r="G87" s="7">
        <v>1</v>
      </c>
      <c r="H87" s="1">
        <v>60</v>
      </c>
      <c r="I87" s="1" t="s">
        <v>36</v>
      </c>
      <c r="J87" s="1"/>
      <c r="K87" s="1">
        <v>1197.5</v>
      </c>
      <c r="L87" s="1">
        <f t="shared" si="22"/>
        <v>-427.68799999999999</v>
      </c>
      <c r="M87" s="1"/>
      <c r="N87" s="1"/>
      <c r="O87" s="1">
        <v>626.82223060072488</v>
      </c>
      <c r="P87" s="18"/>
      <c r="Q87" s="18"/>
      <c r="R87" s="1">
        <v>1861.153369399276</v>
      </c>
      <c r="S87" s="18"/>
      <c r="T87" s="1">
        <v>-390</v>
      </c>
      <c r="U87" s="1">
        <f t="shared" si="23"/>
        <v>153.9624</v>
      </c>
      <c r="V87" s="5"/>
      <c r="W87" s="5">
        <f t="shared" si="24"/>
        <v>0</v>
      </c>
      <c r="X87" s="23"/>
      <c r="Y87" s="23"/>
      <c r="Z87" s="1">
        <f t="shared" si="25"/>
        <v>22.853090105116578</v>
      </c>
      <c r="AA87" s="1">
        <f t="shared" si="26"/>
        <v>22.853090105116578</v>
      </c>
      <c r="AB87" s="1">
        <v>276.22120000000001</v>
      </c>
      <c r="AC87" s="1">
        <v>278.00040000000001</v>
      </c>
      <c r="AD87" s="1">
        <v>350.90559999999999</v>
      </c>
      <c r="AE87" s="1">
        <v>329.9796</v>
      </c>
      <c r="AF87" s="1">
        <v>326.053</v>
      </c>
      <c r="AG87" s="1">
        <v>345.89080000000001</v>
      </c>
      <c r="AH87" s="1">
        <v>302.62</v>
      </c>
      <c r="AI87" s="1">
        <v>310.3272</v>
      </c>
      <c r="AJ87" s="1">
        <v>282.59039999999999</v>
      </c>
      <c r="AK87" s="1">
        <v>311.91120000000001</v>
      </c>
      <c r="AL87" s="1"/>
      <c r="AM87" s="1">
        <f t="shared" si="27"/>
        <v>0</v>
      </c>
      <c r="AN87" s="1">
        <f t="shared" si="28"/>
        <v>153.9624</v>
      </c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 t="s">
        <v>127</v>
      </c>
      <c r="B88" s="1" t="s">
        <v>35</v>
      </c>
      <c r="C88" s="1">
        <v>439.36</v>
      </c>
      <c r="D88" s="1">
        <v>3351.049</v>
      </c>
      <c r="E88" s="1">
        <v>722.87300000000005</v>
      </c>
      <c r="F88" s="1">
        <v>2103.846</v>
      </c>
      <c r="G88" s="7">
        <v>1</v>
      </c>
      <c r="H88" s="1">
        <v>60</v>
      </c>
      <c r="I88" s="1" t="s">
        <v>36</v>
      </c>
      <c r="J88" s="1"/>
      <c r="K88" s="1">
        <v>724</v>
      </c>
      <c r="L88" s="1">
        <f t="shared" si="22"/>
        <v>-1.1269999999999527</v>
      </c>
      <c r="M88" s="1"/>
      <c r="N88" s="1"/>
      <c r="O88" s="1">
        <v>874.98797665822281</v>
      </c>
      <c r="P88" s="18"/>
      <c r="Q88" s="18"/>
      <c r="R88" s="1">
        <v>0</v>
      </c>
      <c r="S88" s="18"/>
      <c r="T88" s="1">
        <v>-360</v>
      </c>
      <c r="U88" s="1">
        <f t="shared" si="23"/>
        <v>144.5746</v>
      </c>
      <c r="V88" s="5"/>
      <c r="W88" s="5">
        <f t="shared" si="24"/>
        <v>0</v>
      </c>
      <c r="X88" s="23"/>
      <c r="Y88" s="23"/>
      <c r="Z88" s="1">
        <f t="shared" si="25"/>
        <v>18.114066901504295</v>
      </c>
      <c r="AA88" s="1">
        <f t="shared" si="26"/>
        <v>18.114066901504295</v>
      </c>
      <c r="AB88" s="1">
        <v>208.70779999999999</v>
      </c>
      <c r="AC88" s="1">
        <v>294.3168</v>
      </c>
      <c r="AD88" s="1">
        <v>304.10160000000002</v>
      </c>
      <c r="AE88" s="1">
        <v>228.40280000000001</v>
      </c>
      <c r="AF88" s="1">
        <v>232.9778</v>
      </c>
      <c r="AG88" s="1">
        <v>248.2516</v>
      </c>
      <c r="AH88" s="1">
        <v>249.66139999999999</v>
      </c>
      <c r="AI88" s="1">
        <v>205.2064</v>
      </c>
      <c r="AJ88" s="1">
        <v>161.07499999999999</v>
      </c>
      <c r="AK88" s="1">
        <v>169.74440000000001</v>
      </c>
      <c r="AL88" s="14" t="s">
        <v>165</v>
      </c>
      <c r="AM88" s="1">
        <f t="shared" si="27"/>
        <v>0</v>
      </c>
      <c r="AN88" s="1">
        <f t="shared" si="28"/>
        <v>144.5746</v>
      </c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 t="s">
        <v>128</v>
      </c>
      <c r="B89" s="1" t="s">
        <v>35</v>
      </c>
      <c r="C89" s="1">
        <v>1197.05</v>
      </c>
      <c r="D89" s="1">
        <v>2959.875</v>
      </c>
      <c r="E89" s="1">
        <v>1299.866</v>
      </c>
      <c r="F89" s="1">
        <v>1710.1859999999999</v>
      </c>
      <c r="G89" s="7">
        <v>1</v>
      </c>
      <c r="H89" s="1">
        <v>60</v>
      </c>
      <c r="I89" s="1" t="s">
        <v>36</v>
      </c>
      <c r="J89" s="1"/>
      <c r="K89" s="1">
        <v>1307.5</v>
      </c>
      <c r="L89" s="1">
        <f t="shared" si="22"/>
        <v>-7.6340000000000146</v>
      </c>
      <c r="M89" s="1"/>
      <c r="N89" s="1"/>
      <c r="O89" s="1">
        <v>132.45345231080921</v>
      </c>
      <c r="P89" s="18">
        <v>450</v>
      </c>
      <c r="Q89" s="18">
        <v>405</v>
      </c>
      <c r="R89" s="1">
        <v>1261.4407476891911</v>
      </c>
      <c r="S89" s="18">
        <v>450</v>
      </c>
      <c r="T89" s="1">
        <v>-300</v>
      </c>
      <c r="U89" s="1">
        <f t="shared" si="23"/>
        <v>259.97320000000002</v>
      </c>
      <c r="V89" s="5"/>
      <c r="W89" s="5">
        <f t="shared" si="24"/>
        <v>0</v>
      </c>
      <c r="X89" s="23"/>
      <c r="Y89" s="23"/>
      <c r="Z89" s="1">
        <f t="shared" si="25"/>
        <v>14.247930940573875</v>
      </c>
      <c r="AA89" s="1">
        <f t="shared" si="26"/>
        <v>14.247930940573875</v>
      </c>
      <c r="AB89" s="1">
        <v>265.08339999999998</v>
      </c>
      <c r="AC89" s="1">
        <v>161.8836</v>
      </c>
      <c r="AD89" s="1">
        <v>16.910799999999998</v>
      </c>
      <c r="AE89" s="1">
        <v>161.07499999999999</v>
      </c>
      <c r="AF89" s="1">
        <v>363.33519999999999</v>
      </c>
      <c r="AG89" s="1">
        <v>362.65</v>
      </c>
      <c r="AH89" s="1">
        <v>268.4776</v>
      </c>
      <c r="AI89" s="1">
        <v>268.70100000000002</v>
      </c>
      <c r="AJ89" s="1">
        <v>349.07299999999998</v>
      </c>
      <c r="AK89" s="1">
        <v>386.24540000000002</v>
      </c>
      <c r="AL89" s="1" t="s">
        <v>129</v>
      </c>
      <c r="AM89" s="1">
        <f t="shared" si="27"/>
        <v>0</v>
      </c>
      <c r="AN89" s="1">
        <f t="shared" si="28"/>
        <v>259.97320000000002</v>
      </c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0" t="s">
        <v>130</v>
      </c>
      <c r="B90" s="10" t="s">
        <v>35</v>
      </c>
      <c r="C90" s="10"/>
      <c r="D90" s="10"/>
      <c r="E90" s="10"/>
      <c r="F90" s="10"/>
      <c r="G90" s="11">
        <v>0</v>
      </c>
      <c r="H90" s="10"/>
      <c r="I90" s="10" t="s">
        <v>36</v>
      </c>
      <c r="J90" s="10"/>
      <c r="K90" s="10"/>
      <c r="L90" s="10">
        <f t="shared" si="22"/>
        <v>0</v>
      </c>
      <c r="M90" s="10"/>
      <c r="N90" s="10"/>
      <c r="O90" s="10"/>
      <c r="P90" s="21"/>
      <c r="Q90" s="21"/>
      <c r="R90" s="10">
        <v>0</v>
      </c>
      <c r="S90" s="21"/>
      <c r="T90" s="10"/>
      <c r="U90" s="10">
        <f t="shared" si="23"/>
        <v>0</v>
      </c>
      <c r="V90" s="12"/>
      <c r="W90" s="5">
        <f t="shared" si="24"/>
        <v>0</v>
      </c>
      <c r="X90" s="23"/>
      <c r="Y90" s="24"/>
      <c r="Z90" s="1" t="e">
        <f t="shared" si="25"/>
        <v>#DIV/0!</v>
      </c>
      <c r="AA90" s="10" t="e">
        <f t="shared" si="26"/>
        <v>#DIV/0!</v>
      </c>
      <c r="AB90" s="10">
        <v>0</v>
      </c>
      <c r="AC90" s="10">
        <v>0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0</v>
      </c>
      <c r="AL90" s="10" t="s">
        <v>41</v>
      </c>
      <c r="AM90" s="1">
        <f t="shared" si="27"/>
        <v>0</v>
      </c>
      <c r="AN90" s="1">
        <f t="shared" si="28"/>
        <v>0</v>
      </c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 t="s">
        <v>131</v>
      </c>
      <c r="B91" s="1" t="s">
        <v>40</v>
      </c>
      <c r="C91" s="1"/>
      <c r="D91" s="1"/>
      <c r="E91" s="1"/>
      <c r="F91" s="1"/>
      <c r="G91" s="7">
        <v>0.3</v>
      </c>
      <c r="H91" s="1">
        <v>40</v>
      </c>
      <c r="I91" s="9" t="s">
        <v>46</v>
      </c>
      <c r="J91" s="1"/>
      <c r="K91" s="1"/>
      <c r="L91" s="1">
        <f t="shared" si="22"/>
        <v>0</v>
      </c>
      <c r="M91" s="1"/>
      <c r="N91" s="1"/>
      <c r="O91" s="1">
        <v>34</v>
      </c>
      <c r="P91" s="18"/>
      <c r="Q91" s="18"/>
      <c r="R91" s="1">
        <v>13</v>
      </c>
      <c r="S91" s="18"/>
      <c r="T91" s="1"/>
      <c r="U91" s="1">
        <f t="shared" si="23"/>
        <v>0</v>
      </c>
      <c r="V91" s="5">
        <v>10</v>
      </c>
      <c r="W91" s="5">
        <f>V91</f>
        <v>10</v>
      </c>
      <c r="X91" s="23"/>
      <c r="Y91" s="23"/>
      <c r="Z91" s="1" t="e">
        <f t="shared" si="25"/>
        <v>#DIV/0!</v>
      </c>
      <c r="AA91" s="1" t="e">
        <f t="shared" si="26"/>
        <v>#DIV/0!</v>
      </c>
      <c r="AB91" s="1">
        <v>0</v>
      </c>
      <c r="AC91" s="1">
        <v>0</v>
      </c>
      <c r="AD91" s="1">
        <v>0</v>
      </c>
      <c r="AE91" s="1">
        <v>-0.4</v>
      </c>
      <c r="AF91" s="1">
        <v>-1.6</v>
      </c>
      <c r="AG91" s="1">
        <v>-1.8</v>
      </c>
      <c r="AH91" s="1">
        <v>-1</v>
      </c>
      <c r="AI91" s="1">
        <v>-0.8</v>
      </c>
      <c r="AJ91" s="1">
        <v>-1.2</v>
      </c>
      <c r="AK91" s="1">
        <v>-0.4</v>
      </c>
      <c r="AL91" s="1"/>
      <c r="AM91" s="1">
        <f t="shared" si="27"/>
        <v>3</v>
      </c>
      <c r="AN91" s="1">
        <f t="shared" si="28"/>
        <v>0</v>
      </c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0" t="s">
        <v>132</v>
      </c>
      <c r="B92" s="10" t="s">
        <v>40</v>
      </c>
      <c r="C92" s="10"/>
      <c r="D92" s="10"/>
      <c r="E92" s="10"/>
      <c r="F92" s="10"/>
      <c r="G92" s="11">
        <v>0</v>
      </c>
      <c r="H92" s="10"/>
      <c r="I92" s="10" t="s">
        <v>36</v>
      </c>
      <c r="J92" s="10"/>
      <c r="K92" s="10"/>
      <c r="L92" s="10">
        <f t="shared" si="22"/>
        <v>0</v>
      </c>
      <c r="M92" s="10"/>
      <c r="N92" s="10"/>
      <c r="O92" s="10"/>
      <c r="P92" s="21"/>
      <c r="Q92" s="21"/>
      <c r="R92" s="10">
        <v>0</v>
      </c>
      <c r="S92" s="21"/>
      <c r="T92" s="10"/>
      <c r="U92" s="10">
        <f t="shared" si="23"/>
        <v>0</v>
      </c>
      <c r="V92" s="12"/>
      <c r="W92" s="5">
        <f t="shared" si="24"/>
        <v>0</v>
      </c>
      <c r="X92" s="23"/>
      <c r="Y92" s="24"/>
      <c r="Z92" s="1" t="e">
        <f t="shared" si="25"/>
        <v>#DIV/0!</v>
      </c>
      <c r="AA92" s="10" t="e">
        <f t="shared" si="26"/>
        <v>#DIV/0!</v>
      </c>
      <c r="AB92" s="10">
        <v>0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0</v>
      </c>
      <c r="AJ92" s="10">
        <v>0</v>
      </c>
      <c r="AK92" s="10">
        <v>0</v>
      </c>
      <c r="AL92" s="10" t="s">
        <v>41</v>
      </c>
      <c r="AM92" s="1">
        <f t="shared" si="27"/>
        <v>0</v>
      </c>
      <c r="AN92" s="1">
        <f t="shared" si="28"/>
        <v>0</v>
      </c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 t="s">
        <v>133</v>
      </c>
      <c r="B93" s="1" t="s">
        <v>40</v>
      </c>
      <c r="C93" s="1">
        <v>35</v>
      </c>
      <c r="D93" s="1">
        <v>18</v>
      </c>
      <c r="E93" s="1">
        <v>43</v>
      </c>
      <c r="F93" s="1"/>
      <c r="G93" s="7">
        <v>7.0000000000000007E-2</v>
      </c>
      <c r="H93" s="1">
        <v>90</v>
      </c>
      <c r="I93" s="9" t="s">
        <v>46</v>
      </c>
      <c r="J93" s="1"/>
      <c r="K93" s="1">
        <v>42</v>
      </c>
      <c r="L93" s="1">
        <f t="shared" si="22"/>
        <v>1</v>
      </c>
      <c r="M93" s="1"/>
      <c r="N93" s="1"/>
      <c r="O93" s="1">
        <v>53.65625</v>
      </c>
      <c r="P93" s="18"/>
      <c r="Q93" s="18"/>
      <c r="R93" s="1">
        <v>171.00687500000001</v>
      </c>
      <c r="S93" s="18"/>
      <c r="T93" s="1"/>
      <c r="U93" s="1">
        <f t="shared" si="23"/>
        <v>8.6</v>
      </c>
      <c r="V93" s="5"/>
      <c r="W93" s="5">
        <f t="shared" si="24"/>
        <v>0</v>
      </c>
      <c r="X93" s="23"/>
      <c r="Y93" s="23"/>
      <c r="Z93" s="1">
        <f t="shared" si="25"/>
        <v>26.123619186046515</v>
      </c>
      <c r="AA93" s="1">
        <f t="shared" si="26"/>
        <v>26.123619186046515</v>
      </c>
      <c r="AB93" s="1">
        <v>13.6</v>
      </c>
      <c r="AC93" s="1">
        <v>5.8</v>
      </c>
      <c r="AD93" s="1">
        <v>0</v>
      </c>
      <c r="AE93" s="1">
        <v>0</v>
      </c>
      <c r="AF93" s="1">
        <v>6.8</v>
      </c>
      <c r="AG93" s="1">
        <v>10.199999999999999</v>
      </c>
      <c r="AH93" s="1">
        <v>7.8</v>
      </c>
      <c r="AI93" s="1">
        <v>10.6</v>
      </c>
      <c r="AJ93" s="1">
        <v>21.2</v>
      </c>
      <c r="AK93" s="1">
        <v>22.4</v>
      </c>
      <c r="AL93" s="1"/>
      <c r="AM93" s="1">
        <f t="shared" si="27"/>
        <v>0</v>
      </c>
      <c r="AN93" s="1">
        <f t="shared" si="28"/>
        <v>0.60199999999999998</v>
      </c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 t="s">
        <v>134</v>
      </c>
      <c r="B94" s="1" t="s">
        <v>40</v>
      </c>
      <c r="C94" s="1">
        <v>119</v>
      </c>
      <c r="D94" s="1">
        <v>1</v>
      </c>
      <c r="E94" s="1">
        <v>78</v>
      </c>
      <c r="F94" s="1">
        <v>41</v>
      </c>
      <c r="G94" s="7">
        <v>7.0000000000000007E-2</v>
      </c>
      <c r="H94" s="1">
        <v>90</v>
      </c>
      <c r="I94" s="9" t="s">
        <v>46</v>
      </c>
      <c r="J94" s="1"/>
      <c r="K94" s="1">
        <v>77</v>
      </c>
      <c r="L94" s="1">
        <f t="shared" si="22"/>
        <v>1</v>
      </c>
      <c r="M94" s="1"/>
      <c r="N94" s="1"/>
      <c r="O94" s="1">
        <v>57.720930232558139</v>
      </c>
      <c r="P94" s="18"/>
      <c r="Q94" s="18"/>
      <c r="R94" s="1">
        <v>51.582790697674383</v>
      </c>
      <c r="S94" s="18"/>
      <c r="T94" s="1"/>
      <c r="U94" s="1">
        <f t="shared" si="23"/>
        <v>15.6</v>
      </c>
      <c r="V94" s="5">
        <f t="shared" ref="V94:V98" si="29">11*U94-R94-O94-F94</f>
        <v>21.296279069767472</v>
      </c>
      <c r="W94" s="5">
        <f t="shared" si="24"/>
        <v>21.296279069767472</v>
      </c>
      <c r="X94" s="23"/>
      <c r="Y94" s="23"/>
      <c r="Z94" s="1">
        <f>(F94+O94+P94+R94+S94+T94+W94)/U94</f>
        <v>11.000000000000002</v>
      </c>
      <c r="AA94" s="1">
        <f t="shared" si="26"/>
        <v>9.6348539057841371</v>
      </c>
      <c r="AB94" s="1">
        <v>11.2</v>
      </c>
      <c r="AC94" s="1">
        <v>5.8</v>
      </c>
      <c r="AD94" s="1">
        <v>8.4</v>
      </c>
      <c r="AE94" s="1">
        <v>15.2</v>
      </c>
      <c r="AF94" s="1">
        <v>24.6</v>
      </c>
      <c r="AG94" s="1">
        <v>21.6</v>
      </c>
      <c r="AH94" s="1">
        <v>6</v>
      </c>
      <c r="AI94" s="1">
        <v>1.4</v>
      </c>
      <c r="AJ94" s="1">
        <v>12.6</v>
      </c>
      <c r="AK94" s="1">
        <v>13.6</v>
      </c>
      <c r="AL94" s="1"/>
      <c r="AM94" s="1">
        <f t="shared" si="27"/>
        <v>1</v>
      </c>
      <c r="AN94" s="1">
        <f t="shared" si="28"/>
        <v>1.0920000000000001</v>
      </c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 t="s">
        <v>135</v>
      </c>
      <c r="B95" s="1" t="s">
        <v>40</v>
      </c>
      <c r="C95" s="1">
        <v>98</v>
      </c>
      <c r="D95" s="1">
        <v>144</v>
      </c>
      <c r="E95" s="1">
        <v>62</v>
      </c>
      <c r="F95" s="1">
        <v>111</v>
      </c>
      <c r="G95" s="7">
        <v>7.0000000000000007E-2</v>
      </c>
      <c r="H95" s="1">
        <v>90</v>
      </c>
      <c r="I95" s="9" t="s">
        <v>46</v>
      </c>
      <c r="J95" s="1"/>
      <c r="K95" s="1">
        <v>55</v>
      </c>
      <c r="L95" s="1">
        <f t="shared" si="22"/>
        <v>7</v>
      </c>
      <c r="M95" s="1"/>
      <c r="N95" s="1"/>
      <c r="O95" s="1">
        <v>56.718894009216591</v>
      </c>
      <c r="P95" s="18"/>
      <c r="Q95" s="18"/>
      <c r="R95" s="1">
        <v>0</v>
      </c>
      <c r="S95" s="18"/>
      <c r="T95" s="1"/>
      <c r="U95" s="1">
        <f t="shared" si="23"/>
        <v>12.4</v>
      </c>
      <c r="V95" s="5"/>
      <c r="W95" s="5">
        <f t="shared" si="24"/>
        <v>0</v>
      </c>
      <c r="X95" s="23"/>
      <c r="Y95" s="23"/>
      <c r="Z95" s="1">
        <f t="shared" si="25"/>
        <v>13.52571725880779</v>
      </c>
      <c r="AA95" s="1">
        <f t="shared" si="26"/>
        <v>13.52571725880779</v>
      </c>
      <c r="AB95" s="1">
        <v>14.2</v>
      </c>
      <c r="AC95" s="1">
        <v>13.4</v>
      </c>
      <c r="AD95" s="1">
        <v>12.6</v>
      </c>
      <c r="AE95" s="1">
        <v>15</v>
      </c>
      <c r="AF95" s="1">
        <v>27</v>
      </c>
      <c r="AG95" s="1">
        <v>21.8</v>
      </c>
      <c r="AH95" s="1">
        <v>19.8</v>
      </c>
      <c r="AI95" s="1">
        <v>22</v>
      </c>
      <c r="AJ95" s="1">
        <v>17.399999999999999</v>
      </c>
      <c r="AK95" s="1">
        <v>16.8</v>
      </c>
      <c r="AL95" s="1"/>
      <c r="AM95" s="1">
        <f t="shared" si="27"/>
        <v>0</v>
      </c>
      <c r="AN95" s="1">
        <f t="shared" si="28"/>
        <v>0.8680000000000001</v>
      </c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 t="s">
        <v>136</v>
      </c>
      <c r="B96" s="1" t="s">
        <v>40</v>
      </c>
      <c r="C96" s="1"/>
      <c r="D96" s="1">
        <v>144</v>
      </c>
      <c r="E96" s="1">
        <v>40</v>
      </c>
      <c r="F96" s="1">
        <v>31</v>
      </c>
      <c r="G96" s="7">
        <v>0.3</v>
      </c>
      <c r="H96" s="1"/>
      <c r="I96" s="1" t="s">
        <v>36</v>
      </c>
      <c r="J96" s="1"/>
      <c r="K96" s="1">
        <v>45</v>
      </c>
      <c r="L96" s="1">
        <f t="shared" si="22"/>
        <v>-5</v>
      </c>
      <c r="M96" s="1"/>
      <c r="N96" s="1"/>
      <c r="O96" s="1">
        <v>0</v>
      </c>
      <c r="P96" s="18"/>
      <c r="Q96" s="18"/>
      <c r="R96" s="1">
        <v>0</v>
      </c>
      <c r="S96" s="18"/>
      <c r="T96" s="1"/>
      <c r="U96" s="1">
        <f t="shared" si="23"/>
        <v>8</v>
      </c>
      <c r="V96" s="5">
        <f t="shared" si="29"/>
        <v>57</v>
      </c>
      <c r="W96" s="5">
        <f t="shared" si="24"/>
        <v>57</v>
      </c>
      <c r="X96" s="23"/>
      <c r="Y96" s="23"/>
      <c r="Z96" s="1">
        <f t="shared" si="25"/>
        <v>11</v>
      </c>
      <c r="AA96" s="1">
        <f t="shared" si="26"/>
        <v>3.875</v>
      </c>
      <c r="AB96" s="1">
        <v>3.2</v>
      </c>
      <c r="AC96" s="1">
        <v>0</v>
      </c>
      <c r="AD96" s="1">
        <v>0.8</v>
      </c>
      <c r="AE96" s="1">
        <v>12.6</v>
      </c>
      <c r="AF96" s="1">
        <v>15.8</v>
      </c>
      <c r="AG96" s="1">
        <v>4</v>
      </c>
      <c r="AH96" s="1">
        <v>0</v>
      </c>
      <c r="AI96" s="1">
        <v>0</v>
      </c>
      <c r="AJ96" s="1">
        <v>0</v>
      </c>
      <c r="AK96" s="1">
        <v>0</v>
      </c>
      <c r="AL96" s="1" t="s">
        <v>114</v>
      </c>
      <c r="AM96" s="1">
        <f t="shared" si="27"/>
        <v>17</v>
      </c>
      <c r="AN96" s="1">
        <f t="shared" si="28"/>
        <v>2.4</v>
      </c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 t="s">
        <v>137</v>
      </c>
      <c r="B97" s="1" t="s">
        <v>35</v>
      </c>
      <c r="C97" s="1"/>
      <c r="D97" s="1">
        <v>24.245000000000001</v>
      </c>
      <c r="E97" s="1"/>
      <c r="F97" s="13">
        <f>0+F123</f>
        <v>11.885</v>
      </c>
      <c r="G97" s="7">
        <v>1</v>
      </c>
      <c r="H97" s="1">
        <v>55</v>
      </c>
      <c r="I97" s="9" t="s">
        <v>46</v>
      </c>
      <c r="J97" s="1"/>
      <c r="K97" s="1"/>
      <c r="L97" s="1">
        <f t="shared" si="22"/>
        <v>0</v>
      </c>
      <c r="M97" s="1"/>
      <c r="N97" s="1"/>
      <c r="O97" s="1">
        <v>4</v>
      </c>
      <c r="P97" s="18"/>
      <c r="Q97" s="18"/>
      <c r="R97" s="1">
        <v>5.2</v>
      </c>
      <c r="S97" s="18"/>
      <c r="T97" s="1"/>
      <c r="U97" s="1">
        <f t="shared" si="23"/>
        <v>0</v>
      </c>
      <c r="V97" s="5"/>
      <c r="W97" s="5">
        <f>V97</f>
        <v>0</v>
      </c>
      <c r="X97" s="23"/>
      <c r="Y97" s="23"/>
      <c r="Z97" s="1" t="e">
        <f t="shared" si="25"/>
        <v>#DIV/0!</v>
      </c>
      <c r="AA97" s="1" t="e">
        <f t="shared" si="26"/>
        <v>#DIV/0!</v>
      </c>
      <c r="AB97" s="1">
        <v>0</v>
      </c>
      <c r="AC97" s="1">
        <v>-0.318</v>
      </c>
      <c r="AD97" s="1">
        <v>-0.318</v>
      </c>
      <c r="AE97" s="1">
        <v>1.2194</v>
      </c>
      <c r="AF97" s="1">
        <v>2.0341999999999998</v>
      </c>
      <c r="AG97" s="1">
        <v>0.81479999999999997</v>
      </c>
      <c r="AH97" s="1">
        <v>0.20419999999999999</v>
      </c>
      <c r="AI97" s="1">
        <v>0.2034</v>
      </c>
      <c r="AJ97" s="1">
        <v>0.40780000000000011</v>
      </c>
      <c r="AK97" s="1">
        <v>-0.11600000000000001</v>
      </c>
      <c r="AL97" s="1" t="s">
        <v>138</v>
      </c>
      <c r="AM97" s="1">
        <f t="shared" si="27"/>
        <v>0</v>
      </c>
      <c r="AN97" s="1">
        <f t="shared" si="28"/>
        <v>0</v>
      </c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 t="s">
        <v>139</v>
      </c>
      <c r="B98" s="1" t="s">
        <v>40</v>
      </c>
      <c r="C98" s="1">
        <v>51</v>
      </c>
      <c r="D98" s="1">
        <v>108</v>
      </c>
      <c r="E98" s="1">
        <v>50</v>
      </c>
      <c r="F98" s="1">
        <v>43</v>
      </c>
      <c r="G98" s="7">
        <v>0</v>
      </c>
      <c r="H98" s="1">
        <v>30</v>
      </c>
      <c r="I98" s="1" t="s">
        <v>36</v>
      </c>
      <c r="J98" s="1"/>
      <c r="K98" s="1">
        <v>87</v>
      </c>
      <c r="L98" s="1">
        <f t="shared" si="22"/>
        <v>-37</v>
      </c>
      <c r="M98" s="1"/>
      <c r="N98" s="1"/>
      <c r="O98" s="1">
        <v>0</v>
      </c>
      <c r="P98" s="18"/>
      <c r="Q98" s="18"/>
      <c r="R98" s="1">
        <v>0</v>
      </c>
      <c r="S98" s="18"/>
      <c r="T98" s="1"/>
      <c r="U98" s="1">
        <f t="shared" si="23"/>
        <v>10</v>
      </c>
      <c r="V98" s="5">
        <f t="shared" si="29"/>
        <v>67</v>
      </c>
      <c r="W98" s="5">
        <f>X98</f>
        <v>0</v>
      </c>
      <c r="X98" s="23">
        <v>0</v>
      </c>
      <c r="Y98" s="23" t="s">
        <v>187</v>
      </c>
      <c r="Z98" s="1">
        <f t="shared" si="25"/>
        <v>4.3</v>
      </c>
      <c r="AA98" s="1">
        <f t="shared" si="26"/>
        <v>4.3</v>
      </c>
      <c r="AB98" s="1">
        <v>0</v>
      </c>
      <c r="AC98" s="1">
        <v>1</v>
      </c>
      <c r="AD98" s="1">
        <v>1.4</v>
      </c>
      <c r="AE98" s="1">
        <v>0.4</v>
      </c>
      <c r="AF98" s="1">
        <v>11</v>
      </c>
      <c r="AG98" s="1">
        <v>1.4</v>
      </c>
      <c r="AH98" s="1">
        <v>3.2</v>
      </c>
      <c r="AI98" s="1">
        <v>3.6</v>
      </c>
      <c r="AJ98" s="1">
        <v>0.4</v>
      </c>
      <c r="AK98" s="1">
        <v>1.6</v>
      </c>
      <c r="AL98" s="1" t="s">
        <v>188</v>
      </c>
      <c r="AM98" s="1">
        <f t="shared" si="27"/>
        <v>0</v>
      </c>
      <c r="AN98" s="1">
        <f t="shared" si="28"/>
        <v>0</v>
      </c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0" t="s">
        <v>140</v>
      </c>
      <c r="B99" s="10" t="s">
        <v>40</v>
      </c>
      <c r="C99" s="10"/>
      <c r="D99" s="10"/>
      <c r="E99" s="10"/>
      <c r="F99" s="10"/>
      <c r="G99" s="11">
        <v>0</v>
      </c>
      <c r="H99" s="10"/>
      <c r="I99" s="10" t="s">
        <v>36</v>
      </c>
      <c r="J99" s="10"/>
      <c r="K99" s="10"/>
      <c r="L99" s="10">
        <f t="shared" si="22"/>
        <v>0</v>
      </c>
      <c r="M99" s="10"/>
      <c r="N99" s="10"/>
      <c r="O99" s="10"/>
      <c r="P99" s="21"/>
      <c r="Q99" s="21"/>
      <c r="R99" s="10">
        <v>0</v>
      </c>
      <c r="S99" s="21"/>
      <c r="T99" s="10"/>
      <c r="U99" s="10">
        <f t="shared" si="23"/>
        <v>0</v>
      </c>
      <c r="V99" s="12"/>
      <c r="W99" s="5">
        <f t="shared" si="24"/>
        <v>0</v>
      </c>
      <c r="X99" s="23"/>
      <c r="Y99" s="24"/>
      <c r="Z99" s="1" t="e">
        <f t="shared" si="25"/>
        <v>#DIV/0!</v>
      </c>
      <c r="AA99" s="10" t="e">
        <f t="shared" si="26"/>
        <v>#DIV/0!</v>
      </c>
      <c r="AB99" s="10">
        <v>0</v>
      </c>
      <c r="AC99" s="10">
        <v>0</v>
      </c>
      <c r="AD99" s="10">
        <v>0</v>
      </c>
      <c r="AE99" s="10">
        <v>0</v>
      </c>
      <c r="AF99" s="10">
        <v>0</v>
      </c>
      <c r="AG99" s="10">
        <v>0</v>
      </c>
      <c r="AH99" s="10">
        <v>0</v>
      </c>
      <c r="AI99" s="10">
        <v>0</v>
      </c>
      <c r="AJ99" s="10">
        <v>0</v>
      </c>
      <c r="AK99" s="10">
        <v>0</v>
      </c>
      <c r="AL99" s="10" t="s">
        <v>41</v>
      </c>
      <c r="AM99" s="1">
        <f t="shared" si="27"/>
        <v>0</v>
      </c>
      <c r="AN99" s="1">
        <f t="shared" si="28"/>
        <v>0</v>
      </c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 t="s">
        <v>141</v>
      </c>
      <c r="B100" s="1" t="s">
        <v>40</v>
      </c>
      <c r="C100" s="1">
        <v>19</v>
      </c>
      <c r="D100" s="1">
        <v>201</v>
      </c>
      <c r="E100" s="1">
        <v>57</v>
      </c>
      <c r="F100" s="1">
        <v>163</v>
      </c>
      <c r="G100" s="7">
        <v>0.08</v>
      </c>
      <c r="H100" s="1">
        <v>45</v>
      </c>
      <c r="I100" s="1" t="s">
        <v>36</v>
      </c>
      <c r="J100" s="1"/>
      <c r="K100" s="1">
        <v>55</v>
      </c>
      <c r="L100" s="1">
        <f t="shared" si="22"/>
        <v>2</v>
      </c>
      <c r="M100" s="1"/>
      <c r="N100" s="1"/>
      <c r="O100" s="1">
        <v>43.185948477751772</v>
      </c>
      <c r="P100" s="18"/>
      <c r="Q100" s="18"/>
      <c r="R100" s="1">
        <v>0</v>
      </c>
      <c r="S100" s="18"/>
      <c r="T100" s="1"/>
      <c r="U100" s="1">
        <f t="shared" si="23"/>
        <v>11.4</v>
      </c>
      <c r="V100" s="5"/>
      <c r="W100" s="5">
        <f t="shared" si="24"/>
        <v>0</v>
      </c>
      <c r="X100" s="23"/>
      <c r="Y100" s="23"/>
      <c r="Z100" s="1">
        <f t="shared" si="25"/>
        <v>18.086486708574714</v>
      </c>
      <c r="AA100" s="1">
        <f t="shared" si="26"/>
        <v>18.086486708574714</v>
      </c>
      <c r="AB100" s="1">
        <v>13</v>
      </c>
      <c r="AC100" s="1">
        <v>21.6</v>
      </c>
      <c r="AD100" s="1">
        <v>22.8</v>
      </c>
      <c r="AE100" s="1">
        <v>18</v>
      </c>
      <c r="AF100" s="1">
        <v>24.4</v>
      </c>
      <c r="AG100" s="1">
        <v>21.8</v>
      </c>
      <c r="AH100" s="1">
        <v>22.4</v>
      </c>
      <c r="AI100" s="1">
        <v>19.399999999999999</v>
      </c>
      <c r="AJ100" s="1">
        <v>14.4</v>
      </c>
      <c r="AK100" s="1">
        <v>21.6</v>
      </c>
      <c r="AL100" s="1"/>
      <c r="AM100" s="1">
        <f t="shared" si="27"/>
        <v>0</v>
      </c>
      <c r="AN100" s="1">
        <f t="shared" si="28"/>
        <v>0.91200000000000003</v>
      </c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 t="s">
        <v>142</v>
      </c>
      <c r="B101" s="1" t="s">
        <v>40</v>
      </c>
      <c r="C101" s="1">
        <v>77</v>
      </c>
      <c r="D101" s="1">
        <v>131</v>
      </c>
      <c r="E101" s="1">
        <v>53</v>
      </c>
      <c r="F101" s="1">
        <v>70</v>
      </c>
      <c r="G101" s="7">
        <v>0.08</v>
      </c>
      <c r="H101" s="1">
        <v>45</v>
      </c>
      <c r="I101" s="1" t="s">
        <v>36</v>
      </c>
      <c r="J101" s="1"/>
      <c r="K101" s="1">
        <v>47</v>
      </c>
      <c r="L101" s="1">
        <f t="shared" si="22"/>
        <v>6</v>
      </c>
      <c r="M101" s="1"/>
      <c r="N101" s="1"/>
      <c r="O101" s="1">
        <v>24.97568389057751</v>
      </c>
      <c r="P101" s="18"/>
      <c r="Q101" s="18"/>
      <c r="R101" s="1">
        <v>25.224316109422482</v>
      </c>
      <c r="S101" s="18"/>
      <c r="T101" s="1"/>
      <c r="U101" s="1">
        <f t="shared" si="23"/>
        <v>10.6</v>
      </c>
      <c r="V101" s="5"/>
      <c r="W101" s="5">
        <f t="shared" si="24"/>
        <v>0</v>
      </c>
      <c r="X101" s="23"/>
      <c r="Y101" s="23"/>
      <c r="Z101" s="1">
        <f t="shared" si="25"/>
        <v>11.339622641509433</v>
      </c>
      <c r="AA101" s="1">
        <f t="shared" si="26"/>
        <v>11.339622641509433</v>
      </c>
      <c r="AB101" s="1">
        <v>9.8000000000000007</v>
      </c>
      <c r="AC101" s="1">
        <v>16.600000000000001</v>
      </c>
      <c r="AD101" s="1">
        <v>17.600000000000001</v>
      </c>
      <c r="AE101" s="1">
        <v>11.2</v>
      </c>
      <c r="AF101" s="1">
        <v>18</v>
      </c>
      <c r="AG101" s="1">
        <v>19</v>
      </c>
      <c r="AH101" s="1">
        <v>18</v>
      </c>
      <c r="AI101" s="1">
        <v>15.6</v>
      </c>
      <c r="AJ101" s="1">
        <v>11.6</v>
      </c>
      <c r="AK101" s="1">
        <v>11.6</v>
      </c>
      <c r="AL101" s="1"/>
      <c r="AM101" s="1">
        <f t="shared" si="27"/>
        <v>0</v>
      </c>
      <c r="AN101" s="1">
        <f t="shared" si="28"/>
        <v>0.84799999999999998</v>
      </c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 t="s">
        <v>143</v>
      </c>
      <c r="B102" s="1" t="s">
        <v>40</v>
      </c>
      <c r="C102" s="1"/>
      <c r="D102" s="1">
        <v>32</v>
      </c>
      <c r="E102" s="1"/>
      <c r="F102" s="1">
        <v>32</v>
      </c>
      <c r="G102" s="7">
        <v>0.17</v>
      </c>
      <c r="H102" s="1">
        <v>30</v>
      </c>
      <c r="I102" s="1" t="s">
        <v>36</v>
      </c>
      <c r="J102" s="1"/>
      <c r="K102" s="1"/>
      <c r="L102" s="1">
        <f t="shared" ref="L102:L129" si="30">E102-K102</f>
        <v>0</v>
      </c>
      <c r="M102" s="1"/>
      <c r="N102" s="1"/>
      <c r="O102" s="1">
        <v>0</v>
      </c>
      <c r="P102" s="18"/>
      <c r="Q102" s="18"/>
      <c r="R102" s="1">
        <v>0</v>
      </c>
      <c r="S102" s="18"/>
      <c r="T102" s="1"/>
      <c r="U102" s="1">
        <f t="shared" ref="U102:U129" si="31">E102/5</f>
        <v>0</v>
      </c>
      <c r="V102" s="5"/>
      <c r="W102" s="5">
        <f t="shared" si="24"/>
        <v>0</v>
      </c>
      <c r="X102" s="23"/>
      <c r="Y102" s="23"/>
      <c r="Z102" s="1" t="e">
        <f t="shared" si="25"/>
        <v>#DIV/0!</v>
      </c>
      <c r="AA102" s="1" t="e">
        <f t="shared" si="26"/>
        <v>#DIV/0!</v>
      </c>
      <c r="AB102" s="1">
        <v>0</v>
      </c>
      <c r="AC102" s="1">
        <v>0</v>
      </c>
      <c r="AD102" s="1">
        <v>0.2</v>
      </c>
      <c r="AE102" s="1">
        <v>0.2</v>
      </c>
      <c r="AF102" s="1">
        <v>1</v>
      </c>
      <c r="AG102" s="1">
        <v>1</v>
      </c>
      <c r="AH102" s="1">
        <v>1.4</v>
      </c>
      <c r="AI102" s="1">
        <v>1.2</v>
      </c>
      <c r="AJ102" s="1">
        <v>0.4</v>
      </c>
      <c r="AK102" s="1">
        <v>3.6</v>
      </c>
      <c r="AL102" s="1" t="s">
        <v>144</v>
      </c>
      <c r="AM102" s="1">
        <f t="shared" si="27"/>
        <v>0</v>
      </c>
      <c r="AN102" s="1">
        <f t="shared" si="28"/>
        <v>0</v>
      </c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 t="s">
        <v>145</v>
      </c>
      <c r="B103" s="1" t="s">
        <v>35</v>
      </c>
      <c r="C103" s="1">
        <v>4.0000000000000001E-3</v>
      </c>
      <c r="D103" s="1">
        <v>101.875</v>
      </c>
      <c r="E103" s="1">
        <v>101.179</v>
      </c>
      <c r="F103" s="1">
        <v>-0.72399999999999998</v>
      </c>
      <c r="G103" s="7">
        <v>1</v>
      </c>
      <c r="H103" s="1">
        <v>40</v>
      </c>
      <c r="I103" s="9" t="s">
        <v>46</v>
      </c>
      <c r="J103" s="1"/>
      <c r="K103" s="1">
        <v>126.8</v>
      </c>
      <c r="L103" s="1">
        <f t="shared" si="30"/>
        <v>-25.620999999999995</v>
      </c>
      <c r="M103" s="1"/>
      <c r="N103" s="1"/>
      <c r="O103" s="1">
        <v>61.237747397578516</v>
      </c>
      <c r="P103" s="18"/>
      <c r="Q103" s="18"/>
      <c r="R103" s="1">
        <v>156</v>
      </c>
      <c r="S103" s="18"/>
      <c r="T103" s="1"/>
      <c r="U103" s="1">
        <f t="shared" si="31"/>
        <v>20.235800000000001</v>
      </c>
      <c r="V103" s="5">
        <v>25</v>
      </c>
      <c r="W103" s="5">
        <f t="shared" ref="W103:W105" si="32">X103</f>
        <v>250</v>
      </c>
      <c r="X103" s="23">
        <f>VLOOKUP(A103,[1]Sheet!$A:$V,22,0)</f>
        <v>250</v>
      </c>
      <c r="Y103" s="23"/>
      <c r="Z103" s="1">
        <f t="shared" si="25"/>
        <v>23.053882099920859</v>
      </c>
      <c r="AA103" s="1">
        <f t="shared" si="26"/>
        <v>10.699539795687768</v>
      </c>
      <c r="AB103" s="1">
        <v>19.062200000000001</v>
      </c>
      <c r="AC103" s="1">
        <v>4.2573999999999996</v>
      </c>
      <c r="AD103" s="1">
        <v>0.29620000000000002</v>
      </c>
      <c r="AE103" s="1">
        <v>12.997</v>
      </c>
      <c r="AF103" s="1">
        <v>22.168800000000001</v>
      </c>
      <c r="AG103" s="1">
        <v>13.851800000000001</v>
      </c>
      <c r="AH103" s="1">
        <v>7.4358000000000004</v>
      </c>
      <c r="AI103" s="1">
        <v>1.85</v>
      </c>
      <c r="AJ103" s="1">
        <v>1.1499999999999999</v>
      </c>
      <c r="AK103" s="1">
        <v>11.496</v>
      </c>
      <c r="AL103" s="1"/>
      <c r="AM103" s="1">
        <f t="shared" si="27"/>
        <v>250</v>
      </c>
      <c r="AN103" s="1">
        <f t="shared" si="28"/>
        <v>20.235800000000001</v>
      </c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 t="s">
        <v>146</v>
      </c>
      <c r="B104" s="1" t="s">
        <v>35</v>
      </c>
      <c r="C104" s="1">
        <v>-2.4E-2</v>
      </c>
      <c r="D104" s="1">
        <v>252.357</v>
      </c>
      <c r="E104" s="1">
        <v>-0.73699999999999999</v>
      </c>
      <c r="F104" s="1"/>
      <c r="G104" s="7">
        <v>1</v>
      </c>
      <c r="H104" s="1">
        <v>40</v>
      </c>
      <c r="I104" s="9" t="s">
        <v>46</v>
      </c>
      <c r="J104" s="1"/>
      <c r="K104" s="1">
        <v>13.8</v>
      </c>
      <c r="L104" s="1">
        <f t="shared" si="30"/>
        <v>-14.537000000000001</v>
      </c>
      <c r="M104" s="1"/>
      <c r="N104" s="1"/>
      <c r="O104" s="1">
        <v>57.042986938794677</v>
      </c>
      <c r="P104" s="18"/>
      <c r="Q104" s="18"/>
      <c r="R104" s="1">
        <v>91</v>
      </c>
      <c r="S104" s="18"/>
      <c r="T104" s="1"/>
      <c r="U104" s="1">
        <f t="shared" si="31"/>
        <v>-0.1474</v>
      </c>
      <c r="V104" s="5"/>
      <c r="W104" s="5">
        <f t="shared" si="32"/>
        <v>250</v>
      </c>
      <c r="X104" s="23">
        <f>VLOOKUP(A104,[1]Sheet!$A:$V,22,0)</f>
        <v>250</v>
      </c>
      <c r="Y104" s="23"/>
      <c r="Z104" s="1">
        <f t="shared" si="25"/>
        <v>-2700.4273198018636</v>
      </c>
      <c r="AA104" s="1">
        <f t="shared" si="26"/>
        <v>-1004.3621909009137</v>
      </c>
      <c r="AB104" s="1">
        <v>10.8888</v>
      </c>
      <c r="AC104" s="1">
        <v>13.965199999999999</v>
      </c>
      <c r="AD104" s="1">
        <v>19.686800000000002</v>
      </c>
      <c r="AE104" s="1">
        <v>16.466799999999999</v>
      </c>
      <c r="AF104" s="1">
        <v>7.055200000000001</v>
      </c>
      <c r="AG104" s="1">
        <v>12.9968</v>
      </c>
      <c r="AH104" s="1">
        <v>8.9847999999999999</v>
      </c>
      <c r="AI104" s="1">
        <v>1.7248000000000001</v>
      </c>
      <c r="AJ104" s="1">
        <v>5.3618000000000006</v>
      </c>
      <c r="AK104" s="1">
        <v>15.671200000000001</v>
      </c>
      <c r="AL104" s="1"/>
      <c r="AM104" s="1">
        <f t="shared" si="27"/>
        <v>250</v>
      </c>
      <c r="AN104" s="1">
        <f t="shared" si="28"/>
        <v>-0.1474</v>
      </c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 t="s">
        <v>147</v>
      </c>
      <c r="B105" s="1" t="s">
        <v>35</v>
      </c>
      <c r="C105" s="1"/>
      <c r="D105" s="1"/>
      <c r="E105" s="1">
        <v>-0.72</v>
      </c>
      <c r="F105" s="1"/>
      <c r="G105" s="7">
        <v>1</v>
      </c>
      <c r="H105" s="1">
        <v>40</v>
      </c>
      <c r="I105" s="9" t="s">
        <v>46</v>
      </c>
      <c r="J105" s="1"/>
      <c r="K105" s="1">
        <v>8.8000000000000007</v>
      </c>
      <c r="L105" s="1">
        <f t="shared" si="30"/>
        <v>-9.5200000000000014</v>
      </c>
      <c r="M105" s="1"/>
      <c r="N105" s="1"/>
      <c r="O105" s="1">
        <v>56.175616647149567</v>
      </c>
      <c r="P105" s="18"/>
      <c r="Q105" s="18"/>
      <c r="R105" s="1">
        <v>39</v>
      </c>
      <c r="S105" s="18"/>
      <c r="T105" s="1"/>
      <c r="U105" s="1">
        <f t="shared" si="31"/>
        <v>-0.14399999999999999</v>
      </c>
      <c r="V105" s="5"/>
      <c r="W105" s="5">
        <f t="shared" si="32"/>
        <v>250</v>
      </c>
      <c r="X105" s="23">
        <f>VLOOKUP(A105,[1]Sheet!$A:$V,22,0)</f>
        <v>250</v>
      </c>
      <c r="Y105" s="23"/>
      <c r="Z105" s="1">
        <f t="shared" si="25"/>
        <v>-2397.0528933829833</v>
      </c>
      <c r="AA105" s="1">
        <f t="shared" si="26"/>
        <v>-660.94178227187206</v>
      </c>
      <c r="AB105" s="1">
        <v>-0.14399999999999999</v>
      </c>
      <c r="AC105" s="1">
        <v>-0.28499999999999998</v>
      </c>
      <c r="AD105" s="1">
        <v>-0.71140000000000003</v>
      </c>
      <c r="AE105" s="1">
        <v>-0.71239999999999992</v>
      </c>
      <c r="AF105" s="1">
        <v>-0.42520000000000002</v>
      </c>
      <c r="AG105" s="1">
        <v>-0.4284</v>
      </c>
      <c r="AH105" s="1">
        <v>2.9601999999999999</v>
      </c>
      <c r="AI105" s="1">
        <v>5.3917999999999999</v>
      </c>
      <c r="AJ105" s="1">
        <v>4.0991999999999997</v>
      </c>
      <c r="AK105" s="1">
        <v>11.083399999999999</v>
      </c>
      <c r="AL105" s="1"/>
      <c r="AM105" s="1">
        <f t="shared" si="27"/>
        <v>250</v>
      </c>
      <c r="AN105" s="1">
        <f t="shared" si="28"/>
        <v>-0.14399999999999999</v>
      </c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0" t="s">
        <v>148</v>
      </c>
      <c r="B106" s="10" t="s">
        <v>40</v>
      </c>
      <c r="C106" s="10"/>
      <c r="D106" s="10"/>
      <c r="E106" s="10"/>
      <c r="F106" s="10"/>
      <c r="G106" s="11">
        <v>0</v>
      </c>
      <c r="H106" s="10"/>
      <c r="I106" s="10" t="s">
        <v>36</v>
      </c>
      <c r="J106" s="10"/>
      <c r="K106" s="10"/>
      <c r="L106" s="10">
        <f t="shared" si="30"/>
        <v>0</v>
      </c>
      <c r="M106" s="10"/>
      <c r="N106" s="10"/>
      <c r="O106" s="10"/>
      <c r="P106" s="21"/>
      <c r="Q106" s="21"/>
      <c r="R106" s="10">
        <v>0</v>
      </c>
      <c r="S106" s="21"/>
      <c r="T106" s="10"/>
      <c r="U106" s="10">
        <f t="shared" si="31"/>
        <v>0</v>
      </c>
      <c r="V106" s="12"/>
      <c r="W106" s="5">
        <f t="shared" si="24"/>
        <v>0</v>
      </c>
      <c r="X106" s="23"/>
      <c r="Y106" s="24"/>
      <c r="Z106" s="1" t="e">
        <f t="shared" si="25"/>
        <v>#DIV/0!</v>
      </c>
      <c r="AA106" s="10" t="e">
        <f t="shared" si="26"/>
        <v>#DIV/0!</v>
      </c>
      <c r="AB106" s="10">
        <v>0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0" t="s">
        <v>41</v>
      </c>
      <c r="AM106" s="1">
        <f t="shared" si="27"/>
        <v>0</v>
      </c>
      <c r="AN106" s="1">
        <f t="shared" si="28"/>
        <v>0</v>
      </c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0" t="s">
        <v>149</v>
      </c>
      <c r="B107" s="10" t="s">
        <v>35</v>
      </c>
      <c r="C107" s="10"/>
      <c r="D107" s="10"/>
      <c r="E107" s="10"/>
      <c r="F107" s="10"/>
      <c r="G107" s="11">
        <v>0</v>
      </c>
      <c r="H107" s="10"/>
      <c r="I107" s="10" t="s">
        <v>36</v>
      </c>
      <c r="J107" s="10"/>
      <c r="K107" s="10"/>
      <c r="L107" s="10">
        <f t="shared" si="30"/>
        <v>0</v>
      </c>
      <c r="M107" s="10"/>
      <c r="N107" s="10"/>
      <c r="O107" s="10"/>
      <c r="P107" s="21"/>
      <c r="Q107" s="21"/>
      <c r="R107" s="10">
        <v>0</v>
      </c>
      <c r="S107" s="21"/>
      <c r="T107" s="10"/>
      <c r="U107" s="10">
        <f t="shared" si="31"/>
        <v>0</v>
      </c>
      <c r="V107" s="12"/>
      <c r="W107" s="5">
        <f t="shared" si="24"/>
        <v>0</v>
      </c>
      <c r="X107" s="23"/>
      <c r="Y107" s="24"/>
      <c r="Z107" s="1" t="e">
        <f t="shared" si="25"/>
        <v>#DIV/0!</v>
      </c>
      <c r="AA107" s="10" t="e">
        <f t="shared" si="26"/>
        <v>#DIV/0!</v>
      </c>
      <c r="AB107" s="10">
        <v>0</v>
      </c>
      <c r="AC107" s="10">
        <v>0</v>
      </c>
      <c r="AD107" s="10">
        <v>0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0" t="s">
        <v>41</v>
      </c>
      <c r="AM107" s="1">
        <f t="shared" si="27"/>
        <v>0</v>
      </c>
      <c r="AN107" s="1">
        <f t="shared" si="28"/>
        <v>0</v>
      </c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 t="s">
        <v>150</v>
      </c>
      <c r="B108" s="1" t="s">
        <v>40</v>
      </c>
      <c r="C108" s="1">
        <v>-3</v>
      </c>
      <c r="D108" s="1">
        <v>5</v>
      </c>
      <c r="E108" s="1">
        <v>-1</v>
      </c>
      <c r="F108" s="1"/>
      <c r="G108" s="7">
        <v>0.28000000000000003</v>
      </c>
      <c r="H108" s="1">
        <v>40</v>
      </c>
      <c r="I108" s="9" t="s">
        <v>46</v>
      </c>
      <c r="J108" s="1"/>
      <c r="K108" s="1">
        <v>44</v>
      </c>
      <c r="L108" s="1">
        <f t="shared" si="30"/>
        <v>-45</v>
      </c>
      <c r="M108" s="1"/>
      <c r="N108" s="1"/>
      <c r="O108" s="1">
        <v>61.394285714285722</v>
      </c>
      <c r="P108" s="18"/>
      <c r="Q108" s="18"/>
      <c r="R108" s="1">
        <v>104</v>
      </c>
      <c r="S108" s="18"/>
      <c r="T108" s="1"/>
      <c r="U108" s="1">
        <f t="shared" si="31"/>
        <v>-0.2</v>
      </c>
      <c r="V108" s="5"/>
      <c r="W108" s="5">
        <f>X108</f>
        <v>250</v>
      </c>
      <c r="X108" s="23">
        <f>VLOOKUP(A108,[1]Sheet!$A:$V,22,0)</f>
        <v>250</v>
      </c>
      <c r="Y108" s="23"/>
      <c r="Z108" s="1">
        <f t="shared" si="25"/>
        <v>-2076.9714285714285</v>
      </c>
      <c r="AA108" s="1">
        <f t="shared" si="26"/>
        <v>-826.97142857142865</v>
      </c>
      <c r="AB108" s="1">
        <v>11</v>
      </c>
      <c r="AC108" s="1">
        <v>10.8</v>
      </c>
      <c r="AD108" s="1">
        <v>0.2</v>
      </c>
      <c r="AE108" s="1">
        <v>13.2</v>
      </c>
      <c r="AF108" s="1">
        <v>23.2</v>
      </c>
      <c r="AG108" s="1">
        <v>17.8</v>
      </c>
      <c r="AH108" s="1">
        <v>7.4</v>
      </c>
      <c r="AI108" s="1">
        <v>-2</v>
      </c>
      <c r="AJ108" s="1">
        <v>-3.4</v>
      </c>
      <c r="AK108" s="1">
        <v>-3.8</v>
      </c>
      <c r="AL108" s="1"/>
      <c r="AM108" s="1">
        <f t="shared" si="27"/>
        <v>70</v>
      </c>
      <c r="AN108" s="1">
        <f t="shared" si="28"/>
        <v>-5.6000000000000008E-2</v>
      </c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 t="s">
        <v>151</v>
      </c>
      <c r="B109" s="1" t="s">
        <v>40</v>
      </c>
      <c r="C109" s="1">
        <v>81</v>
      </c>
      <c r="D109" s="1">
        <v>457</v>
      </c>
      <c r="E109" s="1">
        <v>231</v>
      </c>
      <c r="F109" s="1">
        <v>6</v>
      </c>
      <c r="G109" s="7">
        <v>0.28000000000000003</v>
      </c>
      <c r="H109" s="1">
        <v>40</v>
      </c>
      <c r="I109" s="9" t="s">
        <v>46</v>
      </c>
      <c r="J109" s="1"/>
      <c r="K109" s="1">
        <v>225</v>
      </c>
      <c r="L109" s="1">
        <f t="shared" si="30"/>
        <v>6</v>
      </c>
      <c r="M109" s="1"/>
      <c r="N109" s="1"/>
      <c r="O109" s="1">
        <v>0</v>
      </c>
      <c r="P109" s="18"/>
      <c r="Q109" s="18"/>
      <c r="R109" s="1">
        <v>524.42000000000007</v>
      </c>
      <c r="S109" s="18"/>
      <c r="T109" s="1"/>
      <c r="U109" s="1">
        <f t="shared" si="31"/>
        <v>46.2</v>
      </c>
      <c r="V109" s="5"/>
      <c r="W109" s="5">
        <f t="shared" si="24"/>
        <v>0</v>
      </c>
      <c r="X109" s="23"/>
      <c r="Y109" s="23"/>
      <c r="Z109" s="1">
        <f t="shared" si="25"/>
        <v>11.480952380952381</v>
      </c>
      <c r="AA109" s="1">
        <f t="shared" si="26"/>
        <v>11.480952380952381</v>
      </c>
      <c r="AB109" s="1">
        <v>39.200000000000003</v>
      </c>
      <c r="AC109" s="1">
        <v>10.8</v>
      </c>
      <c r="AD109" s="1">
        <v>-0.6</v>
      </c>
      <c r="AE109" s="1">
        <v>14.4</v>
      </c>
      <c r="AF109" s="1">
        <v>25</v>
      </c>
      <c r="AG109" s="1">
        <v>16.600000000000001</v>
      </c>
      <c r="AH109" s="1">
        <v>8.8000000000000007</v>
      </c>
      <c r="AI109" s="1">
        <v>-1.2</v>
      </c>
      <c r="AJ109" s="1">
        <v>-1.4</v>
      </c>
      <c r="AK109" s="1">
        <v>0.6</v>
      </c>
      <c r="AL109" s="1"/>
      <c r="AM109" s="1">
        <f t="shared" si="27"/>
        <v>0</v>
      </c>
      <c r="AN109" s="1">
        <f t="shared" si="28"/>
        <v>12.936000000000002</v>
      </c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 t="s">
        <v>152</v>
      </c>
      <c r="B110" s="1" t="s">
        <v>40</v>
      </c>
      <c r="C110" s="1"/>
      <c r="D110" s="1">
        <v>176</v>
      </c>
      <c r="E110" s="1">
        <v>141</v>
      </c>
      <c r="F110" s="1">
        <v>7</v>
      </c>
      <c r="G110" s="7">
        <v>0.28000000000000003</v>
      </c>
      <c r="H110" s="1">
        <v>40</v>
      </c>
      <c r="I110" s="9" t="s">
        <v>46</v>
      </c>
      <c r="J110" s="1"/>
      <c r="K110" s="1">
        <v>171</v>
      </c>
      <c r="L110" s="1">
        <f t="shared" si="30"/>
        <v>-30</v>
      </c>
      <c r="M110" s="1"/>
      <c r="N110" s="1"/>
      <c r="O110" s="1">
        <v>31.38461538461538</v>
      </c>
      <c r="P110" s="18"/>
      <c r="Q110" s="18"/>
      <c r="R110" s="1">
        <v>91</v>
      </c>
      <c r="S110" s="18"/>
      <c r="T110" s="1"/>
      <c r="U110" s="1">
        <f t="shared" si="31"/>
        <v>28.2</v>
      </c>
      <c r="V110" s="5">
        <f t="shared" ref="V110:V117" si="33">11*U110-R110-O110-F110</f>
        <v>180.8153846153846</v>
      </c>
      <c r="W110" s="5">
        <f>X110</f>
        <v>250</v>
      </c>
      <c r="X110" s="23">
        <f>VLOOKUP(A110,[1]Sheet!$A:$V,22,0)</f>
        <v>250</v>
      </c>
      <c r="Y110" s="23"/>
      <c r="Z110" s="1">
        <f t="shared" si="25"/>
        <v>13.453355155482814</v>
      </c>
      <c r="AA110" s="1">
        <f t="shared" si="26"/>
        <v>4.5881069285324605</v>
      </c>
      <c r="AB110" s="1">
        <v>13.8</v>
      </c>
      <c r="AC110" s="1">
        <v>-0.4</v>
      </c>
      <c r="AD110" s="1">
        <v>-0.2</v>
      </c>
      <c r="AE110" s="1">
        <v>9.1999999999999993</v>
      </c>
      <c r="AF110" s="1">
        <v>19.600000000000001</v>
      </c>
      <c r="AG110" s="1">
        <v>12.2</v>
      </c>
      <c r="AH110" s="1">
        <v>4.8</v>
      </c>
      <c r="AI110" s="1">
        <v>0</v>
      </c>
      <c r="AJ110" s="1">
        <v>1.2</v>
      </c>
      <c r="AK110" s="1">
        <v>1.2</v>
      </c>
      <c r="AL110" s="1"/>
      <c r="AM110" s="1">
        <f t="shared" si="27"/>
        <v>70</v>
      </c>
      <c r="AN110" s="1">
        <f t="shared" si="28"/>
        <v>7.8960000000000008</v>
      </c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 t="s">
        <v>153</v>
      </c>
      <c r="B111" s="1" t="s">
        <v>40</v>
      </c>
      <c r="C111" s="1"/>
      <c r="D111" s="1">
        <v>40</v>
      </c>
      <c r="E111" s="1">
        <v>34</v>
      </c>
      <c r="F111" s="1">
        <v>10</v>
      </c>
      <c r="G111" s="7">
        <v>0.09</v>
      </c>
      <c r="H111" s="1">
        <v>45</v>
      </c>
      <c r="I111" s="1" t="s">
        <v>36</v>
      </c>
      <c r="J111" s="1"/>
      <c r="K111" s="1">
        <v>31</v>
      </c>
      <c r="L111" s="1">
        <f t="shared" si="30"/>
        <v>3</v>
      </c>
      <c r="M111" s="1"/>
      <c r="N111" s="1"/>
      <c r="O111" s="1">
        <v>40.033472803347252</v>
      </c>
      <c r="P111" s="18"/>
      <c r="Q111" s="18"/>
      <c r="R111" s="1">
        <v>14.96652719665275</v>
      </c>
      <c r="S111" s="18"/>
      <c r="T111" s="1"/>
      <c r="U111" s="1">
        <f t="shared" si="31"/>
        <v>6.8</v>
      </c>
      <c r="V111" s="5">
        <f t="shared" si="33"/>
        <v>9.7999999999999972</v>
      </c>
      <c r="W111" s="5">
        <f t="shared" si="24"/>
        <v>9.7999999999999972</v>
      </c>
      <c r="X111" s="23"/>
      <c r="Y111" s="23"/>
      <c r="Z111" s="1">
        <f t="shared" si="25"/>
        <v>11</v>
      </c>
      <c r="AA111" s="1">
        <f t="shared" si="26"/>
        <v>9.5588235294117645</v>
      </c>
      <c r="AB111" s="1">
        <v>6</v>
      </c>
      <c r="AC111" s="1">
        <v>8.1999999999999993</v>
      </c>
      <c r="AD111" s="1">
        <v>8.1999999999999993</v>
      </c>
      <c r="AE111" s="1">
        <v>8.8000000000000007</v>
      </c>
      <c r="AF111" s="1">
        <v>12.4</v>
      </c>
      <c r="AG111" s="1">
        <v>12.6</v>
      </c>
      <c r="AH111" s="1">
        <v>15</v>
      </c>
      <c r="AI111" s="1">
        <v>15</v>
      </c>
      <c r="AJ111" s="1">
        <v>10</v>
      </c>
      <c r="AK111" s="1">
        <v>8.1999999999999993</v>
      </c>
      <c r="AL111" s="1"/>
      <c r="AM111" s="1">
        <f t="shared" si="27"/>
        <v>1</v>
      </c>
      <c r="AN111" s="1">
        <f t="shared" si="28"/>
        <v>0.61199999999999999</v>
      </c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 t="s">
        <v>154</v>
      </c>
      <c r="B112" s="1" t="s">
        <v>35</v>
      </c>
      <c r="C112" s="1">
        <v>22.446000000000002</v>
      </c>
      <c r="D112" s="1">
        <v>110.504</v>
      </c>
      <c r="E112" s="1">
        <v>79.486999999999995</v>
      </c>
      <c r="F112" s="1">
        <v>12.715</v>
      </c>
      <c r="G112" s="7">
        <v>1</v>
      </c>
      <c r="H112" s="1">
        <v>60</v>
      </c>
      <c r="I112" s="1" t="s">
        <v>36</v>
      </c>
      <c r="J112" s="1"/>
      <c r="K112" s="1">
        <v>77.5</v>
      </c>
      <c r="L112" s="1">
        <f t="shared" si="30"/>
        <v>1.9869999999999948</v>
      </c>
      <c r="M112" s="1"/>
      <c r="N112" s="1"/>
      <c r="O112" s="1">
        <v>0</v>
      </c>
      <c r="P112" s="18"/>
      <c r="Q112" s="18"/>
      <c r="R112" s="1">
        <v>57.112000000000023</v>
      </c>
      <c r="S112" s="18"/>
      <c r="T112" s="1"/>
      <c r="U112" s="1">
        <f t="shared" si="31"/>
        <v>15.897399999999999</v>
      </c>
      <c r="V112" s="5">
        <f t="shared" si="33"/>
        <v>105.04439999999997</v>
      </c>
      <c r="W112" s="5">
        <f>V112+U112*$W$1</f>
        <v>105.04439999999997</v>
      </c>
      <c r="X112" s="23"/>
      <c r="Y112" s="23"/>
      <c r="Z112" s="1">
        <f t="shared" si="25"/>
        <v>11</v>
      </c>
      <c r="AA112" s="1">
        <f t="shared" si="26"/>
        <v>4.3923534666046038</v>
      </c>
      <c r="AB112" s="1">
        <v>9.0400000000000009</v>
      </c>
      <c r="AC112" s="1">
        <v>5.0895999999999999</v>
      </c>
      <c r="AD112" s="1">
        <v>8.0502000000000002</v>
      </c>
      <c r="AE112" s="1">
        <v>10.552199999999999</v>
      </c>
      <c r="AF112" s="1">
        <v>11.1274</v>
      </c>
      <c r="AG112" s="1">
        <v>8.5960000000000001</v>
      </c>
      <c r="AH112" s="1">
        <v>6.4635999999999996</v>
      </c>
      <c r="AI112" s="1">
        <v>6.4147999999999996</v>
      </c>
      <c r="AJ112" s="1">
        <v>7.0069999999999997</v>
      </c>
      <c r="AK112" s="1">
        <v>6.0356000000000014</v>
      </c>
      <c r="AL112" s="1"/>
      <c r="AM112" s="1">
        <f t="shared" si="27"/>
        <v>105</v>
      </c>
      <c r="AN112" s="1">
        <f t="shared" si="28"/>
        <v>15.897399999999999</v>
      </c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 t="s">
        <v>155</v>
      </c>
      <c r="B113" s="1" t="s">
        <v>35</v>
      </c>
      <c r="C113" s="1"/>
      <c r="D113" s="1">
        <v>209.26400000000001</v>
      </c>
      <c r="E113" s="1">
        <v>62.323</v>
      </c>
      <c r="F113" s="1">
        <v>74.664000000000001</v>
      </c>
      <c r="G113" s="7">
        <v>1</v>
      </c>
      <c r="H113" s="1">
        <v>50</v>
      </c>
      <c r="I113" s="1" t="s">
        <v>36</v>
      </c>
      <c r="J113" s="1"/>
      <c r="K113" s="1">
        <v>62.5</v>
      </c>
      <c r="L113" s="1">
        <f t="shared" si="30"/>
        <v>-0.1769999999999996</v>
      </c>
      <c r="M113" s="1"/>
      <c r="N113" s="1"/>
      <c r="O113" s="1">
        <v>0</v>
      </c>
      <c r="P113" s="18"/>
      <c r="Q113" s="18"/>
      <c r="R113" s="1">
        <v>0</v>
      </c>
      <c r="S113" s="18"/>
      <c r="T113" s="1"/>
      <c r="U113" s="1">
        <f t="shared" si="31"/>
        <v>12.464600000000001</v>
      </c>
      <c r="V113" s="5">
        <f t="shared" si="33"/>
        <v>62.446600000000004</v>
      </c>
      <c r="W113" s="5">
        <f t="shared" si="24"/>
        <v>62.446600000000004</v>
      </c>
      <c r="X113" s="23"/>
      <c r="Y113" s="23"/>
      <c r="Z113" s="1">
        <f t="shared" si="25"/>
        <v>11</v>
      </c>
      <c r="AA113" s="1">
        <f t="shared" si="26"/>
        <v>5.9900839176547978</v>
      </c>
      <c r="AB113" s="1">
        <v>6.9792000000000014</v>
      </c>
      <c r="AC113" s="1">
        <v>2.5167999999999999</v>
      </c>
      <c r="AD113" s="1">
        <v>9.4036000000000008</v>
      </c>
      <c r="AE113" s="1">
        <v>18.6568</v>
      </c>
      <c r="AF113" s="1">
        <v>16.679200000000002</v>
      </c>
      <c r="AG113" s="1">
        <v>8.3925999999999998</v>
      </c>
      <c r="AH113" s="1">
        <v>11.4232</v>
      </c>
      <c r="AI113" s="1">
        <v>9.4489999999999998</v>
      </c>
      <c r="AJ113" s="1">
        <v>6.4813999999999989</v>
      </c>
      <c r="AK113" s="1">
        <v>7.4802000000000008</v>
      </c>
      <c r="AL113" s="1"/>
      <c r="AM113" s="1">
        <f t="shared" si="27"/>
        <v>62</v>
      </c>
      <c r="AN113" s="1">
        <f t="shared" si="28"/>
        <v>12.464600000000001</v>
      </c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 t="s">
        <v>156</v>
      </c>
      <c r="B114" s="1" t="s">
        <v>40</v>
      </c>
      <c r="C114" s="1">
        <v>29</v>
      </c>
      <c r="D114" s="1">
        <v>32</v>
      </c>
      <c r="E114" s="1">
        <v>28</v>
      </c>
      <c r="F114" s="1">
        <v>29</v>
      </c>
      <c r="G114" s="7">
        <v>0.09</v>
      </c>
      <c r="H114" s="1">
        <v>45</v>
      </c>
      <c r="I114" s="1" t="s">
        <v>36</v>
      </c>
      <c r="J114" s="1"/>
      <c r="K114" s="1">
        <v>39</v>
      </c>
      <c r="L114" s="1">
        <f t="shared" si="30"/>
        <v>-11</v>
      </c>
      <c r="M114" s="1"/>
      <c r="N114" s="1"/>
      <c r="O114" s="1">
        <v>106.5606382978724</v>
      </c>
      <c r="P114" s="18"/>
      <c r="Q114" s="18"/>
      <c r="R114" s="1">
        <v>10</v>
      </c>
      <c r="S114" s="18"/>
      <c r="T114" s="1"/>
      <c r="U114" s="1">
        <f t="shared" si="31"/>
        <v>5.6</v>
      </c>
      <c r="V114" s="5"/>
      <c r="W114" s="5">
        <f t="shared" si="24"/>
        <v>0</v>
      </c>
      <c r="X114" s="23"/>
      <c r="Y114" s="23"/>
      <c r="Z114" s="1">
        <f t="shared" si="25"/>
        <v>25.992971124620073</v>
      </c>
      <c r="AA114" s="1">
        <f t="shared" si="26"/>
        <v>25.992971124620073</v>
      </c>
      <c r="AB114" s="1">
        <v>10</v>
      </c>
      <c r="AC114" s="1">
        <v>13.8</v>
      </c>
      <c r="AD114" s="1">
        <v>9.1999999999999993</v>
      </c>
      <c r="AE114" s="1">
        <v>3.6</v>
      </c>
      <c r="AF114" s="1">
        <v>8.4</v>
      </c>
      <c r="AG114" s="1">
        <v>12.8</v>
      </c>
      <c r="AH114" s="1">
        <v>13.8</v>
      </c>
      <c r="AI114" s="1">
        <v>12</v>
      </c>
      <c r="AJ114" s="1">
        <v>7</v>
      </c>
      <c r="AK114" s="1">
        <v>7.6</v>
      </c>
      <c r="AL114" s="14" t="s">
        <v>165</v>
      </c>
      <c r="AM114" s="1">
        <f t="shared" si="27"/>
        <v>0</v>
      </c>
      <c r="AN114" s="1">
        <f t="shared" si="28"/>
        <v>0.504</v>
      </c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 t="s">
        <v>157</v>
      </c>
      <c r="B115" s="1" t="s">
        <v>40</v>
      </c>
      <c r="C115" s="1">
        <v>47</v>
      </c>
      <c r="D115" s="1">
        <v>3</v>
      </c>
      <c r="E115" s="1">
        <v>47</v>
      </c>
      <c r="F115" s="1">
        <v>-1</v>
      </c>
      <c r="G115" s="7">
        <v>0.09</v>
      </c>
      <c r="H115" s="1">
        <v>45</v>
      </c>
      <c r="I115" s="1" t="s">
        <v>36</v>
      </c>
      <c r="J115" s="1"/>
      <c r="K115" s="1">
        <v>42</v>
      </c>
      <c r="L115" s="1">
        <f t="shared" si="30"/>
        <v>5</v>
      </c>
      <c r="M115" s="1"/>
      <c r="N115" s="1"/>
      <c r="O115" s="1">
        <v>57.46829268292683</v>
      </c>
      <c r="P115" s="18"/>
      <c r="Q115" s="18"/>
      <c r="R115" s="1">
        <v>48.931707317073183</v>
      </c>
      <c r="S115" s="18"/>
      <c r="T115" s="1"/>
      <c r="U115" s="1">
        <f t="shared" si="31"/>
        <v>9.4</v>
      </c>
      <c r="V115" s="5"/>
      <c r="W115" s="5">
        <f t="shared" si="24"/>
        <v>0</v>
      </c>
      <c r="X115" s="23"/>
      <c r="Y115" s="23"/>
      <c r="Z115" s="1">
        <f t="shared" si="25"/>
        <v>11.212765957446809</v>
      </c>
      <c r="AA115" s="1">
        <f t="shared" si="26"/>
        <v>11.212765957446809</v>
      </c>
      <c r="AB115" s="1">
        <v>9.8000000000000007</v>
      </c>
      <c r="AC115" s="1">
        <v>10</v>
      </c>
      <c r="AD115" s="1">
        <v>7.2</v>
      </c>
      <c r="AE115" s="1">
        <v>4</v>
      </c>
      <c r="AF115" s="1">
        <v>11</v>
      </c>
      <c r="AG115" s="1">
        <v>14.6</v>
      </c>
      <c r="AH115" s="1">
        <v>14.6</v>
      </c>
      <c r="AI115" s="1">
        <v>14</v>
      </c>
      <c r="AJ115" s="1">
        <v>9.1999999999999993</v>
      </c>
      <c r="AK115" s="1">
        <v>12.2</v>
      </c>
      <c r="AL115" s="1"/>
      <c r="AM115" s="1">
        <f t="shared" si="27"/>
        <v>0</v>
      </c>
      <c r="AN115" s="1">
        <f t="shared" si="28"/>
        <v>0.84599999999999997</v>
      </c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 t="s">
        <v>158</v>
      </c>
      <c r="B116" s="1" t="s">
        <v>35</v>
      </c>
      <c r="C116" s="1">
        <v>56.688000000000002</v>
      </c>
      <c r="D116" s="1">
        <v>59.113</v>
      </c>
      <c r="E116" s="1">
        <v>64.638999999999996</v>
      </c>
      <c r="F116" s="1">
        <v>49.704999999999998</v>
      </c>
      <c r="G116" s="7">
        <v>1</v>
      </c>
      <c r="H116" s="1">
        <v>60</v>
      </c>
      <c r="I116" s="1" t="s">
        <v>36</v>
      </c>
      <c r="J116" s="1"/>
      <c r="K116" s="1">
        <v>59.2</v>
      </c>
      <c r="L116" s="1">
        <f t="shared" si="30"/>
        <v>5.438999999999993</v>
      </c>
      <c r="M116" s="1"/>
      <c r="N116" s="1"/>
      <c r="O116" s="1">
        <v>50.296173455809154</v>
      </c>
      <c r="P116" s="18"/>
      <c r="Q116" s="18"/>
      <c r="R116" s="1">
        <v>50.464426544190857</v>
      </c>
      <c r="S116" s="18"/>
      <c r="T116" s="1"/>
      <c r="U116" s="1">
        <f t="shared" si="31"/>
        <v>12.9278</v>
      </c>
      <c r="V116" s="5"/>
      <c r="W116" s="5">
        <f t="shared" si="24"/>
        <v>0</v>
      </c>
      <c r="X116" s="23"/>
      <c r="Y116" s="23"/>
      <c r="Z116" s="1">
        <f t="shared" si="25"/>
        <v>11.638917681276009</v>
      </c>
      <c r="AA116" s="1">
        <f t="shared" si="26"/>
        <v>11.638917681276009</v>
      </c>
      <c r="AB116" s="1">
        <v>12.5936</v>
      </c>
      <c r="AC116" s="1">
        <v>15.5222</v>
      </c>
      <c r="AD116" s="1">
        <v>15.4832</v>
      </c>
      <c r="AE116" s="1">
        <v>12.798999999999999</v>
      </c>
      <c r="AF116" s="1">
        <v>18.248999999999999</v>
      </c>
      <c r="AG116" s="1">
        <v>21.303999999999998</v>
      </c>
      <c r="AH116" s="1">
        <v>16.989799999999999</v>
      </c>
      <c r="AI116" s="1">
        <v>15.9558</v>
      </c>
      <c r="AJ116" s="1">
        <v>9.9768000000000008</v>
      </c>
      <c r="AK116" s="1">
        <v>13.449199999999999</v>
      </c>
      <c r="AL116" s="1"/>
      <c r="AM116" s="1">
        <f t="shared" si="27"/>
        <v>0</v>
      </c>
      <c r="AN116" s="1">
        <f t="shared" si="28"/>
        <v>12.9278</v>
      </c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 t="s">
        <v>159</v>
      </c>
      <c r="B117" s="1" t="s">
        <v>35</v>
      </c>
      <c r="C117" s="1">
        <v>44.167000000000002</v>
      </c>
      <c r="D117" s="1">
        <v>453.15199999999999</v>
      </c>
      <c r="E117" s="1">
        <v>112.8</v>
      </c>
      <c r="F117" s="1">
        <v>213.15799999999999</v>
      </c>
      <c r="G117" s="7">
        <v>1</v>
      </c>
      <c r="H117" s="1">
        <v>60</v>
      </c>
      <c r="I117" s="1" t="s">
        <v>36</v>
      </c>
      <c r="J117" s="1"/>
      <c r="K117" s="1">
        <v>106.4</v>
      </c>
      <c r="L117" s="1">
        <f t="shared" si="30"/>
        <v>6.3999999999999915</v>
      </c>
      <c r="M117" s="1"/>
      <c r="N117" s="1"/>
      <c r="O117" s="1">
        <v>0</v>
      </c>
      <c r="P117" s="18"/>
      <c r="Q117" s="18"/>
      <c r="R117" s="1">
        <v>0</v>
      </c>
      <c r="S117" s="18"/>
      <c r="T117" s="1"/>
      <c r="U117" s="1">
        <f t="shared" si="31"/>
        <v>22.56</v>
      </c>
      <c r="V117" s="5">
        <f t="shared" si="33"/>
        <v>35.00200000000001</v>
      </c>
      <c r="W117" s="5">
        <f>V117+U117*$W$1</f>
        <v>35.00200000000001</v>
      </c>
      <c r="X117" s="23"/>
      <c r="Y117" s="23"/>
      <c r="Z117" s="1">
        <f t="shared" si="25"/>
        <v>11</v>
      </c>
      <c r="AA117" s="1">
        <f t="shared" si="26"/>
        <v>9.4484929078014179</v>
      </c>
      <c r="AB117" s="1">
        <v>14.490399999999999</v>
      </c>
      <c r="AC117" s="1">
        <v>17.466999999999999</v>
      </c>
      <c r="AD117" s="1">
        <v>27.170999999999999</v>
      </c>
      <c r="AE117" s="1">
        <v>43.596200000000003</v>
      </c>
      <c r="AF117" s="1">
        <v>48.666800000000002</v>
      </c>
      <c r="AG117" s="1">
        <v>30.369199999999999</v>
      </c>
      <c r="AH117" s="1">
        <v>23.996400000000001</v>
      </c>
      <c r="AI117" s="1">
        <v>29.323</v>
      </c>
      <c r="AJ117" s="1">
        <v>27.450399999999998</v>
      </c>
      <c r="AK117" s="1">
        <v>22.645399999999999</v>
      </c>
      <c r="AL117" s="1"/>
      <c r="AM117" s="1">
        <f t="shared" si="27"/>
        <v>35</v>
      </c>
      <c r="AN117" s="1">
        <f t="shared" si="28"/>
        <v>22.56</v>
      </c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 t="s">
        <v>160</v>
      </c>
      <c r="B118" s="1" t="s">
        <v>35</v>
      </c>
      <c r="C118" s="1">
        <v>16.52</v>
      </c>
      <c r="D118" s="1">
        <v>109.107</v>
      </c>
      <c r="E118" s="1">
        <v>23.395</v>
      </c>
      <c r="F118" s="1">
        <v>69.727000000000004</v>
      </c>
      <c r="G118" s="7">
        <v>1</v>
      </c>
      <c r="H118" s="1">
        <v>60</v>
      </c>
      <c r="I118" s="1" t="s">
        <v>36</v>
      </c>
      <c r="J118" s="1"/>
      <c r="K118" s="1">
        <v>22.2</v>
      </c>
      <c r="L118" s="1">
        <f t="shared" si="30"/>
        <v>1.1950000000000003</v>
      </c>
      <c r="M118" s="1"/>
      <c r="N118" s="1"/>
      <c r="O118" s="1">
        <v>0</v>
      </c>
      <c r="P118" s="18"/>
      <c r="Q118" s="18"/>
      <c r="R118" s="1">
        <v>0</v>
      </c>
      <c r="S118" s="18"/>
      <c r="T118" s="1"/>
      <c r="U118" s="1">
        <f t="shared" si="31"/>
        <v>4.6790000000000003</v>
      </c>
      <c r="V118" s="5"/>
      <c r="W118" s="5">
        <f t="shared" si="24"/>
        <v>0</v>
      </c>
      <c r="X118" s="23"/>
      <c r="Y118" s="23"/>
      <c r="Z118" s="1">
        <f t="shared" si="25"/>
        <v>14.902115836717247</v>
      </c>
      <c r="AA118" s="1">
        <f t="shared" si="26"/>
        <v>14.902115836717247</v>
      </c>
      <c r="AB118" s="1">
        <v>3.8368000000000002</v>
      </c>
      <c r="AC118" s="1">
        <v>2.1898</v>
      </c>
      <c r="AD118" s="1">
        <v>5.8907999999999996</v>
      </c>
      <c r="AE118" s="1">
        <v>10.9154</v>
      </c>
      <c r="AF118" s="1">
        <v>11.5212</v>
      </c>
      <c r="AG118" s="1">
        <v>7.3034000000000008</v>
      </c>
      <c r="AH118" s="1">
        <v>5.2080000000000002</v>
      </c>
      <c r="AI118" s="1">
        <v>6.9459999999999997</v>
      </c>
      <c r="AJ118" s="1">
        <v>7.2998000000000003</v>
      </c>
      <c r="AK118" s="1">
        <v>8.6598000000000006</v>
      </c>
      <c r="AL118" s="1"/>
      <c r="AM118" s="1">
        <f t="shared" si="27"/>
        <v>0</v>
      </c>
      <c r="AN118" s="1">
        <f t="shared" si="28"/>
        <v>4.6790000000000003</v>
      </c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 t="s">
        <v>161</v>
      </c>
      <c r="B119" s="1" t="s">
        <v>35</v>
      </c>
      <c r="C119" s="1">
        <v>1591.829</v>
      </c>
      <c r="D119" s="1">
        <v>514.22900000000004</v>
      </c>
      <c r="E119" s="1">
        <v>675.20899999999995</v>
      </c>
      <c r="F119" s="1">
        <v>202.53800000000001</v>
      </c>
      <c r="G119" s="7">
        <v>1</v>
      </c>
      <c r="H119" s="1">
        <v>60</v>
      </c>
      <c r="I119" s="1" t="s">
        <v>36</v>
      </c>
      <c r="J119" s="1"/>
      <c r="K119" s="1">
        <v>665</v>
      </c>
      <c r="L119" s="1">
        <f t="shared" si="30"/>
        <v>10.208999999999946</v>
      </c>
      <c r="M119" s="1"/>
      <c r="N119" s="1"/>
      <c r="O119" s="1">
        <v>0</v>
      </c>
      <c r="P119" s="18">
        <v>150</v>
      </c>
      <c r="Q119" s="18"/>
      <c r="R119" s="1">
        <v>1658.8091999999999</v>
      </c>
      <c r="S119" s="18"/>
      <c r="T119" s="1"/>
      <c r="U119" s="1">
        <f t="shared" si="31"/>
        <v>135.04179999999999</v>
      </c>
      <c r="V119" s="5"/>
      <c r="W119" s="5">
        <f t="shared" si="24"/>
        <v>0</v>
      </c>
      <c r="X119" s="23"/>
      <c r="Y119" s="23"/>
      <c r="Z119" s="1">
        <f t="shared" si="25"/>
        <v>14.894256445041462</v>
      </c>
      <c r="AA119" s="1">
        <f t="shared" si="26"/>
        <v>14.894256445041462</v>
      </c>
      <c r="AB119" s="1">
        <v>171.96340000000001</v>
      </c>
      <c r="AC119" s="1">
        <v>121.3768</v>
      </c>
      <c r="AD119" s="1">
        <v>-0.12620000000000001</v>
      </c>
      <c r="AE119" s="1">
        <v>16.735600000000002</v>
      </c>
      <c r="AF119" s="1">
        <v>189.98179999999999</v>
      </c>
      <c r="AG119" s="1">
        <v>232.40639999999999</v>
      </c>
      <c r="AH119" s="1">
        <v>104.16679999999999</v>
      </c>
      <c r="AI119" s="1">
        <v>38.833199999999998</v>
      </c>
      <c r="AJ119" s="1">
        <v>101.4106</v>
      </c>
      <c r="AK119" s="1">
        <v>172.1686</v>
      </c>
      <c r="AL119" s="1" t="s">
        <v>162</v>
      </c>
      <c r="AM119" s="1">
        <f t="shared" si="27"/>
        <v>0</v>
      </c>
      <c r="AN119" s="1">
        <f t="shared" si="28"/>
        <v>135.04179999999999</v>
      </c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 t="s">
        <v>163</v>
      </c>
      <c r="B120" s="1" t="s">
        <v>40</v>
      </c>
      <c r="C120" s="1">
        <v>210</v>
      </c>
      <c r="D120" s="1">
        <v>468</v>
      </c>
      <c r="E120" s="1">
        <v>73</v>
      </c>
      <c r="F120" s="1">
        <v>391</v>
      </c>
      <c r="G120" s="7">
        <v>0.25</v>
      </c>
      <c r="H120" s="1">
        <v>1096</v>
      </c>
      <c r="I120" s="1" t="s">
        <v>36</v>
      </c>
      <c r="J120" s="1"/>
      <c r="K120" s="1">
        <v>58</v>
      </c>
      <c r="L120" s="1">
        <f t="shared" si="30"/>
        <v>15</v>
      </c>
      <c r="M120" s="1"/>
      <c r="N120" s="1"/>
      <c r="O120" s="1">
        <v>0</v>
      </c>
      <c r="P120" s="18"/>
      <c r="Q120" s="18"/>
      <c r="R120" s="1">
        <v>0</v>
      </c>
      <c r="S120" s="18"/>
      <c r="T120" s="1"/>
      <c r="U120" s="1">
        <f t="shared" si="31"/>
        <v>14.6</v>
      </c>
      <c r="V120" s="5"/>
      <c r="W120" s="5">
        <f t="shared" si="24"/>
        <v>0</v>
      </c>
      <c r="X120" s="23"/>
      <c r="Y120" s="23"/>
      <c r="Z120" s="1">
        <f t="shared" si="25"/>
        <v>26.780821917808218</v>
      </c>
      <c r="AA120" s="1">
        <f t="shared" si="26"/>
        <v>26.780821917808218</v>
      </c>
      <c r="AB120" s="1">
        <v>13</v>
      </c>
      <c r="AC120" s="1">
        <v>12</v>
      </c>
      <c r="AD120" s="1">
        <v>8.1999999999999993</v>
      </c>
      <c r="AE120" s="1">
        <v>28.6</v>
      </c>
      <c r="AF120" s="1">
        <v>57.6</v>
      </c>
      <c r="AG120" s="1">
        <v>38</v>
      </c>
      <c r="AH120" s="1">
        <v>10.4</v>
      </c>
      <c r="AI120" s="1">
        <v>4.8</v>
      </c>
      <c r="AJ120" s="1">
        <v>28.2</v>
      </c>
      <c r="AK120" s="1">
        <v>28.8</v>
      </c>
      <c r="AL120" s="14" t="s">
        <v>165</v>
      </c>
      <c r="AM120" s="1">
        <f t="shared" si="27"/>
        <v>0</v>
      </c>
      <c r="AN120" s="1">
        <f t="shared" si="28"/>
        <v>3.65</v>
      </c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 t="s">
        <v>164</v>
      </c>
      <c r="B121" s="1" t="s">
        <v>40</v>
      </c>
      <c r="C121" s="1">
        <v>120</v>
      </c>
      <c r="D121" s="1">
        <v>108</v>
      </c>
      <c r="E121" s="1">
        <v>7</v>
      </c>
      <c r="F121" s="1">
        <v>223</v>
      </c>
      <c r="G121" s="7">
        <v>0.32500000000000001</v>
      </c>
      <c r="H121" s="1">
        <v>1096</v>
      </c>
      <c r="I121" s="1" t="s">
        <v>36</v>
      </c>
      <c r="J121" s="1"/>
      <c r="K121" s="1">
        <v>8</v>
      </c>
      <c r="L121" s="1">
        <f t="shared" si="30"/>
        <v>-1</v>
      </c>
      <c r="M121" s="1"/>
      <c r="N121" s="1"/>
      <c r="O121" s="1">
        <v>0</v>
      </c>
      <c r="P121" s="18"/>
      <c r="Q121" s="18"/>
      <c r="R121" s="1">
        <v>0</v>
      </c>
      <c r="S121" s="18"/>
      <c r="T121" s="1"/>
      <c r="U121" s="1">
        <f t="shared" si="31"/>
        <v>1.4</v>
      </c>
      <c r="V121" s="5"/>
      <c r="W121" s="5">
        <f t="shared" si="24"/>
        <v>0</v>
      </c>
      <c r="X121" s="23"/>
      <c r="Y121" s="23"/>
      <c r="Z121" s="1">
        <f t="shared" si="25"/>
        <v>159.28571428571431</v>
      </c>
      <c r="AA121" s="1">
        <f t="shared" si="26"/>
        <v>159.28571428571431</v>
      </c>
      <c r="AB121" s="1">
        <v>3.4</v>
      </c>
      <c r="AC121" s="1">
        <v>10.199999999999999</v>
      </c>
      <c r="AD121" s="1">
        <v>14.2</v>
      </c>
      <c r="AE121" s="1">
        <v>26.4</v>
      </c>
      <c r="AF121" s="1">
        <v>35</v>
      </c>
      <c r="AG121" s="1">
        <v>17</v>
      </c>
      <c r="AH121" s="1">
        <v>11.2</v>
      </c>
      <c r="AI121" s="1">
        <v>18</v>
      </c>
      <c r="AJ121" s="1">
        <v>20</v>
      </c>
      <c r="AK121" s="1">
        <v>16.399999999999999</v>
      </c>
      <c r="AL121" s="15" t="s">
        <v>176</v>
      </c>
      <c r="AM121" s="1">
        <f t="shared" si="27"/>
        <v>0</v>
      </c>
      <c r="AN121" s="1">
        <f t="shared" si="28"/>
        <v>0.45499999999999996</v>
      </c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 t="s">
        <v>166</v>
      </c>
      <c r="B122" s="1" t="s">
        <v>40</v>
      </c>
      <c r="C122" s="1">
        <v>144</v>
      </c>
      <c r="D122" s="1">
        <v>708</v>
      </c>
      <c r="E122" s="1">
        <v>66</v>
      </c>
      <c r="F122" s="1">
        <v>680</v>
      </c>
      <c r="G122" s="7">
        <v>0.25</v>
      </c>
      <c r="H122" s="1">
        <v>1096</v>
      </c>
      <c r="I122" s="1" t="s">
        <v>36</v>
      </c>
      <c r="J122" s="1"/>
      <c r="K122" s="1">
        <v>62</v>
      </c>
      <c r="L122" s="1">
        <f t="shared" si="30"/>
        <v>4</v>
      </c>
      <c r="M122" s="1"/>
      <c r="N122" s="1"/>
      <c r="O122" s="1">
        <v>0</v>
      </c>
      <c r="P122" s="18"/>
      <c r="Q122" s="18"/>
      <c r="R122" s="1">
        <v>0</v>
      </c>
      <c r="S122" s="18"/>
      <c r="T122" s="1"/>
      <c r="U122" s="1">
        <f t="shared" si="31"/>
        <v>13.2</v>
      </c>
      <c r="V122" s="5"/>
      <c r="W122" s="5">
        <f t="shared" si="24"/>
        <v>0</v>
      </c>
      <c r="X122" s="23"/>
      <c r="Y122" s="23"/>
      <c r="Z122" s="1">
        <f t="shared" si="25"/>
        <v>51.515151515151516</v>
      </c>
      <c r="AA122" s="1">
        <f t="shared" si="26"/>
        <v>51.515151515151516</v>
      </c>
      <c r="AB122" s="1">
        <v>8</v>
      </c>
      <c r="AC122" s="1">
        <v>17.600000000000001</v>
      </c>
      <c r="AD122" s="1">
        <v>27.4</v>
      </c>
      <c r="AE122" s="1">
        <v>50.6</v>
      </c>
      <c r="AF122" s="1">
        <v>68.599999999999994</v>
      </c>
      <c r="AG122" s="1">
        <v>45</v>
      </c>
      <c r="AH122" s="1">
        <v>43.2</v>
      </c>
      <c r="AI122" s="1">
        <v>44</v>
      </c>
      <c r="AJ122" s="1">
        <v>62.8</v>
      </c>
      <c r="AK122" s="1">
        <v>77.599999999999994</v>
      </c>
      <c r="AL122" s="15" t="s">
        <v>176</v>
      </c>
      <c r="AM122" s="1">
        <f t="shared" si="27"/>
        <v>0</v>
      </c>
      <c r="AN122" s="1">
        <f t="shared" si="28"/>
        <v>3.3</v>
      </c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0" t="s">
        <v>167</v>
      </c>
      <c r="B123" s="10" t="s">
        <v>35</v>
      </c>
      <c r="C123" s="10"/>
      <c r="D123" s="10">
        <v>11.885</v>
      </c>
      <c r="E123" s="10"/>
      <c r="F123" s="13">
        <v>11.885</v>
      </c>
      <c r="G123" s="11">
        <v>0</v>
      </c>
      <c r="H123" s="10"/>
      <c r="I123" s="10" t="s">
        <v>168</v>
      </c>
      <c r="J123" s="10" t="s">
        <v>137</v>
      </c>
      <c r="K123" s="10"/>
      <c r="L123" s="10">
        <f t="shared" si="30"/>
        <v>0</v>
      </c>
      <c r="M123" s="10"/>
      <c r="N123" s="10"/>
      <c r="O123" s="10"/>
      <c r="P123" s="21"/>
      <c r="Q123" s="21"/>
      <c r="R123" s="10"/>
      <c r="S123" s="21"/>
      <c r="T123" s="10"/>
      <c r="U123" s="10">
        <f t="shared" si="31"/>
        <v>0</v>
      </c>
      <c r="V123" s="12"/>
      <c r="W123" s="5">
        <f t="shared" si="24"/>
        <v>0</v>
      </c>
      <c r="X123" s="23"/>
      <c r="Y123" s="24"/>
      <c r="Z123" s="1" t="e">
        <f t="shared" si="25"/>
        <v>#DIV/0!</v>
      </c>
      <c r="AA123" s="10" t="e">
        <f t="shared" si="26"/>
        <v>#DIV/0!</v>
      </c>
      <c r="AB123" s="10">
        <v>0</v>
      </c>
      <c r="AC123" s="10">
        <v>0</v>
      </c>
      <c r="AD123" s="10">
        <v>0</v>
      </c>
      <c r="AE123" s="10">
        <v>0</v>
      </c>
      <c r="AF123" s="10">
        <v>0</v>
      </c>
      <c r="AG123" s="10">
        <v>0</v>
      </c>
      <c r="AH123" s="10">
        <v>0</v>
      </c>
      <c r="AI123" s="10">
        <v>0</v>
      </c>
      <c r="AJ123" s="10">
        <v>0</v>
      </c>
      <c r="AK123" s="10">
        <v>0</v>
      </c>
      <c r="AL123" s="10"/>
      <c r="AM123" s="1">
        <f t="shared" si="27"/>
        <v>0</v>
      </c>
      <c r="AN123" s="1">
        <f t="shared" si="28"/>
        <v>0</v>
      </c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 t="s">
        <v>169</v>
      </c>
      <c r="B124" s="1" t="s">
        <v>40</v>
      </c>
      <c r="C124" s="1"/>
      <c r="D124" s="1"/>
      <c r="E124" s="1">
        <v>-1</v>
      </c>
      <c r="F124" s="1"/>
      <c r="G124" s="7">
        <v>0.3</v>
      </c>
      <c r="H124" s="1">
        <v>40</v>
      </c>
      <c r="I124" s="9" t="s">
        <v>46</v>
      </c>
      <c r="J124" s="1"/>
      <c r="K124" s="1">
        <v>3</v>
      </c>
      <c r="L124" s="1">
        <f t="shared" si="30"/>
        <v>-4</v>
      </c>
      <c r="M124" s="1"/>
      <c r="N124" s="1"/>
      <c r="O124" s="1">
        <v>81.667774086378742</v>
      </c>
      <c r="P124" s="18"/>
      <c r="Q124" s="18"/>
      <c r="R124" s="1">
        <v>26</v>
      </c>
      <c r="S124" s="18"/>
      <c r="T124" s="1"/>
      <c r="U124" s="1">
        <f t="shared" si="31"/>
        <v>-0.2</v>
      </c>
      <c r="V124" s="5"/>
      <c r="W124" s="5">
        <f t="shared" si="24"/>
        <v>0</v>
      </c>
      <c r="X124" s="23"/>
      <c r="Y124" s="23"/>
      <c r="Z124" s="1">
        <f t="shared" si="25"/>
        <v>-538.33887043189372</v>
      </c>
      <c r="AA124" s="1">
        <f t="shared" si="26"/>
        <v>-538.33887043189372</v>
      </c>
      <c r="AB124" s="1">
        <v>-0.6</v>
      </c>
      <c r="AC124" s="1">
        <v>-0.6</v>
      </c>
      <c r="AD124" s="1">
        <v>-0.8</v>
      </c>
      <c r="AE124" s="1">
        <v>-1</v>
      </c>
      <c r="AF124" s="1">
        <v>-0.4</v>
      </c>
      <c r="AG124" s="1">
        <v>-0.2</v>
      </c>
      <c r="AH124" s="1">
        <v>-0.2</v>
      </c>
      <c r="AI124" s="1">
        <v>0</v>
      </c>
      <c r="AJ124" s="1">
        <v>21.8</v>
      </c>
      <c r="AK124" s="1">
        <v>46.2</v>
      </c>
      <c r="AL124" s="1"/>
      <c r="AM124" s="1">
        <f t="shared" si="27"/>
        <v>0</v>
      </c>
      <c r="AN124" s="1">
        <f t="shared" si="28"/>
        <v>-0.06</v>
      </c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 t="s">
        <v>170</v>
      </c>
      <c r="B125" s="1" t="s">
        <v>40</v>
      </c>
      <c r="C125" s="1"/>
      <c r="D125" s="1"/>
      <c r="E125" s="1"/>
      <c r="F125" s="1"/>
      <c r="G125" s="7">
        <v>0.3</v>
      </c>
      <c r="H125" s="1">
        <v>40</v>
      </c>
      <c r="I125" s="9" t="s">
        <v>46</v>
      </c>
      <c r="J125" s="1"/>
      <c r="K125" s="1">
        <v>3</v>
      </c>
      <c r="L125" s="1">
        <f t="shared" si="30"/>
        <v>-3</v>
      </c>
      <c r="M125" s="1"/>
      <c r="N125" s="1"/>
      <c r="O125" s="1">
        <v>66.827586206896541</v>
      </c>
      <c r="P125" s="18"/>
      <c r="Q125" s="18"/>
      <c r="R125" s="1">
        <v>26</v>
      </c>
      <c r="S125" s="18"/>
      <c r="T125" s="1"/>
      <c r="U125" s="1">
        <f t="shared" si="31"/>
        <v>0</v>
      </c>
      <c r="V125" s="5"/>
      <c r="W125" s="5">
        <f t="shared" si="24"/>
        <v>0</v>
      </c>
      <c r="X125" s="23"/>
      <c r="Y125" s="23"/>
      <c r="Z125" s="1" t="e">
        <f t="shared" si="25"/>
        <v>#DIV/0!</v>
      </c>
      <c r="AA125" s="1" t="e">
        <f t="shared" si="26"/>
        <v>#DIV/0!</v>
      </c>
      <c r="AB125" s="1">
        <v>0</v>
      </c>
      <c r="AC125" s="1">
        <v>0</v>
      </c>
      <c r="AD125" s="1">
        <v>-0.6</v>
      </c>
      <c r="AE125" s="1">
        <v>-0.8</v>
      </c>
      <c r="AF125" s="1">
        <v>-1</v>
      </c>
      <c r="AG125" s="1">
        <v>-1.8</v>
      </c>
      <c r="AH125" s="1">
        <v>-2</v>
      </c>
      <c r="AI125" s="1">
        <v>-1.8</v>
      </c>
      <c r="AJ125" s="1">
        <v>-2</v>
      </c>
      <c r="AK125" s="1">
        <v>-1.6</v>
      </c>
      <c r="AL125" s="1"/>
      <c r="AM125" s="1">
        <f t="shared" si="27"/>
        <v>0</v>
      </c>
      <c r="AN125" s="1">
        <f t="shared" si="28"/>
        <v>0</v>
      </c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 t="s">
        <v>171</v>
      </c>
      <c r="B126" s="1" t="s">
        <v>35</v>
      </c>
      <c r="C126" s="1">
        <v>5.15</v>
      </c>
      <c r="D126" s="1">
        <v>43.546999999999997</v>
      </c>
      <c r="E126" s="1">
        <v>7.0869999999999997</v>
      </c>
      <c r="F126" s="1">
        <v>39.341999999999999</v>
      </c>
      <c r="G126" s="7">
        <v>1</v>
      </c>
      <c r="H126" s="1">
        <v>50</v>
      </c>
      <c r="I126" s="1" t="s">
        <v>36</v>
      </c>
      <c r="J126" s="1"/>
      <c r="K126" s="1">
        <v>9.1999999999999993</v>
      </c>
      <c r="L126" s="1">
        <f t="shared" si="30"/>
        <v>-2.1129999999999995</v>
      </c>
      <c r="M126" s="1"/>
      <c r="N126" s="1"/>
      <c r="O126" s="1">
        <v>0</v>
      </c>
      <c r="P126" s="18"/>
      <c r="Q126" s="18"/>
      <c r="R126" s="1">
        <v>0</v>
      </c>
      <c r="S126" s="18"/>
      <c r="T126" s="1"/>
      <c r="U126" s="1">
        <f t="shared" si="31"/>
        <v>1.4174</v>
      </c>
      <c r="V126" s="5"/>
      <c r="W126" s="5">
        <f t="shared" si="24"/>
        <v>0</v>
      </c>
      <c r="X126" s="23"/>
      <c r="Y126" s="23"/>
      <c r="Z126" s="1">
        <f t="shared" si="25"/>
        <v>27.756455481868208</v>
      </c>
      <c r="AA126" s="1">
        <f t="shared" si="26"/>
        <v>27.756455481868208</v>
      </c>
      <c r="AB126" s="1">
        <v>0.68240000000000001</v>
      </c>
      <c r="AC126" s="1">
        <v>2.1141999999999999</v>
      </c>
      <c r="AD126" s="1">
        <v>3.4316</v>
      </c>
      <c r="AE126" s="1">
        <v>3.7071999999999998</v>
      </c>
      <c r="AF126" s="1">
        <v>4.2619999999999996</v>
      </c>
      <c r="AG126" s="1">
        <v>3.2035999999999998</v>
      </c>
      <c r="AH126" s="1">
        <v>1.8520000000000001</v>
      </c>
      <c r="AI126" s="1">
        <v>0.26700000000000002</v>
      </c>
      <c r="AJ126" s="1">
        <v>1.8872</v>
      </c>
      <c r="AK126" s="1">
        <v>2.9937999999999998</v>
      </c>
      <c r="AL126" s="1"/>
      <c r="AM126" s="1">
        <f t="shared" si="27"/>
        <v>0</v>
      </c>
      <c r="AN126" s="1">
        <f t="shared" si="28"/>
        <v>1.4174</v>
      </c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 t="s">
        <v>172</v>
      </c>
      <c r="B127" s="1" t="s">
        <v>40</v>
      </c>
      <c r="C127" s="1"/>
      <c r="D127" s="1"/>
      <c r="E127" s="1"/>
      <c r="F127" s="1"/>
      <c r="G127" s="7">
        <v>0.3</v>
      </c>
      <c r="H127" s="1">
        <v>40</v>
      </c>
      <c r="I127" s="9" t="s">
        <v>46</v>
      </c>
      <c r="J127" s="1"/>
      <c r="K127" s="1">
        <v>3</v>
      </c>
      <c r="L127" s="1">
        <f t="shared" si="30"/>
        <v>-3</v>
      </c>
      <c r="M127" s="1"/>
      <c r="N127" s="1"/>
      <c r="O127" s="1">
        <v>43</v>
      </c>
      <c r="P127" s="18"/>
      <c r="Q127" s="18"/>
      <c r="R127" s="1">
        <v>13</v>
      </c>
      <c r="S127" s="18"/>
      <c r="T127" s="1"/>
      <c r="U127" s="1">
        <f t="shared" si="31"/>
        <v>0</v>
      </c>
      <c r="V127" s="5"/>
      <c r="W127" s="5">
        <f t="shared" si="24"/>
        <v>0</v>
      </c>
      <c r="X127" s="23"/>
      <c r="Y127" s="23"/>
      <c r="Z127" s="1" t="e">
        <f t="shared" si="25"/>
        <v>#DIV/0!</v>
      </c>
      <c r="AA127" s="1" t="e">
        <f t="shared" si="26"/>
        <v>#DIV/0!</v>
      </c>
      <c r="AB127" s="1">
        <v>0</v>
      </c>
      <c r="AC127" s="1">
        <v>0</v>
      </c>
      <c r="AD127" s="1">
        <v>0</v>
      </c>
      <c r="AE127" s="1">
        <v>0</v>
      </c>
      <c r="AF127" s="1">
        <v>-0.2</v>
      </c>
      <c r="AG127" s="1">
        <v>-0.2</v>
      </c>
      <c r="AH127" s="1">
        <v>-0.4</v>
      </c>
      <c r="AI127" s="1">
        <v>0.4</v>
      </c>
      <c r="AJ127" s="1">
        <v>17.8</v>
      </c>
      <c r="AK127" s="1">
        <v>33.4</v>
      </c>
      <c r="AL127" s="1"/>
      <c r="AM127" s="1">
        <f t="shared" si="27"/>
        <v>0</v>
      </c>
      <c r="AN127" s="1">
        <f t="shared" si="28"/>
        <v>0</v>
      </c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 t="s">
        <v>173</v>
      </c>
      <c r="B128" s="1" t="s">
        <v>40</v>
      </c>
      <c r="C128" s="1">
        <v>18</v>
      </c>
      <c r="D128" s="1">
        <v>76</v>
      </c>
      <c r="E128" s="1">
        <v>50</v>
      </c>
      <c r="F128" s="1">
        <v>12</v>
      </c>
      <c r="G128" s="7">
        <v>0.12</v>
      </c>
      <c r="H128" s="1">
        <v>45</v>
      </c>
      <c r="I128" s="9" t="s">
        <v>46</v>
      </c>
      <c r="J128" s="1"/>
      <c r="K128" s="1">
        <v>44</v>
      </c>
      <c r="L128" s="1">
        <f t="shared" si="30"/>
        <v>6</v>
      </c>
      <c r="M128" s="1"/>
      <c r="N128" s="1"/>
      <c r="O128" s="1">
        <v>38.333333333333343</v>
      </c>
      <c r="P128" s="18"/>
      <c r="Q128" s="18"/>
      <c r="R128" s="1">
        <v>57.286666666666648</v>
      </c>
      <c r="S128" s="18"/>
      <c r="T128" s="1"/>
      <c r="U128" s="1">
        <f t="shared" si="31"/>
        <v>10</v>
      </c>
      <c r="V128" s="5">
        <v>10</v>
      </c>
      <c r="W128" s="5">
        <f t="shared" si="24"/>
        <v>10</v>
      </c>
      <c r="X128" s="23"/>
      <c r="Y128" s="23"/>
      <c r="Z128" s="1">
        <f t="shared" si="25"/>
        <v>11.761999999999999</v>
      </c>
      <c r="AA128" s="1">
        <f t="shared" si="26"/>
        <v>10.761999999999999</v>
      </c>
      <c r="AB128" s="1">
        <v>9.1999999999999993</v>
      </c>
      <c r="AC128" s="1">
        <v>3.6</v>
      </c>
      <c r="AD128" s="1">
        <v>-0.2</v>
      </c>
      <c r="AE128" s="1">
        <v>2.6</v>
      </c>
      <c r="AF128" s="1">
        <v>8</v>
      </c>
      <c r="AG128" s="1">
        <v>6.2</v>
      </c>
      <c r="AH128" s="1">
        <v>7.8</v>
      </c>
      <c r="AI128" s="1">
        <v>11.4</v>
      </c>
      <c r="AJ128" s="1">
        <v>9.4</v>
      </c>
      <c r="AK128" s="1">
        <v>6.8</v>
      </c>
      <c r="AL128" s="1"/>
      <c r="AM128" s="1">
        <f t="shared" si="27"/>
        <v>1</v>
      </c>
      <c r="AN128" s="1">
        <f t="shared" si="28"/>
        <v>1.2</v>
      </c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0" t="s">
        <v>174</v>
      </c>
      <c r="B129" s="10" t="s">
        <v>40</v>
      </c>
      <c r="C129" s="10">
        <v>-16</v>
      </c>
      <c r="D129" s="10">
        <v>70</v>
      </c>
      <c r="E129" s="13">
        <v>37</v>
      </c>
      <c r="F129" s="13">
        <v>12</v>
      </c>
      <c r="G129" s="11">
        <v>0</v>
      </c>
      <c r="H129" s="10"/>
      <c r="I129" s="10" t="s">
        <v>175</v>
      </c>
      <c r="J129" s="10" t="s">
        <v>92</v>
      </c>
      <c r="K129" s="10">
        <v>37</v>
      </c>
      <c r="L129" s="10">
        <f t="shared" si="30"/>
        <v>0</v>
      </c>
      <c r="M129" s="10"/>
      <c r="N129" s="10"/>
      <c r="O129" s="10"/>
      <c r="P129" s="21"/>
      <c r="Q129" s="21"/>
      <c r="R129" s="10">
        <v>0</v>
      </c>
      <c r="S129" s="21"/>
      <c r="T129" s="10"/>
      <c r="U129" s="10">
        <f t="shared" si="31"/>
        <v>7.4</v>
      </c>
      <c r="V129" s="12"/>
      <c r="W129" s="5">
        <f t="shared" si="24"/>
        <v>0</v>
      </c>
      <c r="X129" s="23"/>
      <c r="Y129" s="24"/>
      <c r="Z129" s="1">
        <f t="shared" si="25"/>
        <v>1.6216216216216215</v>
      </c>
      <c r="AA129" s="10">
        <f t="shared" si="26"/>
        <v>1.6216216216216215</v>
      </c>
      <c r="AB129" s="10">
        <v>6.2</v>
      </c>
      <c r="AC129" s="10">
        <v>15.4</v>
      </c>
      <c r="AD129" s="10">
        <v>18.399999999999999</v>
      </c>
      <c r="AE129" s="10">
        <v>15.4</v>
      </c>
      <c r="AF129" s="10">
        <v>18</v>
      </c>
      <c r="AG129" s="10">
        <v>14.4</v>
      </c>
      <c r="AH129" s="10">
        <v>2.8</v>
      </c>
      <c r="AI129" s="10">
        <v>0</v>
      </c>
      <c r="AJ129" s="10">
        <v>0</v>
      </c>
      <c r="AK129" s="10">
        <v>0</v>
      </c>
      <c r="AL129" s="10"/>
      <c r="AM129" s="1">
        <f t="shared" si="27"/>
        <v>0</v>
      </c>
      <c r="AN129" s="1">
        <f t="shared" si="28"/>
        <v>0</v>
      </c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8"/>
      <c r="Q130" s="18"/>
      <c r="R130" s="1"/>
      <c r="S130" s="18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8"/>
      <c r="Q131" s="18"/>
      <c r="R131" s="1"/>
      <c r="S131" s="18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8"/>
      <c r="Q132" s="18"/>
      <c r="R132" s="1"/>
      <c r="S132" s="18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8"/>
      <c r="Q133" s="18"/>
      <c r="R133" s="1"/>
      <c r="S133" s="18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8"/>
      <c r="Q134" s="18"/>
      <c r="R134" s="1"/>
      <c r="S134" s="18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8"/>
      <c r="Q135" s="18"/>
      <c r="R135" s="1"/>
      <c r="S135" s="18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8"/>
      <c r="Q136" s="18"/>
      <c r="R136" s="1"/>
      <c r="S136" s="18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8"/>
      <c r="Q137" s="18"/>
      <c r="R137" s="1"/>
      <c r="S137" s="18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8"/>
      <c r="Q138" s="18"/>
      <c r="R138" s="1"/>
      <c r="S138" s="18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8"/>
      <c r="Q139" s="18"/>
      <c r="R139" s="1"/>
      <c r="S139" s="18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8"/>
      <c r="Q140" s="18"/>
      <c r="R140" s="1"/>
      <c r="S140" s="18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8"/>
      <c r="Q141" s="18"/>
      <c r="R141" s="1"/>
      <c r="S141" s="18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8"/>
      <c r="Q142" s="18"/>
      <c r="R142" s="1"/>
      <c r="S142" s="18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8"/>
      <c r="Q143" s="18"/>
      <c r="R143" s="1"/>
      <c r="S143" s="18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8"/>
      <c r="Q144" s="18"/>
      <c r="R144" s="1"/>
      <c r="S144" s="18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8"/>
      <c r="Q145" s="18"/>
      <c r="R145" s="1"/>
      <c r="S145" s="18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8"/>
      <c r="Q146" s="18"/>
      <c r="R146" s="1"/>
      <c r="S146" s="18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8"/>
      <c r="Q147" s="18"/>
      <c r="R147" s="1"/>
      <c r="S147" s="18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8"/>
      <c r="Q148" s="18"/>
      <c r="R148" s="1"/>
      <c r="S148" s="18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8"/>
      <c r="Q149" s="18"/>
      <c r="R149" s="1"/>
      <c r="S149" s="18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8"/>
      <c r="Q150" s="18"/>
      <c r="R150" s="1"/>
      <c r="S150" s="18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8"/>
      <c r="Q151" s="18"/>
      <c r="R151" s="1"/>
      <c r="S151" s="18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8"/>
      <c r="Q152" s="18"/>
      <c r="R152" s="1"/>
      <c r="S152" s="18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8"/>
      <c r="Q153" s="18"/>
      <c r="R153" s="1"/>
      <c r="S153" s="18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8"/>
      <c r="Q154" s="18"/>
      <c r="R154" s="1"/>
      <c r="S154" s="18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8"/>
      <c r="Q155" s="18"/>
      <c r="R155" s="1"/>
      <c r="S155" s="18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8"/>
      <c r="Q156" s="18"/>
      <c r="R156" s="1"/>
      <c r="S156" s="18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8"/>
      <c r="Q157" s="18"/>
      <c r="R157" s="1"/>
      <c r="S157" s="18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8"/>
      <c r="Q158" s="18"/>
      <c r="R158" s="1"/>
      <c r="S158" s="18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8"/>
      <c r="Q159" s="18"/>
      <c r="R159" s="1"/>
      <c r="S159" s="18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8"/>
      <c r="Q160" s="18"/>
      <c r="R160" s="1"/>
      <c r="S160" s="18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8"/>
      <c r="Q161" s="18"/>
      <c r="R161" s="1"/>
      <c r="S161" s="18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8"/>
      <c r="Q162" s="18"/>
      <c r="R162" s="1"/>
      <c r="S162" s="18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8"/>
      <c r="Q163" s="18"/>
      <c r="R163" s="1"/>
      <c r="S163" s="18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8"/>
      <c r="Q164" s="18"/>
      <c r="R164" s="1"/>
      <c r="S164" s="18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8"/>
      <c r="Q165" s="18"/>
      <c r="R165" s="1"/>
      <c r="S165" s="18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8"/>
      <c r="Q166" s="18"/>
      <c r="R166" s="1"/>
      <c r="S166" s="18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8"/>
      <c r="Q167" s="18"/>
      <c r="R167" s="1"/>
      <c r="S167" s="18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8"/>
      <c r="Q168" s="18"/>
      <c r="R168" s="1"/>
      <c r="S168" s="18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8"/>
      <c r="Q169" s="18"/>
      <c r="R169" s="1"/>
      <c r="S169" s="18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8"/>
      <c r="Q170" s="18"/>
      <c r="R170" s="1"/>
      <c r="S170" s="18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8"/>
      <c r="Q171" s="18"/>
      <c r="R171" s="1"/>
      <c r="S171" s="18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8"/>
      <c r="Q172" s="18"/>
      <c r="R172" s="1"/>
      <c r="S172" s="18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8"/>
      <c r="Q173" s="18"/>
      <c r="R173" s="1"/>
      <c r="S173" s="18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8"/>
      <c r="Q174" s="18"/>
      <c r="R174" s="1"/>
      <c r="S174" s="18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8"/>
      <c r="Q175" s="18"/>
      <c r="R175" s="1"/>
      <c r="S175" s="18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8"/>
      <c r="Q176" s="18"/>
      <c r="R176" s="1"/>
      <c r="S176" s="18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8"/>
      <c r="Q177" s="18"/>
      <c r="R177" s="1"/>
      <c r="S177" s="18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8"/>
      <c r="Q178" s="18"/>
      <c r="R178" s="1"/>
      <c r="S178" s="18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8"/>
      <c r="Q179" s="18"/>
      <c r="R179" s="1"/>
      <c r="S179" s="18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8"/>
      <c r="Q180" s="18"/>
      <c r="R180" s="1"/>
      <c r="S180" s="18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8"/>
      <c r="Q181" s="18"/>
      <c r="R181" s="1"/>
      <c r="S181" s="18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8"/>
      <c r="Q182" s="18"/>
      <c r="R182" s="1"/>
      <c r="S182" s="18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8"/>
      <c r="Q183" s="18"/>
      <c r="R183" s="1"/>
      <c r="S183" s="18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8"/>
      <c r="Q184" s="18"/>
      <c r="R184" s="1"/>
      <c r="S184" s="18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8"/>
      <c r="Q185" s="18"/>
      <c r="R185" s="1"/>
      <c r="S185" s="18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8"/>
      <c r="Q186" s="18"/>
      <c r="R186" s="1"/>
      <c r="S186" s="18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8"/>
      <c r="Q187" s="18"/>
      <c r="R187" s="1"/>
      <c r="S187" s="18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8"/>
      <c r="Q188" s="18"/>
      <c r="R188" s="1"/>
      <c r="S188" s="18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8"/>
      <c r="Q189" s="18"/>
      <c r="R189" s="1"/>
      <c r="S189" s="18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8"/>
      <c r="Q190" s="18"/>
      <c r="R190" s="1"/>
      <c r="S190" s="18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8"/>
      <c r="Q191" s="18"/>
      <c r="R191" s="1"/>
      <c r="S191" s="18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8"/>
      <c r="Q192" s="18"/>
      <c r="R192" s="1"/>
      <c r="S192" s="18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8"/>
      <c r="Q193" s="18"/>
      <c r="R193" s="1"/>
      <c r="S193" s="18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8"/>
      <c r="Q194" s="18"/>
      <c r="R194" s="1"/>
      <c r="S194" s="18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8"/>
      <c r="Q195" s="18"/>
      <c r="R195" s="1"/>
      <c r="S195" s="18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8"/>
      <c r="Q196" s="18"/>
      <c r="R196" s="1"/>
      <c r="S196" s="18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8"/>
      <c r="Q197" s="18"/>
      <c r="R197" s="1"/>
      <c r="S197" s="18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8"/>
      <c r="Q198" s="18"/>
      <c r="R198" s="1"/>
      <c r="S198" s="18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8"/>
      <c r="Q199" s="18"/>
      <c r="R199" s="1"/>
      <c r="S199" s="18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8"/>
      <c r="Q200" s="18"/>
      <c r="R200" s="1"/>
      <c r="S200" s="18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8"/>
      <c r="Q201" s="18"/>
      <c r="R201" s="1"/>
      <c r="S201" s="18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8"/>
      <c r="Q202" s="18"/>
      <c r="R202" s="1"/>
      <c r="S202" s="18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8"/>
      <c r="Q203" s="18"/>
      <c r="R203" s="1"/>
      <c r="S203" s="18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8"/>
      <c r="Q204" s="18"/>
      <c r="R204" s="1"/>
      <c r="S204" s="18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8"/>
      <c r="Q205" s="18"/>
      <c r="R205" s="1"/>
      <c r="S205" s="18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8"/>
      <c r="Q206" s="18"/>
      <c r="R206" s="1"/>
      <c r="S206" s="18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8"/>
      <c r="Q207" s="18"/>
      <c r="R207" s="1"/>
      <c r="S207" s="18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8"/>
      <c r="Q208" s="18"/>
      <c r="R208" s="1"/>
      <c r="S208" s="18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8"/>
      <c r="Q209" s="18"/>
      <c r="R209" s="1"/>
      <c r="S209" s="18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8"/>
      <c r="Q210" s="18"/>
      <c r="R210" s="1"/>
      <c r="S210" s="18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8"/>
      <c r="Q211" s="18"/>
      <c r="R211" s="1"/>
      <c r="S211" s="18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8"/>
      <c r="Q212" s="18"/>
      <c r="R212" s="1"/>
      <c r="S212" s="18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8"/>
      <c r="Q213" s="18"/>
      <c r="R213" s="1"/>
      <c r="S213" s="18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8"/>
      <c r="Q214" s="18"/>
      <c r="R214" s="1"/>
      <c r="S214" s="18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8"/>
      <c r="Q215" s="18"/>
      <c r="R215" s="1"/>
      <c r="S215" s="18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8"/>
      <c r="Q216" s="18"/>
      <c r="R216" s="1"/>
      <c r="S216" s="18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8"/>
      <c r="Q217" s="18"/>
      <c r="R217" s="1"/>
      <c r="S217" s="18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8"/>
      <c r="Q218" s="18"/>
      <c r="R218" s="1"/>
      <c r="S218" s="18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8"/>
      <c r="Q219" s="18"/>
      <c r="R219" s="1"/>
      <c r="S219" s="18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8"/>
      <c r="Q220" s="18"/>
      <c r="R220" s="1"/>
      <c r="S220" s="18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8"/>
      <c r="Q221" s="18"/>
      <c r="R221" s="1"/>
      <c r="S221" s="18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8"/>
      <c r="Q222" s="18"/>
      <c r="R222" s="1"/>
      <c r="S222" s="18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8"/>
      <c r="Q223" s="18"/>
      <c r="R223" s="1"/>
      <c r="S223" s="18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8"/>
      <c r="Q224" s="18"/>
      <c r="R224" s="1"/>
      <c r="S224" s="18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8"/>
      <c r="Q225" s="18"/>
      <c r="R225" s="1"/>
      <c r="S225" s="18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8"/>
      <c r="Q226" s="18"/>
      <c r="R226" s="1"/>
      <c r="S226" s="18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8"/>
      <c r="Q227" s="18"/>
      <c r="R227" s="1"/>
      <c r="S227" s="18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8"/>
      <c r="Q228" s="18"/>
      <c r="R228" s="1"/>
      <c r="S228" s="18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8"/>
      <c r="Q229" s="18"/>
      <c r="R229" s="1"/>
      <c r="S229" s="18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8"/>
      <c r="Q230" s="18"/>
      <c r="R230" s="1"/>
      <c r="S230" s="18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8"/>
      <c r="Q231" s="18"/>
      <c r="R231" s="1"/>
      <c r="S231" s="18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8"/>
      <c r="Q232" s="18"/>
      <c r="R232" s="1"/>
      <c r="S232" s="18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8"/>
      <c r="Q233" s="18"/>
      <c r="R233" s="1"/>
      <c r="S233" s="18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8"/>
      <c r="Q234" s="18"/>
      <c r="R234" s="1"/>
      <c r="S234" s="18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8"/>
      <c r="Q235" s="18"/>
      <c r="R235" s="1"/>
      <c r="S235" s="18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8"/>
      <c r="Q236" s="18"/>
      <c r="R236" s="1"/>
      <c r="S236" s="18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8"/>
      <c r="Q237" s="18"/>
      <c r="R237" s="1"/>
      <c r="S237" s="18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8"/>
      <c r="Q238" s="18"/>
      <c r="R238" s="1"/>
      <c r="S238" s="18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8"/>
      <c r="Q239" s="18"/>
      <c r="R239" s="1"/>
      <c r="S239" s="18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8"/>
      <c r="Q240" s="18"/>
      <c r="R240" s="1"/>
      <c r="S240" s="18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8"/>
      <c r="Q241" s="18"/>
      <c r="R241" s="1"/>
      <c r="S241" s="18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8"/>
      <c r="Q242" s="18"/>
      <c r="R242" s="1"/>
      <c r="S242" s="18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8"/>
      <c r="Q243" s="18"/>
      <c r="R243" s="1"/>
      <c r="S243" s="18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8"/>
      <c r="Q244" s="18"/>
      <c r="R244" s="1"/>
      <c r="S244" s="18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8"/>
      <c r="Q245" s="18"/>
      <c r="R245" s="1"/>
      <c r="S245" s="18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8"/>
      <c r="Q246" s="18"/>
      <c r="R246" s="1"/>
      <c r="S246" s="18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8"/>
      <c r="Q247" s="18"/>
      <c r="R247" s="1"/>
      <c r="S247" s="18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8"/>
      <c r="Q248" s="18"/>
      <c r="R248" s="1"/>
      <c r="S248" s="18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8"/>
      <c r="Q249" s="18"/>
      <c r="R249" s="1"/>
      <c r="S249" s="18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8"/>
      <c r="Q250" s="18"/>
      <c r="R250" s="1"/>
      <c r="S250" s="18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8"/>
      <c r="Q251" s="18"/>
      <c r="R251" s="1"/>
      <c r="S251" s="18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8"/>
      <c r="Q252" s="18"/>
      <c r="R252" s="1"/>
      <c r="S252" s="18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8"/>
      <c r="Q253" s="18"/>
      <c r="R253" s="1"/>
      <c r="S253" s="18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8"/>
      <c r="Q254" s="18"/>
      <c r="R254" s="1"/>
      <c r="S254" s="18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8"/>
      <c r="Q255" s="18"/>
      <c r="R255" s="1"/>
      <c r="S255" s="18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8"/>
      <c r="Q256" s="18"/>
      <c r="R256" s="1"/>
      <c r="S256" s="18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8"/>
      <c r="Q257" s="18"/>
      <c r="R257" s="1"/>
      <c r="S257" s="18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8"/>
      <c r="Q258" s="18"/>
      <c r="R258" s="1"/>
      <c r="S258" s="18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8"/>
      <c r="Q259" s="18"/>
      <c r="R259" s="1"/>
      <c r="S259" s="18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8"/>
      <c r="Q260" s="18"/>
      <c r="R260" s="1"/>
      <c r="S260" s="18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8"/>
      <c r="Q261" s="18"/>
      <c r="R261" s="1"/>
      <c r="S261" s="18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8"/>
      <c r="Q262" s="18"/>
      <c r="R262" s="1"/>
      <c r="S262" s="18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8"/>
      <c r="Q263" s="18"/>
      <c r="R263" s="1"/>
      <c r="S263" s="18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8"/>
      <c r="Q264" s="18"/>
      <c r="R264" s="1"/>
      <c r="S264" s="18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8"/>
      <c r="Q265" s="18"/>
      <c r="R265" s="1"/>
      <c r="S265" s="18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8"/>
      <c r="Q266" s="18"/>
      <c r="R266" s="1"/>
      <c r="S266" s="18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8"/>
      <c r="Q267" s="18"/>
      <c r="R267" s="1"/>
      <c r="S267" s="18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8"/>
      <c r="Q268" s="18"/>
      <c r="R268" s="1"/>
      <c r="S268" s="18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8"/>
      <c r="Q269" s="18"/>
      <c r="R269" s="1"/>
      <c r="S269" s="18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8"/>
      <c r="Q270" s="18"/>
      <c r="R270" s="1"/>
      <c r="S270" s="18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8"/>
      <c r="Q271" s="18"/>
      <c r="R271" s="1"/>
      <c r="S271" s="18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8"/>
      <c r="Q272" s="18"/>
      <c r="R272" s="1"/>
      <c r="S272" s="18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8"/>
      <c r="Q273" s="18"/>
      <c r="R273" s="1"/>
      <c r="S273" s="18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8"/>
      <c r="Q274" s="18"/>
      <c r="R274" s="1"/>
      <c r="S274" s="18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8"/>
      <c r="Q275" s="18"/>
      <c r="R275" s="1"/>
      <c r="S275" s="18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8"/>
      <c r="Q276" s="18"/>
      <c r="R276" s="1"/>
      <c r="S276" s="18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8"/>
      <c r="Q277" s="18"/>
      <c r="R277" s="1"/>
      <c r="S277" s="18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8"/>
      <c r="Q278" s="18"/>
      <c r="R278" s="1"/>
      <c r="S278" s="18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8"/>
      <c r="Q279" s="18"/>
      <c r="R279" s="1"/>
      <c r="S279" s="18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8"/>
      <c r="Q280" s="18"/>
      <c r="R280" s="1"/>
      <c r="S280" s="18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8"/>
      <c r="Q281" s="18"/>
      <c r="R281" s="1"/>
      <c r="S281" s="18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8"/>
      <c r="Q282" s="18"/>
      <c r="R282" s="1"/>
      <c r="S282" s="18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8"/>
      <c r="Q283" s="18"/>
      <c r="R283" s="1"/>
      <c r="S283" s="18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8"/>
      <c r="Q284" s="18"/>
      <c r="R284" s="1"/>
      <c r="S284" s="18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8"/>
      <c r="Q285" s="18"/>
      <c r="R285" s="1"/>
      <c r="S285" s="18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8"/>
      <c r="Q286" s="18"/>
      <c r="R286" s="1"/>
      <c r="S286" s="18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8"/>
      <c r="Q287" s="18"/>
      <c r="R287" s="1"/>
      <c r="S287" s="18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8"/>
      <c r="Q288" s="18"/>
      <c r="R288" s="1"/>
      <c r="S288" s="18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8"/>
      <c r="Q289" s="18"/>
      <c r="R289" s="1"/>
      <c r="S289" s="18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8"/>
      <c r="Q290" s="18"/>
      <c r="R290" s="1"/>
      <c r="S290" s="18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8"/>
      <c r="Q291" s="18"/>
      <c r="R291" s="1"/>
      <c r="S291" s="18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8"/>
      <c r="Q292" s="18"/>
      <c r="R292" s="1"/>
      <c r="S292" s="18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8"/>
      <c r="Q293" s="18"/>
      <c r="R293" s="1"/>
      <c r="S293" s="18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8"/>
      <c r="Q294" s="18"/>
      <c r="R294" s="1"/>
      <c r="S294" s="18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8"/>
      <c r="Q295" s="18"/>
      <c r="R295" s="1"/>
      <c r="S295" s="18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8"/>
      <c r="Q296" s="18"/>
      <c r="R296" s="1"/>
      <c r="S296" s="18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8"/>
      <c r="Q297" s="18"/>
      <c r="R297" s="1"/>
      <c r="S297" s="18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8"/>
      <c r="Q298" s="18"/>
      <c r="R298" s="1"/>
      <c r="S298" s="18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8"/>
      <c r="Q299" s="18"/>
      <c r="R299" s="1"/>
      <c r="S299" s="18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8"/>
      <c r="Q300" s="18"/>
      <c r="R300" s="1"/>
      <c r="S300" s="18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8"/>
      <c r="Q301" s="18"/>
      <c r="R301" s="1"/>
      <c r="S301" s="18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8"/>
      <c r="Q302" s="18"/>
      <c r="R302" s="1"/>
      <c r="S302" s="18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8"/>
      <c r="Q303" s="18"/>
      <c r="R303" s="1"/>
      <c r="S303" s="18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8"/>
      <c r="Q304" s="18"/>
      <c r="R304" s="1"/>
      <c r="S304" s="18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8"/>
      <c r="Q305" s="18"/>
      <c r="R305" s="1"/>
      <c r="S305" s="18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8"/>
      <c r="Q306" s="18"/>
      <c r="R306" s="1"/>
      <c r="S306" s="18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8"/>
      <c r="Q307" s="18"/>
      <c r="R307" s="1"/>
      <c r="S307" s="18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8"/>
      <c r="Q308" s="18"/>
      <c r="R308" s="1"/>
      <c r="S308" s="18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8"/>
      <c r="Q309" s="18"/>
      <c r="R309" s="1"/>
      <c r="S309" s="18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8"/>
      <c r="Q310" s="18"/>
      <c r="R310" s="1"/>
      <c r="S310" s="18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8"/>
      <c r="Q311" s="18"/>
      <c r="R311" s="1"/>
      <c r="S311" s="18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8"/>
      <c r="Q312" s="18"/>
      <c r="R312" s="1"/>
      <c r="S312" s="18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8"/>
      <c r="Q313" s="18"/>
      <c r="R313" s="1"/>
      <c r="S313" s="18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8"/>
      <c r="Q314" s="18"/>
      <c r="R314" s="1"/>
      <c r="S314" s="18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8"/>
      <c r="Q315" s="18"/>
      <c r="R315" s="1"/>
      <c r="S315" s="18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8"/>
      <c r="Q316" s="18"/>
      <c r="R316" s="1"/>
      <c r="S316" s="18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8"/>
      <c r="Q317" s="18"/>
      <c r="R317" s="1"/>
      <c r="S317" s="18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8"/>
      <c r="Q318" s="18"/>
      <c r="R318" s="1"/>
      <c r="S318" s="18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8"/>
      <c r="Q319" s="18"/>
      <c r="R319" s="1"/>
      <c r="S319" s="18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8"/>
      <c r="Q320" s="18"/>
      <c r="R320" s="1"/>
      <c r="S320" s="18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8"/>
      <c r="Q321" s="18"/>
      <c r="R321" s="1"/>
      <c r="S321" s="18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8"/>
      <c r="Q322" s="18"/>
      <c r="R322" s="1"/>
      <c r="S322" s="18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8"/>
      <c r="Q323" s="18"/>
      <c r="R323" s="1"/>
      <c r="S323" s="18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8"/>
      <c r="Q324" s="18"/>
      <c r="R324" s="1"/>
      <c r="S324" s="18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8"/>
      <c r="Q325" s="18"/>
      <c r="R325" s="1"/>
      <c r="S325" s="18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8"/>
      <c r="Q326" s="18"/>
      <c r="R326" s="1"/>
      <c r="S326" s="18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8"/>
      <c r="Q327" s="18"/>
      <c r="R327" s="1"/>
      <c r="S327" s="18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8"/>
      <c r="Q328" s="18"/>
      <c r="R328" s="1"/>
      <c r="S328" s="18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8"/>
      <c r="Q329" s="18"/>
      <c r="R329" s="1"/>
      <c r="S329" s="18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8"/>
      <c r="Q330" s="18"/>
      <c r="R330" s="1"/>
      <c r="S330" s="18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8"/>
      <c r="Q331" s="18"/>
      <c r="R331" s="1"/>
      <c r="S331" s="18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8"/>
      <c r="Q332" s="18"/>
      <c r="R332" s="1"/>
      <c r="S332" s="18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8"/>
      <c r="Q333" s="18"/>
      <c r="R333" s="1"/>
      <c r="S333" s="18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8"/>
      <c r="Q334" s="18"/>
      <c r="R334" s="1"/>
      <c r="S334" s="18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8"/>
      <c r="Q335" s="18"/>
      <c r="R335" s="1"/>
      <c r="S335" s="18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8"/>
      <c r="Q336" s="18"/>
      <c r="R336" s="1"/>
      <c r="S336" s="18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8"/>
      <c r="Q337" s="18"/>
      <c r="R337" s="1"/>
      <c r="S337" s="18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8"/>
      <c r="Q338" s="18"/>
      <c r="R338" s="1"/>
      <c r="S338" s="18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8"/>
      <c r="Q339" s="18"/>
      <c r="R339" s="1"/>
      <c r="S339" s="18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8"/>
      <c r="Q340" s="18"/>
      <c r="R340" s="1"/>
      <c r="S340" s="18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8"/>
      <c r="Q341" s="18"/>
      <c r="R341" s="1"/>
      <c r="S341" s="18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8"/>
      <c r="Q342" s="18"/>
      <c r="R342" s="1"/>
      <c r="S342" s="18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8"/>
      <c r="Q343" s="18"/>
      <c r="R343" s="1"/>
      <c r="S343" s="18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8"/>
      <c r="Q344" s="18"/>
      <c r="R344" s="1"/>
      <c r="S344" s="18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8"/>
      <c r="Q345" s="18"/>
      <c r="R345" s="1"/>
      <c r="S345" s="18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8"/>
      <c r="Q346" s="18"/>
      <c r="R346" s="1"/>
      <c r="S346" s="18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8"/>
      <c r="Q347" s="18"/>
      <c r="R347" s="1"/>
      <c r="S347" s="18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8"/>
      <c r="Q348" s="18"/>
      <c r="R348" s="1"/>
      <c r="S348" s="18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8"/>
      <c r="Q349" s="18"/>
      <c r="R349" s="1"/>
      <c r="S349" s="18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8"/>
      <c r="Q350" s="18"/>
      <c r="R350" s="1"/>
      <c r="S350" s="18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8"/>
      <c r="Q351" s="18"/>
      <c r="R351" s="1"/>
      <c r="S351" s="18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8"/>
      <c r="Q352" s="18"/>
      <c r="R352" s="1"/>
      <c r="S352" s="18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8"/>
      <c r="Q353" s="18"/>
      <c r="R353" s="1"/>
      <c r="S353" s="18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8"/>
      <c r="Q354" s="18"/>
      <c r="R354" s="1"/>
      <c r="S354" s="18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8"/>
      <c r="Q355" s="18"/>
      <c r="R355" s="1"/>
      <c r="S355" s="18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8"/>
      <c r="Q356" s="18"/>
      <c r="R356" s="1"/>
      <c r="S356" s="18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8"/>
      <c r="Q357" s="18"/>
      <c r="R357" s="1"/>
      <c r="S357" s="18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8"/>
      <c r="Q358" s="18"/>
      <c r="R358" s="1"/>
      <c r="S358" s="18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8"/>
      <c r="Q359" s="18"/>
      <c r="R359" s="1"/>
      <c r="S359" s="18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8"/>
      <c r="Q360" s="18"/>
      <c r="R360" s="1"/>
      <c r="S360" s="18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8"/>
      <c r="Q361" s="18"/>
      <c r="R361" s="1"/>
      <c r="S361" s="18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8"/>
      <c r="Q362" s="18"/>
      <c r="R362" s="1"/>
      <c r="S362" s="18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8"/>
      <c r="Q363" s="18"/>
      <c r="R363" s="1"/>
      <c r="S363" s="18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8"/>
      <c r="Q364" s="18"/>
      <c r="R364" s="1"/>
      <c r="S364" s="18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8"/>
      <c r="Q365" s="18"/>
      <c r="R365" s="1"/>
      <c r="S365" s="18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8"/>
      <c r="Q366" s="18"/>
      <c r="R366" s="1"/>
      <c r="S366" s="18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8"/>
      <c r="Q367" s="18"/>
      <c r="R367" s="1"/>
      <c r="S367" s="18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8"/>
      <c r="Q368" s="18"/>
      <c r="R368" s="1"/>
      <c r="S368" s="18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8"/>
      <c r="Q369" s="18"/>
      <c r="R369" s="1"/>
      <c r="S369" s="18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8"/>
      <c r="Q370" s="18"/>
      <c r="R370" s="1"/>
      <c r="S370" s="18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8"/>
      <c r="Q371" s="18"/>
      <c r="R371" s="1"/>
      <c r="S371" s="18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8"/>
      <c r="Q372" s="18"/>
      <c r="R372" s="1"/>
      <c r="S372" s="18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8"/>
      <c r="Q373" s="18"/>
      <c r="R373" s="1"/>
      <c r="S373" s="18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8"/>
      <c r="Q374" s="18"/>
      <c r="R374" s="1"/>
      <c r="S374" s="18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8"/>
      <c r="Q375" s="18"/>
      <c r="R375" s="1"/>
      <c r="S375" s="18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8"/>
      <c r="Q376" s="18"/>
      <c r="R376" s="1"/>
      <c r="S376" s="18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8"/>
      <c r="Q377" s="18"/>
      <c r="R377" s="1"/>
      <c r="S377" s="18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8"/>
      <c r="Q378" s="18"/>
      <c r="R378" s="1"/>
      <c r="S378" s="18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8"/>
      <c r="Q379" s="18"/>
      <c r="R379" s="1"/>
      <c r="S379" s="18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8"/>
      <c r="Q380" s="18"/>
      <c r="R380" s="1"/>
      <c r="S380" s="18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8"/>
      <c r="Q381" s="18"/>
      <c r="R381" s="1"/>
      <c r="S381" s="18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8"/>
      <c r="Q382" s="18"/>
      <c r="R382" s="1"/>
      <c r="S382" s="18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8"/>
      <c r="Q383" s="18"/>
      <c r="R383" s="1"/>
      <c r="S383" s="18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8"/>
      <c r="Q384" s="18"/>
      <c r="R384" s="1"/>
      <c r="S384" s="18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8"/>
      <c r="Q385" s="18"/>
      <c r="R385" s="1"/>
      <c r="S385" s="18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8"/>
      <c r="Q386" s="18"/>
      <c r="R386" s="1"/>
      <c r="S386" s="18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8"/>
      <c r="Q387" s="18"/>
      <c r="R387" s="1"/>
      <c r="S387" s="18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8"/>
      <c r="Q388" s="18"/>
      <c r="R388" s="1"/>
      <c r="S388" s="18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8"/>
      <c r="Q389" s="18"/>
      <c r="R389" s="1"/>
      <c r="S389" s="18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8"/>
      <c r="Q390" s="18"/>
      <c r="R390" s="1"/>
      <c r="S390" s="18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8"/>
      <c r="Q391" s="18"/>
      <c r="R391" s="1"/>
      <c r="S391" s="18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8"/>
      <c r="Q392" s="18"/>
      <c r="R392" s="1"/>
      <c r="S392" s="18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8"/>
      <c r="Q393" s="18"/>
      <c r="R393" s="1"/>
      <c r="S393" s="18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8"/>
      <c r="Q394" s="18"/>
      <c r="R394" s="1"/>
      <c r="S394" s="18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8"/>
      <c r="Q395" s="18"/>
      <c r="R395" s="1"/>
      <c r="S395" s="18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8"/>
      <c r="Q396" s="18"/>
      <c r="R396" s="1"/>
      <c r="S396" s="18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8"/>
      <c r="Q397" s="18"/>
      <c r="R397" s="1"/>
      <c r="S397" s="18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8"/>
      <c r="Q398" s="18"/>
      <c r="R398" s="1"/>
      <c r="S398" s="18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8"/>
      <c r="Q399" s="18"/>
      <c r="R399" s="1"/>
      <c r="S399" s="18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8"/>
      <c r="Q400" s="18"/>
      <c r="R400" s="1"/>
      <c r="S400" s="18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8"/>
      <c r="Q401" s="18"/>
      <c r="R401" s="1"/>
      <c r="S401" s="18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8"/>
      <c r="Q402" s="18"/>
      <c r="R402" s="1"/>
      <c r="S402" s="18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8"/>
      <c r="Q403" s="18"/>
      <c r="R403" s="1"/>
      <c r="S403" s="18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8"/>
      <c r="Q404" s="18"/>
      <c r="R404" s="1"/>
      <c r="S404" s="18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8"/>
      <c r="Q405" s="18"/>
      <c r="R405" s="1"/>
      <c r="S405" s="18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8"/>
      <c r="Q406" s="18"/>
      <c r="R406" s="1"/>
      <c r="S406" s="18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8"/>
      <c r="Q407" s="18"/>
      <c r="R407" s="1"/>
      <c r="S407" s="18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8"/>
      <c r="Q408" s="18"/>
      <c r="R408" s="1"/>
      <c r="S408" s="18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8"/>
      <c r="Q409" s="18"/>
      <c r="R409" s="1"/>
      <c r="S409" s="18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8"/>
      <c r="Q410" s="18"/>
      <c r="R410" s="1"/>
      <c r="S410" s="18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8"/>
      <c r="Q411" s="18"/>
      <c r="R411" s="1"/>
      <c r="S411" s="18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8"/>
      <c r="Q412" s="18"/>
      <c r="R412" s="1"/>
      <c r="S412" s="18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8"/>
      <c r="Q413" s="18"/>
      <c r="R413" s="1"/>
      <c r="S413" s="18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8"/>
      <c r="Q414" s="18"/>
      <c r="R414" s="1"/>
      <c r="S414" s="18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8"/>
      <c r="Q415" s="18"/>
      <c r="R415" s="1"/>
      <c r="S415" s="18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8"/>
      <c r="Q416" s="18"/>
      <c r="R416" s="1"/>
      <c r="S416" s="18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8"/>
      <c r="Q417" s="18"/>
      <c r="R417" s="1"/>
      <c r="S417" s="18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8"/>
      <c r="Q418" s="18"/>
      <c r="R418" s="1"/>
      <c r="S418" s="18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8"/>
      <c r="Q419" s="18"/>
      <c r="R419" s="1"/>
      <c r="S419" s="18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8"/>
      <c r="Q420" s="18"/>
      <c r="R420" s="1"/>
      <c r="S420" s="18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8"/>
      <c r="Q421" s="18"/>
      <c r="R421" s="1"/>
      <c r="S421" s="18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8"/>
      <c r="Q422" s="18"/>
      <c r="R422" s="1"/>
      <c r="S422" s="18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8"/>
      <c r="Q423" s="18"/>
      <c r="R423" s="1"/>
      <c r="S423" s="18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8"/>
      <c r="Q424" s="18"/>
      <c r="R424" s="1"/>
      <c r="S424" s="18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8"/>
      <c r="Q425" s="18"/>
      <c r="R425" s="1"/>
      <c r="S425" s="18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8"/>
      <c r="Q426" s="18"/>
      <c r="R426" s="1"/>
      <c r="S426" s="18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8"/>
      <c r="Q427" s="18"/>
      <c r="R427" s="1"/>
      <c r="S427" s="18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8"/>
      <c r="Q428" s="18"/>
      <c r="R428" s="1"/>
      <c r="S428" s="18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8"/>
      <c r="Q429" s="18"/>
      <c r="R429" s="1"/>
      <c r="S429" s="18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8"/>
      <c r="Q430" s="18"/>
      <c r="R430" s="1"/>
      <c r="S430" s="18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8"/>
      <c r="Q431" s="18"/>
      <c r="R431" s="1"/>
      <c r="S431" s="18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8"/>
      <c r="Q432" s="18"/>
      <c r="R432" s="1"/>
      <c r="S432" s="18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8"/>
      <c r="Q433" s="18"/>
      <c r="R433" s="1"/>
      <c r="S433" s="18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8"/>
      <c r="Q434" s="18"/>
      <c r="R434" s="1"/>
      <c r="S434" s="18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8"/>
      <c r="Q435" s="18"/>
      <c r="R435" s="1"/>
      <c r="S435" s="18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8"/>
      <c r="Q436" s="18"/>
      <c r="R436" s="1"/>
      <c r="S436" s="18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8"/>
      <c r="Q437" s="18"/>
      <c r="R437" s="1"/>
      <c r="S437" s="18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8"/>
      <c r="Q438" s="18"/>
      <c r="R438" s="1"/>
      <c r="S438" s="18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8"/>
      <c r="Q439" s="18"/>
      <c r="R439" s="1"/>
      <c r="S439" s="18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8"/>
      <c r="Q440" s="18"/>
      <c r="R440" s="1"/>
      <c r="S440" s="18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8"/>
      <c r="Q441" s="18"/>
      <c r="R441" s="1"/>
      <c r="S441" s="18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8"/>
      <c r="Q442" s="18"/>
      <c r="R442" s="1"/>
      <c r="S442" s="18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8"/>
      <c r="Q443" s="18"/>
      <c r="R443" s="1"/>
      <c r="S443" s="18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8"/>
      <c r="Q444" s="18"/>
      <c r="R444" s="1"/>
      <c r="S444" s="18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8"/>
      <c r="Q445" s="18"/>
      <c r="R445" s="1"/>
      <c r="S445" s="18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8"/>
      <c r="Q446" s="18"/>
      <c r="R446" s="1"/>
      <c r="S446" s="18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8"/>
      <c r="Q447" s="18"/>
      <c r="R447" s="1"/>
      <c r="S447" s="18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8"/>
      <c r="Q448" s="18"/>
      <c r="R448" s="1"/>
      <c r="S448" s="18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8"/>
      <c r="Q449" s="18"/>
      <c r="R449" s="1"/>
      <c r="S449" s="18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8"/>
      <c r="Q450" s="18"/>
      <c r="R450" s="1"/>
      <c r="S450" s="18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8"/>
      <c r="Q451" s="18"/>
      <c r="R451" s="1"/>
      <c r="S451" s="18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8"/>
      <c r="Q452" s="18"/>
      <c r="R452" s="1"/>
      <c r="S452" s="18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  <row r="453" spans="1:51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8"/>
      <c r="Q453" s="18"/>
      <c r="R453" s="1"/>
      <c r="S453" s="18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</row>
    <row r="454" spans="1:51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8"/>
      <c r="Q454" s="18"/>
      <c r="R454" s="1"/>
      <c r="S454" s="18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</row>
    <row r="455" spans="1:51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8"/>
      <c r="Q455" s="18"/>
      <c r="R455" s="1"/>
      <c r="S455" s="18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</row>
    <row r="456" spans="1:51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8"/>
      <c r="Q456" s="18"/>
      <c r="R456" s="1"/>
      <c r="S456" s="18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</row>
    <row r="457" spans="1:51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8"/>
      <c r="Q457" s="18"/>
      <c r="R457" s="1"/>
      <c r="S457" s="18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</row>
    <row r="458" spans="1:51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8"/>
      <c r="Q458" s="18"/>
      <c r="R458" s="1"/>
      <c r="S458" s="18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</row>
    <row r="459" spans="1:51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8"/>
      <c r="Q459" s="18"/>
      <c r="R459" s="1"/>
      <c r="S459" s="18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</row>
    <row r="460" spans="1:51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8"/>
      <c r="Q460" s="18"/>
      <c r="R460" s="1"/>
      <c r="S460" s="18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</row>
    <row r="461" spans="1:51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8"/>
      <c r="Q461" s="18"/>
      <c r="R461" s="1"/>
      <c r="S461" s="18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</row>
    <row r="462" spans="1:51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8"/>
      <c r="Q462" s="18"/>
      <c r="R462" s="1"/>
      <c r="S462" s="18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</row>
    <row r="463" spans="1:51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8"/>
      <c r="Q463" s="18"/>
      <c r="R463" s="1"/>
      <c r="S463" s="18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</row>
    <row r="464" spans="1:51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8"/>
      <c r="Q464" s="18"/>
      <c r="R464" s="1"/>
      <c r="S464" s="18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</row>
    <row r="465" spans="1:51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8"/>
      <c r="Q465" s="18"/>
      <c r="R465" s="1"/>
      <c r="S465" s="18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</row>
    <row r="466" spans="1:51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8"/>
      <c r="Q466" s="18"/>
      <c r="R466" s="1"/>
      <c r="S466" s="18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</row>
    <row r="467" spans="1:51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8"/>
      <c r="Q467" s="18"/>
      <c r="R467" s="1"/>
      <c r="S467" s="18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</row>
    <row r="468" spans="1:51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8"/>
      <c r="Q468" s="18"/>
      <c r="R468" s="1"/>
      <c r="S468" s="18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</row>
    <row r="469" spans="1:51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8"/>
      <c r="Q469" s="18"/>
      <c r="R469" s="1"/>
      <c r="S469" s="18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</row>
    <row r="470" spans="1:51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8"/>
      <c r="Q470" s="18"/>
      <c r="R470" s="1"/>
      <c r="S470" s="18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</row>
    <row r="471" spans="1:51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8"/>
      <c r="Q471" s="18"/>
      <c r="R471" s="1"/>
      <c r="S471" s="18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</row>
    <row r="472" spans="1:51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8"/>
      <c r="Q472" s="18"/>
      <c r="R472" s="1"/>
      <c r="S472" s="18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</row>
    <row r="473" spans="1:51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8"/>
      <c r="Q473" s="18"/>
      <c r="R473" s="1"/>
      <c r="S473" s="18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</row>
    <row r="474" spans="1:51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8"/>
      <c r="Q474" s="18"/>
      <c r="R474" s="1"/>
      <c r="S474" s="18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</row>
    <row r="475" spans="1:51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8"/>
      <c r="Q475" s="18"/>
      <c r="R475" s="1"/>
      <c r="S475" s="18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</row>
    <row r="476" spans="1:51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8"/>
      <c r="Q476" s="18"/>
      <c r="R476" s="1"/>
      <c r="S476" s="18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</row>
    <row r="477" spans="1:51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8"/>
      <c r="Q477" s="18"/>
      <c r="R477" s="1"/>
      <c r="S477" s="18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</row>
    <row r="478" spans="1:51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8"/>
      <c r="Q478" s="18"/>
      <c r="R478" s="1"/>
      <c r="S478" s="18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</row>
    <row r="479" spans="1:51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8"/>
      <c r="Q479" s="18"/>
      <c r="R479" s="1"/>
      <c r="S479" s="18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</row>
    <row r="480" spans="1:51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8"/>
      <c r="Q480" s="18"/>
      <c r="R480" s="1"/>
      <c r="S480" s="18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</row>
    <row r="481" spans="1:51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8"/>
      <c r="Q481" s="18"/>
      <c r="R481" s="1"/>
      <c r="S481" s="18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</row>
    <row r="482" spans="1:51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8"/>
      <c r="Q482" s="18"/>
      <c r="R482" s="1"/>
      <c r="S482" s="18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</row>
    <row r="483" spans="1:51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8"/>
      <c r="Q483" s="18"/>
      <c r="R483" s="1"/>
      <c r="S483" s="18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</row>
    <row r="484" spans="1:51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8"/>
      <c r="Q484" s="18"/>
      <c r="R484" s="1"/>
      <c r="S484" s="18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</row>
    <row r="485" spans="1:51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8"/>
      <c r="Q485" s="18"/>
      <c r="R485" s="1"/>
      <c r="S485" s="18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</row>
    <row r="486" spans="1:51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8"/>
      <c r="Q486" s="18"/>
      <c r="R486" s="1"/>
      <c r="S486" s="18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</row>
    <row r="487" spans="1:51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8"/>
      <c r="Q487" s="18"/>
      <c r="R487" s="1"/>
      <c r="S487" s="18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</row>
    <row r="488" spans="1:51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8"/>
      <c r="Q488" s="18"/>
      <c r="R488" s="1"/>
      <c r="S488" s="18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</row>
    <row r="489" spans="1:51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8"/>
      <c r="Q489" s="18"/>
      <c r="R489" s="1"/>
      <c r="S489" s="18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</row>
    <row r="490" spans="1:51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8"/>
      <c r="Q490" s="18"/>
      <c r="R490" s="1"/>
      <c r="S490" s="18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</row>
    <row r="491" spans="1:51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8"/>
      <c r="Q491" s="18"/>
      <c r="R491" s="1"/>
      <c r="S491" s="18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</row>
    <row r="492" spans="1:51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8"/>
      <c r="Q492" s="18"/>
      <c r="R492" s="1"/>
      <c r="S492" s="18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</row>
    <row r="493" spans="1:51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8"/>
      <c r="Q493" s="18"/>
      <c r="R493" s="1"/>
      <c r="S493" s="18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</row>
    <row r="494" spans="1:51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8"/>
      <c r="Q494" s="18"/>
      <c r="R494" s="1"/>
      <c r="S494" s="18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</row>
    <row r="495" spans="1:51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8"/>
      <c r="Q495" s="18"/>
      <c r="R495" s="1"/>
      <c r="S495" s="18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</row>
  </sheetData>
  <autoFilter ref="A3:AM129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2026-09-29T09:57:13Z</dcterms:created>
  <dcterms:modified xsi:type="dcterms:W3CDTF">2026-10-02T07:09:58Z</dcterms:modified>
</cp:coreProperties>
</file>