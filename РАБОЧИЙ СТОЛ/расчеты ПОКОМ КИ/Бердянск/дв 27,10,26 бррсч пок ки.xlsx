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BA72B1A-5ECF-469C-BF0D-3950B1A331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AL7" i="1" s="1"/>
  <c r="V8" i="1"/>
  <c r="V9" i="1"/>
  <c r="AL9" i="1" s="1"/>
  <c r="V10" i="1"/>
  <c r="V12" i="1"/>
  <c r="V13" i="1"/>
  <c r="AL13" i="1" s="1"/>
  <c r="V14" i="1"/>
  <c r="V15" i="1"/>
  <c r="V16" i="1"/>
  <c r="V17" i="1"/>
  <c r="AL17" i="1" s="1"/>
  <c r="V19" i="1"/>
  <c r="AL19" i="1" s="1"/>
  <c r="V20" i="1"/>
  <c r="V21" i="1"/>
  <c r="AL21" i="1" s="1"/>
  <c r="V22" i="1"/>
  <c r="V23" i="1"/>
  <c r="V24" i="1"/>
  <c r="V25" i="1"/>
  <c r="AL25" i="1" s="1"/>
  <c r="V27" i="1"/>
  <c r="V28" i="1"/>
  <c r="V29" i="1"/>
  <c r="AL29" i="1" s="1"/>
  <c r="V31" i="1"/>
  <c r="AL31" i="1" s="1"/>
  <c r="V32" i="1"/>
  <c r="V33" i="1"/>
  <c r="V35" i="1"/>
  <c r="V36" i="1"/>
  <c r="V37" i="1"/>
  <c r="AL37" i="1" s="1"/>
  <c r="V38" i="1"/>
  <c r="V39" i="1"/>
  <c r="AL39" i="1" s="1"/>
  <c r="V41" i="1"/>
  <c r="AL41" i="1" s="1"/>
  <c r="V45" i="1"/>
  <c r="AL45" i="1" s="1"/>
  <c r="V48" i="1"/>
  <c r="V50" i="1"/>
  <c r="V52" i="1"/>
  <c r="V53" i="1"/>
  <c r="AL53" i="1" s="1"/>
  <c r="V55" i="1"/>
  <c r="AL55" i="1" s="1"/>
  <c r="V56" i="1"/>
  <c r="AL56" i="1" s="1"/>
  <c r="V58" i="1"/>
  <c r="AL58" i="1" s="1"/>
  <c r="V59" i="1"/>
  <c r="AL59" i="1" s="1"/>
  <c r="V60" i="1"/>
  <c r="AL60" i="1" s="1"/>
  <c r="V61" i="1"/>
  <c r="AL61" i="1" s="1"/>
  <c r="V63" i="1"/>
  <c r="AL63" i="1" s="1"/>
  <c r="V65" i="1"/>
  <c r="V66" i="1"/>
  <c r="AL66" i="1" s="1"/>
  <c r="V67" i="1"/>
  <c r="AL67" i="1" s="1"/>
  <c r="V68" i="1"/>
  <c r="AL68" i="1" s="1"/>
  <c r="V69" i="1"/>
  <c r="AL69" i="1" s="1"/>
  <c r="V70" i="1"/>
  <c r="AL70" i="1" s="1"/>
  <c r="V71" i="1"/>
  <c r="AL71" i="1" s="1"/>
  <c r="V72" i="1"/>
  <c r="AL72" i="1" s="1"/>
  <c r="V73" i="1"/>
  <c r="V75" i="1"/>
  <c r="AL75" i="1" s="1"/>
  <c r="V76" i="1"/>
  <c r="AL76" i="1" s="1"/>
  <c r="V78" i="1"/>
  <c r="AL78" i="1" s="1"/>
  <c r="V79" i="1"/>
  <c r="AL79" i="1" s="1"/>
  <c r="V80" i="1"/>
  <c r="AL80" i="1" s="1"/>
  <c r="V81" i="1"/>
  <c r="AL81" i="1" s="1"/>
  <c r="V82" i="1"/>
  <c r="AL82" i="1" s="1"/>
  <c r="V84" i="1"/>
  <c r="AL84" i="1" s="1"/>
  <c r="V86" i="1"/>
  <c r="AL86" i="1" s="1"/>
  <c r="V88" i="1"/>
  <c r="AL88" i="1" s="1"/>
  <c r="V89" i="1"/>
  <c r="AL89" i="1" s="1"/>
  <c r="V90" i="1"/>
  <c r="AL90" i="1" s="1"/>
  <c r="V91" i="1"/>
  <c r="AL91" i="1" s="1"/>
  <c r="V93" i="1"/>
  <c r="AL93" i="1" s="1"/>
  <c r="V94" i="1"/>
  <c r="AL94" i="1" s="1"/>
  <c r="V95" i="1"/>
  <c r="V96" i="1"/>
  <c r="AL96" i="1" s="1"/>
  <c r="V97" i="1"/>
  <c r="AL97" i="1" s="1"/>
  <c r="V98" i="1"/>
  <c r="AL98" i="1" s="1"/>
  <c r="V99" i="1"/>
  <c r="AL99" i="1" s="1"/>
  <c r="V100" i="1"/>
  <c r="AL100" i="1" s="1"/>
  <c r="V101" i="1"/>
  <c r="AL101" i="1" s="1"/>
  <c r="V103" i="1"/>
  <c r="AL103" i="1" s="1"/>
  <c r="V104" i="1"/>
  <c r="AL104" i="1" s="1"/>
  <c r="V105" i="1"/>
  <c r="AL105" i="1" s="1"/>
  <c r="V106" i="1"/>
  <c r="AL106" i="1" s="1"/>
  <c r="V107" i="1"/>
  <c r="AL107" i="1" s="1"/>
  <c r="V110" i="1"/>
  <c r="AL110" i="1" s="1"/>
  <c r="V111" i="1"/>
  <c r="AL111" i="1" s="1"/>
  <c r="V112" i="1"/>
  <c r="AL112" i="1" s="1"/>
  <c r="V114" i="1"/>
  <c r="AL114" i="1" s="1"/>
  <c r="V115" i="1"/>
  <c r="V116" i="1"/>
  <c r="AL116" i="1" s="1"/>
  <c r="V117" i="1"/>
  <c r="AL117" i="1" s="1"/>
  <c r="V118" i="1"/>
  <c r="AL118" i="1" s="1"/>
  <c r="V119" i="1"/>
  <c r="AL119" i="1" s="1"/>
  <c r="V122" i="1"/>
  <c r="AL122" i="1" s="1"/>
  <c r="V124" i="1"/>
  <c r="AL124" i="1" s="1"/>
  <c r="V125" i="1"/>
  <c r="AL125" i="1" s="1"/>
  <c r="V127" i="1"/>
  <c r="AL127" i="1" s="1"/>
  <c r="V128" i="1"/>
  <c r="AL128" i="1" s="1"/>
  <c r="AL15" i="1"/>
  <c r="AL23" i="1"/>
  <c r="AL27" i="1"/>
  <c r="AL33" i="1"/>
  <c r="AL35" i="1"/>
  <c r="AL65" i="1"/>
  <c r="AL73" i="1"/>
  <c r="AL95" i="1"/>
  <c r="AL115" i="1"/>
  <c r="W44" i="1"/>
  <c r="V44" i="1" s="1"/>
  <c r="X44" i="1"/>
  <c r="W64" i="1"/>
  <c r="V64" i="1" s="1"/>
  <c r="AL64" i="1" s="1"/>
  <c r="X64" i="1"/>
  <c r="W102" i="1"/>
  <c r="V102" i="1" s="1"/>
  <c r="X102" i="1"/>
  <c r="W120" i="1"/>
  <c r="V120" i="1" s="1"/>
  <c r="AL120" i="1" s="1"/>
  <c r="X120" i="1"/>
  <c r="W121" i="1"/>
  <c r="V121" i="1" s="1"/>
  <c r="AL121" i="1" s="1"/>
  <c r="X121" i="1"/>
  <c r="W126" i="1"/>
  <c r="V126" i="1" s="1"/>
  <c r="AL126" i="1" s="1"/>
  <c r="X126" i="1"/>
  <c r="W5" i="1"/>
  <c r="AL52" i="1" l="1"/>
  <c r="AL50" i="1"/>
  <c r="AL48" i="1"/>
  <c r="AL38" i="1"/>
  <c r="AL36" i="1"/>
  <c r="AL32" i="1"/>
  <c r="AL28" i="1"/>
  <c r="AL24" i="1"/>
  <c r="AL22" i="1"/>
  <c r="AL20" i="1"/>
  <c r="AL16" i="1"/>
  <c r="AL14" i="1"/>
  <c r="AL12" i="1"/>
  <c r="AL10" i="1"/>
  <c r="AL8" i="1"/>
  <c r="T86" i="1"/>
  <c r="Y86" i="1" s="1"/>
  <c r="T128" i="1" l="1"/>
  <c r="L128" i="1"/>
  <c r="T127" i="1"/>
  <c r="L127" i="1"/>
  <c r="T126" i="1"/>
  <c r="Y126" i="1" s="1"/>
  <c r="L126" i="1"/>
  <c r="T125" i="1"/>
  <c r="Y125" i="1" s="1"/>
  <c r="L125" i="1"/>
  <c r="T124" i="1"/>
  <c r="Y124" i="1" s="1"/>
  <c r="L124" i="1"/>
  <c r="T123" i="1"/>
  <c r="Z123" i="1" s="1"/>
  <c r="L123" i="1"/>
  <c r="T122" i="1"/>
  <c r="Y122" i="1" s="1"/>
  <c r="L122" i="1"/>
  <c r="T121" i="1"/>
  <c r="L121" i="1"/>
  <c r="T120" i="1"/>
  <c r="Y120" i="1" s="1"/>
  <c r="L120" i="1"/>
  <c r="T119" i="1"/>
  <c r="L119" i="1"/>
  <c r="T118" i="1"/>
  <c r="Y118" i="1" s="1"/>
  <c r="L118" i="1"/>
  <c r="T117" i="1"/>
  <c r="Y117" i="1" s="1"/>
  <c r="L117" i="1"/>
  <c r="T116" i="1"/>
  <c r="Y116" i="1" s="1"/>
  <c r="L116" i="1"/>
  <c r="T115" i="1"/>
  <c r="Y115" i="1" s="1"/>
  <c r="L115" i="1"/>
  <c r="T114" i="1"/>
  <c r="Y114" i="1" s="1"/>
  <c r="L114" i="1"/>
  <c r="T113" i="1"/>
  <c r="L113" i="1"/>
  <c r="T112" i="1"/>
  <c r="Y112" i="1" s="1"/>
  <c r="L112" i="1"/>
  <c r="T111" i="1"/>
  <c r="Y111" i="1" s="1"/>
  <c r="L111" i="1"/>
  <c r="T110" i="1"/>
  <c r="Y110" i="1" s="1"/>
  <c r="L110" i="1"/>
  <c r="T109" i="1"/>
  <c r="U109" i="1" s="1"/>
  <c r="V109" i="1" s="1"/>
  <c r="L109" i="1"/>
  <c r="T108" i="1"/>
  <c r="U108" i="1" s="1"/>
  <c r="V108" i="1" s="1"/>
  <c r="L108" i="1"/>
  <c r="T107" i="1"/>
  <c r="Y107" i="1" s="1"/>
  <c r="L107" i="1"/>
  <c r="T106" i="1"/>
  <c r="Y106" i="1" s="1"/>
  <c r="L106" i="1"/>
  <c r="T105" i="1"/>
  <c r="Y105" i="1" s="1"/>
  <c r="L105" i="1"/>
  <c r="T104" i="1"/>
  <c r="Y104" i="1" s="1"/>
  <c r="L104" i="1"/>
  <c r="T103" i="1"/>
  <c r="Y103" i="1" s="1"/>
  <c r="L103" i="1"/>
  <c r="T102" i="1"/>
  <c r="L102" i="1"/>
  <c r="T101" i="1"/>
  <c r="L101" i="1"/>
  <c r="T100" i="1"/>
  <c r="Y100" i="1" s="1"/>
  <c r="L100" i="1"/>
  <c r="T99" i="1"/>
  <c r="L99" i="1"/>
  <c r="T98" i="1"/>
  <c r="Y98" i="1" s="1"/>
  <c r="L98" i="1"/>
  <c r="T97" i="1"/>
  <c r="Y97" i="1" s="1"/>
  <c r="L97" i="1"/>
  <c r="T96" i="1"/>
  <c r="L96" i="1"/>
  <c r="T95" i="1"/>
  <c r="L95" i="1"/>
  <c r="T94" i="1"/>
  <c r="Y94" i="1" s="1"/>
  <c r="L94" i="1"/>
  <c r="T93" i="1"/>
  <c r="Y93" i="1" s="1"/>
  <c r="L93" i="1"/>
  <c r="T92" i="1"/>
  <c r="L92" i="1"/>
  <c r="T91" i="1"/>
  <c r="Y91" i="1" s="1"/>
  <c r="L91" i="1"/>
  <c r="T90" i="1"/>
  <c r="L90" i="1"/>
  <c r="T89" i="1"/>
  <c r="Y89" i="1" s="1"/>
  <c r="L89" i="1"/>
  <c r="T88" i="1"/>
  <c r="Y88" i="1" s="1"/>
  <c r="L88" i="1"/>
  <c r="T87" i="1"/>
  <c r="L87" i="1"/>
  <c r="L86" i="1"/>
  <c r="T85" i="1"/>
  <c r="L85" i="1"/>
  <c r="T84" i="1"/>
  <c r="L84" i="1"/>
  <c r="T83" i="1"/>
  <c r="L83" i="1"/>
  <c r="T82" i="1"/>
  <c r="Y82" i="1" s="1"/>
  <c r="L82" i="1"/>
  <c r="T81" i="1"/>
  <c r="Y81" i="1" s="1"/>
  <c r="L81" i="1"/>
  <c r="T80" i="1"/>
  <c r="Y80" i="1" s="1"/>
  <c r="L80" i="1"/>
  <c r="T79" i="1"/>
  <c r="Y79" i="1" s="1"/>
  <c r="L79" i="1"/>
  <c r="T78" i="1"/>
  <c r="Y78" i="1" s="1"/>
  <c r="L78" i="1"/>
  <c r="T77" i="1"/>
  <c r="U77" i="1" s="1"/>
  <c r="V77" i="1" s="1"/>
  <c r="L77" i="1"/>
  <c r="T76" i="1"/>
  <c r="Y76" i="1" s="1"/>
  <c r="L76" i="1"/>
  <c r="T75" i="1"/>
  <c r="Y75" i="1" s="1"/>
  <c r="L75" i="1"/>
  <c r="T74" i="1"/>
  <c r="U74" i="1" s="1"/>
  <c r="V74" i="1" s="1"/>
  <c r="L74" i="1"/>
  <c r="T73" i="1"/>
  <c r="Y73" i="1" s="1"/>
  <c r="L73" i="1"/>
  <c r="T72" i="1"/>
  <c r="Y72" i="1" s="1"/>
  <c r="L72" i="1"/>
  <c r="T71" i="1"/>
  <c r="Y71" i="1" s="1"/>
  <c r="L71" i="1"/>
  <c r="T70" i="1"/>
  <c r="L70" i="1"/>
  <c r="T69" i="1"/>
  <c r="Y69" i="1" s="1"/>
  <c r="L69" i="1"/>
  <c r="T68" i="1"/>
  <c r="Y68" i="1" s="1"/>
  <c r="L68" i="1"/>
  <c r="T67" i="1"/>
  <c r="Y67" i="1" s="1"/>
  <c r="L67" i="1"/>
  <c r="T66" i="1"/>
  <c r="Y66" i="1" s="1"/>
  <c r="L66" i="1"/>
  <c r="T65" i="1"/>
  <c r="Y65" i="1" s="1"/>
  <c r="L65" i="1"/>
  <c r="T64" i="1"/>
  <c r="Y64" i="1" s="1"/>
  <c r="L64" i="1"/>
  <c r="T63" i="1"/>
  <c r="Y63" i="1" s="1"/>
  <c r="L63" i="1"/>
  <c r="T62" i="1"/>
  <c r="L62" i="1"/>
  <c r="T61" i="1"/>
  <c r="Y61" i="1" s="1"/>
  <c r="L61" i="1"/>
  <c r="T60" i="1"/>
  <c r="Y60" i="1" s="1"/>
  <c r="L60" i="1"/>
  <c r="T59" i="1"/>
  <c r="Y59" i="1" s="1"/>
  <c r="L59" i="1"/>
  <c r="T58" i="1"/>
  <c r="Y58" i="1" s="1"/>
  <c r="L58" i="1"/>
  <c r="T57" i="1"/>
  <c r="L57" i="1"/>
  <c r="T56" i="1"/>
  <c r="Y56" i="1" s="1"/>
  <c r="L56" i="1"/>
  <c r="F55" i="1"/>
  <c r="E55" i="1"/>
  <c r="T55" i="1" s="1"/>
  <c r="T54" i="1"/>
  <c r="Z54" i="1" s="1"/>
  <c r="L54" i="1"/>
  <c r="T53" i="1"/>
  <c r="Y53" i="1" s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Z46" i="1" s="1"/>
  <c r="L46" i="1"/>
  <c r="T45" i="1"/>
  <c r="Y45" i="1" s="1"/>
  <c r="L45" i="1"/>
  <c r="T44" i="1"/>
  <c r="L44" i="1"/>
  <c r="T43" i="1"/>
  <c r="L43" i="1"/>
  <c r="T42" i="1"/>
  <c r="L42" i="1"/>
  <c r="T41" i="1"/>
  <c r="Y41" i="1" s="1"/>
  <c r="L41" i="1"/>
  <c r="T40" i="1"/>
  <c r="L40" i="1"/>
  <c r="T39" i="1"/>
  <c r="Y39" i="1" s="1"/>
  <c r="L39" i="1"/>
  <c r="T38" i="1"/>
  <c r="Y38" i="1" s="1"/>
  <c r="L38" i="1"/>
  <c r="T37" i="1"/>
  <c r="Y37" i="1" s="1"/>
  <c r="L37" i="1"/>
  <c r="T36" i="1"/>
  <c r="Y36" i="1" s="1"/>
  <c r="L36" i="1"/>
  <c r="T35" i="1"/>
  <c r="Y35" i="1" s="1"/>
  <c r="L35" i="1"/>
  <c r="T34" i="1"/>
  <c r="L34" i="1"/>
  <c r="T33" i="1"/>
  <c r="Y33" i="1" s="1"/>
  <c r="L33" i="1"/>
  <c r="T32" i="1"/>
  <c r="Y32" i="1" s="1"/>
  <c r="L32" i="1"/>
  <c r="T31" i="1"/>
  <c r="Y31" i="1" s="1"/>
  <c r="L31" i="1"/>
  <c r="T30" i="1"/>
  <c r="L30" i="1"/>
  <c r="T29" i="1"/>
  <c r="Y29" i="1" s="1"/>
  <c r="L29" i="1"/>
  <c r="T28" i="1"/>
  <c r="Y28" i="1" s="1"/>
  <c r="L28" i="1"/>
  <c r="T27" i="1"/>
  <c r="Y27" i="1" s="1"/>
  <c r="L27" i="1"/>
  <c r="T26" i="1"/>
  <c r="L26" i="1"/>
  <c r="T25" i="1"/>
  <c r="Y25" i="1" s="1"/>
  <c r="L25" i="1"/>
  <c r="T24" i="1"/>
  <c r="Y24" i="1" s="1"/>
  <c r="L24" i="1"/>
  <c r="T23" i="1"/>
  <c r="Y23" i="1" s="1"/>
  <c r="L23" i="1"/>
  <c r="T22" i="1"/>
  <c r="Y22" i="1" s="1"/>
  <c r="L22" i="1"/>
  <c r="T21" i="1"/>
  <c r="Y21" i="1" s="1"/>
  <c r="L21" i="1"/>
  <c r="T20" i="1"/>
  <c r="Y20" i="1" s="1"/>
  <c r="L20" i="1"/>
  <c r="T19" i="1"/>
  <c r="Y19" i="1" s="1"/>
  <c r="L19" i="1"/>
  <c r="T18" i="1"/>
  <c r="L18" i="1"/>
  <c r="T17" i="1"/>
  <c r="Y17" i="1" s="1"/>
  <c r="L17" i="1"/>
  <c r="T16" i="1"/>
  <c r="Y16" i="1" s="1"/>
  <c r="L16" i="1"/>
  <c r="T15" i="1"/>
  <c r="Y15" i="1" s="1"/>
  <c r="L15" i="1"/>
  <c r="T14" i="1"/>
  <c r="Y14" i="1" s="1"/>
  <c r="L14" i="1"/>
  <c r="T13" i="1"/>
  <c r="Y13" i="1" s="1"/>
  <c r="L13" i="1"/>
  <c r="T12" i="1"/>
  <c r="Y12" i="1" s="1"/>
  <c r="L12" i="1"/>
  <c r="T11" i="1"/>
  <c r="L11" i="1"/>
  <c r="T10" i="1"/>
  <c r="Y10" i="1" s="1"/>
  <c r="L10" i="1"/>
  <c r="T9" i="1"/>
  <c r="L9" i="1"/>
  <c r="T8" i="1"/>
  <c r="Y8" i="1" s="1"/>
  <c r="L8" i="1"/>
  <c r="T7" i="1"/>
  <c r="Y7" i="1" s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M5" i="1"/>
  <c r="K5" i="1"/>
  <c r="Z9" i="1" l="1"/>
  <c r="Y9" i="1"/>
  <c r="Z48" i="1"/>
  <c r="Y48" i="1"/>
  <c r="Z50" i="1"/>
  <c r="Y50" i="1"/>
  <c r="Z52" i="1"/>
  <c r="Y52" i="1"/>
  <c r="F5" i="1"/>
  <c r="Y55" i="1"/>
  <c r="Z70" i="1"/>
  <c r="Y70" i="1"/>
  <c r="AL74" i="1"/>
  <c r="Y74" i="1"/>
  <c r="AL77" i="1"/>
  <c r="Y77" i="1"/>
  <c r="Z84" i="1"/>
  <c r="Y84" i="1"/>
  <c r="Z90" i="1"/>
  <c r="Y90" i="1"/>
  <c r="Z95" i="1"/>
  <c r="Y95" i="1"/>
  <c r="Z96" i="1"/>
  <c r="Y96" i="1"/>
  <c r="Z99" i="1"/>
  <c r="Y99" i="1"/>
  <c r="Z101" i="1"/>
  <c r="Y101" i="1"/>
  <c r="AL108" i="1"/>
  <c r="Y108" i="1"/>
  <c r="AL109" i="1"/>
  <c r="Y109" i="1"/>
  <c r="Z119" i="1"/>
  <c r="Y119" i="1"/>
  <c r="Z121" i="1"/>
  <c r="Y121" i="1"/>
  <c r="Z127" i="1"/>
  <c r="Y127" i="1"/>
  <c r="Z128" i="1"/>
  <c r="Y128" i="1"/>
  <c r="Z125" i="1"/>
  <c r="Z81" i="1"/>
  <c r="Z103" i="1"/>
  <c r="U6" i="1"/>
  <c r="V6" i="1" s="1"/>
  <c r="Z10" i="1"/>
  <c r="U11" i="1"/>
  <c r="V11" i="1" s="1"/>
  <c r="Z12" i="1"/>
  <c r="Z14" i="1"/>
  <c r="Z16" i="1"/>
  <c r="Z24" i="1"/>
  <c r="Z31" i="1"/>
  <c r="U34" i="1"/>
  <c r="V34" i="1" s="1"/>
  <c r="Z41" i="1"/>
  <c r="U44" i="1"/>
  <c r="Z61" i="1"/>
  <c r="Z67" i="1"/>
  <c r="Z75" i="1"/>
  <c r="U83" i="1"/>
  <c r="V83" i="1" s="1"/>
  <c r="Z87" i="1"/>
  <c r="U87" i="1"/>
  <c r="V87" i="1" s="1"/>
  <c r="U92" i="1"/>
  <c r="V92" i="1" s="1"/>
  <c r="Z97" i="1"/>
  <c r="Z109" i="1"/>
  <c r="Z115" i="1"/>
  <c r="T5" i="1"/>
  <c r="Z7" i="1"/>
  <c r="Z11" i="1"/>
  <c r="Z13" i="1"/>
  <c r="Z15" i="1"/>
  <c r="Z18" i="1"/>
  <c r="U18" i="1"/>
  <c r="V18" i="1" s="1"/>
  <c r="Z22" i="1"/>
  <c r="U26" i="1"/>
  <c r="V26" i="1" s="1"/>
  <c r="Z33" i="1"/>
  <c r="Z39" i="1"/>
  <c r="U42" i="1"/>
  <c r="V42" i="1" s="1"/>
  <c r="Z59" i="1"/>
  <c r="U62" i="1"/>
  <c r="V62" i="1" s="1"/>
  <c r="Z69" i="1"/>
  <c r="Z73" i="1"/>
  <c r="Z91" i="1"/>
  <c r="Z107" i="1"/>
  <c r="Z117" i="1"/>
  <c r="Z20" i="1"/>
  <c r="Z27" i="1"/>
  <c r="Z29" i="1"/>
  <c r="U30" i="1"/>
  <c r="V30" i="1" s="1"/>
  <c r="Z35" i="1"/>
  <c r="Z37" i="1"/>
  <c r="U40" i="1"/>
  <c r="V40" i="1" s="1"/>
  <c r="Z43" i="1"/>
  <c r="U43" i="1"/>
  <c r="V43" i="1" s="1"/>
  <c r="Z45" i="1"/>
  <c r="U46" i="1"/>
  <c r="V46" i="1" s="1"/>
  <c r="Z47" i="1"/>
  <c r="U47" i="1"/>
  <c r="V47" i="1" s="1"/>
  <c r="Z49" i="1"/>
  <c r="U49" i="1"/>
  <c r="V49" i="1" s="1"/>
  <c r="Z51" i="1"/>
  <c r="U51" i="1"/>
  <c r="V51" i="1" s="1"/>
  <c r="Z53" i="1"/>
  <c r="U54" i="1"/>
  <c r="V54" i="1" s="1"/>
  <c r="Z57" i="1"/>
  <c r="U57" i="1"/>
  <c r="V57" i="1" s="1"/>
  <c r="Z63" i="1"/>
  <c r="Z65" i="1"/>
  <c r="Z71" i="1"/>
  <c r="Z77" i="1"/>
  <c r="Z79" i="1"/>
  <c r="Z85" i="1"/>
  <c r="U85" i="1"/>
  <c r="V85" i="1" s="1"/>
  <c r="Z93" i="1"/>
  <c r="Z100" i="1"/>
  <c r="Z102" i="1"/>
  <c r="U102" i="1"/>
  <c r="Z105" i="1"/>
  <c r="Z111" i="1"/>
  <c r="Z113" i="1"/>
  <c r="U113" i="1"/>
  <c r="V113" i="1" s="1"/>
  <c r="Z120" i="1"/>
  <c r="Z122" i="1"/>
  <c r="U123" i="1"/>
  <c r="V123" i="1" s="1"/>
  <c r="Z124" i="1"/>
  <c r="Z83" i="1"/>
  <c r="Z89" i="1"/>
  <c r="Z6" i="1"/>
  <c r="Z8" i="1"/>
  <c r="Z17" i="1"/>
  <c r="Z19" i="1"/>
  <c r="Z21" i="1"/>
  <c r="Z23" i="1"/>
  <c r="Z25" i="1"/>
  <c r="Z26" i="1"/>
  <c r="Z28" i="1"/>
  <c r="Z30" i="1"/>
  <c r="Z32" i="1"/>
  <c r="Z34" i="1"/>
  <c r="Z36" i="1"/>
  <c r="Z38" i="1"/>
  <c r="Z40" i="1"/>
  <c r="Z42" i="1"/>
  <c r="Z44" i="1"/>
  <c r="L55" i="1"/>
  <c r="L5" i="1" s="1"/>
  <c r="E5" i="1"/>
  <c r="Z55" i="1"/>
  <c r="Z56" i="1"/>
  <c r="Z58" i="1"/>
  <c r="Z60" i="1"/>
  <c r="Z62" i="1"/>
  <c r="Z64" i="1"/>
  <c r="Z66" i="1"/>
  <c r="Z68" i="1"/>
  <c r="Z72" i="1"/>
  <c r="Z74" i="1"/>
  <c r="Z76" i="1"/>
  <c r="Z78" i="1"/>
  <c r="Z80" i="1"/>
  <c r="Z82" i="1"/>
  <c r="Z86" i="1"/>
  <c r="Z88" i="1"/>
  <c r="Z92" i="1"/>
  <c r="Z94" i="1"/>
  <c r="Z98" i="1"/>
  <c r="Z104" i="1"/>
  <c r="Z106" i="1"/>
  <c r="Z108" i="1"/>
  <c r="Z110" i="1"/>
  <c r="Z112" i="1"/>
  <c r="Z114" i="1"/>
  <c r="Z116" i="1"/>
  <c r="Z118" i="1"/>
  <c r="Z126" i="1"/>
  <c r="AL113" i="1" l="1"/>
  <c r="Y113" i="1"/>
  <c r="AL102" i="1"/>
  <c r="Y102" i="1"/>
  <c r="AL85" i="1"/>
  <c r="Y85" i="1"/>
  <c r="AL30" i="1"/>
  <c r="Y30" i="1"/>
  <c r="AL26" i="1"/>
  <c r="Y26" i="1"/>
  <c r="AL18" i="1"/>
  <c r="Y18" i="1"/>
  <c r="AL92" i="1"/>
  <c r="Y92" i="1"/>
  <c r="Y123" i="1"/>
  <c r="AL123" i="1"/>
  <c r="AL57" i="1"/>
  <c r="Y57" i="1"/>
  <c r="AL54" i="1"/>
  <c r="Y54" i="1"/>
  <c r="Y51" i="1"/>
  <c r="AL51" i="1"/>
  <c r="AL49" i="1"/>
  <c r="Y49" i="1"/>
  <c r="Y47" i="1"/>
  <c r="AL47" i="1"/>
  <c r="AL46" i="1"/>
  <c r="Y46" i="1"/>
  <c r="Y43" i="1"/>
  <c r="AL43" i="1"/>
  <c r="AL40" i="1"/>
  <c r="Y40" i="1"/>
  <c r="AL62" i="1"/>
  <c r="Y62" i="1"/>
  <c r="AL42" i="1"/>
  <c r="Y42" i="1"/>
  <c r="Y87" i="1"/>
  <c r="AL87" i="1"/>
  <c r="Y83" i="1"/>
  <c r="AL83" i="1"/>
  <c r="AL44" i="1"/>
  <c r="Y44" i="1"/>
  <c r="AL34" i="1"/>
  <c r="Y34" i="1"/>
  <c r="Y11" i="1"/>
  <c r="AL11" i="1"/>
  <c r="AL6" i="1"/>
  <c r="Y6" i="1"/>
  <c r="V5" i="1"/>
  <c r="U5" i="1"/>
  <c r="AL5" i="1" l="1"/>
</calcChain>
</file>

<file path=xl/sharedStrings.xml><?xml version="1.0" encoding="utf-8"?>
<sst xmlns="http://schemas.openxmlformats.org/spreadsheetml/2006/main" count="463" uniqueCount="189">
  <si>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</si>
  <si>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</si>
  <si>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</si>
  <si>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</si>
  <si>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</si>
  <si>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</si>
  <si>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</si>
  <si>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</si>
  <si>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</si>
  <si>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</si>
  <si>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</si>
  <si>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</si>
  <si>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</si>
  <si>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</si>
  <si>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</si>
  <si>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</si>
  <si>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</si>
  <si>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</si>
  <si>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</si>
  <si>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</si>
  <si>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</si>
  <si>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</si>
  <si>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</si>
  <si>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25,10,</t>
  </si>
  <si>
    <t>25,10,доз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</si>
  <si>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</si>
  <si>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</si>
  <si>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</si>
  <si>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</si>
  <si>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</si>
  <si>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</si>
  <si>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</si>
  <si>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</si>
  <si>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</si>
  <si>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</si>
  <si>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</si>
  <si>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</si>
  <si>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</si>
  <si>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</si>
  <si>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</si>
  <si>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</si>
  <si>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</si>
  <si>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</si>
  <si>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</si>
  <si>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</si>
  <si>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</si>
  <si>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</si>
  <si>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</si>
  <si>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</si>
  <si>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</si>
  <si>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</si>
  <si>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</si>
  <si>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</si>
  <si>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</si>
  <si>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</si>
  <si>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</si>
  <si>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</si>
  <si>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</si>
  <si>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</si>
  <si>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</si>
  <si>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</si>
  <si>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</si>
  <si>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</si>
  <si>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</si>
  <si>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</si>
  <si>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</si>
  <si>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</si>
  <si>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</si>
  <si>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</si>
  <si>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</si>
  <si>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</si>
  <si>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</si>
  <si>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</si>
  <si>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</si>
  <si>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</si>
  <si>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</si>
  <si>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</si>
  <si>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</si>
  <si>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</si>
  <si>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</si>
  <si>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</si>
  <si>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</si>
  <si>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</si>
  <si>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</si>
  <si>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</si>
  <si>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</si>
  <si>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</si>
  <si>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</si>
  <si>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</si>
  <si>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</si>
  <si>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</si>
  <si>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</si>
  <si>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</si>
  <si>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</si>
  <si>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</si>
  <si>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</si>
  <si>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</si>
  <si>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</si>
  <si>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</si>
  <si>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</si>
  <si>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</si>
  <si>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</si>
  <si>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</si>
  <si>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</si>
  <si>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</si>
  <si>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</si>
  <si>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</si>
  <si>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</si>
  <si>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</si>
  <si>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</si>
  <si>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</si>
  <si>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</si>
  <si>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</si>
  <si>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</si>
  <si>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</si>
  <si>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</si>
  <si>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</si>
  <si>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</si>
  <si>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</si>
  <si>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</si>
  <si>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</si>
  <si>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</si>
  <si>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</si>
  <si>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нужно увеличить продажи!!!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</si>
  <si>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</si>
  <si>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</si>
  <si>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</si>
  <si>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</si>
  <si>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</si>
  <si>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</si>
  <si>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</si>
  <si>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</si>
  <si>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</si>
  <si>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</si>
  <si>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</si>
  <si>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</si>
  <si>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</si>
  <si>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</si>
  <si>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</si>
  <si>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</si>
  <si>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</si>
  <si>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</si>
  <si>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</si>
  <si>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</si>
  <si>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</si>
  <si>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</si>
  <si>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</si>
  <si>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</si>
  <si>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</si>
  <si>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</si>
  <si>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</si>
  <si>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</si>
  <si>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</si>
  <si>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</si>
  <si>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</si>
  <si>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</si>
  <si>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</si>
  <si>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</si>
  <si>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</si>
  <si>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</si>
  <si>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</si>
  <si>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</si>
  <si>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</si>
  <si>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</si>
  <si>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</si>
  <si>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</si>
  <si>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</si>
  <si>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</si>
  <si>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</si>
  <si>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</si>
  <si>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</si>
  <si>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</si>
  <si>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</si>
  <si>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</si>
  <si>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</si>
  <si>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</si>
  <si>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</si>
  <si>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нужно увеличить продажи</t>
  </si>
  <si>
    <t>нужно увеличить продажи / 17шт списание сроки (11,08,26)</t>
  </si>
  <si>
    <t>нужно увеличить продажи / 546кг списано (19,09,26)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</si>
  <si>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</si>
  <si>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</si>
  <si>
    <t>ТК</t>
  </si>
  <si>
    <t>Боярко</t>
  </si>
  <si>
    <t>ТК ком</t>
  </si>
  <si>
    <t>SU004314 / новинка</t>
  </si>
  <si>
    <t>дн</t>
  </si>
  <si>
    <t>заказ</t>
  </si>
  <si>
    <t>01,11,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</si>
</sst>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710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18,10,</v>
          </cell>
          <cell r="P4" t="str">
            <v>25,10,</v>
          </cell>
          <cell r="Q4" t="str">
            <v>25,10,доз</v>
          </cell>
          <cell r="R4" t="str">
            <v>26,10,</v>
          </cell>
          <cell r="S4" t="str">
            <v>26,10,доз</v>
          </cell>
          <cell r="T4" t="str">
            <v>27,10,</v>
          </cell>
        </row>
        <row r="5">
          <cell r="E5">
            <v>13753.182999999999</v>
          </cell>
          <cell r="F5">
            <v>16049.241999999997</v>
          </cell>
          <cell r="K5">
            <v>14470.699999999999</v>
          </cell>
          <cell r="L5">
            <v>-717.5169999999996</v>
          </cell>
          <cell r="M5">
            <v>0</v>
          </cell>
          <cell r="N5">
            <v>0</v>
          </cell>
          <cell r="O5">
            <v>10903.716513840549</v>
          </cell>
          <cell r="P5">
            <v>10886.695379999996</v>
          </cell>
          <cell r="Q5">
            <v>510</v>
          </cell>
          <cell r="R5">
            <v>5559.3784546007237</v>
          </cell>
          <cell r="S5">
            <v>330</v>
          </cell>
          <cell r="T5">
            <v>2750.6366000000007</v>
          </cell>
          <cell r="U5">
            <v>2707.0385573992749</v>
          </cell>
          <cell r="V5">
            <v>970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112.307</v>
          </cell>
          <cell r="D6">
            <v>57.747</v>
          </cell>
          <cell r="E6">
            <v>133.88300000000001</v>
          </cell>
          <cell r="F6">
            <v>30.204000000000001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132.69999999999999</v>
          </cell>
          <cell r="L6">
            <v>1.1830000000000211</v>
          </cell>
          <cell r="O6">
            <v>0</v>
          </cell>
          <cell r="P6">
            <v>154.03360000000001</v>
          </cell>
          <cell r="R6">
            <v>106.4625040000001</v>
          </cell>
          <cell r="T6">
            <v>26.776600000000002</v>
          </cell>
          <cell r="U6">
            <v>3.8424959999999047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-0.68100000000000005</v>
          </cell>
          <cell r="D7">
            <v>220.87</v>
          </cell>
          <cell r="E7">
            <v>216.76</v>
          </cell>
          <cell r="F7">
            <v>-1.17</v>
          </cell>
          <cell r="G7">
            <v>1</v>
          </cell>
          <cell r="H7">
            <v>45</v>
          </cell>
          <cell r="I7" t="str">
            <v>матрица</v>
          </cell>
          <cell r="K7">
            <v>221.3</v>
          </cell>
          <cell r="L7">
            <v>-4.5400000000000205</v>
          </cell>
          <cell r="O7">
            <v>585.08500000000004</v>
          </cell>
          <cell r="P7">
            <v>150</v>
          </cell>
          <cell r="R7">
            <v>0</v>
          </cell>
          <cell r="T7">
            <v>43.351999999999997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124.54600000000001</v>
          </cell>
          <cell r="D8">
            <v>209.79599999999999</v>
          </cell>
          <cell r="E8">
            <v>254.57300000000001</v>
          </cell>
          <cell r="F8">
            <v>75.090999999999994</v>
          </cell>
          <cell r="G8">
            <v>1</v>
          </cell>
          <cell r="H8">
            <v>45</v>
          </cell>
          <cell r="I8" t="str">
            <v>матрица</v>
          </cell>
          <cell r="K8">
            <v>251.6</v>
          </cell>
          <cell r="L8">
            <v>2.9730000000000132</v>
          </cell>
          <cell r="O8">
            <v>114.873</v>
          </cell>
          <cell r="P8">
            <v>361.46251999999993</v>
          </cell>
          <cell r="R8">
            <v>37.921128000000152</v>
          </cell>
          <cell r="T8">
            <v>50.9146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90</v>
          </cell>
          <cell r="D10">
            <v>360</v>
          </cell>
          <cell r="E10">
            <v>125</v>
          </cell>
          <cell r="F10">
            <v>277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227</v>
          </cell>
          <cell r="L10">
            <v>-102</v>
          </cell>
          <cell r="O10">
            <v>313.19999999999987</v>
          </cell>
          <cell r="P10">
            <v>0</v>
          </cell>
          <cell r="R10">
            <v>0</v>
          </cell>
          <cell r="T10">
            <v>25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393</v>
          </cell>
          <cell r="D11">
            <v>408</v>
          </cell>
          <cell r="E11">
            <v>308</v>
          </cell>
          <cell r="F11">
            <v>444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345</v>
          </cell>
          <cell r="L11">
            <v>-37</v>
          </cell>
          <cell r="O11">
            <v>0</v>
          </cell>
          <cell r="P11">
            <v>0</v>
          </cell>
          <cell r="R11">
            <v>20.259999999999991</v>
          </cell>
          <cell r="T11">
            <v>61.6</v>
          </cell>
          <cell r="U11">
            <v>213.34000000000003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75</v>
          </cell>
          <cell r="D12">
            <v>225</v>
          </cell>
          <cell r="E12">
            <v>48</v>
          </cell>
          <cell r="F12">
            <v>243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49</v>
          </cell>
          <cell r="L12">
            <v>-1</v>
          </cell>
          <cell r="O12">
            <v>101.3</v>
          </cell>
          <cell r="P12">
            <v>0</v>
          </cell>
          <cell r="R12">
            <v>0</v>
          </cell>
          <cell r="T12">
            <v>9.6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E13">
            <v>-3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2</v>
          </cell>
          <cell r="L13">
            <v>-5</v>
          </cell>
          <cell r="O13">
            <v>242.6</v>
          </cell>
          <cell r="P13">
            <v>0</v>
          </cell>
          <cell r="R13">
            <v>0</v>
          </cell>
          <cell r="T13">
            <v>-0.6</v>
          </cell>
          <cell r="U13">
            <v>100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110</v>
          </cell>
          <cell r="D14">
            <v>225</v>
          </cell>
          <cell r="E14">
            <v>102</v>
          </cell>
          <cell r="F14">
            <v>219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103</v>
          </cell>
          <cell r="L14">
            <v>-1</v>
          </cell>
          <cell r="O14">
            <v>189.7</v>
          </cell>
          <cell r="P14">
            <v>0</v>
          </cell>
          <cell r="R14">
            <v>0</v>
          </cell>
          <cell r="T14">
            <v>20.399999999999999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108.508</v>
          </cell>
          <cell r="D15">
            <v>351.31900000000002</v>
          </cell>
          <cell r="E15">
            <v>177.501</v>
          </cell>
          <cell r="F15">
            <v>276.67200000000003</v>
          </cell>
          <cell r="G15">
            <v>1</v>
          </cell>
          <cell r="H15">
            <v>70</v>
          </cell>
          <cell r="I15" t="str">
            <v>матрица</v>
          </cell>
          <cell r="K15">
            <v>161.4</v>
          </cell>
          <cell r="L15">
            <v>16.100999999999999</v>
          </cell>
          <cell r="O15">
            <v>161.79140000000001</v>
          </cell>
          <cell r="P15">
            <v>0</v>
          </cell>
          <cell r="R15">
            <v>0</v>
          </cell>
          <cell r="T15">
            <v>35.5002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1210.1030000000001</v>
          </cell>
          <cell r="D16">
            <v>871.77800000000002</v>
          </cell>
          <cell r="E16">
            <v>1198.277</v>
          </cell>
          <cell r="F16">
            <v>850.47199999999998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1200</v>
          </cell>
          <cell r="L16">
            <v>-1.7229999999999563</v>
          </cell>
          <cell r="O16">
            <v>0</v>
          </cell>
          <cell r="P16">
            <v>2281.3259199999989</v>
          </cell>
          <cell r="Q16">
            <v>510</v>
          </cell>
          <cell r="R16">
            <v>0</v>
          </cell>
          <cell r="T16">
            <v>239.65540000000001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33.247999999999998</v>
          </cell>
          <cell r="D17">
            <v>4.0819999999999999</v>
          </cell>
          <cell r="E17">
            <v>12.43</v>
          </cell>
          <cell r="F17">
            <v>23.225000000000001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13.7</v>
          </cell>
          <cell r="L17">
            <v>-1.2699999999999996</v>
          </cell>
          <cell r="O17">
            <v>0</v>
          </cell>
          <cell r="P17">
            <v>0</v>
          </cell>
          <cell r="R17">
            <v>11.68300000000001</v>
          </cell>
          <cell r="T17">
            <v>2.4859999999999998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24.736000000000001</v>
          </cell>
          <cell r="D18">
            <v>21.43</v>
          </cell>
          <cell r="E18">
            <v>14.718</v>
          </cell>
          <cell r="F18">
            <v>24.954000000000001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20.3</v>
          </cell>
          <cell r="L18">
            <v>-5.5820000000000007</v>
          </cell>
          <cell r="O18">
            <v>0</v>
          </cell>
          <cell r="P18">
            <v>0</v>
          </cell>
          <cell r="R18">
            <v>0</v>
          </cell>
          <cell r="T18">
            <v>2.9436</v>
          </cell>
          <cell r="U18">
            <v>7.4255999999999958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18.096</v>
          </cell>
          <cell r="D19">
            <v>54.466999999999999</v>
          </cell>
          <cell r="E19">
            <v>12.122999999999999</v>
          </cell>
          <cell r="F19">
            <v>50.792000000000002</v>
          </cell>
          <cell r="G19">
            <v>1</v>
          </cell>
          <cell r="H19">
            <v>180</v>
          </cell>
          <cell r="I19" t="str">
            <v>матрица</v>
          </cell>
          <cell r="K19">
            <v>12.4</v>
          </cell>
          <cell r="L19">
            <v>-0.27700000000000102</v>
          </cell>
          <cell r="O19">
            <v>69.113400000000013</v>
          </cell>
          <cell r="P19">
            <v>0</v>
          </cell>
          <cell r="R19">
            <v>0</v>
          </cell>
          <cell r="T19">
            <v>2.4245999999999999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17.71</v>
          </cell>
          <cell r="D20">
            <v>99.935000000000002</v>
          </cell>
          <cell r="E20">
            <v>88.825999999999993</v>
          </cell>
          <cell r="F20">
            <v>24.431000000000001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124.1</v>
          </cell>
          <cell r="L20">
            <v>-35.274000000000001</v>
          </cell>
          <cell r="O20">
            <v>185.25030000000001</v>
          </cell>
          <cell r="P20">
            <v>53.343000000000004</v>
          </cell>
          <cell r="R20">
            <v>0</v>
          </cell>
          <cell r="T20">
            <v>17.7652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25.614999999999998</v>
          </cell>
          <cell r="D21">
            <v>31.725999999999999</v>
          </cell>
          <cell r="E21">
            <v>25.515000000000001</v>
          </cell>
          <cell r="F21">
            <v>30.074000000000002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22.6</v>
          </cell>
          <cell r="L21">
            <v>2.9149999999999991</v>
          </cell>
          <cell r="O21">
            <v>55.751300000000008</v>
          </cell>
          <cell r="P21">
            <v>0</v>
          </cell>
          <cell r="R21">
            <v>0</v>
          </cell>
          <cell r="T21">
            <v>5.1029999999999998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0.23499999999999999</v>
          </cell>
          <cell r="D22">
            <v>242.22900000000001</v>
          </cell>
          <cell r="E22">
            <v>47.244</v>
          </cell>
          <cell r="F22">
            <v>192.59800000000001</v>
          </cell>
          <cell r="G22">
            <v>1</v>
          </cell>
          <cell r="H22">
            <v>70</v>
          </cell>
          <cell r="I22" t="str">
            <v>матрица</v>
          </cell>
          <cell r="K22">
            <v>51.3</v>
          </cell>
          <cell r="L22">
            <v>-4.0559999999999974</v>
          </cell>
          <cell r="O22">
            <v>138.40110000000001</v>
          </cell>
          <cell r="P22">
            <v>0</v>
          </cell>
          <cell r="R22">
            <v>0</v>
          </cell>
          <cell r="T22">
            <v>9.4488000000000003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5.4409999999999998</v>
          </cell>
          <cell r="D23">
            <v>84.257999999999996</v>
          </cell>
          <cell r="E23">
            <v>7.73</v>
          </cell>
          <cell r="F23">
            <v>81.600999999999999</v>
          </cell>
          <cell r="G23">
            <v>1</v>
          </cell>
          <cell r="H23">
            <v>180</v>
          </cell>
          <cell r="I23" t="str">
            <v>матрица</v>
          </cell>
          <cell r="K23">
            <v>8.3000000000000007</v>
          </cell>
          <cell r="L23">
            <v>-0.57000000000000028</v>
          </cell>
          <cell r="O23">
            <v>57.665199999999992</v>
          </cell>
          <cell r="P23">
            <v>0</v>
          </cell>
          <cell r="R23">
            <v>0</v>
          </cell>
          <cell r="T23">
            <v>1.546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9.01</v>
          </cell>
          <cell r="D24">
            <v>158.12299999999999</v>
          </cell>
          <cell r="E24">
            <v>52.390999999999998</v>
          </cell>
          <cell r="F24">
            <v>112.559</v>
          </cell>
          <cell r="G24">
            <v>1</v>
          </cell>
          <cell r="H24">
            <v>70</v>
          </cell>
          <cell r="I24" t="str">
            <v>матрица</v>
          </cell>
          <cell r="K24">
            <v>48.3</v>
          </cell>
          <cell r="L24">
            <v>4.0910000000000011</v>
          </cell>
          <cell r="O24">
            <v>107.8818</v>
          </cell>
          <cell r="P24">
            <v>0</v>
          </cell>
          <cell r="R24">
            <v>0</v>
          </cell>
          <cell r="T24">
            <v>10.478199999999999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R25">
            <v>0</v>
          </cell>
          <cell r="T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234.089</v>
          </cell>
          <cell r="D26">
            <v>63.537999999999997</v>
          </cell>
          <cell r="E26">
            <v>104.361</v>
          </cell>
          <cell r="F26">
            <v>180.93899999999999</v>
          </cell>
          <cell r="G26">
            <v>1</v>
          </cell>
          <cell r="I26" t="str">
            <v>матрица</v>
          </cell>
          <cell r="K26">
            <v>109.9</v>
          </cell>
          <cell r="L26">
            <v>-5.5390000000000015</v>
          </cell>
          <cell r="O26">
            <v>0</v>
          </cell>
          <cell r="P26">
            <v>0</v>
          </cell>
          <cell r="R26">
            <v>0</v>
          </cell>
          <cell r="T26">
            <v>20.872199999999999</v>
          </cell>
          <cell r="U26">
            <v>48.655200000000008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-3.3000000000000002E-2</v>
          </cell>
          <cell r="D27">
            <v>218.93100000000001</v>
          </cell>
          <cell r="E27">
            <v>98.709000000000003</v>
          </cell>
          <cell r="F27">
            <v>105.983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95.3</v>
          </cell>
          <cell r="L27">
            <v>3.409000000000006</v>
          </cell>
          <cell r="O27">
            <v>168.59649999999999</v>
          </cell>
          <cell r="P27">
            <v>0</v>
          </cell>
          <cell r="R27">
            <v>0</v>
          </cell>
          <cell r="T27">
            <v>19.741800000000001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134.73500000000001</v>
          </cell>
          <cell r="D28">
            <v>89.918999999999997</v>
          </cell>
          <cell r="E28">
            <v>151.96799999999999</v>
          </cell>
          <cell r="F28">
            <v>56.546999999999997</v>
          </cell>
          <cell r="G28">
            <v>1</v>
          </cell>
          <cell r="H28">
            <v>30</v>
          </cell>
          <cell r="I28" t="str">
            <v>матрица</v>
          </cell>
          <cell r="K28">
            <v>162.4</v>
          </cell>
          <cell r="L28">
            <v>-10.432000000000016</v>
          </cell>
          <cell r="O28">
            <v>0</v>
          </cell>
          <cell r="P28">
            <v>170.44980000000001</v>
          </cell>
          <cell r="R28">
            <v>205.7657760000001</v>
          </cell>
          <cell r="T28">
            <v>30.393599999999999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-2.5999999999999999E-2</v>
          </cell>
          <cell r="D29">
            <v>463.41</v>
          </cell>
          <cell r="E29">
            <v>144.78200000000001</v>
          </cell>
          <cell r="F29">
            <v>290.67899999999997</v>
          </cell>
          <cell r="G29">
            <v>1</v>
          </cell>
          <cell r="H29">
            <v>40</v>
          </cell>
          <cell r="I29" t="str">
            <v>матрица</v>
          </cell>
          <cell r="K29">
            <v>151</v>
          </cell>
          <cell r="L29">
            <v>-6.2179999999999893</v>
          </cell>
          <cell r="O29">
            <v>1780.2706000000001</v>
          </cell>
          <cell r="P29">
            <v>0</v>
          </cell>
          <cell r="R29">
            <v>0</v>
          </cell>
          <cell r="T29">
            <v>28.956400000000002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-17.382999999999999</v>
          </cell>
          <cell r="D30">
            <v>88.757999999999996</v>
          </cell>
          <cell r="E30">
            <v>35.182000000000002</v>
          </cell>
          <cell r="F30">
            <v>34.731000000000002</v>
          </cell>
          <cell r="G30">
            <v>1</v>
          </cell>
          <cell r="H30">
            <v>40</v>
          </cell>
          <cell r="I30" t="str">
            <v>матрица</v>
          </cell>
          <cell r="K30">
            <v>31.9</v>
          </cell>
          <cell r="L30">
            <v>3.2820000000000036</v>
          </cell>
          <cell r="O30">
            <v>0</v>
          </cell>
          <cell r="P30">
            <v>10</v>
          </cell>
          <cell r="R30">
            <v>0</v>
          </cell>
          <cell r="T30">
            <v>7.0364000000000004</v>
          </cell>
          <cell r="U30">
            <v>32.669400000000003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-0.06</v>
          </cell>
          <cell r="D31">
            <v>140.928</v>
          </cell>
          <cell r="E31">
            <v>4.6449999999999996</v>
          </cell>
          <cell r="F31">
            <v>115.79300000000001</v>
          </cell>
          <cell r="G31">
            <v>1</v>
          </cell>
          <cell r="H31">
            <v>30</v>
          </cell>
          <cell r="I31" t="str">
            <v>матрица</v>
          </cell>
          <cell r="K31">
            <v>20.8</v>
          </cell>
          <cell r="L31">
            <v>-16.155000000000001</v>
          </cell>
          <cell r="O31">
            <v>150.5214</v>
          </cell>
          <cell r="P31">
            <v>0</v>
          </cell>
          <cell r="R31">
            <v>0</v>
          </cell>
          <cell r="T31">
            <v>0.92899999999999994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222.43</v>
          </cell>
          <cell r="D32">
            <v>43.476999999999997</v>
          </cell>
          <cell r="E32">
            <v>89.36</v>
          </cell>
          <cell r="F32">
            <v>171.05799999999999</v>
          </cell>
          <cell r="G32">
            <v>1</v>
          </cell>
          <cell r="H32">
            <v>50</v>
          </cell>
          <cell r="I32" t="str">
            <v>матрица</v>
          </cell>
          <cell r="K32">
            <v>89.1</v>
          </cell>
          <cell r="L32">
            <v>0.26000000000000512</v>
          </cell>
          <cell r="O32">
            <v>0</v>
          </cell>
          <cell r="P32">
            <v>0</v>
          </cell>
          <cell r="R32">
            <v>31.600000000000019</v>
          </cell>
          <cell r="T32">
            <v>17.872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237.05500000000001</v>
          </cell>
          <cell r="D33">
            <v>76.076999999999998</v>
          </cell>
          <cell r="E33">
            <v>78.468000000000004</v>
          </cell>
          <cell r="F33">
            <v>231.03800000000001</v>
          </cell>
          <cell r="G33">
            <v>1</v>
          </cell>
          <cell r="H33">
            <v>50</v>
          </cell>
          <cell r="I33" t="str">
            <v>матрица</v>
          </cell>
          <cell r="K33">
            <v>77.7</v>
          </cell>
          <cell r="L33">
            <v>0.76800000000000068</v>
          </cell>
          <cell r="O33">
            <v>0</v>
          </cell>
          <cell r="P33">
            <v>0</v>
          </cell>
          <cell r="R33">
            <v>0</v>
          </cell>
          <cell r="T33">
            <v>15.6936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1623</v>
          </cell>
          <cell r="D34">
            <v>102</v>
          </cell>
          <cell r="E34">
            <v>1133</v>
          </cell>
          <cell r="F34">
            <v>556</v>
          </cell>
          <cell r="G34">
            <v>0.4</v>
          </cell>
          <cell r="H34">
            <v>45</v>
          </cell>
          <cell r="I34" t="str">
            <v>матрица</v>
          </cell>
          <cell r="K34">
            <v>1142</v>
          </cell>
          <cell r="L34">
            <v>-9</v>
          </cell>
          <cell r="O34">
            <v>0</v>
          </cell>
          <cell r="P34">
            <v>806.92000000000019</v>
          </cell>
          <cell r="R34">
            <v>1123.1199999999999</v>
          </cell>
          <cell r="T34">
            <v>226.6</v>
          </cell>
          <cell r="U34">
            <v>6.5599999999998317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-1</v>
          </cell>
          <cell r="D35">
            <v>190</v>
          </cell>
          <cell r="E35">
            <v>23</v>
          </cell>
          <cell r="F35">
            <v>161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25</v>
          </cell>
          <cell r="L35">
            <v>-2</v>
          </cell>
          <cell r="O35">
            <v>64.5</v>
          </cell>
          <cell r="P35">
            <v>125.4</v>
          </cell>
          <cell r="R35">
            <v>0</v>
          </cell>
          <cell r="T35">
            <v>4.5999999999999996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313</v>
          </cell>
          <cell r="E36">
            <v>308</v>
          </cell>
          <cell r="F36">
            <v>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323</v>
          </cell>
          <cell r="L36">
            <v>-15</v>
          </cell>
          <cell r="O36">
            <v>0</v>
          </cell>
          <cell r="P36">
            <v>300</v>
          </cell>
          <cell r="R36">
            <v>432.70399999999989</v>
          </cell>
          <cell r="T36">
            <v>61.6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11</v>
          </cell>
          <cell r="D37">
            <v>108</v>
          </cell>
          <cell r="E37">
            <v>30</v>
          </cell>
          <cell r="F37">
            <v>88</v>
          </cell>
          <cell r="G37">
            <v>0.4</v>
          </cell>
          <cell r="H37">
            <v>40</v>
          </cell>
          <cell r="I37" t="str">
            <v>матрица</v>
          </cell>
          <cell r="K37">
            <v>30</v>
          </cell>
          <cell r="L37">
            <v>0</v>
          </cell>
          <cell r="O37">
            <v>59.399999999999991</v>
          </cell>
          <cell r="P37">
            <v>0</v>
          </cell>
          <cell r="R37">
            <v>0</v>
          </cell>
          <cell r="T37">
            <v>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48.054000000000002</v>
          </cell>
          <cell r="E38">
            <v>44.148000000000003</v>
          </cell>
          <cell r="F38">
            <v>2.621</v>
          </cell>
          <cell r="G38">
            <v>1</v>
          </cell>
          <cell r="H38">
            <v>45</v>
          </cell>
          <cell r="I38" t="str">
            <v>матрица</v>
          </cell>
          <cell r="K38">
            <v>41.4</v>
          </cell>
          <cell r="L38">
            <v>2.7480000000000047</v>
          </cell>
          <cell r="O38">
            <v>0</v>
          </cell>
          <cell r="P38">
            <v>35.746200000000002</v>
          </cell>
          <cell r="R38">
            <v>76.328775999999991</v>
          </cell>
          <cell r="T38">
            <v>8.829600000000001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-4</v>
          </cell>
          <cell r="D39">
            <v>820</v>
          </cell>
          <cell r="E39">
            <v>147</v>
          </cell>
          <cell r="F39">
            <v>648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151</v>
          </cell>
          <cell r="L39">
            <v>-4</v>
          </cell>
          <cell r="O39">
            <v>466.6</v>
          </cell>
          <cell r="P39">
            <v>0</v>
          </cell>
          <cell r="R39">
            <v>0</v>
          </cell>
          <cell r="T39">
            <v>29.4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114</v>
          </cell>
          <cell r="D40">
            <v>84</v>
          </cell>
          <cell r="E40">
            <v>143</v>
          </cell>
          <cell r="F40">
            <v>51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158</v>
          </cell>
          <cell r="L40">
            <v>-15</v>
          </cell>
          <cell r="O40">
            <v>0</v>
          </cell>
          <cell r="P40">
            <v>10</v>
          </cell>
          <cell r="R40">
            <v>152.93600000000001</v>
          </cell>
          <cell r="T40">
            <v>28.6</v>
          </cell>
          <cell r="U40">
            <v>100.66400000000002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283.41399999999999</v>
          </cell>
          <cell r="D41">
            <v>51.88</v>
          </cell>
          <cell r="E41">
            <v>135.40799999999999</v>
          </cell>
          <cell r="F41">
            <v>195.553</v>
          </cell>
          <cell r="G41">
            <v>1</v>
          </cell>
          <cell r="H41">
            <v>40</v>
          </cell>
          <cell r="I41" t="str">
            <v>матрица</v>
          </cell>
          <cell r="K41">
            <v>132.6</v>
          </cell>
          <cell r="L41">
            <v>2.8079999999999927</v>
          </cell>
          <cell r="O41">
            <v>0</v>
          </cell>
          <cell r="P41">
            <v>0</v>
          </cell>
          <cell r="R41">
            <v>140.46777599999999</v>
          </cell>
          <cell r="T41">
            <v>27.081599999999998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101</v>
          </cell>
          <cell r="D42">
            <v>48</v>
          </cell>
          <cell r="E42">
            <v>149</v>
          </cell>
          <cell r="G42">
            <v>0.4</v>
          </cell>
          <cell r="H42">
            <v>40</v>
          </cell>
          <cell r="I42" t="str">
            <v>матрица</v>
          </cell>
          <cell r="K42">
            <v>160</v>
          </cell>
          <cell r="L42">
            <v>-11</v>
          </cell>
          <cell r="O42">
            <v>53.400000000000027</v>
          </cell>
          <cell r="P42">
            <v>0</v>
          </cell>
          <cell r="R42">
            <v>107.488</v>
          </cell>
          <cell r="T42">
            <v>29.8</v>
          </cell>
          <cell r="U42">
            <v>166.91199999999998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189</v>
          </cell>
          <cell r="D43">
            <v>114</v>
          </cell>
          <cell r="E43">
            <v>183</v>
          </cell>
          <cell r="F43">
            <v>116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186</v>
          </cell>
          <cell r="L43">
            <v>-3</v>
          </cell>
          <cell r="O43">
            <v>0</v>
          </cell>
          <cell r="P43">
            <v>28.720000000000031</v>
          </cell>
          <cell r="R43">
            <v>215.35199999999989</v>
          </cell>
          <cell r="T43">
            <v>36.6</v>
          </cell>
          <cell r="U43">
            <v>42.528000000000105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183.11600000000001</v>
          </cell>
          <cell r="D44">
            <v>152.57900000000001</v>
          </cell>
          <cell r="E44">
            <v>153.59</v>
          </cell>
          <cell r="F44">
            <v>178.46100000000001</v>
          </cell>
          <cell r="G44">
            <v>1</v>
          </cell>
          <cell r="H44">
            <v>40</v>
          </cell>
          <cell r="I44" t="str">
            <v>матрица</v>
          </cell>
          <cell r="K44">
            <v>143.69999999999999</v>
          </cell>
          <cell r="L44">
            <v>9.8900000000000148</v>
          </cell>
          <cell r="O44">
            <v>76.328799999999987</v>
          </cell>
          <cell r="P44">
            <v>0</v>
          </cell>
          <cell r="R44">
            <v>58.049791999999947</v>
          </cell>
          <cell r="T44">
            <v>30.718</v>
          </cell>
          <cell r="U44">
            <v>25.058408000000043</v>
          </cell>
          <cell r="V44">
            <v>240</v>
          </cell>
          <cell r="W44" t="str">
            <v>Промо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-7</v>
          </cell>
          <cell r="D45">
            <v>42</v>
          </cell>
          <cell r="E45">
            <v>10</v>
          </cell>
          <cell r="F45">
            <v>19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10</v>
          </cell>
          <cell r="L45">
            <v>0</v>
          </cell>
          <cell r="O45">
            <v>383.4</v>
          </cell>
          <cell r="P45">
            <v>0</v>
          </cell>
          <cell r="R45">
            <v>0</v>
          </cell>
          <cell r="T45">
            <v>2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175</v>
          </cell>
          <cell r="D46">
            <v>102</v>
          </cell>
          <cell r="E46">
            <v>200</v>
          </cell>
          <cell r="F46">
            <v>68</v>
          </cell>
          <cell r="G46">
            <v>0.4</v>
          </cell>
          <cell r="H46">
            <v>40</v>
          </cell>
          <cell r="I46" t="str">
            <v>матрица</v>
          </cell>
          <cell r="K46">
            <v>264</v>
          </cell>
          <cell r="L46">
            <v>-64</v>
          </cell>
          <cell r="O46">
            <v>242.08</v>
          </cell>
          <cell r="P46">
            <v>25</v>
          </cell>
          <cell r="R46">
            <v>0</v>
          </cell>
          <cell r="T46">
            <v>40</v>
          </cell>
          <cell r="U46">
            <v>104.91999999999999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35.106999999999999</v>
          </cell>
          <cell r="D47">
            <v>54.006</v>
          </cell>
          <cell r="E47">
            <v>59.405999999999999</v>
          </cell>
          <cell r="F47">
            <v>29.707000000000001</v>
          </cell>
          <cell r="G47">
            <v>1</v>
          </cell>
          <cell r="H47">
            <v>50</v>
          </cell>
          <cell r="I47" t="str">
            <v>матрица</v>
          </cell>
          <cell r="K47">
            <v>51.5</v>
          </cell>
          <cell r="L47">
            <v>7.9059999999999988</v>
          </cell>
          <cell r="O47">
            <v>0</v>
          </cell>
          <cell r="P47">
            <v>17.342000000000009</v>
          </cell>
          <cell r="R47">
            <v>26.702999999999982</v>
          </cell>
          <cell r="T47">
            <v>11.8812</v>
          </cell>
          <cell r="U47">
            <v>56.941200000000002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56.082999999999998</v>
          </cell>
          <cell r="D48">
            <v>76.798000000000002</v>
          </cell>
          <cell r="E48">
            <v>78.837999999999994</v>
          </cell>
          <cell r="F48">
            <v>51.944000000000003</v>
          </cell>
          <cell r="G48">
            <v>1</v>
          </cell>
          <cell r="H48">
            <v>50</v>
          </cell>
          <cell r="I48" t="str">
            <v>матрица</v>
          </cell>
          <cell r="K48">
            <v>76.5</v>
          </cell>
          <cell r="L48">
            <v>2.3379999999999939</v>
          </cell>
          <cell r="O48">
            <v>0</v>
          </cell>
          <cell r="P48">
            <v>82.079300000000018</v>
          </cell>
          <cell r="R48">
            <v>55.143680000000003</v>
          </cell>
          <cell r="T48">
            <v>15.767599999999998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178.001</v>
          </cell>
          <cell r="D49">
            <v>17.550999999999998</v>
          </cell>
          <cell r="E49">
            <v>151.845</v>
          </cell>
          <cell r="F49">
            <v>37.871000000000002</v>
          </cell>
          <cell r="G49">
            <v>1</v>
          </cell>
          <cell r="H49">
            <v>45</v>
          </cell>
          <cell r="I49" t="str">
            <v>матрица</v>
          </cell>
          <cell r="K49">
            <v>145.19999999999999</v>
          </cell>
          <cell r="L49">
            <v>6.6450000000000102</v>
          </cell>
          <cell r="O49">
            <v>0</v>
          </cell>
          <cell r="P49">
            <v>0</v>
          </cell>
          <cell r="R49">
            <v>119.118216</v>
          </cell>
          <cell r="T49">
            <v>30.369</v>
          </cell>
          <cell r="U49">
            <v>177.06978399999994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63</v>
          </cell>
          <cell r="D50">
            <v>100</v>
          </cell>
          <cell r="E50">
            <v>77</v>
          </cell>
          <cell r="F50">
            <v>75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119</v>
          </cell>
          <cell r="L50">
            <v>-42</v>
          </cell>
          <cell r="O50">
            <v>127.32</v>
          </cell>
          <cell r="P50">
            <v>0</v>
          </cell>
          <cell r="R50">
            <v>0</v>
          </cell>
          <cell r="T50">
            <v>15.4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55</v>
          </cell>
          <cell r="D51">
            <v>210</v>
          </cell>
          <cell r="E51">
            <v>115</v>
          </cell>
          <cell r="F51">
            <v>135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117</v>
          </cell>
          <cell r="L51">
            <v>-2</v>
          </cell>
          <cell r="O51">
            <v>72.199999999999989</v>
          </cell>
          <cell r="P51">
            <v>0</v>
          </cell>
          <cell r="R51">
            <v>7.5999999999999943</v>
          </cell>
          <cell r="T51">
            <v>23</v>
          </cell>
          <cell r="U51">
            <v>38.200000000000017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-1</v>
          </cell>
          <cell r="D52">
            <v>60</v>
          </cell>
          <cell r="E52">
            <v>36</v>
          </cell>
          <cell r="F52">
            <v>22</v>
          </cell>
          <cell r="G52">
            <v>0.4</v>
          </cell>
          <cell r="H52">
            <v>40</v>
          </cell>
          <cell r="I52" t="str">
            <v>матрица</v>
          </cell>
          <cell r="K52">
            <v>43</v>
          </cell>
          <cell r="L52">
            <v>-7</v>
          </cell>
          <cell r="O52">
            <v>103.2</v>
          </cell>
          <cell r="P52">
            <v>0</v>
          </cell>
          <cell r="R52">
            <v>0</v>
          </cell>
          <cell r="T52">
            <v>7.2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D53">
            <v>108</v>
          </cell>
          <cell r="E53">
            <v>21</v>
          </cell>
          <cell r="F53">
            <v>86</v>
          </cell>
          <cell r="G53">
            <v>0.4</v>
          </cell>
          <cell r="H53">
            <v>40</v>
          </cell>
          <cell r="I53" t="str">
            <v>матрица</v>
          </cell>
          <cell r="K53">
            <v>22</v>
          </cell>
          <cell r="L53">
            <v>-1</v>
          </cell>
          <cell r="O53">
            <v>67.599999999999994</v>
          </cell>
          <cell r="P53">
            <v>0</v>
          </cell>
          <cell r="R53">
            <v>0</v>
          </cell>
          <cell r="T53">
            <v>4.2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30.954000000000001</v>
          </cell>
          <cell r="D54">
            <v>76.602000000000004</v>
          </cell>
          <cell r="E54">
            <v>56.415999999999997</v>
          </cell>
          <cell r="F54">
            <v>49.783999999999999</v>
          </cell>
          <cell r="G54">
            <v>1</v>
          </cell>
          <cell r="H54">
            <v>50</v>
          </cell>
          <cell r="I54" t="str">
            <v>матрица</v>
          </cell>
          <cell r="K54">
            <v>51.7</v>
          </cell>
          <cell r="L54">
            <v>4.715999999999994</v>
          </cell>
          <cell r="O54">
            <v>0</v>
          </cell>
          <cell r="P54">
            <v>10</v>
          </cell>
          <cell r="R54">
            <v>37.390800000000013</v>
          </cell>
          <cell r="T54">
            <v>11.283199999999999</v>
          </cell>
          <cell r="U54">
            <v>26.940399999999975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118</v>
          </cell>
          <cell r="D55">
            <v>607</v>
          </cell>
          <cell r="E55">
            <v>243</v>
          </cell>
          <cell r="F55">
            <v>472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190</v>
          </cell>
          <cell r="L55">
            <v>53</v>
          </cell>
          <cell r="O55">
            <v>271.10000000000002</v>
          </cell>
          <cell r="P55">
            <v>0</v>
          </cell>
          <cell r="R55">
            <v>0</v>
          </cell>
          <cell r="T55">
            <v>48.6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14.821999999999999</v>
          </cell>
          <cell r="D56">
            <v>128.49600000000001</v>
          </cell>
          <cell r="E56">
            <v>26.28</v>
          </cell>
          <cell r="F56">
            <v>116.428</v>
          </cell>
          <cell r="G56">
            <v>1</v>
          </cell>
          <cell r="H56">
            <v>50</v>
          </cell>
          <cell r="I56" t="str">
            <v>матрица</v>
          </cell>
          <cell r="K56">
            <v>23.7</v>
          </cell>
          <cell r="L56">
            <v>2.5800000000000018</v>
          </cell>
          <cell r="O56">
            <v>63.894200000000012</v>
          </cell>
          <cell r="P56">
            <v>0</v>
          </cell>
          <cell r="R56">
            <v>0</v>
          </cell>
          <cell r="T56">
            <v>5.2560000000000002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42.021999999999998</v>
          </cell>
          <cell r="D57">
            <v>32.914000000000001</v>
          </cell>
          <cell r="E57">
            <v>25.875</v>
          </cell>
          <cell r="F57">
            <v>49.061</v>
          </cell>
          <cell r="G57">
            <v>1</v>
          </cell>
          <cell r="H57">
            <v>55</v>
          </cell>
          <cell r="I57" t="str">
            <v>матрица</v>
          </cell>
          <cell r="K57">
            <v>25.2</v>
          </cell>
          <cell r="L57">
            <v>0.67500000000000071</v>
          </cell>
          <cell r="O57">
            <v>0</v>
          </cell>
          <cell r="P57">
            <v>0</v>
          </cell>
          <cell r="R57">
            <v>4</v>
          </cell>
          <cell r="T57">
            <v>5.1749999999999998</v>
          </cell>
          <cell r="U57">
            <v>3.8639999999999972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6</v>
          </cell>
          <cell r="D58">
            <v>625</v>
          </cell>
          <cell r="E58">
            <v>173</v>
          </cell>
          <cell r="F58">
            <v>443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187</v>
          </cell>
          <cell r="L58">
            <v>-14</v>
          </cell>
          <cell r="O58">
            <v>318.8</v>
          </cell>
          <cell r="P58">
            <v>0</v>
          </cell>
          <cell r="R58">
            <v>0</v>
          </cell>
          <cell r="T58">
            <v>34.6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2</v>
          </cell>
          <cell r="E59">
            <v>2</v>
          </cell>
          <cell r="G59">
            <v>0.4</v>
          </cell>
          <cell r="H59">
            <v>50</v>
          </cell>
          <cell r="I59" t="str">
            <v>матрица</v>
          </cell>
          <cell r="K59">
            <v>3</v>
          </cell>
          <cell r="L59">
            <v>-1</v>
          </cell>
          <cell r="O59">
            <v>9.5</v>
          </cell>
          <cell r="P59">
            <v>14.9</v>
          </cell>
          <cell r="R59">
            <v>4.3999999999999968</v>
          </cell>
          <cell r="T59">
            <v>0.4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8.9239999999999995</v>
          </cell>
          <cell r="D60">
            <v>240.65799999999999</v>
          </cell>
          <cell r="E60">
            <v>67.013000000000005</v>
          </cell>
          <cell r="F60">
            <v>178.541</v>
          </cell>
          <cell r="G60">
            <v>1</v>
          </cell>
          <cell r="H60">
            <v>40</v>
          </cell>
          <cell r="I60" t="str">
            <v>матрица</v>
          </cell>
          <cell r="K60">
            <v>107.6</v>
          </cell>
          <cell r="L60">
            <v>-40.586999999999989</v>
          </cell>
          <cell r="O60">
            <v>91.489727907711909</v>
          </cell>
          <cell r="P60">
            <v>139.47898000000001</v>
          </cell>
          <cell r="R60">
            <v>0</v>
          </cell>
          <cell r="T60">
            <v>13.402600000000001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-1.32</v>
          </cell>
          <cell r="D61">
            <v>98.024000000000001</v>
          </cell>
          <cell r="E61">
            <v>51.021999999999998</v>
          </cell>
          <cell r="F61">
            <v>43.164000000000001</v>
          </cell>
          <cell r="G61">
            <v>1</v>
          </cell>
          <cell r="H61">
            <v>40</v>
          </cell>
          <cell r="I61" t="str">
            <v>матрица</v>
          </cell>
          <cell r="K61">
            <v>76.5</v>
          </cell>
          <cell r="L61">
            <v>-25.478000000000002</v>
          </cell>
          <cell r="O61">
            <v>158.49119999999999</v>
          </cell>
          <cell r="P61">
            <v>20.865799999999989</v>
          </cell>
          <cell r="R61">
            <v>0</v>
          </cell>
          <cell r="T61">
            <v>10.2044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461</v>
          </cell>
          <cell r="E62">
            <v>430</v>
          </cell>
          <cell r="F62">
            <v>9</v>
          </cell>
          <cell r="G62">
            <v>0.4</v>
          </cell>
          <cell r="H62">
            <v>40</v>
          </cell>
          <cell r="I62" t="str">
            <v>матрица</v>
          </cell>
          <cell r="K62">
            <v>440</v>
          </cell>
          <cell r="L62">
            <v>-10</v>
          </cell>
          <cell r="O62">
            <v>0</v>
          </cell>
          <cell r="P62">
            <v>442.16000000000008</v>
          </cell>
          <cell r="R62">
            <v>284.91199999999998</v>
          </cell>
          <cell r="T62">
            <v>86</v>
          </cell>
          <cell r="U62">
            <v>209.92799999999988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176</v>
          </cell>
          <cell r="D63">
            <v>24</v>
          </cell>
          <cell r="E63">
            <v>192</v>
          </cell>
          <cell r="F63">
            <v>1</v>
          </cell>
          <cell r="G63">
            <v>0.4</v>
          </cell>
          <cell r="H63">
            <v>40</v>
          </cell>
          <cell r="I63" t="str">
            <v>матрица</v>
          </cell>
          <cell r="K63">
            <v>265</v>
          </cell>
          <cell r="L63">
            <v>-73</v>
          </cell>
          <cell r="O63">
            <v>148.4</v>
          </cell>
          <cell r="P63">
            <v>70</v>
          </cell>
          <cell r="R63">
            <v>283.79199999999997</v>
          </cell>
          <cell r="T63">
            <v>38.4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149.57400000000001</v>
          </cell>
          <cell r="D64">
            <v>46.06</v>
          </cell>
          <cell r="E64">
            <v>168.63</v>
          </cell>
          <cell r="F64">
            <v>20.567</v>
          </cell>
          <cell r="G64">
            <v>1</v>
          </cell>
          <cell r="H64">
            <v>40</v>
          </cell>
          <cell r="I64" t="str">
            <v>матрица</v>
          </cell>
          <cell r="K64">
            <v>159.69999999999999</v>
          </cell>
          <cell r="L64">
            <v>8.9300000000000068</v>
          </cell>
          <cell r="O64">
            <v>0</v>
          </cell>
          <cell r="P64">
            <v>100.7732</v>
          </cell>
          <cell r="R64">
            <v>254.09481600000009</v>
          </cell>
          <cell r="T64">
            <v>33.725999999999999</v>
          </cell>
          <cell r="V64">
            <v>330</v>
          </cell>
          <cell r="W64" t="str">
            <v>Промо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-0.39100000000000001</v>
          </cell>
          <cell r="D65">
            <v>156.22999999999999</v>
          </cell>
          <cell r="E65">
            <v>85.509</v>
          </cell>
          <cell r="F65">
            <v>65.808999999999997</v>
          </cell>
          <cell r="G65">
            <v>1</v>
          </cell>
          <cell r="H65">
            <v>40</v>
          </cell>
          <cell r="I65" t="str">
            <v>матрица</v>
          </cell>
          <cell r="K65">
            <v>82.4</v>
          </cell>
          <cell r="L65">
            <v>3.1089999999999947</v>
          </cell>
          <cell r="O65">
            <v>0</v>
          </cell>
          <cell r="P65">
            <v>150</v>
          </cell>
          <cell r="R65">
            <v>0</v>
          </cell>
          <cell r="T65">
            <v>17.101800000000001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-0.13100000000000001</v>
          </cell>
          <cell r="D66">
            <v>270.72399999999999</v>
          </cell>
          <cell r="E66">
            <v>28.082999999999998</v>
          </cell>
          <cell r="F66">
            <v>230.874</v>
          </cell>
          <cell r="G66">
            <v>1</v>
          </cell>
          <cell r="H66">
            <v>40</v>
          </cell>
          <cell r="I66" t="str">
            <v>матрица</v>
          </cell>
          <cell r="K66">
            <v>35</v>
          </cell>
          <cell r="L66">
            <v>-6.9170000000000016</v>
          </cell>
          <cell r="O66">
            <v>312.10059999999999</v>
          </cell>
          <cell r="P66">
            <v>150</v>
          </cell>
          <cell r="R66">
            <v>0</v>
          </cell>
          <cell r="T66">
            <v>5.6166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11.334</v>
          </cell>
          <cell r="D67">
            <v>75.838999999999999</v>
          </cell>
          <cell r="E67">
            <v>56.947000000000003</v>
          </cell>
          <cell r="F67">
            <v>26.684999999999999</v>
          </cell>
          <cell r="G67">
            <v>1</v>
          </cell>
          <cell r="H67">
            <v>40</v>
          </cell>
          <cell r="I67" t="str">
            <v>матрица</v>
          </cell>
          <cell r="K67">
            <v>67.7</v>
          </cell>
          <cell r="L67">
            <v>-10.753</v>
          </cell>
          <cell r="O67">
            <v>0</v>
          </cell>
          <cell r="P67">
            <v>105.7672</v>
          </cell>
          <cell r="R67">
            <v>38.743600000000001</v>
          </cell>
          <cell r="T67">
            <v>11.3894</v>
          </cell>
        </row>
        <row r="68">
          <cell r="A68" t="str">
            <v xml:space="preserve"> 364  Сардельки Филейские Вязанка ВЕС NDX ТМ Вязанка  ПОКОМ</v>
          </cell>
          <cell r="B68" t="str">
            <v>кг</v>
          </cell>
          <cell r="C68">
            <v>2.8109999999999999</v>
          </cell>
          <cell r="D68">
            <v>151.36799999999999</v>
          </cell>
          <cell r="E68">
            <v>24.58</v>
          </cell>
          <cell r="F68">
            <v>90.718999999999994</v>
          </cell>
          <cell r="G68">
            <v>1</v>
          </cell>
          <cell r="H68">
            <v>30</v>
          </cell>
          <cell r="I68" t="str">
            <v>НЕДОГРУЗ / матрица</v>
          </cell>
          <cell r="K68">
            <v>55.3</v>
          </cell>
          <cell r="L68">
            <v>-30.72</v>
          </cell>
          <cell r="O68">
            <v>198.16589999999999</v>
          </cell>
          <cell r="P68">
            <v>0</v>
          </cell>
          <cell r="R68">
            <v>0</v>
          </cell>
          <cell r="T68">
            <v>4.9159999999999995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B69" t="str">
            <v>шт</v>
          </cell>
          <cell r="G69">
            <v>0</v>
          </cell>
          <cell r="H69">
            <v>60</v>
          </cell>
          <cell r="I69" t="str">
            <v>матрица</v>
          </cell>
          <cell r="L69">
            <v>0</v>
          </cell>
          <cell r="O69">
            <v>0</v>
          </cell>
          <cell r="P69">
            <v>0</v>
          </cell>
          <cell r="R69">
            <v>0</v>
          </cell>
          <cell r="T69">
            <v>0</v>
          </cell>
        </row>
        <row r="70">
          <cell r="A70" t="str">
            <v xml:space="preserve"> 377  Колбаса Молочная Дугушка 0,6кг ТМ Стародворье  ПОКОМ</v>
          </cell>
          <cell r="B70" t="str">
            <v>шт</v>
          </cell>
          <cell r="G70">
            <v>0</v>
          </cell>
          <cell r="H70">
            <v>60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B71" t="str">
            <v>шт</v>
          </cell>
          <cell r="D71">
            <v>120</v>
          </cell>
          <cell r="E71">
            <v>5</v>
          </cell>
          <cell r="F71">
            <v>108</v>
          </cell>
          <cell r="G71">
            <v>0.4</v>
          </cell>
          <cell r="H71">
            <v>90</v>
          </cell>
          <cell r="I71" t="str">
            <v>НЕДОГРУЗ / матрица</v>
          </cell>
          <cell r="K71">
            <v>5</v>
          </cell>
          <cell r="L71">
            <v>0</v>
          </cell>
          <cell r="O71">
            <v>0</v>
          </cell>
          <cell r="P71">
            <v>8</v>
          </cell>
          <cell r="R71">
            <v>0</v>
          </cell>
          <cell r="T71">
            <v>1</v>
          </cell>
        </row>
        <row r="72">
          <cell r="A72" t="str">
            <v xml:space="preserve"> 388  Сосиски Восточные Халяль ТМ Вязанка 0,33 кг АК. ПОКОМ</v>
          </cell>
          <cell r="B72" t="str">
            <v>шт</v>
          </cell>
          <cell r="C72">
            <v>173</v>
          </cell>
          <cell r="D72">
            <v>24</v>
          </cell>
          <cell r="E72">
            <v>139</v>
          </cell>
          <cell r="F72">
            <v>53</v>
          </cell>
          <cell r="G72">
            <v>0.33</v>
          </cell>
          <cell r="H72">
            <v>60</v>
          </cell>
          <cell r="I72" t="str">
            <v>матрица</v>
          </cell>
          <cell r="K72">
            <v>136</v>
          </cell>
          <cell r="L72">
            <v>3</v>
          </cell>
          <cell r="O72">
            <v>0</v>
          </cell>
          <cell r="P72">
            <v>75.399999999999977</v>
          </cell>
          <cell r="R72">
            <v>234.04800000000009</v>
          </cell>
          <cell r="T72">
            <v>27.8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B73" t="str">
            <v>шт</v>
          </cell>
          <cell r="D73">
            <v>120</v>
          </cell>
          <cell r="E73">
            <v>4</v>
          </cell>
          <cell r="F73">
            <v>109</v>
          </cell>
          <cell r="G73">
            <v>0.35</v>
          </cell>
          <cell r="H73">
            <v>90</v>
          </cell>
          <cell r="I73" t="str">
            <v>матрица</v>
          </cell>
          <cell r="K73">
            <v>9</v>
          </cell>
          <cell r="L73">
            <v>-5</v>
          </cell>
          <cell r="O73">
            <v>109.7</v>
          </cell>
          <cell r="P73">
            <v>10.10000000000001</v>
          </cell>
          <cell r="R73">
            <v>0</v>
          </cell>
          <cell r="T73">
            <v>0.8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B74" t="str">
            <v>шт</v>
          </cell>
          <cell r="D74">
            <v>30</v>
          </cell>
          <cell r="E74">
            <v>30</v>
          </cell>
          <cell r="G74">
            <v>0.37</v>
          </cell>
          <cell r="I74" t="str">
            <v>матрица</v>
          </cell>
          <cell r="K74">
            <v>30</v>
          </cell>
          <cell r="L74">
            <v>0</v>
          </cell>
          <cell r="O74">
            <v>26.5</v>
          </cell>
          <cell r="P74">
            <v>0</v>
          </cell>
          <cell r="R74">
            <v>0</v>
          </cell>
          <cell r="T74">
            <v>6</v>
          </cell>
          <cell r="U74">
            <v>33.5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B75" t="str">
            <v>шт</v>
          </cell>
          <cell r="C75">
            <v>-21.2</v>
          </cell>
          <cell r="D75">
            <v>56</v>
          </cell>
          <cell r="E75">
            <v>2</v>
          </cell>
          <cell r="F75">
            <v>32.799999999999997</v>
          </cell>
          <cell r="G75">
            <v>0.6</v>
          </cell>
          <cell r="H75">
            <v>70</v>
          </cell>
          <cell r="I75" t="str">
            <v>матрица</v>
          </cell>
          <cell r="K75">
            <v>2</v>
          </cell>
          <cell r="L75">
            <v>0</v>
          </cell>
          <cell r="O75">
            <v>0</v>
          </cell>
          <cell r="P75">
            <v>39.200000000000003</v>
          </cell>
          <cell r="R75">
            <v>0</v>
          </cell>
          <cell r="T75">
            <v>0.4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 t="str">
            <v>шт</v>
          </cell>
          <cell r="C76">
            <v>23</v>
          </cell>
          <cell r="D76">
            <v>66</v>
          </cell>
          <cell r="E76">
            <v>25</v>
          </cell>
          <cell r="F76">
            <v>61</v>
          </cell>
          <cell r="G76">
            <v>0.33</v>
          </cell>
          <cell r="H76">
            <v>40</v>
          </cell>
          <cell r="I76" t="str">
            <v>матрица</v>
          </cell>
          <cell r="K76">
            <v>26</v>
          </cell>
          <cell r="L76">
            <v>-1</v>
          </cell>
          <cell r="O76">
            <v>131.0816593886463</v>
          </cell>
          <cell r="P76">
            <v>0</v>
          </cell>
          <cell r="R76">
            <v>0</v>
          </cell>
          <cell r="T76">
            <v>5</v>
          </cell>
        </row>
        <row r="77">
          <cell r="A77" t="str">
            <v xml:space="preserve"> 408  Ветчина Сливушка с индейкой ТМ Вязанка, 0,4кг  ПОКОМ</v>
          </cell>
          <cell r="B77" t="str">
            <v>шт</v>
          </cell>
          <cell r="C77">
            <v>12</v>
          </cell>
          <cell r="D77">
            <v>57</v>
          </cell>
          <cell r="E77">
            <v>66</v>
          </cell>
          <cell r="G77">
            <v>0.4</v>
          </cell>
          <cell r="H77">
            <v>55</v>
          </cell>
          <cell r="I77" t="str">
            <v>матрица</v>
          </cell>
          <cell r="K77">
            <v>76</v>
          </cell>
          <cell r="L77">
            <v>-10</v>
          </cell>
          <cell r="O77">
            <v>10</v>
          </cell>
          <cell r="P77">
            <v>0</v>
          </cell>
          <cell r="R77">
            <v>35</v>
          </cell>
          <cell r="T77">
            <v>13.2</v>
          </cell>
          <cell r="U77">
            <v>73.8</v>
          </cell>
        </row>
        <row r="78">
          <cell r="A78" t="str">
            <v xml:space="preserve"> 410  Сосиски Баварские с сыром ТМ Стародворье 0,35 кг. ПОКОМ</v>
          </cell>
          <cell r="B78" t="str">
            <v>шт</v>
          </cell>
          <cell r="C78">
            <v>9</v>
          </cell>
          <cell r="D78">
            <v>18</v>
          </cell>
          <cell r="E78">
            <v>6</v>
          </cell>
          <cell r="F78">
            <v>21</v>
          </cell>
          <cell r="G78">
            <v>0.35</v>
          </cell>
          <cell r="H78">
            <v>40</v>
          </cell>
          <cell r="I78" t="str">
            <v>матрица</v>
          </cell>
          <cell r="K78">
            <v>6</v>
          </cell>
          <cell r="L78">
            <v>0</v>
          </cell>
          <cell r="O78">
            <v>35</v>
          </cell>
          <cell r="P78">
            <v>0</v>
          </cell>
          <cell r="R78">
            <v>0</v>
          </cell>
          <cell r="T78">
            <v>1.2</v>
          </cell>
        </row>
        <row r="79">
          <cell r="A79" t="str">
            <v xml:space="preserve"> 412  Сосиски Баварские ТМ Стародворье 0,35 кг ПОКОМ</v>
          </cell>
          <cell r="B79" t="str">
            <v>шт</v>
          </cell>
          <cell r="C79">
            <v>11</v>
          </cell>
          <cell r="D79">
            <v>36</v>
          </cell>
          <cell r="E79">
            <v>4</v>
          </cell>
          <cell r="F79">
            <v>43</v>
          </cell>
          <cell r="G79">
            <v>0.35</v>
          </cell>
          <cell r="H79">
            <v>45</v>
          </cell>
          <cell r="I79" t="str">
            <v>матрица</v>
          </cell>
          <cell r="K79">
            <v>4</v>
          </cell>
          <cell r="L79">
            <v>0</v>
          </cell>
          <cell r="O79">
            <v>32.299999999999997</v>
          </cell>
          <cell r="P79">
            <v>0</v>
          </cell>
          <cell r="R79">
            <v>0</v>
          </cell>
          <cell r="T79">
            <v>0.8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B80" t="str">
            <v>шт</v>
          </cell>
          <cell r="G80">
            <v>0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  <cell r="R80">
            <v>0</v>
          </cell>
          <cell r="T80">
            <v>0</v>
          </cell>
        </row>
        <row r="81">
          <cell r="A81" t="str">
            <v xml:space="preserve"> 433 Колбаса Стародворская со шпиком  в оболочке полиамид. ТМ Стародворье ВЕС ПОКОМ</v>
          </cell>
          <cell r="B81" t="str">
            <v>кг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R81">
            <v>0</v>
          </cell>
          <cell r="T81">
            <v>0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R82">
            <v>0</v>
          </cell>
          <cell r="T82">
            <v>0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131.77799999999999</v>
          </cell>
          <cell r="D83">
            <v>22.050999999999998</v>
          </cell>
          <cell r="E83">
            <v>95.125</v>
          </cell>
          <cell r="F83">
            <v>51.902999999999999</v>
          </cell>
          <cell r="G83">
            <v>1</v>
          </cell>
          <cell r="H83">
            <v>60</v>
          </cell>
          <cell r="I83" t="str">
            <v>матрица</v>
          </cell>
          <cell r="K83">
            <v>107.3</v>
          </cell>
          <cell r="L83">
            <v>-12.174999999999997</v>
          </cell>
          <cell r="O83">
            <v>0</v>
          </cell>
          <cell r="P83">
            <v>88.469799999999992</v>
          </cell>
          <cell r="R83">
            <v>12.505199999999959</v>
          </cell>
          <cell r="T83">
            <v>19.024999999999999</v>
          </cell>
          <cell r="U83">
            <v>56.397000000000041</v>
          </cell>
        </row>
        <row r="84">
          <cell r="A84" t="str">
            <v xml:space="preserve"> 451 Сосиски Филейские ТМ Вязанка в оболочке целлофан 0,3 кг.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R84">
            <v>0</v>
          </cell>
          <cell r="T84">
            <v>0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B85" t="str">
            <v>кг</v>
          </cell>
          <cell r="C85">
            <v>1822.606</v>
          </cell>
          <cell r="D85">
            <v>877.72</v>
          </cell>
          <cell r="E85">
            <v>1240.923</v>
          </cell>
          <cell r="F85">
            <v>1418.6179999999999</v>
          </cell>
          <cell r="G85">
            <v>1</v>
          </cell>
          <cell r="H85">
            <v>60</v>
          </cell>
          <cell r="I85" t="str">
            <v>матрица</v>
          </cell>
          <cell r="K85">
            <v>1225.3</v>
          </cell>
          <cell r="L85">
            <v>15.623000000000047</v>
          </cell>
          <cell r="O85">
            <v>0</v>
          </cell>
          <cell r="P85">
            <v>634.49695999999994</v>
          </cell>
          <cell r="R85">
            <v>11.40275060072463</v>
          </cell>
          <cell r="T85">
            <v>248.18459999999999</v>
          </cell>
          <cell r="U85">
            <v>665.51288939927554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B86" t="str">
            <v>кг</v>
          </cell>
          <cell r="C86">
            <v>56.603999999999999</v>
          </cell>
          <cell r="D86">
            <v>1135.136</v>
          </cell>
          <cell r="E86">
            <v>238.88900000000001</v>
          </cell>
          <cell r="F86">
            <v>934.38300000000004</v>
          </cell>
          <cell r="G86">
            <v>1</v>
          </cell>
          <cell r="H86">
            <v>60</v>
          </cell>
          <cell r="I86" t="str">
            <v>матрица</v>
          </cell>
          <cell r="K86">
            <v>252.5</v>
          </cell>
          <cell r="L86">
            <v>-13.61099999999999</v>
          </cell>
          <cell r="O86">
            <v>1632.0116</v>
          </cell>
          <cell r="P86">
            <v>0</v>
          </cell>
          <cell r="R86">
            <v>0</v>
          </cell>
          <cell r="T86">
            <v>47.777799999999999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B87" t="str">
            <v>кг</v>
          </cell>
          <cell r="C87">
            <v>1102.5340000000001</v>
          </cell>
          <cell r="D87">
            <v>1224.915</v>
          </cell>
          <cell r="E87">
            <v>1306.671</v>
          </cell>
          <cell r="F87">
            <v>980.36199999999997</v>
          </cell>
          <cell r="G87">
            <v>1</v>
          </cell>
          <cell r="H87">
            <v>60</v>
          </cell>
          <cell r="I87" t="str">
            <v>матрица</v>
          </cell>
          <cell r="K87">
            <v>1290</v>
          </cell>
          <cell r="L87">
            <v>16.671000000000049</v>
          </cell>
          <cell r="O87">
            <v>0</v>
          </cell>
          <cell r="P87">
            <v>1545.3247799999999</v>
          </cell>
          <cell r="R87">
            <v>0</v>
          </cell>
          <cell r="S87">
            <v>330</v>
          </cell>
          <cell r="T87">
            <v>261.33420000000001</v>
          </cell>
          <cell r="U87">
            <v>18.989419999999996</v>
          </cell>
        </row>
        <row r="88">
          <cell r="A88" t="str">
            <v xml:space="preserve"> 460  Колбаса Стародворская Традиционная ВЕС ТМ Стародворье в оболочке полиамид. ПОКОМ</v>
          </cell>
          <cell r="B88" t="str">
            <v>кг</v>
          </cell>
          <cell r="G88">
            <v>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  <cell r="R88">
            <v>0</v>
          </cell>
          <cell r="T88">
            <v>0</v>
          </cell>
        </row>
        <row r="89">
          <cell r="A89" t="str">
            <v xml:space="preserve"> 498  Колбаса Сочинка рубленая с сочным окороком 0,3кг ТМ Стародворье  ПОКОМ</v>
          </cell>
          <cell r="B89" t="str">
            <v>шт</v>
          </cell>
          <cell r="C89">
            <v>75</v>
          </cell>
          <cell r="D89">
            <v>55</v>
          </cell>
          <cell r="E89">
            <v>94</v>
          </cell>
          <cell r="F89">
            <v>30</v>
          </cell>
          <cell r="G89">
            <v>0.3</v>
          </cell>
          <cell r="H89">
            <v>40</v>
          </cell>
          <cell r="I89" t="str">
            <v>матрица</v>
          </cell>
          <cell r="K89">
            <v>103</v>
          </cell>
          <cell r="L89">
            <v>-9</v>
          </cell>
          <cell r="O89">
            <v>0</v>
          </cell>
          <cell r="P89">
            <v>110</v>
          </cell>
          <cell r="R89">
            <v>81.544000000000025</v>
          </cell>
          <cell r="T89">
            <v>18.8</v>
          </cell>
        </row>
        <row r="90">
          <cell r="A90" t="str">
            <v xml:space="preserve"> 517  Сосиски С сыром ТМ Ядрена копоть 0,3кг  ПОКОМ</v>
          </cell>
          <cell r="B90" t="str">
            <v>шт</v>
          </cell>
          <cell r="G90">
            <v>0</v>
          </cell>
          <cell r="I90" t="str">
            <v>НЕДОГРУЗ / матрица</v>
          </cell>
          <cell r="L90">
            <v>0</v>
          </cell>
          <cell r="O90">
            <v>0</v>
          </cell>
          <cell r="P90">
            <v>0</v>
          </cell>
          <cell r="R90">
            <v>0</v>
          </cell>
          <cell r="T90">
            <v>0</v>
          </cell>
        </row>
        <row r="91">
          <cell r="A91" t="str">
            <v xml:space="preserve"> 523  Колбаса Сальчичон нарезка 0,07кг ТМ Стародворье  ПОКОМ </v>
          </cell>
          <cell r="B91" t="str">
            <v>шт</v>
          </cell>
          <cell r="C91">
            <v>92</v>
          </cell>
          <cell r="D91">
            <v>118</v>
          </cell>
          <cell r="E91">
            <v>62</v>
          </cell>
          <cell r="F91">
            <v>147</v>
          </cell>
          <cell r="G91">
            <v>7.0000000000000007E-2</v>
          </cell>
          <cell r="H91">
            <v>90</v>
          </cell>
          <cell r="I91" t="str">
            <v>матрица</v>
          </cell>
          <cell r="K91">
            <v>63</v>
          </cell>
          <cell r="L91">
            <v>-1</v>
          </cell>
          <cell r="O91">
            <v>0</v>
          </cell>
          <cell r="P91">
            <v>0</v>
          </cell>
          <cell r="R91">
            <v>0</v>
          </cell>
          <cell r="T91">
            <v>12.4</v>
          </cell>
        </row>
        <row r="92">
          <cell r="A92" t="str">
            <v xml:space="preserve"> 524  Колбаса Сервелат Ореховый нарезка 0,07кг ТМ Стародворье  ПОКОМ</v>
          </cell>
          <cell r="B92" t="str">
            <v>шт</v>
          </cell>
          <cell r="C92">
            <v>50</v>
          </cell>
          <cell r="D92">
            <v>100</v>
          </cell>
          <cell r="E92">
            <v>67</v>
          </cell>
          <cell r="F92">
            <v>83</v>
          </cell>
          <cell r="G92">
            <v>7.0000000000000007E-2</v>
          </cell>
          <cell r="H92">
            <v>90</v>
          </cell>
          <cell r="I92" t="str">
            <v>матрица</v>
          </cell>
          <cell r="K92">
            <v>67</v>
          </cell>
          <cell r="L92">
            <v>0</v>
          </cell>
          <cell r="O92">
            <v>0</v>
          </cell>
          <cell r="P92">
            <v>0</v>
          </cell>
          <cell r="R92">
            <v>0</v>
          </cell>
          <cell r="T92">
            <v>13.4</v>
          </cell>
          <cell r="U92">
            <v>64.400000000000006</v>
          </cell>
        </row>
        <row r="93">
          <cell r="A93" t="str">
            <v xml:space="preserve"> 525  Колбаса Фуэт нарезка 0,07кг ТМ Стародворье  ПОКОМ</v>
          </cell>
          <cell r="B93" t="str">
            <v>шт</v>
          </cell>
          <cell r="C93">
            <v>20</v>
          </cell>
          <cell r="D93">
            <v>172</v>
          </cell>
          <cell r="E93">
            <v>83</v>
          </cell>
          <cell r="F93">
            <v>107</v>
          </cell>
          <cell r="G93">
            <v>7.0000000000000007E-2</v>
          </cell>
          <cell r="H93">
            <v>90</v>
          </cell>
          <cell r="I93" t="str">
            <v>матрица</v>
          </cell>
          <cell r="K93">
            <v>83</v>
          </cell>
          <cell r="L93">
            <v>0</v>
          </cell>
          <cell r="O93">
            <v>78.399999999999977</v>
          </cell>
          <cell r="P93">
            <v>0</v>
          </cell>
          <cell r="R93">
            <v>0</v>
          </cell>
          <cell r="T93">
            <v>16.600000000000001</v>
          </cell>
        </row>
        <row r="94">
          <cell r="A94" t="str">
            <v xml:space="preserve"> 544  Сосиски Мясные для гриля ТС Ядрена копоть 0,3 кг  ПОКОМ</v>
          </cell>
          <cell r="B94" t="str">
            <v>шт</v>
          </cell>
          <cell r="C94">
            <v>37</v>
          </cell>
          <cell r="E94">
            <v>13</v>
          </cell>
          <cell r="F94">
            <v>21</v>
          </cell>
          <cell r="G94">
            <v>0.3</v>
          </cell>
          <cell r="I94" t="str">
            <v>матрица</v>
          </cell>
          <cell r="K94">
            <v>14</v>
          </cell>
          <cell r="L94">
            <v>-1</v>
          </cell>
          <cell r="O94">
            <v>0</v>
          </cell>
          <cell r="P94">
            <v>0</v>
          </cell>
          <cell r="R94">
            <v>15.2</v>
          </cell>
          <cell r="T94">
            <v>2.6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6</v>
          </cell>
          <cell r="E95">
            <v>-12</v>
          </cell>
          <cell r="F95">
            <v>6</v>
          </cell>
          <cell r="G95">
            <v>0</v>
          </cell>
          <cell r="H95">
            <v>30</v>
          </cell>
          <cell r="I95" t="str">
            <v>матрица</v>
          </cell>
          <cell r="L95">
            <v>-12</v>
          </cell>
          <cell r="O95">
            <v>0</v>
          </cell>
          <cell r="P95">
            <v>0</v>
          </cell>
          <cell r="R95">
            <v>0</v>
          </cell>
          <cell r="T95">
            <v>-2.4</v>
          </cell>
        </row>
        <row r="96">
          <cell r="A96" t="str">
            <v xml:space="preserve"> 552  Ветчина Сливушка с индейкой ТМ Вязанка в модифицированной газовой среде 0,1 кг нарезка  ПОКОМ</v>
          </cell>
          <cell r="B96" t="str">
            <v>шт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P96">
            <v>0</v>
          </cell>
          <cell r="R96">
            <v>0</v>
          </cell>
          <cell r="T96">
            <v>0</v>
          </cell>
        </row>
        <row r="97">
          <cell r="A97" t="str">
            <v xml:space="preserve"> 553  Ассорти колбас Мясорубская коллекция: Сервелат Делюкс, С балыком 0,08 кг нарезка  ПОКОМ</v>
          </cell>
          <cell r="B97" t="str">
            <v>шт</v>
          </cell>
          <cell r="C97">
            <v>119</v>
          </cell>
          <cell r="D97">
            <v>45</v>
          </cell>
          <cell r="E97">
            <v>40</v>
          </cell>
          <cell r="F97">
            <v>121</v>
          </cell>
          <cell r="G97">
            <v>0.08</v>
          </cell>
          <cell r="H97">
            <v>45</v>
          </cell>
          <cell r="I97" t="str">
            <v>матрица</v>
          </cell>
          <cell r="K97">
            <v>43</v>
          </cell>
          <cell r="L97">
            <v>-3</v>
          </cell>
          <cell r="O97">
            <v>0</v>
          </cell>
          <cell r="P97">
            <v>0</v>
          </cell>
          <cell r="R97">
            <v>0</v>
          </cell>
          <cell r="T97">
            <v>8</v>
          </cell>
        </row>
        <row r="98">
          <cell r="A98" t="str">
            <v xml:space="preserve"> 554  Колбаса Сервелат Мясорубский ТМ Стародворье в упаковке скин 0,08 кг нарезка  ПОКОМ</v>
          </cell>
          <cell r="B98" t="str">
            <v>шт</v>
          </cell>
          <cell r="C98">
            <v>14</v>
          </cell>
          <cell r="D98">
            <v>110</v>
          </cell>
          <cell r="E98">
            <v>36</v>
          </cell>
          <cell r="F98">
            <v>87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37</v>
          </cell>
          <cell r="L98">
            <v>-1</v>
          </cell>
          <cell r="O98">
            <v>46.099999999999987</v>
          </cell>
          <cell r="P98">
            <v>0</v>
          </cell>
          <cell r="R98">
            <v>0</v>
          </cell>
          <cell r="T98">
            <v>7.2</v>
          </cell>
        </row>
        <row r="99">
          <cell r="A99" t="str">
            <v xml:space="preserve"> 555  Колбаса Молокуша ТМ Вязанка в модифицированной газовой среде 0,17 кг нарезка  ПОКОМ</v>
          </cell>
          <cell r="B99" t="str">
            <v>шт</v>
          </cell>
          <cell r="C99">
            <v>2</v>
          </cell>
          <cell r="D99">
            <v>5</v>
          </cell>
          <cell r="E99">
            <v>-1</v>
          </cell>
          <cell r="F99">
            <v>7</v>
          </cell>
          <cell r="G99">
            <v>0</v>
          </cell>
          <cell r="H99">
            <v>30</v>
          </cell>
          <cell r="I99" t="str">
            <v>матрица</v>
          </cell>
          <cell r="K99">
            <v>5</v>
          </cell>
          <cell r="L99">
            <v>-6</v>
          </cell>
          <cell r="O99">
            <v>0</v>
          </cell>
          <cell r="P99">
            <v>0</v>
          </cell>
          <cell r="R99">
            <v>0</v>
          </cell>
          <cell r="T99">
            <v>-0.2</v>
          </cell>
        </row>
        <row r="100">
          <cell r="A100" t="str">
            <v xml:space="preserve"> 556  Колбаса Сервелат Ореховый ТМ Вязанка в оболочке фиброуз в вакуумной упаковке, ВЕС  ПОКОМ</v>
          </cell>
          <cell r="B100" t="str">
            <v>кг</v>
          </cell>
          <cell r="C100">
            <v>-4.4480000000000004</v>
          </cell>
          <cell r="D100">
            <v>609.02499999999998</v>
          </cell>
          <cell r="E100">
            <v>114.491</v>
          </cell>
          <cell r="F100">
            <v>485.73899999999998</v>
          </cell>
          <cell r="G100">
            <v>1</v>
          </cell>
          <cell r="H100">
            <v>40</v>
          </cell>
          <cell r="I100" t="str">
            <v>матрица</v>
          </cell>
          <cell r="K100">
            <v>107.8</v>
          </cell>
          <cell r="L100">
            <v>6.6910000000000025</v>
          </cell>
          <cell r="O100">
            <v>109.3155</v>
          </cell>
          <cell r="P100">
            <v>200</v>
          </cell>
          <cell r="R100">
            <v>0</v>
          </cell>
          <cell r="T100">
            <v>22.898199999999999</v>
          </cell>
        </row>
        <row r="101">
          <cell r="A101" t="str">
            <v xml:space="preserve"> 557  Колбаса Сервелат Финский ТМ Вязанка в оболочке фиброуз в вакуумной упаковке, ВЕС  ПОКОМ</v>
          </cell>
          <cell r="B101" t="str">
            <v>кг</v>
          </cell>
          <cell r="C101">
            <v>-0.08</v>
          </cell>
          <cell r="D101">
            <v>514.51300000000003</v>
          </cell>
          <cell r="E101">
            <v>127.291</v>
          </cell>
          <cell r="F101">
            <v>380.67700000000002</v>
          </cell>
          <cell r="G101">
            <v>1</v>
          </cell>
          <cell r="H101">
            <v>40</v>
          </cell>
          <cell r="I101" t="str">
            <v>матрица</v>
          </cell>
          <cell r="K101">
            <v>124.9</v>
          </cell>
          <cell r="L101">
            <v>2.3909999999999911</v>
          </cell>
          <cell r="O101">
            <v>0</v>
          </cell>
          <cell r="P101">
            <v>200</v>
          </cell>
          <cell r="R101">
            <v>0</v>
          </cell>
          <cell r="T101">
            <v>25.458199999999998</v>
          </cell>
        </row>
        <row r="102">
          <cell r="A102" t="str">
            <v xml:space="preserve"> 558  Колбаса Балыковая НОВАЯ ВЕС Вязанка фиброуз в/у ПОКОМ</v>
          </cell>
          <cell r="B102" t="str">
            <v>кг</v>
          </cell>
          <cell r="C102">
            <v>25.956</v>
          </cell>
          <cell r="D102">
            <v>205.803</v>
          </cell>
          <cell r="E102">
            <v>182.55199999999999</v>
          </cell>
          <cell r="F102">
            <v>42.881999999999998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192.9</v>
          </cell>
          <cell r="L102">
            <v>-10.348000000000013</v>
          </cell>
          <cell r="O102">
            <v>0</v>
          </cell>
          <cell r="P102">
            <v>140</v>
          </cell>
          <cell r="R102">
            <v>38.839671999999979</v>
          </cell>
          <cell r="T102">
            <v>36.510399999999997</v>
          </cell>
          <cell r="U102">
            <v>179.89272799999998</v>
          </cell>
          <cell r="V102">
            <v>200</v>
          </cell>
          <cell r="W102" t="str">
            <v>Промо</v>
          </cell>
        </row>
        <row r="103">
          <cell r="A103" t="str">
            <v xml:space="preserve"> 564  Сосиски Сочные 0,3 кг ТМ Вязанка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  <cell r="R103">
            <v>0</v>
          </cell>
          <cell r="T103">
            <v>0</v>
          </cell>
        </row>
        <row r="104">
          <cell r="A104" t="str">
            <v xml:space="preserve"> 569  Колбаса Балыковая ТМ Вязанка в оболочке фиброуз в вакуумной упаковке 0,28 кг срез.  ПОКОМ</v>
          </cell>
          <cell r="B104" t="str">
            <v>шт</v>
          </cell>
          <cell r="C104">
            <v>65</v>
          </cell>
          <cell r="D104">
            <v>5</v>
          </cell>
          <cell r="E104">
            <v>66</v>
          </cell>
          <cell r="F104">
            <v>1</v>
          </cell>
          <cell r="G104">
            <v>0.28000000000000003</v>
          </cell>
          <cell r="H104">
            <v>40</v>
          </cell>
          <cell r="I104" t="str">
            <v>НЕДОГРУЗ / матрица</v>
          </cell>
          <cell r="K104">
            <v>101</v>
          </cell>
          <cell r="L104">
            <v>-35</v>
          </cell>
          <cell r="O104">
            <v>0</v>
          </cell>
          <cell r="P104">
            <v>290</v>
          </cell>
          <cell r="R104">
            <v>288.12799999999999</v>
          </cell>
          <cell r="T104">
            <v>13.2</v>
          </cell>
        </row>
        <row r="105">
          <cell r="A105" t="str">
            <v xml:space="preserve"> 570  Колбаса Сервелат Финский ТМ Вязанка в оболочке фиброуз в вак. упаковке 0,28 кг срез  ПОКОМ</v>
          </cell>
          <cell r="B105" t="str">
            <v>шт</v>
          </cell>
          <cell r="C105">
            <v>58</v>
          </cell>
          <cell r="D105">
            <v>55</v>
          </cell>
          <cell r="E105">
            <v>70</v>
          </cell>
          <cell r="F105">
            <v>38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102</v>
          </cell>
          <cell r="L105">
            <v>-32</v>
          </cell>
          <cell r="O105">
            <v>0</v>
          </cell>
          <cell r="P105">
            <v>250</v>
          </cell>
          <cell r="R105">
            <v>219.76</v>
          </cell>
          <cell r="T105">
            <v>14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C106">
            <v>102</v>
          </cell>
          <cell r="E106">
            <v>99</v>
          </cell>
          <cell r="F106">
            <v>2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117</v>
          </cell>
          <cell r="L106">
            <v>-18</v>
          </cell>
          <cell r="O106">
            <v>0</v>
          </cell>
          <cell r="P106">
            <v>254</v>
          </cell>
          <cell r="R106">
            <v>371.12799999999999</v>
          </cell>
          <cell r="T106">
            <v>19.8</v>
          </cell>
        </row>
        <row r="107">
          <cell r="A107" t="str">
            <v xml:space="preserve"> 574  Колбаса Сервелат Финский ТМ Вязанка в упаковке скин 0,09 кг нарезка  ПОКОМ</v>
          </cell>
          <cell r="B107" t="str">
            <v>шт</v>
          </cell>
          <cell r="C107">
            <v>42</v>
          </cell>
          <cell r="D107">
            <v>30</v>
          </cell>
          <cell r="E107">
            <v>41</v>
          </cell>
          <cell r="F107">
            <v>31</v>
          </cell>
          <cell r="G107">
            <v>0.09</v>
          </cell>
          <cell r="H107">
            <v>45</v>
          </cell>
          <cell r="I107" t="str">
            <v>матрица</v>
          </cell>
          <cell r="K107">
            <v>42</v>
          </cell>
          <cell r="L107">
            <v>-1</v>
          </cell>
          <cell r="O107">
            <v>0</v>
          </cell>
          <cell r="P107">
            <v>14.400000000000009</v>
          </cell>
          <cell r="R107">
            <v>63.832000000000008</v>
          </cell>
          <cell r="T107">
            <v>8.1999999999999993</v>
          </cell>
        </row>
        <row r="108">
          <cell r="A108" t="str">
            <v xml:space="preserve"> 579  Колбаса Ветчинно-рубленая ТМ Особый рецепт в оболочке полиамид.ВЕС  ПОКОМ</v>
          </cell>
          <cell r="B108" t="str">
            <v>кг</v>
          </cell>
          <cell r="C108">
            <v>168.56899999999999</v>
          </cell>
          <cell r="E108">
            <v>65.379000000000005</v>
          </cell>
          <cell r="F108">
            <v>101.032</v>
          </cell>
          <cell r="G108">
            <v>1</v>
          </cell>
          <cell r="H108">
            <v>60</v>
          </cell>
          <cell r="I108" t="str">
            <v>матрица</v>
          </cell>
          <cell r="K108">
            <v>67.5</v>
          </cell>
          <cell r="L108">
            <v>-2.1209999999999951</v>
          </cell>
          <cell r="O108">
            <v>0</v>
          </cell>
          <cell r="P108">
            <v>0</v>
          </cell>
          <cell r="R108">
            <v>0</v>
          </cell>
          <cell r="T108">
            <v>13.075800000000001</v>
          </cell>
          <cell r="U108">
            <v>29.726000000000013</v>
          </cell>
        </row>
        <row r="109">
          <cell r="A109" t="str">
            <v xml:space="preserve"> 580  Ветчина Нежная с индейкой ТМ Особый рецепт в оболочке полиамид.ВЕС  ПОКОМ</v>
          </cell>
          <cell r="B109" t="str">
            <v>кг</v>
          </cell>
          <cell r="C109">
            <v>130.65100000000001</v>
          </cell>
          <cell r="E109">
            <v>50.231000000000002</v>
          </cell>
          <cell r="F109">
            <v>80.42</v>
          </cell>
          <cell r="G109">
            <v>1</v>
          </cell>
          <cell r="H109">
            <v>50</v>
          </cell>
          <cell r="I109" t="str">
            <v>матрица</v>
          </cell>
          <cell r="K109">
            <v>50</v>
          </cell>
          <cell r="L109">
            <v>0.23100000000000165</v>
          </cell>
          <cell r="O109">
            <v>0</v>
          </cell>
          <cell r="P109">
            <v>0</v>
          </cell>
          <cell r="R109">
            <v>0</v>
          </cell>
          <cell r="T109">
            <v>10.046200000000001</v>
          </cell>
          <cell r="U109">
            <v>20.042000000000002</v>
          </cell>
        </row>
        <row r="110">
          <cell r="A110" t="str">
            <v xml:space="preserve"> 583  Колбаса Балыковая ТМ Вязанка в упаковке скин 0,09 кг нарезка  ПОКОМ</v>
          </cell>
          <cell r="B110" t="str">
            <v>шт</v>
          </cell>
          <cell r="C110">
            <v>50</v>
          </cell>
          <cell r="E110">
            <v>11</v>
          </cell>
          <cell r="F110">
            <v>37</v>
          </cell>
          <cell r="G110">
            <v>0.09</v>
          </cell>
          <cell r="H110">
            <v>45</v>
          </cell>
          <cell r="I110" t="str">
            <v>матрица</v>
          </cell>
          <cell r="K110">
            <v>13</v>
          </cell>
          <cell r="L110">
            <v>-2</v>
          </cell>
          <cell r="O110">
            <v>0</v>
          </cell>
          <cell r="P110">
            <v>20.400000000000009</v>
          </cell>
          <cell r="R110">
            <v>4.7999999999999829</v>
          </cell>
          <cell r="T110">
            <v>2.2000000000000002</v>
          </cell>
        </row>
        <row r="111">
          <cell r="A111" t="str">
            <v xml:space="preserve"> 584  Колбаса Сервелат Ореховый ТМ Вязанка в упаковке скин 0,09 кг нарезка  ПОКОМ</v>
          </cell>
          <cell r="B111" t="str">
            <v>шт</v>
          </cell>
          <cell r="C111">
            <v>25</v>
          </cell>
          <cell r="D111">
            <v>20</v>
          </cell>
          <cell r="E111">
            <v>25</v>
          </cell>
          <cell r="F111">
            <v>15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30</v>
          </cell>
          <cell r="L111">
            <v>-5</v>
          </cell>
          <cell r="O111">
            <v>0</v>
          </cell>
          <cell r="P111">
            <v>33</v>
          </cell>
          <cell r="R111">
            <v>42.400000000000013</v>
          </cell>
          <cell r="T111">
            <v>5</v>
          </cell>
        </row>
        <row r="112">
          <cell r="A112" t="str">
            <v xml:space="preserve"> 585  Колбаса Молочная ТМ Стародворье в оболочке вектор НД ВЕС.  ПОКОМ</v>
          </cell>
          <cell r="B112" t="str">
            <v>кг</v>
          </cell>
          <cell r="C112">
            <v>80.331999999999994</v>
          </cell>
          <cell r="D112">
            <v>109.82299999999999</v>
          </cell>
          <cell r="E112">
            <v>67.590999999999994</v>
          </cell>
          <cell r="F112">
            <v>118.14700000000001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67.3</v>
          </cell>
          <cell r="L112">
            <v>0.29099999999999682</v>
          </cell>
          <cell r="O112">
            <v>69.446426544190857</v>
          </cell>
          <cell r="P112">
            <v>0</v>
          </cell>
          <cell r="R112">
            <v>0</v>
          </cell>
          <cell r="T112">
            <v>13.518199999999998</v>
          </cell>
        </row>
        <row r="113">
          <cell r="A113" t="str">
            <v xml:space="preserve"> 586  Колбаса Мясная ТМ Стародворье в оболочке вектор НД ВЕС.  ПОКОМ</v>
          </cell>
          <cell r="B113" t="str">
            <v>кг</v>
          </cell>
          <cell r="C113">
            <v>154.74299999999999</v>
          </cell>
          <cell r="D113">
            <v>100.68</v>
          </cell>
          <cell r="E113">
            <v>121.74</v>
          </cell>
          <cell r="F113">
            <v>125.60599999999999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122.2</v>
          </cell>
          <cell r="L113">
            <v>-0.46000000000000796</v>
          </cell>
          <cell r="O113">
            <v>0</v>
          </cell>
          <cell r="P113">
            <v>0</v>
          </cell>
          <cell r="R113">
            <v>123.881968</v>
          </cell>
          <cell r="T113">
            <v>24.347999999999999</v>
          </cell>
          <cell r="U113">
            <v>18.340031999999979</v>
          </cell>
        </row>
        <row r="114">
          <cell r="A114" t="str">
            <v xml:space="preserve"> 588 Колбаса Со шпиком ТМ Стародворье в оболочке вектор ВЕС  ПОКОМ</v>
          </cell>
          <cell r="B114" t="str">
            <v>кг</v>
          </cell>
          <cell r="C114">
            <v>23.748000000000001</v>
          </cell>
          <cell r="D114">
            <v>34.625</v>
          </cell>
          <cell r="E114">
            <v>21.414999999999999</v>
          </cell>
          <cell r="F114">
            <v>35.579000000000001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20.9</v>
          </cell>
          <cell r="L114">
            <v>0.51500000000000057</v>
          </cell>
          <cell r="O114">
            <v>21.211700000000011</v>
          </cell>
          <cell r="P114">
            <v>0</v>
          </cell>
          <cell r="R114">
            <v>0</v>
          </cell>
          <cell r="T114">
            <v>4.2829999999999995</v>
          </cell>
        </row>
        <row r="115">
          <cell r="A115" t="str">
            <v xml:space="preserve"> 597  Колбаса Классическая ТМ Особый рецепт в оболочке полиамид ВЕС. ПОКОМ</v>
          </cell>
          <cell r="B115" t="str">
            <v>кг</v>
          </cell>
          <cell r="C115">
            <v>174.363</v>
          </cell>
          <cell r="D115">
            <v>628.74800000000005</v>
          </cell>
          <cell r="E115">
            <v>334.56</v>
          </cell>
          <cell r="F115">
            <v>461.154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355</v>
          </cell>
          <cell r="L115">
            <v>-20.439999999999998</v>
          </cell>
          <cell r="O115">
            <v>677.67819999999995</v>
          </cell>
          <cell r="P115">
            <v>858.1363200000003</v>
          </cell>
          <cell r="R115">
            <v>0</v>
          </cell>
          <cell r="T115">
            <v>66.912000000000006</v>
          </cell>
        </row>
        <row r="116">
          <cell r="A116" t="str">
            <v xml:space="preserve"> 614  Буженина в пряном маринаде 0,25 кг консервы из мяса индейки ТМ Стародворье  ПОКОМ</v>
          </cell>
          <cell r="B116" t="str">
            <v>шт</v>
          </cell>
          <cell r="C116">
            <v>318</v>
          </cell>
          <cell r="D116">
            <v>2</v>
          </cell>
          <cell r="E116">
            <v>22</v>
          </cell>
          <cell r="F116">
            <v>298</v>
          </cell>
          <cell r="G116">
            <v>0.25</v>
          </cell>
          <cell r="H116">
            <v>1096</v>
          </cell>
          <cell r="I116" t="str">
            <v>матрица</v>
          </cell>
          <cell r="K116">
            <v>22</v>
          </cell>
          <cell r="L116">
            <v>0</v>
          </cell>
          <cell r="O116">
            <v>0</v>
          </cell>
          <cell r="P116">
            <v>0</v>
          </cell>
          <cell r="R116">
            <v>0</v>
          </cell>
          <cell r="T116">
            <v>4.4000000000000004</v>
          </cell>
        </row>
        <row r="117">
          <cell r="A117" t="str">
            <v xml:space="preserve"> 615  Гречка по-купечески с говядиной и овощами 0,325кг ТМ Стародворье  ПОКОМ</v>
          </cell>
          <cell r="B117" t="str">
            <v>шт</v>
          </cell>
          <cell r="C117">
            <v>213</v>
          </cell>
          <cell r="E117">
            <v>4</v>
          </cell>
          <cell r="F117">
            <v>209</v>
          </cell>
          <cell r="G117">
            <v>0.32500000000000001</v>
          </cell>
          <cell r="H117">
            <v>1096</v>
          </cell>
          <cell r="I117" t="str">
            <v>матрица</v>
          </cell>
          <cell r="K117">
            <v>4</v>
          </cell>
          <cell r="L117">
            <v>0</v>
          </cell>
          <cell r="O117">
            <v>0</v>
          </cell>
          <cell r="P117">
            <v>0</v>
          </cell>
          <cell r="R117">
            <v>0</v>
          </cell>
          <cell r="T117">
            <v>0.8</v>
          </cell>
        </row>
        <row r="118">
          <cell r="A118" t="str">
            <v xml:space="preserve"> 616  Индейка томлёная в собственном соку 0,25кг ТМ Стародлворье Консервый из мяс.птицы  ПОКОМ</v>
          </cell>
          <cell r="B118" t="str">
            <v>шт</v>
          </cell>
          <cell r="C118">
            <v>564</v>
          </cell>
          <cell r="D118">
            <v>2</v>
          </cell>
          <cell r="E118">
            <v>26</v>
          </cell>
          <cell r="F118">
            <v>540</v>
          </cell>
          <cell r="G118">
            <v>0.25</v>
          </cell>
          <cell r="H118">
            <v>1096</v>
          </cell>
          <cell r="I118" t="str">
            <v>матрица</v>
          </cell>
          <cell r="K118">
            <v>26</v>
          </cell>
          <cell r="L118">
            <v>0</v>
          </cell>
          <cell r="O118">
            <v>0</v>
          </cell>
          <cell r="P118">
            <v>0</v>
          </cell>
          <cell r="R118">
            <v>0</v>
          </cell>
          <cell r="T118">
            <v>5.2</v>
          </cell>
        </row>
        <row r="119">
          <cell r="A119" t="str">
            <v xml:space="preserve"> 633  Колбаса Мясная Классическая ТМ Вязанка в оболочке полиамид УМВ.ВЕС.  ПОКОМ</v>
          </cell>
          <cell r="B119" t="str">
            <v>кг</v>
          </cell>
          <cell r="C119">
            <v>4.9939999999999998</v>
          </cell>
          <cell r="E119">
            <v>1.998</v>
          </cell>
          <cell r="F119">
            <v>2.996</v>
          </cell>
          <cell r="G119">
            <v>0</v>
          </cell>
          <cell r="I119" t="str">
            <v>не в матрице</v>
          </cell>
          <cell r="K119">
            <v>2.6</v>
          </cell>
          <cell r="L119">
            <v>-0.60200000000000009</v>
          </cell>
          <cell r="O119">
            <v>0</v>
          </cell>
          <cell r="P119">
            <v>0</v>
          </cell>
          <cell r="R119">
            <v>0</v>
          </cell>
          <cell r="T119">
            <v>0.39960000000000001</v>
          </cell>
        </row>
        <row r="120">
          <cell r="A120" t="str">
            <v>495  Колбаса Сочинка по-европейски с сочной грудинкой 0,3кг ТМ Стародворье  ПОКОМ</v>
          </cell>
          <cell r="B120" t="str">
            <v>шт</v>
          </cell>
          <cell r="C120">
            <v>73</v>
          </cell>
          <cell r="D120">
            <v>54</v>
          </cell>
          <cell r="E120">
            <v>92</v>
          </cell>
          <cell r="F120">
            <v>28</v>
          </cell>
          <cell r="G120">
            <v>0.3</v>
          </cell>
          <cell r="H120">
            <v>40</v>
          </cell>
          <cell r="I120" t="str">
            <v>матрица</v>
          </cell>
          <cell r="K120">
            <v>93</v>
          </cell>
          <cell r="L120">
            <v>-1</v>
          </cell>
          <cell r="O120">
            <v>0</v>
          </cell>
          <cell r="P120">
            <v>150</v>
          </cell>
          <cell r="R120">
            <v>48.19199999999995</v>
          </cell>
          <cell r="T120">
            <v>18.399999999999999</v>
          </cell>
          <cell r="V120">
            <v>70</v>
          </cell>
          <cell r="W120" t="str">
            <v>Есть потребность</v>
          </cell>
        </row>
        <row r="121">
          <cell r="A121" t="str">
            <v>496  Колбаса Сочинка по-фински с сочным окроком 0,3кг ТМ Стародворье  ПОКОМ</v>
          </cell>
          <cell r="B121" t="str">
            <v>шт</v>
          </cell>
          <cell r="C121">
            <v>24</v>
          </cell>
          <cell r="D121">
            <v>82</v>
          </cell>
          <cell r="E121">
            <v>80</v>
          </cell>
          <cell r="F121">
            <v>18</v>
          </cell>
          <cell r="G121">
            <v>0.3</v>
          </cell>
          <cell r="H121">
            <v>40</v>
          </cell>
          <cell r="I121" t="str">
            <v>матрица</v>
          </cell>
          <cell r="K121">
            <v>131</v>
          </cell>
          <cell r="L121">
            <v>-51</v>
          </cell>
          <cell r="O121">
            <v>151.1</v>
          </cell>
          <cell r="P121">
            <v>150</v>
          </cell>
          <cell r="R121">
            <v>0</v>
          </cell>
          <cell r="T121">
            <v>16</v>
          </cell>
          <cell r="V121">
            <v>70</v>
          </cell>
          <cell r="W121" t="str">
            <v>Есть потребность</v>
          </cell>
        </row>
        <row r="122">
          <cell r="A122" t="str">
            <v>503 Колбаса Филейская со шпиком ТМ Вязанка в оболочке полиамид.ПОКОМ</v>
          </cell>
          <cell r="B122" t="str">
            <v>кг</v>
          </cell>
          <cell r="C122">
            <v>37.19</v>
          </cell>
          <cell r="D122">
            <v>10.984999999999999</v>
          </cell>
          <cell r="E122">
            <v>12.291</v>
          </cell>
          <cell r="F122">
            <v>35.884</v>
          </cell>
          <cell r="G122">
            <v>1</v>
          </cell>
          <cell r="H122">
            <v>50</v>
          </cell>
          <cell r="I122" t="str">
            <v>НЕДОГРУЗ / матрица</v>
          </cell>
          <cell r="K122">
            <v>11.7</v>
          </cell>
          <cell r="L122">
            <v>0.59100000000000108</v>
          </cell>
          <cell r="O122">
            <v>0</v>
          </cell>
          <cell r="P122">
            <v>0</v>
          </cell>
          <cell r="R122">
            <v>0</v>
          </cell>
          <cell r="T122">
            <v>2.4582000000000002</v>
          </cell>
        </row>
        <row r="123">
          <cell r="A123" t="str">
            <v>515  Колбаса Сервелат Мясорубский Делюкс 0,3кг ТМ Стародворье  ПОКОМ</v>
          </cell>
          <cell r="B123" t="str">
            <v>шт</v>
          </cell>
          <cell r="C123">
            <v>128</v>
          </cell>
          <cell r="D123">
            <v>54</v>
          </cell>
          <cell r="E123">
            <v>153</v>
          </cell>
          <cell r="F123">
            <v>23</v>
          </cell>
          <cell r="G123">
            <v>0.3</v>
          </cell>
          <cell r="H123">
            <v>40</v>
          </cell>
          <cell r="I123" t="str">
            <v>матрица</v>
          </cell>
          <cell r="K123">
            <v>167</v>
          </cell>
          <cell r="L123">
            <v>-14</v>
          </cell>
          <cell r="O123">
            <v>0</v>
          </cell>
          <cell r="P123">
            <v>0</v>
          </cell>
          <cell r="R123">
            <v>132.68</v>
          </cell>
          <cell r="T123">
            <v>30.6</v>
          </cell>
          <cell r="U123">
            <v>180.92000000000002</v>
          </cell>
        </row>
        <row r="124">
          <cell r="A124" t="str">
            <v>519  Грудинка 0,12 кг нарезка ТМ Стародворье  ПОКОМ</v>
          </cell>
          <cell r="B124" t="str">
            <v>шт</v>
          </cell>
          <cell r="C124">
            <v>18</v>
          </cell>
          <cell r="D124">
            <v>60</v>
          </cell>
          <cell r="E124">
            <v>9</v>
          </cell>
          <cell r="F124">
            <v>58</v>
          </cell>
          <cell r="G124">
            <v>0.12</v>
          </cell>
          <cell r="H124">
            <v>45</v>
          </cell>
          <cell r="I124" t="str">
            <v>матрица</v>
          </cell>
          <cell r="K124">
            <v>20</v>
          </cell>
          <cell r="L124">
            <v>-11</v>
          </cell>
          <cell r="O124">
            <v>63.900000000000013</v>
          </cell>
          <cell r="P124">
            <v>0</v>
          </cell>
          <cell r="R124">
            <v>0</v>
          </cell>
          <cell r="T124">
            <v>1.8</v>
          </cell>
        </row>
        <row r="125">
          <cell r="A125" t="str">
            <v>БОНУС_ 334  Паштет Любительский ТМ Стародворье ламистер 0,1 кг  ПОКОМ</v>
          </cell>
          <cell r="B125" t="str">
            <v>шт</v>
          </cell>
          <cell r="C125">
            <v>27</v>
          </cell>
          <cell r="D125">
            <v>26</v>
          </cell>
          <cell r="E125">
            <v>53</v>
          </cell>
          <cell r="F125">
            <v>-3</v>
          </cell>
          <cell r="G125">
            <v>0</v>
          </cell>
          <cell r="I125" t="str">
            <v>бонус</v>
          </cell>
          <cell r="J125" t="str">
            <v xml:space="preserve"> 334  Паштет Любительский ТМ Стародворье ламистер 0,1 кг  ПОКОМ</v>
          </cell>
          <cell r="K125">
            <v>53</v>
          </cell>
          <cell r="L125">
            <v>0</v>
          </cell>
          <cell r="O125">
            <v>0</v>
          </cell>
          <cell r="P125">
            <v>0</v>
          </cell>
          <cell r="R125">
            <v>0</v>
          </cell>
          <cell r="T125">
            <v>10.6</v>
          </cell>
        </row>
        <row r="126">
          <cell r="A126" t="str">
            <v>Колбаса варено-копченая Сервелат Европейский ТМ Вязанка вес</v>
          </cell>
          <cell r="B126" t="str">
            <v>кг</v>
          </cell>
          <cell r="G126">
            <v>1</v>
          </cell>
          <cell r="I126" t="str">
            <v>матрица</v>
          </cell>
          <cell r="L126">
            <v>0</v>
          </cell>
          <cell r="O126">
            <v>0</v>
          </cell>
          <cell r="P126">
            <v>0</v>
          </cell>
          <cell r="R126">
            <v>0</v>
          </cell>
          <cell r="T126">
            <v>0</v>
          </cell>
          <cell r="V126">
            <v>60</v>
          </cell>
          <cell r="W126" t="str">
            <v>Новинка</v>
          </cell>
        </row>
        <row r="127">
          <cell r="A127" t="str">
            <v xml:space="preserve"> 640  Шпикачки Зареченские ТС Зареченские продукты в оболочке полиамид в мод.газ.среде НД2  ПОКОМ</v>
          </cell>
          <cell r="B127" t="str">
            <v>кг</v>
          </cell>
          <cell r="G127">
            <v>0</v>
          </cell>
          <cell r="I127" t="str">
            <v>матрица</v>
          </cell>
          <cell r="L127">
            <v>0</v>
          </cell>
          <cell r="O127">
            <v>0</v>
          </cell>
          <cell r="P127">
            <v>0</v>
          </cell>
          <cell r="R127">
            <v>0</v>
          </cell>
          <cell r="T127">
            <v>0</v>
          </cell>
        </row>
        <row r="128">
          <cell r="A128" t="str">
            <v xml:space="preserve"> 253  Сосиски Ганноверские   ПОКОМ</v>
          </cell>
          <cell r="B128" t="str">
            <v>кг</v>
          </cell>
          <cell r="G128">
            <v>0</v>
          </cell>
          <cell r="I128" t="str">
            <v>матрица</v>
          </cell>
          <cell r="L128">
            <v>0</v>
          </cell>
          <cell r="O128">
            <v>0</v>
          </cell>
          <cell r="P128">
            <v>0</v>
          </cell>
          <cell r="R128">
            <v>0</v>
          </cell>
          <cell r="T1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7" style="19" customWidth="1"/>
    <col min="25" max="26" width="5" customWidth="1"/>
    <col min="27" max="36" width="6" customWidth="1"/>
    <col min="37" max="37" width="32.42578125" customWidth="1"/>
    <col min="38" max="38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0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186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187</v>
      </c>
      <c r="W3" s="3" t="s">
        <v>182</v>
      </c>
      <c r="X3" s="3" t="s">
        <v>184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188</v>
      </c>
      <c r="W4" s="1" t="s">
        <v>183</v>
      </c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/>
    </row>
    <row r="5" spans="1:38" x14ac:dyDescent="0.25">
      <c r="A5" s="1"/>
      <c r="B5" s="1"/>
      <c r="C5" s="1"/>
      <c r="D5" s="1"/>
      <c r="E5" s="4">
        <f>SUM(E6:E498)</f>
        <v>13753.182999999999</v>
      </c>
      <c r="F5" s="4">
        <f>SUM(F6:F498)</f>
        <v>16049.241999999997</v>
      </c>
      <c r="G5" s="7"/>
      <c r="H5" s="1"/>
      <c r="I5" s="1"/>
      <c r="J5" s="1"/>
      <c r="K5" s="4">
        <f t="shared" ref="K5:W5" si="0">SUM(K6:K498)</f>
        <v>14470.699999999999</v>
      </c>
      <c r="L5" s="4">
        <f t="shared" si="0"/>
        <v>-717.5169999999996</v>
      </c>
      <c r="M5" s="4">
        <f t="shared" si="0"/>
        <v>0</v>
      </c>
      <c r="N5" s="4">
        <f t="shared" si="0"/>
        <v>0</v>
      </c>
      <c r="O5" s="4">
        <f t="shared" si="0"/>
        <v>10903.716513840549</v>
      </c>
      <c r="P5" s="4">
        <f t="shared" si="0"/>
        <v>10886.695379999996</v>
      </c>
      <c r="Q5" s="4">
        <f t="shared" si="0"/>
        <v>510</v>
      </c>
      <c r="R5" s="4">
        <f t="shared" si="0"/>
        <v>5559.3784546007237</v>
      </c>
      <c r="S5" s="4">
        <f t="shared" si="0"/>
        <v>330</v>
      </c>
      <c r="T5" s="4">
        <f t="shared" si="0"/>
        <v>2750.6366000000007</v>
      </c>
      <c r="U5" s="4">
        <f t="shared" si="0"/>
        <v>2707.0385573992749</v>
      </c>
      <c r="V5" s="4">
        <f t="shared" si="0"/>
        <v>4355.8062213992762</v>
      </c>
      <c r="W5" s="4">
        <f t="shared" si="0"/>
        <v>970</v>
      </c>
      <c r="X5" s="4"/>
      <c r="Y5" s="1"/>
      <c r="Z5" s="1"/>
      <c r="AA5" s="4">
        <f t="shared" ref="AA5:AJ5" si="1">SUM(AA6:AA498)</f>
        <v>2875.9490000000001</v>
      </c>
      <c r="AB5" s="4">
        <f t="shared" si="1"/>
        <v>3079.8313999999987</v>
      </c>
      <c r="AC5" s="4">
        <f t="shared" si="1"/>
        <v>3257.9626000000012</v>
      </c>
      <c r="AD5" s="4">
        <f t="shared" si="1"/>
        <v>3040.8173999999985</v>
      </c>
      <c r="AE5" s="4">
        <f t="shared" si="1"/>
        <v>2641.2087999999999</v>
      </c>
      <c r="AF5" s="4">
        <f t="shared" si="1"/>
        <v>2611.3797999999997</v>
      </c>
      <c r="AG5" s="4">
        <f t="shared" si="1"/>
        <v>2163.9158000000002</v>
      </c>
      <c r="AH5" s="4">
        <f t="shared" si="1"/>
        <v>2574.4265999999993</v>
      </c>
      <c r="AI5" s="4">
        <f t="shared" si="1"/>
        <v>2831.5130000000004</v>
      </c>
      <c r="AJ5" s="4">
        <f t="shared" si="1"/>
        <v>3211.3964000000001</v>
      </c>
      <c r="AK5" s="1"/>
      <c r="AL5" s="4">
        <f>SUM(AL6:AL498)</f>
        <v>3192</v>
      </c>
    </row>
    <row r="6" spans="1:38" x14ac:dyDescent="0.25">
      <c r="A6" s="1" t="s">
        <v>38</v>
      </c>
      <c r="B6" s="1" t="s">
        <v>39</v>
      </c>
      <c r="C6" s="1">
        <v>112.307</v>
      </c>
      <c r="D6" s="1">
        <v>57.747</v>
      </c>
      <c r="E6" s="1">
        <v>133.88300000000001</v>
      </c>
      <c r="F6" s="1">
        <v>30.204000000000001</v>
      </c>
      <c r="G6" s="7">
        <v>1</v>
      </c>
      <c r="H6" s="1">
        <v>50</v>
      </c>
      <c r="I6" s="1" t="s">
        <v>40</v>
      </c>
      <c r="J6" s="1"/>
      <c r="K6" s="1">
        <v>132.69999999999999</v>
      </c>
      <c r="L6" s="1">
        <f t="shared" ref="L6:L37" si="2">E6-K6</f>
        <v>1.1830000000000211</v>
      </c>
      <c r="M6" s="1"/>
      <c r="N6" s="1"/>
      <c r="O6" s="1">
        <v>0</v>
      </c>
      <c r="P6" s="1">
        <v>154.03360000000001</v>
      </c>
      <c r="Q6" s="1"/>
      <c r="R6" s="1">
        <v>106.4625040000001</v>
      </c>
      <c r="S6" s="1"/>
      <c r="T6" s="1">
        <f t="shared" ref="T6:T37" si="3">E6/5</f>
        <v>26.776600000000002</v>
      </c>
      <c r="U6" s="5">
        <f>11*T6-S6-R6-Q6-P6-O6-F6</f>
        <v>3.8424959999999047</v>
      </c>
      <c r="V6" s="5">
        <f>U6</f>
        <v>3.8424959999999047</v>
      </c>
      <c r="W6" s="18"/>
      <c r="X6" s="18"/>
      <c r="Y6" s="1">
        <f>(F6+O6+P6+Q6+R6+S6+V6)/T6</f>
        <v>11.000000000000002</v>
      </c>
      <c r="Z6" s="1">
        <f t="shared" ref="Z6:Z37" si="4">(F6+O6+P6+Q6+R6+S6)/T6</f>
        <v>10.856497987048396</v>
      </c>
      <c r="AA6" s="1">
        <v>30.053799999999999</v>
      </c>
      <c r="AB6" s="1">
        <v>28.650600000000001</v>
      </c>
      <c r="AC6" s="1">
        <v>18.472999999999999</v>
      </c>
      <c r="AD6" s="1">
        <v>16.990400000000001</v>
      </c>
      <c r="AE6" s="1">
        <v>18.729199999999999</v>
      </c>
      <c r="AF6" s="1">
        <v>18.831199999999999</v>
      </c>
      <c r="AG6" s="1">
        <v>29.421600000000002</v>
      </c>
      <c r="AH6" s="1">
        <v>35.228200000000001</v>
      </c>
      <c r="AI6" s="1">
        <v>20.837399999999999</v>
      </c>
      <c r="AJ6" s="1">
        <v>32.624200000000002</v>
      </c>
      <c r="AK6" s="1"/>
      <c r="AL6" s="1">
        <f>ROUND(G6*V6,0)</f>
        <v>4</v>
      </c>
    </row>
    <row r="7" spans="1:38" x14ac:dyDescent="0.25">
      <c r="A7" s="1" t="s">
        <v>41</v>
      </c>
      <c r="B7" s="1" t="s">
        <v>39</v>
      </c>
      <c r="C7" s="1">
        <v>-0.68100000000000005</v>
      </c>
      <c r="D7" s="1">
        <v>220.87</v>
      </c>
      <c r="E7" s="1">
        <v>216.76</v>
      </c>
      <c r="F7" s="1">
        <v>-1.17</v>
      </c>
      <c r="G7" s="7">
        <v>1</v>
      </c>
      <c r="H7" s="1">
        <v>45</v>
      </c>
      <c r="I7" s="1" t="s">
        <v>40</v>
      </c>
      <c r="J7" s="1"/>
      <c r="K7" s="1">
        <v>221.3</v>
      </c>
      <c r="L7" s="1">
        <f t="shared" si="2"/>
        <v>-4.5400000000000205</v>
      </c>
      <c r="M7" s="1"/>
      <c r="N7" s="1"/>
      <c r="O7" s="1">
        <v>585.08500000000004</v>
      </c>
      <c r="P7" s="1">
        <v>150</v>
      </c>
      <c r="Q7" s="1"/>
      <c r="R7" s="1">
        <v>0</v>
      </c>
      <c r="S7" s="1"/>
      <c r="T7" s="1">
        <f t="shared" si="3"/>
        <v>43.351999999999997</v>
      </c>
      <c r="U7" s="5"/>
      <c r="V7" s="5">
        <f t="shared" ref="V7:V70" si="5">U7</f>
        <v>0</v>
      </c>
      <c r="W7" s="18"/>
      <c r="X7" s="18"/>
      <c r="Y7" s="1">
        <f t="shared" ref="Y7:Y70" si="6">(F7+O7+P7+Q7+R7+S7+V7)/T7</f>
        <v>16.92920741834287</v>
      </c>
      <c r="Z7" s="1">
        <f t="shared" si="4"/>
        <v>16.92920741834287</v>
      </c>
      <c r="AA7" s="1">
        <v>13.3872</v>
      </c>
      <c r="AB7" s="1">
        <v>20.585999999999999</v>
      </c>
      <c r="AC7" s="1">
        <v>58.152999999999999</v>
      </c>
      <c r="AD7" s="1">
        <v>66.650400000000005</v>
      </c>
      <c r="AE7" s="1">
        <v>42.949199999999998</v>
      </c>
      <c r="AF7" s="1">
        <v>31.0562</v>
      </c>
      <c r="AG7" s="1">
        <v>38.915199999999999</v>
      </c>
      <c r="AH7" s="1">
        <v>48.795200000000001</v>
      </c>
      <c r="AI7" s="1">
        <v>46.159799999999997</v>
      </c>
      <c r="AJ7" s="1">
        <v>75.304000000000002</v>
      </c>
      <c r="AK7" s="1"/>
      <c r="AL7" s="1">
        <f t="shared" ref="AL7:AL70" si="7">ROUND(G7*V7,0)</f>
        <v>0</v>
      </c>
    </row>
    <row r="8" spans="1:38" x14ac:dyDescent="0.25">
      <c r="A8" s="1" t="s">
        <v>42</v>
      </c>
      <c r="B8" s="1" t="s">
        <v>39</v>
      </c>
      <c r="C8" s="1">
        <v>124.54600000000001</v>
      </c>
      <c r="D8" s="1">
        <v>209.79599999999999</v>
      </c>
      <c r="E8" s="1">
        <v>254.57300000000001</v>
      </c>
      <c r="F8" s="1">
        <v>75.090999999999994</v>
      </c>
      <c r="G8" s="7">
        <v>1</v>
      </c>
      <c r="H8" s="1">
        <v>45</v>
      </c>
      <c r="I8" s="1" t="s">
        <v>40</v>
      </c>
      <c r="J8" s="1"/>
      <c r="K8" s="1">
        <v>251.6</v>
      </c>
      <c r="L8" s="1">
        <f t="shared" si="2"/>
        <v>2.9730000000000132</v>
      </c>
      <c r="M8" s="1"/>
      <c r="N8" s="1"/>
      <c r="O8" s="1">
        <v>114.873</v>
      </c>
      <c r="P8" s="1">
        <v>361.46251999999993</v>
      </c>
      <c r="Q8" s="1"/>
      <c r="R8" s="1">
        <v>37.921128000000152</v>
      </c>
      <c r="S8" s="1"/>
      <c r="T8" s="1">
        <f t="shared" si="3"/>
        <v>50.9146</v>
      </c>
      <c r="U8" s="5"/>
      <c r="V8" s="5">
        <f t="shared" si="5"/>
        <v>0</v>
      </c>
      <c r="W8" s="18"/>
      <c r="X8" s="18"/>
      <c r="Y8" s="1">
        <f t="shared" si="6"/>
        <v>11.575219053081044</v>
      </c>
      <c r="Z8" s="1">
        <f t="shared" si="4"/>
        <v>11.575219053081044</v>
      </c>
      <c r="AA8" s="1">
        <v>60.333599999999997</v>
      </c>
      <c r="AB8" s="1">
        <v>59.007399999999997</v>
      </c>
      <c r="AC8" s="1">
        <v>48.203800000000001</v>
      </c>
      <c r="AD8" s="1">
        <v>45.949199999999998</v>
      </c>
      <c r="AE8" s="1">
        <v>49.066000000000003</v>
      </c>
      <c r="AF8" s="1">
        <v>45.031599999999997</v>
      </c>
      <c r="AG8" s="1">
        <v>41.704599999999999</v>
      </c>
      <c r="AH8" s="1">
        <v>52.938400000000001</v>
      </c>
      <c r="AI8" s="1">
        <v>54.453600000000009</v>
      </c>
      <c r="AJ8" s="1">
        <v>85.114000000000004</v>
      </c>
      <c r="AK8" s="1"/>
      <c r="AL8" s="1">
        <f t="shared" si="7"/>
        <v>0</v>
      </c>
    </row>
    <row r="9" spans="1:38" x14ac:dyDescent="0.25">
      <c r="A9" s="10" t="s">
        <v>43</v>
      </c>
      <c r="B9" s="10" t="s">
        <v>44</v>
      </c>
      <c r="C9" s="10"/>
      <c r="D9" s="10"/>
      <c r="E9" s="10"/>
      <c r="F9" s="10"/>
      <c r="G9" s="11">
        <v>0</v>
      </c>
      <c r="H9" s="10"/>
      <c r="I9" s="10" t="s">
        <v>40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>
        <v>0</v>
      </c>
      <c r="S9" s="10"/>
      <c r="T9" s="10">
        <f t="shared" si="3"/>
        <v>0</v>
      </c>
      <c r="U9" s="12"/>
      <c r="V9" s="5">
        <f t="shared" si="5"/>
        <v>0</v>
      </c>
      <c r="W9" s="18"/>
      <c r="X9" s="18"/>
      <c r="Y9" s="1" t="e">
        <f t="shared" si="6"/>
        <v>#DIV/0!</v>
      </c>
      <c r="Z9" s="10" t="e">
        <f t="shared" si="4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45</v>
      </c>
      <c r="AL9" s="1">
        <f t="shared" si="7"/>
        <v>0</v>
      </c>
    </row>
    <row r="10" spans="1:38" x14ac:dyDescent="0.25">
      <c r="A10" s="1" t="s">
        <v>46</v>
      </c>
      <c r="B10" s="1" t="s">
        <v>44</v>
      </c>
      <c r="C10" s="1">
        <v>90</v>
      </c>
      <c r="D10" s="1">
        <v>360</v>
      </c>
      <c r="E10" s="1">
        <v>125</v>
      </c>
      <c r="F10" s="1">
        <v>277</v>
      </c>
      <c r="G10" s="7">
        <v>0.45</v>
      </c>
      <c r="H10" s="1">
        <v>45</v>
      </c>
      <c r="I10" s="1" t="s">
        <v>40</v>
      </c>
      <c r="J10" s="1"/>
      <c r="K10" s="1">
        <v>227</v>
      </c>
      <c r="L10" s="1">
        <f t="shared" si="2"/>
        <v>-102</v>
      </c>
      <c r="M10" s="1"/>
      <c r="N10" s="1"/>
      <c r="O10" s="1">
        <v>313.19999999999987</v>
      </c>
      <c r="P10" s="1">
        <v>0</v>
      </c>
      <c r="Q10" s="1"/>
      <c r="R10" s="1">
        <v>0</v>
      </c>
      <c r="S10" s="1"/>
      <c r="T10" s="1">
        <f t="shared" si="3"/>
        <v>25</v>
      </c>
      <c r="U10" s="5"/>
      <c r="V10" s="5">
        <f t="shared" si="5"/>
        <v>0</v>
      </c>
      <c r="W10" s="18"/>
      <c r="X10" s="18"/>
      <c r="Y10" s="1">
        <f t="shared" si="6"/>
        <v>23.607999999999993</v>
      </c>
      <c r="Z10" s="1">
        <f t="shared" si="4"/>
        <v>23.607999999999993</v>
      </c>
      <c r="AA10" s="1">
        <v>35.4</v>
      </c>
      <c r="AB10" s="1">
        <v>53.6</v>
      </c>
      <c r="AC10" s="1">
        <v>66</v>
      </c>
      <c r="AD10" s="1">
        <v>57.6</v>
      </c>
      <c r="AE10" s="1">
        <v>47.2</v>
      </c>
      <c r="AF10" s="1">
        <v>36.200000000000003</v>
      </c>
      <c r="AG10" s="1">
        <v>37.4</v>
      </c>
      <c r="AH10" s="1">
        <v>32.799999999999997</v>
      </c>
      <c r="AI10" s="1">
        <v>1.8</v>
      </c>
      <c r="AJ10" s="1">
        <v>-2.4</v>
      </c>
      <c r="AK10" s="1" t="s">
        <v>47</v>
      </c>
      <c r="AL10" s="1">
        <f t="shared" si="7"/>
        <v>0</v>
      </c>
    </row>
    <row r="11" spans="1:38" x14ac:dyDescent="0.25">
      <c r="A11" s="1" t="s">
        <v>48</v>
      </c>
      <c r="B11" s="1" t="s">
        <v>44</v>
      </c>
      <c r="C11" s="1">
        <v>393</v>
      </c>
      <c r="D11" s="1">
        <v>408</v>
      </c>
      <c r="E11" s="1">
        <v>308</v>
      </c>
      <c r="F11" s="1">
        <v>444</v>
      </c>
      <c r="G11" s="7">
        <v>0.45</v>
      </c>
      <c r="H11" s="1">
        <v>45</v>
      </c>
      <c r="I11" s="1" t="s">
        <v>40</v>
      </c>
      <c r="J11" s="1"/>
      <c r="K11" s="1">
        <v>345</v>
      </c>
      <c r="L11" s="1">
        <f t="shared" si="2"/>
        <v>-37</v>
      </c>
      <c r="M11" s="1"/>
      <c r="N11" s="1"/>
      <c r="O11" s="1">
        <v>0</v>
      </c>
      <c r="P11" s="1">
        <v>0</v>
      </c>
      <c r="Q11" s="1"/>
      <c r="R11" s="1">
        <v>20.259999999999991</v>
      </c>
      <c r="S11" s="1"/>
      <c r="T11" s="1">
        <f t="shared" si="3"/>
        <v>61.6</v>
      </c>
      <c r="U11" s="5">
        <f t="shared" ref="U11:U18" si="8">11*T11-S11-R11-Q11-P11-O11-F11</f>
        <v>213.34000000000003</v>
      </c>
      <c r="V11" s="5">
        <f>U11+T11*$V$1</f>
        <v>274.94000000000005</v>
      </c>
      <c r="W11" s="18"/>
      <c r="X11" s="18"/>
      <c r="Y11" s="1">
        <f t="shared" si="6"/>
        <v>12</v>
      </c>
      <c r="Z11" s="1">
        <f t="shared" si="4"/>
        <v>7.5366883116883114</v>
      </c>
      <c r="AA11" s="1">
        <v>49.8</v>
      </c>
      <c r="AB11" s="1">
        <v>66.8</v>
      </c>
      <c r="AC11" s="1">
        <v>80.599999999999994</v>
      </c>
      <c r="AD11" s="1">
        <v>57.2</v>
      </c>
      <c r="AE11" s="1">
        <v>46.2</v>
      </c>
      <c r="AF11" s="1">
        <v>64.599999999999994</v>
      </c>
      <c r="AG11" s="1">
        <v>60.8</v>
      </c>
      <c r="AH11" s="1">
        <v>59</v>
      </c>
      <c r="AI11" s="1">
        <v>68.400000000000006</v>
      </c>
      <c r="AJ11" s="1">
        <v>186</v>
      </c>
      <c r="AK11" s="1"/>
      <c r="AL11" s="1">
        <f t="shared" si="7"/>
        <v>124</v>
      </c>
    </row>
    <row r="12" spans="1:38" x14ac:dyDescent="0.25">
      <c r="A12" s="1" t="s">
        <v>49</v>
      </c>
      <c r="B12" s="1" t="s">
        <v>44</v>
      </c>
      <c r="C12" s="1">
        <v>75</v>
      </c>
      <c r="D12" s="1">
        <v>225</v>
      </c>
      <c r="E12" s="1">
        <v>48</v>
      </c>
      <c r="F12" s="1">
        <v>243</v>
      </c>
      <c r="G12" s="7">
        <v>0.17</v>
      </c>
      <c r="H12" s="1">
        <v>180</v>
      </c>
      <c r="I12" s="1" t="s">
        <v>40</v>
      </c>
      <c r="J12" s="1"/>
      <c r="K12" s="1">
        <v>49</v>
      </c>
      <c r="L12" s="1">
        <f t="shared" si="2"/>
        <v>-1</v>
      </c>
      <c r="M12" s="1"/>
      <c r="N12" s="1"/>
      <c r="O12" s="1">
        <v>101.3</v>
      </c>
      <c r="P12" s="1">
        <v>0</v>
      </c>
      <c r="Q12" s="1"/>
      <c r="R12" s="1">
        <v>0</v>
      </c>
      <c r="S12" s="1"/>
      <c r="T12" s="1">
        <f t="shared" si="3"/>
        <v>9.6</v>
      </c>
      <c r="U12" s="5"/>
      <c r="V12" s="5">
        <f t="shared" si="5"/>
        <v>0</v>
      </c>
      <c r="W12" s="18"/>
      <c r="X12" s="18"/>
      <c r="Y12" s="1">
        <f t="shared" si="6"/>
        <v>35.864583333333336</v>
      </c>
      <c r="Z12" s="1">
        <f t="shared" si="4"/>
        <v>35.864583333333336</v>
      </c>
      <c r="AA12" s="1">
        <v>13</v>
      </c>
      <c r="AB12" s="1">
        <v>16.600000000000001</v>
      </c>
      <c r="AC12" s="1">
        <v>20.2</v>
      </c>
      <c r="AD12" s="1">
        <v>23</v>
      </c>
      <c r="AE12" s="1">
        <v>21.6</v>
      </c>
      <c r="AF12" s="1">
        <v>18.600000000000001</v>
      </c>
      <c r="AG12" s="1">
        <v>6.2</v>
      </c>
      <c r="AH12" s="1">
        <v>3.2</v>
      </c>
      <c r="AI12" s="1">
        <v>13.4</v>
      </c>
      <c r="AJ12" s="1">
        <v>30</v>
      </c>
      <c r="AK12" s="15" t="s">
        <v>177</v>
      </c>
      <c r="AL12" s="1">
        <f t="shared" si="7"/>
        <v>0</v>
      </c>
    </row>
    <row r="13" spans="1:38" x14ac:dyDescent="0.25">
      <c r="A13" s="14" t="s">
        <v>50</v>
      </c>
      <c r="B13" s="1" t="s">
        <v>44</v>
      </c>
      <c r="C13" s="1"/>
      <c r="D13" s="1"/>
      <c r="E13" s="1">
        <v>-3</v>
      </c>
      <c r="F13" s="1"/>
      <c r="G13" s="7">
        <v>0.3</v>
      </c>
      <c r="H13" s="1">
        <v>40</v>
      </c>
      <c r="I13" s="9" t="s">
        <v>51</v>
      </c>
      <c r="J13" s="1"/>
      <c r="K13" s="1">
        <v>2</v>
      </c>
      <c r="L13" s="1">
        <f t="shared" si="2"/>
        <v>-5</v>
      </c>
      <c r="M13" s="1"/>
      <c r="N13" s="1"/>
      <c r="O13" s="1">
        <v>242.6</v>
      </c>
      <c r="P13" s="1">
        <v>0</v>
      </c>
      <c r="Q13" s="1"/>
      <c r="R13" s="1">
        <v>0</v>
      </c>
      <c r="S13" s="1"/>
      <c r="T13" s="1">
        <f t="shared" si="3"/>
        <v>-0.6</v>
      </c>
      <c r="U13" s="5">
        <v>100</v>
      </c>
      <c r="V13" s="5">
        <f t="shared" si="5"/>
        <v>100</v>
      </c>
      <c r="W13" s="18"/>
      <c r="X13" s="18"/>
      <c r="Y13" s="1">
        <f t="shared" si="6"/>
        <v>-571.00000000000011</v>
      </c>
      <c r="Z13" s="1">
        <f t="shared" si="4"/>
        <v>-404.33333333333331</v>
      </c>
      <c r="AA13" s="1">
        <v>0.4</v>
      </c>
      <c r="AB13" s="1">
        <v>13.4</v>
      </c>
      <c r="AC13" s="1">
        <v>34.200000000000003</v>
      </c>
      <c r="AD13" s="1">
        <v>36.4</v>
      </c>
      <c r="AE13" s="1">
        <v>26.4</v>
      </c>
      <c r="AF13" s="1">
        <v>12.6</v>
      </c>
      <c r="AG13" s="1">
        <v>3</v>
      </c>
      <c r="AH13" s="1">
        <v>18.600000000000001</v>
      </c>
      <c r="AI13" s="1">
        <v>22.4</v>
      </c>
      <c r="AJ13" s="1">
        <v>9.4</v>
      </c>
      <c r="AK13" s="1"/>
      <c r="AL13" s="1">
        <f t="shared" si="7"/>
        <v>30</v>
      </c>
    </row>
    <row r="14" spans="1:38" x14ac:dyDescent="0.25">
      <c r="A14" s="1" t="s">
        <v>52</v>
      </c>
      <c r="B14" s="1" t="s">
        <v>44</v>
      </c>
      <c r="C14" s="1">
        <v>110</v>
      </c>
      <c r="D14" s="1">
        <v>225</v>
      </c>
      <c r="E14" s="1">
        <v>102</v>
      </c>
      <c r="F14" s="1">
        <v>219</v>
      </c>
      <c r="G14" s="7">
        <v>0.17</v>
      </c>
      <c r="H14" s="1">
        <v>180</v>
      </c>
      <c r="I14" s="1" t="s">
        <v>40</v>
      </c>
      <c r="J14" s="1"/>
      <c r="K14" s="1">
        <v>103</v>
      </c>
      <c r="L14" s="1">
        <f t="shared" si="2"/>
        <v>-1</v>
      </c>
      <c r="M14" s="1"/>
      <c r="N14" s="1"/>
      <c r="O14" s="1">
        <v>189.7</v>
      </c>
      <c r="P14" s="1">
        <v>0</v>
      </c>
      <c r="Q14" s="1"/>
      <c r="R14" s="1">
        <v>0</v>
      </c>
      <c r="S14" s="1"/>
      <c r="T14" s="1">
        <f t="shared" si="3"/>
        <v>20.399999999999999</v>
      </c>
      <c r="U14" s="5"/>
      <c r="V14" s="5">
        <f t="shared" si="5"/>
        <v>0</v>
      </c>
      <c r="W14" s="18"/>
      <c r="X14" s="18"/>
      <c r="Y14" s="1">
        <f t="shared" si="6"/>
        <v>20.034313725490197</v>
      </c>
      <c r="Z14" s="1">
        <f t="shared" si="4"/>
        <v>20.034313725490197</v>
      </c>
      <c r="AA14" s="1">
        <v>26.8</v>
      </c>
      <c r="AB14" s="1">
        <v>33.200000000000003</v>
      </c>
      <c r="AC14" s="1">
        <v>47</v>
      </c>
      <c r="AD14" s="1">
        <v>34.200000000000003</v>
      </c>
      <c r="AE14" s="1">
        <v>2.8</v>
      </c>
      <c r="AF14" s="1">
        <v>8.1999999999999993</v>
      </c>
      <c r="AG14" s="1">
        <v>23.8</v>
      </c>
      <c r="AH14" s="1">
        <v>31.4</v>
      </c>
      <c r="AI14" s="1">
        <v>32</v>
      </c>
      <c r="AJ14" s="1">
        <v>38.6</v>
      </c>
      <c r="AK14" s="15" t="s">
        <v>177</v>
      </c>
      <c r="AL14" s="1">
        <f t="shared" si="7"/>
        <v>0</v>
      </c>
    </row>
    <row r="15" spans="1:38" x14ac:dyDescent="0.25">
      <c r="A15" s="1" t="s">
        <v>53</v>
      </c>
      <c r="B15" s="1" t="s">
        <v>39</v>
      </c>
      <c r="C15" s="1">
        <v>108.508</v>
      </c>
      <c r="D15" s="1">
        <v>351.31900000000002</v>
      </c>
      <c r="E15" s="1">
        <v>177.501</v>
      </c>
      <c r="F15" s="1">
        <v>276.67200000000003</v>
      </c>
      <c r="G15" s="7">
        <v>1</v>
      </c>
      <c r="H15" s="1">
        <v>70</v>
      </c>
      <c r="I15" s="1" t="s">
        <v>40</v>
      </c>
      <c r="J15" s="1"/>
      <c r="K15" s="1">
        <v>161.4</v>
      </c>
      <c r="L15" s="1">
        <f t="shared" si="2"/>
        <v>16.100999999999999</v>
      </c>
      <c r="M15" s="1"/>
      <c r="N15" s="1"/>
      <c r="O15" s="1">
        <v>161.79140000000001</v>
      </c>
      <c r="P15" s="1">
        <v>0</v>
      </c>
      <c r="Q15" s="1"/>
      <c r="R15" s="1">
        <v>0</v>
      </c>
      <c r="S15" s="1"/>
      <c r="T15" s="1">
        <f t="shared" si="3"/>
        <v>35.5002</v>
      </c>
      <c r="U15" s="5"/>
      <c r="V15" s="5">
        <f t="shared" si="5"/>
        <v>0</v>
      </c>
      <c r="W15" s="18"/>
      <c r="X15" s="18"/>
      <c r="Y15" s="1">
        <f t="shared" si="6"/>
        <v>12.351012106974046</v>
      </c>
      <c r="Z15" s="1">
        <f t="shared" si="4"/>
        <v>12.351012106974046</v>
      </c>
      <c r="AA15" s="1">
        <v>29.449200000000001</v>
      </c>
      <c r="AB15" s="1">
        <v>31.263000000000002</v>
      </c>
      <c r="AC15" s="1">
        <v>38.468600000000002</v>
      </c>
      <c r="AD15" s="1">
        <v>39.8596</v>
      </c>
      <c r="AE15" s="1">
        <v>39.525599999999997</v>
      </c>
      <c r="AF15" s="1">
        <v>37.3626</v>
      </c>
      <c r="AG15" s="1">
        <v>35.295400000000001</v>
      </c>
      <c r="AH15" s="1">
        <v>36.7044</v>
      </c>
      <c r="AI15" s="1">
        <v>34.183599999999998</v>
      </c>
      <c r="AJ15" s="1">
        <v>66.669600000000003</v>
      </c>
      <c r="AK15" s="1"/>
      <c r="AL15" s="1">
        <f t="shared" si="7"/>
        <v>0</v>
      </c>
    </row>
    <row r="16" spans="1:38" x14ac:dyDescent="0.25">
      <c r="A16" s="1" t="s">
        <v>54</v>
      </c>
      <c r="B16" s="1" t="s">
        <v>39</v>
      </c>
      <c r="C16" s="1">
        <v>1210.1030000000001</v>
      </c>
      <c r="D16" s="1">
        <v>871.77800000000002</v>
      </c>
      <c r="E16" s="1">
        <v>1198.277</v>
      </c>
      <c r="F16" s="1">
        <v>850.47199999999998</v>
      </c>
      <c r="G16" s="7">
        <v>1</v>
      </c>
      <c r="H16" s="1">
        <v>50</v>
      </c>
      <c r="I16" s="1" t="s">
        <v>40</v>
      </c>
      <c r="J16" s="1"/>
      <c r="K16" s="1">
        <v>1200</v>
      </c>
      <c r="L16" s="1">
        <f t="shared" si="2"/>
        <v>-1.7229999999999563</v>
      </c>
      <c r="M16" s="1"/>
      <c r="N16" s="1"/>
      <c r="O16" s="1">
        <v>0</v>
      </c>
      <c r="P16" s="1">
        <v>2281.3259199999989</v>
      </c>
      <c r="Q16" s="1">
        <v>510</v>
      </c>
      <c r="R16" s="1">
        <v>0</v>
      </c>
      <c r="S16" s="1"/>
      <c r="T16" s="1">
        <f t="shared" si="3"/>
        <v>239.65540000000001</v>
      </c>
      <c r="U16" s="5"/>
      <c r="V16" s="5">
        <f t="shared" si="5"/>
        <v>0</v>
      </c>
      <c r="W16" s="18"/>
      <c r="X16" s="18"/>
      <c r="Y16" s="1">
        <f t="shared" si="6"/>
        <v>15.195976890151437</v>
      </c>
      <c r="Z16" s="1">
        <f t="shared" si="4"/>
        <v>15.195976890151437</v>
      </c>
      <c r="AA16" s="1">
        <v>305.88040000000001</v>
      </c>
      <c r="AB16" s="1">
        <v>324.91320000000002</v>
      </c>
      <c r="AC16" s="1">
        <v>268.863</v>
      </c>
      <c r="AD16" s="1">
        <v>251.0624</v>
      </c>
      <c r="AE16" s="1">
        <v>311.37</v>
      </c>
      <c r="AF16" s="1">
        <v>297.71940000000001</v>
      </c>
      <c r="AG16" s="1">
        <v>158.25280000000001</v>
      </c>
      <c r="AH16" s="1">
        <v>261.35239999999999</v>
      </c>
      <c r="AI16" s="1">
        <v>314.37259999999998</v>
      </c>
      <c r="AJ16" s="1">
        <v>350.28039999999999</v>
      </c>
      <c r="AK16" s="1"/>
      <c r="AL16" s="1">
        <f t="shared" si="7"/>
        <v>0</v>
      </c>
    </row>
    <row r="17" spans="1:38" x14ac:dyDescent="0.25">
      <c r="A17" s="1" t="s">
        <v>55</v>
      </c>
      <c r="B17" s="1" t="s">
        <v>39</v>
      </c>
      <c r="C17" s="1">
        <v>33.247999999999998</v>
      </c>
      <c r="D17" s="1">
        <v>4.0819999999999999</v>
      </c>
      <c r="E17" s="1">
        <v>12.43</v>
      </c>
      <c r="F17" s="1">
        <v>23.225000000000001</v>
      </c>
      <c r="G17" s="7">
        <v>1</v>
      </c>
      <c r="H17" s="1">
        <v>60</v>
      </c>
      <c r="I17" s="1" t="s">
        <v>40</v>
      </c>
      <c r="J17" s="1"/>
      <c r="K17" s="1">
        <v>13.7</v>
      </c>
      <c r="L17" s="1">
        <f t="shared" si="2"/>
        <v>-1.2699999999999996</v>
      </c>
      <c r="M17" s="1"/>
      <c r="N17" s="1"/>
      <c r="O17" s="1">
        <v>0</v>
      </c>
      <c r="P17" s="1">
        <v>0</v>
      </c>
      <c r="Q17" s="1"/>
      <c r="R17" s="1">
        <v>11.68300000000001</v>
      </c>
      <c r="S17" s="1"/>
      <c r="T17" s="1">
        <f t="shared" si="3"/>
        <v>2.4859999999999998</v>
      </c>
      <c r="U17" s="5"/>
      <c r="V17" s="5">
        <f t="shared" si="5"/>
        <v>0</v>
      </c>
      <c r="W17" s="18"/>
      <c r="X17" s="18"/>
      <c r="Y17" s="1">
        <f t="shared" si="6"/>
        <v>14.041834271922776</v>
      </c>
      <c r="Z17" s="1">
        <f t="shared" si="4"/>
        <v>14.041834271922776</v>
      </c>
      <c r="AA17" s="1">
        <v>3.2</v>
      </c>
      <c r="AB17" s="1">
        <v>2.7627999999999999</v>
      </c>
      <c r="AC17" s="1">
        <v>2.1135999999999999</v>
      </c>
      <c r="AD17" s="1">
        <v>2.2890000000000001</v>
      </c>
      <c r="AE17" s="1">
        <v>1.9361999999999999</v>
      </c>
      <c r="AF17" s="1">
        <v>2.2906</v>
      </c>
      <c r="AG17" s="1">
        <v>1.5915999999999999</v>
      </c>
      <c r="AH17" s="1">
        <v>1.4101999999999999</v>
      </c>
      <c r="AI17" s="1">
        <v>0.70200000000000029</v>
      </c>
      <c r="AJ17" s="1">
        <v>6.7040000000000006</v>
      </c>
      <c r="AK17" s="1"/>
      <c r="AL17" s="1">
        <f t="shared" si="7"/>
        <v>0</v>
      </c>
    </row>
    <row r="18" spans="1:38" x14ac:dyDescent="0.25">
      <c r="A18" s="1" t="s">
        <v>56</v>
      </c>
      <c r="B18" s="1" t="s">
        <v>39</v>
      </c>
      <c r="C18" s="1">
        <v>24.736000000000001</v>
      </c>
      <c r="D18" s="1">
        <v>21.43</v>
      </c>
      <c r="E18" s="1">
        <v>14.718</v>
      </c>
      <c r="F18" s="1">
        <v>24.954000000000001</v>
      </c>
      <c r="G18" s="7">
        <v>1</v>
      </c>
      <c r="H18" s="1">
        <v>60</v>
      </c>
      <c r="I18" s="1" t="s">
        <v>40</v>
      </c>
      <c r="J18" s="1"/>
      <c r="K18" s="1">
        <v>20.3</v>
      </c>
      <c r="L18" s="1">
        <f t="shared" si="2"/>
        <v>-5.5820000000000007</v>
      </c>
      <c r="M18" s="1"/>
      <c r="N18" s="1"/>
      <c r="O18" s="1">
        <v>0</v>
      </c>
      <c r="P18" s="1">
        <v>0</v>
      </c>
      <c r="Q18" s="1"/>
      <c r="R18" s="1">
        <v>0</v>
      </c>
      <c r="S18" s="1"/>
      <c r="T18" s="1">
        <f t="shared" si="3"/>
        <v>2.9436</v>
      </c>
      <c r="U18" s="5">
        <f t="shared" si="8"/>
        <v>7.4255999999999958</v>
      </c>
      <c r="V18" s="5">
        <f t="shared" si="5"/>
        <v>7.4255999999999958</v>
      </c>
      <c r="W18" s="18"/>
      <c r="X18" s="18"/>
      <c r="Y18" s="1">
        <f t="shared" si="6"/>
        <v>10.999999999999998</v>
      </c>
      <c r="Z18" s="1">
        <f t="shared" si="4"/>
        <v>8.4773746432939259</v>
      </c>
      <c r="AA18" s="1">
        <v>2.2953999999999999</v>
      </c>
      <c r="AB18" s="1">
        <v>3.1688000000000001</v>
      </c>
      <c r="AC18" s="1">
        <v>3.5356000000000001</v>
      </c>
      <c r="AD18" s="1">
        <v>1.9408000000000001</v>
      </c>
      <c r="AE18" s="1">
        <v>1.4132</v>
      </c>
      <c r="AF18" s="1">
        <v>2.1063999999999998</v>
      </c>
      <c r="AG18" s="1">
        <v>2.1065999999999998</v>
      </c>
      <c r="AH18" s="1">
        <v>1.1686000000000001</v>
      </c>
      <c r="AI18" s="1">
        <v>0.5292</v>
      </c>
      <c r="AJ18" s="1">
        <v>2.8111999999999999</v>
      </c>
      <c r="AK18" s="1"/>
      <c r="AL18" s="1">
        <f t="shared" si="7"/>
        <v>7</v>
      </c>
    </row>
    <row r="19" spans="1:38" x14ac:dyDescent="0.25">
      <c r="A19" s="1" t="s">
        <v>57</v>
      </c>
      <c r="B19" s="1" t="s">
        <v>39</v>
      </c>
      <c r="C19" s="1">
        <v>18.096</v>
      </c>
      <c r="D19" s="1">
        <v>54.466999999999999</v>
      </c>
      <c r="E19" s="1">
        <v>12.122999999999999</v>
      </c>
      <c r="F19" s="1">
        <v>50.792000000000002</v>
      </c>
      <c r="G19" s="7">
        <v>1</v>
      </c>
      <c r="H19" s="1">
        <v>180</v>
      </c>
      <c r="I19" s="1" t="s">
        <v>40</v>
      </c>
      <c r="J19" s="1"/>
      <c r="K19" s="1">
        <v>12.4</v>
      </c>
      <c r="L19" s="1">
        <f t="shared" si="2"/>
        <v>-0.27700000000000102</v>
      </c>
      <c r="M19" s="1"/>
      <c r="N19" s="1"/>
      <c r="O19" s="1">
        <v>69.113400000000013</v>
      </c>
      <c r="P19" s="1">
        <v>0</v>
      </c>
      <c r="Q19" s="1"/>
      <c r="R19" s="1">
        <v>0</v>
      </c>
      <c r="S19" s="1"/>
      <c r="T19" s="1">
        <f t="shared" si="3"/>
        <v>2.4245999999999999</v>
      </c>
      <c r="U19" s="5"/>
      <c r="V19" s="5">
        <f t="shared" si="5"/>
        <v>0</v>
      </c>
      <c r="W19" s="18"/>
      <c r="X19" s="18"/>
      <c r="Y19" s="1">
        <f t="shared" si="6"/>
        <v>49.453683081745453</v>
      </c>
      <c r="Z19" s="1">
        <f t="shared" si="4"/>
        <v>49.453683081745453</v>
      </c>
      <c r="AA19" s="1">
        <v>2.5926</v>
      </c>
      <c r="AB19" s="1">
        <v>4.5968</v>
      </c>
      <c r="AC19" s="1">
        <v>8.2949999999999999</v>
      </c>
      <c r="AD19" s="1">
        <v>7.8364000000000003</v>
      </c>
      <c r="AE19" s="1">
        <v>2.8835999999999999</v>
      </c>
      <c r="AF19" s="1">
        <v>0</v>
      </c>
      <c r="AG19" s="1">
        <v>1.2298</v>
      </c>
      <c r="AH19" s="1">
        <v>4.8632</v>
      </c>
      <c r="AI19" s="1">
        <v>4.8779999999999992</v>
      </c>
      <c r="AJ19" s="1">
        <v>4.3624000000000001</v>
      </c>
      <c r="AK19" s="15" t="s">
        <v>177</v>
      </c>
      <c r="AL19" s="1">
        <f t="shared" si="7"/>
        <v>0</v>
      </c>
    </row>
    <row r="20" spans="1:38" x14ac:dyDescent="0.25">
      <c r="A20" s="1" t="s">
        <v>58</v>
      </c>
      <c r="B20" s="1" t="s">
        <v>39</v>
      </c>
      <c r="C20" s="1">
        <v>17.71</v>
      </c>
      <c r="D20" s="1">
        <v>99.935000000000002</v>
      </c>
      <c r="E20" s="1">
        <v>88.825999999999993</v>
      </c>
      <c r="F20" s="1">
        <v>24.431000000000001</v>
      </c>
      <c r="G20" s="7">
        <v>1</v>
      </c>
      <c r="H20" s="1">
        <v>60</v>
      </c>
      <c r="I20" s="1" t="s">
        <v>40</v>
      </c>
      <c r="J20" s="1"/>
      <c r="K20" s="1">
        <v>124.1</v>
      </c>
      <c r="L20" s="1">
        <f t="shared" si="2"/>
        <v>-35.274000000000001</v>
      </c>
      <c r="M20" s="1"/>
      <c r="N20" s="1"/>
      <c r="O20" s="1">
        <v>185.25030000000001</v>
      </c>
      <c r="P20" s="1">
        <v>53.343000000000004</v>
      </c>
      <c r="Q20" s="1"/>
      <c r="R20" s="1">
        <v>0</v>
      </c>
      <c r="S20" s="1"/>
      <c r="T20" s="1">
        <f t="shared" si="3"/>
        <v>17.7652</v>
      </c>
      <c r="U20" s="5"/>
      <c r="V20" s="5">
        <f t="shared" si="5"/>
        <v>0</v>
      </c>
      <c r="W20" s="18"/>
      <c r="X20" s="18"/>
      <c r="Y20" s="1">
        <f t="shared" si="6"/>
        <v>14.805591831220591</v>
      </c>
      <c r="Z20" s="1">
        <f t="shared" si="4"/>
        <v>14.805591831220591</v>
      </c>
      <c r="AA20" s="1">
        <v>20.7974</v>
      </c>
      <c r="AB20" s="1">
        <v>30.6388</v>
      </c>
      <c r="AC20" s="1">
        <v>29.792400000000001</v>
      </c>
      <c r="AD20" s="1">
        <v>28.459800000000001</v>
      </c>
      <c r="AE20" s="1">
        <v>22.672000000000001</v>
      </c>
      <c r="AF20" s="1">
        <v>21.005199999999999</v>
      </c>
      <c r="AG20" s="1">
        <v>21.827999999999999</v>
      </c>
      <c r="AH20" s="1">
        <v>24.819600000000001</v>
      </c>
      <c r="AI20" s="1">
        <v>23.265000000000001</v>
      </c>
      <c r="AJ20" s="1">
        <v>64.643600000000006</v>
      </c>
      <c r="AK20" s="1"/>
      <c r="AL20" s="1">
        <f t="shared" si="7"/>
        <v>0</v>
      </c>
    </row>
    <row r="21" spans="1:38" x14ac:dyDescent="0.25">
      <c r="A21" s="1" t="s">
        <v>59</v>
      </c>
      <c r="B21" s="1" t="s">
        <v>39</v>
      </c>
      <c r="C21" s="1">
        <v>25.614999999999998</v>
      </c>
      <c r="D21" s="1">
        <v>31.725999999999999</v>
      </c>
      <c r="E21" s="1">
        <v>25.515000000000001</v>
      </c>
      <c r="F21" s="1">
        <v>30.074000000000002</v>
      </c>
      <c r="G21" s="7">
        <v>1</v>
      </c>
      <c r="H21" s="1">
        <v>70</v>
      </c>
      <c r="I21" s="1" t="s">
        <v>40</v>
      </c>
      <c r="J21" s="1"/>
      <c r="K21" s="1">
        <v>22.6</v>
      </c>
      <c r="L21" s="1">
        <f t="shared" si="2"/>
        <v>2.9149999999999991</v>
      </c>
      <c r="M21" s="1"/>
      <c r="N21" s="1"/>
      <c r="O21" s="1">
        <v>55.751300000000008</v>
      </c>
      <c r="P21" s="1">
        <v>0</v>
      </c>
      <c r="Q21" s="1"/>
      <c r="R21" s="1">
        <v>0</v>
      </c>
      <c r="S21" s="1"/>
      <c r="T21" s="1">
        <f t="shared" si="3"/>
        <v>5.1029999999999998</v>
      </c>
      <c r="U21" s="5"/>
      <c r="V21" s="5">
        <f t="shared" si="5"/>
        <v>0</v>
      </c>
      <c r="W21" s="18"/>
      <c r="X21" s="18"/>
      <c r="Y21" s="1">
        <f t="shared" si="6"/>
        <v>16.818596903782094</v>
      </c>
      <c r="Z21" s="1">
        <f t="shared" si="4"/>
        <v>16.818596903782094</v>
      </c>
      <c r="AA21" s="1">
        <v>4.3914</v>
      </c>
      <c r="AB21" s="1">
        <v>7.2075999999999993</v>
      </c>
      <c r="AC21" s="1">
        <v>9.6986000000000008</v>
      </c>
      <c r="AD21" s="1">
        <v>8.8358000000000008</v>
      </c>
      <c r="AE21" s="1">
        <v>5.6514000000000006</v>
      </c>
      <c r="AF21" s="1">
        <v>4.4032</v>
      </c>
      <c r="AG21" s="1">
        <v>5.0922000000000001</v>
      </c>
      <c r="AH21" s="1">
        <v>2.9807999999999999</v>
      </c>
      <c r="AI21" s="1">
        <v>1.7667999999999999</v>
      </c>
      <c r="AJ21" s="1">
        <v>11.1084</v>
      </c>
      <c r="AK21" s="1"/>
      <c r="AL21" s="1">
        <f t="shared" si="7"/>
        <v>0</v>
      </c>
    </row>
    <row r="22" spans="1:38" x14ac:dyDescent="0.25">
      <c r="A22" s="1" t="s">
        <v>60</v>
      </c>
      <c r="B22" s="1" t="s">
        <v>39</v>
      </c>
      <c r="C22" s="1">
        <v>0.23499999999999999</v>
      </c>
      <c r="D22" s="1">
        <v>242.22900000000001</v>
      </c>
      <c r="E22" s="1">
        <v>47.244</v>
      </c>
      <c r="F22" s="1">
        <v>192.59800000000001</v>
      </c>
      <c r="G22" s="7">
        <v>1</v>
      </c>
      <c r="H22" s="1">
        <v>70</v>
      </c>
      <c r="I22" s="1" t="s">
        <v>40</v>
      </c>
      <c r="J22" s="1"/>
      <c r="K22" s="1">
        <v>51.3</v>
      </c>
      <c r="L22" s="1">
        <f t="shared" si="2"/>
        <v>-4.0559999999999974</v>
      </c>
      <c r="M22" s="1"/>
      <c r="N22" s="1"/>
      <c r="O22" s="1">
        <v>138.40110000000001</v>
      </c>
      <c r="P22" s="1">
        <v>0</v>
      </c>
      <c r="Q22" s="1"/>
      <c r="R22" s="1">
        <v>0</v>
      </c>
      <c r="S22" s="1"/>
      <c r="T22" s="1">
        <f t="shared" si="3"/>
        <v>9.4488000000000003</v>
      </c>
      <c r="U22" s="5"/>
      <c r="V22" s="5">
        <f t="shared" si="5"/>
        <v>0</v>
      </c>
      <c r="W22" s="18"/>
      <c r="X22" s="18"/>
      <c r="Y22" s="1">
        <f t="shared" si="6"/>
        <v>35.030808144949624</v>
      </c>
      <c r="Z22" s="1">
        <f t="shared" si="4"/>
        <v>35.030808144949624</v>
      </c>
      <c r="AA22" s="1">
        <v>0.70399999999999996</v>
      </c>
      <c r="AB22" s="1">
        <v>10.3286</v>
      </c>
      <c r="AC22" s="1">
        <v>18.938400000000001</v>
      </c>
      <c r="AD22" s="1">
        <v>17.049399999999999</v>
      </c>
      <c r="AE22" s="1">
        <v>10.7204</v>
      </c>
      <c r="AF22" s="1">
        <v>6.5018000000000002</v>
      </c>
      <c r="AG22" s="1">
        <v>8.7881999999999998</v>
      </c>
      <c r="AH22" s="1">
        <v>12.298999999999999</v>
      </c>
      <c r="AI22" s="1">
        <v>9.3088000000000015</v>
      </c>
      <c r="AJ22" s="1">
        <v>12.678599999999999</v>
      </c>
      <c r="AK22" s="1"/>
      <c r="AL22" s="1">
        <f t="shared" si="7"/>
        <v>0</v>
      </c>
    </row>
    <row r="23" spans="1:38" x14ac:dyDescent="0.25">
      <c r="A23" s="1" t="s">
        <v>61</v>
      </c>
      <c r="B23" s="1" t="s">
        <v>39</v>
      </c>
      <c r="C23" s="1">
        <v>5.4409999999999998</v>
      </c>
      <c r="D23" s="1">
        <v>84.257999999999996</v>
      </c>
      <c r="E23" s="1">
        <v>7.73</v>
      </c>
      <c r="F23" s="1">
        <v>81.600999999999999</v>
      </c>
      <c r="G23" s="7">
        <v>1</v>
      </c>
      <c r="H23" s="1">
        <v>180</v>
      </c>
      <c r="I23" s="1" t="s">
        <v>40</v>
      </c>
      <c r="J23" s="1"/>
      <c r="K23" s="1">
        <v>8.3000000000000007</v>
      </c>
      <c r="L23" s="1">
        <f t="shared" si="2"/>
        <v>-0.57000000000000028</v>
      </c>
      <c r="M23" s="1"/>
      <c r="N23" s="1"/>
      <c r="O23" s="1">
        <v>57.665199999999992</v>
      </c>
      <c r="P23" s="1">
        <v>0</v>
      </c>
      <c r="Q23" s="1"/>
      <c r="R23" s="1">
        <v>0</v>
      </c>
      <c r="S23" s="1"/>
      <c r="T23" s="1">
        <f t="shared" si="3"/>
        <v>1.546</v>
      </c>
      <c r="U23" s="5"/>
      <c r="V23" s="5">
        <f t="shared" si="5"/>
        <v>0</v>
      </c>
      <c r="W23" s="18"/>
      <c r="X23" s="18"/>
      <c r="Y23" s="1">
        <f t="shared" si="6"/>
        <v>90.0816300129366</v>
      </c>
      <c r="Z23" s="1">
        <f t="shared" si="4"/>
        <v>90.0816300129366</v>
      </c>
      <c r="AA23" s="1">
        <v>2.3488000000000002</v>
      </c>
      <c r="AB23" s="1">
        <v>3.5808</v>
      </c>
      <c r="AC23" s="1">
        <v>10.385</v>
      </c>
      <c r="AD23" s="1">
        <v>9.8623999999999992</v>
      </c>
      <c r="AE23" s="1">
        <v>2.3128000000000002</v>
      </c>
      <c r="AF23" s="1">
        <v>1.3353999999999999</v>
      </c>
      <c r="AG23" s="1">
        <v>3.2978000000000001</v>
      </c>
      <c r="AH23" s="1">
        <v>6.2813999999999997</v>
      </c>
      <c r="AI23" s="1">
        <v>5.3385999999999996</v>
      </c>
      <c r="AJ23" s="1">
        <v>3.8740000000000001</v>
      </c>
      <c r="AK23" s="1"/>
      <c r="AL23" s="1">
        <f t="shared" si="7"/>
        <v>0</v>
      </c>
    </row>
    <row r="24" spans="1:38" x14ac:dyDescent="0.25">
      <c r="A24" s="1" t="s">
        <v>62</v>
      </c>
      <c r="B24" s="1" t="s">
        <v>39</v>
      </c>
      <c r="C24" s="1">
        <v>9.01</v>
      </c>
      <c r="D24" s="1">
        <v>158.12299999999999</v>
      </c>
      <c r="E24" s="1">
        <v>52.390999999999998</v>
      </c>
      <c r="F24" s="1">
        <v>112.559</v>
      </c>
      <c r="G24" s="7">
        <v>1</v>
      </c>
      <c r="H24" s="1">
        <v>70</v>
      </c>
      <c r="I24" s="1" t="s">
        <v>40</v>
      </c>
      <c r="J24" s="1"/>
      <c r="K24" s="1">
        <v>48.3</v>
      </c>
      <c r="L24" s="1">
        <f t="shared" si="2"/>
        <v>4.0910000000000011</v>
      </c>
      <c r="M24" s="1"/>
      <c r="N24" s="1"/>
      <c r="O24" s="1">
        <v>107.8818</v>
      </c>
      <c r="P24" s="1">
        <v>0</v>
      </c>
      <c r="Q24" s="1"/>
      <c r="R24" s="1">
        <v>0</v>
      </c>
      <c r="S24" s="1"/>
      <c r="T24" s="1">
        <f t="shared" si="3"/>
        <v>10.478199999999999</v>
      </c>
      <c r="U24" s="5"/>
      <c r="V24" s="5">
        <f t="shared" si="5"/>
        <v>0</v>
      </c>
      <c r="W24" s="18"/>
      <c r="X24" s="18"/>
      <c r="Y24" s="1">
        <f t="shared" si="6"/>
        <v>21.038040884884808</v>
      </c>
      <c r="Z24" s="1">
        <f t="shared" si="4"/>
        <v>21.038040884884808</v>
      </c>
      <c r="AA24" s="1">
        <v>9.1310000000000002</v>
      </c>
      <c r="AB24" s="1">
        <v>10.2768</v>
      </c>
      <c r="AC24" s="1">
        <v>11.618</v>
      </c>
      <c r="AD24" s="1">
        <v>16.347999999999999</v>
      </c>
      <c r="AE24" s="1">
        <v>11.9626</v>
      </c>
      <c r="AF24" s="1">
        <v>9.6707999999999998</v>
      </c>
      <c r="AG24" s="1">
        <v>12.0936</v>
      </c>
      <c r="AH24" s="1">
        <v>12.107799999999999</v>
      </c>
      <c r="AI24" s="1">
        <v>10.0344</v>
      </c>
      <c r="AJ24" s="1">
        <v>32.643000000000001</v>
      </c>
      <c r="AK24" s="1"/>
      <c r="AL24" s="1">
        <f t="shared" si="7"/>
        <v>0</v>
      </c>
    </row>
    <row r="25" spans="1:38" x14ac:dyDescent="0.25">
      <c r="A25" s="10" t="s">
        <v>63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/>
      <c r="R25" s="10">
        <v>0</v>
      </c>
      <c r="S25" s="10"/>
      <c r="T25" s="10">
        <f t="shared" si="3"/>
        <v>0</v>
      </c>
      <c r="U25" s="12"/>
      <c r="V25" s="5">
        <f t="shared" si="5"/>
        <v>0</v>
      </c>
      <c r="W25" s="18"/>
      <c r="X25" s="18"/>
      <c r="Y25" s="1" t="e">
        <f t="shared" si="6"/>
        <v>#DIV/0!</v>
      </c>
      <c r="Z25" s="10" t="e">
        <f t="shared" si="4"/>
        <v>#DIV/0!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45</v>
      </c>
      <c r="AL25" s="1">
        <f t="shared" si="7"/>
        <v>0</v>
      </c>
    </row>
    <row r="26" spans="1:38" x14ac:dyDescent="0.25">
      <c r="A26" s="1" t="s">
        <v>64</v>
      </c>
      <c r="B26" s="1" t="s">
        <v>39</v>
      </c>
      <c r="C26" s="1">
        <v>234.089</v>
      </c>
      <c r="D26" s="1">
        <v>63.537999999999997</v>
      </c>
      <c r="E26" s="1">
        <v>104.361</v>
      </c>
      <c r="F26" s="1">
        <v>180.93899999999999</v>
      </c>
      <c r="G26" s="7">
        <v>1</v>
      </c>
      <c r="H26" s="1"/>
      <c r="I26" s="1" t="s">
        <v>40</v>
      </c>
      <c r="J26" s="1"/>
      <c r="K26" s="1">
        <v>109.9</v>
      </c>
      <c r="L26" s="1">
        <f t="shared" si="2"/>
        <v>-5.5390000000000015</v>
      </c>
      <c r="M26" s="1"/>
      <c r="N26" s="1"/>
      <c r="O26" s="1">
        <v>0</v>
      </c>
      <c r="P26" s="1">
        <v>0</v>
      </c>
      <c r="Q26" s="1"/>
      <c r="R26" s="1">
        <v>0</v>
      </c>
      <c r="S26" s="1"/>
      <c r="T26" s="1">
        <f t="shared" si="3"/>
        <v>20.872199999999999</v>
      </c>
      <c r="U26" s="5">
        <f t="shared" ref="U26:U62" si="9">11*T26-S26-R26-Q26-P26-O26-F26</f>
        <v>48.655200000000008</v>
      </c>
      <c r="V26" s="5">
        <f t="shared" si="5"/>
        <v>48.655200000000008</v>
      </c>
      <c r="W26" s="18"/>
      <c r="X26" s="18"/>
      <c r="Y26" s="1">
        <f t="shared" si="6"/>
        <v>11</v>
      </c>
      <c r="Z26" s="1">
        <f t="shared" si="4"/>
        <v>8.6688993014631901</v>
      </c>
      <c r="AA26" s="1">
        <v>12.909599999999999</v>
      </c>
      <c r="AB26" s="1">
        <v>1.4698</v>
      </c>
      <c r="AC26" s="1">
        <v>9.6630000000000003</v>
      </c>
      <c r="AD26" s="1">
        <v>22.216999999999999</v>
      </c>
      <c r="AE26" s="1">
        <v>28.906600000000001</v>
      </c>
      <c r="AF26" s="1">
        <v>26.8596</v>
      </c>
      <c r="AG26" s="1">
        <v>9.6592000000000002</v>
      </c>
      <c r="AH26" s="1">
        <v>4.1318000000000001</v>
      </c>
      <c r="AI26" s="1">
        <v>11.148199999999999</v>
      </c>
      <c r="AJ26" s="1">
        <v>25.6892</v>
      </c>
      <c r="AK26" s="1"/>
      <c r="AL26" s="1">
        <f t="shared" si="7"/>
        <v>49</v>
      </c>
    </row>
    <row r="27" spans="1:38" x14ac:dyDescent="0.25">
      <c r="A27" s="1" t="s">
        <v>65</v>
      </c>
      <c r="B27" s="1" t="s">
        <v>39</v>
      </c>
      <c r="C27" s="1">
        <v>-3.3000000000000002E-2</v>
      </c>
      <c r="D27" s="1">
        <v>218.93100000000001</v>
      </c>
      <c r="E27" s="1">
        <v>98.709000000000003</v>
      </c>
      <c r="F27" s="1">
        <v>105.983</v>
      </c>
      <c r="G27" s="7">
        <v>1</v>
      </c>
      <c r="H27" s="1">
        <v>40</v>
      </c>
      <c r="I27" s="9" t="s">
        <v>51</v>
      </c>
      <c r="J27" s="1"/>
      <c r="K27" s="1">
        <v>95.3</v>
      </c>
      <c r="L27" s="1">
        <f t="shared" si="2"/>
        <v>3.409000000000006</v>
      </c>
      <c r="M27" s="1"/>
      <c r="N27" s="1"/>
      <c r="O27" s="1">
        <v>168.59649999999999</v>
      </c>
      <c r="P27" s="1">
        <v>0</v>
      </c>
      <c r="Q27" s="1"/>
      <c r="R27" s="1">
        <v>0</v>
      </c>
      <c r="S27" s="1"/>
      <c r="T27" s="1">
        <f t="shared" si="3"/>
        <v>19.741800000000001</v>
      </c>
      <c r="U27" s="5"/>
      <c r="V27" s="5">
        <f t="shared" si="5"/>
        <v>0</v>
      </c>
      <c r="W27" s="18"/>
      <c r="X27" s="18"/>
      <c r="Y27" s="1">
        <f t="shared" si="6"/>
        <v>13.908534176214934</v>
      </c>
      <c r="Z27" s="1">
        <f t="shared" si="4"/>
        <v>13.908534176214934</v>
      </c>
      <c r="AA27" s="1">
        <v>2.9630000000000001</v>
      </c>
      <c r="AB27" s="1">
        <v>0.5454</v>
      </c>
      <c r="AC27" s="1">
        <v>8.5355999999999987</v>
      </c>
      <c r="AD27" s="1">
        <v>28.5002</v>
      </c>
      <c r="AE27" s="1">
        <v>28.304400000000001</v>
      </c>
      <c r="AF27" s="1">
        <v>9.4748000000000001</v>
      </c>
      <c r="AG27" s="1">
        <v>0</v>
      </c>
      <c r="AH27" s="1">
        <v>0</v>
      </c>
      <c r="AI27" s="1">
        <v>2.1427999999999998</v>
      </c>
      <c r="AJ27" s="1">
        <v>10.8134</v>
      </c>
      <c r="AK27" s="1"/>
      <c r="AL27" s="1">
        <f t="shared" si="7"/>
        <v>0</v>
      </c>
    </row>
    <row r="28" spans="1:38" x14ac:dyDescent="0.25">
      <c r="A28" s="1" t="s">
        <v>66</v>
      </c>
      <c r="B28" s="1" t="s">
        <v>39</v>
      </c>
      <c r="C28" s="1">
        <v>134.73500000000001</v>
      </c>
      <c r="D28" s="1">
        <v>89.918999999999997</v>
      </c>
      <c r="E28" s="1">
        <v>151.96799999999999</v>
      </c>
      <c r="F28" s="1">
        <v>56.546999999999997</v>
      </c>
      <c r="G28" s="7">
        <v>1</v>
      </c>
      <c r="H28" s="1">
        <v>30</v>
      </c>
      <c r="I28" s="1" t="s">
        <v>40</v>
      </c>
      <c r="J28" s="1"/>
      <c r="K28" s="1">
        <v>162.4</v>
      </c>
      <c r="L28" s="1">
        <f t="shared" si="2"/>
        <v>-10.432000000000016</v>
      </c>
      <c r="M28" s="1"/>
      <c r="N28" s="1"/>
      <c r="O28" s="1">
        <v>0</v>
      </c>
      <c r="P28" s="1">
        <v>170.44980000000001</v>
      </c>
      <c r="Q28" s="1"/>
      <c r="R28" s="1">
        <v>205.7657760000001</v>
      </c>
      <c r="S28" s="1"/>
      <c r="T28" s="1">
        <f t="shared" si="3"/>
        <v>30.393599999999999</v>
      </c>
      <c r="U28" s="5"/>
      <c r="V28" s="5">
        <f t="shared" si="5"/>
        <v>0</v>
      </c>
      <c r="W28" s="18"/>
      <c r="X28" s="18"/>
      <c r="Y28" s="1">
        <f t="shared" si="6"/>
        <v>14.238608654453571</v>
      </c>
      <c r="Z28" s="1">
        <f t="shared" si="4"/>
        <v>14.238608654453571</v>
      </c>
      <c r="AA28" s="1">
        <v>43.092200000000012</v>
      </c>
      <c r="AB28" s="1">
        <v>35.016800000000003</v>
      </c>
      <c r="AC28" s="1">
        <v>14.760400000000001</v>
      </c>
      <c r="AD28" s="1">
        <v>10.8546</v>
      </c>
      <c r="AE28" s="1">
        <v>14.9618</v>
      </c>
      <c r="AF28" s="1">
        <v>25.189</v>
      </c>
      <c r="AG28" s="1">
        <v>39.961599999999997</v>
      </c>
      <c r="AH28" s="1">
        <v>36.950599999999987</v>
      </c>
      <c r="AI28" s="1">
        <v>19.311800000000002</v>
      </c>
      <c r="AJ28" s="1">
        <v>9.3336000000000006</v>
      </c>
      <c r="AK28" s="1"/>
      <c r="AL28" s="1">
        <f t="shared" si="7"/>
        <v>0</v>
      </c>
    </row>
    <row r="29" spans="1:38" x14ac:dyDescent="0.25">
      <c r="A29" s="1" t="s">
        <v>67</v>
      </c>
      <c r="B29" s="1" t="s">
        <v>39</v>
      </c>
      <c r="C29" s="1">
        <v>-2.5999999999999999E-2</v>
      </c>
      <c r="D29" s="1">
        <v>463.41</v>
      </c>
      <c r="E29" s="1">
        <v>144.78200000000001</v>
      </c>
      <c r="F29" s="1">
        <v>290.67899999999997</v>
      </c>
      <c r="G29" s="7">
        <v>1</v>
      </c>
      <c r="H29" s="1">
        <v>40</v>
      </c>
      <c r="I29" s="1" t="s">
        <v>40</v>
      </c>
      <c r="J29" s="1"/>
      <c r="K29" s="1">
        <v>151</v>
      </c>
      <c r="L29" s="1">
        <f t="shared" si="2"/>
        <v>-6.2179999999999893</v>
      </c>
      <c r="M29" s="1"/>
      <c r="N29" s="1"/>
      <c r="O29" s="1">
        <v>1780.2706000000001</v>
      </c>
      <c r="P29" s="1">
        <v>0</v>
      </c>
      <c r="Q29" s="1"/>
      <c r="R29" s="1">
        <v>0</v>
      </c>
      <c r="S29" s="1"/>
      <c r="T29" s="1">
        <f t="shared" si="3"/>
        <v>28.956400000000002</v>
      </c>
      <c r="U29" s="5"/>
      <c r="V29" s="5">
        <f t="shared" si="5"/>
        <v>0</v>
      </c>
      <c r="W29" s="18"/>
      <c r="X29" s="18"/>
      <c r="Y29" s="1">
        <f t="shared" si="6"/>
        <v>71.519581163404283</v>
      </c>
      <c r="Z29" s="1">
        <f t="shared" si="4"/>
        <v>71.519581163404283</v>
      </c>
      <c r="AA29" s="1">
        <v>-0.99920000000000009</v>
      </c>
      <c r="AB29" s="1">
        <v>1.2806</v>
      </c>
      <c r="AC29" s="1">
        <v>203.31360000000001</v>
      </c>
      <c r="AD29" s="1">
        <v>221.61320000000001</v>
      </c>
      <c r="AE29" s="1">
        <v>33.910200000000003</v>
      </c>
      <c r="AF29" s="1">
        <v>52.915999999999997</v>
      </c>
      <c r="AG29" s="1">
        <v>78.383799999999994</v>
      </c>
      <c r="AH29" s="1">
        <v>82.191000000000003</v>
      </c>
      <c r="AI29" s="1">
        <v>101.8682</v>
      </c>
      <c r="AJ29" s="1">
        <v>58.460400000000007</v>
      </c>
      <c r="AK29" s="1"/>
      <c r="AL29" s="1">
        <f t="shared" si="7"/>
        <v>0</v>
      </c>
    </row>
    <row r="30" spans="1:38" x14ac:dyDescent="0.25">
      <c r="A30" s="1" t="s">
        <v>68</v>
      </c>
      <c r="B30" s="1" t="s">
        <v>39</v>
      </c>
      <c r="C30" s="1">
        <v>-17.382999999999999</v>
      </c>
      <c r="D30" s="1">
        <v>88.757999999999996</v>
      </c>
      <c r="E30" s="1">
        <v>35.182000000000002</v>
      </c>
      <c r="F30" s="1">
        <v>34.731000000000002</v>
      </c>
      <c r="G30" s="7">
        <v>1</v>
      </c>
      <c r="H30" s="1">
        <v>40</v>
      </c>
      <c r="I30" s="1" t="s">
        <v>40</v>
      </c>
      <c r="J30" s="1"/>
      <c r="K30" s="1">
        <v>31.9</v>
      </c>
      <c r="L30" s="1">
        <f t="shared" si="2"/>
        <v>3.2820000000000036</v>
      </c>
      <c r="M30" s="1"/>
      <c r="N30" s="1"/>
      <c r="O30" s="1">
        <v>0</v>
      </c>
      <c r="P30" s="1">
        <v>10</v>
      </c>
      <c r="Q30" s="1"/>
      <c r="R30" s="1">
        <v>0</v>
      </c>
      <c r="S30" s="1"/>
      <c r="T30" s="1">
        <f t="shared" si="3"/>
        <v>7.0364000000000004</v>
      </c>
      <c r="U30" s="5">
        <f t="shared" si="9"/>
        <v>32.669400000000003</v>
      </c>
      <c r="V30" s="5">
        <f t="shared" si="5"/>
        <v>32.669400000000003</v>
      </c>
      <c r="W30" s="18"/>
      <c r="X30" s="18"/>
      <c r="Y30" s="1">
        <f t="shared" si="6"/>
        <v>11</v>
      </c>
      <c r="Z30" s="1">
        <f t="shared" si="4"/>
        <v>6.3570860098914217</v>
      </c>
      <c r="AA30" s="1">
        <v>0.58960000000000001</v>
      </c>
      <c r="AB30" s="1">
        <v>3.4765999999999999</v>
      </c>
      <c r="AC30" s="1">
        <v>4.9329999999999998</v>
      </c>
      <c r="AD30" s="1">
        <v>7.508</v>
      </c>
      <c r="AE30" s="1">
        <v>8.4128000000000007</v>
      </c>
      <c r="AF30" s="1">
        <v>4.1795999999999998</v>
      </c>
      <c r="AG30" s="1">
        <v>2.1640000000000001</v>
      </c>
      <c r="AH30" s="1">
        <v>1.5367999999999999</v>
      </c>
      <c r="AI30" s="1">
        <v>0.94800000000000006</v>
      </c>
      <c r="AJ30" s="1">
        <v>1.244</v>
      </c>
      <c r="AK30" s="1"/>
      <c r="AL30" s="1">
        <f t="shared" si="7"/>
        <v>33</v>
      </c>
    </row>
    <row r="31" spans="1:38" x14ac:dyDescent="0.25">
      <c r="A31" s="1" t="s">
        <v>69</v>
      </c>
      <c r="B31" s="1" t="s">
        <v>39</v>
      </c>
      <c r="C31" s="1">
        <v>-0.06</v>
      </c>
      <c r="D31" s="1">
        <v>140.928</v>
      </c>
      <c r="E31" s="1">
        <v>4.6449999999999996</v>
      </c>
      <c r="F31" s="1">
        <v>115.79300000000001</v>
      </c>
      <c r="G31" s="7">
        <v>1</v>
      </c>
      <c r="H31" s="1">
        <v>30</v>
      </c>
      <c r="I31" s="1" t="s">
        <v>40</v>
      </c>
      <c r="J31" s="1"/>
      <c r="K31" s="1">
        <v>20.8</v>
      </c>
      <c r="L31" s="1">
        <f t="shared" si="2"/>
        <v>-16.155000000000001</v>
      </c>
      <c r="M31" s="1"/>
      <c r="N31" s="1"/>
      <c r="O31" s="1">
        <v>150.5214</v>
      </c>
      <c r="P31" s="1">
        <v>0</v>
      </c>
      <c r="Q31" s="1"/>
      <c r="R31" s="1">
        <v>0</v>
      </c>
      <c r="S31" s="1"/>
      <c r="T31" s="1">
        <f t="shared" si="3"/>
        <v>0.92899999999999994</v>
      </c>
      <c r="U31" s="5"/>
      <c r="V31" s="5">
        <f t="shared" si="5"/>
        <v>0</v>
      </c>
      <c r="W31" s="18"/>
      <c r="X31" s="18"/>
      <c r="Y31" s="1">
        <f t="shared" si="6"/>
        <v>286.66781485468243</v>
      </c>
      <c r="Z31" s="1">
        <f t="shared" si="4"/>
        <v>286.66781485468243</v>
      </c>
      <c r="AA31" s="1">
        <v>-1.5311999999999999</v>
      </c>
      <c r="AB31" s="1">
        <v>9.7686000000000011</v>
      </c>
      <c r="AC31" s="1">
        <v>22.900200000000002</v>
      </c>
      <c r="AD31" s="1">
        <v>21.618400000000001</v>
      </c>
      <c r="AE31" s="1">
        <v>12.643000000000001</v>
      </c>
      <c r="AF31" s="1">
        <v>6.0103999999999997</v>
      </c>
      <c r="AG31" s="1">
        <v>7.9418000000000006</v>
      </c>
      <c r="AH31" s="1">
        <v>17.933199999999999</v>
      </c>
      <c r="AI31" s="1">
        <v>20.16</v>
      </c>
      <c r="AJ31" s="1">
        <v>6.9640000000000004</v>
      </c>
      <c r="AK31" s="1" t="s">
        <v>70</v>
      </c>
      <c r="AL31" s="1">
        <f t="shared" si="7"/>
        <v>0</v>
      </c>
    </row>
    <row r="32" spans="1:38" x14ac:dyDescent="0.25">
      <c r="A32" s="1" t="s">
        <v>71</v>
      </c>
      <c r="B32" s="1" t="s">
        <v>39</v>
      </c>
      <c r="C32" s="1">
        <v>222.43</v>
      </c>
      <c r="D32" s="1">
        <v>43.476999999999997</v>
      </c>
      <c r="E32" s="1">
        <v>89.36</v>
      </c>
      <c r="F32" s="1">
        <v>171.05799999999999</v>
      </c>
      <c r="G32" s="7">
        <v>1</v>
      </c>
      <c r="H32" s="1">
        <v>50</v>
      </c>
      <c r="I32" s="1" t="s">
        <v>40</v>
      </c>
      <c r="J32" s="1"/>
      <c r="K32" s="1">
        <v>89.1</v>
      </c>
      <c r="L32" s="1">
        <f t="shared" si="2"/>
        <v>0.26000000000000512</v>
      </c>
      <c r="M32" s="1"/>
      <c r="N32" s="1"/>
      <c r="O32" s="1">
        <v>0</v>
      </c>
      <c r="P32" s="1">
        <v>0</v>
      </c>
      <c r="Q32" s="1"/>
      <c r="R32" s="1">
        <v>31.600000000000019</v>
      </c>
      <c r="S32" s="1"/>
      <c r="T32" s="1">
        <f t="shared" si="3"/>
        <v>17.872</v>
      </c>
      <c r="U32" s="5"/>
      <c r="V32" s="5">
        <f t="shared" si="5"/>
        <v>0</v>
      </c>
      <c r="W32" s="18"/>
      <c r="X32" s="18"/>
      <c r="Y32" s="1">
        <f t="shared" si="6"/>
        <v>11.339413607878246</v>
      </c>
      <c r="Z32" s="1">
        <f t="shared" si="4"/>
        <v>11.339413607878246</v>
      </c>
      <c r="AA32" s="1">
        <v>19.239999999999998</v>
      </c>
      <c r="AB32" s="1">
        <v>14.298999999999999</v>
      </c>
      <c r="AC32" s="1">
        <v>3.6772</v>
      </c>
      <c r="AD32" s="1">
        <v>-8.0000000000000004E-4</v>
      </c>
      <c r="AE32" s="1">
        <v>6.5671999999999997</v>
      </c>
      <c r="AF32" s="1">
        <v>20.536200000000001</v>
      </c>
      <c r="AG32" s="1">
        <v>13.7806</v>
      </c>
      <c r="AH32" s="1">
        <v>7.1421999999999999</v>
      </c>
      <c r="AI32" s="1">
        <v>7.5117999999999991</v>
      </c>
      <c r="AJ32" s="1">
        <v>0.18379999999999999</v>
      </c>
      <c r="AK32" s="1"/>
      <c r="AL32" s="1">
        <f t="shared" si="7"/>
        <v>0</v>
      </c>
    </row>
    <row r="33" spans="1:38" x14ac:dyDescent="0.25">
      <c r="A33" s="1" t="s">
        <v>72</v>
      </c>
      <c r="B33" s="1" t="s">
        <v>39</v>
      </c>
      <c r="C33" s="1">
        <v>237.05500000000001</v>
      </c>
      <c r="D33" s="1">
        <v>76.076999999999998</v>
      </c>
      <c r="E33" s="1">
        <v>78.468000000000004</v>
      </c>
      <c r="F33" s="1">
        <v>231.03800000000001</v>
      </c>
      <c r="G33" s="7">
        <v>1</v>
      </c>
      <c r="H33" s="1">
        <v>50</v>
      </c>
      <c r="I33" s="1" t="s">
        <v>40</v>
      </c>
      <c r="J33" s="1"/>
      <c r="K33" s="1">
        <v>77.7</v>
      </c>
      <c r="L33" s="1">
        <f t="shared" si="2"/>
        <v>0.76800000000000068</v>
      </c>
      <c r="M33" s="1"/>
      <c r="N33" s="1"/>
      <c r="O33" s="1">
        <v>0</v>
      </c>
      <c r="P33" s="1">
        <v>0</v>
      </c>
      <c r="Q33" s="1"/>
      <c r="R33" s="1">
        <v>0</v>
      </c>
      <c r="S33" s="1"/>
      <c r="T33" s="1">
        <f t="shared" si="3"/>
        <v>15.6936</v>
      </c>
      <c r="U33" s="5"/>
      <c r="V33" s="5">
        <f t="shared" si="5"/>
        <v>0</v>
      </c>
      <c r="W33" s="18"/>
      <c r="X33" s="18"/>
      <c r="Y33" s="1">
        <f t="shared" si="6"/>
        <v>14.721797420604579</v>
      </c>
      <c r="Z33" s="1">
        <f t="shared" si="4"/>
        <v>14.721797420604579</v>
      </c>
      <c r="AA33" s="1">
        <v>19.268599999999999</v>
      </c>
      <c r="AB33" s="1">
        <v>13.607200000000001</v>
      </c>
      <c r="AC33" s="1">
        <v>9.64</v>
      </c>
      <c r="AD33" s="1">
        <v>17.625</v>
      </c>
      <c r="AE33" s="1">
        <v>26.758400000000002</v>
      </c>
      <c r="AF33" s="1">
        <v>28.691800000000001</v>
      </c>
      <c r="AG33" s="1">
        <v>12.837</v>
      </c>
      <c r="AH33" s="1">
        <v>-0.1898</v>
      </c>
      <c r="AI33" s="1">
        <v>7.3756000000000004</v>
      </c>
      <c r="AJ33" s="1">
        <v>28.135400000000001</v>
      </c>
      <c r="AK33" s="1"/>
      <c r="AL33" s="1">
        <f t="shared" si="7"/>
        <v>0</v>
      </c>
    </row>
    <row r="34" spans="1:38" x14ac:dyDescent="0.25">
      <c r="A34" s="1" t="s">
        <v>73</v>
      </c>
      <c r="B34" s="1" t="s">
        <v>44</v>
      </c>
      <c r="C34" s="1">
        <v>1623</v>
      </c>
      <c r="D34" s="1">
        <v>102</v>
      </c>
      <c r="E34" s="1">
        <v>1133</v>
      </c>
      <c r="F34" s="1">
        <v>556</v>
      </c>
      <c r="G34" s="7">
        <v>0.4</v>
      </c>
      <c r="H34" s="1">
        <v>45</v>
      </c>
      <c r="I34" s="1" t="s">
        <v>40</v>
      </c>
      <c r="J34" s="1"/>
      <c r="K34" s="1">
        <v>1142</v>
      </c>
      <c r="L34" s="1">
        <f t="shared" si="2"/>
        <v>-9</v>
      </c>
      <c r="M34" s="1"/>
      <c r="N34" s="1"/>
      <c r="O34" s="1">
        <v>0</v>
      </c>
      <c r="P34" s="1">
        <v>806.92000000000019</v>
      </c>
      <c r="Q34" s="1"/>
      <c r="R34" s="1">
        <v>1123.1199999999999</v>
      </c>
      <c r="S34" s="1"/>
      <c r="T34" s="1">
        <f t="shared" si="3"/>
        <v>226.6</v>
      </c>
      <c r="U34" s="5">
        <f t="shared" si="9"/>
        <v>6.5599999999998317</v>
      </c>
      <c r="V34" s="5">
        <f>U34+T34*$V$1</f>
        <v>233.15999999999983</v>
      </c>
      <c r="W34" s="18"/>
      <c r="X34" s="18"/>
      <c r="Y34" s="1">
        <f t="shared" si="6"/>
        <v>12</v>
      </c>
      <c r="Z34" s="1">
        <f t="shared" si="4"/>
        <v>10.971050308914387</v>
      </c>
      <c r="AA34" s="1">
        <v>263</v>
      </c>
      <c r="AB34" s="1">
        <v>188.8</v>
      </c>
      <c r="AC34" s="1">
        <v>68.400000000000006</v>
      </c>
      <c r="AD34" s="1">
        <v>109.4</v>
      </c>
      <c r="AE34" s="1">
        <v>170.2</v>
      </c>
      <c r="AF34" s="1">
        <v>219.8</v>
      </c>
      <c r="AG34" s="1">
        <v>216.6</v>
      </c>
      <c r="AH34" s="1">
        <v>149.4</v>
      </c>
      <c r="AI34" s="1">
        <v>96.8</v>
      </c>
      <c r="AJ34" s="1">
        <v>94.4</v>
      </c>
      <c r="AK34" s="1"/>
      <c r="AL34" s="1">
        <f t="shared" si="7"/>
        <v>93</v>
      </c>
    </row>
    <row r="35" spans="1:38" x14ac:dyDescent="0.25">
      <c r="A35" s="1" t="s">
        <v>74</v>
      </c>
      <c r="B35" s="1" t="s">
        <v>44</v>
      </c>
      <c r="C35" s="1">
        <v>-1</v>
      </c>
      <c r="D35" s="1">
        <v>190</v>
      </c>
      <c r="E35" s="1">
        <v>23</v>
      </c>
      <c r="F35" s="1">
        <v>161</v>
      </c>
      <c r="G35" s="7">
        <v>0.45</v>
      </c>
      <c r="H35" s="1">
        <v>50</v>
      </c>
      <c r="I35" s="1" t="s">
        <v>40</v>
      </c>
      <c r="J35" s="1"/>
      <c r="K35" s="1">
        <v>25</v>
      </c>
      <c r="L35" s="1">
        <f t="shared" si="2"/>
        <v>-2</v>
      </c>
      <c r="M35" s="1"/>
      <c r="N35" s="1"/>
      <c r="O35" s="1">
        <v>64.5</v>
      </c>
      <c r="P35" s="1">
        <v>125.4</v>
      </c>
      <c r="Q35" s="1"/>
      <c r="R35" s="1">
        <v>0</v>
      </c>
      <c r="S35" s="1"/>
      <c r="T35" s="1">
        <f t="shared" si="3"/>
        <v>4.5999999999999996</v>
      </c>
      <c r="U35" s="5"/>
      <c r="V35" s="5">
        <f t="shared" si="5"/>
        <v>0</v>
      </c>
      <c r="W35" s="18"/>
      <c r="X35" s="18"/>
      <c r="Y35" s="1">
        <f t="shared" si="6"/>
        <v>76.282608695652172</v>
      </c>
      <c r="Z35" s="1">
        <f t="shared" si="4"/>
        <v>76.282608695652172</v>
      </c>
      <c r="AA35" s="1">
        <v>14</v>
      </c>
      <c r="AB35" s="1">
        <v>34.200000000000003</v>
      </c>
      <c r="AC35" s="1">
        <v>37.4</v>
      </c>
      <c r="AD35" s="1">
        <v>17</v>
      </c>
      <c r="AE35" s="1">
        <v>9.4</v>
      </c>
      <c r="AF35" s="1">
        <v>17</v>
      </c>
      <c r="AG35" s="1">
        <v>22.2</v>
      </c>
      <c r="AH35" s="1">
        <v>32.200000000000003</v>
      </c>
      <c r="AI35" s="1">
        <v>28.2</v>
      </c>
      <c r="AJ35" s="1">
        <v>49.8</v>
      </c>
      <c r="AK35" s="1"/>
      <c r="AL35" s="1">
        <f t="shared" si="7"/>
        <v>0</v>
      </c>
    </row>
    <row r="36" spans="1:38" x14ac:dyDescent="0.25">
      <c r="A36" s="1" t="s">
        <v>75</v>
      </c>
      <c r="B36" s="1" t="s">
        <v>44</v>
      </c>
      <c r="C36" s="1">
        <v>313</v>
      </c>
      <c r="D36" s="1"/>
      <c r="E36" s="1">
        <v>308</v>
      </c>
      <c r="F36" s="1">
        <v>3</v>
      </c>
      <c r="G36" s="7">
        <v>0.4</v>
      </c>
      <c r="H36" s="1">
        <v>45</v>
      </c>
      <c r="I36" s="9" t="s">
        <v>51</v>
      </c>
      <c r="J36" s="1"/>
      <c r="K36" s="1">
        <v>323</v>
      </c>
      <c r="L36" s="1">
        <f t="shared" si="2"/>
        <v>-15</v>
      </c>
      <c r="M36" s="1"/>
      <c r="N36" s="1"/>
      <c r="O36" s="1">
        <v>0</v>
      </c>
      <c r="P36" s="1">
        <v>300</v>
      </c>
      <c r="Q36" s="1"/>
      <c r="R36" s="1">
        <v>432.70399999999989</v>
      </c>
      <c r="S36" s="1"/>
      <c r="T36" s="1">
        <f t="shared" si="3"/>
        <v>61.6</v>
      </c>
      <c r="U36" s="5"/>
      <c r="V36" s="5">
        <f t="shared" si="5"/>
        <v>0</v>
      </c>
      <c r="W36" s="18"/>
      <c r="X36" s="18"/>
      <c r="Y36" s="1">
        <f t="shared" si="6"/>
        <v>11.943246753246752</v>
      </c>
      <c r="Z36" s="1">
        <f t="shared" si="4"/>
        <v>11.943246753246752</v>
      </c>
      <c r="AA36" s="1">
        <v>73.8</v>
      </c>
      <c r="AB36" s="1">
        <v>51</v>
      </c>
      <c r="AC36" s="1">
        <v>21</v>
      </c>
      <c r="AD36" s="1">
        <v>31.6</v>
      </c>
      <c r="AE36" s="1">
        <v>47.8</v>
      </c>
      <c r="AF36" s="1">
        <v>50.4</v>
      </c>
      <c r="AG36" s="1">
        <v>39</v>
      </c>
      <c r="AH36" s="1">
        <v>47.6</v>
      </c>
      <c r="AI36" s="1">
        <v>37.799999999999997</v>
      </c>
      <c r="AJ36" s="1">
        <v>37.4</v>
      </c>
      <c r="AK36" s="1"/>
      <c r="AL36" s="1">
        <f t="shared" si="7"/>
        <v>0</v>
      </c>
    </row>
    <row r="37" spans="1:38" x14ac:dyDescent="0.25">
      <c r="A37" s="1" t="s">
        <v>76</v>
      </c>
      <c r="B37" s="1" t="s">
        <v>44</v>
      </c>
      <c r="C37" s="1">
        <v>11</v>
      </c>
      <c r="D37" s="1">
        <v>108</v>
      </c>
      <c r="E37" s="1">
        <v>30</v>
      </c>
      <c r="F37" s="1">
        <v>88</v>
      </c>
      <c r="G37" s="7">
        <v>0.4</v>
      </c>
      <c r="H37" s="1">
        <v>40</v>
      </c>
      <c r="I37" s="1" t="s">
        <v>40</v>
      </c>
      <c r="J37" s="1"/>
      <c r="K37" s="1">
        <v>30</v>
      </c>
      <c r="L37" s="1">
        <f t="shared" si="2"/>
        <v>0</v>
      </c>
      <c r="M37" s="1"/>
      <c r="N37" s="1"/>
      <c r="O37" s="1">
        <v>59.399999999999991</v>
      </c>
      <c r="P37" s="1">
        <v>0</v>
      </c>
      <c r="Q37" s="1"/>
      <c r="R37" s="1">
        <v>0</v>
      </c>
      <c r="S37" s="1"/>
      <c r="T37" s="1">
        <f t="shared" si="3"/>
        <v>6</v>
      </c>
      <c r="U37" s="5"/>
      <c r="V37" s="5">
        <f t="shared" si="5"/>
        <v>0</v>
      </c>
      <c r="W37" s="18"/>
      <c r="X37" s="18"/>
      <c r="Y37" s="1">
        <f t="shared" si="6"/>
        <v>24.566666666666663</v>
      </c>
      <c r="Z37" s="1">
        <f t="shared" si="4"/>
        <v>24.566666666666663</v>
      </c>
      <c r="AA37" s="1">
        <v>5.2</v>
      </c>
      <c r="AB37" s="1">
        <v>3</v>
      </c>
      <c r="AC37" s="1">
        <v>0.2</v>
      </c>
      <c r="AD37" s="1">
        <v>13.6</v>
      </c>
      <c r="AE37" s="1">
        <v>13.8</v>
      </c>
      <c r="AF37" s="1">
        <v>0.4</v>
      </c>
      <c r="AG37" s="1">
        <v>0</v>
      </c>
      <c r="AH37" s="1">
        <v>0</v>
      </c>
      <c r="AI37" s="1">
        <v>0</v>
      </c>
      <c r="AJ37" s="1">
        <v>0</v>
      </c>
      <c r="AK37" s="1"/>
      <c r="AL37" s="1">
        <f t="shared" si="7"/>
        <v>0</v>
      </c>
    </row>
    <row r="38" spans="1:38" x14ac:dyDescent="0.25">
      <c r="A38" s="1" t="s">
        <v>77</v>
      </c>
      <c r="B38" s="1" t="s">
        <v>39</v>
      </c>
      <c r="C38" s="1">
        <v>48.054000000000002</v>
      </c>
      <c r="D38" s="1"/>
      <c r="E38" s="1">
        <v>44.148000000000003</v>
      </c>
      <c r="F38" s="1">
        <v>2.621</v>
      </c>
      <c r="G38" s="7">
        <v>1</v>
      </c>
      <c r="H38" s="1">
        <v>45</v>
      </c>
      <c r="I38" s="1" t="s">
        <v>40</v>
      </c>
      <c r="J38" s="1"/>
      <c r="K38" s="1">
        <v>41.4</v>
      </c>
      <c r="L38" s="1">
        <f t="shared" ref="L38:L69" si="10">E38-K38</f>
        <v>2.7480000000000047</v>
      </c>
      <c r="M38" s="1"/>
      <c r="N38" s="1"/>
      <c r="O38" s="1">
        <v>0</v>
      </c>
      <c r="P38" s="1">
        <v>35.746200000000002</v>
      </c>
      <c r="Q38" s="1"/>
      <c r="R38" s="1">
        <v>76.328775999999991</v>
      </c>
      <c r="S38" s="1"/>
      <c r="T38" s="1">
        <f t="shared" ref="T38:T69" si="11">E38/5</f>
        <v>8.829600000000001</v>
      </c>
      <c r="U38" s="5"/>
      <c r="V38" s="5">
        <f t="shared" si="5"/>
        <v>0</v>
      </c>
      <c r="W38" s="18"/>
      <c r="X38" s="18"/>
      <c r="Y38" s="1">
        <f t="shared" si="6"/>
        <v>12.989940201141613</v>
      </c>
      <c r="Z38" s="1">
        <f t="shared" ref="Z38:Z69" si="12">(F38+O38+P38+Q38+R38+S38)/T38</f>
        <v>12.989940201141613</v>
      </c>
      <c r="AA38" s="1">
        <v>13.2522</v>
      </c>
      <c r="AB38" s="1">
        <v>7.6181999999999999</v>
      </c>
      <c r="AC38" s="1">
        <v>3.2256</v>
      </c>
      <c r="AD38" s="1">
        <v>5.1402000000000001</v>
      </c>
      <c r="AE38" s="1">
        <v>5.9984000000000002</v>
      </c>
      <c r="AF38" s="1">
        <v>8.6267999999999994</v>
      </c>
      <c r="AG38" s="1">
        <v>8.5864000000000011</v>
      </c>
      <c r="AH38" s="1">
        <v>6.4725999999999999</v>
      </c>
      <c r="AI38" s="1">
        <v>8.2210000000000001</v>
      </c>
      <c r="AJ38" s="1">
        <v>13.138</v>
      </c>
      <c r="AK38" s="1"/>
      <c r="AL38" s="1">
        <f t="shared" si="7"/>
        <v>0</v>
      </c>
    </row>
    <row r="39" spans="1:38" x14ac:dyDescent="0.25">
      <c r="A39" s="1" t="s">
        <v>78</v>
      </c>
      <c r="B39" s="1" t="s">
        <v>44</v>
      </c>
      <c r="C39" s="1">
        <v>-4</v>
      </c>
      <c r="D39" s="1">
        <v>820</v>
      </c>
      <c r="E39" s="1">
        <v>147</v>
      </c>
      <c r="F39" s="1">
        <v>648</v>
      </c>
      <c r="G39" s="7">
        <v>0.1</v>
      </c>
      <c r="H39" s="1">
        <v>731</v>
      </c>
      <c r="I39" s="1" t="s">
        <v>40</v>
      </c>
      <c r="J39" s="1"/>
      <c r="K39" s="1">
        <v>151</v>
      </c>
      <c r="L39" s="1">
        <f t="shared" si="10"/>
        <v>-4</v>
      </c>
      <c r="M39" s="1"/>
      <c r="N39" s="1"/>
      <c r="O39" s="1">
        <v>466.6</v>
      </c>
      <c r="P39" s="1">
        <v>0</v>
      </c>
      <c r="Q39" s="1"/>
      <c r="R39" s="1">
        <v>0</v>
      </c>
      <c r="S39" s="1"/>
      <c r="T39" s="1">
        <f t="shared" si="11"/>
        <v>29.4</v>
      </c>
      <c r="U39" s="5"/>
      <c r="V39" s="5">
        <f t="shared" si="5"/>
        <v>0</v>
      </c>
      <c r="W39" s="18"/>
      <c r="X39" s="18"/>
      <c r="Y39" s="1">
        <f t="shared" si="6"/>
        <v>37.911564625850339</v>
      </c>
      <c r="Z39" s="1">
        <f t="shared" si="12"/>
        <v>37.911564625850339</v>
      </c>
      <c r="AA39" s="1">
        <v>5.4</v>
      </c>
      <c r="AB39" s="1">
        <v>37.200000000000003</v>
      </c>
      <c r="AC39" s="1">
        <v>91</v>
      </c>
      <c r="AD39" s="1">
        <v>84.6</v>
      </c>
      <c r="AE39" s="1">
        <v>35.4</v>
      </c>
      <c r="AF39" s="1">
        <v>15</v>
      </c>
      <c r="AG39" s="1">
        <v>15.8</v>
      </c>
      <c r="AH39" s="1">
        <v>29.2</v>
      </c>
      <c r="AI39" s="1">
        <v>50.8</v>
      </c>
      <c r="AJ39" s="1">
        <v>58.6</v>
      </c>
      <c r="AK39" s="1"/>
      <c r="AL39" s="1">
        <f t="shared" si="7"/>
        <v>0</v>
      </c>
    </row>
    <row r="40" spans="1:38" x14ac:dyDescent="0.25">
      <c r="A40" s="1" t="s">
        <v>79</v>
      </c>
      <c r="B40" s="1" t="s">
        <v>44</v>
      </c>
      <c r="C40" s="1">
        <v>114</v>
      </c>
      <c r="D40" s="1">
        <v>84</v>
      </c>
      <c r="E40" s="1">
        <v>143</v>
      </c>
      <c r="F40" s="1">
        <v>51</v>
      </c>
      <c r="G40" s="7">
        <v>0.35</v>
      </c>
      <c r="H40" s="1">
        <v>40</v>
      </c>
      <c r="I40" s="9" t="s">
        <v>51</v>
      </c>
      <c r="J40" s="1"/>
      <c r="K40" s="1">
        <v>158</v>
      </c>
      <c r="L40" s="1">
        <f t="shared" si="10"/>
        <v>-15</v>
      </c>
      <c r="M40" s="1"/>
      <c r="N40" s="1"/>
      <c r="O40" s="1">
        <v>0</v>
      </c>
      <c r="P40" s="1">
        <v>10</v>
      </c>
      <c r="Q40" s="1"/>
      <c r="R40" s="1">
        <v>152.93600000000001</v>
      </c>
      <c r="S40" s="1"/>
      <c r="T40" s="1">
        <f t="shared" si="11"/>
        <v>28.6</v>
      </c>
      <c r="U40" s="5">
        <f t="shared" si="9"/>
        <v>100.66400000000002</v>
      </c>
      <c r="V40" s="5">
        <f t="shared" si="5"/>
        <v>100.66400000000002</v>
      </c>
      <c r="W40" s="18"/>
      <c r="X40" s="18"/>
      <c r="Y40" s="1">
        <f t="shared" si="6"/>
        <v>11</v>
      </c>
      <c r="Z40" s="1">
        <f t="shared" si="12"/>
        <v>7.4802797202797198</v>
      </c>
      <c r="AA40" s="1">
        <v>24.2</v>
      </c>
      <c r="AB40" s="1">
        <v>10.8</v>
      </c>
      <c r="AC40" s="1">
        <v>8</v>
      </c>
      <c r="AD40" s="1">
        <v>12.6</v>
      </c>
      <c r="AE40" s="1">
        <v>6</v>
      </c>
      <c r="AF40" s="1">
        <v>0</v>
      </c>
      <c r="AG40" s="1">
        <v>-0.2</v>
      </c>
      <c r="AH40" s="1">
        <v>-0.2</v>
      </c>
      <c r="AI40" s="1">
        <v>0</v>
      </c>
      <c r="AJ40" s="1">
        <v>13.6</v>
      </c>
      <c r="AK40" s="1"/>
      <c r="AL40" s="1">
        <f t="shared" si="7"/>
        <v>35</v>
      </c>
    </row>
    <row r="41" spans="1:38" x14ac:dyDescent="0.25">
      <c r="A41" s="1" t="s">
        <v>80</v>
      </c>
      <c r="B41" s="1" t="s">
        <v>39</v>
      </c>
      <c r="C41" s="1">
        <v>283.41399999999999</v>
      </c>
      <c r="D41" s="1">
        <v>51.88</v>
      </c>
      <c r="E41" s="1">
        <v>135.40799999999999</v>
      </c>
      <c r="F41" s="1">
        <v>195.553</v>
      </c>
      <c r="G41" s="7">
        <v>1</v>
      </c>
      <c r="H41" s="1">
        <v>40</v>
      </c>
      <c r="I41" s="1" t="s">
        <v>40</v>
      </c>
      <c r="J41" s="1"/>
      <c r="K41" s="1">
        <v>132.6</v>
      </c>
      <c r="L41" s="1">
        <f t="shared" si="10"/>
        <v>2.8079999999999927</v>
      </c>
      <c r="M41" s="1"/>
      <c r="N41" s="1"/>
      <c r="O41" s="1">
        <v>0</v>
      </c>
      <c r="P41" s="1">
        <v>0</v>
      </c>
      <c r="Q41" s="1"/>
      <c r="R41" s="1">
        <v>140.46777599999999</v>
      </c>
      <c r="S41" s="1"/>
      <c r="T41" s="1">
        <f t="shared" si="11"/>
        <v>27.081599999999998</v>
      </c>
      <c r="U41" s="5"/>
      <c r="V41" s="5">
        <f t="shared" si="5"/>
        <v>0</v>
      </c>
      <c r="W41" s="18"/>
      <c r="X41" s="18"/>
      <c r="Y41" s="1">
        <f t="shared" si="6"/>
        <v>12.40771505376344</v>
      </c>
      <c r="Z41" s="1">
        <f t="shared" si="12"/>
        <v>12.40771505376344</v>
      </c>
      <c r="AA41" s="1">
        <v>34.057200000000002</v>
      </c>
      <c r="AB41" s="1">
        <v>23.47</v>
      </c>
      <c r="AC41" s="1">
        <v>5.0646000000000004</v>
      </c>
      <c r="AD41" s="1">
        <v>2.9136000000000002</v>
      </c>
      <c r="AE41" s="1">
        <v>27.547799999999999</v>
      </c>
      <c r="AF41" s="1">
        <v>40.229399999999998</v>
      </c>
      <c r="AG41" s="1">
        <v>13.703200000000001</v>
      </c>
      <c r="AH41" s="1">
        <v>6.3550000000000004</v>
      </c>
      <c r="AI41" s="1">
        <v>11.1378</v>
      </c>
      <c r="AJ41" s="1">
        <v>21.081199999999999</v>
      </c>
      <c r="AK41" s="1"/>
      <c r="AL41" s="1">
        <f t="shared" si="7"/>
        <v>0</v>
      </c>
    </row>
    <row r="42" spans="1:38" x14ac:dyDescent="0.25">
      <c r="A42" s="1" t="s">
        <v>81</v>
      </c>
      <c r="B42" s="1" t="s">
        <v>44</v>
      </c>
      <c r="C42" s="1">
        <v>101</v>
      </c>
      <c r="D42" s="1">
        <v>48</v>
      </c>
      <c r="E42" s="1">
        <v>149</v>
      </c>
      <c r="F42" s="1"/>
      <c r="G42" s="7">
        <v>0.4</v>
      </c>
      <c r="H42" s="1">
        <v>40</v>
      </c>
      <c r="I42" s="1" t="s">
        <v>40</v>
      </c>
      <c r="J42" s="1"/>
      <c r="K42" s="1">
        <v>160</v>
      </c>
      <c r="L42" s="1">
        <f t="shared" si="10"/>
        <v>-11</v>
      </c>
      <c r="M42" s="1"/>
      <c r="N42" s="1"/>
      <c r="O42" s="1">
        <v>53.400000000000027</v>
      </c>
      <c r="P42" s="1">
        <v>0</v>
      </c>
      <c r="Q42" s="1"/>
      <c r="R42" s="1">
        <v>107.488</v>
      </c>
      <c r="S42" s="1"/>
      <c r="T42" s="1">
        <f t="shared" si="11"/>
        <v>29.8</v>
      </c>
      <c r="U42" s="5">
        <f t="shared" si="9"/>
        <v>166.91199999999998</v>
      </c>
      <c r="V42" s="5">
        <f t="shared" si="5"/>
        <v>166.91199999999998</v>
      </c>
      <c r="W42" s="18"/>
      <c r="X42" s="18"/>
      <c r="Y42" s="1">
        <f t="shared" si="6"/>
        <v>11</v>
      </c>
      <c r="Z42" s="1">
        <f t="shared" si="12"/>
        <v>5.398926174496645</v>
      </c>
      <c r="AA42" s="1">
        <v>18.600000000000001</v>
      </c>
      <c r="AB42" s="1">
        <v>1</v>
      </c>
      <c r="AC42" s="1">
        <v>5.4</v>
      </c>
      <c r="AD42" s="1">
        <v>14.8</v>
      </c>
      <c r="AE42" s="1">
        <v>12.2</v>
      </c>
      <c r="AF42" s="1">
        <v>13.8</v>
      </c>
      <c r="AG42" s="1">
        <v>14.8</v>
      </c>
      <c r="AH42" s="1">
        <v>20.2</v>
      </c>
      <c r="AI42" s="1">
        <v>19</v>
      </c>
      <c r="AJ42" s="1">
        <v>9.6</v>
      </c>
      <c r="AK42" s="1"/>
      <c r="AL42" s="1">
        <f t="shared" si="7"/>
        <v>67</v>
      </c>
    </row>
    <row r="43" spans="1:38" x14ac:dyDescent="0.25">
      <c r="A43" s="1" t="s">
        <v>82</v>
      </c>
      <c r="B43" s="1" t="s">
        <v>44</v>
      </c>
      <c r="C43" s="1">
        <v>189</v>
      </c>
      <c r="D43" s="1">
        <v>114</v>
      </c>
      <c r="E43" s="1">
        <v>183</v>
      </c>
      <c r="F43" s="1">
        <v>116</v>
      </c>
      <c r="G43" s="7">
        <v>0.4</v>
      </c>
      <c r="H43" s="1">
        <v>45</v>
      </c>
      <c r="I43" s="1" t="s">
        <v>40</v>
      </c>
      <c r="J43" s="1"/>
      <c r="K43" s="1">
        <v>186</v>
      </c>
      <c r="L43" s="1">
        <f t="shared" si="10"/>
        <v>-3</v>
      </c>
      <c r="M43" s="1"/>
      <c r="N43" s="1"/>
      <c r="O43" s="1">
        <v>0</v>
      </c>
      <c r="P43" s="1">
        <v>28.720000000000031</v>
      </c>
      <c r="Q43" s="1"/>
      <c r="R43" s="1">
        <v>215.35199999999989</v>
      </c>
      <c r="S43" s="1"/>
      <c r="T43" s="1">
        <f t="shared" si="11"/>
        <v>36.6</v>
      </c>
      <c r="U43" s="5">
        <f t="shared" si="9"/>
        <v>42.528000000000105</v>
      </c>
      <c r="V43" s="5">
        <f t="shared" si="5"/>
        <v>42.528000000000105</v>
      </c>
      <c r="W43" s="18"/>
      <c r="X43" s="18"/>
      <c r="Y43" s="1">
        <f t="shared" si="6"/>
        <v>11</v>
      </c>
      <c r="Z43" s="1">
        <f t="shared" si="12"/>
        <v>9.8380327868852433</v>
      </c>
      <c r="AA43" s="1">
        <v>34.4</v>
      </c>
      <c r="AB43" s="1">
        <v>29.8</v>
      </c>
      <c r="AC43" s="1">
        <v>28.4</v>
      </c>
      <c r="AD43" s="1">
        <v>15.6</v>
      </c>
      <c r="AE43" s="1">
        <v>8.8000000000000007</v>
      </c>
      <c r="AF43" s="1">
        <v>27.2</v>
      </c>
      <c r="AG43" s="1">
        <v>26.4</v>
      </c>
      <c r="AH43" s="1">
        <v>5.2</v>
      </c>
      <c r="AI43" s="1">
        <v>0.4</v>
      </c>
      <c r="AJ43" s="1">
        <v>11.4</v>
      </c>
      <c r="AK43" s="1" t="s">
        <v>83</v>
      </c>
      <c r="AL43" s="1">
        <f t="shared" si="7"/>
        <v>17</v>
      </c>
    </row>
    <row r="44" spans="1:38" x14ac:dyDescent="0.25">
      <c r="A44" s="1" t="s">
        <v>84</v>
      </c>
      <c r="B44" s="1" t="s">
        <v>39</v>
      </c>
      <c r="C44" s="1">
        <v>183.11600000000001</v>
      </c>
      <c r="D44" s="1">
        <v>152.57900000000001</v>
      </c>
      <c r="E44" s="1">
        <v>153.59</v>
      </c>
      <c r="F44" s="1">
        <v>178.46100000000001</v>
      </c>
      <c r="G44" s="7">
        <v>1</v>
      </c>
      <c r="H44" s="1">
        <v>40</v>
      </c>
      <c r="I44" s="1" t="s">
        <v>40</v>
      </c>
      <c r="J44" s="1"/>
      <c r="K44" s="1">
        <v>143.69999999999999</v>
      </c>
      <c r="L44" s="1">
        <f t="shared" si="10"/>
        <v>9.8900000000000148</v>
      </c>
      <c r="M44" s="1"/>
      <c r="N44" s="1"/>
      <c r="O44" s="1">
        <v>76.328799999999987</v>
      </c>
      <c r="P44" s="1">
        <v>0</v>
      </c>
      <c r="Q44" s="1"/>
      <c r="R44" s="1">
        <v>58.049791999999947</v>
      </c>
      <c r="S44" s="1"/>
      <c r="T44" s="1">
        <f t="shared" si="11"/>
        <v>30.718</v>
      </c>
      <c r="U44" s="5">
        <f t="shared" si="9"/>
        <v>25.058408000000043</v>
      </c>
      <c r="V44" s="5">
        <f>W44</f>
        <v>240</v>
      </c>
      <c r="W44" s="18">
        <f>VLOOKUP(A44,[1]Sheet!$A:$W,22,0)</f>
        <v>240</v>
      </c>
      <c r="X44" s="18" t="str">
        <f>VLOOKUP(A44,[1]Sheet!$A:$W,23,0)</f>
        <v>Промо</v>
      </c>
      <c r="Y44" s="1">
        <f t="shared" si="6"/>
        <v>17.997252164854483</v>
      </c>
      <c r="Z44" s="1">
        <f t="shared" si="12"/>
        <v>10.184243505436552</v>
      </c>
      <c r="AA44" s="1">
        <v>31.677399999999999</v>
      </c>
      <c r="AB44" s="1">
        <v>21.767199999999999</v>
      </c>
      <c r="AC44" s="1">
        <v>26.1386</v>
      </c>
      <c r="AD44" s="1">
        <v>26.268799999999999</v>
      </c>
      <c r="AE44" s="1">
        <v>4.0683999999999996</v>
      </c>
      <c r="AF44" s="1">
        <v>10.486800000000001</v>
      </c>
      <c r="AG44" s="1">
        <v>10.1912</v>
      </c>
      <c r="AH44" s="1">
        <v>17.109400000000001</v>
      </c>
      <c r="AI44" s="1">
        <v>24.5684</v>
      </c>
      <c r="AJ44" s="1">
        <v>11.5448</v>
      </c>
      <c r="AK44" s="1"/>
      <c r="AL44" s="1">
        <f t="shared" si="7"/>
        <v>240</v>
      </c>
    </row>
    <row r="45" spans="1:38" x14ac:dyDescent="0.25">
      <c r="A45" s="1" t="s">
        <v>85</v>
      </c>
      <c r="B45" s="1" t="s">
        <v>44</v>
      </c>
      <c r="C45" s="1">
        <v>-7</v>
      </c>
      <c r="D45" s="1">
        <v>42</v>
      </c>
      <c r="E45" s="1">
        <v>10</v>
      </c>
      <c r="F45" s="1">
        <v>19</v>
      </c>
      <c r="G45" s="7">
        <v>0.35</v>
      </c>
      <c r="H45" s="1">
        <v>40</v>
      </c>
      <c r="I45" s="9" t="s">
        <v>51</v>
      </c>
      <c r="J45" s="1"/>
      <c r="K45" s="1">
        <v>10</v>
      </c>
      <c r="L45" s="1">
        <f t="shared" si="10"/>
        <v>0</v>
      </c>
      <c r="M45" s="1"/>
      <c r="N45" s="1"/>
      <c r="O45" s="1">
        <v>383.4</v>
      </c>
      <c r="P45" s="1">
        <v>0</v>
      </c>
      <c r="Q45" s="1"/>
      <c r="R45" s="1">
        <v>0</v>
      </c>
      <c r="S45" s="1"/>
      <c r="T45" s="1">
        <f t="shared" si="11"/>
        <v>2</v>
      </c>
      <c r="U45" s="5"/>
      <c r="V45" s="5">
        <f t="shared" si="5"/>
        <v>0</v>
      </c>
      <c r="W45" s="18"/>
      <c r="X45" s="18"/>
      <c r="Y45" s="1">
        <f t="shared" si="6"/>
        <v>201.2</v>
      </c>
      <c r="Z45" s="1">
        <f t="shared" si="12"/>
        <v>201.2</v>
      </c>
      <c r="AA45" s="1">
        <v>10.199999999999999</v>
      </c>
      <c r="AB45" s="1">
        <v>11.8</v>
      </c>
      <c r="AC45" s="1">
        <v>35.200000000000003</v>
      </c>
      <c r="AD45" s="1">
        <v>39.4</v>
      </c>
      <c r="AE45" s="1">
        <v>5.6</v>
      </c>
      <c r="AF45" s="1">
        <v>-0.4</v>
      </c>
      <c r="AG45" s="1">
        <v>-0.4</v>
      </c>
      <c r="AH45" s="1">
        <v>13.4</v>
      </c>
      <c r="AI45" s="1">
        <v>23</v>
      </c>
      <c r="AJ45" s="1">
        <v>18.8</v>
      </c>
      <c r="AK45" s="1"/>
      <c r="AL45" s="1">
        <f t="shared" si="7"/>
        <v>0</v>
      </c>
    </row>
    <row r="46" spans="1:38" x14ac:dyDescent="0.25">
      <c r="A46" s="1" t="s">
        <v>86</v>
      </c>
      <c r="B46" s="1" t="s">
        <v>44</v>
      </c>
      <c r="C46" s="1">
        <v>175</v>
      </c>
      <c r="D46" s="1">
        <v>102</v>
      </c>
      <c r="E46" s="1">
        <v>200</v>
      </c>
      <c r="F46" s="1">
        <v>68</v>
      </c>
      <c r="G46" s="7">
        <v>0.4</v>
      </c>
      <c r="H46" s="1">
        <v>40</v>
      </c>
      <c r="I46" s="1" t="s">
        <v>40</v>
      </c>
      <c r="J46" s="1"/>
      <c r="K46" s="1">
        <v>264</v>
      </c>
      <c r="L46" s="1">
        <f t="shared" si="10"/>
        <v>-64</v>
      </c>
      <c r="M46" s="1"/>
      <c r="N46" s="1"/>
      <c r="O46" s="1">
        <v>242.08</v>
      </c>
      <c r="P46" s="1">
        <v>25</v>
      </c>
      <c r="Q46" s="1"/>
      <c r="R46" s="1">
        <v>0</v>
      </c>
      <c r="S46" s="1"/>
      <c r="T46" s="1">
        <f t="shared" si="11"/>
        <v>40</v>
      </c>
      <c r="U46" s="5">
        <f t="shared" si="9"/>
        <v>104.91999999999999</v>
      </c>
      <c r="V46" s="5">
        <f t="shared" si="5"/>
        <v>104.91999999999999</v>
      </c>
      <c r="W46" s="18"/>
      <c r="X46" s="18"/>
      <c r="Y46" s="1">
        <f t="shared" si="6"/>
        <v>11</v>
      </c>
      <c r="Z46" s="1">
        <f t="shared" si="12"/>
        <v>8.3770000000000007</v>
      </c>
      <c r="AA46" s="1">
        <v>28.4</v>
      </c>
      <c r="AB46" s="1">
        <v>26.4</v>
      </c>
      <c r="AC46" s="1">
        <v>48.2</v>
      </c>
      <c r="AD46" s="1">
        <v>41.6</v>
      </c>
      <c r="AE46" s="1">
        <v>35.4</v>
      </c>
      <c r="AF46" s="1">
        <v>38.6</v>
      </c>
      <c r="AG46" s="1">
        <v>31.8</v>
      </c>
      <c r="AH46" s="1">
        <v>46.6</v>
      </c>
      <c r="AI46" s="1">
        <v>43.4</v>
      </c>
      <c r="AJ46" s="1">
        <v>18.2</v>
      </c>
      <c r="AK46" s="1"/>
      <c r="AL46" s="1">
        <f t="shared" si="7"/>
        <v>42</v>
      </c>
    </row>
    <row r="47" spans="1:38" x14ac:dyDescent="0.25">
      <c r="A47" s="1" t="s">
        <v>87</v>
      </c>
      <c r="B47" s="1" t="s">
        <v>39</v>
      </c>
      <c r="C47" s="1">
        <v>35.106999999999999</v>
      </c>
      <c r="D47" s="1">
        <v>54.006</v>
      </c>
      <c r="E47" s="1">
        <v>59.405999999999999</v>
      </c>
      <c r="F47" s="1">
        <v>29.707000000000001</v>
      </c>
      <c r="G47" s="7">
        <v>1</v>
      </c>
      <c r="H47" s="1">
        <v>50</v>
      </c>
      <c r="I47" s="1" t="s">
        <v>40</v>
      </c>
      <c r="J47" s="1"/>
      <c r="K47" s="1">
        <v>51.5</v>
      </c>
      <c r="L47" s="1">
        <f t="shared" si="10"/>
        <v>7.9059999999999988</v>
      </c>
      <c r="M47" s="1"/>
      <c r="N47" s="1"/>
      <c r="O47" s="1">
        <v>0</v>
      </c>
      <c r="P47" s="1">
        <v>17.342000000000009</v>
      </c>
      <c r="Q47" s="1"/>
      <c r="R47" s="1">
        <v>26.702999999999982</v>
      </c>
      <c r="S47" s="1"/>
      <c r="T47" s="1">
        <f t="shared" si="11"/>
        <v>11.8812</v>
      </c>
      <c r="U47" s="5">
        <f t="shared" si="9"/>
        <v>56.941200000000002</v>
      </c>
      <c r="V47" s="5">
        <f t="shared" si="5"/>
        <v>56.941200000000002</v>
      </c>
      <c r="W47" s="18"/>
      <c r="X47" s="18"/>
      <c r="Y47" s="1">
        <f t="shared" si="6"/>
        <v>11</v>
      </c>
      <c r="Z47" s="1">
        <f t="shared" si="12"/>
        <v>6.2074537925462057</v>
      </c>
      <c r="AA47" s="1">
        <v>7.5605999999999991</v>
      </c>
      <c r="AB47" s="1">
        <v>9.1067999999999998</v>
      </c>
      <c r="AC47" s="1">
        <v>8.0274000000000001</v>
      </c>
      <c r="AD47" s="1">
        <v>7.4756</v>
      </c>
      <c r="AE47" s="1">
        <v>9.8757999999999999</v>
      </c>
      <c r="AF47" s="1">
        <v>9.6733999999999991</v>
      </c>
      <c r="AG47" s="1">
        <v>3.6549999999999998</v>
      </c>
      <c r="AH47" s="1">
        <v>4.1407999999999996</v>
      </c>
      <c r="AI47" s="1">
        <v>7.4958</v>
      </c>
      <c r="AJ47" s="1">
        <v>14.864000000000001</v>
      </c>
      <c r="AK47" s="1"/>
      <c r="AL47" s="1">
        <f t="shared" si="7"/>
        <v>57</v>
      </c>
    </row>
    <row r="48" spans="1:38" x14ac:dyDescent="0.25">
      <c r="A48" s="1" t="s">
        <v>88</v>
      </c>
      <c r="B48" s="1" t="s">
        <v>39</v>
      </c>
      <c r="C48" s="1">
        <v>56.082999999999998</v>
      </c>
      <c r="D48" s="1">
        <v>76.798000000000002</v>
      </c>
      <c r="E48" s="1">
        <v>78.837999999999994</v>
      </c>
      <c r="F48" s="1">
        <v>51.944000000000003</v>
      </c>
      <c r="G48" s="7">
        <v>1</v>
      </c>
      <c r="H48" s="1">
        <v>50</v>
      </c>
      <c r="I48" s="1" t="s">
        <v>40</v>
      </c>
      <c r="J48" s="1"/>
      <c r="K48" s="1">
        <v>76.5</v>
      </c>
      <c r="L48" s="1">
        <f t="shared" si="10"/>
        <v>2.3379999999999939</v>
      </c>
      <c r="M48" s="1"/>
      <c r="N48" s="1"/>
      <c r="O48" s="1">
        <v>0</v>
      </c>
      <c r="P48" s="1">
        <v>82.079300000000018</v>
      </c>
      <c r="Q48" s="1"/>
      <c r="R48" s="1">
        <v>55.143680000000003</v>
      </c>
      <c r="S48" s="1"/>
      <c r="T48" s="1">
        <f t="shared" si="11"/>
        <v>15.767599999999998</v>
      </c>
      <c r="U48" s="5"/>
      <c r="V48" s="5">
        <f t="shared" si="5"/>
        <v>0</v>
      </c>
      <c r="W48" s="18"/>
      <c r="X48" s="18"/>
      <c r="Y48" s="1">
        <f t="shared" si="6"/>
        <v>11.997195514853246</v>
      </c>
      <c r="Z48" s="1">
        <f t="shared" si="12"/>
        <v>11.997195514853246</v>
      </c>
      <c r="AA48" s="1">
        <v>18.966000000000001</v>
      </c>
      <c r="AB48" s="1">
        <v>19.072600000000001</v>
      </c>
      <c r="AC48" s="1">
        <v>12.4092</v>
      </c>
      <c r="AD48" s="1">
        <v>11.216200000000001</v>
      </c>
      <c r="AE48" s="1">
        <v>13.3978</v>
      </c>
      <c r="AF48" s="1">
        <v>13.599</v>
      </c>
      <c r="AG48" s="1">
        <v>12.0236</v>
      </c>
      <c r="AH48" s="1">
        <v>11.5182</v>
      </c>
      <c r="AI48" s="1">
        <v>2.968</v>
      </c>
      <c r="AJ48" s="1">
        <v>0.1734</v>
      </c>
      <c r="AK48" s="1" t="s">
        <v>89</v>
      </c>
      <c r="AL48" s="1">
        <f t="shared" si="7"/>
        <v>0</v>
      </c>
    </row>
    <row r="49" spans="1:38" x14ac:dyDescent="0.25">
      <c r="A49" s="1" t="s">
        <v>90</v>
      </c>
      <c r="B49" s="1" t="s">
        <v>39</v>
      </c>
      <c r="C49" s="1">
        <v>178.001</v>
      </c>
      <c r="D49" s="1">
        <v>17.550999999999998</v>
      </c>
      <c r="E49" s="1">
        <v>151.845</v>
      </c>
      <c r="F49" s="1">
        <v>37.871000000000002</v>
      </c>
      <c r="G49" s="7">
        <v>1</v>
      </c>
      <c r="H49" s="1">
        <v>45</v>
      </c>
      <c r="I49" s="1" t="s">
        <v>40</v>
      </c>
      <c r="J49" s="1"/>
      <c r="K49" s="1">
        <v>145.19999999999999</v>
      </c>
      <c r="L49" s="1">
        <f t="shared" si="10"/>
        <v>6.6450000000000102</v>
      </c>
      <c r="M49" s="1"/>
      <c r="N49" s="1"/>
      <c r="O49" s="1">
        <v>0</v>
      </c>
      <c r="P49" s="1">
        <v>0</v>
      </c>
      <c r="Q49" s="1"/>
      <c r="R49" s="1">
        <v>119.118216</v>
      </c>
      <c r="S49" s="1"/>
      <c r="T49" s="1">
        <f t="shared" si="11"/>
        <v>30.369</v>
      </c>
      <c r="U49" s="5">
        <f t="shared" si="9"/>
        <v>177.06978399999994</v>
      </c>
      <c r="V49" s="5">
        <f t="shared" si="5"/>
        <v>177.06978399999994</v>
      </c>
      <c r="W49" s="18"/>
      <c r="X49" s="18"/>
      <c r="Y49" s="1">
        <f t="shared" si="6"/>
        <v>10.999999999999998</v>
      </c>
      <c r="Z49" s="1">
        <f t="shared" si="12"/>
        <v>5.1693903651750137</v>
      </c>
      <c r="AA49" s="1">
        <v>21.155200000000001</v>
      </c>
      <c r="AB49" s="1">
        <v>3.6326000000000001</v>
      </c>
      <c r="AC49" s="1">
        <v>1.7838000000000001</v>
      </c>
      <c r="AD49" s="1">
        <v>6.4888000000000003</v>
      </c>
      <c r="AE49" s="1">
        <v>13.3706</v>
      </c>
      <c r="AF49" s="1">
        <v>15.557600000000001</v>
      </c>
      <c r="AG49" s="1">
        <v>6.2990000000000004</v>
      </c>
      <c r="AH49" s="1">
        <v>0</v>
      </c>
      <c r="AI49" s="1">
        <v>0</v>
      </c>
      <c r="AJ49" s="1">
        <v>0</v>
      </c>
      <c r="AK49" s="1"/>
      <c r="AL49" s="1">
        <f t="shared" si="7"/>
        <v>177</v>
      </c>
    </row>
    <row r="50" spans="1:38" x14ac:dyDescent="0.25">
      <c r="A50" s="1" t="s">
        <v>91</v>
      </c>
      <c r="B50" s="1" t="s">
        <v>44</v>
      </c>
      <c r="C50" s="1">
        <v>63</v>
      </c>
      <c r="D50" s="1">
        <v>100</v>
      </c>
      <c r="E50" s="1">
        <v>77</v>
      </c>
      <c r="F50" s="1">
        <v>75</v>
      </c>
      <c r="G50" s="7">
        <v>0.45</v>
      </c>
      <c r="H50" s="1">
        <v>50</v>
      </c>
      <c r="I50" s="1" t="s">
        <v>40</v>
      </c>
      <c r="J50" s="1"/>
      <c r="K50" s="1">
        <v>119</v>
      </c>
      <c r="L50" s="1">
        <f t="shared" si="10"/>
        <v>-42</v>
      </c>
      <c r="M50" s="1"/>
      <c r="N50" s="1"/>
      <c r="O50" s="1">
        <v>127.32</v>
      </c>
      <c r="P50" s="1">
        <v>0</v>
      </c>
      <c r="Q50" s="1"/>
      <c r="R50" s="1">
        <v>0</v>
      </c>
      <c r="S50" s="1"/>
      <c r="T50" s="1">
        <f t="shared" si="11"/>
        <v>15.4</v>
      </c>
      <c r="U50" s="5"/>
      <c r="V50" s="5">
        <f t="shared" si="5"/>
        <v>0</v>
      </c>
      <c r="W50" s="18"/>
      <c r="X50" s="18"/>
      <c r="Y50" s="1">
        <f t="shared" si="6"/>
        <v>13.137662337662336</v>
      </c>
      <c r="Z50" s="1">
        <f t="shared" si="12"/>
        <v>13.137662337662336</v>
      </c>
      <c r="AA50" s="1">
        <v>7.4</v>
      </c>
      <c r="AB50" s="1">
        <v>6.8</v>
      </c>
      <c r="AC50" s="1">
        <v>16.399999999999999</v>
      </c>
      <c r="AD50" s="1">
        <v>16.600000000000001</v>
      </c>
      <c r="AE50" s="1">
        <v>10.8</v>
      </c>
      <c r="AF50" s="1">
        <v>11.8</v>
      </c>
      <c r="AG50" s="1">
        <v>7.4</v>
      </c>
      <c r="AH50" s="1">
        <v>9.8000000000000007</v>
      </c>
      <c r="AI50" s="1">
        <v>12.6</v>
      </c>
      <c r="AJ50" s="1">
        <v>21.4</v>
      </c>
      <c r="AK50" s="1"/>
      <c r="AL50" s="1">
        <f t="shared" si="7"/>
        <v>0</v>
      </c>
    </row>
    <row r="51" spans="1:38" x14ac:dyDescent="0.25">
      <c r="A51" s="1" t="s">
        <v>92</v>
      </c>
      <c r="B51" s="1" t="s">
        <v>44</v>
      </c>
      <c r="C51" s="1">
        <v>55</v>
      </c>
      <c r="D51" s="1">
        <v>210</v>
      </c>
      <c r="E51" s="1">
        <v>115</v>
      </c>
      <c r="F51" s="1">
        <v>135</v>
      </c>
      <c r="G51" s="7">
        <v>0.45</v>
      </c>
      <c r="H51" s="1">
        <v>50</v>
      </c>
      <c r="I51" s="1" t="s">
        <v>40</v>
      </c>
      <c r="J51" s="1"/>
      <c r="K51" s="1">
        <v>117</v>
      </c>
      <c r="L51" s="1">
        <f t="shared" si="10"/>
        <v>-2</v>
      </c>
      <c r="M51" s="1"/>
      <c r="N51" s="1"/>
      <c r="O51" s="1">
        <v>72.199999999999989</v>
      </c>
      <c r="P51" s="1">
        <v>0</v>
      </c>
      <c r="Q51" s="1"/>
      <c r="R51" s="1">
        <v>7.5999999999999943</v>
      </c>
      <c r="S51" s="1"/>
      <c r="T51" s="1">
        <f t="shared" si="11"/>
        <v>23</v>
      </c>
      <c r="U51" s="5">
        <f t="shared" si="9"/>
        <v>38.200000000000017</v>
      </c>
      <c r="V51" s="5">
        <f t="shared" si="5"/>
        <v>38.200000000000017</v>
      </c>
      <c r="W51" s="18"/>
      <c r="X51" s="18"/>
      <c r="Y51" s="1">
        <f t="shared" si="6"/>
        <v>11</v>
      </c>
      <c r="Z51" s="1">
        <f t="shared" si="12"/>
        <v>9.3391304347826072</v>
      </c>
      <c r="AA51" s="1">
        <v>20.399999999999999</v>
      </c>
      <c r="AB51" s="1">
        <v>23.2</v>
      </c>
      <c r="AC51" s="1">
        <v>24</v>
      </c>
      <c r="AD51" s="1">
        <v>18.8</v>
      </c>
      <c r="AE51" s="1">
        <v>18.8</v>
      </c>
      <c r="AF51" s="1">
        <v>16.600000000000001</v>
      </c>
      <c r="AG51" s="1">
        <v>19</v>
      </c>
      <c r="AH51" s="1">
        <v>23</v>
      </c>
      <c r="AI51" s="1">
        <v>20</v>
      </c>
      <c r="AJ51" s="1">
        <v>43.2</v>
      </c>
      <c r="AK51" s="1"/>
      <c r="AL51" s="1">
        <f t="shared" si="7"/>
        <v>17</v>
      </c>
    </row>
    <row r="52" spans="1:38" x14ac:dyDescent="0.25">
      <c r="A52" s="1" t="s">
        <v>93</v>
      </c>
      <c r="B52" s="1" t="s">
        <v>44</v>
      </c>
      <c r="C52" s="1">
        <v>-1</v>
      </c>
      <c r="D52" s="1">
        <v>60</v>
      </c>
      <c r="E52" s="1">
        <v>36</v>
      </c>
      <c r="F52" s="1">
        <v>22</v>
      </c>
      <c r="G52" s="7">
        <v>0.4</v>
      </c>
      <c r="H52" s="1">
        <v>40</v>
      </c>
      <c r="I52" s="1" t="s">
        <v>40</v>
      </c>
      <c r="J52" s="1"/>
      <c r="K52" s="1">
        <v>43</v>
      </c>
      <c r="L52" s="1">
        <f t="shared" si="10"/>
        <v>-7</v>
      </c>
      <c r="M52" s="1"/>
      <c r="N52" s="1"/>
      <c r="O52" s="1">
        <v>103.2</v>
      </c>
      <c r="P52" s="1">
        <v>0</v>
      </c>
      <c r="Q52" s="1"/>
      <c r="R52" s="1">
        <v>0</v>
      </c>
      <c r="S52" s="1"/>
      <c r="T52" s="1">
        <f t="shared" si="11"/>
        <v>7.2</v>
      </c>
      <c r="U52" s="5"/>
      <c r="V52" s="5">
        <f t="shared" si="5"/>
        <v>0</v>
      </c>
      <c r="W52" s="18"/>
      <c r="X52" s="18"/>
      <c r="Y52" s="1">
        <f t="shared" si="6"/>
        <v>17.388888888888889</v>
      </c>
      <c r="Z52" s="1">
        <f t="shared" si="12"/>
        <v>17.388888888888889</v>
      </c>
      <c r="AA52" s="1">
        <v>-0.2</v>
      </c>
      <c r="AB52" s="1">
        <v>4.5999999999999996</v>
      </c>
      <c r="AC52" s="1">
        <v>12.8</v>
      </c>
      <c r="AD52" s="1">
        <v>11.6</v>
      </c>
      <c r="AE52" s="1">
        <v>5.2</v>
      </c>
      <c r="AF52" s="1">
        <v>3.6</v>
      </c>
      <c r="AG52" s="1">
        <v>3.8</v>
      </c>
      <c r="AH52" s="1">
        <v>8</v>
      </c>
      <c r="AI52" s="1">
        <v>6.4</v>
      </c>
      <c r="AJ52" s="1">
        <v>0.4</v>
      </c>
      <c r="AK52" s="1"/>
      <c r="AL52" s="1">
        <f t="shared" si="7"/>
        <v>0</v>
      </c>
    </row>
    <row r="53" spans="1:38" x14ac:dyDescent="0.25">
      <c r="A53" s="1" t="s">
        <v>94</v>
      </c>
      <c r="B53" s="1" t="s">
        <v>44</v>
      </c>
      <c r="C53" s="1"/>
      <c r="D53" s="1">
        <v>108</v>
      </c>
      <c r="E53" s="1">
        <v>21</v>
      </c>
      <c r="F53" s="1">
        <v>86</v>
      </c>
      <c r="G53" s="7">
        <v>0.4</v>
      </c>
      <c r="H53" s="1">
        <v>40</v>
      </c>
      <c r="I53" s="1" t="s">
        <v>40</v>
      </c>
      <c r="J53" s="1"/>
      <c r="K53" s="1">
        <v>22</v>
      </c>
      <c r="L53" s="1">
        <f t="shared" si="10"/>
        <v>-1</v>
      </c>
      <c r="M53" s="1"/>
      <c r="N53" s="1"/>
      <c r="O53" s="1">
        <v>67.599999999999994</v>
      </c>
      <c r="P53" s="1">
        <v>0</v>
      </c>
      <c r="Q53" s="1"/>
      <c r="R53" s="1">
        <v>0</v>
      </c>
      <c r="S53" s="1"/>
      <c r="T53" s="1">
        <f t="shared" si="11"/>
        <v>4.2</v>
      </c>
      <c r="U53" s="5"/>
      <c r="V53" s="5">
        <f t="shared" si="5"/>
        <v>0</v>
      </c>
      <c r="W53" s="18"/>
      <c r="X53" s="18"/>
      <c r="Y53" s="1">
        <f t="shared" si="6"/>
        <v>36.571428571428569</v>
      </c>
      <c r="Z53" s="1">
        <f t="shared" si="12"/>
        <v>36.571428571428569</v>
      </c>
      <c r="AA53" s="1">
        <v>0.2</v>
      </c>
      <c r="AB53" s="1">
        <v>3.4</v>
      </c>
      <c r="AC53" s="1">
        <v>13.8</v>
      </c>
      <c r="AD53" s="1">
        <v>12.2</v>
      </c>
      <c r="AE53" s="1">
        <v>4</v>
      </c>
      <c r="AF53" s="1">
        <v>5.8</v>
      </c>
      <c r="AG53" s="1">
        <v>5.6</v>
      </c>
      <c r="AH53" s="1">
        <v>9</v>
      </c>
      <c r="AI53" s="1">
        <v>8.6</v>
      </c>
      <c r="AJ53" s="1">
        <v>3.6</v>
      </c>
      <c r="AK53" s="1"/>
      <c r="AL53" s="1">
        <f t="shared" si="7"/>
        <v>0</v>
      </c>
    </row>
    <row r="54" spans="1:38" x14ac:dyDescent="0.25">
      <c r="A54" s="1" t="s">
        <v>95</v>
      </c>
      <c r="B54" s="1" t="s">
        <v>39</v>
      </c>
      <c r="C54" s="1">
        <v>30.954000000000001</v>
      </c>
      <c r="D54" s="1">
        <v>76.602000000000004</v>
      </c>
      <c r="E54" s="1">
        <v>56.415999999999997</v>
      </c>
      <c r="F54" s="1">
        <v>49.783999999999999</v>
      </c>
      <c r="G54" s="7">
        <v>1</v>
      </c>
      <c r="H54" s="1">
        <v>50</v>
      </c>
      <c r="I54" s="1" t="s">
        <v>40</v>
      </c>
      <c r="J54" s="1"/>
      <c r="K54" s="1">
        <v>51.7</v>
      </c>
      <c r="L54" s="1">
        <f t="shared" si="10"/>
        <v>4.715999999999994</v>
      </c>
      <c r="M54" s="1"/>
      <c r="N54" s="1"/>
      <c r="O54" s="1">
        <v>0</v>
      </c>
      <c r="P54" s="1">
        <v>10</v>
      </c>
      <c r="Q54" s="1"/>
      <c r="R54" s="1">
        <v>37.390800000000013</v>
      </c>
      <c r="S54" s="1"/>
      <c r="T54" s="1">
        <f t="shared" si="11"/>
        <v>11.283199999999999</v>
      </c>
      <c r="U54" s="5">
        <f t="shared" si="9"/>
        <v>26.940399999999975</v>
      </c>
      <c r="V54" s="5">
        <f t="shared" si="5"/>
        <v>26.940399999999975</v>
      </c>
      <c r="W54" s="18"/>
      <c r="X54" s="18"/>
      <c r="Y54" s="1">
        <f t="shared" si="6"/>
        <v>11</v>
      </c>
      <c r="Z54" s="1">
        <f t="shared" si="12"/>
        <v>8.6123440158820213</v>
      </c>
      <c r="AA54" s="1">
        <v>9.1864000000000008</v>
      </c>
      <c r="AB54" s="1">
        <v>8.1147999999999989</v>
      </c>
      <c r="AC54" s="1">
        <v>3.8858000000000001</v>
      </c>
      <c r="AD54" s="1">
        <v>4.7106000000000003</v>
      </c>
      <c r="AE54" s="1">
        <v>7.0400000000000009</v>
      </c>
      <c r="AF54" s="1">
        <v>7.5436000000000014</v>
      </c>
      <c r="AG54" s="1">
        <v>6.1837999999999997</v>
      </c>
      <c r="AH54" s="1">
        <v>7.2691999999999997</v>
      </c>
      <c r="AI54" s="1">
        <v>5.6552000000000007</v>
      </c>
      <c r="AJ54" s="1">
        <v>10.2532</v>
      </c>
      <c r="AK54" s="1"/>
      <c r="AL54" s="1">
        <f t="shared" si="7"/>
        <v>27</v>
      </c>
    </row>
    <row r="55" spans="1:38" x14ac:dyDescent="0.25">
      <c r="A55" s="1" t="s">
        <v>96</v>
      </c>
      <c r="B55" s="1" t="s">
        <v>44</v>
      </c>
      <c r="C55" s="1">
        <v>118</v>
      </c>
      <c r="D55" s="1">
        <v>607</v>
      </c>
      <c r="E55" s="13">
        <f>190+E125</f>
        <v>243</v>
      </c>
      <c r="F55" s="13">
        <f>475+F125</f>
        <v>472</v>
      </c>
      <c r="G55" s="7">
        <v>0.1</v>
      </c>
      <c r="H55" s="1">
        <v>731</v>
      </c>
      <c r="I55" s="1" t="s">
        <v>40</v>
      </c>
      <c r="J55" s="1"/>
      <c r="K55" s="1">
        <v>190</v>
      </c>
      <c r="L55" s="1">
        <f t="shared" si="10"/>
        <v>53</v>
      </c>
      <c r="M55" s="1"/>
      <c r="N55" s="1"/>
      <c r="O55" s="1">
        <v>271.10000000000002</v>
      </c>
      <c r="P55" s="1">
        <v>0</v>
      </c>
      <c r="Q55" s="1"/>
      <c r="R55" s="1">
        <v>0</v>
      </c>
      <c r="S55" s="1"/>
      <c r="T55" s="1">
        <f t="shared" si="11"/>
        <v>48.6</v>
      </c>
      <c r="U55" s="5"/>
      <c r="V55" s="5">
        <f t="shared" si="5"/>
        <v>0</v>
      </c>
      <c r="W55" s="18"/>
      <c r="X55" s="18"/>
      <c r="Y55" s="1">
        <f t="shared" si="6"/>
        <v>15.290123456790123</v>
      </c>
      <c r="Z55" s="1">
        <f t="shared" si="12"/>
        <v>15.290123456790123</v>
      </c>
      <c r="AA55" s="1">
        <v>47</v>
      </c>
      <c r="AB55" s="1">
        <v>46.6</v>
      </c>
      <c r="AC55" s="1">
        <v>42.2</v>
      </c>
      <c r="AD55" s="1">
        <v>53.4</v>
      </c>
      <c r="AE55" s="1">
        <v>45.4</v>
      </c>
      <c r="AF55" s="1">
        <v>40.6</v>
      </c>
      <c r="AG55" s="1">
        <v>40</v>
      </c>
      <c r="AH55" s="1">
        <v>35.799999999999997</v>
      </c>
      <c r="AI55" s="1">
        <v>39</v>
      </c>
      <c r="AJ55" s="1">
        <v>54.6</v>
      </c>
      <c r="AK55" s="1"/>
      <c r="AL55" s="1">
        <f t="shared" si="7"/>
        <v>0</v>
      </c>
    </row>
    <row r="56" spans="1:38" x14ac:dyDescent="0.25">
      <c r="A56" s="1" t="s">
        <v>97</v>
      </c>
      <c r="B56" s="1" t="s">
        <v>39</v>
      </c>
      <c r="C56" s="1">
        <v>14.821999999999999</v>
      </c>
      <c r="D56" s="1">
        <v>128.49600000000001</v>
      </c>
      <c r="E56" s="1">
        <v>26.28</v>
      </c>
      <c r="F56" s="1">
        <v>116.428</v>
      </c>
      <c r="G56" s="7">
        <v>1</v>
      </c>
      <c r="H56" s="1">
        <v>50</v>
      </c>
      <c r="I56" s="1" t="s">
        <v>40</v>
      </c>
      <c r="J56" s="1"/>
      <c r="K56" s="1">
        <v>23.7</v>
      </c>
      <c r="L56" s="1">
        <f t="shared" si="10"/>
        <v>2.5800000000000018</v>
      </c>
      <c r="M56" s="1"/>
      <c r="N56" s="1"/>
      <c r="O56" s="1">
        <v>63.894200000000012</v>
      </c>
      <c r="P56" s="1">
        <v>0</v>
      </c>
      <c r="Q56" s="1"/>
      <c r="R56" s="1">
        <v>0</v>
      </c>
      <c r="S56" s="1"/>
      <c r="T56" s="1">
        <f t="shared" si="11"/>
        <v>5.2560000000000002</v>
      </c>
      <c r="U56" s="5"/>
      <c r="V56" s="5">
        <f t="shared" si="5"/>
        <v>0</v>
      </c>
      <c r="W56" s="18"/>
      <c r="X56" s="18"/>
      <c r="Y56" s="1">
        <f t="shared" si="6"/>
        <v>34.30787671232877</v>
      </c>
      <c r="Z56" s="1">
        <f t="shared" si="12"/>
        <v>34.30787671232877</v>
      </c>
      <c r="AA56" s="1">
        <v>13.143800000000001</v>
      </c>
      <c r="AB56" s="1">
        <v>17.086600000000001</v>
      </c>
      <c r="AC56" s="1">
        <v>14.3766</v>
      </c>
      <c r="AD56" s="1">
        <v>12.1592</v>
      </c>
      <c r="AE56" s="1">
        <v>9.9998000000000005</v>
      </c>
      <c r="AF56" s="1">
        <v>10.0314</v>
      </c>
      <c r="AG56" s="1">
        <v>4.5906000000000002</v>
      </c>
      <c r="AH56" s="1">
        <v>4.2729999999999997</v>
      </c>
      <c r="AI56" s="1">
        <v>13.907999999999999</v>
      </c>
      <c r="AJ56" s="1">
        <v>32.824800000000003</v>
      </c>
      <c r="AK56" s="1"/>
      <c r="AL56" s="1">
        <f t="shared" si="7"/>
        <v>0</v>
      </c>
    </row>
    <row r="57" spans="1:38" x14ac:dyDescent="0.25">
      <c r="A57" s="1" t="s">
        <v>98</v>
      </c>
      <c r="B57" s="1" t="s">
        <v>39</v>
      </c>
      <c r="C57" s="1">
        <v>42.021999999999998</v>
      </c>
      <c r="D57" s="1">
        <v>32.914000000000001</v>
      </c>
      <c r="E57" s="1">
        <v>25.875</v>
      </c>
      <c r="F57" s="1">
        <v>49.061</v>
      </c>
      <c r="G57" s="7">
        <v>1</v>
      </c>
      <c r="H57" s="1">
        <v>55</v>
      </c>
      <c r="I57" s="1" t="s">
        <v>40</v>
      </c>
      <c r="J57" s="1"/>
      <c r="K57" s="1">
        <v>25.2</v>
      </c>
      <c r="L57" s="1">
        <f t="shared" si="10"/>
        <v>0.67500000000000071</v>
      </c>
      <c r="M57" s="1"/>
      <c r="N57" s="1"/>
      <c r="O57" s="1">
        <v>0</v>
      </c>
      <c r="P57" s="1">
        <v>0</v>
      </c>
      <c r="Q57" s="1"/>
      <c r="R57" s="1">
        <v>4</v>
      </c>
      <c r="S57" s="1"/>
      <c r="T57" s="1">
        <f t="shared" si="11"/>
        <v>5.1749999999999998</v>
      </c>
      <c r="U57" s="5">
        <f t="shared" si="9"/>
        <v>3.8639999999999972</v>
      </c>
      <c r="V57" s="5">
        <f t="shared" si="5"/>
        <v>3.8639999999999972</v>
      </c>
      <c r="W57" s="18"/>
      <c r="X57" s="18"/>
      <c r="Y57" s="1">
        <f t="shared" si="6"/>
        <v>11</v>
      </c>
      <c r="Z57" s="1">
        <f t="shared" si="12"/>
        <v>10.253333333333334</v>
      </c>
      <c r="AA57" s="1">
        <v>4.8374000000000006</v>
      </c>
      <c r="AB57" s="1">
        <v>3.6583999999999999</v>
      </c>
      <c r="AC57" s="1">
        <v>3.0304000000000002</v>
      </c>
      <c r="AD57" s="1">
        <v>4.7214</v>
      </c>
      <c r="AE57" s="1">
        <v>7.7294</v>
      </c>
      <c r="AF57" s="1">
        <v>7.2221999999999991</v>
      </c>
      <c r="AG57" s="1">
        <v>4.0502000000000002</v>
      </c>
      <c r="AH57" s="1">
        <v>3.7761999999999998</v>
      </c>
      <c r="AI57" s="1">
        <v>5.9706000000000001</v>
      </c>
      <c r="AJ57" s="1">
        <v>8.2767999999999997</v>
      </c>
      <c r="AK57" s="1"/>
      <c r="AL57" s="1">
        <f t="shared" si="7"/>
        <v>4</v>
      </c>
    </row>
    <row r="58" spans="1:38" x14ac:dyDescent="0.25">
      <c r="A58" s="1" t="s">
        <v>99</v>
      </c>
      <c r="B58" s="1" t="s">
        <v>44</v>
      </c>
      <c r="C58" s="1">
        <v>6</v>
      </c>
      <c r="D58" s="1">
        <v>625</v>
      </c>
      <c r="E58" s="1">
        <v>173</v>
      </c>
      <c r="F58" s="1">
        <v>443</v>
      </c>
      <c r="G58" s="7">
        <v>0.1</v>
      </c>
      <c r="H58" s="1">
        <v>731</v>
      </c>
      <c r="I58" s="1" t="s">
        <v>40</v>
      </c>
      <c r="J58" s="1"/>
      <c r="K58" s="1">
        <v>187</v>
      </c>
      <c r="L58" s="1">
        <f t="shared" si="10"/>
        <v>-14</v>
      </c>
      <c r="M58" s="1"/>
      <c r="N58" s="1"/>
      <c r="O58" s="1">
        <v>318.8</v>
      </c>
      <c r="P58" s="1">
        <v>0</v>
      </c>
      <c r="Q58" s="1"/>
      <c r="R58" s="1">
        <v>0</v>
      </c>
      <c r="S58" s="1"/>
      <c r="T58" s="1">
        <f t="shared" si="11"/>
        <v>34.6</v>
      </c>
      <c r="U58" s="5"/>
      <c r="V58" s="5">
        <f t="shared" si="5"/>
        <v>0</v>
      </c>
      <c r="W58" s="18"/>
      <c r="X58" s="18"/>
      <c r="Y58" s="1">
        <f t="shared" si="6"/>
        <v>22.017341040462426</v>
      </c>
      <c r="Z58" s="1">
        <f t="shared" si="12"/>
        <v>22.017341040462426</v>
      </c>
      <c r="AA58" s="1">
        <v>1.6</v>
      </c>
      <c r="AB58" s="1">
        <v>16</v>
      </c>
      <c r="AC58" s="1">
        <v>37.799999999999997</v>
      </c>
      <c r="AD58" s="1">
        <v>42</v>
      </c>
      <c r="AE58" s="1">
        <v>26.6</v>
      </c>
      <c r="AF58" s="1">
        <v>18.399999999999999</v>
      </c>
      <c r="AG58" s="1">
        <v>22.4</v>
      </c>
      <c r="AH58" s="1">
        <v>29.6</v>
      </c>
      <c r="AI58" s="1">
        <v>31.2</v>
      </c>
      <c r="AJ58" s="1">
        <v>34.799999999999997</v>
      </c>
      <c r="AK58" s="1"/>
      <c r="AL58" s="1">
        <f t="shared" si="7"/>
        <v>0</v>
      </c>
    </row>
    <row r="59" spans="1:38" x14ac:dyDescent="0.25">
      <c r="A59" s="1" t="s">
        <v>100</v>
      </c>
      <c r="B59" s="1" t="s">
        <v>44</v>
      </c>
      <c r="C59" s="1">
        <v>2</v>
      </c>
      <c r="D59" s="1"/>
      <c r="E59" s="1">
        <v>2</v>
      </c>
      <c r="F59" s="1"/>
      <c r="G59" s="7">
        <v>0.4</v>
      </c>
      <c r="H59" s="1">
        <v>50</v>
      </c>
      <c r="I59" s="1" t="s">
        <v>40</v>
      </c>
      <c r="J59" s="1"/>
      <c r="K59" s="1">
        <v>3</v>
      </c>
      <c r="L59" s="1">
        <f t="shared" si="10"/>
        <v>-1</v>
      </c>
      <c r="M59" s="1"/>
      <c r="N59" s="1"/>
      <c r="O59" s="1">
        <v>9.5</v>
      </c>
      <c r="P59" s="1">
        <v>14.9</v>
      </c>
      <c r="Q59" s="1"/>
      <c r="R59" s="1">
        <v>4.3999999999999968</v>
      </c>
      <c r="S59" s="1"/>
      <c r="T59" s="1">
        <f t="shared" si="11"/>
        <v>0.4</v>
      </c>
      <c r="U59" s="5"/>
      <c r="V59" s="5">
        <f t="shared" si="5"/>
        <v>0</v>
      </c>
      <c r="W59" s="18"/>
      <c r="X59" s="18"/>
      <c r="Y59" s="1">
        <f t="shared" si="6"/>
        <v>71.999999999999986</v>
      </c>
      <c r="Z59" s="1">
        <f t="shared" si="12"/>
        <v>71.999999999999986</v>
      </c>
      <c r="AA59" s="1">
        <v>2.4</v>
      </c>
      <c r="AB59" s="1">
        <v>2.4</v>
      </c>
      <c r="AC59" s="1">
        <v>1.6</v>
      </c>
      <c r="AD59" s="1">
        <v>1.4</v>
      </c>
      <c r="AE59" s="1">
        <v>0.4</v>
      </c>
      <c r="AF59" s="1">
        <v>0.2</v>
      </c>
      <c r="AG59" s="1">
        <v>1.6</v>
      </c>
      <c r="AH59" s="1">
        <v>2.8</v>
      </c>
      <c r="AI59" s="1">
        <v>1.8</v>
      </c>
      <c r="AJ59" s="1">
        <v>1</v>
      </c>
      <c r="AK59" s="1"/>
      <c r="AL59" s="1">
        <f t="shared" si="7"/>
        <v>0</v>
      </c>
    </row>
    <row r="60" spans="1:38" x14ac:dyDescent="0.25">
      <c r="A60" s="1" t="s">
        <v>101</v>
      </c>
      <c r="B60" s="1" t="s">
        <v>39</v>
      </c>
      <c r="C60" s="1">
        <v>8.9239999999999995</v>
      </c>
      <c r="D60" s="1">
        <v>240.65799999999999</v>
      </c>
      <c r="E60" s="1">
        <v>67.013000000000005</v>
      </c>
      <c r="F60" s="1">
        <v>178.541</v>
      </c>
      <c r="G60" s="7">
        <v>1</v>
      </c>
      <c r="H60" s="1">
        <v>40</v>
      </c>
      <c r="I60" s="1" t="s">
        <v>40</v>
      </c>
      <c r="J60" s="1"/>
      <c r="K60" s="1">
        <v>107.6</v>
      </c>
      <c r="L60" s="1">
        <f t="shared" si="10"/>
        <v>-40.586999999999989</v>
      </c>
      <c r="M60" s="1"/>
      <c r="N60" s="1"/>
      <c r="O60" s="1">
        <v>91.489727907711909</v>
      </c>
      <c r="P60" s="1">
        <v>139.47898000000001</v>
      </c>
      <c r="Q60" s="1"/>
      <c r="R60" s="1">
        <v>0</v>
      </c>
      <c r="S60" s="1"/>
      <c r="T60" s="1">
        <f t="shared" si="11"/>
        <v>13.402600000000001</v>
      </c>
      <c r="U60" s="5"/>
      <c r="V60" s="5">
        <f t="shared" si="5"/>
        <v>0</v>
      </c>
      <c r="W60" s="18"/>
      <c r="X60" s="18"/>
      <c r="Y60" s="1">
        <f t="shared" si="6"/>
        <v>30.554497478676666</v>
      </c>
      <c r="Z60" s="1">
        <f t="shared" si="12"/>
        <v>30.554497478676666</v>
      </c>
      <c r="AA60" s="1">
        <v>24.6496</v>
      </c>
      <c r="AB60" s="1">
        <v>43.622199999999999</v>
      </c>
      <c r="AC60" s="1">
        <v>38.334800000000001</v>
      </c>
      <c r="AD60" s="1">
        <v>25.899799999999999</v>
      </c>
      <c r="AE60" s="1">
        <v>21.359200000000001</v>
      </c>
      <c r="AF60" s="1">
        <v>23.611799999999999</v>
      </c>
      <c r="AG60" s="1">
        <v>23.540600000000001</v>
      </c>
      <c r="AH60" s="1">
        <v>29.2972</v>
      </c>
      <c r="AI60" s="1">
        <v>24.019200000000001</v>
      </c>
      <c r="AJ60" s="1">
        <v>15.448399999999999</v>
      </c>
      <c r="AK60" s="1"/>
      <c r="AL60" s="1">
        <f t="shared" si="7"/>
        <v>0</v>
      </c>
    </row>
    <row r="61" spans="1:38" x14ac:dyDescent="0.25">
      <c r="A61" s="1" t="s">
        <v>102</v>
      </c>
      <c r="B61" s="1" t="s">
        <v>39</v>
      </c>
      <c r="C61" s="1">
        <v>-1.32</v>
      </c>
      <c r="D61" s="1">
        <v>98.024000000000001</v>
      </c>
      <c r="E61" s="1">
        <v>51.021999999999998</v>
      </c>
      <c r="F61" s="1">
        <v>43.164000000000001</v>
      </c>
      <c r="G61" s="7">
        <v>1</v>
      </c>
      <c r="H61" s="1">
        <v>40</v>
      </c>
      <c r="I61" s="1" t="s">
        <v>40</v>
      </c>
      <c r="J61" s="1"/>
      <c r="K61" s="1">
        <v>76.5</v>
      </c>
      <c r="L61" s="1">
        <f t="shared" si="10"/>
        <v>-25.478000000000002</v>
      </c>
      <c r="M61" s="1"/>
      <c r="N61" s="1"/>
      <c r="O61" s="1">
        <v>158.49119999999999</v>
      </c>
      <c r="P61" s="1">
        <v>20.865799999999989</v>
      </c>
      <c r="Q61" s="1"/>
      <c r="R61" s="1">
        <v>0</v>
      </c>
      <c r="S61" s="1"/>
      <c r="T61" s="1">
        <f t="shared" si="11"/>
        <v>10.2044</v>
      </c>
      <c r="U61" s="5"/>
      <c r="V61" s="5">
        <f t="shared" si="5"/>
        <v>0</v>
      </c>
      <c r="W61" s="18"/>
      <c r="X61" s="18"/>
      <c r="Y61" s="1">
        <f t="shared" si="6"/>
        <v>21.806377641017598</v>
      </c>
      <c r="Z61" s="1">
        <f t="shared" si="12"/>
        <v>21.806377641017598</v>
      </c>
      <c r="AA61" s="1">
        <v>14.9316</v>
      </c>
      <c r="AB61" s="1">
        <v>24.031400000000001</v>
      </c>
      <c r="AC61" s="1">
        <v>22.408799999999999</v>
      </c>
      <c r="AD61" s="1">
        <v>22.915199999999999</v>
      </c>
      <c r="AE61" s="1">
        <v>16.466999999999999</v>
      </c>
      <c r="AF61" s="1">
        <v>7.1257999999999999</v>
      </c>
      <c r="AG61" s="1">
        <v>0.5978</v>
      </c>
      <c r="AH61" s="1">
        <v>1.6666000000000001</v>
      </c>
      <c r="AI61" s="1">
        <v>5.6360000000000001</v>
      </c>
      <c r="AJ61" s="1">
        <v>11.8102</v>
      </c>
      <c r="AK61" s="1"/>
      <c r="AL61" s="1">
        <f t="shared" si="7"/>
        <v>0</v>
      </c>
    </row>
    <row r="62" spans="1:38" x14ac:dyDescent="0.25">
      <c r="A62" s="1" t="s">
        <v>103</v>
      </c>
      <c r="B62" s="1" t="s">
        <v>44</v>
      </c>
      <c r="C62" s="1">
        <v>461</v>
      </c>
      <c r="D62" s="1"/>
      <c r="E62" s="1">
        <v>430</v>
      </c>
      <c r="F62" s="1">
        <v>9</v>
      </c>
      <c r="G62" s="7">
        <v>0.4</v>
      </c>
      <c r="H62" s="1">
        <v>40</v>
      </c>
      <c r="I62" s="1" t="s">
        <v>40</v>
      </c>
      <c r="J62" s="1"/>
      <c r="K62" s="1">
        <v>440</v>
      </c>
      <c r="L62" s="1">
        <f t="shared" si="10"/>
        <v>-10</v>
      </c>
      <c r="M62" s="1"/>
      <c r="N62" s="1"/>
      <c r="O62" s="1">
        <v>0</v>
      </c>
      <c r="P62" s="1">
        <v>442.16000000000008</v>
      </c>
      <c r="Q62" s="1"/>
      <c r="R62" s="1">
        <v>284.91199999999998</v>
      </c>
      <c r="S62" s="1"/>
      <c r="T62" s="1">
        <f t="shared" si="11"/>
        <v>86</v>
      </c>
      <c r="U62" s="5">
        <f t="shared" si="9"/>
        <v>209.92799999999988</v>
      </c>
      <c r="V62" s="5">
        <f>U62+T62*$V$1</f>
        <v>295.92799999999988</v>
      </c>
      <c r="W62" s="18"/>
      <c r="X62" s="18"/>
      <c r="Y62" s="1">
        <f t="shared" si="6"/>
        <v>12</v>
      </c>
      <c r="Z62" s="1">
        <f t="shared" si="12"/>
        <v>8.5589767441860474</v>
      </c>
      <c r="AA62" s="1">
        <v>83.4</v>
      </c>
      <c r="AB62" s="1">
        <v>67.400000000000006</v>
      </c>
      <c r="AC62" s="1">
        <v>40.200000000000003</v>
      </c>
      <c r="AD62" s="1">
        <v>42.8</v>
      </c>
      <c r="AE62" s="1">
        <v>62.2</v>
      </c>
      <c r="AF62" s="1">
        <v>71.599999999999994</v>
      </c>
      <c r="AG62" s="1">
        <v>61.2</v>
      </c>
      <c r="AH62" s="1">
        <v>73.400000000000006</v>
      </c>
      <c r="AI62" s="1">
        <v>57.2</v>
      </c>
      <c r="AJ62" s="1">
        <v>35.799999999999997</v>
      </c>
      <c r="AK62" s="1"/>
      <c r="AL62" s="1">
        <f t="shared" si="7"/>
        <v>118</v>
      </c>
    </row>
    <row r="63" spans="1:38" x14ac:dyDescent="0.25">
      <c r="A63" s="1" t="s">
        <v>104</v>
      </c>
      <c r="B63" s="1" t="s">
        <v>44</v>
      </c>
      <c r="C63" s="1">
        <v>176</v>
      </c>
      <c r="D63" s="1">
        <v>24</v>
      </c>
      <c r="E63" s="1">
        <v>192</v>
      </c>
      <c r="F63" s="1">
        <v>1</v>
      </c>
      <c r="G63" s="7">
        <v>0.4</v>
      </c>
      <c r="H63" s="1">
        <v>40</v>
      </c>
      <c r="I63" s="1" t="s">
        <v>40</v>
      </c>
      <c r="J63" s="1"/>
      <c r="K63" s="1">
        <v>265</v>
      </c>
      <c r="L63" s="1">
        <f t="shared" si="10"/>
        <v>-73</v>
      </c>
      <c r="M63" s="1"/>
      <c r="N63" s="1"/>
      <c r="O63" s="1">
        <v>148.4</v>
      </c>
      <c r="P63" s="1">
        <v>70</v>
      </c>
      <c r="Q63" s="1"/>
      <c r="R63" s="1">
        <v>283.79199999999997</v>
      </c>
      <c r="S63" s="1"/>
      <c r="T63" s="1">
        <f t="shared" si="11"/>
        <v>38.4</v>
      </c>
      <c r="U63" s="5"/>
      <c r="V63" s="5">
        <f t="shared" si="5"/>
        <v>0</v>
      </c>
      <c r="W63" s="18"/>
      <c r="X63" s="18"/>
      <c r="Y63" s="1">
        <f t="shared" si="6"/>
        <v>13.103958333333335</v>
      </c>
      <c r="Z63" s="1">
        <f t="shared" si="12"/>
        <v>13.103958333333335</v>
      </c>
      <c r="AA63" s="1">
        <v>47.4</v>
      </c>
      <c r="AB63" s="1">
        <v>33.799999999999997</v>
      </c>
      <c r="AC63" s="1">
        <v>31</v>
      </c>
      <c r="AD63" s="1">
        <v>38.4</v>
      </c>
      <c r="AE63" s="1">
        <v>37</v>
      </c>
      <c r="AF63" s="1">
        <v>38.4</v>
      </c>
      <c r="AG63" s="1">
        <v>31.6</v>
      </c>
      <c r="AH63" s="1">
        <v>37.200000000000003</v>
      </c>
      <c r="AI63" s="1">
        <v>29.6</v>
      </c>
      <c r="AJ63" s="1">
        <v>34.200000000000003</v>
      </c>
      <c r="AK63" s="1"/>
      <c r="AL63" s="1">
        <f t="shared" si="7"/>
        <v>0</v>
      </c>
    </row>
    <row r="64" spans="1:38" x14ac:dyDescent="0.25">
      <c r="A64" s="1" t="s">
        <v>105</v>
      </c>
      <c r="B64" s="1" t="s">
        <v>39</v>
      </c>
      <c r="C64" s="1">
        <v>149.57400000000001</v>
      </c>
      <c r="D64" s="1">
        <v>46.06</v>
      </c>
      <c r="E64" s="1">
        <v>168.63</v>
      </c>
      <c r="F64" s="1">
        <v>20.567</v>
      </c>
      <c r="G64" s="7">
        <v>1</v>
      </c>
      <c r="H64" s="1">
        <v>40</v>
      </c>
      <c r="I64" s="1" t="s">
        <v>40</v>
      </c>
      <c r="J64" s="1"/>
      <c r="K64" s="1">
        <v>159.69999999999999</v>
      </c>
      <c r="L64" s="1">
        <f t="shared" si="10"/>
        <v>8.9300000000000068</v>
      </c>
      <c r="M64" s="1"/>
      <c r="N64" s="1"/>
      <c r="O64" s="1">
        <v>0</v>
      </c>
      <c r="P64" s="1">
        <v>100.7732</v>
      </c>
      <c r="Q64" s="1"/>
      <c r="R64" s="1">
        <v>254.09481600000009</v>
      </c>
      <c r="S64" s="1"/>
      <c r="T64" s="1">
        <f t="shared" si="11"/>
        <v>33.725999999999999</v>
      </c>
      <c r="U64" s="5"/>
      <c r="V64" s="5">
        <f>W64</f>
        <v>330</v>
      </c>
      <c r="W64" s="18">
        <f>VLOOKUP(A64,[1]Sheet!$A:$W,22,0)</f>
        <v>330</v>
      </c>
      <c r="X64" s="18" t="str">
        <f>VLOOKUP(A64,[1]Sheet!$A:$W,23,0)</f>
        <v>Промо</v>
      </c>
      <c r="Y64" s="1">
        <f t="shared" si="6"/>
        <v>20.916652315720814</v>
      </c>
      <c r="Z64" s="1">
        <f t="shared" si="12"/>
        <v>11.131916503587741</v>
      </c>
      <c r="AA64" s="1">
        <v>41.600200000000001</v>
      </c>
      <c r="AB64" s="1">
        <v>26.395199999999999</v>
      </c>
      <c r="AC64" s="1">
        <v>7.9843999999999991</v>
      </c>
      <c r="AD64" s="1">
        <v>8.2210000000000001</v>
      </c>
      <c r="AE64" s="1">
        <v>19.146599999999999</v>
      </c>
      <c r="AF64" s="1">
        <v>25.153600000000001</v>
      </c>
      <c r="AG64" s="1">
        <v>10.579800000000001</v>
      </c>
      <c r="AH64" s="1">
        <v>0.18360000000000001</v>
      </c>
      <c r="AI64" s="1">
        <v>14.255800000000001</v>
      </c>
      <c r="AJ64" s="1">
        <v>19.347200000000001</v>
      </c>
      <c r="AK64" s="1"/>
      <c r="AL64" s="1">
        <f t="shared" si="7"/>
        <v>330</v>
      </c>
    </row>
    <row r="65" spans="1:38" x14ac:dyDescent="0.25">
      <c r="A65" s="1" t="s">
        <v>106</v>
      </c>
      <c r="B65" s="1" t="s">
        <v>39</v>
      </c>
      <c r="C65" s="1">
        <v>-0.39100000000000001</v>
      </c>
      <c r="D65" s="1">
        <v>156.22999999999999</v>
      </c>
      <c r="E65" s="1">
        <v>85.509</v>
      </c>
      <c r="F65" s="1">
        <v>65.808999999999997</v>
      </c>
      <c r="G65" s="7">
        <v>1</v>
      </c>
      <c r="H65" s="1">
        <v>40</v>
      </c>
      <c r="I65" s="1" t="s">
        <v>40</v>
      </c>
      <c r="J65" s="1"/>
      <c r="K65" s="1">
        <v>82.4</v>
      </c>
      <c r="L65" s="1">
        <f t="shared" si="10"/>
        <v>3.1089999999999947</v>
      </c>
      <c r="M65" s="1"/>
      <c r="N65" s="1"/>
      <c r="O65" s="1">
        <v>0</v>
      </c>
      <c r="P65" s="1">
        <v>150</v>
      </c>
      <c r="Q65" s="1"/>
      <c r="R65" s="1">
        <v>0</v>
      </c>
      <c r="S65" s="1"/>
      <c r="T65" s="1">
        <f t="shared" si="11"/>
        <v>17.101800000000001</v>
      </c>
      <c r="U65" s="5"/>
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 si="12"/>
        <v>12.619081032405944</v>
      </c>
      <c r="AA65" s="1">
        <v>9.9822000000000006</v>
      </c>
      <c r="AB65" s="1">
        <v>13.1046</v>
      </c>
      <c r="AC65" s="1">
        <v>5.6265999999999998</v>
      </c>
      <c r="AD65" s="1">
        <v>5.4694000000000003</v>
      </c>
      <c r="AE65" s="1">
        <v>5.4694000000000003</v>
      </c>
      <c r="AF65" s="1">
        <v>0</v>
      </c>
      <c r="AG65" s="1">
        <v>-0.70499999999999996</v>
      </c>
      <c r="AH65" s="1">
        <v>-0.88500000000000001</v>
      </c>
      <c r="AI65" s="1">
        <v>-0.18</v>
      </c>
      <c r="AJ65" s="1">
        <v>-0.3654</v>
      </c>
      <c r="AK65" s="1"/>
      <c r="AL65" s="1">
        <f t="shared" si="7"/>
        <v>0</v>
      </c>
    </row>
    <row r="66" spans="1:38" x14ac:dyDescent="0.25">
      <c r="A66" s="1" t="s">
        <v>107</v>
      </c>
      <c r="B66" s="1" t="s">
        <v>39</v>
      </c>
      <c r="C66" s="1">
        <v>-0.13100000000000001</v>
      </c>
      <c r="D66" s="1">
        <v>270.72399999999999</v>
      </c>
      <c r="E66" s="1">
        <v>28.082999999999998</v>
      </c>
      <c r="F66" s="1">
        <v>230.874</v>
      </c>
      <c r="G66" s="7">
        <v>1</v>
      </c>
      <c r="H66" s="1">
        <v>40</v>
      </c>
      <c r="I66" s="1" t="s">
        <v>40</v>
      </c>
      <c r="J66" s="1"/>
      <c r="K66" s="1">
        <v>35</v>
      </c>
      <c r="L66" s="1">
        <f t="shared" si="10"/>
        <v>-6.9170000000000016</v>
      </c>
      <c r="M66" s="1"/>
      <c r="N66" s="1"/>
      <c r="O66" s="1">
        <v>312.10059999999999</v>
      </c>
      <c r="P66" s="1">
        <v>150</v>
      </c>
      <c r="Q66" s="1"/>
      <c r="R66" s="1">
        <v>0</v>
      </c>
      <c r="S66" s="1"/>
      <c r="T66" s="1">
        <f t="shared" si="11"/>
        <v>5.6166</v>
      </c>
      <c r="U66" s="5"/>
      <c r="V66" s="5">
        <f t="shared" si="5"/>
        <v>0</v>
      </c>
      <c r="W66" s="18"/>
      <c r="X66" s="18"/>
      <c r="Y66" s="1">
        <f t="shared" si="6"/>
        <v>123.37973151016629</v>
      </c>
      <c r="Z66" s="1">
        <f t="shared" si="12"/>
        <v>123.37973151016629</v>
      </c>
      <c r="AA66" s="1">
        <v>10.5238</v>
      </c>
      <c r="AB66" s="1">
        <v>31.183599999999998</v>
      </c>
      <c r="AC66" s="1">
        <v>57.327399999999997</v>
      </c>
      <c r="AD66" s="1">
        <v>51.322400000000002</v>
      </c>
      <c r="AE66" s="1">
        <v>14.4748</v>
      </c>
      <c r="AF66" s="1">
        <v>0</v>
      </c>
      <c r="AG66" s="1">
        <v>0</v>
      </c>
      <c r="AH66" s="1">
        <v>15.165800000000001</v>
      </c>
      <c r="AI66" s="1">
        <v>54.539200000000008</v>
      </c>
      <c r="AJ66" s="1">
        <v>38.833599999999997</v>
      </c>
      <c r="AK66" s="1"/>
      <c r="AL66" s="1">
        <f t="shared" si="7"/>
        <v>0</v>
      </c>
    </row>
    <row r="67" spans="1:38" x14ac:dyDescent="0.25">
      <c r="A67" s="1" t="s">
        <v>108</v>
      </c>
      <c r="B67" s="1" t="s">
        <v>39</v>
      </c>
      <c r="C67" s="1">
        <v>11.334</v>
      </c>
      <c r="D67" s="1">
        <v>75.838999999999999</v>
      </c>
      <c r="E67" s="1">
        <v>56.947000000000003</v>
      </c>
      <c r="F67" s="1">
        <v>26.684999999999999</v>
      </c>
      <c r="G67" s="7">
        <v>1</v>
      </c>
      <c r="H67" s="1">
        <v>40</v>
      </c>
      <c r="I67" s="1" t="s">
        <v>40</v>
      </c>
      <c r="J67" s="1"/>
      <c r="K67" s="1">
        <v>67.7</v>
      </c>
      <c r="L67" s="1">
        <f t="shared" si="10"/>
        <v>-10.753</v>
      </c>
      <c r="M67" s="1"/>
      <c r="N67" s="1"/>
      <c r="O67" s="1">
        <v>0</v>
      </c>
      <c r="P67" s="1">
        <v>105.7672</v>
      </c>
      <c r="Q67" s="1"/>
      <c r="R67" s="1">
        <v>38.743600000000001</v>
      </c>
      <c r="S67" s="1"/>
      <c r="T67" s="1">
        <f t="shared" si="11"/>
        <v>11.3894</v>
      </c>
      <c r="U67" s="5"/>
      <c r="V67" s="5">
        <f t="shared" si="5"/>
        <v>0</v>
      </c>
      <c r="W67" s="18"/>
      <c r="X67" s="18"/>
      <c r="Y67" s="1">
        <f t="shared" si="6"/>
        <v>15.031151772700934</v>
      </c>
      <c r="Z67" s="1">
        <f t="shared" si="12"/>
        <v>15.031151772700934</v>
      </c>
      <c r="AA67" s="1">
        <v>16.0974</v>
      </c>
      <c r="AB67" s="1">
        <v>17.0092</v>
      </c>
      <c r="AC67" s="1">
        <v>6.5022000000000002</v>
      </c>
      <c r="AD67" s="1">
        <v>-0.18099999999999999</v>
      </c>
      <c r="AE67" s="1">
        <v>0</v>
      </c>
      <c r="AF67" s="1">
        <v>-0.36499999999999999</v>
      </c>
      <c r="AG67" s="1">
        <v>-0.18340000000000001</v>
      </c>
      <c r="AH67" s="1">
        <v>0</v>
      </c>
      <c r="AI67" s="1">
        <v>-0.1852</v>
      </c>
      <c r="AJ67" s="1">
        <v>2.7107999999999999</v>
      </c>
      <c r="AK67" s="1"/>
      <c r="AL67" s="1">
        <f t="shared" si="7"/>
        <v>0</v>
      </c>
    </row>
    <row r="68" spans="1:38" x14ac:dyDescent="0.25">
      <c r="A68" s="1" t="s">
        <v>109</v>
      </c>
      <c r="B68" s="1" t="s">
        <v>39</v>
      </c>
      <c r="C68" s="1">
        <v>2.8109999999999999</v>
      </c>
      <c r="D68" s="1">
        <v>151.36799999999999</v>
      </c>
      <c r="E68" s="1">
        <v>24.58</v>
      </c>
      <c r="F68" s="1">
        <v>90.718999999999994</v>
      </c>
      <c r="G68" s="7">
        <v>1</v>
      </c>
      <c r="H68" s="1">
        <v>30</v>
      </c>
      <c r="I68" s="9" t="s">
        <v>51</v>
      </c>
      <c r="J68" s="1"/>
      <c r="K68" s="1">
        <v>55.3</v>
      </c>
      <c r="L68" s="1">
        <f t="shared" si="10"/>
        <v>-30.72</v>
      </c>
      <c r="M68" s="1"/>
      <c r="N68" s="1"/>
      <c r="O68" s="1">
        <v>198.16589999999999</v>
      </c>
      <c r="P68" s="1">
        <v>0</v>
      </c>
      <c r="Q68" s="1"/>
      <c r="R68" s="1">
        <v>0</v>
      </c>
      <c r="S68" s="1"/>
      <c r="T68" s="1">
        <f t="shared" si="11"/>
        <v>4.9159999999999995</v>
      </c>
      <c r="U68" s="5"/>
      <c r="V68" s="5">
        <f t="shared" si="5"/>
        <v>0</v>
      </c>
      <c r="W68" s="18"/>
      <c r="X68" s="18"/>
      <c r="Y68" s="1">
        <f t="shared" si="6"/>
        <v>58.764218877135889</v>
      </c>
      <c r="Z68" s="1">
        <f t="shared" si="12"/>
        <v>58.764218877135889</v>
      </c>
      <c r="AA68" s="1">
        <v>-2.1474000000000002</v>
      </c>
      <c r="AB68" s="1">
        <v>10.512600000000001</v>
      </c>
      <c r="AC68" s="1">
        <v>27.774799999999999</v>
      </c>
      <c r="AD68" s="1">
        <v>26.152999999999999</v>
      </c>
      <c r="AE68" s="1">
        <v>19.6858</v>
      </c>
      <c r="AF68" s="1">
        <v>16.712599999999998</v>
      </c>
      <c r="AG68" s="1">
        <v>15.083600000000001</v>
      </c>
      <c r="AH68" s="1">
        <v>22.851600000000001</v>
      </c>
      <c r="AI68" s="1">
        <v>27.151399999999999</v>
      </c>
      <c r="AJ68" s="1">
        <v>11.3246</v>
      </c>
      <c r="AK68" s="1" t="s">
        <v>110</v>
      </c>
      <c r="AL68" s="1">
        <f t="shared" si="7"/>
        <v>0</v>
      </c>
    </row>
    <row r="69" spans="1:38" x14ac:dyDescent="0.25">
      <c r="A69" s="10" t="s">
        <v>111</v>
      </c>
      <c r="B69" s="10" t="s">
        <v>44</v>
      </c>
      <c r="C69" s="10"/>
      <c r="D69" s="10"/>
      <c r="E69" s="10"/>
      <c r="F69" s="10"/>
      <c r="G69" s="11">
        <v>0</v>
      </c>
      <c r="H69" s="10">
        <v>60</v>
      </c>
      <c r="I69" s="10" t="s">
        <v>40</v>
      </c>
      <c r="J69" s="10"/>
      <c r="K69" s="10"/>
      <c r="L69" s="10">
        <f t="shared" si="10"/>
        <v>0</v>
      </c>
      <c r="M69" s="10"/>
      <c r="N69" s="10"/>
      <c r="O69" s="10">
        <v>0</v>
      </c>
      <c r="P69" s="10">
        <v>0</v>
      </c>
      <c r="Q69" s="10"/>
      <c r="R69" s="10">
        <v>0</v>
      </c>
      <c r="S69" s="10"/>
      <c r="T69" s="10">
        <f t="shared" si="11"/>
        <v>0</v>
      </c>
      <c r="U69" s="12"/>
      <c r="V69" s="5">
        <f t="shared" si="5"/>
        <v>0</v>
      </c>
      <c r="W69" s="18"/>
      <c r="X69" s="18"/>
      <c r="Y69" s="1" t="e">
        <f t="shared" si="6"/>
        <v>#DIV/0!</v>
      </c>
      <c r="Z69" s="10" t="e">
        <f t="shared" si="12"/>
        <v>#DIV/0!</v>
      </c>
      <c r="AA69" s="10">
        <v>0</v>
      </c>
      <c r="AB69" s="10">
        <v>8.8000000000000007</v>
      </c>
      <c r="AC69" s="10">
        <v>9.1999999999999993</v>
      </c>
      <c r="AD69" s="10">
        <v>4.2</v>
      </c>
      <c r="AE69" s="10">
        <v>5</v>
      </c>
      <c r="AF69" s="10">
        <v>10.199999999999999</v>
      </c>
      <c r="AG69" s="10">
        <v>10</v>
      </c>
      <c r="AH69" s="10">
        <v>5.6</v>
      </c>
      <c r="AI69" s="10">
        <v>11</v>
      </c>
      <c r="AJ69" s="10">
        <v>36.200000000000003</v>
      </c>
      <c r="AK69" s="10" t="s">
        <v>45</v>
      </c>
      <c r="AL69" s="1">
        <f t="shared" si="7"/>
        <v>0</v>
      </c>
    </row>
    <row r="70" spans="1:38" x14ac:dyDescent="0.25">
      <c r="A70" s="10" t="s">
        <v>112</v>
      </c>
      <c r="B70" s="10" t="s">
        <v>44</v>
      </c>
      <c r="C70" s="10"/>
      <c r="D70" s="10"/>
      <c r="E70" s="10"/>
      <c r="F70" s="10"/>
      <c r="G70" s="11">
        <v>0</v>
      </c>
      <c r="H70" s="10">
        <v>60</v>
      </c>
      <c r="I70" s="10" t="s">
        <v>40</v>
      </c>
      <c r="J70" s="10"/>
      <c r="K70" s="10"/>
      <c r="L70" s="10">
        <f t="shared" ref="L70:L101" si="13">E70-K70</f>
        <v>0</v>
      </c>
      <c r="M70" s="10"/>
      <c r="N70" s="10"/>
      <c r="O70" s="10">
        <v>0</v>
      </c>
      <c r="P70" s="10">
        <v>0</v>
      </c>
      <c r="Q70" s="10"/>
      <c r="R70" s="10">
        <v>0</v>
      </c>
      <c r="S70" s="10"/>
      <c r="T70" s="10">
        <f t="shared" ref="T70:T101" si="14">E70/5</f>
        <v>0</v>
      </c>
      <c r="U70" s="12"/>
      <c r="V70" s="5">
        <f t="shared" si="5"/>
        <v>0</v>
      </c>
      <c r="W70" s="18"/>
      <c r="X70" s="18"/>
      <c r="Y70" s="1" t="e">
        <f t="shared" si="6"/>
        <v>#DIV/0!</v>
      </c>
      <c r="Z70" s="10" t="e">
        <f t="shared" ref="Z70:Z101" si="15">(F70+O70+P70+Q70+R70+S70)/T70</f>
        <v>#DIV/0!</v>
      </c>
      <c r="AA70" s="10">
        <v>0</v>
      </c>
      <c r="AB70" s="10">
        <v>1.6</v>
      </c>
      <c r="AC70" s="10">
        <v>6.2</v>
      </c>
      <c r="AD70" s="10">
        <v>10.199999999999999</v>
      </c>
      <c r="AE70" s="10">
        <v>8.8000000000000007</v>
      </c>
      <c r="AF70" s="10">
        <v>17</v>
      </c>
      <c r="AG70" s="10">
        <v>15.6</v>
      </c>
      <c r="AH70" s="10">
        <v>11.2</v>
      </c>
      <c r="AI70" s="10">
        <v>17.2</v>
      </c>
      <c r="AJ70" s="10">
        <v>47.6</v>
      </c>
      <c r="AK70" s="10" t="s">
        <v>45</v>
      </c>
      <c r="AL70" s="1">
        <f t="shared" si="7"/>
        <v>0</v>
      </c>
    </row>
    <row r="71" spans="1:38" x14ac:dyDescent="0.25">
      <c r="A71" s="1" t="s">
        <v>113</v>
      </c>
      <c r="B71" s="1" t="s">
        <v>44</v>
      </c>
      <c r="C71" s="1"/>
      <c r="D71" s="1">
        <v>120</v>
      </c>
      <c r="E71" s="1">
        <v>5</v>
      </c>
      <c r="F71" s="1">
        <v>108</v>
      </c>
      <c r="G71" s="7">
        <v>0.4</v>
      </c>
      <c r="H71" s="1">
        <v>90</v>
      </c>
      <c r="I71" s="9" t="s">
        <v>51</v>
      </c>
      <c r="J71" s="1"/>
      <c r="K71" s="1">
        <v>5</v>
      </c>
      <c r="L71" s="1">
        <f t="shared" si="13"/>
        <v>0</v>
      </c>
      <c r="M71" s="1"/>
      <c r="N71" s="1"/>
      <c r="O71" s="1">
        <v>0</v>
      </c>
      <c r="P71" s="1">
        <v>8</v>
      </c>
      <c r="Q71" s="1"/>
      <c r="R71" s="1">
        <v>0</v>
      </c>
      <c r="S71" s="1"/>
      <c r="T71" s="1">
        <f t="shared" si="14"/>
        <v>1</v>
      </c>
      <c r="U71" s="5"/>
      <c r="V71" s="5">
        <f t="shared" ref="V71:V128" si="16">U71</f>
        <v>0</v>
      </c>
      <c r="W71" s="18"/>
      <c r="X71" s="18"/>
      <c r="Y71" s="1">
        <f t="shared" ref="Y71:Y128" si="17">(F71+O71+P71+Q71+R71+S71+V71)/T71</f>
        <v>116</v>
      </c>
      <c r="Z71" s="1">
        <f t="shared" si="15"/>
        <v>116</v>
      </c>
      <c r="AA71" s="1">
        <v>3.2</v>
      </c>
      <c r="AB71" s="1">
        <v>11.2</v>
      </c>
      <c r="AC71" s="1">
        <v>13</v>
      </c>
      <c r="AD71" s="1">
        <v>8.8000000000000007</v>
      </c>
      <c r="AE71" s="1">
        <v>7.6</v>
      </c>
      <c r="AF71" s="1">
        <v>13</v>
      </c>
      <c r="AG71" s="1">
        <v>9.1999999999999993</v>
      </c>
      <c r="AH71" s="1">
        <v>7.8</v>
      </c>
      <c r="AI71" s="1">
        <v>11.6</v>
      </c>
      <c r="AJ71" s="1">
        <v>18</v>
      </c>
      <c r="AK71" s="1"/>
      <c r="AL71" s="1">
        <f t="shared" ref="AL71:AL128" si="18">ROUND(G71*V71,0)</f>
        <v>0</v>
      </c>
    </row>
    <row r="72" spans="1:38" x14ac:dyDescent="0.25">
      <c r="A72" s="1" t="s">
        <v>114</v>
      </c>
      <c r="B72" s="1" t="s">
        <v>44</v>
      </c>
      <c r="C72" s="1">
        <v>173</v>
      </c>
      <c r="D72" s="1">
        <v>24</v>
      </c>
      <c r="E72" s="1">
        <v>139</v>
      </c>
      <c r="F72" s="1">
        <v>53</v>
      </c>
      <c r="G72" s="7">
        <v>0.33</v>
      </c>
      <c r="H72" s="1">
        <v>60</v>
      </c>
      <c r="I72" s="1" t="s">
        <v>40</v>
      </c>
      <c r="J72" s="1"/>
      <c r="K72" s="1">
        <v>136</v>
      </c>
      <c r="L72" s="1">
        <f t="shared" si="13"/>
        <v>3</v>
      </c>
      <c r="M72" s="1"/>
      <c r="N72" s="1"/>
      <c r="O72" s="1">
        <v>0</v>
      </c>
      <c r="P72" s="1">
        <v>75.399999999999977</v>
      </c>
      <c r="Q72" s="1"/>
      <c r="R72" s="1">
        <v>234.04800000000009</v>
      </c>
      <c r="S72" s="1"/>
      <c r="T72" s="1">
        <f t="shared" si="14"/>
        <v>27.8</v>
      </c>
      <c r="U72" s="5"/>
      <c r="V72" s="5">
        <f t="shared" si="16"/>
        <v>0</v>
      </c>
      <c r="W72" s="18"/>
      <c r="X72" s="18"/>
      <c r="Y72" s="1">
        <f t="shared" si="17"/>
        <v>13.037697841726622</v>
      </c>
      <c r="Z72" s="1">
        <f t="shared" si="15"/>
        <v>13.037697841726622</v>
      </c>
      <c r="AA72" s="1">
        <v>35.6</v>
      </c>
      <c r="AB72" s="1">
        <v>24.4</v>
      </c>
      <c r="AC72" s="1">
        <v>3.8</v>
      </c>
      <c r="AD72" s="1">
        <v>-0.2</v>
      </c>
      <c r="AE72" s="1">
        <v>2.6</v>
      </c>
      <c r="AF72" s="1">
        <v>20.8</v>
      </c>
      <c r="AG72" s="1">
        <v>21.6</v>
      </c>
      <c r="AH72" s="1">
        <v>17.2</v>
      </c>
      <c r="AI72" s="1">
        <v>16</v>
      </c>
      <c r="AJ72" s="1">
        <v>21.2</v>
      </c>
      <c r="AK72" s="1"/>
      <c r="AL72" s="1">
        <f t="shared" si="18"/>
        <v>0</v>
      </c>
    </row>
    <row r="73" spans="1:38" x14ac:dyDescent="0.25">
      <c r="A73" s="1" t="s">
        <v>115</v>
      </c>
      <c r="B73" s="1" t="s">
        <v>44</v>
      </c>
      <c r="C73" s="1"/>
      <c r="D73" s="1">
        <v>120</v>
      </c>
      <c r="E73" s="1">
        <v>4</v>
      </c>
      <c r="F73" s="1">
        <v>109</v>
      </c>
      <c r="G73" s="7">
        <v>0.35</v>
      </c>
      <c r="H73" s="1">
        <v>90</v>
      </c>
      <c r="I73" s="1" t="s">
        <v>40</v>
      </c>
      <c r="J73" s="1"/>
      <c r="K73" s="1">
        <v>9</v>
      </c>
      <c r="L73" s="1">
        <f t="shared" si="13"/>
        <v>-5</v>
      </c>
      <c r="M73" s="1"/>
      <c r="N73" s="1"/>
      <c r="O73" s="1">
        <v>109.7</v>
      </c>
      <c r="P73" s="1">
        <v>10.10000000000001</v>
      </c>
      <c r="Q73" s="1"/>
      <c r="R73" s="1">
        <v>0</v>
      </c>
      <c r="S73" s="1"/>
      <c r="T73" s="1">
        <f t="shared" si="14"/>
        <v>0.8</v>
      </c>
      <c r="U73" s="5"/>
      <c r="V73" s="5">
        <f t="shared" si="16"/>
        <v>0</v>
      </c>
      <c r="W73" s="18"/>
      <c r="X73" s="18"/>
      <c r="Y73" s="1">
        <f t="shared" si="17"/>
        <v>286</v>
      </c>
      <c r="Z73" s="1">
        <f t="shared" si="15"/>
        <v>286</v>
      </c>
      <c r="AA73" s="1">
        <v>10.8</v>
      </c>
      <c r="AB73" s="1">
        <v>21.8</v>
      </c>
      <c r="AC73" s="1">
        <v>18.600000000000001</v>
      </c>
      <c r="AD73" s="1">
        <v>16.2</v>
      </c>
      <c r="AE73" s="1">
        <v>10.6</v>
      </c>
      <c r="AF73" s="1">
        <v>2</v>
      </c>
      <c r="AG73" s="1">
        <v>1.2</v>
      </c>
      <c r="AH73" s="1">
        <v>9</v>
      </c>
      <c r="AI73" s="1">
        <v>12.8</v>
      </c>
      <c r="AJ73" s="1">
        <v>20</v>
      </c>
      <c r="AK73" s="1"/>
      <c r="AL73" s="1">
        <f t="shared" si="18"/>
        <v>0</v>
      </c>
    </row>
    <row r="74" spans="1:38" x14ac:dyDescent="0.25">
      <c r="A74" s="1" t="s">
        <v>116</v>
      </c>
      <c r="B74" s="1" t="s">
        <v>44</v>
      </c>
      <c r="C74" s="1"/>
      <c r="D74" s="1">
        <v>30</v>
      </c>
      <c r="E74" s="1">
        <v>30</v>
      </c>
      <c r="F74" s="1"/>
      <c r="G74" s="7">
        <v>0.37</v>
      </c>
      <c r="H74" s="1"/>
      <c r="I74" s="1" t="s">
        <v>40</v>
      </c>
      <c r="J74" s="1"/>
      <c r="K74" s="1">
        <v>30</v>
      </c>
      <c r="L74" s="1">
        <f t="shared" si="13"/>
        <v>0</v>
      </c>
      <c r="M74" s="1"/>
      <c r="N74" s="1"/>
      <c r="O74" s="1">
        <v>26.5</v>
      </c>
      <c r="P74" s="1">
        <v>0</v>
      </c>
      <c r="Q74" s="1"/>
      <c r="R74" s="1">
        <v>0</v>
      </c>
      <c r="S74" s="1"/>
      <c r="T74" s="1">
        <f t="shared" si="14"/>
        <v>6</v>
      </c>
      <c r="U74" s="5">
        <f>10*T74-S74-R74-Q74-P74-O74-F74</f>
        <v>33.5</v>
      </c>
      <c r="V74" s="5">
        <f t="shared" si="16"/>
        <v>33.5</v>
      </c>
      <c r="W74" s="18"/>
      <c r="X74" s="18"/>
      <c r="Y74" s="1">
        <f t="shared" si="17"/>
        <v>10</v>
      </c>
      <c r="Z74" s="1">
        <f t="shared" si="15"/>
        <v>4.416666666666667</v>
      </c>
      <c r="AA74" s="1">
        <v>0.4</v>
      </c>
      <c r="AB74" s="1">
        <v>0.8</v>
      </c>
      <c r="AC74" s="1">
        <v>3.2</v>
      </c>
      <c r="AD74" s="1">
        <v>3.8</v>
      </c>
      <c r="AE74" s="1">
        <v>2.8</v>
      </c>
      <c r="AF74" s="1">
        <v>1.8</v>
      </c>
      <c r="AG74" s="1">
        <v>0.2</v>
      </c>
      <c r="AH74" s="1">
        <v>0.2</v>
      </c>
      <c r="AI74" s="1">
        <v>0.4</v>
      </c>
      <c r="AJ74" s="1">
        <v>1.8</v>
      </c>
      <c r="AK74" s="1"/>
      <c r="AL74" s="1">
        <f t="shared" si="18"/>
        <v>12</v>
      </c>
    </row>
    <row r="75" spans="1:38" x14ac:dyDescent="0.25">
      <c r="A75" s="1" t="s">
        <v>117</v>
      </c>
      <c r="B75" s="1" t="s">
        <v>44</v>
      </c>
      <c r="C75" s="1">
        <v>-21.2</v>
      </c>
      <c r="D75" s="1">
        <v>56</v>
      </c>
      <c r="E75" s="1">
        <v>2</v>
      </c>
      <c r="F75" s="1">
        <v>32.799999999999997</v>
      </c>
      <c r="G75" s="7">
        <v>0.6</v>
      </c>
      <c r="H75" s="1">
        <v>70</v>
      </c>
      <c r="I75" s="1" t="s">
        <v>40</v>
      </c>
      <c r="J75" s="1"/>
      <c r="K75" s="1">
        <v>2</v>
      </c>
      <c r="L75" s="1">
        <f t="shared" si="13"/>
        <v>0</v>
      </c>
      <c r="M75" s="1"/>
      <c r="N75" s="1"/>
      <c r="O75" s="1">
        <v>0</v>
      </c>
      <c r="P75" s="1">
        <v>39.200000000000003</v>
      </c>
      <c r="Q75" s="1"/>
      <c r="R75" s="1">
        <v>0</v>
      </c>
      <c r="S75" s="1"/>
      <c r="T75" s="1">
        <f t="shared" si="14"/>
        <v>0.4</v>
      </c>
      <c r="U75" s="5"/>
      <c r="V75" s="5">
        <f t="shared" si="16"/>
        <v>0</v>
      </c>
      <c r="W75" s="18"/>
      <c r="X75" s="18"/>
      <c r="Y75" s="1">
        <f t="shared" si="17"/>
        <v>180</v>
      </c>
      <c r="Z75" s="1">
        <f t="shared" si="15"/>
        <v>180</v>
      </c>
      <c r="AA75" s="1">
        <v>0</v>
      </c>
      <c r="AB75" s="1">
        <v>6.8</v>
      </c>
      <c r="AC75" s="1">
        <v>9.1999999999999993</v>
      </c>
      <c r="AD75" s="1">
        <v>2.8</v>
      </c>
      <c r="AE75" s="1">
        <v>2</v>
      </c>
      <c r="AF75" s="1">
        <v>1.6</v>
      </c>
      <c r="AG75" s="1">
        <v>0.6</v>
      </c>
      <c r="AH75" s="1">
        <v>2</v>
      </c>
      <c r="AI75" s="1">
        <v>6.6</v>
      </c>
      <c r="AJ75" s="1">
        <v>21.8</v>
      </c>
      <c r="AK75" s="1" t="s">
        <v>118</v>
      </c>
      <c r="AL75" s="1">
        <f t="shared" si="18"/>
        <v>0</v>
      </c>
    </row>
    <row r="76" spans="1:38" x14ac:dyDescent="0.25">
      <c r="A76" s="1" t="s">
        <v>119</v>
      </c>
      <c r="B76" s="1" t="s">
        <v>44</v>
      </c>
      <c r="C76" s="1">
        <v>23</v>
      </c>
      <c r="D76" s="1">
        <v>66</v>
      </c>
      <c r="E76" s="1">
        <v>25</v>
      </c>
      <c r="F76" s="1">
        <v>61</v>
      </c>
      <c r="G76" s="7">
        <v>0.33</v>
      </c>
      <c r="H76" s="1">
        <v>40</v>
      </c>
      <c r="I76" s="1" t="s">
        <v>40</v>
      </c>
      <c r="J76" s="1"/>
      <c r="K76" s="1">
        <v>26</v>
      </c>
      <c r="L76" s="1">
        <f t="shared" si="13"/>
        <v>-1</v>
      </c>
      <c r="M76" s="1"/>
      <c r="N76" s="1"/>
      <c r="O76" s="1">
        <v>131.0816593886463</v>
      </c>
      <c r="P76" s="1">
        <v>0</v>
      </c>
      <c r="Q76" s="1"/>
      <c r="R76" s="1">
        <v>0</v>
      </c>
      <c r="S76" s="1"/>
      <c r="T76" s="1">
        <f t="shared" si="14"/>
        <v>5</v>
      </c>
      <c r="U76" s="5"/>
      <c r="V76" s="5">
        <f t="shared" si="16"/>
        <v>0</v>
      </c>
      <c r="W76" s="18"/>
      <c r="X76" s="18"/>
      <c r="Y76" s="1">
        <f t="shared" si="17"/>
        <v>38.416331877729263</v>
      </c>
      <c r="Z76" s="1">
        <f t="shared" si="15"/>
        <v>38.416331877729263</v>
      </c>
      <c r="AA76" s="1">
        <v>9.6</v>
      </c>
      <c r="AB76" s="1">
        <v>13.8</v>
      </c>
      <c r="AC76" s="1">
        <v>19.600000000000001</v>
      </c>
      <c r="AD76" s="1">
        <v>16</v>
      </c>
      <c r="AE76" s="1">
        <v>8</v>
      </c>
      <c r="AF76" s="1">
        <v>11</v>
      </c>
      <c r="AG76" s="1">
        <v>10.199999999999999</v>
      </c>
      <c r="AH76" s="1">
        <v>3.4</v>
      </c>
      <c r="AI76" s="1">
        <v>0.2</v>
      </c>
      <c r="AJ76" s="1">
        <v>1.6</v>
      </c>
      <c r="AK76" s="1"/>
      <c r="AL76" s="1">
        <f t="shared" si="18"/>
        <v>0</v>
      </c>
    </row>
    <row r="77" spans="1:38" x14ac:dyDescent="0.25">
      <c r="A77" s="1" t="s">
        <v>120</v>
      </c>
      <c r="B77" s="1" t="s">
        <v>44</v>
      </c>
      <c r="C77" s="1">
        <v>12</v>
      </c>
      <c r="D77" s="1">
        <v>57</v>
      </c>
      <c r="E77" s="1">
        <v>66</v>
      </c>
      <c r="F77" s="1"/>
      <c r="G77" s="7">
        <v>0.4</v>
      </c>
      <c r="H77" s="1">
        <v>55</v>
      </c>
      <c r="I77" s="1" t="s">
        <v>40</v>
      </c>
      <c r="J77" s="1"/>
      <c r="K77" s="1">
        <v>76</v>
      </c>
      <c r="L77" s="1">
        <f t="shared" si="13"/>
        <v>-10</v>
      </c>
      <c r="M77" s="1"/>
      <c r="N77" s="1"/>
      <c r="O77" s="1">
        <v>10</v>
      </c>
      <c r="P77" s="1">
        <v>0</v>
      </c>
      <c r="Q77" s="1"/>
      <c r="R77" s="1">
        <v>35</v>
      </c>
      <c r="S77" s="1"/>
      <c r="T77" s="1">
        <f t="shared" si="14"/>
        <v>13.2</v>
      </c>
      <c r="U77" s="5">
        <f>9*T77-S77-R77-Q77-P77-O77-F77</f>
        <v>73.8</v>
      </c>
      <c r="V77" s="5">
        <f t="shared" si="16"/>
        <v>73.8</v>
      </c>
      <c r="W77" s="18"/>
      <c r="X77" s="18"/>
      <c r="Y77" s="1">
        <f t="shared" si="17"/>
        <v>9</v>
      </c>
      <c r="Z77" s="1">
        <f t="shared" si="15"/>
        <v>3.4090909090909092</v>
      </c>
      <c r="AA77" s="1">
        <v>4.8</v>
      </c>
      <c r="AB77" s="1">
        <v>3.6</v>
      </c>
      <c r="AC77" s="1">
        <v>5.8</v>
      </c>
      <c r="AD77" s="1">
        <v>6.8</v>
      </c>
      <c r="AE77" s="1">
        <v>7</v>
      </c>
      <c r="AF77" s="1">
        <v>5.8</v>
      </c>
      <c r="AG77" s="1">
        <v>5.2</v>
      </c>
      <c r="AH77" s="1">
        <v>5.8</v>
      </c>
      <c r="AI77" s="1">
        <v>2.2000000000000002</v>
      </c>
      <c r="AJ77" s="1">
        <v>6</v>
      </c>
      <c r="AK77" s="1"/>
      <c r="AL77" s="1">
        <f t="shared" si="18"/>
        <v>30</v>
      </c>
    </row>
    <row r="78" spans="1:38" x14ac:dyDescent="0.25">
      <c r="A78" s="1" t="s">
        <v>121</v>
      </c>
      <c r="B78" s="1" t="s">
        <v>44</v>
      </c>
      <c r="C78" s="1">
        <v>9</v>
      </c>
      <c r="D78" s="1">
        <v>18</v>
      </c>
      <c r="E78" s="1">
        <v>6</v>
      </c>
      <c r="F78" s="1">
        <v>21</v>
      </c>
      <c r="G78" s="7">
        <v>0.35</v>
      </c>
      <c r="H78" s="1">
        <v>40</v>
      </c>
      <c r="I78" s="1" t="s">
        <v>40</v>
      </c>
      <c r="J78" s="1"/>
      <c r="K78" s="1">
        <v>6</v>
      </c>
      <c r="L78" s="1">
        <f t="shared" si="13"/>
        <v>0</v>
      </c>
      <c r="M78" s="1"/>
      <c r="N78" s="1"/>
      <c r="O78" s="1">
        <v>35</v>
      </c>
      <c r="P78" s="1">
        <v>0</v>
      </c>
      <c r="Q78" s="1"/>
      <c r="R78" s="1">
        <v>0</v>
      </c>
      <c r="S78" s="1"/>
      <c r="T78" s="1">
        <f t="shared" si="14"/>
        <v>1.2</v>
      </c>
      <c r="U78" s="5"/>
      <c r="V78" s="5">
        <f t="shared" si="16"/>
        <v>0</v>
      </c>
      <c r="W78" s="18"/>
      <c r="X78" s="18"/>
      <c r="Y78" s="1">
        <f t="shared" si="17"/>
        <v>46.666666666666671</v>
      </c>
      <c r="Z78" s="1">
        <f t="shared" si="15"/>
        <v>46.666666666666671</v>
      </c>
      <c r="AA78" s="1">
        <v>1.4</v>
      </c>
      <c r="AB78" s="1">
        <v>3</v>
      </c>
      <c r="AC78" s="1">
        <v>5</v>
      </c>
      <c r="AD78" s="1">
        <v>4.8</v>
      </c>
      <c r="AE78" s="1">
        <v>3.4</v>
      </c>
      <c r="AF78" s="1">
        <v>2.4</v>
      </c>
      <c r="AG78" s="1">
        <v>1</v>
      </c>
      <c r="AH78" s="1">
        <v>2.4</v>
      </c>
      <c r="AI78" s="1">
        <v>3.2</v>
      </c>
      <c r="AJ78" s="1">
        <v>2</v>
      </c>
      <c r="AK78" s="15" t="s">
        <v>178</v>
      </c>
      <c r="AL78" s="1">
        <f t="shared" si="18"/>
        <v>0</v>
      </c>
    </row>
    <row r="79" spans="1:38" x14ac:dyDescent="0.25">
      <c r="A79" s="1" t="s">
        <v>122</v>
      </c>
      <c r="B79" s="1" t="s">
        <v>44</v>
      </c>
      <c r="C79" s="1">
        <v>11</v>
      </c>
      <c r="D79" s="1">
        <v>36</v>
      </c>
      <c r="E79" s="1">
        <v>4</v>
      </c>
      <c r="F79" s="1">
        <v>43</v>
      </c>
      <c r="G79" s="7">
        <v>0.35</v>
      </c>
      <c r="H79" s="1">
        <v>45</v>
      </c>
      <c r="I79" s="1" t="s">
        <v>40</v>
      </c>
      <c r="J79" s="1"/>
      <c r="K79" s="1">
        <v>4</v>
      </c>
      <c r="L79" s="1">
        <f t="shared" si="13"/>
        <v>0</v>
      </c>
      <c r="M79" s="1"/>
      <c r="N79" s="1"/>
      <c r="O79" s="1">
        <v>32.299999999999997</v>
      </c>
      <c r="P79" s="1">
        <v>0</v>
      </c>
      <c r="Q79" s="1"/>
      <c r="R79" s="1">
        <v>0</v>
      </c>
      <c r="S79" s="1"/>
      <c r="T79" s="1">
        <f t="shared" si="14"/>
        <v>0.8</v>
      </c>
      <c r="U79" s="5"/>
      <c r="V79" s="5">
        <f t="shared" si="16"/>
        <v>0</v>
      </c>
      <c r="W79" s="18"/>
      <c r="X79" s="18"/>
      <c r="Y79" s="1">
        <f t="shared" si="17"/>
        <v>94.124999999999986</v>
      </c>
      <c r="Z79" s="1">
        <f t="shared" si="15"/>
        <v>94.124999999999986</v>
      </c>
      <c r="AA79" s="1">
        <v>0.6</v>
      </c>
      <c r="AB79" s="1">
        <v>0.2</v>
      </c>
      <c r="AC79" s="1">
        <v>1.6</v>
      </c>
      <c r="AD79" s="1">
        <v>5.8</v>
      </c>
      <c r="AE79" s="1">
        <v>5</v>
      </c>
      <c r="AF79" s="1">
        <v>1.2</v>
      </c>
      <c r="AG79" s="1">
        <v>1.4</v>
      </c>
      <c r="AH79" s="1">
        <v>2.8</v>
      </c>
      <c r="AI79" s="1">
        <v>2.6</v>
      </c>
      <c r="AJ79" s="1">
        <v>6.6</v>
      </c>
      <c r="AK79" s="16" t="s">
        <v>123</v>
      </c>
      <c r="AL79" s="1">
        <f t="shared" si="18"/>
        <v>0</v>
      </c>
    </row>
    <row r="80" spans="1:38" x14ac:dyDescent="0.25">
      <c r="A80" s="10" t="s">
        <v>124</v>
      </c>
      <c r="B80" s="10" t="s">
        <v>44</v>
      </c>
      <c r="C80" s="10"/>
      <c r="D80" s="10"/>
      <c r="E80" s="10"/>
      <c r="F80" s="10"/>
      <c r="G80" s="11">
        <v>0</v>
      </c>
      <c r="H80" s="10"/>
      <c r="I80" s="10" t="s">
        <v>40</v>
      </c>
      <c r="J80" s="10"/>
      <c r="K80" s="10"/>
      <c r="L80" s="10">
        <f t="shared" si="13"/>
        <v>0</v>
      </c>
      <c r="M80" s="10"/>
      <c r="N80" s="10"/>
      <c r="O80" s="10">
        <v>0</v>
      </c>
      <c r="P80" s="10">
        <v>0</v>
      </c>
      <c r="Q80" s="10"/>
      <c r="R80" s="10">
        <v>0</v>
      </c>
      <c r="S80" s="10"/>
      <c r="T80" s="10">
        <f t="shared" si="14"/>
        <v>0</v>
      </c>
      <c r="U80" s="12"/>
      <c r="V80" s="5">
        <f t="shared" si="16"/>
        <v>0</v>
      </c>
      <c r="W80" s="18"/>
      <c r="X80" s="18"/>
      <c r="Y80" s="1" t="e">
        <f t="shared" si="17"/>
        <v>#DIV/0!</v>
      </c>
      <c r="Z80" s="10" t="e">
        <f t="shared" si="15"/>
        <v>#DIV/0!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 t="s">
        <v>45</v>
      </c>
      <c r="AL80" s="1">
        <f t="shared" si="18"/>
        <v>0</v>
      </c>
    </row>
    <row r="81" spans="1:38" x14ac:dyDescent="0.25">
      <c r="A81" s="10" t="s">
        <v>125</v>
      </c>
      <c r="B81" s="10" t="s">
        <v>39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13"/>
        <v>0</v>
      </c>
      <c r="M81" s="10"/>
      <c r="N81" s="10"/>
      <c r="O81" s="10">
        <v>0</v>
      </c>
      <c r="P81" s="10">
        <v>0</v>
      </c>
      <c r="Q81" s="10"/>
      <c r="R81" s="10">
        <v>0</v>
      </c>
      <c r="S81" s="10"/>
      <c r="T81" s="10">
        <f t="shared" si="14"/>
        <v>0</v>
      </c>
      <c r="U81" s="12"/>
      <c r="V81" s="5">
        <f t="shared" si="16"/>
        <v>0</v>
      </c>
      <c r="W81" s="18"/>
      <c r="X81" s="18"/>
      <c r="Y81" s="1" t="e">
        <f t="shared" si="17"/>
        <v>#DIV/0!</v>
      </c>
      <c r="Z81" s="10" t="e">
        <f t="shared" si="15"/>
        <v>#DIV/0!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 t="s">
        <v>45</v>
      </c>
      <c r="AL81" s="1">
        <f t="shared" si="18"/>
        <v>0</v>
      </c>
    </row>
    <row r="82" spans="1:38" x14ac:dyDescent="0.25">
      <c r="A82" s="10" t="s">
        <v>126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13"/>
        <v>0</v>
      </c>
      <c r="M82" s="10"/>
      <c r="N82" s="10"/>
      <c r="O82" s="10">
        <v>0</v>
      </c>
      <c r="P82" s="10">
        <v>0</v>
      </c>
      <c r="Q82" s="10"/>
      <c r="R82" s="10">
        <v>0</v>
      </c>
      <c r="S82" s="10"/>
      <c r="T82" s="10">
        <f t="shared" si="14"/>
        <v>0</v>
      </c>
      <c r="U82" s="12"/>
      <c r="V82" s="5">
        <f t="shared" si="16"/>
        <v>0</v>
      </c>
      <c r="W82" s="18"/>
      <c r="X82" s="18"/>
      <c r="Y82" s="1" t="e">
        <f t="shared" si="17"/>
        <v>#DIV/0!</v>
      </c>
      <c r="Z82" s="10" t="e">
        <f t="shared" si="15"/>
        <v>#DIV/0!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 t="s">
        <v>45</v>
      </c>
      <c r="AL82" s="1">
        <f t="shared" si="18"/>
        <v>0</v>
      </c>
    </row>
    <row r="83" spans="1:38" x14ac:dyDescent="0.25">
      <c r="A83" s="1" t="s">
        <v>127</v>
      </c>
      <c r="B83" s="1" t="s">
        <v>39</v>
      </c>
      <c r="C83" s="1">
        <v>131.77799999999999</v>
      </c>
      <c r="D83" s="1">
        <v>22.050999999999998</v>
      </c>
      <c r="E83" s="1">
        <v>95.125</v>
      </c>
      <c r="F83" s="1">
        <v>51.902999999999999</v>
      </c>
      <c r="G83" s="7">
        <v>1</v>
      </c>
      <c r="H83" s="1">
        <v>60</v>
      </c>
      <c r="I83" s="1" t="s">
        <v>40</v>
      </c>
      <c r="J83" s="1"/>
      <c r="K83" s="1">
        <v>107.3</v>
      </c>
      <c r="L83" s="1">
        <f t="shared" si="13"/>
        <v>-12.174999999999997</v>
      </c>
      <c r="M83" s="1"/>
      <c r="N83" s="1"/>
      <c r="O83" s="1">
        <v>0</v>
      </c>
      <c r="P83" s="1">
        <v>88.469799999999992</v>
      </c>
      <c r="Q83" s="1"/>
      <c r="R83" s="1">
        <v>12.505199999999959</v>
      </c>
      <c r="S83" s="1"/>
      <c r="T83" s="1">
        <f t="shared" si="14"/>
        <v>19.024999999999999</v>
      </c>
      <c r="U83" s="5">
        <f>11*T83-S83-R83-Q83-P83-O83-F83</f>
        <v>56.397000000000041</v>
      </c>
      <c r="V83" s="5">
        <f t="shared" si="16"/>
        <v>56.397000000000041</v>
      </c>
      <c r="W83" s="18"/>
      <c r="X83" s="18"/>
      <c r="Y83" s="1">
        <f t="shared" si="17"/>
        <v>11</v>
      </c>
      <c r="Z83" s="1">
        <f t="shared" si="15"/>
        <v>8.0356373193166846</v>
      </c>
      <c r="AA83" s="1">
        <v>15.313599999999999</v>
      </c>
      <c r="AB83" s="1">
        <v>21.207999999999998</v>
      </c>
      <c r="AC83" s="1">
        <v>14.9026</v>
      </c>
      <c r="AD83" s="1">
        <v>9.1622000000000003</v>
      </c>
      <c r="AE83" s="1">
        <v>10.857799999999999</v>
      </c>
      <c r="AF83" s="1">
        <v>10.361599999999999</v>
      </c>
      <c r="AG83" s="1">
        <v>8.0372000000000003</v>
      </c>
      <c r="AH83" s="1">
        <v>7.5448000000000004</v>
      </c>
      <c r="AI83" s="1">
        <v>9.0503999999999998</v>
      </c>
      <c r="AJ83" s="1">
        <v>31.274799999999999</v>
      </c>
      <c r="AK83" s="1"/>
      <c r="AL83" s="1">
        <f t="shared" si="18"/>
        <v>56</v>
      </c>
    </row>
    <row r="84" spans="1:38" x14ac:dyDescent="0.25">
      <c r="A84" s="10" t="s">
        <v>128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3"/>
        <v>0</v>
      </c>
      <c r="M84" s="10"/>
      <c r="N84" s="10"/>
      <c r="O84" s="10">
        <v>0</v>
      </c>
      <c r="P84" s="10">
        <v>0</v>
      </c>
      <c r="Q84" s="10"/>
      <c r="R84" s="10">
        <v>0</v>
      </c>
      <c r="S84" s="10"/>
      <c r="T84" s="10">
        <f t="shared" si="14"/>
        <v>0</v>
      </c>
      <c r="U84" s="12"/>
      <c r="V84" s="5">
        <f t="shared" si="16"/>
        <v>0</v>
      </c>
      <c r="W84" s="18"/>
      <c r="X84" s="18"/>
      <c r="Y84" s="1" t="e">
        <f t="shared" si="17"/>
        <v>#DIV/0!</v>
      </c>
      <c r="Z84" s="10" t="e">
        <f t="shared" si="15"/>
        <v>#DIV/0!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 t="s">
        <v>45</v>
      </c>
      <c r="AL84" s="1">
        <f t="shared" si="18"/>
        <v>0</v>
      </c>
    </row>
    <row r="85" spans="1:38" x14ac:dyDescent="0.25">
      <c r="A85" s="1" t="s">
        <v>129</v>
      </c>
      <c r="B85" s="1" t="s">
        <v>39</v>
      </c>
      <c r="C85" s="1">
        <v>1822.606</v>
      </c>
      <c r="D85" s="1">
        <v>877.72</v>
      </c>
      <c r="E85" s="1">
        <v>1240.923</v>
      </c>
      <c r="F85" s="1">
        <v>1418.6179999999999</v>
      </c>
      <c r="G85" s="7">
        <v>1</v>
      </c>
      <c r="H85" s="1">
        <v>60</v>
      </c>
      <c r="I85" s="1" t="s">
        <v>40</v>
      </c>
      <c r="J85" s="1"/>
      <c r="K85" s="1">
        <v>1225.3</v>
      </c>
      <c r="L85" s="1">
        <f t="shared" si="13"/>
        <v>15.623000000000047</v>
      </c>
      <c r="M85" s="1"/>
      <c r="N85" s="1"/>
      <c r="O85" s="1">
        <v>0</v>
      </c>
      <c r="P85" s="1">
        <v>634.49695999999994</v>
      </c>
      <c r="Q85" s="1"/>
      <c r="R85" s="1">
        <v>11.40275060072463</v>
      </c>
      <c r="S85" s="1"/>
      <c r="T85" s="1">
        <f t="shared" si="14"/>
        <v>248.18459999999999</v>
      </c>
      <c r="U85" s="5">
        <f t="shared" ref="U85:U87" si="19">11*T85-S85-R85-Q85-P85-O85-F85</f>
        <v>665.51288939927554</v>
      </c>
      <c r="V85" s="5">
        <f>U85+T85*$V$1</f>
        <v>913.69748939927558</v>
      </c>
      <c r="W85" s="18"/>
      <c r="X85" s="18"/>
      <c r="Y85" s="1">
        <f t="shared" si="17"/>
        <v>12.000000000000002</v>
      </c>
      <c r="Z85" s="1">
        <f t="shared" si="15"/>
        <v>8.3184762898291211</v>
      </c>
      <c r="AA85" s="1">
        <v>209.85560000000001</v>
      </c>
      <c r="AB85" s="1">
        <v>243.54040000000001</v>
      </c>
      <c r="AC85" s="1">
        <v>256.60939999999999</v>
      </c>
      <c r="AD85" s="1">
        <v>210.52940000000001</v>
      </c>
      <c r="AE85" s="1">
        <v>311.39260000000002</v>
      </c>
      <c r="AF85" s="1">
        <v>297.57479999999998</v>
      </c>
      <c r="AG85" s="1">
        <v>91.319400000000002</v>
      </c>
      <c r="AH85" s="1">
        <v>153.9624</v>
      </c>
      <c r="AI85" s="1">
        <v>276.22120000000001</v>
      </c>
      <c r="AJ85" s="1">
        <v>278.00040000000001</v>
      </c>
      <c r="AK85" s="1"/>
      <c r="AL85" s="1">
        <f t="shared" si="18"/>
        <v>914</v>
      </c>
    </row>
    <row r="86" spans="1:38" x14ac:dyDescent="0.25">
      <c r="A86" s="1" t="s">
        <v>130</v>
      </c>
      <c r="B86" s="1" t="s">
        <v>39</v>
      </c>
      <c r="C86" s="1">
        <v>56.603999999999999</v>
      </c>
      <c r="D86" s="1">
        <v>1135.136</v>
      </c>
      <c r="E86" s="1">
        <v>238.88900000000001</v>
      </c>
      <c r="F86" s="1">
        <v>934.38300000000004</v>
      </c>
      <c r="G86" s="7">
        <v>1</v>
      </c>
      <c r="H86" s="1">
        <v>60</v>
      </c>
      <c r="I86" s="1" t="s">
        <v>40</v>
      </c>
      <c r="J86" s="1"/>
      <c r="K86" s="1">
        <v>252.5</v>
      </c>
      <c r="L86" s="1">
        <f t="shared" si="13"/>
        <v>-13.61099999999999</v>
      </c>
      <c r="M86" s="1"/>
      <c r="N86" s="1"/>
      <c r="O86" s="1">
        <v>1632.0116</v>
      </c>
      <c r="P86" s="1">
        <v>0</v>
      </c>
      <c r="Q86" s="1"/>
      <c r="R86" s="1">
        <v>0</v>
      </c>
      <c r="S86" s="1"/>
      <c r="T86" s="1">
        <f t="shared" si="14"/>
        <v>47.777799999999999</v>
      </c>
      <c r="U86" s="5"/>
      <c r="V86" s="5">
        <f t="shared" si="16"/>
        <v>0</v>
      </c>
      <c r="W86" s="18"/>
      <c r="X86" s="18"/>
      <c r="Y86" s="1">
        <f t="shared" si="17"/>
        <v>53.715210830134502</v>
      </c>
      <c r="Z86" s="1">
        <f t="shared" si="15"/>
        <v>53.715210830134502</v>
      </c>
      <c r="AA86" s="1">
        <v>86.030200000000008</v>
      </c>
      <c r="AB86" s="1">
        <v>137.4768</v>
      </c>
      <c r="AC86" s="1">
        <v>280.59739999999999</v>
      </c>
      <c r="AD86" s="1">
        <v>261.94040000000001</v>
      </c>
      <c r="AE86" s="1">
        <v>125.18340000000001</v>
      </c>
      <c r="AF86" s="1">
        <v>122.414</v>
      </c>
      <c r="AG86" s="1">
        <v>130.29400000000001</v>
      </c>
      <c r="AH86" s="1">
        <v>144.5746</v>
      </c>
      <c r="AI86" s="1">
        <v>208.70779999999999</v>
      </c>
      <c r="AJ86" s="1">
        <v>294.3168</v>
      </c>
      <c r="AK86" s="17" t="s">
        <v>177</v>
      </c>
      <c r="AL86" s="1">
        <f t="shared" si="18"/>
        <v>0</v>
      </c>
    </row>
    <row r="87" spans="1:38" x14ac:dyDescent="0.25">
      <c r="A87" s="1" t="s">
        <v>131</v>
      </c>
      <c r="B87" s="1" t="s">
        <v>39</v>
      </c>
      <c r="C87" s="1">
        <v>1102.5340000000001</v>
      </c>
      <c r="D87" s="1">
        <v>1224.915</v>
      </c>
      <c r="E87" s="1">
        <v>1306.671</v>
      </c>
      <c r="F87" s="1">
        <v>980.36199999999997</v>
      </c>
      <c r="G87" s="7">
        <v>1</v>
      </c>
      <c r="H87" s="1">
        <v>60</v>
      </c>
      <c r="I87" s="1" t="s">
        <v>40</v>
      </c>
      <c r="J87" s="1"/>
      <c r="K87" s="1">
        <v>1290</v>
      </c>
      <c r="L87" s="1">
        <f t="shared" si="13"/>
        <v>16.671000000000049</v>
      </c>
      <c r="M87" s="1"/>
      <c r="N87" s="1"/>
      <c r="O87" s="1">
        <v>0</v>
      </c>
      <c r="P87" s="1">
        <v>1545.3247799999999</v>
      </c>
      <c r="Q87" s="1"/>
      <c r="R87" s="1">
        <v>0</v>
      </c>
      <c r="S87" s="1">
        <v>330</v>
      </c>
      <c r="T87" s="1">
        <f t="shared" si="14"/>
        <v>261.33420000000001</v>
      </c>
      <c r="U87" s="5">
        <f t="shared" si="19"/>
        <v>18.989419999999996</v>
      </c>
      <c r="V87" s="5">
        <f>U87+T87*$V$1</f>
        <v>280.32362000000001</v>
      </c>
      <c r="W87" s="18"/>
      <c r="X87" s="18"/>
      <c r="Y87" s="1">
        <f t="shared" si="17"/>
        <v>12</v>
      </c>
      <c r="Z87" s="1">
        <f t="shared" si="15"/>
        <v>10.92733664403664</v>
      </c>
      <c r="AA87" s="1">
        <v>266.60640000000001</v>
      </c>
      <c r="AB87" s="1">
        <v>286.73039999999997</v>
      </c>
      <c r="AC87" s="1">
        <v>271.2038</v>
      </c>
      <c r="AD87" s="1">
        <v>240.87</v>
      </c>
      <c r="AE87" s="1">
        <v>261.24200000000002</v>
      </c>
      <c r="AF87" s="1">
        <v>233.1662</v>
      </c>
      <c r="AG87" s="1">
        <v>201.67420000000001</v>
      </c>
      <c r="AH87" s="1">
        <v>259.97320000000002</v>
      </c>
      <c r="AI87" s="1">
        <v>265.08339999999998</v>
      </c>
      <c r="AJ87" s="1">
        <v>161.8836</v>
      </c>
      <c r="AK87" s="1" t="s">
        <v>132</v>
      </c>
      <c r="AL87" s="1">
        <f t="shared" si="18"/>
        <v>280</v>
      </c>
    </row>
    <row r="88" spans="1:38" x14ac:dyDescent="0.25">
      <c r="A88" s="10" t="s">
        <v>133</v>
      </c>
      <c r="B88" s="10" t="s">
        <v>39</v>
      </c>
      <c r="C88" s="10"/>
      <c r="D88" s="10"/>
      <c r="E88" s="10"/>
      <c r="F88" s="10"/>
      <c r="G88" s="11">
        <v>0</v>
      </c>
      <c r="H88" s="10"/>
      <c r="I88" s="10" t="s">
        <v>40</v>
      </c>
      <c r="J88" s="10"/>
      <c r="K88" s="10"/>
      <c r="L88" s="10">
        <f t="shared" si="13"/>
        <v>0</v>
      </c>
      <c r="M88" s="10"/>
      <c r="N88" s="10"/>
      <c r="O88" s="10">
        <v>0</v>
      </c>
      <c r="P88" s="10">
        <v>0</v>
      </c>
      <c r="Q88" s="10"/>
      <c r="R88" s="10">
        <v>0</v>
      </c>
      <c r="S88" s="10"/>
      <c r="T88" s="10">
        <f t="shared" si="14"/>
        <v>0</v>
      </c>
      <c r="U88" s="12"/>
      <c r="V88" s="5">
        <f t="shared" si="16"/>
        <v>0</v>
      </c>
      <c r="W88" s="18"/>
      <c r="X88" s="18"/>
      <c r="Y88" s="1" t="e">
        <f t="shared" si="17"/>
        <v>#DIV/0!</v>
      </c>
      <c r="Z88" s="10" t="e">
        <f t="shared" si="15"/>
        <v>#DIV/0!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 t="s">
        <v>45</v>
      </c>
      <c r="AL88" s="1">
        <f t="shared" si="18"/>
        <v>0</v>
      </c>
    </row>
    <row r="89" spans="1:38" x14ac:dyDescent="0.25">
      <c r="A89" s="1" t="s">
        <v>134</v>
      </c>
      <c r="B89" s="1" t="s">
        <v>44</v>
      </c>
      <c r="C89" s="1">
        <v>75</v>
      </c>
      <c r="D89" s="1">
        <v>55</v>
      </c>
      <c r="E89" s="1">
        <v>94</v>
      </c>
      <c r="F89" s="1">
        <v>30</v>
      </c>
      <c r="G89" s="7">
        <v>0.3</v>
      </c>
      <c r="H89" s="1">
        <v>40</v>
      </c>
      <c r="I89" s="1" t="s">
        <v>40</v>
      </c>
      <c r="J89" s="1"/>
      <c r="K89" s="1">
        <v>103</v>
      </c>
      <c r="L89" s="1">
        <f t="shared" si="13"/>
        <v>-9</v>
      </c>
      <c r="M89" s="1"/>
      <c r="N89" s="1"/>
      <c r="O89" s="1">
        <v>0</v>
      </c>
      <c r="P89" s="1">
        <v>110</v>
      </c>
      <c r="Q89" s="1"/>
      <c r="R89" s="1">
        <v>81.544000000000025</v>
      </c>
      <c r="S89" s="1"/>
      <c r="T89" s="1">
        <f t="shared" si="14"/>
        <v>18.8</v>
      </c>
      <c r="U89" s="5"/>
      <c r="V89" s="5">
        <f t="shared" si="16"/>
        <v>0</v>
      </c>
      <c r="W89" s="18"/>
      <c r="X89" s="18"/>
      <c r="Y89" s="1">
        <f t="shared" si="17"/>
        <v>11.784255319148938</v>
      </c>
      <c r="Z89" s="1">
        <f t="shared" si="15"/>
        <v>11.784255319148938</v>
      </c>
      <c r="AA89" s="1">
        <v>21.8</v>
      </c>
      <c r="AB89" s="1">
        <v>10.199999999999999</v>
      </c>
      <c r="AC89" s="1">
        <v>2.4</v>
      </c>
      <c r="AD89" s="1">
        <v>-0.2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/>
      <c r="AL89" s="1">
        <f t="shared" si="18"/>
        <v>0</v>
      </c>
    </row>
    <row r="90" spans="1:38" x14ac:dyDescent="0.25">
      <c r="A90" s="10" t="s">
        <v>135</v>
      </c>
      <c r="B90" s="10" t="s">
        <v>44</v>
      </c>
      <c r="C90" s="10"/>
      <c r="D90" s="10"/>
      <c r="E90" s="10"/>
      <c r="F90" s="10"/>
      <c r="G90" s="11">
        <v>0</v>
      </c>
      <c r="H90" s="10"/>
      <c r="I90" s="10" t="s">
        <v>51</v>
      </c>
      <c r="J90" s="10"/>
      <c r="K90" s="10"/>
      <c r="L90" s="10">
        <f t="shared" si="13"/>
        <v>0</v>
      </c>
      <c r="M90" s="10"/>
      <c r="N90" s="10"/>
      <c r="O90" s="10">
        <v>0</v>
      </c>
      <c r="P90" s="10">
        <v>0</v>
      </c>
      <c r="Q90" s="10"/>
      <c r="R90" s="10">
        <v>0</v>
      </c>
      <c r="S90" s="10"/>
      <c r="T90" s="10">
        <f t="shared" si="14"/>
        <v>0</v>
      </c>
      <c r="U90" s="12"/>
      <c r="V90" s="5">
        <f t="shared" si="16"/>
        <v>0</v>
      </c>
      <c r="W90" s="18"/>
      <c r="X90" s="18"/>
      <c r="Y90" s="1" t="e">
        <f t="shared" si="17"/>
        <v>#DIV/0!</v>
      </c>
      <c r="Z90" s="10" t="e">
        <f t="shared" si="15"/>
        <v>#DIV/0!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 t="s">
        <v>45</v>
      </c>
      <c r="AL90" s="1">
        <f t="shared" si="18"/>
        <v>0</v>
      </c>
    </row>
    <row r="91" spans="1:38" x14ac:dyDescent="0.25">
      <c r="A91" s="1" t="s">
        <v>136</v>
      </c>
      <c r="B91" s="1" t="s">
        <v>44</v>
      </c>
      <c r="C91" s="1">
        <v>92</v>
      </c>
      <c r="D91" s="1">
        <v>118</v>
      </c>
      <c r="E91" s="1">
        <v>62</v>
      </c>
      <c r="F91" s="1">
        <v>147</v>
      </c>
      <c r="G91" s="7">
        <v>7.0000000000000007E-2</v>
      </c>
      <c r="H91" s="1">
        <v>90</v>
      </c>
      <c r="I91" s="1" t="s">
        <v>40</v>
      </c>
      <c r="J91" s="1"/>
      <c r="K91" s="1">
        <v>63</v>
      </c>
      <c r="L91" s="1">
        <f t="shared" si="13"/>
        <v>-1</v>
      </c>
      <c r="M91" s="1"/>
      <c r="N91" s="1"/>
      <c r="O91" s="1">
        <v>0</v>
      </c>
      <c r="P91" s="1">
        <v>0</v>
      </c>
      <c r="Q91" s="1"/>
      <c r="R91" s="1">
        <v>0</v>
      </c>
      <c r="S91" s="1"/>
      <c r="T91" s="1">
        <f t="shared" si="14"/>
        <v>12.4</v>
      </c>
      <c r="U91" s="5"/>
      <c r="V91" s="5">
        <f t="shared" si="16"/>
        <v>0</v>
      </c>
      <c r="W91" s="18"/>
      <c r="X91" s="18"/>
      <c r="Y91" s="1">
        <f t="shared" si="17"/>
        <v>11.854838709677418</v>
      </c>
      <c r="Z91" s="1">
        <f t="shared" si="15"/>
        <v>11.854838709677418</v>
      </c>
      <c r="AA91" s="1">
        <v>4.4000000000000004</v>
      </c>
      <c r="AB91" s="1">
        <v>2.8</v>
      </c>
      <c r="AC91" s="1">
        <v>0</v>
      </c>
      <c r="AD91" s="1">
        <v>0</v>
      </c>
      <c r="AE91" s="1">
        <v>0</v>
      </c>
      <c r="AF91" s="1">
        <v>0</v>
      </c>
      <c r="AG91" s="1">
        <v>0.8</v>
      </c>
      <c r="AH91" s="1">
        <v>8.6</v>
      </c>
      <c r="AI91" s="1">
        <v>13.6</v>
      </c>
      <c r="AJ91" s="1">
        <v>5.8</v>
      </c>
      <c r="AK91" s="1"/>
      <c r="AL91" s="1">
        <f t="shared" si="18"/>
        <v>0</v>
      </c>
    </row>
    <row r="92" spans="1:38" x14ac:dyDescent="0.25">
      <c r="A92" s="1" t="s">
        <v>137</v>
      </c>
      <c r="B92" s="1" t="s">
        <v>44</v>
      </c>
      <c r="C92" s="1">
        <v>50</v>
      </c>
      <c r="D92" s="1">
        <v>100</v>
      </c>
      <c r="E92" s="1">
        <v>67</v>
      </c>
      <c r="F92" s="1">
        <v>83</v>
      </c>
      <c r="G92" s="7">
        <v>7.0000000000000007E-2</v>
      </c>
      <c r="H92" s="1">
        <v>90</v>
      </c>
      <c r="I92" s="1" t="s">
        <v>40</v>
      </c>
      <c r="J92" s="1"/>
      <c r="K92" s="1">
        <v>67</v>
      </c>
      <c r="L92" s="1">
        <f t="shared" si="13"/>
        <v>0</v>
      </c>
      <c r="M92" s="1"/>
      <c r="N92" s="1"/>
      <c r="O92" s="1">
        <v>0</v>
      </c>
      <c r="P92" s="1">
        <v>0</v>
      </c>
      <c r="Q92" s="1"/>
      <c r="R92" s="1">
        <v>0</v>
      </c>
      <c r="S92" s="1"/>
      <c r="T92" s="1">
        <f t="shared" si="14"/>
        <v>13.4</v>
      </c>
      <c r="U92" s="5">
        <f t="shared" ref="U92" si="20">11*T92-S92-R92-Q92-P92-O92-F92</f>
        <v>64.400000000000006</v>
      </c>
      <c r="V92" s="5">
        <f t="shared" si="16"/>
        <v>64.400000000000006</v>
      </c>
      <c r="W92" s="18"/>
      <c r="X92" s="18"/>
      <c r="Y92" s="1">
        <f t="shared" si="17"/>
        <v>11</v>
      </c>
      <c r="Z92" s="1">
        <f t="shared" si="15"/>
        <v>6.1940298507462686</v>
      </c>
      <c r="AA92" s="1">
        <v>4.5999999999999996</v>
      </c>
      <c r="AB92" s="1">
        <v>2.6</v>
      </c>
      <c r="AC92" s="1">
        <v>0</v>
      </c>
      <c r="AD92" s="1">
        <v>0</v>
      </c>
      <c r="AE92" s="1">
        <v>6.2</v>
      </c>
      <c r="AF92" s="1">
        <v>10.199999999999999</v>
      </c>
      <c r="AG92" s="1">
        <v>13</v>
      </c>
      <c r="AH92" s="1">
        <v>15.6</v>
      </c>
      <c r="AI92" s="1">
        <v>11.2</v>
      </c>
      <c r="AJ92" s="1">
        <v>5.8</v>
      </c>
      <c r="AK92" s="1"/>
      <c r="AL92" s="1">
        <f t="shared" si="18"/>
        <v>5</v>
      </c>
    </row>
    <row r="93" spans="1:38" x14ac:dyDescent="0.25">
      <c r="A93" s="1" t="s">
        <v>138</v>
      </c>
      <c r="B93" s="1" t="s">
        <v>44</v>
      </c>
      <c r="C93" s="1">
        <v>20</v>
      </c>
      <c r="D93" s="1">
        <v>172</v>
      </c>
      <c r="E93" s="1">
        <v>83</v>
      </c>
      <c r="F93" s="1">
        <v>107</v>
      </c>
      <c r="G93" s="7">
        <v>7.0000000000000007E-2</v>
      </c>
      <c r="H93" s="1">
        <v>90</v>
      </c>
      <c r="I93" s="1" t="s">
        <v>40</v>
      </c>
      <c r="J93" s="1"/>
      <c r="K93" s="1">
        <v>83</v>
      </c>
      <c r="L93" s="1">
        <f t="shared" si="13"/>
        <v>0</v>
      </c>
      <c r="M93" s="1"/>
      <c r="N93" s="1"/>
      <c r="O93" s="1">
        <v>78.399999999999977</v>
      </c>
      <c r="P93" s="1">
        <v>0</v>
      </c>
      <c r="Q93" s="1"/>
      <c r="R93" s="1">
        <v>0</v>
      </c>
      <c r="S93" s="1"/>
      <c r="T93" s="1">
        <f t="shared" si="14"/>
        <v>16.600000000000001</v>
      </c>
      <c r="U93" s="5"/>
      <c r="V93" s="5">
        <f t="shared" si="16"/>
        <v>0</v>
      </c>
      <c r="W93" s="18"/>
      <c r="X93" s="18"/>
      <c r="Y93" s="1">
        <f t="shared" si="17"/>
        <v>11.168674698795179</v>
      </c>
      <c r="Z93" s="1">
        <f t="shared" si="15"/>
        <v>11.168674698795179</v>
      </c>
      <c r="AA93" s="1">
        <v>13.2</v>
      </c>
      <c r="AB93" s="1">
        <v>13.8</v>
      </c>
      <c r="AC93" s="1">
        <v>16.600000000000001</v>
      </c>
      <c r="AD93" s="1">
        <v>15.2</v>
      </c>
      <c r="AE93" s="1">
        <v>13.4</v>
      </c>
      <c r="AF93" s="1">
        <v>11</v>
      </c>
      <c r="AG93" s="1">
        <v>8.1999999999999993</v>
      </c>
      <c r="AH93" s="1">
        <v>12.4</v>
      </c>
      <c r="AI93" s="1">
        <v>14.2</v>
      </c>
      <c r="AJ93" s="1">
        <v>13.4</v>
      </c>
      <c r="AK93" s="1"/>
      <c r="AL93" s="1">
        <f t="shared" si="18"/>
        <v>0</v>
      </c>
    </row>
    <row r="94" spans="1:38" x14ac:dyDescent="0.25">
      <c r="A94" s="1" t="s">
        <v>139</v>
      </c>
      <c r="B94" s="1" t="s">
        <v>44</v>
      </c>
      <c r="C94" s="1">
        <v>37</v>
      </c>
      <c r="D94" s="1"/>
      <c r="E94" s="1">
        <v>13</v>
      </c>
      <c r="F94" s="1">
        <v>21</v>
      </c>
      <c r="G94" s="7">
        <v>0.3</v>
      </c>
      <c r="H94" s="1"/>
      <c r="I94" s="1" t="s">
        <v>40</v>
      </c>
      <c r="J94" s="1"/>
      <c r="K94" s="1">
        <v>14</v>
      </c>
      <c r="L94" s="1">
        <f t="shared" si="13"/>
        <v>-1</v>
      </c>
      <c r="M94" s="1"/>
      <c r="N94" s="1"/>
      <c r="O94" s="1">
        <v>0</v>
      </c>
      <c r="P94" s="1">
        <v>0</v>
      </c>
      <c r="Q94" s="1"/>
      <c r="R94" s="1">
        <v>15.2</v>
      </c>
      <c r="S94" s="1"/>
      <c r="T94" s="1">
        <f t="shared" si="14"/>
        <v>2.6</v>
      </c>
      <c r="U94" s="5"/>
      <c r="V94" s="5">
        <f t="shared" si="16"/>
        <v>0</v>
      </c>
      <c r="W94" s="18"/>
      <c r="X94" s="18"/>
      <c r="Y94" s="1">
        <f t="shared" si="17"/>
        <v>13.923076923076923</v>
      </c>
      <c r="Z94" s="1">
        <f t="shared" si="15"/>
        <v>13.923076923076923</v>
      </c>
      <c r="AA94" s="1">
        <v>3.6</v>
      </c>
      <c r="AB94" s="1">
        <v>2.2000000000000002</v>
      </c>
      <c r="AC94" s="1">
        <v>1.6</v>
      </c>
      <c r="AD94" s="1">
        <v>2.2000000000000002</v>
      </c>
      <c r="AE94" s="1">
        <v>1.8</v>
      </c>
      <c r="AF94" s="1">
        <v>3.4</v>
      </c>
      <c r="AG94" s="1">
        <v>7.4</v>
      </c>
      <c r="AH94" s="1">
        <v>8</v>
      </c>
      <c r="AI94" s="1">
        <v>3.2</v>
      </c>
      <c r="AJ94" s="1">
        <v>0</v>
      </c>
      <c r="AK94" s="1"/>
      <c r="AL94" s="1">
        <f t="shared" si="18"/>
        <v>0</v>
      </c>
    </row>
    <row r="95" spans="1:38" x14ac:dyDescent="0.25">
      <c r="A95" s="10" t="s">
        <v>140</v>
      </c>
      <c r="B95" s="10" t="s">
        <v>44</v>
      </c>
      <c r="C95" s="10">
        <v>6</v>
      </c>
      <c r="D95" s="10"/>
      <c r="E95" s="10">
        <v>-12</v>
      </c>
      <c r="F95" s="10">
        <v>6</v>
      </c>
      <c r="G95" s="11">
        <v>0</v>
      </c>
      <c r="H95" s="10">
        <v>30</v>
      </c>
      <c r="I95" s="10" t="s">
        <v>40</v>
      </c>
      <c r="J95" s="10"/>
      <c r="K95" s="10"/>
      <c r="L95" s="10">
        <f t="shared" si="13"/>
        <v>-12</v>
      </c>
      <c r="M95" s="10"/>
      <c r="N95" s="10"/>
      <c r="O95" s="10">
        <v>0</v>
      </c>
      <c r="P95" s="10">
        <v>0</v>
      </c>
      <c r="Q95" s="10"/>
      <c r="R95" s="10">
        <v>0</v>
      </c>
      <c r="S95" s="10"/>
      <c r="T95" s="10">
        <f t="shared" si="14"/>
        <v>-2.4</v>
      </c>
      <c r="U95" s="12"/>
      <c r="V95" s="5">
        <f t="shared" si="16"/>
        <v>0</v>
      </c>
      <c r="W95" s="18"/>
      <c r="X95" s="18"/>
      <c r="Y95" s="1">
        <f t="shared" si="17"/>
        <v>-2.5</v>
      </c>
      <c r="Z95" s="10">
        <f t="shared" si="15"/>
        <v>-2.5</v>
      </c>
      <c r="AA95" s="10">
        <v>0</v>
      </c>
      <c r="AB95" s="10">
        <v>0.2</v>
      </c>
      <c r="AC95" s="10">
        <v>-3.4</v>
      </c>
      <c r="AD95" s="10">
        <v>-3.6</v>
      </c>
      <c r="AE95" s="10">
        <v>-2.6</v>
      </c>
      <c r="AF95" s="10">
        <v>-1.4</v>
      </c>
      <c r="AG95" s="10">
        <v>11.2</v>
      </c>
      <c r="AH95" s="10">
        <v>10</v>
      </c>
      <c r="AI95" s="10">
        <v>0</v>
      </c>
      <c r="AJ95" s="10">
        <v>1</v>
      </c>
      <c r="AK95" s="10" t="s">
        <v>141</v>
      </c>
      <c r="AL95" s="1">
        <f t="shared" si="18"/>
        <v>0</v>
      </c>
    </row>
    <row r="96" spans="1:38" x14ac:dyDescent="0.25">
      <c r="A96" s="10" t="s">
        <v>142</v>
      </c>
      <c r="B96" s="10" t="s">
        <v>44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13"/>
        <v>0</v>
      </c>
      <c r="M96" s="10"/>
      <c r="N96" s="10"/>
      <c r="O96" s="10">
        <v>0</v>
      </c>
      <c r="P96" s="10">
        <v>0</v>
      </c>
      <c r="Q96" s="10"/>
      <c r="R96" s="10">
        <v>0</v>
      </c>
      <c r="S96" s="10"/>
      <c r="T96" s="10">
        <f t="shared" si="14"/>
        <v>0</v>
      </c>
      <c r="U96" s="12"/>
      <c r="V96" s="5">
        <f t="shared" si="16"/>
        <v>0</v>
      </c>
      <c r="W96" s="18"/>
      <c r="X96" s="18"/>
      <c r="Y96" s="1" t="e">
        <f t="shared" si="17"/>
        <v>#DIV/0!</v>
      </c>
      <c r="Z96" s="10" t="e">
        <f t="shared" si="15"/>
        <v>#DIV/0!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 t="s">
        <v>45</v>
      </c>
      <c r="AL96" s="1">
        <f t="shared" si="18"/>
        <v>0</v>
      </c>
    </row>
    <row r="97" spans="1:38" x14ac:dyDescent="0.25">
      <c r="A97" s="1" t="s">
        <v>143</v>
      </c>
      <c r="B97" s="1" t="s">
        <v>44</v>
      </c>
      <c r="C97" s="1">
        <v>119</v>
      </c>
      <c r="D97" s="1">
        <v>45</v>
      </c>
      <c r="E97" s="1">
        <v>40</v>
      </c>
      <c r="F97" s="1">
        <v>121</v>
      </c>
      <c r="G97" s="7">
        <v>0.08</v>
      </c>
      <c r="H97" s="1">
        <v>45</v>
      </c>
      <c r="I97" s="1" t="s">
        <v>40</v>
      </c>
      <c r="J97" s="1"/>
      <c r="K97" s="1">
        <v>43</v>
      </c>
      <c r="L97" s="1">
        <f t="shared" si="13"/>
        <v>-3</v>
      </c>
      <c r="M97" s="1"/>
      <c r="N97" s="1"/>
      <c r="O97" s="1">
        <v>0</v>
      </c>
      <c r="P97" s="1">
        <v>0</v>
      </c>
      <c r="Q97" s="1"/>
      <c r="R97" s="1">
        <v>0</v>
      </c>
      <c r="S97" s="1"/>
      <c r="T97" s="1">
        <f t="shared" si="14"/>
        <v>8</v>
      </c>
      <c r="U97" s="5"/>
      <c r="V97" s="5">
        <f t="shared" si="16"/>
        <v>0</v>
      </c>
      <c r="W97" s="18"/>
      <c r="X97" s="18"/>
      <c r="Y97" s="1">
        <f t="shared" si="17"/>
        <v>15.125</v>
      </c>
      <c r="Z97" s="1">
        <f t="shared" si="15"/>
        <v>15.125</v>
      </c>
      <c r="AA97" s="1">
        <v>6.2</v>
      </c>
      <c r="AB97" s="1">
        <v>9.4</v>
      </c>
      <c r="AC97" s="1">
        <v>10.4</v>
      </c>
      <c r="AD97" s="1">
        <v>10.199999999999999</v>
      </c>
      <c r="AE97" s="1">
        <v>15</v>
      </c>
      <c r="AF97" s="1">
        <v>15</v>
      </c>
      <c r="AG97" s="1">
        <v>8.8000000000000007</v>
      </c>
      <c r="AH97" s="1">
        <v>11.4</v>
      </c>
      <c r="AI97" s="1">
        <v>13</v>
      </c>
      <c r="AJ97" s="1">
        <v>21.6</v>
      </c>
      <c r="AK97" s="1"/>
      <c r="AL97" s="1">
        <f t="shared" si="18"/>
        <v>0</v>
      </c>
    </row>
    <row r="98" spans="1:38" x14ac:dyDescent="0.25">
      <c r="A98" s="1" t="s">
        <v>144</v>
      </c>
      <c r="B98" s="1" t="s">
        <v>44</v>
      </c>
      <c r="C98" s="1">
        <v>14</v>
      </c>
      <c r="D98" s="1">
        <v>110</v>
      </c>
      <c r="E98" s="1">
        <v>36</v>
      </c>
      <c r="F98" s="1">
        <v>87</v>
      </c>
      <c r="G98" s="7">
        <v>0.08</v>
      </c>
      <c r="H98" s="1">
        <v>45</v>
      </c>
      <c r="I98" s="1" t="s">
        <v>40</v>
      </c>
      <c r="J98" s="1"/>
      <c r="K98" s="1">
        <v>37</v>
      </c>
      <c r="L98" s="1">
        <f t="shared" si="13"/>
        <v>-1</v>
      </c>
      <c r="M98" s="1"/>
      <c r="N98" s="1"/>
      <c r="O98" s="1">
        <v>46.099999999999987</v>
      </c>
      <c r="P98" s="1">
        <v>0</v>
      </c>
      <c r="Q98" s="1"/>
      <c r="R98" s="1">
        <v>0</v>
      </c>
      <c r="S98" s="1"/>
      <c r="T98" s="1">
        <f t="shared" si="14"/>
        <v>7.2</v>
      </c>
      <c r="U98" s="5"/>
      <c r="V98" s="5">
        <f t="shared" si="16"/>
        <v>0</v>
      </c>
      <c r="W98" s="18"/>
      <c r="X98" s="18"/>
      <c r="Y98" s="1">
        <f t="shared" si="17"/>
        <v>18.486111111111111</v>
      </c>
      <c r="Z98" s="1">
        <f t="shared" si="15"/>
        <v>18.486111111111111</v>
      </c>
      <c r="AA98" s="1">
        <v>7</v>
      </c>
      <c r="AB98" s="1">
        <v>8.6</v>
      </c>
      <c r="AC98" s="1">
        <v>9.8000000000000007</v>
      </c>
      <c r="AD98" s="1">
        <v>11.4</v>
      </c>
      <c r="AE98" s="1">
        <v>11.4</v>
      </c>
      <c r="AF98" s="1">
        <v>9.8000000000000007</v>
      </c>
      <c r="AG98" s="1">
        <v>7.4</v>
      </c>
      <c r="AH98" s="1">
        <v>10.6</v>
      </c>
      <c r="AI98" s="1">
        <v>9.8000000000000007</v>
      </c>
      <c r="AJ98" s="1">
        <v>16.600000000000001</v>
      </c>
      <c r="AK98" s="1"/>
      <c r="AL98" s="1">
        <f t="shared" si="18"/>
        <v>0</v>
      </c>
    </row>
    <row r="99" spans="1:38" x14ac:dyDescent="0.25">
      <c r="A99" s="10" t="s">
        <v>145</v>
      </c>
      <c r="B99" s="10" t="s">
        <v>44</v>
      </c>
      <c r="C99" s="10">
        <v>2</v>
      </c>
      <c r="D99" s="10">
        <v>5</v>
      </c>
      <c r="E99" s="10">
        <v>-1</v>
      </c>
      <c r="F99" s="10">
        <v>7</v>
      </c>
      <c r="G99" s="11">
        <v>0</v>
      </c>
      <c r="H99" s="10">
        <v>30</v>
      </c>
      <c r="I99" s="10" t="s">
        <v>40</v>
      </c>
      <c r="J99" s="10"/>
      <c r="K99" s="10">
        <v>5</v>
      </c>
      <c r="L99" s="10">
        <f t="shared" si="13"/>
        <v>-6</v>
      </c>
      <c r="M99" s="10"/>
      <c r="N99" s="10"/>
      <c r="O99" s="10">
        <v>0</v>
      </c>
      <c r="P99" s="10">
        <v>0</v>
      </c>
      <c r="Q99" s="10"/>
      <c r="R99" s="10">
        <v>0</v>
      </c>
      <c r="S99" s="10"/>
      <c r="T99" s="10">
        <f t="shared" si="14"/>
        <v>-0.2</v>
      </c>
      <c r="U99" s="12"/>
      <c r="V99" s="5">
        <f t="shared" si="16"/>
        <v>0</v>
      </c>
      <c r="W99" s="18"/>
      <c r="X99" s="18"/>
      <c r="Y99" s="1">
        <f t="shared" si="17"/>
        <v>-35</v>
      </c>
      <c r="Z99" s="10">
        <f t="shared" si="15"/>
        <v>-35</v>
      </c>
      <c r="AA99" s="10">
        <v>-0.2</v>
      </c>
      <c r="AB99" s="10">
        <v>1.2</v>
      </c>
      <c r="AC99" s="10">
        <v>0.8</v>
      </c>
      <c r="AD99" s="10">
        <v>0.4</v>
      </c>
      <c r="AE99" s="10">
        <v>2.4</v>
      </c>
      <c r="AF99" s="10">
        <v>4</v>
      </c>
      <c r="AG99" s="10">
        <v>1.4</v>
      </c>
      <c r="AH99" s="10">
        <v>0</v>
      </c>
      <c r="AI99" s="10">
        <v>0</v>
      </c>
      <c r="AJ99" s="10">
        <v>0</v>
      </c>
      <c r="AK99" s="10" t="s">
        <v>146</v>
      </c>
      <c r="AL99" s="1">
        <f t="shared" si="18"/>
        <v>0</v>
      </c>
    </row>
    <row r="100" spans="1:38" x14ac:dyDescent="0.25">
      <c r="A100" s="1" t="s">
        <v>147</v>
      </c>
      <c r="B100" s="1" t="s">
        <v>39</v>
      </c>
      <c r="C100" s="1">
        <v>-4.4480000000000004</v>
      </c>
      <c r="D100" s="1">
        <v>609.02499999999998</v>
      </c>
      <c r="E100" s="1">
        <v>114.491</v>
      </c>
      <c r="F100" s="1">
        <v>485.73899999999998</v>
      </c>
      <c r="G100" s="7">
        <v>1</v>
      </c>
      <c r="H100" s="1">
        <v>40</v>
      </c>
      <c r="I100" s="1" t="s">
        <v>40</v>
      </c>
      <c r="J100" s="1"/>
      <c r="K100" s="1">
        <v>107.8</v>
      </c>
      <c r="L100" s="1">
        <f t="shared" si="13"/>
        <v>6.6910000000000025</v>
      </c>
      <c r="M100" s="1"/>
      <c r="N100" s="1"/>
      <c r="O100" s="1">
        <v>109.3155</v>
      </c>
      <c r="P100" s="1">
        <v>200</v>
      </c>
      <c r="Q100" s="1"/>
      <c r="R100" s="1">
        <v>0</v>
      </c>
      <c r="S100" s="1"/>
      <c r="T100" s="1">
        <f t="shared" si="14"/>
        <v>22.898199999999999</v>
      </c>
      <c r="U100" s="5"/>
      <c r="V100" s="5">
        <f t="shared" si="16"/>
        <v>0</v>
      </c>
      <c r="W100" s="18"/>
      <c r="X100" s="18"/>
      <c r="Y100" s="1">
        <f t="shared" si="17"/>
        <v>34.721266300407891</v>
      </c>
      <c r="Z100" s="1">
        <f t="shared" si="15"/>
        <v>34.721266300407891</v>
      </c>
      <c r="AA100" s="1">
        <v>1.5284</v>
      </c>
      <c r="AB100" s="1">
        <v>51.697000000000003</v>
      </c>
      <c r="AC100" s="1">
        <v>78.555599999999998</v>
      </c>
      <c r="AD100" s="1">
        <v>31.726199999999999</v>
      </c>
      <c r="AE100" s="1">
        <v>18.242000000000001</v>
      </c>
      <c r="AF100" s="1">
        <v>13.2942</v>
      </c>
      <c r="AG100" s="1">
        <v>5.4349999999999996</v>
      </c>
      <c r="AH100" s="1">
        <v>20.235800000000001</v>
      </c>
      <c r="AI100" s="1">
        <v>19.062200000000001</v>
      </c>
      <c r="AJ100" s="1">
        <v>4.2573999999999996</v>
      </c>
      <c r="AK100" s="1"/>
      <c r="AL100" s="1">
        <f t="shared" si="18"/>
        <v>0</v>
      </c>
    </row>
    <row r="101" spans="1:38" x14ac:dyDescent="0.25">
      <c r="A101" s="1" t="s">
        <v>148</v>
      </c>
      <c r="B101" s="1" t="s">
        <v>39</v>
      </c>
      <c r="C101" s="1">
        <v>-0.08</v>
      </c>
      <c r="D101" s="1">
        <v>514.51300000000003</v>
      </c>
      <c r="E101" s="1">
        <v>127.291</v>
      </c>
      <c r="F101" s="1">
        <v>380.67700000000002</v>
      </c>
      <c r="G101" s="7">
        <v>1</v>
      </c>
      <c r="H101" s="1">
        <v>40</v>
      </c>
      <c r="I101" s="1" t="s">
        <v>40</v>
      </c>
      <c r="J101" s="1"/>
      <c r="K101" s="1">
        <v>124.9</v>
      </c>
      <c r="L101" s="1">
        <f t="shared" si="13"/>
        <v>2.3909999999999911</v>
      </c>
      <c r="M101" s="1"/>
      <c r="N101" s="1"/>
      <c r="O101" s="1">
        <v>0</v>
      </c>
      <c r="P101" s="1">
        <v>200</v>
      </c>
      <c r="Q101" s="1"/>
      <c r="R101" s="1">
        <v>0</v>
      </c>
      <c r="S101" s="1"/>
      <c r="T101" s="1">
        <f t="shared" si="14"/>
        <v>25.458199999999998</v>
      </c>
      <c r="U101" s="5"/>
      <c r="V101" s="5">
        <f t="shared" si="16"/>
        <v>0</v>
      </c>
      <c r="W101" s="18"/>
      <c r="X101" s="18"/>
      <c r="Y101" s="1">
        <f t="shared" si="17"/>
        <v>22.809035988404524</v>
      </c>
      <c r="Z101" s="1">
        <f t="shared" si="15"/>
        <v>22.809035988404524</v>
      </c>
      <c r="AA101" s="1">
        <v>0.58899999999999997</v>
      </c>
      <c r="AB101" s="1">
        <v>50.569400000000002</v>
      </c>
      <c r="AC101" s="1">
        <v>63.451000000000001</v>
      </c>
      <c r="AD101" s="1">
        <v>19.556799999999999</v>
      </c>
      <c r="AE101" s="1">
        <v>17.427800000000001</v>
      </c>
      <c r="AF101" s="1">
        <v>12.221399999999999</v>
      </c>
      <c r="AG101" s="1">
        <v>-0.29299999999999998</v>
      </c>
      <c r="AH101" s="1">
        <v>-0.1474</v>
      </c>
      <c r="AI101" s="1">
        <v>10.8888</v>
      </c>
      <c r="AJ101" s="1">
        <v>13.965199999999999</v>
      </c>
      <c r="AK101" s="1"/>
      <c r="AL101" s="1">
        <f t="shared" si="18"/>
        <v>0</v>
      </c>
    </row>
    <row r="102" spans="1:38" x14ac:dyDescent="0.25">
      <c r="A102" s="1" t="s">
        <v>149</v>
      </c>
      <c r="B102" s="1" t="s">
        <v>39</v>
      </c>
      <c r="C102" s="1">
        <v>25.956</v>
      </c>
      <c r="D102" s="1">
        <v>205.803</v>
      </c>
      <c r="E102" s="1">
        <v>182.55199999999999</v>
      </c>
      <c r="F102" s="1">
        <v>42.881999999999998</v>
      </c>
      <c r="G102" s="7">
        <v>1</v>
      </c>
      <c r="H102" s="1">
        <v>40</v>
      </c>
      <c r="I102" s="9" t="s">
        <v>51</v>
      </c>
      <c r="J102" s="1"/>
      <c r="K102" s="1">
        <v>192.9</v>
      </c>
      <c r="L102" s="1">
        <f t="shared" ref="L102:L128" si="21">E102-K102</f>
        <v>-10.348000000000013</v>
      </c>
      <c r="M102" s="1"/>
      <c r="N102" s="1"/>
      <c r="O102" s="1">
        <v>0</v>
      </c>
      <c r="P102" s="1">
        <v>140</v>
      </c>
      <c r="Q102" s="1"/>
      <c r="R102" s="1">
        <v>38.839671999999979</v>
      </c>
      <c r="S102" s="1"/>
      <c r="T102" s="1">
        <f t="shared" ref="T102:T128" si="22">E102/5</f>
        <v>36.510399999999997</v>
      </c>
      <c r="U102" s="5">
        <f t="shared" ref="U102" si="23">11*T102-S102-R102-Q102-P102-O102-F102</f>
        <v>179.89272799999998</v>
      </c>
      <c r="V102" s="5">
        <f>W102</f>
        <v>200</v>
      </c>
      <c r="W102" s="18">
        <f>VLOOKUP(A102,[1]Sheet!$A:$W,22,0)</f>
        <v>200</v>
      </c>
      <c r="X102" s="18" t="str">
        <f>VLOOKUP(A102,[1]Sheet!$A:$W,23,0)</f>
        <v>Промо</v>
      </c>
      <c r="Y102" s="1">
        <f t="shared" si="17"/>
        <v>11.550727244839829</v>
      </c>
      <c r="Z102" s="1">
        <f t="shared" ref="Z102:Z128" si="24">(F102+O102+P102+Q102+R102+S102)/T102</f>
        <v>6.072836013848109</v>
      </c>
      <c r="AA102" s="1">
        <v>27.753399999999999</v>
      </c>
      <c r="AB102" s="1">
        <v>25.99</v>
      </c>
      <c r="AC102" s="1">
        <v>7.6894000000000009</v>
      </c>
      <c r="AD102" s="1">
        <v>9.1430000000000007</v>
      </c>
      <c r="AE102" s="1">
        <v>17.7196</v>
      </c>
      <c r="AF102" s="1">
        <v>11.3132</v>
      </c>
      <c r="AG102" s="1">
        <v>0</v>
      </c>
      <c r="AH102" s="1">
        <v>-0.14399999999999999</v>
      </c>
      <c r="AI102" s="1">
        <v>-0.14399999999999999</v>
      </c>
      <c r="AJ102" s="1">
        <v>-0.28499999999999998</v>
      </c>
      <c r="AK102" s="1"/>
      <c r="AL102" s="1">
        <f t="shared" si="18"/>
        <v>200</v>
      </c>
    </row>
    <row r="103" spans="1:38" x14ac:dyDescent="0.2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1"/>
        <v>0</v>
      </c>
      <c r="M103" s="10"/>
      <c r="N103" s="10"/>
      <c r="O103" s="10">
        <v>0</v>
      </c>
      <c r="P103" s="10">
        <v>0</v>
      </c>
      <c r="Q103" s="10"/>
      <c r="R103" s="10">
        <v>0</v>
      </c>
      <c r="S103" s="10"/>
      <c r="T103" s="10">
        <f t="shared" si="22"/>
        <v>0</v>
      </c>
      <c r="U103" s="12"/>
      <c r="V103" s="5">
        <f t="shared" si="16"/>
        <v>0</v>
      </c>
      <c r="W103" s="18"/>
      <c r="X103" s="18"/>
      <c r="Y103" s="1" t="e">
        <f t="shared" si="17"/>
        <v>#DIV/0!</v>
      </c>
      <c r="Z103" s="10" t="e">
        <f t="shared" si="24"/>
        <v>#DIV/0!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 t="s">
        <v>151</v>
      </c>
      <c r="AL103" s="1">
        <f t="shared" si="18"/>
        <v>0</v>
      </c>
    </row>
    <row r="104" spans="1:38" x14ac:dyDescent="0.25">
      <c r="A104" s="1" t="s">
        <v>152</v>
      </c>
      <c r="B104" s="1" t="s">
        <v>44</v>
      </c>
      <c r="C104" s="1">
        <v>65</v>
      </c>
      <c r="D104" s="1">
        <v>5</v>
      </c>
      <c r="E104" s="1">
        <v>66</v>
      </c>
      <c r="F104" s="1">
        <v>1</v>
      </c>
      <c r="G104" s="7">
        <v>0.28000000000000003</v>
      </c>
      <c r="H104" s="1">
        <v>40</v>
      </c>
      <c r="I104" s="9" t="s">
        <v>51</v>
      </c>
      <c r="J104" s="1"/>
      <c r="K104" s="1">
        <v>101</v>
      </c>
      <c r="L104" s="1">
        <f t="shared" si="21"/>
        <v>-35</v>
      </c>
      <c r="M104" s="1"/>
      <c r="N104" s="1"/>
      <c r="O104" s="1">
        <v>0</v>
      </c>
      <c r="P104" s="1">
        <v>290</v>
      </c>
      <c r="Q104" s="1"/>
      <c r="R104" s="1">
        <v>288.12799999999999</v>
      </c>
      <c r="S104" s="1"/>
      <c r="T104" s="1">
        <f t="shared" si="22"/>
        <v>13.2</v>
      </c>
      <c r="U104" s="5"/>
      <c r="V104" s="5">
        <f t="shared" si="16"/>
        <v>0</v>
      </c>
      <c r="W104" s="18"/>
      <c r="X104" s="18"/>
      <c r="Y104" s="1">
        <f t="shared" si="17"/>
        <v>43.873333333333328</v>
      </c>
      <c r="Z104" s="1">
        <f t="shared" si="24"/>
        <v>43.873333333333328</v>
      </c>
      <c r="AA104" s="1">
        <v>56.6</v>
      </c>
      <c r="AB104" s="1">
        <v>48.2</v>
      </c>
      <c r="AC104" s="1">
        <v>3.8</v>
      </c>
      <c r="AD104" s="1">
        <v>1.2</v>
      </c>
      <c r="AE104" s="1">
        <v>12.6</v>
      </c>
      <c r="AF104" s="1">
        <v>12.6</v>
      </c>
      <c r="AG104" s="1">
        <v>-0.2</v>
      </c>
      <c r="AH104" s="1">
        <v>-0.2</v>
      </c>
      <c r="AI104" s="1">
        <v>11</v>
      </c>
      <c r="AJ104" s="1">
        <v>10.8</v>
      </c>
      <c r="AK104" s="1"/>
      <c r="AL104" s="1">
        <f t="shared" si="18"/>
        <v>0</v>
      </c>
    </row>
    <row r="105" spans="1:38" x14ac:dyDescent="0.25">
      <c r="A105" s="1" t="s">
        <v>153</v>
      </c>
      <c r="B105" s="1" t="s">
        <v>44</v>
      </c>
      <c r="C105" s="1">
        <v>58</v>
      </c>
      <c r="D105" s="1">
        <v>55</v>
      </c>
      <c r="E105" s="1">
        <v>70</v>
      </c>
      <c r="F105" s="1">
        <v>38</v>
      </c>
      <c r="G105" s="7">
        <v>0.28000000000000003</v>
      </c>
      <c r="H105" s="1">
        <v>40</v>
      </c>
      <c r="I105" s="9" t="s">
        <v>51</v>
      </c>
      <c r="J105" s="1"/>
      <c r="K105" s="1">
        <v>102</v>
      </c>
      <c r="L105" s="1">
        <f t="shared" si="21"/>
        <v>-32</v>
      </c>
      <c r="M105" s="1"/>
      <c r="N105" s="1"/>
      <c r="O105" s="1">
        <v>0</v>
      </c>
      <c r="P105" s="1">
        <v>250</v>
      </c>
      <c r="Q105" s="1"/>
      <c r="R105" s="1">
        <v>219.76</v>
      </c>
      <c r="S105" s="1"/>
      <c r="T105" s="1">
        <f t="shared" si="22"/>
        <v>14</v>
      </c>
      <c r="U105" s="5"/>
      <c r="V105" s="5">
        <f t="shared" si="16"/>
        <v>0</v>
      </c>
      <c r="W105" s="18"/>
      <c r="X105" s="18"/>
      <c r="Y105" s="1">
        <f t="shared" si="17"/>
        <v>36.268571428571427</v>
      </c>
      <c r="Z105" s="1">
        <f t="shared" si="24"/>
        <v>36.268571428571427</v>
      </c>
      <c r="AA105" s="1">
        <v>47</v>
      </c>
      <c r="AB105" s="1">
        <v>39.4</v>
      </c>
      <c r="AC105" s="1">
        <v>3.2</v>
      </c>
      <c r="AD105" s="1">
        <v>0.2</v>
      </c>
      <c r="AE105" s="1">
        <v>-0.2</v>
      </c>
      <c r="AF105" s="1">
        <v>1.6</v>
      </c>
      <c r="AG105" s="1">
        <v>20</v>
      </c>
      <c r="AH105" s="1">
        <v>46.2</v>
      </c>
      <c r="AI105" s="1">
        <v>39.200000000000003</v>
      </c>
      <c r="AJ105" s="1">
        <v>10.8</v>
      </c>
      <c r="AK105" s="1"/>
      <c r="AL105" s="1">
        <f t="shared" si="18"/>
        <v>0</v>
      </c>
    </row>
    <row r="106" spans="1:38" x14ac:dyDescent="0.25">
      <c r="A106" s="1" t="s">
        <v>154</v>
      </c>
      <c r="B106" s="1" t="s">
        <v>44</v>
      </c>
      <c r="C106" s="1">
        <v>102</v>
      </c>
      <c r="D106" s="1"/>
      <c r="E106" s="1">
        <v>99</v>
      </c>
      <c r="F106" s="1">
        <v>2</v>
      </c>
      <c r="G106" s="7">
        <v>0.28000000000000003</v>
      </c>
      <c r="H106" s="1">
        <v>40</v>
      </c>
      <c r="I106" s="9" t="s">
        <v>51</v>
      </c>
      <c r="J106" s="1"/>
      <c r="K106" s="1">
        <v>117</v>
      </c>
      <c r="L106" s="1">
        <f t="shared" si="21"/>
        <v>-18</v>
      </c>
      <c r="M106" s="1"/>
      <c r="N106" s="1"/>
      <c r="O106" s="1">
        <v>0</v>
      </c>
      <c r="P106" s="1">
        <v>254</v>
      </c>
      <c r="Q106" s="1"/>
      <c r="R106" s="1">
        <v>371.12799999999999</v>
      </c>
      <c r="S106" s="1"/>
      <c r="T106" s="1">
        <f t="shared" si="22"/>
        <v>19.8</v>
      </c>
      <c r="U106" s="5"/>
      <c r="V106" s="5">
        <f t="shared" si="16"/>
        <v>0</v>
      </c>
      <c r="W106" s="18"/>
      <c r="X106" s="18"/>
      <c r="Y106" s="1">
        <f t="shared" si="17"/>
        <v>31.673131313131307</v>
      </c>
      <c r="Z106" s="1">
        <f t="shared" si="24"/>
        <v>31.673131313131307</v>
      </c>
      <c r="AA106" s="1">
        <v>56.6</v>
      </c>
      <c r="AB106" s="1">
        <v>40.6</v>
      </c>
      <c r="AC106" s="1">
        <v>3</v>
      </c>
      <c r="AD106" s="1">
        <v>0.2</v>
      </c>
      <c r="AE106" s="1">
        <v>0.2</v>
      </c>
      <c r="AF106" s="1">
        <v>1</v>
      </c>
      <c r="AG106" s="1">
        <v>15.4</v>
      </c>
      <c r="AH106" s="1">
        <v>28.2</v>
      </c>
      <c r="AI106" s="1">
        <v>13.8</v>
      </c>
      <c r="AJ106" s="1">
        <v>-0.4</v>
      </c>
      <c r="AK106" s="1"/>
      <c r="AL106" s="1">
        <f t="shared" si="18"/>
        <v>0</v>
      </c>
    </row>
    <row r="107" spans="1:38" x14ac:dyDescent="0.25">
      <c r="A107" s="1" t="s">
        <v>155</v>
      </c>
      <c r="B107" s="1" t="s">
        <v>44</v>
      </c>
      <c r="C107" s="1">
        <v>42</v>
      </c>
      <c r="D107" s="1">
        <v>30</v>
      </c>
      <c r="E107" s="1">
        <v>41</v>
      </c>
      <c r="F107" s="1">
        <v>31</v>
      </c>
      <c r="G107" s="7">
        <v>0.09</v>
      </c>
      <c r="H107" s="1">
        <v>45</v>
      </c>
      <c r="I107" s="1" t="s">
        <v>40</v>
      </c>
      <c r="J107" s="1"/>
      <c r="K107" s="1">
        <v>42</v>
      </c>
      <c r="L107" s="1">
        <f t="shared" si="21"/>
        <v>-1</v>
      </c>
      <c r="M107" s="1"/>
      <c r="N107" s="1"/>
      <c r="O107" s="1">
        <v>0</v>
      </c>
      <c r="P107" s="1">
        <v>14.400000000000009</v>
      </c>
      <c r="Q107" s="1"/>
      <c r="R107" s="1">
        <v>63.832000000000008</v>
      </c>
      <c r="S107" s="1"/>
      <c r="T107" s="1">
        <f t="shared" si="22"/>
        <v>8.1999999999999993</v>
      </c>
      <c r="U107" s="5"/>
      <c r="V107" s="5">
        <f t="shared" si="16"/>
        <v>0</v>
      </c>
      <c r="W107" s="18"/>
      <c r="X107" s="18"/>
      <c r="Y107" s="1">
        <f t="shared" si="17"/>
        <v>13.320975609756101</v>
      </c>
      <c r="Z107" s="1">
        <f t="shared" si="24"/>
        <v>13.320975609756101</v>
      </c>
      <c r="AA107" s="1">
        <v>10.4</v>
      </c>
      <c r="AB107" s="1">
        <v>7.4</v>
      </c>
      <c r="AC107" s="1">
        <v>5.2</v>
      </c>
      <c r="AD107" s="1">
        <v>4.2</v>
      </c>
      <c r="AE107" s="1">
        <v>5.6</v>
      </c>
      <c r="AF107" s="1">
        <v>6.4</v>
      </c>
      <c r="AG107" s="1">
        <v>7.4</v>
      </c>
      <c r="AH107" s="1">
        <v>6.8</v>
      </c>
      <c r="AI107" s="1">
        <v>6</v>
      </c>
      <c r="AJ107" s="1">
        <v>8.1999999999999993</v>
      </c>
      <c r="AK107" s="1"/>
      <c r="AL107" s="1">
        <f t="shared" si="18"/>
        <v>0</v>
      </c>
    </row>
    <row r="108" spans="1:38" x14ac:dyDescent="0.25">
      <c r="A108" s="1" t="s">
        <v>156</v>
      </c>
      <c r="B108" s="1" t="s">
        <v>39</v>
      </c>
      <c r="C108" s="1">
        <v>168.56899999999999</v>
      </c>
      <c r="D108" s="1"/>
      <c r="E108" s="1">
        <v>65.379000000000005</v>
      </c>
      <c r="F108" s="1">
        <v>101.032</v>
      </c>
      <c r="G108" s="7">
        <v>1</v>
      </c>
      <c r="H108" s="1">
        <v>60</v>
      </c>
      <c r="I108" s="1" t="s">
        <v>40</v>
      </c>
      <c r="J108" s="1"/>
      <c r="K108" s="1">
        <v>67.5</v>
      </c>
      <c r="L108" s="1">
        <f t="shared" si="21"/>
        <v>-2.1209999999999951</v>
      </c>
      <c r="M108" s="1"/>
      <c r="N108" s="1"/>
      <c r="O108" s="1">
        <v>0</v>
      </c>
      <c r="P108" s="1">
        <v>0</v>
      </c>
      <c r="Q108" s="1"/>
      <c r="R108" s="1">
        <v>0</v>
      </c>
      <c r="S108" s="1"/>
      <c r="T108" s="1">
        <f t="shared" si="22"/>
        <v>13.075800000000001</v>
      </c>
      <c r="U108" s="5">
        <f>10*T108-S108-R108-Q108-P108-O108-F108</f>
        <v>29.726000000000013</v>
      </c>
      <c r="V108" s="5">
        <f t="shared" si="16"/>
        <v>29.726000000000013</v>
      </c>
      <c r="W108" s="18"/>
      <c r="X108" s="18"/>
      <c r="Y108" s="1">
        <f t="shared" si="17"/>
        <v>10</v>
      </c>
      <c r="Z108" s="1">
        <f t="shared" si="24"/>
        <v>7.7266400526162826</v>
      </c>
      <c r="AA108" s="1">
        <v>3.9573999999999998</v>
      </c>
      <c r="AB108" s="1">
        <v>2.4927999999999999</v>
      </c>
      <c r="AC108" s="1">
        <v>3.5106000000000002</v>
      </c>
      <c r="AD108" s="1">
        <v>3.0089999999999999</v>
      </c>
      <c r="AE108" s="1">
        <v>1.3044</v>
      </c>
      <c r="AF108" s="1">
        <v>4.8116000000000003</v>
      </c>
      <c r="AG108" s="1">
        <v>14.388999999999999</v>
      </c>
      <c r="AH108" s="1">
        <v>15.897399999999999</v>
      </c>
      <c r="AI108" s="1">
        <v>9.0400000000000009</v>
      </c>
      <c r="AJ108" s="1">
        <v>5.0895999999999999</v>
      </c>
      <c r="AK108" s="1"/>
      <c r="AL108" s="1">
        <f t="shared" si="18"/>
        <v>30</v>
      </c>
    </row>
    <row r="109" spans="1:38" x14ac:dyDescent="0.25">
      <c r="A109" s="1" t="s">
        <v>157</v>
      </c>
      <c r="B109" s="1" t="s">
        <v>39</v>
      </c>
      <c r="C109" s="1">
        <v>130.65100000000001</v>
      </c>
      <c r="D109" s="1"/>
      <c r="E109" s="1">
        <v>50.231000000000002</v>
      </c>
      <c r="F109" s="1">
        <v>80.42</v>
      </c>
      <c r="G109" s="7">
        <v>1</v>
      </c>
      <c r="H109" s="1">
        <v>50</v>
      </c>
      <c r="I109" s="1" t="s">
        <v>40</v>
      </c>
      <c r="J109" s="1"/>
      <c r="K109" s="1">
        <v>50</v>
      </c>
      <c r="L109" s="1">
        <f t="shared" si="21"/>
        <v>0.23100000000000165</v>
      </c>
      <c r="M109" s="1"/>
      <c r="N109" s="1"/>
      <c r="O109" s="1">
        <v>0</v>
      </c>
      <c r="P109" s="1">
        <v>0</v>
      </c>
      <c r="Q109" s="1"/>
      <c r="R109" s="1">
        <v>0</v>
      </c>
      <c r="S109" s="1"/>
      <c r="T109" s="1">
        <f t="shared" si="22"/>
        <v>10.046200000000001</v>
      </c>
      <c r="U109" s="5">
        <f>10*T109-S109-R109-Q109-P109-O109-F109</f>
        <v>20.042000000000002</v>
      </c>
      <c r="V109" s="5">
        <f t="shared" si="16"/>
        <v>20.042000000000002</v>
      </c>
      <c r="W109" s="18"/>
      <c r="X109" s="18"/>
      <c r="Y109" s="1">
        <f t="shared" si="17"/>
        <v>10</v>
      </c>
      <c r="Z109" s="1">
        <f t="shared" si="24"/>
        <v>8.0050168222810605</v>
      </c>
      <c r="AA109" s="1">
        <v>6.0262000000000002</v>
      </c>
      <c r="AB109" s="1">
        <v>4.0140000000000002</v>
      </c>
      <c r="AC109" s="1">
        <v>1.6744000000000001</v>
      </c>
      <c r="AD109" s="1">
        <v>5.6257999999999999</v>
      </c>
      <c r="AE109" s="1">
        <v>10.432</v>
      </c>
      <c r="AF109" s="1">
        <v>10.945600000000001</v>
      </c>
      <c r="AG109" s="1">
        <v>10.451000000000001</v>
      </c>
      <c r="AH109" s="1">
        <v>12.464600000000001</v>
      </c>
      <c r="AI109" s="1">
        <v>6.9792000000000014</v>
      </c>
      <c r="AJ109" s="1">
        <v>2.5167999999999999</v>
      </c>
      <c r="AK109" s="1"/>
      <c r="AL109" s="1">
        <f t="shared" si="18"/>
        <v>20</v>
      </c>
    </row>
    <row r="110" spans="1:38" x14ac:dyDescent="0.25">
      <c r="A110" s="1" t="s">
        <v>158</v>
      </c>
      <c r="B110" s="1" t="s">
        <v>44</v>
      </c>
      <c r="C110" s="1">
        <v>50</v>
      </c>
      <c r="D110" s="1"/>
      <c r="E110" s="1">
        <v>11</v>
      </c>
      <c r="F110" s="1">
        <v>37</v>
      </c>
      <c r="G110" s="7">
        <v>0.09</v>
      </c>
      <c r="H110" s="1">
        <v>45</v>
      </c>
      <c r="I110" s="1" t="s">
        <v>40</v>
      </c>
      <c r="J110" s="1"/>
      <c r="K110" s="1">
        <v>13</v>
      </c>
      <c r="L110" s="1">
        <f t="shared" si="21"/>
        <v>-2</v>
      </c>
      <c r="M110" s="1"/>
      <c r="N110" s="1"/>
      <c r="O110" s="1">
        <v>0</v>
      </c>
      <c r="P110" s="1">
        <v>20.400000000000009</v>
      </c>
      <c r="Q110" s="1"/>
      <c r="R110" s="1">
        <v>4.7999999999999829</v>
      </c>
      <c r="S110" s="1"/>
      <c r="T110" s="1">
        <f t="shared" si="22"/>
        <v>2.2000000000000002</v>
      </c>
      <c r="U110" s="5"/>
      <c r="V110" s="5">
        <f t="shared" si="16"/>
        <v>0</v>
      </c>
      <c r="W110" s="18"/>
      <c r="X110" s="18"/>
      <c r="Y110" s="1">
        <f t="shared" si="17"/>
        <v>28.272727272727266</v>
      </c>
      <c r="Z110" s="1">
        <f t="shared" si="24"/>
        <v>28.272727272727266</v>
      </c>
      <c r="AA110" s="1">
        <v>5.6</v>
      </c>
      <c r="AB110" s="1">
        <v>6.4</v>
      </c>
      <c r="AC110" s="1">
        <v>4.8</v>
      </c>
      <c r="AD110" s="1">
        <v>4.8</v>
      </c>
      <c r="AE110" s="1">
        <v>7.2</v>
      </c>
      <c r="AF110" s="1">
        <v>7.6</v>
      </c>
      <c r="AG110" s="1">
        <v>4.8</v>
      </c>
      <c r="AH110" s="1">
        <v>5.6</v>
      </c>
      <c r="AI110" s="1">
        <v>10</v>
      </c>
      <c r="AJ110" s="1">
        <v>13.8</v>
      </c>
      <c r="AK110" s="17" t="s">
        <v>177</v>
      </c>
      <c r="AL110" s="1">
        <f t="shared" si="18"/>
        <v>0</v>
      </c>
    </row>
    <row r="111" spans="1:38" x14ac:dyDescent="0.25">
      <c r="A111" s="1" t="s">
        <v>159</v>
      </c>
      <c r="B111" s="1" t="s">
        <v>44</v>
      </c>
      <c r="C111" s="1">
        <v>25</v>
      </c>
      <c r="D111" s="1">
        <v>20</v>
      </c>
      <c r="E111" s="1">
        <v>25</v>
      </c>
      <c r="F111" s="1">
        <v>15</v>
      </c>
      <c r="G111" s="7">
        <v>0.09</v>
      </c>
      <c r="H111" s="1">
        <v>45</v>
      </c>
      <c r="I111" s="1" t="s">
        <v>40</v>
      </c>
      <c r="J111" s="1"/>
      <c r="K111" s="1">
        <v>30</v>
      </c>
      <c r="L111" s="1">
        <f t="shared" si="21"/>
        <v>-5</v>
      </c>
      <c r="M111" s="1"/>
      <c r="N111" s="1"/>
      <c r="O111" s="1">
        <v>0</v>
      </c>
      <c r="P111" s="1">
        <v>33</v>
      </c>
      <c r="Q111" s="1"/>
      <c r="R111" s="1">
        <v>42.400000000000013</v>
      </c>
      <c r="S111" s="1"/>
      <c r="T111" s="1">
        <f t="shared" si="22"/>
        <v>5</v>
      </c>
      <c r="U111" s="5"/>
      <c r="V111" s="5">
        <f t="shared" si="16"/>
        <v>0</v>
      </c>
      <c r="W111" s="18"/>
      <c r="X111" s="18"/>
      <c r="Y111" s="1">
        <f t="shared" si="17"/>
        <v>18.080000000000002</v>
      </c>
      <c r="Z111" s="1">
        <f t="shared" si="24"/>
        <v>18.080000000000002</v>
      </c>
      <c r="AA111" s="1">
        <v>8.4</v>
      </c>
      <c r="AB111" s="1">
        <v>6.6</v>
      </c>
      <c r="AC111" s="1">
        <v>4.8</v>
      </c>
      <c r="AD111" s="1">
        <v>4.8</v>
      </c>
      <c r="AE111" s="1">
        <v>6.6</v>
      </c>
      <c r="AF111" s="1">
        <v>4.4000000000000004</v>
      </c>
      <c r="AG111" s="1">
        <v>5</v>
      </c>
      <c r="AH111" s="1">
        <v>9.4</v>
      </c>
      <c r="AI111" s="1">
        <v>9.8000000000000007</v>
      </c>
      <c r="AJ111" s="1">
        <v>10</v>
      </c>
      <c r="AK111" s="1"/>
      <c r="AL111" s="1">
        <f t="shared" si="18"/>
        <v>0</v>
      </c>
    </row>
    <row r="112" spans="1:38" x14ac:dyDescent="0.25">
      <c r="A112" s="1" t="s">
        <v>160</v>
      </c>
      <c r="B112" s="1" t="s">
        <v>39</v>
      </c>
      <c r="C112" s="1">
        <v>80.331999999999994</v>
      </c>
      <c r="D112" s="1">
        <v>109.82299999999999</v>
      </c>
      <c r="E112" s="1">
        <v>67.590999999999994</v>
      </c>
      <c r="F112" s="1">
        <v>118.14700000000001</v>
      </c>
      <c r="G112" s="7">
        <v>1</v>
      </c>
      <c r="H112" s="1">
        <v>60</v>
      </c>
      <c r="I112" s="1" t="s">
        <v>40</v>
      </c>
      <c r="J112" s="1"/>
      <c r="K112" s="1">
        <v>67.3</v>
      </c>
      <c r="L112" s="1">
        <f t="shared" si="21"/>
        <v>0.29099999999999682</v>
      </c>
      <c r="M112" s="1"/>
      <c r="N112" s="1"/>
      <c r="O112" s="1">
        <v>69.446426544190857</v>
      </c>
      <c r="P112" s="1">
        <v>0</v>
      </c>
      <c r="Q112" s="1"/>
      <c r="R112" s="1">
        <v>0</v>
      </c>
      <c r="S112" s="1"/>
      <c r="T112" s="1">
        <f t="shared" si="22"/>
        <v>13.518199999999998</v>
      </c>
      <c r="U112" s="5"/>
      <c r="V112" s="5">
        <f t="shared" si="16"/>
        <v>0</v>
      </c>
      <c r="W112" s="18"/>
      <c r="X112" s="18"/>
      <c r="Y112" s="1">
        <f t="shared" si="17"/>
        <v>13.877100985648303</v>
      </c>
      <c r="Z112" s="1">
        <f t="shared" si="24"/>
        <v>13.877100985648303</v>
      </c>
      <c r="AA112" s="1">
        <v>16.2376</v>
      </c>
      <c r="AB112" s="1">
        <v>17.2788</v>
      </c>
      <c r="AC112" s="1">
        <v>15.928599999999999</v>
      </c>
      <c r="AD112" s="1">
        <v>16.279199999999999</v>
      </c>
      <c r="AE112" s="1">
        <v>14.1082</v>
      </c>
      <c r="AF112" s="1">
        <v>15.442</v>
      </c>
      <c r="AG112" s="1">
        <v>12.912000000000001</v>
      </c>
      <c r="AH112" s="1">
        <v>12.9278</v>
      </c>
      <c r="AI112" s="1">
        <v>12.5936</v>
      </c>
      <c r="AJ112" s="1">
        <v>15.5222</v>
      </c>
      <c r="AK112" s="1"/>
      <c r="AL112" s="1">
        <f t="shared" si="18"/>
        <v>0</v>
      </c>
    </row>
    <row r="113" spans="1:38" x14ac:dyDescent="0.25">
      <c r="A113" s="1" t="s">
        <v>161</v>
      </c>
      <c r="B113" s="1" t="s">
        <v>39</v>
      </c>
      <c r="C113" s="1">
        <v>154.74299999999999</v>
      </c>
      <c r="D113" s="1">
        <v>100.68</v>
      </c>
      <c r="E113" s="1">
        <v>121.74</v>
      </c>
      <c r="F113" s="1">
        <v>125.60599999999999</v>
      </c>
      <c r="G113" s="7">
        <v>1</v>
      </c>
      <c r="H113" s="1">
        <v>60</v>
      </c>
      <c r="I113" s="1" t="s">
        <v>40</v>
      </c>
      <c r="J113" s="1"/>
      <c r="K113" s="1">
        <v>122.2</v>
      </c>
      <c r="L113" s="1">
        <f t="shared" si="21"/>
        <v>-0.46000000000000796</v>
      </c>
      <c r="M113" s="1"/>
      <c r="N113" s="1"/>
      <c r="O113" s="1">
        <v>0</v>
      </c>
      <c r="P113" s="1">
        <v>0</v>
      </c>
      <c r="Q113" s="1"/>
      <c r="R113" s="1">
        <v>123.881968</v>
      </c>
      <c r="S113" s="1"/>
      <c r="T113" s="1">
        <f t="shared" si="22"/>
        <v>24.347999999999999</v>
      </c>
      <c r="U113" s="5">
        <f t="shared" ref="U113" si="25">11*T113-S113-R113-Q113-P113-O113-F113</f>
        <v>18.340031999999979</v>
      </c>
      <c r="V113" s="5">
        <f t="shared" si="16"/>
        <v>18.340031999999979</v>
      </c>
      <c r="W113" s="18"/>
      <c r="X113" s="18"/>
      <c r="Y113" s="1">
        <f t="shared" si="17"/>
        <v>11</v>
      </c>
      <c r="Z113" s="1">
        <f t="shared" si="24"/>
        <v>10.246754066042385</v>
      </c>
      <c r="AA113" s="1">
        <v>25.579599999999999</v>
      </c>
      <c r="AB113" s="1">
        <v>18.905200000000001</v>
      </c>
      <c r="AC113" s="1">
        <v>14.961600000000001</v>
      </c>
      <c r="AD113" s="1">
        <v>20.4116</v>
      </c>
      <c r="AE113" s="1">
        <v>22.041</v>
      </c>
      <c r="AF113" s="1">
        <v>23.969200000000001</v>
      </c>
      <c r="AG113" s="1">
        <v>22.408999999999999</v>
      </c>
      <c r="AH113" s="1">
        <v>22.56</v>
      </c>
      <c r="AI113" s="1">
        <v>14.490399999999999</v>
      </c>
      <c r="AJ113" s="1">
        <v>17.466999999999999</v>
      </c>
      <c r="AK113" s="1"/>
      <c r="AL113" s="1">
        <f t="shared" si="18"/>
        <v>18</v>
      </c>
    </row>
    <row r="114" spans="1:38" x14ac:dyDescent="0.25">
      <c r="A114" s="1" t="s">
        <v>162</v>
      </c>
      <c r="B114" s="1" t="s">
        <v>39</v>
      </c>
      <c r="C114" s="1">
        <v>23.748000000000001</v>
      </c>
      <c r="D114" s="1">
        <v>34.625</v>
      </c>
      <c r="E114" s="1">
        <v>21.414999999999999</v>
      </c>
      <c r="F114" s="1">
        <v>35.579000000000001</v>
      </c>
      <c r="G114" s="7">
        <v>1</v>
      </c>
      <c r="H114" s="1">
        <v>60</v>
      </c>
      <c r="I114" s="1" t="s">
        <v>40</v>
      </c>
      <c r="J114" s="1"/>
      <c r="K114" s="1">
        <v>20.9</v>
      </c>
      <c r="L114" s="1">
        <f t="shared" si="21"/>
        <v>0.51500000000000057</v>
      </c>
      <c r="M114" s="1"/>
      <c r="N114" s="1"/>
      <c r="O114" s="1">
        <v>21.211700000000011</v>
      </c>
      <c r="P114" s="1">
        <v>0</v>
      </c>
      <c r="Q114" s="1"/>
      <c r="R114" s="1">
        <v>0</v>
      </c>
      <c r="S114" s="1"/>
      <c r="T114" s="1">
        <f t="shared" si="22"/>
        <v>4.2829999999999995</v>
      </c>
      <c r="U114" s="5"/>
      <c r="V114" s="5">
        <f t="shared" si="16"/>
        <v>0</v>
      </c>
      <c r="W114" s="18"/>
      <c r="X114" s="18"/>
      <c r="Y114" s="1">
        <f t="shared" si="17"/>
        <v>13.25956105533505</v>
      </c>
      <c r="Z114" s="1">
        <f t="shared" si="24"/>
        <v>13.25956105533505</v>
      </c>
      <c r="AA114" s="1">
        <v>3.3144</v>
      </c>
      <c r="AB114" s="1">
        <v>4.3848000000000003</v>
      </c>
      <c r="AC114" s="1">
        <v>4.8159999999999998</v>
      </c>
      <c r="AD114" s="1">
        <v>6.2093999999999996</v>
      </c>
      <c r="AE114" s="1">
        <v>6.0125999999999999</v>
      </c>
      <c r="AF114" s="1">
        <v>6.3026</v>
      </c>
      <c r="AG114" s="1">
        <v>5.5053999999999998</v>
      </c>
      <c r="AH114" s="1">
        <v>4.6790000000000003</v>
      </c>
      <c r="AI114" s="1">
        <v>3.8368000000000002</v>
      </c>
      <c r="AJ114" s="1">
        <v>2.1898</v>
      </c>
      <c r="AK114" s="1"/>
      <c r="AL114" s="1">
        <f t="shared" si="18"/>
        <v>0</v>
      </c>
    </row>
    <row r="115" spans="1:38" x14ac:dyDescent="0.25">
      <c r="A115" s="1" t="s">
        <v>163</v>
      </c>
      <c r="B115" s="1" t="s">
        <v>39</v>
      </c>
      <c r="C115" s="1">
        <v>174.363</v>
      </c>
      <c r="D115" s="1">
        <v>628.74800000000005</v>
      </c>
      <c r="E115" s="1">
        <v>334.56</v>
      </c>
      <c r="F115" s="1">
        <v>461.154</v>
      </c>
      <c r="G115" s="7">
        <v>1</v>
      </c>
      <c r="H115" s="1">
        <v>60</v>
      </c>
      <c r="I115" s="1" t="s">
        <v>40</v>
      </c>
      <c r="J115" s="1"/>
      <c r="K115" s="1">
        <v>355</v>
      </c>
      <c r="L115" s="1">
        <f t="shared" si="21"/>
        <v>-20.439999999999998</v>
      </c>
      <c r="M115" s="1"/>
      <c r="N115" s="1"/>
      <c r="O115" s="1">
        <v>677.67819999999995</v>
      </c>
      <c r="P115" s="1">
        <v>858.1363200000003</v>
      </c>
      <c r="Q115" s="1"/>
      <c r="R115" s="1">
        <v>0</v>
      </c>
      <c r="S115" s="1"/>
      <c r="T115" s="1">
        <f t="shared" si="22"/>
        <v>66.912000000000006</v>
      </c>
      <c r="U115" s="5"/>
      <c r="V115" s="5">
        <f t="shared" si="16"/>
        <v>0</v>
      </c>
      <c r="W115" s="18"/>
      <c r="X115" s="18"/>
      <c r="Y115" s="1">
        <f t="shared" si="17"/>
        <v>29.844699306551888</v>
      </c>
      <c r="Z115" s="1">
        <f t="shared" si="24"/>
        <v>29.844699306551888</v>
      </c>
      <c r="AA115" s="1">
        <v>151.155</v>
      </c>
      <c r="AB115" s="1">
        <v>174.01679999999999</v>
      </c>
      <c r="AC115" s="1">
        <v>175.62479999999999</v>
      </c>
      <c r="AD115" s="1">
        <v>125.67740000000001</v>
      </c>
      <c r="AE115" s="1">
        <v>64.492199999999997</v>
      </c>
      <c r="AF115" s="1">
        <v>71.772400000000005</v>
      </c>
      <c r="AG115" s="1">
        <v>99.548599999999993</v>
      </c>
      <c r="AH115" s="1">
        <v>135.04179999999999</v>
      </c>
      <c r="AI115" s="1">
        <v>171.96340000000001</v>
      </c>
      <c r="AJ115" s="1">
        <v>121.3768</v>
      </c>
      <c r="AK115" s="17" t="s">
        <v>179</v>
      </c>
      <c r="AL115" s="1">
        <f t="shared" si="18"/>
        <v>0</v>
      </c>
    </row>
    <row r="116" spans="1:38" x14ac:dyDescent="0.25">
      <c r="A116" s="1" t="s">
        <v>164</v>
      </c>
      <c r="B116" s="1" t="s">
        <v>44</v>
      </c>
      <c r="C116" s="1">
        <v>318</v>
      </c>
      <c r="D116" s="1">
        <v>2</v>
      </c>
      <c r="E116" s="1">
        <v>22</v>
      </c>
      <c r="F116" s="1">
        <v>298</v>
      </c>
      <c r="G116" s="7">
        <v>0.25</v>
      </c>
      <c r="H116" s="1">
        <v>1096</v>
      </c>
      <c r="I116" s="1" t="s">
        <v>40</v>
      </c>
      <c r="J116" s="1"/>
      <c r="K116" s="1">
        <v>22</v>
      </c>
      <c r="L116" s="1">
        <f t="shared" si="21"/>
        <v>0</v>
      </c>
      <c r="M116" s="1"/>
      <c r="N116" s="1"/>
      <c r="O116" s="1">
        <v>0</v>
      </c>
      <c r="P116" s="1">
        <v>0</v>
      </c>
      <c r="Q116" s="1"/>
      <c r="R116" s="1">
        <v>0</v>
      </c>
      <c r="S116" s="1"/>
      <c r="T116" s="1">
        <f t="shared" si="22"/>
        <v>4.4000000000000004</v>
      </c>
      <c r="U116" s="5"/>
      <c r="V116" s="5">
        <f t="shared" si="16"/>
        <v>0</v>
      </c>
      <c r="W116" s="18"/>
      <c r="X116" s="18"/>
      <c r="Y116" s="1">
        <f t="shared" si="17"/>
        <v>67.72727272727272</v>
      </c>
      <c r="Z116" s="1">
        <f t="shared" si="24"/>
        <v>67.72727272727272</v>
      </c>
      <c r="AA116" s="1">
        <v>6.2</v>
      </c>
      <c r="AB116" s="1">
        <v>7.2</v>
      </c>
      <c r="AC116" s="1">
        <v>3.6</v>
      </c>
      <c r="AD116" s="1">
        <v>7</v>
      </c>
      <c r="AE116" s="1">
        <v>4.4000000000000004</v>
      </c>
      <c r="AF116" s="1">
        <v>0.8</v>
      </c>
      <c r="AG116" s="1">
        <v>8.1999999999999993</v>
      </c>
      <c r="AH116" s="1">
        <v>14.6</v>
      </c>
      <c r="AI116" s="1">
        <v>13</v>
      </c>
      <c r="AJ116" s="1">
        <v>12</v>
      </c>
      <c r="AK116" s="16" t="s">
        <v>123</v>
      </c>
      <c r="AL116" s="1">
        <f t="shared" si="18"/>
        <v>0</v>
      </c>
    </row>
    <row r="117" spans="1:38" x14ac:dyDescent="0.25">
      <c r="A117" s="1" t="s">
        <v>165</v>
      </c>
      <c r="B117" s="1" t="s">
        <v>44</v>
      </c>
      <c r="C117" s="1">
        <v>213</v>
      </c>
      <c r="D117" s="1"/>
      <c r="E117" s="1">
        <v>4</v>
      </c>
      <c r="F117" s="1">
        <v>209</v>
      </c>
      <c r="G117" s="7">
        <v>0.32500000000000001</v>
      </c>
      <c r="H117" s="1">
        <v>1096</v>
      </c>
      <c r="I117" s="1" t="s">
        <v>40</v>
      </c>
      <c r="J117" s="1"/>
      <c r="K117" s="1">
        <v>4</v>
      </c>
      <c r="L117" s="1">
        <f t="shared" si="21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/>
      <c r="T117" s="1">
        <f t="shared" si="22"/>
        <v>0.8</v>
      </c>
      <c r="U117" s="5"/>
      <c r="V117" s="5">
        <f t="shared" si="16"/>
        <v>0</v>
      </c>
      <c r="W117" s="18"/>
      <c r="X117" s="18"/>
      <c r="Y117" s="1">
        <f t="shared" si="17"/>
        <v>261.25</v>
      </c>
      <c r="Z117" s="1">
        <f t="shared" si="24"/>
        <v>261.25</v>
      </c>
      <c r="AA117" s="1">
        <v>0.8</v>
      </c>
      <c r="AB117" s="1">
        <v>0.8</v>
      </c>
      <c r="AC117" s="1">
        <v>0.4</v>
      </c>
      <c r="AD117" s="1">
        <v>1.2</v>
      </c>
      <c r="AE117" s="1">
        <v>0.8</v>
      </c>
      <c r="AF117" s="1">
        <v>0.4</v>
      </c>
      <c r="AG117" s="1">
        <v>0.6</v>
      </c>
      <c r="AH117" s="1">
        <v>1.4</v>
      </c>
      <c r="AI117" s="1">
        <v>3.4</v>
      </c>
      <c r="AJ117" s="1">
        <v>10.199999999999999</v>
      </c>
      <c r="AK117" s="16" t="s">
        <v>123</v>
      </c>
      <c r="AL117" s="1">
        <f t="shared" si="18"/>
        <v>0</v>
      </c>
    </row>
    <row r="118" spans="1:38" x14ac:dyDescent="0.25">
      <c r="A118" s="1" t="s">
        <v>166</v>
      </c>
      <c r="B118" s="1" t="s">
        <v>44</v>
      </c>
      <c r="C118" s="1">
        <v>564</v>
      </c>
      <c r="D118" s="1">
        <v>2</v>
      </c>
      <c r="E118" s="1">
        <v>26</v>
      </c>
      <c r="F118" s="1">
        <v>540</v>
      </c>
      <c r="G118" s="7">
        <v>0.25</v>
      </c>
      <c r="H118" s="1">
        <v>1096</v>
      </c>
      <c r="I118" s="1" t="s">
        <v>40</v>
      </c>
      <c r="J118" s="1"/>
      <c r="K118" s="1">
        <v>26</v>
      </c>
      <c r="L118" s="1">
        <f t="shared" si="21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/>
      <c r="T118" s="1">
        <f t="shared" si="22"/>
        <v>5.2</v>
      </c>
      <c r="U118" s="5"/>
      <c r="V118" s="5">
        <f t="shared" si="16"/>
        <v>0</v>
      </c>
      <c r="W118" s="18"/>
      <c r="X118" s="18"/>
      <c r="Y118" s="1">
        <f t="shared" si="17"/>
        <v>103.84615384615384</v>
      </c>
      <c r="Z118" s="1">
        <f t="shared" si="24"/>
        <v>103.84615384615384</v>
      </c>
      <c r="AA118" s="1">
        <v>8.6</v>
      </c>
      <c r="AB118" s="1">
        <v>9</v>
      </c>
      <c r="AC118" s="1">
        <v>4.5999999999999996</v>
      </c>
      <c r="AD118" s="1">
        <v>8</v>
      </c>
      <c r="AE118" s="1">
        <v>7.2</v>
      </c>
      <c r="AF118" s="1">
        <v>6.6</v>
      </c>
      <c r="AG118" s="1">
        <v>12.6</v>
      </c>
      <c r="AH118" s="1">
        <v>13.2</v>
      </c>
      <c r="AI118" s="1">
        <v>8</v>
      </c>
      <c r="AJ118" s="1">
        <v>17.600000000000001</v>
      </c>
      <c r="AK118" s="16" t="s">
        <v>123</v>
      </c>
      <c r="AL118" s="1">
        <f t="shared" si="18"/>
        <v>0</v>
      </c>
    </row>
    <row r="119" spans="1:38" x14ac:dyDescent="0.25">
      <c r="A119" s="10" t="s">
        <v>167</v>
      </c>
      <c r="B119" s="10" t="s">
        <v>39</v>
      </c>
      <c r="C119" s="10">
        <v>4.9939999999999998</v>
      </c>
      <c r="D119" s="10"/>
      <c r="E119" s="10">
        <v>1.998</v>
      </c>
      <c r="F119" s="10">
        <v>2.996</v>
      </c>
      <c r="G119" s="11">
        <v>0</v>
      </c>
      <c r="H119" s="10"/>
      <c r="I119" s="10" t="s">
        <v>168</v>
      </c>
      <c r="J119" s="10"/>
      <c r="K119" s="10">
        <v>2.6</v>
      </c>
      <c r="L119" s="10">
        <f t="shared" si="21"/>
        <v>-0.60200000000000009</v>
      </c>
      <c r="M119" s="10"/>
      <c r="N119" s="10"/>
      <c r="O119" s="10">
        <v>0</v>
      </c>
      <c r="P119" s="10">
        <v>0</v>
      </c>
      <c r="Q119" s="10"/>
      <c r="R119" s="10">
        <v>0</v>
      </c>
      <c r="S119" s="10"/>
      <c r="T119" s="10">
        <f t="shared" si="22"/>
        <v>0.39960000000000001</v>
      </c>
      <c r="U119" s="12"/>
      <c r="V119" s="5">
        <f t="shared" si="16"/>
        <v>0</v>
      </c>
      <c r="W119" s="18"/>
      <c r="X119" s="18"/>
      <c r="Y119" s="1">
        <f t="shared" si="17"/>
        <v>7.4974974974974975</v>
      </c>
      <c r="Z119" s="10">
        <f t="shared" si="24"/>
        <v>7.4974974974974975</v>
      </c>
      <c r="AA119" s="10">
        <v>0.1996</v>
      </c>
      <c r="AB119" s="10">
        <v>0.39979999999999999</v>
      </c>
      <c r="AC119" s="10">
        <v>0.80519999999999992</v>
      </c>
      <c r="AD119" s="10">
        <v>1.0044</v>
      </c>
      <c r="AE119" s="10">
        <v>0.39939999999999998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/>
      <c r="AL119" s="1">
        <f t="shared" si="18"/>
        <v>0</v>
      </c>
    </row>
    <row r="120" spans="1:38" x14ac:dyDescent="0.25">
      <c r="A120" s="1" t="s">
        <v>169</v>
      </c>
      <c r="B120" s="1" t="s">
        <v>44</v>
      </c>
      <c r="C120" s="1">
        <v>73</v>
      </c>
      <c r="D120" s="1">
        <v>54</v>
      </c>
      <c r="E120" s="1">
        <v>92</v>
      </c>
      <c r="F120" s="1">
        <v>28</v>
      </c>
      <c r="G120" s="7">
        <v>0.3</v>
      </c>
      <c r="H120" s="1">
        <v>40</v>
      </c>
      <c r="I120" s="1" t="s">
        <v>40</v>
      </c>
      <c r="J120" s="1"/>
      <c r="K120" s="1">
        <v>93</v>
      </c>
      <c r="L120" s="1">
        <f t="shared" si="21"/>
        <v>-1</v>
      </c>
      <c r="M120" s="1"/>
      <c r="N120" s="1"/>
      <c r="O120" s="1">
        <v>0</v>
      </c>
      <c r="P120" s="1">
        <v>150</v>
      </c>
      <c r="Q120" s="1"/>
      <c r="R120" s="1">
        <v>48.19199999999995</v>
      </c>
      <c r="S120" s="1"/>
      <c r="T120" s="1">
        <f t="shared" si="22"/>
        <v>18.399999999999999</v>
      </c>
      <c r="U120" s="5"/>
      <c r="V120" s="5">
        <f t="shared" ref="V120:V121" si="26">W120</f>
        <v>70</v>
      </c>
      <c r="W120" s="18">
        <f>VLOOKUP(A120,[1]Sheet!$A:$W,22,0)</f>
        <v>70</v>
      </c>
      <c r="X120" s="18" t="str">
        <f>VLOOKUP(A120,[1]Sheet!$A:$W,23,0)</f>
        <v>Есть потребность</v>
      </c>
      <c r="Y120" s="1">
        <f t="shared" si="17"/>
        <v>16.097391304347823</v>
      </c>
      <c r="Z120" s="1">
        <f t="shared" si="24"/>
        <v>12.293043478260868</v>
      </c>
      <c r="AA120" s="1">
        <v>22.4</v>
      </c>
      <c r="AB120" s="1">
        <v>10.4</v>
      </c>
      <c r="AC120" s="1">
        <v>2</v>
      </c>
      <c r="AD120" s="1">
        <v>-0.4</v>
      </c>
      <c r="AE120" s="1">
        <v>0</v>
      </c>
      <c r="AF120" s="1">
        <v>0</v>
      </c>
      <c r="AG120" s="1">
        <v>-0.2</v>
      </c>
      <c r="AH120" s="1">
        <v>-0.2</v>
      </c>
      <c r="AI120" s="1">
        <v>-0.6</v>
      </c>
      <c r="AJ120" s="1">
        <v>-0.6</v>
      </c>
      <c r="AK120" s="1"/>
      <c r="AL120" s="1">
        <f t="shared" si="18"/>
        <v>21</v>
      </c>
    </row>
    <row r="121" spans="1:38" x14ac:dyDescent="0.25">
      <c r="A121" s="1" t="s">
        <v>170</v>
      </c>
      <c r="B121" s="1" t="s">
        <v>44</v>
      </c>
      <c r="C121" s="1">
        <v>24</v>
      </c>
      <c r="D121" s="1">
        <v>82</v>
      </c>
      <c r="E121" s="1">
        <v>80</v>
      </c>
      <c r="F121" s="1">
        <v>18</v>
      </c>
      <c r="G121" s="7">
        <v>0.3</v>
      </c>
      <c r="H121" s="1">
        <v>40</v>
      </c>
      <c r="I121" s="1" t="s">
        <v>40</v>
      </c>
      <c r="J121" s="1"/>
      <c r="K121" s="1">
        <v>131</v>
      </c>
      <c r="L121" s="1">
        <f t="shared" si="21"/>
        <v>-51</v>
      </c>
      <c r="M121" s="1"/>
      <c r="N121" s="1"/>
      <c r="O121" s="1">
        <v>151.1</v>
      </c>
      <c r="P121" s="1">
        <v>150</v>
      </c>
      <c r="Q121" s="1"/>
      <c r="R121" s="1">
        <v>0</v>
      </c>
      <c r="S121" s="1"/>
      <c r="T121" s="1">
        <f t="shared" si="22"/>
        <v>16</v>
      </c>
      <c r="U121" s="5"/>
      <c r="V121" s="5">
        <f t="shared" si="26"/>
        <v>70</v>
      </c>
      <c r="W121" s="18">
        <f>VLOOKUP(A121,[1]Sheet!$A:$W,22,0)</f>
        <v>70</v>
      </c>
      <c r="X121" s="18" t="str">
        <f>VLOOKUP(A121,[1]Sheet!$A:$W,23,0)</f>
        <v>Есть потребность</v>
      </c>
      <c r="Y121" s="1">
        <f t="shared" si="17"/>
        <v>24.318750000000001</v>
      </c>
      <c r="Z121" s="1">
        <f t="shared" si="24"/>
        <v>19.943750000000001</v>
      </c>
      <c r="AA121" s="1">
        <v>12.4</v>
      </c>
      <c r="AB121" s="1">
        <v>10.6</v>
      </c>
      <c r="AC121" s="1">
        <v>13.6</v>
      </c>
      <c r="AD121" s="1">
        <v>17.8</v>
      </c>
      <c r="AE121" s="1">
        <v>9.6</v>
      </c>
      <c r="AF121" s="1">
        <v>2.8</v>
      </c>
      <c r="AG121" s="1">
        <v>0</v>
      </c>
      <c r="AH121" s="1">
        <v>0</v>
      </c>
      <c r="AI121" s="1">
        <v>0</v>
      </c>
      <c r="AJ121" s="1">
        <v>0</v>
      </c>
      <c r="AK121" s="1"/>
      <c r="AL121" s="1">
        <f t="shared" si="18"/>
        <v>21</v>
      </c>
    </row>
    <row r="122" spans="1:38" x14ac:dyDescent="0.25">
      <c r="A122" s="1" t="s">
        <v>171</v>
      </c>
      <c r="B122" s="1" t="s">
        <v>39</v>
      </c>
      <c r="C122" s="1">
        <v>37.19</v>
      </c>
      <c r="D122" s="1">
        <v>10.984999999999999</v>
      </c>
      <c r="E122" s="1">
        <v>12.291</v>
      </c>
      <c r="F122" s="1">
        <v>35.884</v>
      </c>
      <c r="G122" s="7">
        <v>1</v>
      </c>
      <c r="H122" s="1">
        <v>50</v>
      </c>
      <c r="I122" s="9" t="s">
        <v>51</v>
      </c>
      <c r="J122" s="1"/>
      <c r="K122" s="1">
        <v>11.7</v>
      </c>
      <c r="L122" s="1">
        <f t="shared" si="21"/>
        <v>0.59100000000000108</v>
      </c>
      <c r="M122" s="1"/>
      <c r="N122" s="1"/>
      <c r="O122" s="1">
        <v>0</v>
      </c>
      <c r="P122" s="1">
        <v>0</v>
      </c>
      <c r="Q122" s="1"/>
      <c r="R122" s="1">
        <v>0</v>
      </c>
      <c r="S122" s="1"/>
      <c r="T122" s="1">
        <f t="shared" si="22"/>
        <v>2.4582000000000002</v>
      </c>
      <c r="U122" s="5"/>
      <c r="V122" s="5">
        <f t="shared" si="16"/>
        <v>0</v>
      </c>
      <c r="W122" s="18"/>
      <c r="X122" s="18"/>
      <c r="Y122" s="1">
        <f t="shared" si="17"/>
        <v>14.597673094133919</v>
      </c>
      <c r="Z122" s="1">
        <f t="shared" si="24"/>
        <v>14.597673094133919</v>
      </c>
      <c r="AA122" s="1">
        <v>2.6316000000000002</v>
      </c>
      <c r="AB122" s="1">
        <v>2.2959999999999998</v>
      </c>
      <c r="AC122" s="1">
        <v>1.5702</v>
      </c>
      <c r="AD122" s="1">
        <v>1.9092</v>
      </c>
      <c r="AE122" s="1">
        <v>4.0663999999999998</v>
      </c>
      <c r="AF122" s="1">
        <v>4.6101999999999999</v>
      </c>
      <c r="AG122" s="1">
        <v>2.0922000000000001</v>
      </c>
      <c r="AH122" s="1">
        <v>1.4174</v>
      </c>
      <c r="AI122" s="1">
        <v>0.68240000000000001</v>
      </c>
      <c r="AJ122" s="1">
        <v>2.1141999999999999</v>
      </c>
      <c r="AK122" s="1"/>
      <c r="AL122" s="1">
        <f t="shared" si="18"/>
        <v>0</v>
      </c>
    </row>
    <row r="123" spans="1:38" x14ac:dyDescent="0.25">
      <c r="A123" s="1" t="s">
        <v>172</v>
      </c>
      <c r="B123" s="1" t="s">
        <v>44</v>
      </c>
      <c r="C123" s="1">
        <v>128</v>
      </c>
      <c r="D123" s="1">
        <v>54</v>
      </c>
      <c r="E123" s="1">
        <v>153</v>
      </c>
      <c r="F123" s="1">
        <v>23</v>
      </c>
      <c r="G123" s="7">
        <v>0.3</v>
      </c>
      <c r="H123" s="1">
        <v>40</v>
      </c>
      <c r="I123" s="1" t="s">
        <v>40</v>
      </c>
      <c r="J123" s="1"/>
      <c r="K123" s="1">
        <v>167</v>
      </c>
      <c r="L123" s="1">
        <f t="shared" si="21"/>
        <v>-14</v>
      </c>
      <c r="M123" s="1"/>
      <c r="N123" s="1"/>
      <c r="O123" s="1">
        <v>0</v>
      </c>
      <c r="P123" s="1">
        <v>0</v>
      </c>
      <c r="Q123" s="1"/>
      <c r="R123" s="1">
        <v>132.68</v>
      </c>
      <c r="S123" s="1"/>
      <c r="T123" s="1">
        <f t="shared" si="22"/>
        <v>30.6</v>
      </c>
      <c r="U123" s="5">
        <f t="shared" ref="U123" si="27">11*T123-S123-R123-Q123-P123-O123-F123</f>
        <v>180.92000000000002</v>
      </c>
      <c r="V123" s="5">
        <f t="shared" si="16"/>
        <v>180.92000000000002</v>
      </c>
      <c r="W123" s="18"/>
      <c r="X123" s="18"/>
      <c r="Y123" s="1">
        <f t="shared" si="17"/>
        <v>11</v>
      </c>
      <c r="Z123" s="1">
        <f t="shared" si="24"/>
        <v>5.0875816993464049</v>
      </c>
      <c r="AA123" s="1">
        <v>21</v>
      </c>
      <c r="AB123" s="1">
        <v>9</v>
      </c>
      <c r="AC123" s="1">
        <v>1.8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/>
      <c r="AL123" s="1">
        <f t="shared" si="18"/>
        <v>54</v>
      </c>
    </row>
    <row r="124" spans="1:38" x14ac:dyDescent="0.25">
      <c r="A124" s="1" t="s">
        <v>173</v>
      </c>
      <c r="B124" s="1" t="s">
        <v>44</v>
      </c>
      <c r="C124" s="1">
        <v>18</v>
      </c>
      <c r="D124" s="1">
        <v>60</v>
      </c>
      <c r="E124" s="1">
        <v>9</v>
      </c>
      <c r="F124" s="1">
        <v>58</v>
      </c>
      <c r="G124" s="7">
        <v>0.12</v>
      </c>
      <c r="H124" s="1">
        <v>45</v>
      </c>
      <c r="I124" s="1" t="s">
        <v>40</v>
      </c>
      <c r="J124" s="1"/>
      <c r="K124" s="1">
        <v>20</v>
      </c>
      <c r="L124" s="1">
        <f t="shared" si="21"/>
        <v>-11</v>
      </c>
      <c r="M124" s="1"/>
      <c r="N124" s="1"/>
      <c r="O124" s="1">
        <v>63.900000000000013</v>
      </c>
      <c r="P124" s="1">
        <v>0</v>
      </c>
      <c r="Q124" s="1"/>
      <c r="R124" s="1">
        <v>0</v>
      </c>
      <c r="S124" s="1"/>
      <c r="T124" s="1">
        <f t="shared" si="22"/>
        <v>1.8</v>
      </c>
      <c r="U124" s="5"/>
      <c r="V124" s="5">
        <f t="shared" si="16"/>
        <v>0</v>
      </c>
      <c r="W124" s="18"/>
      <c r="X124" s="18"/>
      <c r="Y124" s="1">
        <f t="shared" si="17"/>
        <v>67.722222222222229</v>
      </c>
      <c r="Z124" s="1">
        <f t="shared" si="24"/>
        <v>67.722222222222229</v>
      </c>
      <c r="AA124" s="1">
        <v>7</v>
      </c>
      <c r="AB124" s="1">
        <v>7.6</v>
      </c>
      <c r="AC124" s="1">
        <v>9.8000000000000007</v>
      </c>
      <c r="AD124" s="1">
        <v>9.4</v>
      </c>
      <c r="AE124" s="1">
        <v>5.2</v>
      </c>
      <c r="AF124" s="1">
        <v>6.6</v>
      </c>
      <c r="AG124" s="1">
        <v>8.1999999999999993</v>
      </c>
      <c r="AH124" s="1">
        <v>10</v>
      </c>
      <c r="AI124" s="1">
        <v>9.1999999999999993</v>
      </c>
      <c r="AJ124" s="1">
        <v>3.6</v>
      </c>
      <c r="AK124" s="16" t="s">
        <v>123</v>
      </c>
      <c r="AL124" s="1">
        <f t="shared" si="18"/>
        <v>0</v>
      </c>
    </row>
    <row r="125" spans="1:38" x14ac:dyDescent="0.25">
      <c r="A125" s="10" t="s">
        <v>174</v>
      </c>
      <c r="B125" s="10" t="s">
        <v>44</v>
      </c>
      <c r="C125" s="10">
        <v>27</v>
      </c>
      <c r="D125" s="10">
        <v>26</v>
      </c>
      <c r="E125" s="13">
        <v>53</v>
      </c>
      <c r="F125" s="13">
        <v>-3</v>
      </c>
      <c r="G125" s="11">
        <v>0</v>
      </c>
      <c r="H125" s="10"/>
      <c r="I125" s="10" t="s">
        <v>175</v>
      </c>
      <c r="J125" s="10" t="s">
        <v>96</v>
      </c>
      <c r="K125" s="10">
        <v>53</v>
      </c>
      <c r="L125" s="10">
        <f t="shared" si="21"/>
        <v>0</v>
      </c>
      <c r="M125" s="10"/>
      <c r="N125" s="10"/>
      <c r="O125" s="10">
        <v>0</v>
      </c>
      <c r="P125" s="10">
        <v>0</v>
      </c>
      <c r="Q125" s="10"/>
      <c r="R125" s="10">
        <v>0</v>
      </c>
      <c r="S125" s="10"/>
      <c r="T125" s="10">
        <f t="shared" si="22"/>
        <v>10.6</v>
      </c>
      <c r="U125" s="12"/>
      <c r="V125" s="5">
        <f t="shared" si="16"/>
        <v>0</v>
      </c>
      <c r="W125" s="18"/>
      <c r="X125" s="18"/>
      <c r="Y125" s="1">
        <f t="shared" si="17"/>
        <v>-0.28301886792452829</v>
      </c>
      <c r="Z125" s="10">
        <f t="shared" si="24"/>
        <v>-0.28301886792452829</v>
      </c>
      <c r="AA125" s="10">
        <v>7.4</v>
      </c>
      <c r="AB125" s="10">
        <v>11</v>
      </c>
      <c r="AC125" s="10">
        <v>13.2</v>
      </c>
      <c r="AD125" s="10">
        <v>14.8</v>
      </c>
      <c r="AE125" s="10">
        <v>10.199999999999999</v>
      </c>
      <c r="AF125" s="10">
        <v>8.1999999999999993</v>
      </c>
      <c r="AG125" s="10">
        <v>11.6</v>
      </c>
      <c r="AH125" s="10">
        <v>7.4</v>
      </c>
      <c r="AI125" s="10">
        <v>6.2</v>
      </c>
      <c r="AJ125" s="10">
        <v>15.4</v>
      </c>
      <c r="AK125" s="10"/>
      <c r="AL125" s="1">
        <f t="shared" si="18"/>
        <v>0</v>
      </c>
    </row>
    <row r="126" spans="1:38" x14ac:dyDescent="0.25">
      <c r="A126" s="14" t="s">
        <v>176</v>
      </c>
      <c r="B126" s="1" t="s">
        <v>39</v>
      </c>
      <c r="C126" s="1"/>
      <c r="D126" s="1"/>
      <c r="E126" s="1"/>
      <c r="F126" s="1"/>
      <c r="G126" s="7">
        <v>1</v>
      </c>
      <c r="H126" s="1"/>
      <c r="I126" s="1" t="s">
        <v>40</v>
      </c>
      <c r="J126" s="1"/>
      <c r="K126" s="1"/>
      <c r="L126" s="1">
        <f t="shared" si="21"/>
        <v>0</v>
      </c>
      <c r="M126" s="1"/>
      <c r="N126" s="1"/>
      <c r="O126" s="1">
        <v>0</v>
      </c>
      <c r="P126" s="1">
        <v>0</v>
      </c>
      <c r="Q126" s="1"/>
      <c r="R126" s="1">
        <v>0</v>
      </c>
      <c r="S126" s="1"/>
      <c r="T126" s="1">
        <f t="shared" si="22"/>
        <v>0</v>
      </c>
      <c r="U126" s="5"/>
      <c r="V126" s="5">
        <f>W126</f>
        <v>60</v>
      </c>
      <c r="W126" s="18">
        <f>VLOOKUP(A126,[1]Sheet!$A:$W,22,0)</f>
        <v>60</v>
      </c>
      <c r="X126" s="18" t="str">
        <f>VLOOKUP(A126,[1]Sheet!$A:$W,23,0)</f>
        <v>Новинка</v>
      </c>
      <c r="Y126" s="1" t="e">
        <f t="shared" si="17"/>
        <v>#DIV/0!</v>
      </c>
      <c r="Z126" s="1" t="e">
        <f t="shared" si="24"/>
        <v>#DIV/0!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 t="s">
        <v>185</v>
      </c>
      <c r="AL126" s="1">
        <f t="shared" si="18"/>
        <v>60</v>
      </c>
    </row>
    <row r="127" spans="1:38" x14ac:dyDescent="0.25">
      <c r="A127" s="10" t="s">
        <v>180</v>
      </c>
      <c r="B127" s="10" t="s">
        <v>39</v>
      </c>
      <c r="C127" s="10"/>
      <c r="D127" s="10"/>
      <c r="E127" s="10"/>
      <c r="F127" s="10"/>
      <c r="G127" s="11">
        <v>0</v>
      </c>
      <c r="H127" s="10"/>
      <c r="I127" s="10" t="s">
        <v>40</v>
      </c>
      <c r="J127" s="10"/>
      <c r="K127" s="10"/>
      <c r="L127" s="10">
        <f t="shared" si="21"/>
        <v>0</v>
      </c>
      <c r="M127" s="10"/>
      <c r="N127" s="10"/>
      <c r="O127" s="10">
        <v>0</v>
      </c>
      <c r="P127" s="10">
        <v>0</v>
      </c>
      <c r="Q127" s="10"/>
      <c r="R127" s="10">
        <v>0</v>
      </c>
      <c r="S127" s="10"/>
      <c r="T127" s="10">
        <f t="shared" si="22"/>
        <v>0</v>
      </c>
      <c r="U127" s="12"/>
      <c r="V127" s="5">
        <f t="shared" si="16"/>
        <v>0</v>
      </c>
      <c r="W127" s="18"/>
      <c r="X127" s="18"/>
      <c r="Y127" s="1" t="e">
        <f t="shared" si="17"/>
        <v>#DIV/0!</v>
      </c>
      <c r="Z127" s="10" t="e">
        <f t="shared" si="24"/>
        <v>#DIV/0!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 t="s">
        <v>45</v>
      </c>
      <c r="AL127" s="1">
        <f t="shared" si="18"/>
        <v>0</v>
      </c>
    </row>
    <row r="128" spans="1:38" x14ac:dyDescent="0.25">
      <c r="A128" s="10" t="s">
        <v>181</v>
      </c>
      <c r="B128" s="10" t="s">
        <v>39</v>
      </c>
      <c r="C128" s="10"/>
      <c r="D128" s="10"/>
      <c r="E128" s="10"/>
      <c r="F128" s="10"/>
      <c r="G128" s="11">
        <v>0</v>
      </c>
      <c r="H128" s="10"/>
      <c r="I128" s="10" t="s">
        <v>40</v>
      </c>
      <c r="J128" s="10"/>
      <c r="K128" s="10"/>
      <c r="L128" s="10">
        <f t="shared" si="21"/>
        <v>0</v>
      </c>
      <c r="M128" s="10"/>
      <c r="N128" s="10"/>
      <c r="O128" s="10">
        <v>0</v>
      </c>
      <c r="P128" s="10">
        <v>0</v>
      </c>
      <c r="Q128" s="10"/>
      <c r="R128" s="10">
        <v>0</v>
      </c>
      <c r="S128" s="10"/>
      <c r="T128" s="10">
        <f t="shared" si="22"/>
        <v>0</v>
      </c>
      <c r="U128" s="12"/>
      <c r="V128" s="5">
        <f t="shared" si="16"/>
        <v>0</v>
      </c>
      <c r="W128" s="18"/>
      <c r="X128" s="18"/>
      <c r="Y128" s="1" t="e">
        <f t="shared" si="17"/>
        <v>#DIV/0!</v>
      </c>
      <c r="Z128" s="10" t="e">
        <f t="shared" si="24"/>
        <v>#DIV/0!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 t="s">
        <v>45</v>
      </c>
      <c r="AL128" s="1">
        <f t="shared" si="18"/>
        <v>0</v>
      </c>
    </row>
    <row r="129" spans="1:3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</sheetData>
  <autoFilter ref="A3:AL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2026-10-27T10:14:26Z</dcterms:created>
  <dcterms:modified xsi:type="dcterms:W3CDTF">2026-10-28T08:52:22Z</dcterms:modified>
</cp:coreProperties>
</file>