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A80FD57-F8BA-47FA-B84F-77772A5D4C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0,09" sheetId="2" r:id="rId2"/>
    <sheet name="дефицит 21,09" sheetId="3" r:id="rId3"/>
  </sheets>
  <definedNames>
    <definedName name="_xlnm._FilterDatabase" localSheetId="0" hidden="1">Sheet!$A$3:$AQ$132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" i="1" l="1"/>
  <c r="W5" i="1"/>
  <c r="AA132" i="1" l="1"/>
  <c r="Y132" i="1"/>
  <c r="AE132" i="1" s="1"/>
  <c r="L132" i="1"/>
  <c r="AA131" i="1"/>
  <c r="Y131" i="1"/>
  <c r="AE131" i="1" s="1"/>
  <c r="L131" i="1"/>
  <c r="AA130" i="1"/>
  <c r="Y130" i="1"/>
  <c r="AE130" i="1" s="1"/>
  <c r="L130" i="1"/>
  <c r="Y129" i="1"/>
  <c r="Z129" i="1" s="1"/>
  <c r="AA129" i="1" s="1"/>
  <c r="L129" i="1"/>
  <c r="AA128" i="1"/>
  <c r="AQ128" i="1" s="1"/>
  <c r="Y128" i="1"/>
  <c r="AE128" i="1" s="1"/>
  <c r="L128" i="1"/>
  <c r="AA127" i="1"/>
  <c r="AQ127" i="1" s="1"/>
  <c r="Y127" i="1"/>
  <c r="AE127" i="1" s="1"/>
  <c r="L127" i="1"/>
  <c r="AA126" i="1"/>
  <c r="AQ126" i="1" s="1"/>
  <c r="Y126" i="1"/>
  <c r="AE126" i="1" s="1"/>
  <c r="L126" i="1"/>
  <c r="AA125" i="1"/>
  <c r="AQ125" i="1" s="1"/>
  <c r="Y125" i="1"/>
  <c r="AE125" i="1" s="1"/>
  <c r="L125" i="1"/>
  <c r="AA124" i="1"/>
  <c r="AQ124" i="1" s="1"/>
  <c r="Y124" i="1"/>
  <c r="AE124" i="1" s="1"/>
  <c r="L124" i="1"/>
  <c r="AA123" i="1"/>
  <c r="AQ123" i="1" s="1"/>
  <c r="Y123" i="1"/>
  <c r="L123" i="1"/>
  <c r="F123" i="1"/>
  <c r="AE123" i="1" s="1"/>
  <c r="AA122" i="1"/>
  <c r="Y122" i="1"/>
  <c r="AE122" i="1" s="1"/>
  <c r="L122" i="1"/>
  <c r="AA121" i="1"/>
  <c r="Y121" i="1"/>
  <c r="AE121" i="1" s="1"/>
  <c r="L121" i="1"/>
  <c r="Y120" i="1"/>
  <c r="Z120" i="1" s="1"/>
  <c r="AA120" i="1" s="1"/>
  <c r="L120" i="1"/>
  <c r="AA119" i="1"/>
  <c r="AQ119" i="1" s="1"/>
  <c r="Y119" i="1"/>
  <c r="AE119" i="1" s="1"/>
  <c r="L119" i="1"/>
  <c r="Y118" i="1"/>
  <c r="AE118" i="1" s="1"/>
  <c r="L118" i="1"/>
  <c r="AA117" i="1"/>
  <c r="Y117" i="1"/>
  <c r="AE117" i="1" s="1"/>
  <c r="L117" i="1"/>
  <c r="AA116" i="1"/>
  <c r="Y116" i="1"/>
  <c r="AE116" i="1" s="1"/>
  <c r="L116" i="1"/>
  <c r="AA115" i="1"/>
  <c r="Y115" i="1"/>
  <c r="AE115" i="1" s="1"/>
  <c r="L115" i="1"/>
  <c r="AA114" i="1"/>
  <c r="Y114" i="1"/>
  <c r="AE114" i="1" s="1"/>
  <c r="L114" i="1"/>
  <c r="AA113" i="1"/>
  <c r="Y113" i="1"/>
  <c r="AE113" i="1" s="1"/>
  <c r="L113" i="1"/>
  <c r="AA112" i="1"/>
  <c r="Y112" i="1"/>
  <c r="AE112" i="1" s="1"/>
  <c r="L112" i="1"/>
  <c r="AA111" i="1"/>
  <c r="Y111" i="1"/>
  <c r="AE111" i="1" s="1"/>
  <c r="L111" i="1"/>
  <c r="AA110" i="1"/>
  <c r="Y110" i="1"/>
  <c r="AE110" i="1" s="1"/>
  <c r="L110" i="1"/>
  <c r="AA109" i="1"/>
  <c r="Y109" i="1"/>
  <c r="AE109" i="1" s="1"/>
  <c r="L109" i="1"/>
  <c r="AA108" i="1"/>
  <c r="Y108" i="1"/>
  <c r="AE108" i="1" s="1"/>
  <c r="L108" i="1"/>
  <c r="AA107" i="1"/>
  <c r="Y107" i="1"/>
  <c r="AE107" i="1" s="1"/>
  <c r="L107" i="1"/>
  <c r="AA106" i="1"/>
  <c r="Y106" i="1"/>
  <c r="AE106" i="1" s="1"/>
  <c r="L106" i="1"/>
  <c r="Y105" i="1"/>
  <c r="Z105" i="1" s="1"/>
  <c r="AA105" i="1" s="1"/>
  <c r="L105" i="1"/>
  <c r="Y104" i="1"/>
  <c r="AE104" i="1" s="1"/>
  <c r="L104" i="1"/>
  <c r="AA103" i="1"/>
  <c r="Y103" i="1"/>
  <c r="AE103" i="1" s="1"/>
  <c r="L103" i="1"/>
  <c r="AA102" i="1"/>
  <c r="Y102" i="1"/>
  <c r="AE102" i="1" s="1"/>
  <c r="L102" i="1"/>
  <c r="AA101" i="1"/>
  <c r="Y101" i="1"/>
  <c r="AE101" i="1" s="1"/>
  <c r="L101" i="1"/>
  <c r="AA100" i="1"/>
  <c r="Y100" i="1"/>
  <c r="AE100" i="1" s="1"/>
  <c r="L100" i="1"/>
  <c r="AA99" i="1"/>
  <c r="Y99" i="1"/>
  <c r="AE99" i="1" s="1"/>
  <c r="L99" i="1"/>
  <c r="AA98" i="1"/>
  <c r="Y98" i="1"/>
  <c r="AE98" i="1" s="1"/>
  <c r="L98" i="1"/>
  <c r="AA97" i="1"/>
  <c r="Y97" i="1"/>
  <c r="AE97" i="1" s="1"/>
  <c r="L97" i="1"/>
  <c r="AA96" i="1"/>
  <c r="Y96" i="1"/>
  <c r="AE96" i="1" s="1"/>
  <c r="L96" i="1"/>
  <c r="AA95" i="1"/>
  <c r="Y95" i="1"/>
  <c r="AE95" i="1" s="1"/>
  <c r="L95" i="1"/>
  <c r="AA94" i="1"/>
  <c r="Y94" i="1"/>
  <c r="AE94" i="1" s="1"/>
  <c r="L94" i="1"/>
  <c r="AA93" i="1"/>
  <c r="Y93" i="1"/>
  <c r="AE93" i="1" s="1"/>
  <c r="L93" i="1"/>
  <c r="AA92" i="1"/>
  <c r="Y92" i="1"/>
  <c r="AE92" i="1" s="1"/>
  <c r="L92" i="1"/>
  <c r="AQ91" i="1"/>
  <c r="Y91" i="1"/>
  <c r="AD91" i="1" s="1"/>
  <c r="L91" i="1"/>
  <c r="AQ90" i="1"/>
  <c r="Y90" i="1"/>
  <c r="AD90" i="1" s="1"/>
  <c r="L90" i="1"/>
  <c r="AA89" i="1"/>
  <c r="Y89" i="1"/>
  <c r="AE89" i="1" s="1"/>
  <c r="L89" i="1"/>
  <c r="Y88" i="1"/>
  <c r="Z88" i="1" s="1"/>
  <c r="AA88" i="1" s="1"/>
  <c r="L88" i="1"/>
  <c r="AA87" i="1"/>
  <c r="AQ87" i="1" s="1"/>
  <c r="Y87" i="1"/>
  <c r="AE87" i="1" s="1"/>
  <c r="L87" i="1"/>
  <c r="AA86" i="1"/>
  <c r="AQ86" i="1" s="1"/>
  <c r="Y86" i="1"/>
  <c r="AE86" i="1" s="1"/>
  <c r="L86" i="1"/>
  <c r="AA85" i="1"/>
  <c r="AQ85" i="1" s="1"/>
  <c r="Y85" i="1"/>
  <c r="AE85" i="1" s="1"/>
  <c r="L85" i="1"/>
  <c r="AA84" i="1"/>
  <c r="AQ84" i="1" s="1"/>
  <c r="Y84" i="1"/>
  <c r="AE84" i="1" s="1"/>
  <c r="L84" i="1"/>
  <c r="AA83" i="1"/>
  <c r="AQ83" i="1" s="1"/>
  <c r="Y83" i="1"/>
  <c r="AE83" i="1" s="1"/>
  <c r="L83" i="1"/>
  <c r="Y82" i="1"/>
  <c r="AE82" i="1" s="1"/>
  <c r="L82" i="1"/>
  <c r="AA81" i="1"/>
  <c r="Y81" i="1"/>
  <c r="AE81" i="1" s="1"/>
  <c r="L81" i="1"/>
  <c r="Y80" i="1"/>
  <c r="Z80" i="1" s="1"/>
  <c r="AA80" i="1" s="1"/>
  <c r="L80" i="1"/>
  <c r="Y79" i="1"/>
  <c r="AE79" i="1" s="1"/>
  <c r="L79" i="1"/>
  <c r="AA78" i="1"/>
  <c r="Y78" i="1"/>
  <c r="AE78" i="1" s="1"/>
  <c r="L78" i="1"/>
  <c r="AA77" i="1"/>
  <c r="Y77" i="1"/>
  <c r="AE77" i="1" s="1"/>
  <c r="L77" i="1"/>
  <c r="AA76" i="1"/>
  <c r="Y76" i="1"/>
  <c r="AE76" i="1" s="1"/>
  <c r="L76" i="1"/>
  <c r="AA75" i="1"/>
  <c r="Y75" i="1"/>
  <c r="AE75" i="1" s="1"/>
  <c r="L75" i="1"/>
  <c r="Y74" i="1"/>
  <c r="Z74" i="1" s="1"/>
  <c r="AA74" i="1" s="1"/>
  <c r="L74" i="1"/>
  <c r="F73" i="1"/>
  <c r="E73" i="1"/>
  <c r="Y73" i="1" s="1"/>
  <c r="AA72" i="1"/>
  <c r="Y72" i="1"/>
  <c r="AE72" i="1" s="1"/>
  <c r="L72" i="1"/>
  <c r="AA71" i="1"/>
  <c r="Y71" i="1"/>
  <c r="AE71" i="1" s="1"/>
  <c r="L71" i="1"/>
  <c r="AA70" i="1"/>
  <c r="Y70" i="1"/>
  <c r="AE70" i="1" s="1"/>
  <c r="L70" i="1"/>
  <c r="AA69" i="1"/>
  <c r="Y69" i="1"/>
  <c r="AE69" i="1" s="1"/>
  <c r="L69" i="1"/>
  <c r="AA68" i="1"/>
  <c r="Y68" i="1"/>
  <c r="AE68" i="1" s="1"/>
  <c r="L68" i="1"/>
  <c r="AA67" i="1"/>
  <c r="Y67" i="1"/>
  <c r="AE67" i="1" s="1"/>
  <c r="L67" i="1"/>
  <c r="AA66" i="1"/>
  <c r="Y66" i="1"/>
  <c r="AE66" i="1" s="1"/>
  <c r="L66" i="1"/>
  <c r="AA65" i="1"/>
  <c r="Y65" i="1"/>
  <c r="AE65" i="1" s="1"/>
  <c r="L65" i="1"/>
  <c r="AA64" i="1"/>
  <c r="Y64" i="1"/>
  <c r="AE64" i="1" s="1"/>
  <c r="L64" i="1"/>
  <c r="AA63" i="1"/>
  <c r="Y63" i="1"/>
  <c r="AE63" i="1" s="1"/>
  <c r="L63" i="1"/>
  <c r="AA62" i="1"/>
  <c r="Y62" i="1"/>
  <c r="AE62" i="1" s="1"/>
  <c r="L62" i="1"/>
  <c r="AA61" i="1"/>
  <c r="Y61" i="1"/>
  <c r="AE61" i="1" s="1"/>
  <c r="L61" i="1"/>
  <c r="AA60" i="1"/>
  <c r="Y60" i="1"/>
  <c r="AE60" i="1" s="1"/>
  <c r="L60" i="1"/>
  <c r="Y59" i="1"/>
  <c r="Z59" i="1" s="1"/>
  <c r="AA59" i="1" s="1"/>
  <c r="L59" i="1"/>
  <c r="F58" i="1"/>
  <c r="E58" i="1"/>
  <c r="Y58" i="1" s="1"/>
  <c r="AA57" i="1"/>
  <c r="Y57" i="1"/>
  <c r="AE57" i="1" s="1"/>
  <c r="L57" i="1"/>
  <c r="AA56" i="1"/>
  <c r="Y56" i="1"/>
  <c r="AE56" i="1" s="1"/>
  <c r="L56" i="1"/>
  <c r="AA55" i="1"/>
  <c r="Y55" i="1"/>
  <c r="AE55" i="1" s="1"/>
  <c r="L55" i="1"/>
  <c r="AA54" i="1"/>
  <c r="Y54" i="1"/>
  <c r="AE54" i="1" s="1"/>
  <c r="L54" i="1"/>
  <c r="AA53" i="1"/>
  <c r="Y53" i="1"/>
  <c r="AE53" i="1" s="1"/>
  <c r="L53" i="1"/>
  <c r="AA52" i="1"/>
  <c r="AQ52" i="1" s="1"/>
  <c r="Y52" i="1"/>
  <c r="AE52" i="1" s="1"/>
  <c r="L52" i="1"/>
  <c r="AA51" i="1"/>
  <c r="AQ51" i="1" s="1"/>
  <c r="Y51" i="1"/>
  <c r="AE51" i="1" s="1"/>
  <c r="L51" i="1"/>
  <c r="Y50" i="1"/>
  <c r="AE50" i="1" s="1"/>
  <c r="L50" i="1"/>
  <c r="AA49" i="1"/>
  <c r="AQ49" i="1" s="1"/>
  <c r="Y49" i="1"/>
  <c r="AE49" i="1" s="1"/>
  <c r="L49" i="1"/>
  <c r="AA48" i="1"/>
  <c r="AQ48" i="1" s="1"/>
  <c r="Y48" i="1"/>
  <c r="AE48" i="1" s="1"/>
  <c r="L48" i="1"/>
  <c r="AA47" i="1"/>
  <c r="AQ47" i="1" s="1"/>
  <c r="Y47" i="1"/>
  <c r="AE47" i="1" s="1"/>
  <c r="L47" i="1"/>
  <c r="AA46" i="1"/>
  <c r="AQ46" i="1" s="1"/>
  <c r="Y46" i="1"/>
  <c r="AE46" i="1" s="1"/>
  <c r="L46" i="1"/>
  <c r="AA45" i="1"/>
  <c r="AQ45" i="1" s="1"/>
  <c r="Y45" i="1"/>
  <c r="AE45" i="1" s="1"/>
  <c r="L45" i="1"/>
  <c r="AA44" i="1"/>
  <c r="AQ44" i="1" s="1"/>
  <c r="Y44" i="1"/>
  <c r="AE44" i="1" s="1"/>
  <c r="L44" i="1"/>
  <c r="Y43" i="1"/>
  <c r="Z43" i="1" s="1"/>
  <c r="AA43" i="1" s="1"/>
  <c r="L43" i="1"/>
  <c r="Y42" i="1"/>
  <c r="L42" i="1"/>
  <c r="AA41" i="1"/>
  <c r="AQ41" i="1" s="1"/>
  <c r="Y41" i="1"/>
  <c r="AE41" i="1" s="1"/>
  <c r="L41" i="1"/>
  <c r="Y40" i="1"/>
  <c r="Z40" i="1" s="1"/>
  <c r="AA40" i="1" s="1"/>
  <c r="L40" i="1"/>
  <c r="AA39" i="1"/>
  <c r="AQ39" i="1" s="1"/>
  <c r="Y39" i="1"/>
  <c r="AE39" i="1" s="1"/>
  <c r="L39" i="1"/>
  <c r="AA38" i="1"/>
  <c r="AQ38" i="1" s="1"/>
  <c r="Y38" i="1"/>
  <c r="AE38" i="1" s="1"/>
  <c r="L38" i="1"/>
  <c r="AA37" i="1"/>
  <c r="AQ37" i="1" s="1"/>
  <c r="Y37" i="1"/>
  <c r="AE37" i="1" s="1"/>
  <c r="L37" i="1"/>
  <c r="AA36" i="1"/>
  <c r="AQ36" i="1" s="1"/>
  <c r="Y36" i="1"/>
  <c r="AE36" i="1" s="1"/>
  <c r="L36" i="1"/>
  <c r="AA35" i="1"/>
  <c r="AQ35" i="1" s="1"/>
  <c r="Y35" i="1"/>
  <c r="AE35" i="1" s="1"/>
  <c r="L35" i="1"/>
  <c r="AA34" i="1"/>
  <c r="AQ34" i="1" s="1"/>
  <c r="Y34" i="1"/>
  <c r="AE34" i="1" s="1"/>
  <c r="L34" i="1"/>
  <c r="AA33" i="1"/>
  <c r="AQ33" i="1" s="1"/>
  <c r="Y33" i="1"/>
  <c r="AE33" i="1" s="1"/>
  <c r="L33" i="1"/>
  <c r="AA32" i="1"/>
  <c r="AQ32" i="1" s="1"/>
  <c r="Y32" i="1"/>
  <c r="AE32" i="1" s="1"/>
  <c r="L32" i="1"/>
  <c r="AA31" i="1"/>
  <c r="AQ31" i="1" s="1"/>
  <c r="Y31" i="1"/>
  <c r="AE31" i="1" s="1"/>
  <c r="L31" i="1"/>
  <c r="AA30" i="1"/>
  <c r="AQ30" i="1" s="1"/>
  <c r="Y30" i="1"/>
  <c r="AE30" i="1" s="1"/>
  <c r="L30" i="1"/>
  <c r="AA29" i="1"/>
  <c r="AQ29" i="1" s="1"/>
  <c r="Y29" i="1"/>
  <c r="AE29" i="1" s="1"/>
  <c r="L29" i="1"/>
  <c r="Y28" i="1"/>
  <c r="AE28" i="1" s="1"/>
  <c r="L28" i="1"/>
  <c r="Y27" i="1"/>
  <c r="Z27" i="1" s="1"/>
  <c r="AA27" i="1" s="1"/>
  <c r="L27" i="1"/>
  <c r="AA26" i="1"/>
  <c r="AQ26" i="1" s="1"/>
  <c r="Y26" i="1"/>
  <c r="AE26" i="1" s="1"/>
  <c r="L26" i="1"/>
  <c r="Y25" i="1"/>
  <c r="L25" i="1"/>
  <c r="AA24" i="1"/>
  <c r="AQ24" i="1" s="1"/>
  <c r="Y24" i="1"/>
  <c r="AE24" i="1" s="1"/>
  <c r="L24" i="1"/>
  <c r="AA23" i="1"/>
  <c r="AQ23" i="1" s="1"/>
  <c r="Y23" i="1"/>
  <c r="AE23" i="1" s="1"/>
  <c r="L23" i="1"/>
  <c r="AA22" i="1"/>
  <c r="AQ22" i="1" s="1"/>
  <c r="Y22" i="1"/>
  <c r="AE22" i="1" s="1"/>
  <c r="L22" i="1"/>
  <c r="AQ21" i="1"/>
  <c r="Y21" i="1"/>
  <c r="AD21" i="1" s="1"/>
  <c r="L21" i="1"/>
  <c r="AA20" i="1"/>
  <c r="AQ20" i="1" s="1"/>
  <c r="Y20" i="1"/>
  <c r="AE20" i="1" s="1"/>
  <c r="L20" i="1"/>
  <c r="AA19" i="1"/>
  <c r="AQ19" i="1" s="1"/>
  <c r="Y19" i="1"/>
  <c r="AE19" i="1" s="1"/>
  <c r="L19" i="1"/>
  <c r="AA18" i="1"/>
  <c r="AQ18" i="1" s="1"/>
  <c r="Y18" i="1"/>
  <c r="AE18" i="1" s="1"/>
  <c r="L18" i="1"/>
  <c r="AA17" i="1"/>
  <c r="AQ17" i="1" s="1"/>
  <c r="Y17" i="1"/>
  <c r="AE17" i="1" s="1"/>
  <c r="L17" i="1"/>
  <c r="AQ16" i="1"/>
  <c r="Y16" i="1"/>
  <c r="AE16" i="1" s="1"/>
  <c r="L16" i="1"/>
  <c r="Y15" i="1"/>
  <c r="AE15" i="1" s="1"/>
  <c r="L15" i="1"/>
  <c r="AA14" i="1"/>
  <c r="AQ14" i="1" s="1"/>
  <c r="Y14" i="1"/>
  <c r="AE14" i="1" s="1"/>
  <c r="L14" i="1"/>
  <c r="AA13" i="1"/>
  <c r="AQ13" i="1" s="1"/>
  <c r="Y13" i="1"/>
  <c r="AE13" i="1" s="1"/>
  <c r="L13" i="1"/>
  <c r="Y12" i="1"/>
  <c r="Z12" i="1" s="1"/>
  <c r="AA12" i="1" s="1"/>
  <c r="L12" i="1"/>
  <c r="Y11" i="1"/>
  <c r="L11" i="1"/>
  <c r="AA10" i="1"/>
  <c r="AQ10" i="1" s="1"/>
  <c r="Y10" i="1"/>
  <c r="AE10" i="1" s="1"/>
  <c r="L10" i="1"/>
  <c r="AA9" i="1"/>
  <c r="AQ9" i="1" s="1"/>
  <c r="Y9" i="1"/>
  <c r="AE9" i="1" s="1"/>
  <c r="L9" i="1"/>
  <c r="Y8" i="1"/>
  <c r="Z8" i="1" s="1"/>
  <c r="AA8" i="1" s="1"/>
  <c r="L8" i="1"/>
  <c r="Y7" i="1"/>
  <c r="AE7" i="1" s="1"/>
  <c r="L7" i="1"/>
  <c r="Y6" i="1"/>
  <c r="L6" i="1"/>
  <c r="AO5" i="1"/>
  <c r="AN5" i="1"/>
  <c r="AM5" i="1"/>
  <c r="AL5" i="1"/>
  <c r="AK5" i="1"/>
  <c r="AJ5" i="1"/>
  <c r="AI5" i="1"/>
  <c r="AH5" i="1"/>
  <c r="AG5" i="1"/>
  <c r="AF5" i="1"/>
  <c r="AC5" i="1"/>
  <c r="X5" i="1"/>
  <c r="V5" i="1"/>
  <c r="U5" i="1"/>
  <c r="T5" i="1"/>
  <c r="S5" i="1"/>
  <c r="R5" i="1"/>
  <c r="Q5" i="1"/>
  <c r="P5" i="1"/>
  <c r="O5" i="1"/>
  <c r="N5" i="1"/>
  <c r="M5" i="1"/>
  <c r="K5" i="1"/>
  <c r="Y5" i="1" l="1"/>
  <c r="Z7" i="1"/>
  <c r="AA7" i="1" s="1"/>
  <c r="AD7" i="1" s="1"/>
  <c r="Z28" i="1"/>
  <c r="AA28" i="1" s="1"/>
  <c r="AQ28" i="1" s="1"/>
  <c r="Z50" i="1"/>
  <c r="AA50" i="1" s="1"/>
  <c r="AQ50" i="1" s="1"/>
  <c r="F5" i="1"/>
  <c r="Z15" i="1"/>
  <c r="AA15" i="1" s="1"/>
  <c r="AD15" i="1" s="1"/>
  <c r="Z58" i="1"/>
  <c r="AA58" i="1" s="1"/>
  <c r="AQ58" i="1" s="1"/>
  <c r="Z79" i="1"/>
  <c r="AA79" i="1" s="1"/>
  <c r="AD79" i="1" s="1"/>
  <c r="Z91" i="1"/>
  <c r="Z118" i="1"/>
  <c r="AA118" i="1" s="1"/>
  <c r="AD118" i="1" s="1"/>
  <c r="AE25" i="1"/>
  <c r="Z25" i="1"/>
  <c r="AA25" i="1" s="1"/>
  <c r="AD25" i="1" s="1"/>
  <c r="AE42" i="1"/>
  <c r="Z42" i="1"/>
  <c r="AA42" i="1" s="1"/>
  <c r="AD42" i="1" s="1"/>
  <c r="AE11" i="1"/>
  <c r="Z11" i="1"/>
  <c r="AA11" i="1" s="1"/>
  <c r="AD11" i="1" s="1"/>
  <c r="AE90" i="1"/>
  <c r="Z73" i="1"/>
  <c r="AA73" i="1" s="1"/>
  <c r="AD73" i="1" s="1"/>
  <c r="Z82" i="1"/>
  <c r="AA82" i="1" s="1"/>
  <c r="Z90" i="1"/>
  <c r="AE91" i="1"/>
  <c r="Z104" i="1"/>
  <c r="AA104" i="1" s="1"/>
  <c r="AQ12" i="1"/>
  <c r="AD12" i="1"/>
  <c r="AQ27" i="1"/>
  <c r="AD27" i="1"/>
  <c r="AQ43" i="1"/>
  <c r="AD43" i="1"/>
  <c r="AQ73" i="1"/>
  <c r="Z6" i="1"/>
  <c r="AE6" i="1"/>
  <c r="AQ8" i="1"/>
  <c r="AD8" i="1"/>
  <c r="AD28" i="1"/>
  <c r="AQ40" i="1"/>
  <c r="AD40" i="1"/>
  <c r="AD58" i="1"/>
  <c r="AQ80" i="1"/>
  <c r="AD80" i="1"/>
  <c r="AE8" i="1"/>
  <c r="AE12" i="1"/>
  <c r="AD16" i="1"/>
  <c r="AD17" i="1"/>
  <c r="AD18" i="1"/>
  <c r="AD19" i="1"/>
  <c r="AD20" i="1"/>
  <c r="AE21" i="1"/>
  <c r="AD26" i="1"/>
  <c r="AE27" i="1"/>
  <c r="AD29" i="1"/>
  <c r="AD30" i="1"/>
  <c r="AD31" i="1"/>
  <c r="AD32" i="1"/>
  <c r="AD33" i="1"/>
  <c r="AD34" i="1"/>
  <c r="AD35" i="1"/>
  <c r="AD36" i="1"/>
  <c r="AD37" i="1"/>
  <c r="AD38" i="1"/>
  <c r="AD39" i="1"/>
  <c r="AE40" i="1"/>
  <c r="AE43" i="1"/>
  <c r="AD51" i="1"/>
  <c r="AD52" i="1"/>
  <c r="AQ53" i="1"/>
  <c r="AD53" i="1"/>
  <c r="AQ54" i="1"/>
  <c r="AD54" i="1"/>
  <c r="AQ55" i="1"/>
  <c r="AD55" i="1"/>
  <c r="AQ56" i="1"/>
  <c r="AD56" i="1"/>
  <c r="AQ57" i="1"/>
  <c r="AD57" i="1"/>
  <c r="L58" i="1"/>
  <c r="AQ59" i="1"/>
  <c r="AD59" i="1"/>
  <c r="AQ60" i="1"/>
  <c r="AD60" i="1"/>
  <c r="AQ61" i="1"/>
  <c r="AD61" i="1"/>
  <c r="AQ62" i="1"/>
  <c r="AD62" i="1"/>
  <c r="AQ63" i="1"/>
  <c r="AD63" i="1"/>
  <c r="AQ64" i="1"/>
  <c r="AD64" i="1"/>
  <c r="AQ65" i="1"/>
  <c r="AD65" i="1"/>
  <c r="AQ66" i="1"/>
  <c r="AD66" i="1"/>
  <c r="AQ67" i="1"/>
  <c r="AD67" i="1"/>
  <c r="AQ68" i="1"/>
  <c r="AD68" i="1"/>
  <c r="AQ69" i="1"/>
  <c r="AD69" i="1"/>
  <c r="AQ70" i="1"/>
  <c r="AD70" i="1"/>
  <c r="AQ71" i="1"/>
  <c r="AD71" i="1"/>
  <c r="AQ72" i="1"/>
  <c r="AD72" i="1"/>
  <c r="L73" i="1"/>
  <c r="AQ74" i="1"/>
  <c r="AD74" i="1"/>
  <c r="AQ75" i="1"/>
  <c r="AD75" i="1"/>
  <c r="AQ76" i="1"/>
  <c r="AD76" i="1"/>
  <c r="AQ77" i="1"/>
  <c r="AD77" i="1"/>
  <c r="AQ78" i="1"/>
  <c r="AD78" i="1"/>
  <c r="AE80" i="1"/>
  <c r="AD84" i="1"/>
  <c r="AD86" i="1"/>
  <c r="AQ88" i="1"/>
  <c r="AD88" i="1"/>
  <c r="AQ105" i="1"/>
  <c r="AD105" i="1"/>
  <c r="AD119" i="1"/>
  <c r="AQ120" i="1"/>
  <c r="AD120" i="1"/>
  <c r="AD125" i="1"/>
  <c r="AQ129" i="1"/>
  <c r="AD129" i="1"/>
  <c r="E5" i="1"/>
  <c r="AD9" i="1"/>
  <c r="AD10" i="1"/>
  <c r="AD13" i="1"/>
  <c r="AD14" i="1"/>
  <c r="Z16" i="1"/>
  <c r="AD22" i="1"/>
  <c r="AD23" i="1"/>
  <c r="AD24" i="1"/>
  <c r="AD41" i="1"/>
  <c r="AD44" i="1"/>
  <c r="AD45" i="1"/>
  <c r="AD46" i="1"/>
  <c r="AD47" i="1"/>
  <c r="AD48" i="1"/>
  <c r="AD49" i="1"/>
  <c r="AE58" i="1"/>
  <c r="AE59" i="1"/>
  <c r="AE73" i="1"/>
  <c r="AE74" i="1"/>
  <c r="AQ81" i="1"/>
  <c r="AD81" i="1"/>
  <c r="AD83" i="1"/>
  <c r="AD85" i="1"/>
  <c r="AD87" i="1"/>
  <c r="AE88" i="1"/>
  <c r="AQ106" i="1"/>
  <c r="AD106" i="1"/>
  <c r="AQ107" i="1"/>
  <c r="AD107" i="1"/>
  <c r="AQ108" i="1"/>
  <c r="AD108" i="1"/>
  <c r="AQ109" i="1"/>
  <c r="AD109" i="1"/>
  <c r="AQ110" i="1"/>
  <c r="AD110" i="1"/>
  <c r="AQ111" i="1"/>
  <c r="AD111" i="1"/>
  <c r="AQ112" i="1"/>
  <c r="AD112" i="1"/>
  <c r="AQ113" i="1"/>
  <c r="AD113" i="1"/>
  <c r="AQ114" i="1"/>
  <c r="AD114" i="1"/>
  <c r="AQ115" i="1"/>
  <c r="AD115" i="1"/>
  <c r="AQ116" i="1"/>
  <c r="AD116" i="1"/>
  <c r="AQ117" i="1"/>
  <c r="AD117" i="1"/>
  <c r="AQ121" i="1"/>
  <c r="AD121" i="1"/>
  <c r="AQ122" i="1"/>
  <c r="AD122" i="1"/>
  <c r="AD123" i="1"/>
  <c r="AD127" i="1"/>
  <c r="AE129" i="1"/>
  <c r="AQ89" i="1"/>
  <c r="AD89" i="1"/>
  <c r="AQ92" i="1"/>
  <c r="AD92" i="1"/>
  <c r="AQ93" i="1"/>
  <c r="AD93" i="1"/>
  <c r="AQ94" i="1"/>
  <c r="AD94" i="1"/>
  <c r="AQ95" i="1"/>
  <c r="AD95" i="1"/>
  <c r="AQ96" i="1"/>
  <c r="AD96" i="1"/>
  <c r="AQ97" i="1"/>
  <c r="AD97" i="1"/>
  <c r="AQ98" i="1"/>
  <c r="AD98" i="1"/>
  <c r="AQ99" i="1"/>
  <c r="AD99" i="1"/>
  <c r="AQ100" i="1"/>
  <c r="AD100" i="1"/>
  <c r="AQ101" i="1"/>
  <c r="AD101" i="1"/>
  <c r="AQ102" i="1"/>
  <c r="AD102" i="1"/>
  <c r="AQ103" i="1"/>
  <c r="AD103" i="1"/>
  <c r="AE105" i="1"/>
  <c r="AE120" i="1"/>
  <c r="AD124" i="1"/>
  <c r="AD126" i="1"/>
  <c r="AD128" i="1"/>
  <c r="AQ130" i="1"/>
  <c r="AD130" i="1"/>
  <c r="AQ131" i="1"/>
  <c r="AD131" i="1"/>
  <c r="AQ132" i="1"/>
  <c r="AD132" i="1"/>
  <c r="AD50" i="1" l="1"/>
  <c r="AQ15" i="1"/>
  <c r="AQ25" i="1"/>
  <c r="AQ7" i="1"/>
  <c r="AQ42" i="1"/>
  <c r="AQ11" i="1"/>
  <c r="AQ79" i="1"/>
  <c r="AQ118" i="1"/>
  <c r="AQ104" i="1"/>
  <c r="AD104" i="1"/>
  <c r="AQ82" i="1"/>
  <c r="AD82" i="1"/>
  <c r="Z5" i="1"/>
  <c r="AA6" i="1"/>
  <c r="L5" i="1"/>
  <c r="AQ6" i="1" l="1"/>
  <c r="AQ5" i="1" s="1"/>
  <c r="AD6" i="1"/>
  <c r="AA5" i="1"/>
</calcChain>
</file>

<file path=xl/sharedStrings.xml><?xml version="1.0" encoding="utf-8"?>
<sst xmlns="http://schemas.openxmlformats.org/spreadsheetml/2006/main" count="674" uniqueCount="338">
  <si>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</si>
  <si>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</si>
  <si>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</si>
  <si>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</si>
  <si>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</si>
  <si>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</si>
  <si>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</si>
  <si>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</si>
  <si>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</si>
  <si>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</si>
  <si>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</si>
  <si>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</si>
  <si>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</si>
  <si>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</si>
  <si>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</si>
  <si>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</si>
  <si>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</si>
  <si>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</si>
  <si>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</si>
  <si>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</si>
  <si>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</si>
  <si>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</si>
  <si>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</si>
  <si>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инвенторизация не проведена</t>
  </si>
  <si>
    <t>13,09,</t>
  </si>
  <si>
    <t>13,09,недогр</t>
  </si>
  <si>
    <t>13,09,доз</t>
  </si>
  <si>
    <t>14,09,</t>
  </si>
  <si>
    <t>14,09,недогр</t>
  </si>
  <si>
    <t>14,09,доз</t>
  </si>
  <si>
    <t>20,09,</t>
  </si>
  <si>
    <t>20,09,доз</t>
  </si>
  <si>
    <t>17,09,</t>
  </si>
  <si>
    <t>21,09,</t>
  </si>
  <si>
    <t>21,09,доз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</si>
  <si>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</si>
  <si>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</si>
  <si>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</si>
  <si>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</si>
  <si>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</si>
  <si>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</si>
  <si>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</si>
  <si>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</si>
  <si>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</si>
  <si>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</si>
  <si>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</si>
  <si>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</si>
  <si>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</si>
  <si>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</si>
  <si>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</si>
  <si>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</si>
  <si>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</si>
  <si>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</si>
  <si>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</si>
  <si>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</si>
  <si>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</si>
  <si>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</si>
  <si>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</si>
  <si>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нужно увеличить продажи!!!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</si>
  <si>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</si>
  <si>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</si>
  <si>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</si>
  <si>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</si>
  <si>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</si>
  <si>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</si>
  <si>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</si>
  <si>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</si>
  <si>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</si>
  <si>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</si>
  <si>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</si>
  <si>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</si>
  <si>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</si>
  <si>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</si>
  <si>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</si>
  <si>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</si>
  <si>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</si>
  <si>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</si>
  <si>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</si>
  <si>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</si>
  <si>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</si>
  <si>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</si>
  <si>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</si>
  <si>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</si>
  <si>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</si>
  <si>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</si>
  <si>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</si>
  <si>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</si>
  <si>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</si>
  <si>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</si>
  <si>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</si>
  <si>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</si>
  <si>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</si>
  <si>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</si>
  <si>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</si>
  <si>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</si>
  <si>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</si>
  <si>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</si>
  <si>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</si>
  <si>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</si>
  <si>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</si>
  <si>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</si>
  <si>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</si>
  <si>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</si>
  <si>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</si>
  <si>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</si>
  <si>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</si>
  <si>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</si>
  <si>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</si>
  <si>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53кг списано (16,09,26)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</si>
  <si>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</si>
  <si>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</si>
  <si>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</si>
  <si>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</si>
  <si>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не в матрице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</si>
  <si>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</si>
  <si>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</si>
  <si>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</si>
  <si>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</si>
  <si>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</si>
  <si>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</si>
  <si>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</si>
  <si>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</si>
  <si>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</si>
  <si>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</si>
  <si>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</si>
  <si>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</si>
  <si>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</si>
  <si>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</si>
  <si>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</si>
  <si>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</si>
  <si>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</si>
  <si>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</si>
  <si>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</si>
  <si>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</si>
  <si>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</si>
  <si>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</si>
  <si>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</si>
  <si>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</si>
  <si>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</si>
  <si>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</si>
  <si>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</si>
  <si>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</si>
  <si>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</si>
  <si>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</si>
  <si>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</si>
  <si>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</si>
  <si>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</si>
  <si>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</si>
  <si>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ПРОМО сентябрь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</si>
  <si>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</si>
  <si>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</si>
  <si>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</si>
  <si>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</si>
  <si>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</si>
  <si>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</si>
  <si>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</si>
  <si>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</si>
  <si>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</si>
  <si>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</si>
  <si>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</si>
  <si>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</si>
  <si>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</si>
  <si>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</si>
  <si>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</si>
  <si>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</si>
  <si>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</si>
  <si>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</si>
  <si>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</si>
  <si>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</si>
  <si>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</si>
  <si>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</si>
  <si>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</si>
  <si>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</si>
  <si>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</si>
  <si>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</si>
  <si>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</si>
  <si>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</si>
  <si>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</si>
  <si>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</si>
  <si>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</si>
  <si>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</si>
  <si>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</si>
  <si>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</si>
  <si>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</si>
  <si>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</si>
  <si>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</si>
  <si>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</si>
  <si>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</si>
  <si>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</si>
  <si>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</si>
  <si>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</si>
  <si>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90кг списано (16,09,26) / вышли из ПРОМО (в сентябре)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</si>
  <si>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</si>
  <si>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</si>
  <si>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</si>
  <si>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</si>
  <si>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</si>
  <si>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</si>
  <si>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</si>
  <si>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</si>
  <si>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</si>
  <si>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</si>
  <si>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</si>
  <si>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</si>
  <si>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</si>
  <si>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</si>
  <si>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</si>
  <si>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</si>
  <si>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</si>
  <si>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</si>
  <si>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</si>
  <si>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</si>
  <si>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</si>
  <si>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</si>
  <si>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</si>
  <si>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</si>
  <si>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</si>
  <si>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</si>
  <si>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</si>
  <si>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</si>
  <si>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</si>
  <si>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</si>
  <si>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</si>
  <si>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</si>
  <si>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</si>
  <si>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</si>
  <si>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</si>
  <si>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</si>
  <si>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</si>
  <si>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</si>
  <si>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</si>
  <si>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</si>
  <si>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</si>
  <si>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</si>
  <si>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</si>
  <si>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</si>
  <si>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</si>
  <si>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</si>
  <si>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</si>
  <si>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</si>
  <si>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</si>
  <si>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</si>
  <si>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</si>
  <si>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</si>
  <si>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</si>
  <si>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</si>
  <si>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</si>
  <si>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</si>
  <si>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</si>
  <si>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</si>
  <si>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</si>
  <si>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</si>
  <si>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</si>
  <si>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</si>
  <si>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</si>
  <si>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</si>
  <si>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</si>
  <si>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</si>
  <si>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</si>
  <si>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</si>
  <si>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</si>
  <si>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</si>
  <si>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</si>
  <si>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</si>
  <si>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</si>
  <si>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</si>
  <si>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</si>
  <si>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</si>
  <si>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</si>
  <si>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</si>
  <si>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</si>
  <si>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</si>
  <si>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</si>
  <si>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</si>
  <si>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</si>
  <si>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</si>
  <si>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</si>
  <si>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</si>
  <si>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</si>
  <si>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</si>
  <si>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</si>
  <si>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</si>
  <si>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</si>
  <si>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</si>
  <si>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</si>
  <si>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</si>
  <si>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</si>
  <si>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</si>
  <si>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</si>
  <si>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</si>
  <si>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</si>
  <si>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</si>
  <si>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</si>
  <si>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</si>
  <si>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</si>
  <si>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</si>
  <si>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</si>
  <si>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</si>
  <si>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</si>
  <si>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</si>
  <si>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</si>
  <si>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</si>
  <si>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</si>
  <si>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</si>
  <si>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</si>
  <si>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</si>
  <si>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</si>
  <si>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</si>
  <si>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</si>
  <si>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</si>
  <si>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</si>
  <si>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</si>
  <si>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</si>
  <si>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</si>
  <si>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</si>
  <si>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Сардельки «Сочные» Весовой п/а ТМ «Особый рецепт»</t>
  </si>
  <si>
    <t>Колбаса Мясорубская ТМ Стародворье с рубленой грудинкой в оболочке фиброуз в вакуумной упаковке 0,35 кг срез</t>
  </si>
  <si>
    <t>Сосиски «Сочинки по-баварски с сыром»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</si>
  <si>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</si>
  <si>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</si>
  <si>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</si>
  <si>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</si>
  <si>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</si>
  <si>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</si>
  <si>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</si>
  <si>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П/к колбасы «Аль-Ислами халяль» ф/в 0,35 фиброуз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</si>
  <si>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</si>
  <si>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</si>
  <si>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</si>
  <si>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Копченые колбасы «Балыковая» Весовой фиброуз ТМ «Вязанка»</t>
  </si>
  <si>
    <t>Сосиски «Молочные оригинальные» Весовой п/а ТМ «Особый рецепт»</t>
  </si>
  <si>
    <t>Сосиски «Сочинки с сочной грудинкой» Фикс.вес 0,4 П/а мгс ТМ «Стародворье»</t>
  </si>
  <si>
    <t>Сардельки «Сочинки» Фикс.вес 0,4 п/а ТМ «Стародворье»</t>
  </si>
  <si>
    <t>Копченые колбасы «Балыковая» Фикс.вес 0,28 фиброуз срез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</si>
  <si>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</si>
  <si>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</si>
  <si>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20,09,недогр</t>
  </si>
  <si>
    <t>21,09,недогр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</si>
</sst>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6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0" borderId="1" xfId="1" applyNumberFormat="1" applyFont="1"/>
    <xf numFmtId="164" fontId="5" fillId="7" borderId="1" xfId="1" applyNumberFormat="1" applyFont="1" applyFill="1"/>
    <xf numFmtId="164" fontId="6" fillId="0" borderId="1" xfId="1" applyNumberFormat="1"/>
    <xf numFmtId="164" fontId="6" fillId="7" borderId="1" xfId="1" applyNumberForma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/>
    <xf numFmtId="164" fontId="8" fillId="0" borderId="2" xfId="1" applyNumberFormat="1" applyFont="1" applyBorder="1"/>
    <xf numFmtId="0" fontId="7" fillId="0" borderId="0" xfId="0" applyFont="1" applyBorder="1"/>
    <xf numFmtId="0" fontId="0" fillId="7" borderId="3" xfId="0" applyFill="1" applyBorder="1"/>
    <xf numFmtId="0" fontId="0" fillId="0" borderId="3" xfId="0" applyBorder="1"/>
    <xf numFmtId="164" fontId="5" fillId="0" borderId="1" xfId="1" applyNumberFormat="1" applyFont="1"/>
    <xf numFmtId="164" fontId="5" fillId="3" borderId="1" xfId="1" applyNumberFormat="1" applyFont="1" applyFill="1"/>
    <xf numFmtId="164" fontId="5" fillId="4" borderId="1" xfId="1" applyNumberFormat="1" applyFont="1" applyFill="1"/>
    <xf numFmtId="0" fontId="9" fillId="0" borderId="1" xfId="0" applyFont="1" applyBorder="1"/>
    <xf numFmtId="164" fontId="5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R3" sqref="AR3"/>
    </sheetView>
  </sheetViews>
  <sheetFormatPr defaultRowHeight="15" x14ac:dyDescent="0.25"/>
  <cols>
    <col min="1" max="1" width="33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22" width="7" customWidth="1"/>
    <col min="23" max="23" width="7" style="28" customWidth="1"/>
    <col min="24" max="24" width="7" style="20" customWidth="1"/>
    <col min="25" max="27" width="7" customWidth="1"/>
    <col min="28" max="28" width="7" style="28" customWidth="1"/>
    <col min="29" max="29" width="7" style="22" customWidth="1"/>
    <col min="30" max="31" width="5" customWidth="1"/>
    <col min="32" max="41" width="6" customWidth="1"/>
    <col min="42" max="42" width="13.85546875" customWidth="1"/>
    <col min="43" max="43" width="7" customWidth="1"/>
  </cols>
  <sheetData>
    <row r="1" spans="1:44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25"/>
      <c r="X1" s="17"/>
      <c r="Y1" s="13"/>
      <c r="Z1" s="13"/>
      <c r="AA1" s="13"/>
      <c r="AB1" s="25"/>
      <c r="AC1" s="17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spans="1:44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25"/>
      <c r="X2" s="17">
        <v>1560</v>
      </c>
      <c r="Y2" s="13"/>
      <c r="Z2" s="13"/>
      <c r="AA2" s="13"/>
      <c r="AB2" s="25"/>
      <c r="AC2" s="17">
        <v>600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spans="1:4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2" t="s">
        <v>14</v>
      </c>
      <c r="X3" s="1" t="s">
        <v>14</v>
      </c>
      <c r="Y3" s="1" t="s">
        <v>15</v>
      </c>
      <c r="Z3" s="2" t="s">
        <v>16</v>
      </c>
      <c r="AA3" s="2" t="s">
        <v>17</v>
      </c>
      <c r="AB3" s="2" t="s">
        <v>17</v>
      </c>
      <c r="AC3" s="2" t="s">
        <v>17</v>
      </c>
      <c r="AD3" s="1" t="s">
        <v>18</v>
      </c>
      <c r="AE3" s="1" t="s">
        <v>19</v>
      </c>
      <c r="AF3" s="1" t="s">
        <v>20</v>
      </c>
      <c r="AG3" s="1" t="s">
        <v>20</v>
      </c>
      <c r="AH3" s="1" t="s">
        <v>20</v>
      </c>
      <c r="AI3" s="1" t="s">
        <v>20</v>
      </c>
      <c r="AJ3" s="1" t="s">
        <v>20</v>
      </c>
      <c r="AK3" s="1" t="s">
        <v>20</v>
      </c>
      <c r="AL3" s="1" t="s">
        <v>20</v>
      </c>
      <c r="AM3" s="1" t="s">
        <v>20</v>
      </c>
      <c r="AN3" s="1" t="s">
        <v>20</v>
      </c>
      <c r="AO3" s="1" t="s">
        <v>20</v>
      </c>
      <c r="AP3" s="1" t="s">
        <v>21</v>
      </c>
      <c r="AQ3" s="1" t="s">
        <v>22</v>
      </c>
    </row>
    <row r="4" spans="1:44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23</v>
      </c>
      <c r="P4" s="13" t="s">
        <v>24</v>
      </c>
      <c r="Q4" s="13" t="s">
        <v>25</v>
      </c>
      <c r="R4" s="13" t="s">
        <v>26</v>
      </c>
      <c r="S4" s="13" t="s">
        <v>27</v>
      </c>
      <c r="T4" s="13" t="s">
        <v>28</v>
      </c>
      <c r="U4" s="13" t="s">
        <v>29</v>
      </c>
      <c r="V4" s="13" t="s">
        <v>30</v>
      </c>
      <c r="W4" s="25" t="s">
        <v>336</v>
      </c>
      <c r="X4" s="17" t="s">
        <v>31</v>
      </c>
      <c r="Y4" s="13" t="s">
        <v>32</v>
      </c>
      <c r="Z4" s="13"/>
      <c r="AA4" s="13" t="s">
        <v>33</v>
      </c>
      <c r="AB4" s="25" t="s">
        <v>337</v>
      </c>
      <c r="AC4" s="17" t="s">
        <v>34</v>
      </c>
      <c r="AD4" s="13"/>
      <c r="AE4" s="13"/>
      <c r="AF4" s="13" t="s">
        <v>35</v>
      </c>
      <c r="AG4" s="13" t="s">
        <v>36</v>
      </c>
      <c r="AH4" s="13" t="s">
        <v>37</v>
      </c>
      <c r="AI4" s="13" t="s">
        <v>38</v>
      </c>
      <c r="AJ4" s="13" t="s">
        <v>39</v>
      </c>
      <c r="AK4" s="13" t="s">
        <v>40</v>
      </c>
      <c r="AL4" s="13" t="s">
        <v>41</v>
      </c>
      <c r="AM4" s="13" t="s">
        <v>42</v>
      </c>
      <c r="AN4" s="13" t="s">
        <v>43</v>
      </c>
      <c r="AO4" s="13" t="s">
        <v>44</v>
      </c>
      <c r="AP4" s="13"/>
      <c r="AQ4" s="13"/>
    </row>
    <row r="5" spans="1:44" x14ac:dyDescent="0.25">
      <c r="A5" s="13"/>
      <c r="B5" s="13"/>
      <c r="C5" s="13"/>
      <c r="D5" s="13"/>
      <c r="E5" s="3">
        <f>SUM(E6:E499)</f>
        <v>16109.692999999997</v>
      </c>
      <c r="F5" s="3">
        <f>SUM(F6:F499)</f>
        <v>8081.1699999999973</v>
      </c>
      <c r="G5" s="6"/>
      <c r="H5" s="13"/>
      <c r="I5" s="13"/>
      <c r="J5" s="13"/>
      <c r="K5" s="3">
        <f t="shared" ref="K5:AC5" si="0">SUM(K6:K499)</f>
        <v>26323.941999999999</v>
      </c>
      <c r="L5" s="3">
        <f t="shared" si="0"/>
        <v>-10214.249000000002</v>
      </c>
      <c r="M5" s="3">
        <f t="shared" si="0"/>
        <v>0</v>
      </c>
      <c r="N5" s="3">
        <f t="shared" si="0"/>
        <v>0</v>
      </c>
      <c r="O5" s="3">
        <f t="shared" si="0"/>
        <v>-1817.0659999999998</v>
      </c>
      <c r="P5" s="3">
        <f t="shared" si="0"/>
        <v>21169.298324000003</v>
      </c>
      <c r="Q5" s="3">
        <f t="shared" si="0"/>
        <v>-782.5</v>
      </c>
      <c r="R5" s="3">
        <f t="shared" si="0"/>
        <v>500</v>
      </c>
      <c r="S5" s="3">
        <f t="shared" si="0"/>
        <v>14772.140498707999</v>
      </c>
      <c r="T5" s="3">
        <f t="shared" si="0"/>
        <v>-2131.3000000000002</v>
      </c>
      <c r="U5" s="3">
        <f t="shared" si="0"/>
        <v>1500</v>
      </c>
      <c r="V5" s="3">
        <f t="shared" si="0"/>
        <v>12160.493840000001</v>
      </c>
      <c r="W5" s="26">
        <f t="shared" ref="W5" si="1">SUM(W6:W499)</f>
        <v>-2890.5</v>
      </c>
      <c r="X5" s="18">
        <f t="shared" si="0"/>
        <v>1560</v>
      </c>
      <c r="Y5" s="3">
        <f t="shared" si="0"/>
        <v>3221.938599999999</v>
      </c>
      <c r="Z5" s="3">
        <f t="shared" si="0"/>
        <v>9736.4154360000011</v>
      </c>
      <c r="AA5" s="3">
        <f t="shared" si="0"/>
        <v>10176.142996000002</v>
      </c>
      <c r="AB5" s="26">
        <f t="shared" ref="AB5" si="2">SUM(AB6:AB499)</f>
        <v>-1310.9</v>
      </c>
      <c r="AC5" s="18">
        <f t="shared" si="0"/>
        <v>1110</v>
      </c>
      <c r="AD5" s="13"/>
      <c r="AE5" s="13"/>
      <c r="AF5" s="3">
        <f t="shared" ref="AF5:AO5" si="3">SUM(AF6:AF499)</f>
        <v>3337.9455999999982</v>
      </c>
      <c r="AG5" s="3">
        <f t="shared" si="3"/>
        <v>4292.6824000000015</v>
      </c>
      <c r="AH5" s="3">
        <f t="shared" si="3"/>
        <v>4269.7196000000004</v>
      </c>
      <c r="AI5" s="3">
        <f t="shared" si="3"/>
        <v>3863.9036000000019</v>
      </c>
      <c r="AJ5" s="3">
        <f t="shared" si="3"/>
        <v>3651.6625999999987</v>
      </c>
      <c r="AK5" s="3">
        <f t="shared" si="3"/>
        <v>3634.1342000000018</v>
      </c>
      <c r="AL5" s="3">
        <f t="shared" si="3"/>
        <v>4204.6311999999989</v>
      </c>
      <c r="AM5" s="3">
        <f t="shared" si="3"/>
        <v>4212.8490000000011</v>
      </c>
      <c r="AN5" s="3">
        <f t="shared" si="3"/>
        <v>3809.7485999999985</v>
      </c>
      <c r="AO5" s="3">
        <f t="shared" si="3"/>
        <v>4467.6592000000001</v>
      </c>
      <c r="AP5" s="13"/>
      <c r="AQ5" s="3">
        <f>SUM(AQ6:AQ499)</f>
        <v>7912</v>
      </c>
    </row>
    <row r="6" spans="1:44" x14ac:dyDescent="0.25">
      <c r="A6" s="13" t="s">
        <v>45</v>
      </c>
      <c r="B6" s="13" t="s">
        <v>46</v>
      </c>
      <c r="C6" s="13">
        <v>254.44200000000001</v>
      </c>
      <c r="D6" s="13">
        <v>21.457999999999998</v>
      </c>
      <c r="E6" s="13">
        <v>249.58799999999999</v>
      </c>
      <c r="F6" s="13">
        <v>2.6349999999999998</v>
      </c>
      <c r="G6" s="6">
        <v>1</v>
      </c>
      <c r="H6" s="13">
        <v>50</v>
      </c>
      <c r="I6" s="13" t="s">
        <v>47</v>
      </c>
      <c r="J6" s="13"/>
      <c r="K6" s="13">
        <v>296.7</v>
      </c>
      <c r="L6" s="13">
        <f t="shared" ref="L6:L37" si="4">E6-K6</f>
        <v>-47.111999999999995</v>
      </c>
      <c r="M6" s="13"/>
      <c r="N6" s="13"/>
      <c r="O6" s="13"/>
      <c r="P6" s="13">
        <v>300</v>
      </c>
      <c r="Q6" s="13"/>
      <c r="R6" s="13"/>
      <c r="S6" s="13">
        <v>135.42599999999999</v>
      </c>
      <c r="T6" s="13"/>
      <c r="U6" s="13"/>
      <c r="V6" s="13">
        <v>150</v>
      </c>
      <c r="W6" s="25"/>
      <c r="X6" s="17"/>
      <c r="Y6" s="13">
        <f t="shared" ref="Y6:Y37" si="5">E6/5</f>
        <v>49.9176</v>
      </c>
      <c r="Z6" s="4">
        <f>12*Y6-V6-U6-T6-S6-R6-Q6-P6-O6-F6</f>
        <v>10.950200000000043</v>
      </c>
      <c r="AA6" s="4">
        <f>Z6</f>
        <v>10.950200000000043</v>
      </c>
      <c r="AB6" s="29"/>
      <c r="AC6" s="21"/>
      <c r="AD6" s="13">
        <f t="shared" ref="AD6:AD37" si="6">(F6+O6+P6+Q6+R6+S6+T6+U6+V6+AA6)/Y6</f>
        <v>11.999999999999998</v>
      </c>
      <c r="AE6" s="13">
        <f t="shared" ref="AE6:AE37" si="7">(F6+O6+P6+Q6+R6+S6+T6+U6+V6)/Y6</f>
        <v>11.780634485632321</v>
      </c>
      <c r="AF6" s="13">
        <v>50.513599999999997</v>
      </c>
      <c r="AG6" s="13">
        <v>52.347000000000001</v>
      </c>
      <c r="AH6" s="13">
        <v>48.521000000000001</v>
      </c>
      <c r="AI6" s="13">
        <v>43.444600000000001</v>
      </c>
      <c r="AJ6" s="13">
        <v>50.715400000000002</v>
      </c>
      <c r="AK6" s="13">
        <v>50.555</v>
      </c>
      <c r="AL6" s="13">
        <v>49.53</v>
      </c>
      <c r="AM6" s="13">
        <v>63.962800000000001</v>
      </c>
      <c r="AN6" s="13">
        <v>58.955199999999998</v>
      </c>
      <c r="AO6" s="13">
        <v>54.327599999999997</v>
      </c>
      <c r="AP6" s="13"/>
      <c r="AQ6" s="13">
        <f t="shared" ref="AQ6:AQ37" si="8">ROUND(G6*AA6,0)</f>
        <v>11</v>
      </c>
      <c r="AR6" t="s">
        <v>48</v>
      </c>
    </row>
    <row r="7" spans="1:44" x14ac:dyDescent="0.25">
      <c r="A7" s="13" t="s">
        <v>49</v>
      </c>
      <c r="B7" s="13" t="s">
        <v>46</v>
      </c>
      <c r="C7" s="13">
        <v>901.79300000000001</v>
      </c>
      <c r="D7" s="13">
        <v>14.9</v>
      </c>
      <c r="E7" s="13">
        <v>467.07499999999999</v>
      </c>
      <c r="F7" s="13">
        <v>331.887</v>
      </c>
      <c r="G7" s="6">
        <v>1</v>
      </c>
      <c r="H7" s="13">
        <v>45</v>
      </c>
      <c r="I7" s="13" t="s">
        <v>47</v>
      </c>
      <c r="J7" s="13"/>
      <c r="K7" s="13">
        <v>513.85</v>
      </c>
      <c r="L7" s="13">
        <f t="shared" si="4"/>
        <v>-46.775000000000034</v>
      </c>
      <c r="M7" s="13"/>
      <c r="N7" s="13"/>
      <c r="O7" s="13"/>
      <c r="P7" s="13">
        <v>100</v>
      </c>
      <c r="Q7" s="13"/>
      <c r="R7" s="13"/>
      <c r="S7" s="13">
        <v>237.7456</v>
      </c>
      <c r="T7" s="13"/>
      <c r="U7" s="13"/>
      <c r="V7" s="13">
        <v>370.68672000000032</v>
      </c>
      <c r="W7" s="25"/>
      <c r="X7" s="17"/>
      <c r="Y7" s="13">
        <f t="shared" si="5"/>
        <v>93.414999999999992</v>
      </c>
      <c r="Z7" s="4">
        <f>12*Y7-V7-U7-T7-S7-R7-Q7-P7-O7-F7</f>
        <v>80.660679999999672</v>
      </c>
      <c r="AA7" s="4">
        <f>Z7</f>
        <v>80.660679999999672</v>
      </c>
      <c r="AB7" s="29"/>
      <c r="AC7" s="21"/>
      <c r="AD7" s="13">
        <f t="shared" si="6"/>
        <v>12.000000000000002</v>
      </c>
      <c r="AE7" s="13">
        <f t="shared" si="7"/>
        <v>11.136533961355246</v>
      </c>
      <c r="AF7" s="13">
        <v>102.57940000000001</v>
      </c>
      <c r="AG7" s="13">
        <v>91.360199999999992</v>
      </c>
      <c r="AH7" s="13">
        <v>75.338800000000006</v>
      </c>
      <c r="AI7" s="13">
        <v>78.611599999999996</v>
      </c>
      <c r="AJ7" s="13">
        <v>107.873</v>
      </c>
      <c r="AK7" s="13">
        <v>130.68199999999999</v>
      </c>
      <c r="AL7" s="13">
        <v>153.03919999999999</v>
      </c>
      <c r="AM7" s="13">
        <v>75.238799999999998</v>
      </c>
      <c r="AN7" s="13">
        <v>35.7254</v>
      </c>
      <c r="AO7" s="13">
        <v>94.933799999999991</v>
      </c>
      <c r="AP7" s="13"/>
      <c r="AQ7" s="13">
        <f t="shared" si="8"/>
        <v>81</v>
      </c>
      <c r="AR7" t="s">
        <v>50</v>
      </c>
    </row>
    <row r="8" spans="1:44" x14ac:dyDescent="0.25">
      <c r="A8" s="13" t="s">
        <v>51</v>
      </c>
      <c r="B8" s="13" t="s">
        <v>46</v>
      </c>
      <c r="C8" s="13">
        <v>280.03899999999999</v>
      </c>
      <c r="D8" s="13">
        <v>624.76800000000003</v>
      </c>
      <c r="E8" s="13">
        <v>484.29</v>
      </c>
      <c r="F8" s="13">
        <v>292.62099999999998</v>
      </c>
      <c r="G8" s="6">
        <v>1</v>
      </c>
      <c r="H8" s="13">
        <v>45</v>
      </c>
      <c r="I8" s="13" t="s">
        <v>47</v>
      </c>
      <c r="J8" s="13"/>
      <c r="K8" s="13">
        <v>596.197</v>
      </c>
      <c r="L8" s="13">
        <f t="shared" si="4"/>
        <v>-111.90699999999998</v>
      </c>
      <c r="M8" s="13"/>
      <c r="N8" s="13"/>
      <c r="O8" s="13"/>
      <c r="P8" s="13">
        <v>500</v>
      </c>
      <c r="Q8" s="13"/>
      <c r="R8" s="13"/>
      <c r="S8" s="13">
        <v>0</v>
      </c>
      <c r="T8" s="13"/>
      <c r="U8" s="13"/>
      <c r="V8" s="13">
        <v>0</v>
      </c>
      <c r="W8" s="25"/>
      <c r="X8" s="17"/>
      <c r="Y8" s="13">
        <f t="shared" si="5"/>
        <v>96.858000000000004</v>
      </c>
      <c r="Z8" s="4">
        <f>12*Y8-V8-U8-T8-S8-R8-Q8-P8-O8-F8</f>
        <v>369.67500000000007</v>
      </c>
      <c r="AA8" s="4">
        <f>Z8+Y8</f>
        <v>466.53300000000007</v>
      </c>
      <c r="AB8" s="29"/>
      <c r="AC8" s="21"/>
      <c r="AD8" s="13">
        <f t="shared" si="6"/>
        <v>13</v>
      </c>
      <c r="AE8" s="13">
        <f t="shared" si="7"/>
        <v>8.1833302360156104</v>
      </c>
      <c r="AF8" s="13">
        <v>78.322800000000001</v>
      </c>
      <c r="AG8" s="13">
        <v>84.352599999999995</v>
      </c>
      <c r="AH8" s="13">
        <v>119.5784</v>
      </c>
      <c r="AI8" s="13">
        <v>115.399</v>
      </c>
      <c r="AJ8" s="13">
        <v>92.236400000000003</v>
      </c>
      <c r="AK8" s="13">
        <v>101.6842</v>
      </c>
      <c r="AL8" s="13">
        <v>112.5746</v>
      </c>
      <c r="AM8" s="13">
        <v>76.619600000000005</v>
      </c>
      <c r="AN8" s="13">
        <v>58.682200000000002</v>
      </c>
      <c r="AO8" s="13">
        <v>110.33499999999999</v>
      </c>
      <c r="AP8" s="13"/>
      <c r="AQ8" s="13">
        <f t="shared" si="8"/>
        <v>467</v>
      </c>
      <c r="AR8" t="s">
        <v>52</v>
      </c>
    </row>
    <row r="9" spans="1:44" x14ac:dyDescent="0.25">
      <c r="A9" s="8" t="s">
        <v>53</v>
      </c>
      <c r="B9" s="8" t="s">
        <v>54</v>
      </c>
      <c r="C9" s="8"/>
      <c r="D9" s="8"/>
      <c r="E9" s="8"/>
      <c r="F9" s="8"/>
      <c r="G9" s="9">
        <v>0</v>
      </c>
      <c r="H9" s="8"/>
      <c r="I9" s="8" t="s">
        <v>47</v>
      </c>
      <c r="J9" s="8"/>
      <c r="K9" s="8"/>
      <c r="L9" s="8">
        <f t="shared" si="4"/>
        <v>0</v>
      </c>
      <c r="M9" s="8"/>
      <c r="N9" s="8"/>
      <c r="O9" s="8"/>
      <c r="P9" s="8">
        <v>0</v>
      </c>
      <c r="Q9" s="8"/>
      <c r="R9" s="8"/>
      <c r="S9" s="8">
        <v>0</v>
      </c>
      <c r="T9" s="8"/>
      <c r="U9" s="8"/>
      <c r="V9" s="8">
        <v>0</v>
      </c>
      <c r="W9" s="27"/>
      <c r="X9" s="19"/>
      <c r="Y9" s="8">
        <f t="shared" si="5"/>
        <v>0</v>
      </c>
      <c r="Z9" s="10"/>
      <c r="AA9" s="4">
        <f>Z9</f>
        <v>0</v>
      </c>
      <c r="AB9" s="29"/>
      <c r="AC9" s="21"/>
      <c r="AD9" s="13" t="e">
        <f t="shared" si="6"/>
        <v>#DIV/0!</v>
      </c>
      <c r="AE9" s="8" t="e">
        <f t="shared" si="7"/>
        <v>#DIV/0!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 t="s">
        <v>55</v>
      </c>
      <c r="AQ9" s="13">
        <f t="shared" si="8"/>
        <v>0</v>
      </c>
      <c r="AR9" t="s">
        <v>56</v>
      </c>
    </row>
    <row r="10" spans="1:44" x14ac:dyDescent="0.25">
      <c r="A10" s="13" t="s">
        <v>57</v>
      </c>
      <c r="B10" s="13" t="s">
        <v>54</v>
      </c>
      <c r="C10" s="13">
        <v>298.46199999999999</v>
      </c>
      <c r="D10" s="13">
        <v>3</v>
      </c>
      <c r="E10" s="13">
        <v>9</v>
      </c>
      <c r="F10" s="13">
        <v>270.85500000000002</v>
      </c>
      <c r="G10" s="6">
        <v>0.45</v>
      </c>
      <c r="H10" s="13">
        <v>45</v>
      </c>
      <c r="I10" s="13" t="s">
        <v>47</v>
      </c>
      <c r="J10" s="13"/>
      <c r="K10" s="13">
        <v>691</v>
      </c>
      <c r="L10" s="13">
        <f t="shared" si="4"/>
        <v>-682</v>
      </c>
      <c r="M10" s="13"/>
      <c r="N10" s="13"/>
      <c r="O10" s="13"/>
      <c r="P10" s="13">
        <v>0</v>
      </c>
      <c r="Q10" s="13"/>
      <c r="R10" s="13"/>
      <c r="S10" s="13">
        <v>750.93680000000018</v>
      </c>
      <c r="T10" s="13"/>
      <c r="U10" s="13"/>
      <c r="V10" s="13">
        <v>0</v>
      </c>
      <c r="W10" s="25"/>
      <c r="X10" s="17"/>
      <c r="Y10" s="13">
        <f t="shared" si="5"/>
        <v>1.8</v>
      </c>
      <c r="Z10" s="4"/>
      <c r="AA10" s="4">
        <f>Z10</f>
        <v>0</v>
      </c>
      <c r="AB10" s="29"/>
      <c r="AC10" s="21"/>
      <c r="AD10" s="13">
        <f t="shared" si="6"/>
        <v>567.66211111111124</v>
      </c>
      <c r="AE10" s="13">
        <f t="shared" si="7"/>
        <v>567.66211111111124</v>
      </c>
      <c r="AF10" s="13">
        <v>59.4</v>
      </c>
      <c r="AG10" s="13">
        <v>80.107600000000005</v>
      </c>
      <c r="AH10" s="13">
        <v>22.907599999999999</v>
      </c>
      <c r="AI10" s="13">
        <v>53.8</v>
      </c>
      <c r="AJ10" s="13">
        <v>96.8</v>
      </c>
      <c r="AK10" s="13">
        <v>76.400000000000006</v>
      </c>
      <c r="AL10" s="13">
        <v>41.6</v>
      </c>
      <c r="AM10" s="13">
        <v>60.6</v>
      </c>
      <c r="AN10" s="13">
        <v>118.4</v>
      </c>
      <c r="AO10" s="13">
        <v>112.2</v>
      </c>
      <c r="AP10" s="14" t="s">
        <v>58</v>
      </c>
      <c r="AQ10" s="13">
        <f t="shared" si="8"/>
        <v>0</v>
      </c>
      <c r="AR10" t="s">
        <v>59</v>
      </c>
    </row>
    <row r="11" spans="1:44" x14ac:dyDescent="0.25">
      <c r="A11" s="13" t="s">
        <v>60</v>
      </c>
      <c r="B11" s="13" t="s">
        <v>54</v>
      </c>
      <c r="C11" s="13">
        <v>58</v>
      </c>
      <c r="D11" s="13">
        <v>1765</v>
      </c>
      <c r="E11" s="13">
        <v>749</v>
      </c>
      <c r="F11" s="13">
        <v>968</v>
      </c>
      <c r="G11" s="6">
        <v>0.45</v>
      </c>
      <c r="H11" s="13">
        <v>45</v>
      </c>
      <c r="I11" s="13" t="s">
        <v>47</v>
      </c>
      <c r="J11" s="13"/>
      <c r="K11" s="13">
        <v>989</v>
      </c>
      <c r="L11" s="13">
        <f t="shared" si="4"/>
        <v>-240</v>
      </c>
      <c r="M11" s="13"/>
      <c r="N11" s="13"/>
      <c r="O11" s="13"/>
      <c r="P11" s="13">
        <v>300</v>
      </c>
      <c r="Q11" s="13"/>
      <c r="R11" s="13"/>
      <c r="S11" s="13">
        <v>0</v>
      </c>
      <c r="T11" s="13"/>
      <c r="U11" s="13"/>
      <c r="V11" s="13">
        <v>0</v>
      </c>
      <c r="W11" s="25"/>
      <c r="X11" s="17"/>
      <c r="Y11" s="13">
        <f t="shared" si="5"/>
        <v>149.80000000000001</v>
      </c>
      <c r="Z11" s="4">
        <f>12*Y11-V11-U11-T11-S11-R11-Q11-P11-O11-F11</f>
        <v>529.60000000000014</v>
      </c>
      <c r="AA11" s="4">
        <f>Z11+Y11</f>
        <v>679.40000000000009</v>
      </c>
      <c r="AB11" s="29"/>
      <c r="AC11" s="21"/>
      <c r="AD11" s="13">
        <f t="shared" si="6"/>
        <v>13</v>
      </c>
      <c r="AE11" s="13">
        <f t="shared" si="7"/>
        <v>8.4646194926568761</v>
      </c>
      <c r="AF11" s="13">
        <v>27.2</v>
      </c>
      <c r="AG11" s="13">
        <v>95.2</v>
      </c>
      <c r="AH11" s="13">
        <v>169.6</v>
      </c>
      <c r="AI11" s="13">
        <v>188.2</v>
      </c>
      <c r="AJ11" s="13">
        <v>158.4</v>
      </c>
      <c r="AK11" s="13">
        <v>100.4</v>
      </c>
      <c r="AL11" s="13">
        <v>145.4</v>
      </c>
      <c r="AM11" s="13">
        <v>163</v>
      </c>
      <c r="AN11" s="13">
        <v>152.80000000000001</v>
      </c>
      <c r="AO11" s="13">
        <v>151.19999999999999</v>
      </c>
      <c r="AP11" s="13"/>
      <c r="AQ11" s="13">
        <f t="shared" si="8"/>
        <v>306</v>
      </c>
      <c r="AR11" t="s">
        <v>61</v>
      </c>
    </row>
    <row r="12" spans="1:44" x14ac:dyDescent="0.25">
      <c r="A12" s="13" t="s">
        <v>62</v>
      </c>
      <c r="B12" s="13" t="s">
        <v>54</v>
      </c>
      <c r="C12" s="13">
        <v>-5</v>
      </c>
      <c r="D12" s="13">
        <v>195</v>
      </c>
      <c r="E12" s="13">
        <v>102</v>
      </c>
      <c r="F12" s="13">
        <v>67</v>
      </c>
      <c r="G12" s="6">
        <v>0.17</v>
      </c>
      <c r="H12" s="13">
        <v>180</v>
      </c>
      <c r="I12" s="13" t="s">
        <v>47</v>
      </c>
      <c r="J12" s="13"/>
      <c r="K12" s="13">
        <v>109</v>
      </c>
      <c r="L12" s="13">
        <f t="shared" si="4"/>
        <v>-7</v>
      </c>
      <c r="M12" s="13"/>
      <c r="N12" s="13"/>
      <c r="O12" s="13"/>
      <c r="P12" s="13">
        <v>0</v>
      </c>
      <c r="Q12" s="13"/>
      <c r="R12" s="13"/>
      <c r="S12" s="13">
        <v>0</v>
      </c>
      <c r="T12" s="13"/>
      <c r="U12" s="13"/>
      <c r="V12" s="13">
        <v>60</v>
      </c>
      <c r="W12" s="25"/>
      <c r="X12" s="17"/>
      <c r="Y12" s="13">
        <f t="shared" si="5"/>
        <v>20.399999999999999</v>
      </c>
      <c r="Z12" s="4">
        <f>12*Y12-V12-U12-T12-S12-R12-Q12-P12-O12-F12</f>
        <v>117.79999999999998</v>
      </c>
      <c r="AA12" s="4">
        <f>Z12</f>
        <v>117.79999999999998</v>
      </c>
      <c r="AB12" s="29"/>
      <c r="AC12" s="21"/>
      <c r="AD12" s="13">
        <f t="shared" si="6"/>
        <v>12</v>
      </c>
      <c r="AE12" s="13">
        <f t="shared" si="7"/>
        <v>6.2254901960784315</v>
      </c>
      <c r="AF12" s="13">
        <v>8.4</v>
      </c>
      <c r="AG12" s="13">
        <v>9</v>
      </c>
      <c r="AH12" s="13">
        <v>4.4000000000000004</v>
      </c>
      <c r="AI12" s="13">
        <v>19.8</v>
      </c>
      <c r="AJ12" s="13">
        <v>26.4</v>
      </c>
      <c r="AK12" s="13">
        <v>7.6</v>
      </c>
      <c r="AL12" s="13">
        <v>9</v>
      </c>
      <c r="AM12" s="13">
        <v>9.1999999999999993</v>
      </c>
      <c r="AN12" s="13">
        <v>6.6</v>
      </c>
      <c r="AO12" s="13">
        <v>19.399999999999999</v>
      </c>
      <c r="AP12" s="13"/>
      <c r="AQ12" s="13">
        <f t="shared" si="8"/>
        <v>20</v>
      </c>
      <c r="AR12" t="s">
        <v>63</v>
      </c>
    </row>
    <row r="13" spans="1:44" x14ac:dyDescent="0.25">
      <c r="A13" s="13" t="s">
        <v>64</v>
      </c>
      <c r="B13" s="13" t="s">
        <v>54</v>
      </c>
      <c r="C13" s="13">
        <v>9</v>
      </c>
      <c r="D13" s="13">
        <v>35</v>
      </c>
      <c r="E13" s="13">
        <v>29</v>
      </c>
      <c r="F13" s="13">
        <v>9</v>
      </c>
      <c r="G13" s="6">
        <v>0.3</v>
      </c>
      <c r="H13" s="13">
        <v>40</v>
      </c>
      <c r="I13" s="12" t="s">
        <v>65</v>
      </c>
      <c r="J13" s="13"/>
      <c r="K13" s="13">
        <v>74</v>
      </c>
      <c r="L13" s="13">
        <f t="shared" si="4"/>
        <v>-45</v>
      </c>
      <c r="M13" s="13"/>
      <c r="N13" s="13"/>
      <c r="O13" s="13"/>
      <c r="P13" s="13">
        <v>50</v>
      </c>
      <c r="Q13" s="13"/>
      <c r="R13" s="13"/>
      <c r="S13" s="13">
        <v>80</v>
      </c>
      <c r="T13" s="13"/>
      <c r="U13" s="13"/>
      <c r="V13" s="13">
        <v>60</v>
      </c>
      <c r="W13" s="25"/>
      <c r="X13" s="17"/>
      <c r="Y13" s="13">
        <f t="shared" si="5"/>
        <v>5.8</v>
      </c>
      <c r="Z13" s="4"/>
      <c r="AA13" s="4">
        <f>Z13</f>
        <v>0</v>
      </c>
      <c r="AB13" s="29"/>
      <c r="AC13" s="21"/>
      <c r="AD13" s="13">
        <f t="shared" si="6"/>
        <v>34.310344827586206</v>
      </c>
      <c r="AE13" s="13">
        <f t="shared" si="7"/>
        <v>34.310344827586206</v>
      </c>
      <c r="AF13" s="13">
        <v>6.2</v>
      </c>
      <c r="AG13" s="13">
        <v>11.4</v>
      </c>
      <c r="AH13" s="13">
        <v>16</v>
      </c>
      <c r="AI13" s="13">
        <v>6.8</v>
      </c>
      <c r="AJ13" s="13">
        <v>-1.2</v>
      </c>
      <c r="AK13" s="13">
        <v>3.4</v>
      </c>
      <c r="AL13" s="13">
        <v>16.2</v>
      </c>
      <c r="AM13" s="13">
        <v>21.6</v>
      </c>
      <c r="AN13" s="13">
        <v>18.399999999999999</v>
      </c>
      <c r="AO13" s="13">
        <v>34.4</v>
      </c>
      <c r="AP13" s="13"/>
      <c r="AQ13" s="13">
        <f t="shared" si="8"/>
        <v>0</v>
      </c>
      <c r="AR13" t="s">
        <v>66</v>
      </c>
    </row>
    <row r="14" spans="1:44" x14ac:dyDescent="0.25">
      <c r="A14" s="13" t="s">
        <v>67</v>
      </c>
      <c r="B14" s="13" t="s">
        <v>54</v>
      </c>
      <c r="C14" s="13">
        <v>106</v>
      </c>
      <c r="D14" s="13">
        <v>410</v>
      </c>
      <c r="E14" s="13">
        <v>179</v>
      </c>
      <c r="F14" s="13">
        <v>289</v>
      </c>
      <c r="G14" s="6">
        <v>0.17</v>
      </c>
      <c r="H14" s="13">
        <v>180</v>
      </c>
      <c r="I14" s="13" t="s">
        <v>47</v>
      </c>
      <c r="J14" s="13"/>
      <c r="K14" s="13">
        <v>192</v>
      </c>
      <c r="L14" s="13">
        <f t="shared" si="4"/>
        <v>-13</v>
      </c>
      <c r="M14" s="13"/>
      <c r="N14" s="13"/>
      <c r="O14" s="13"/>
      <c r="P14" s="13">
        <v>100</v>
      </c>
      <c r="Q14" s="13"/>
      <c r="R14" s="13"/>
      <c r="S14" s="13">
        <v>138.80000000000001</v>
      </c>
      <c r="T14" s="13"/>
      <c r="U14" s="13"/>
      <c r="V14" s="13">
        <v>100</v>
      </c>
      <c r="W14" s="25"/>
      <c r="X14" s="17"/>
      <c r="Y14" s="13">
        <f t="shared" si="5"/>
        <v>35.799999999999997</v>
      </c>
      <c r="Z14" s="4"/>
      <c r="AA14" s="4">
        <f>Z14</f>
        <v>0</v>
      </c>
      <c r="AB14" s="29"/>
      <c r="AC14" s="21"/>
      <c r="AD14" s="13">
        <f t="shared" si="6"/>
        <v>17.536312849162012</v>
      </c>
      <c r="AE14" s="13">
        <f t="shared" si="7"/>
        <v>17.536312849162012</v>
      </c>
      <c r="AF14" s="13">
        <v>42.8</v>
      </c>
      <c r="AG14" s="13">
        <v>55.6</v>
      </c>
      <c r="AH14" s="13">
        <v>50.6</v>
      </c>
      <c r="AI14" s="13">
        <v>53.6</v>
      </c>
      <c r="AJ14" s="13">
        <v>49</v>
      </c>
      <c r="AK14" s="13">
        <v>49.2</v>
      </c>
      <c r="AL14" s="13">
        <v>54.4</v>
      </c>
      <c r="AM14" s="13">
        <v>24</v>
      </c>
      <c r="AN14" s="13">
        <v>26.8</v>
      </c>
      <c r="AO14" s="13">
        <v>45.6</v>
      </c>
      <c r="AP14" s="13"/>
      <c r="AQ14" s="13">
        <f t="shared" si="8"/>
        <v>0</v>
      </c>
      <c r="AR14" t="s">
        <v>68</v>
      </c>
    </row>
    <row r="15" spans="1:44" x14ac:dyDescent="0.25">
      <c r="A15" s="13" t="s">
        <v>69</v>
      </c>
      <c r="B15" s="13" t="s">
        <v>46</v>
      </c>
      <c r="C15" s="13">
        <v>182.63200000000001</v>
      </c>
      <c r="D15" s="13">
        <v>424.03199999999998</v>
      </c>
      <c r="E15" s="13">
        <v>471.95600000000002</v>
      </c>
      <c r="F15" s="13">
        <v>72.111000000000004</v>
      </c>
      <c r="G15" s="6">
        <v>1</v>
      </c>
      <c r="H15" s="13">
        <v>70</v>
      </c>
      <c r="I15" s="12" t="s">
        <v>65</v>
      </c>
      <c r="J15" s="13"/>
      <c r="K15" s="13">
        <v>460.9</v>
      </c>
      <c r="L15" s="13">
        <f t="shared" si="4"/>
        <v>11.05600000000004</v>
      </c>
      <c r="M15" s="13"/>
      <c r="N15" s="13"/>
      <c r="O15" s="13"/>
      <c r="P15" s="13">
        <v>500</v>
      </c>
      <c r="Q15" s="13"/>
      <c r="R15" s="13"/>
      <c r="S15" s="13">
        <v>100</v>
      </c>
      <c r="T15" s="13"/>
      <c r="U15" s="13"/>
      <c r="V15" s="13">
        <v>270</v>
      </c>
      <c r="W15" s="25"/>
      <c r="X15" s="17"/>
      <c r="Y15" s="13">
        <f t="shared" si="5"/>
        <v>94.391199999999998</v>
      </c>
      <c r="Z15" s="4">
        <f>12*Y15-V15-U15-T15-S15-R15-Q15-P15-O15-F15</f>
        <v>190.58339999999987</v>
      </c>
      <c r="AA15" s="4">
        <f>Z15</f>
        <v>190.58339999999987</v>
      </c>
      <c r="AB15" s="29"/>
      <c r="AC15" s="21"/>
      <c r="AD15" s="13">
        <f t="shared" si="6"/>
        <v>11.999999999999998</v>
      </c>
      <c r="AE15" s="13">
        <f t="shared" si="7"/>
        <v>9.9809198315097163</v>
      </c>
      <c r="AF15" s="13">
        <v>92.775999999999996</v>
      </c>
      <c r="AG15" s="13">
        <v>91.034000000000006</v>
      </c>
      <c r="AH15" s="13">
        <v>96.842399999999998</v>
      </c>
      <c r="AI15" s="13">
        <v>93.471599999999995</v>
      </c>
      <c r="AJ15" s="13">
        <v>88.441000000000003</v>
      </c>
      <c r="AK15" s="13">
        <v>86.75739999999999</v>
      </c>
      <c r="AL15" s="13">
        <v>84.37</v>
      </c>
      <c r="AM15" s="13">
        <v>79.335000000000008</v>
      </c>
      <c r="AN15" s="13">
        <v>73.63</v>
      </c>
      <c r="AO15" s="13">
        <v>79.357799999999997</v>
      </c>
      <c r="AP15" s="13"/>
      <c r="AQ15" s="13">
        <f t="shared" si="8"/>
        <v>191</v>
      </c>
      <c r="AR15" t="s">
        <v>70</v>
      </c>
    </row>
    <row r="16" spans="1:44" x14ac:dyDescent="0.25">
      <c r="A16" s="13" t="s">
        <v>71</v>
      </c>
      <c r="B16" s="13" t="s">
        <v>46</v>
      </c>
      <c r="C16" s="13">
        <v>1493.172</v>
      </c>
      <c r="D16" s="13">
        <v>1018.4160000000001</v>
      </c>
      <c r="E16" s="13">
        <v>2404.4789999999998</v>
      </c>
      <c r="F16" s="13">
        <v>55.017000000000003</v>
      </c>
      <c r="G16" s="6">
        <v>1</v>
      </c>
      <c r="H16" s="13">
        <v>50</v>
      </c>
      <c r="I16" s="13" t="s">
        <v>47</v>
      </c>
      <c r="J16" s="13"/>
      <c r="K16" s="13">
        <v>2697.5189999999998</v>
      </c>
      <c r="L16" s="13">
        <f t="shared" si="4"/>
        <v>-293.03999999999996</v>
      </c>
      <c r="M16" s="13"/>
      <c r="N16" s="13"/>
      <c r="O16" s="13"/>
      <c r="P16" s="13">
        <v>3150.8408800000002</v>
      </c>
      <c r="Q16" s="13"/>
      <c r="R16" s="13"/>
      <c r="S16" s="13">
        <v>58.973120000000343</v>
      </c>
      <c r="T16" s="13"/>
      <c r="U16" s="13">
        <v>660</v>
      </c>
      <c r="V16" s="13">
        <v>787.5626400000001</v>
      </c>
      <c r="W16" s="25"/>
      <c r="X16" s="17">
        <v>510</v>
      </c>
      <c r="Y16" s="13">
        <f t="shared" si="5"/>
        <v>480.89579999999995</v>
      </c>
      <c r="Z16" s="4">
        <f>12*Y16-V16-U16-T16-S16-R16-Q16-P16-O16-F16</f>
        <v>1058.3559599999983</v>
      </c>
      <c r="AA16" s="4">
        <v>1100</v>
      </c>
      <c r="AB16" s="29"/>
      <c r="AC16" s="21">
        <v>510</v>
      </c>
      <c r="AD16" s="13">
        <f t="shared" si="6"/>
        <v>12.08659680537863</v>
      </c>
      <c r="AE16" s="13">
        <f t="shared" si="7"/>
        <v>9.7991989948758143</v>
      </c>
      <c r="AF16" s="13">
        <v>437.53480000000002</v>
      </c>
      <c r="AG16" s="13">
        <v>456.43400000000003</v>
      </c>
      <c r="AH16" s="13">
        <v>513.70119999999997</v>
      </c>
      <c r="AI16" s="13">
        <v>424.07979999999998</v>
      </c>
      <c r="AJ16" s="13">
        <v>400.34519999999998</v>
      </c>
      <c r="AK16" s="13">
        <v>421.65800000000002</v>
      </c>
      <c r="AL16" s="13">
        <v>435.88019999999989</v>
      </c>
      <c r="AM16" s="13">
        <v>443.73180000000002</v>
      </c>
      <c r="AN16" s="13">
        <v>379.55279999999999</v>
      </c>
      <c r="AO16" s="13">
        <v>332.78500000000003</v>
      </c>
      <c r="AP16" s="13"/>
      <c r="AQ16" s="13">
        <f t="shared" si="8"/>
        <v>1100</v>
      </c>
      <c r="AR16" t="s">
        <v>72</v>
      </c>
    </row>
    <row r="17" spans="1:44" x14ac:dyDescent="0.25">
      <c r="A17" s="13" t="s">
        <v>73</v>
      </c>
      <c r="B17" s="13" t="s">
        <v>46</v>
      </c>
      <c r="C17" s="13">
        <v>39.191000000000003</v>
      </c>
      <c r="D17" s="13">
        <v>27.407</v>
      </c>
      <c r="E17" s="13">
        <v>49.192999999999998</v>
      </c>
      <c r="F17" s="13">
        <v>6.77</v>
      </c>
      <c r="G17" s="6">
        <v>1</v>
      </c>
      <c r="H17" s="13">
        <v>60</v>
      </c>
      <c r="I17" s="13" t="s">
        <v>47</v>
      </c>
      <c r="J17" s="13"/>
      <c r="K17" s="13">
        <v>53.9</v>
      </c>
      <c r="L17" s="13">
        <f t="shared" si="4"/>
        <v>-4.7070000000000007</v>
      </c>
      <c r="M17" s="13"/>
      <c r="N17" s="13"/>
      <c r="O17" s="13"/>
      <c r="P17" s="13">
        <v>100</v>
      </c>
      <c r="Q17" s="13"/>
      <c r="R17" s="13"/>
      <c r="S17" s="13">
        <v>22.69019999999999</v>
      </c>
      <c r="T17" s="13"/>
      <c r="U17" s="13"/>
      <c r="V17" s="13">
        <v>0</v>
      </c>
      <c r="W17" s="25"/>
      <c r="X17" s="17"/>
      <c r="Y17" s="13">
        <f t="shared" si="5"/>
        <v>9.8385999999999996</v>
      </c>
      <c r="Z17" s="4"/>
      <c r="AA17" s="4">
        <f>Z17</f>
        <v>0</v>
      </c>
      <c r="AB17" s="29"/>
      <c r="AC17" s="21"/>
      <c r="AD17" s="13">
        <f t="shared" si="6"/>
        <v>13.158396519830056</v>
      </c>
      <c r="AE17" s="13">
        <f t="shared" si="7"/>
        <v>13.158396519830056</v>
      </c>
      <c r="AF17" s="13">
        <v>11.293200000000001</v>
      </c>
      <c r="AG17" s="13">
        <v>15.170199999999999</v>
      </c>
      <c r="AH17" s="13">
        <v>14.3386</v>
      </c>
      <c r="AI17" s="13">
        <v>12.2934</v>
      </c>
      <c r="AJ17" s="13">
        <v>14.3178</v>
      </c>
      <c r="AK17" s="13">
        <v>13.440799999999999</v>
      </c>
      <c r="AL17" s="13">
        <v>13.439399999999999</v>
      </c>
      <c r="AM17" s="13">
        <v>14.009399999999999</v>
      </c>
      <c r="AN17" s="13">
        <v>15.593999999999999</v>
      </c>
      <c r="AO17" s="13">
        <v>14.525</v>
      </c>
      <c r="AP17" s="13"/>
      <c r="AQ17" s="13">
        <f t="shared" si="8"/>
        <v>0</v>
      </c>
      <c r="AR17" t="s">
        <v>74</v>
      </c>
    </row>
    <row r="18" spans="1:44" x14ac:dyDescent="0.25">
      <c r="A18" s="8" t="s">
        <v>75</v>
      </c>
      <c r="B18" s="8" t="s">
        <v>46</v>
      </c>
      <c r="C18" s="8">
        <v>-5.032</v>
      </c>
      <c r="D18" s="8"/>
      <c r="E18" s="8"/>
      <c r="F18" s="11">
        <v>-5.032</v>
      </c>
      <c r="G18" s="9">
        <v>0</v>
      </c>
      <c r="H18" s="8"/>
      <c r="I18" s="8" t="s">
        <v>76</v>
      </c>
      <c r="J18" s="8" t="s">
        <v>77</v>
      </c>
      <c r="K18" s="8"/>
      <c r="L18" s="8">
        <f t="shared" si="4"/>
        <v>0</v>
      </c>
      <c r="M18" s="8"/>
      <c r="N18" s="8"/>
      <c r="O18" s="8"/>
      <c r="P18" s="8">
        <v>0</v>
      </c>
      <c r="Q18" s="8"/>
      <c r="R18" s="8"/>
      <c r="S18" s="8">
        <v>0</v>
      </c>
      <c r="T18" s="8"/>
      <c r="U18" s="8"/>
      <c r="V18" s="8">
        <v>0</v>
      </c>
      <c r="W18" s="27"/>
      <c r="X18" s="19"/>
      <c r="Y18" s="8">
        <f t="shared" si="5"/>
        <v>0</v>
      </c>
      <c r="Z18" s="10"/>
      <c r="AA18" s="4">
        <f>Z18</f>
        <v>0</v>
      </c>
      <c r="AB18" s="29"/>
      <c r="AC18" s="21"/>
      <c r="AD18" s="13" t="e">
        <f t="shared" si="6"/>
        <v>#DIV/0!</v>
      </c>
      <c r="AE18" s="8" t="e">
        <f t="shared" si="7"/>
        <v>#DIV/0!</v>
      </c>
      <c r="AF18" s="8">
        <v>0</v>
      </c>
      <c r="AG18" s="8">
        <v>1.0064</v>
      </c>
      <c r="AH18" s="8">
        <v>1.0064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/>
      <c r="AQ18" s="13">
        <f t="shared" si="8"/>
        <v>0</v>
      </c>
      <c r="AR18" t="s">
        <v>78</v>
      </c>
    </row>
    <row r="19" spans="1:44" x14ac:dyDescent="0.25">
      <c r="A19" s="13" t="s">
        <v>79</v>
      </c>
      <c r="B19" s="13" t="s">
        <v>46</v>
      </c>
      <c r="C19" s="13">
        <v>20.715</v>
      </c>
      <c r="D19" s="13">
        <v>15.816000000000001</v>
      </c>
      <c r="E19" s="13">
        <v>29.998999999999999</v>
      </c>
      <c r="F19" s="13">
        <v>5.6020000000000003</v>
      </c>
      <c r="G19" s="6">
        <v>1</v>
      </c>
      <c r="H19" s="13">
        <v>60</v>
      </c>
      <c r="I19" s="12" t="s">
        <v>65</v>
      </c>
      <c r="J19" s="13"/>
      <c r="K19" s="13">
        <v>38</v>
      </c>
      <c r="L19" s="13">
        <f t="shared" si="4"/>
        <v>-8.0010000000000012</v>
      </c>
      <c r="M19" s="13"/>
      <c r="N19" s="13"/>
      <c r="O19" s="13"/>
      <c r="P19" s="13">
        <v>60</v>
      </c>
      <c r="Q19" s="13"/>
      <c r="R19" s="13"/>
      <c r="S19" s="13">
        <v>34.189199999999971</v>
      </c>
      <c r="T19" s="13"/>
      <c r="U19" s="13"/>
      <c r="V19" s="13">
        <v>0</v>
      </c>
      <c r="W19" s="25"/>
      <c r="X19" s="17"/>
      <c r="Y19" s="13">
        <f t="shared" si="5"/>
        <v>5.9997999999999996</v>
      </c>
      <c r="Z19" s="4">
        <v>10</v>
      </c>
      <c r="AA19" s="4">
        <f>Z19</f>
        <v>10</v>
      </c>
      <c r="AB19" s="29"/>
      <c r="AC19" s="21"/>
      <c r="AD19" s="13">
        <f t="shared" si="6"/>
        <v>18.299143304776823</v>
      </c>
      <c r="AE19" s="13">
        <f t="shared" si="7"/>
        <v>16.632421080702688</v>
      </c>
      <c r="AF19" s="13">
        <v>7.8230000000000004</v>
      </c>
      <c r="AG19" s="13">
        <v>10.795400000000001</v>
      </c>
      <c r="AH19" s="13">
        <v>9.7043999999999997</v>
      </c>
      <c r="AI19" s="13">
        <v>7.2253999999999996</v>
      </c>
      <c r="AJ19" s="13">
        <v>9.3013999999999992</v>
      </c>
      <c r="AK19" s="13">
        <v>8.0855999999999995</v>
      </c>
      <c r="AL19" s="13">
        <v>8.6264000000000003</v>
      </c>
      <c r="AM19" s="13">
        <v>7.2308000000000003</v>
      </c>
      <c r="AN19" s="13">
        <v>4.5262000000000002</v>
      </c>
      <c r="AO19" s="13">
        <v>6.3393999999999986</v>
      </c>
      <c r="AP19" s="13"/>
      <c r="AQ19" s="13">
        <f t="shared" si="8"/>
        <v>10</v>
      </c>
      <c r="AR19" t="s">
        <v>80</v>
      </c>
    </row>
    <row r="20" spans="1:44" x14ac:dyDescent="0.25">
      <c r="A20" s="13" t="s">
        <v>81</v>
      </c>
      <c r="B20" s="13" t="s">
        <v>46</v>
      </c>
      <c r="C20" s="13">
        <v>34.015000000000001</v>
      </c>
      <c r="D20" s="13">
        <v>54.366999999999997</v>
      </c>
      <c r="E20" s="13">
        <v>24.681999999999999</v>
      </c>
      <c r="F20" s="13">
        <v>60.444000000000003</v>
      </c>
      <c r="G20" s="6">
        <v>1</v>
      </c>
      <c r="H20" s="13">
        <v>180</v>
      </c>
      <c r="I20" s="13" t="s">
        <v>47</v>
      </c>
      <c r="J20" s="13"/>
      <c r="K20" s="13">
        <v>24.49</v>
      </c>
      <c r="L20" s="13">
        <f t="shared" si="4"/>
        <v>0.19200000000000017</v>
      </c>
      <c r="M20" s="13"/>
      <c r="N20" s="13"/>
      <c r="O20" s="13"/>
      <c r="P20" s="13">
        <v>0</v>
      </c>
      <c r="Q20" s="13"/>
      <c r="R20" s="13"/>
      <c r="S20" s="13">
        <v>8.9090000000000025</v>
      </c>
      <c r="T20" s="13"/>
      <c r="U20" s="13"/>
      <c r="V20" s="13">
        <v>35</v>
      </c>
      <c r="W20" s="25"/>
      <c r="X20" s="17"/>
      <c r="Y20" s="13">
        <f t="shared" si="5"/>
        <v>4.9363999999999999</v>
      </c>
      <c r="Z20" s="4"/>
      <c r="AA20" s="4">
        <f>Z20</f>
        <v>0</v>
      </c>
      <c r="AB20" s="29"/>
      <c r="AC20" s="21"/>
      <c r="AD20" s="13">
        <f t="shared" si="6"/>
        <v>21.139494368365614</v>
      </c>
      <c r="AE20" s="13">
        <f t="shared" si="7"/>
        <v>21.139494368365614</v>
      </c>
      <c r="AF20" s="13">
        <v>5.5602</v>
      </c>
      <c r="AG20" s="13">
        <v>7.5060000000000002</v>
      </c>
      <c r="AH20" s="13">
        <v>7.0279999999999996</v>
      </c>
      <c r="AI20" s="13">
        <v>6.3250000000000002</v>
      </c>
      <c r="AJ20" s="13">
        <v>6.3784000000000001</v>
      </c>
      <c r="AK20" s="13">
        <v>6.1204000000000001</v>
      </c>
      <c r="AL20" s="13">
        <v>5.7140000000000004</v>
      </c>
      <c r="AM20" s="13">
        <v>5.0237999999999996</v>
      </c>
      <c r="AN20" s="13">
        <v>4.1154000000000002</v>
      </c>
      <c r="AO20" s="13">
        <v>5.633</v>
      </c>
      <c r="AP20" s="16" t="s">
        <v>82</v>
      </c>
      <c r="AQ20" s="13">
        <f t="shared" si="8"/>
        <v>0</v>
      </c>
      <c r="AR20" t="s">
        <v>83</v>
      </c>
    </row>
    <row r="21" spans="1:44" x14ac:dyDescent="0.25">
      <c r="A21" s="13" t="s">
        <v>84</v>
      </c>
      <c r="B21" s="13" t="s">
        <v>46</v>
      </c>
      <c r="C21" s="13">
        <v>39.816000000000003</v>
      </c>
      <c r="D21" s="13">
        <v>438.62599999999998</v>
      </c>
      <c r="E21" s="13">
        <v>290.35899999999998</v>
      </c>
      <c r="F21" s="13">
        <v>138.98699999999999</v>
      </c>
      <c r="G21" s="6">
        <v>1</v>
      </c>
      <c r="H21" s="13">
        <v>60</v>
      </c>
      <c r="I21" s="13" t="s">
        <v>47</v>
      </c>
      <c r="J21" s="13"/>
      <c r="K21" s="13">
        <v>405.5</v>
      </c>
      <c r="L21" s="13">
        <f t="shared" si="4"/>
        <v>-115.14100000000002</v>
      </c>
      <c r="M21" s="13"/>
      <c r="N21" s="13"/>
      <c r="O21" s="13"/>
      <c r="P21" s="13">
        <v>400</v>
      </c>
      <c r="Q21" s="13"/>
      <c r="R21" s="13"/>
      <c r="S21" s="13">
        <v>191.41973870800001</v>
      </c>
      <c r="T21" s="13"/>
      <c r="U21" s="13"/>
      <c r="V21" s="13">
        <v>0</v>
      </c>
      <c r="W21" s="25"/>
      <c r="X21" s="17"/>
      <c r="Y21" s="13">
        <f t="shared" si="5"/>
        <v>58.071799999999996</v>
      </c>
      <c r="Z21" s="4"/>
      <c r="AA21" s="4">
        <v>50</v>
      </c>
      <c r="AB21" s="29"/>
      <c r="AC21" s="21"/>
      <c r="AD21" s="13">
        <f t="shared" si="6"/>
        <v>13.438652473455274</v>
      </c>
      <c r="AE21" s="13">
        <f t="shared" si="7"/>
        <v>12.57764937040009</v>
      </c>
      <c r="AF21" s="13">
        <v>56.750199999999992</v>
      </c>
      <c r="AG21" s="13">
        <v>79.769800000000004</v>
      </c>
      <c r="AH21" s="13">
        <v>80.206800000000001</v>
      </c>
      <c r="AI21" s="13">
        <v>75.62</v>
      </c>
      <c r="AJ21" s="13">
        <v>64.991</v>
      </c>
      <c r="AK21" s="13">
        <v>61.033200000000001</v>
      </c>
      <c r="AL21" s="13">
        <v>58.342399999999998</v>
      </c>
      <c r="AM21" s="13">
        <v>75.671999999999997</v>
      </c>
      <c r="AN21" s="13">
        <v>73.896600000000007</v>
      </c>
      <c r="AO21" s="13">
        <v>72.609400000000008</v>
      </c>
      <c r="AP21" s="13"/>
      <c r="AQ21" s="13">
        <f t="shared" si="8"/>
        <v>50</v>
      </c>
      <c r="AR21" t="s">
        <v>85</v>
      </c>
    </row>
    <row r="22" spans="1:44" x14ac:dyDescent="0.25">
      <c r="A22" s="13" t="s">
        <v>86</v>
      </c>
      <c r="B22" s="13" t="s">
        <v>46</v>
      </c>
      <c r="C22" s="13">
        <v>120.29600000000001</v>
      </c>
      <c r="D22" s="13">
        <v>2.4689999999999999</v>
      </c>
      <c r="E22" s="13">
        <v>110.363</v>
      </c>
      <c r="F22" s="13">
        <v>3.7429999999999999</v>
      </c>
      <c r="G22" s="6">
        <v>1</v>
      </c>
      <c r="H22" s="13">
        <v>70</v>
      </c>
      <c r="I22" s="13" t="s">
        <v>47</v>
      </c>
      <c r="J22" s="13"/>
      <c r="K22" s="13">
        <v>110.1</v>
      </c>
      <c r="L22" s="13">
        <f t="shared" si="4"/>
        <v>0.26300000000000523</v>
      </c>
      <c r="M22" s="13"/>
      <c r="N22" s="13"/>
      <c r="O22" s="13"/>
      <c r="P22" s="13">
        <v>4</v>
      </c>
      <c r="Q22" s="13"/>
      <c r="R22" s="13"/>
      <c r="S22" s="13">
        <v>178.4238</v>
      </c>
      <c r="T22" s="13"/>
      <c r="U22" s="13"/>
      <c r="V22" s="13">
        <v>140</v>
      </c>
      <c r="W22" s="25"/>
      <c r="X22" s="17"/>
      <c r="Y22" s="13">
        <f t="shared" si="5"/>
        <v>22.072600000000001</v>
      </c>
      <c r="Z22" s="4"/>
      <c r="AA22" s="4">
        <f t="shared" ref="AA22:AA53" si="9">Z22</f>
        <v>0</v>
      </c>
      <c r="AB22" s="29"/>
      <c r="AC22" s="21"/>
      <c r="AD22" s="13">
        <f t="shared" si="6"/>
        <v>14.776999537888601</v>
      </c>
      <c r="AE22" s="13">
        <f t="shared" si="7"/>
        <v>14.776999537888601</v>
      </c>
      <c r="AF22" s="13">
        <v>24.557600000000001</v>
      </c>
      <c r="AG22" s="13">
        <v>24.7864</v>
      </c>
      <c r="AH22" s="13">
        <v>16.4818</v>
      </c>
      <c r="AI22" s="13">
        <v>17.9194</v>
      </c>
      <c r="AJ22" s="13">
        <v>20.691400000000002</v>
      </c>
      <c r="AK22" s="13">
        <v>19.97</v>
      </c>
      <c r="AL22" s="13">
        <v>26.1326</v>
      </c>
      <c r="AM22" s="13">
        <v>13.5192</v>
      </c>
      <c r="AN22" s="13">
        <v>6.452</v>
      </c>
      <c r="AO22" s="13">
        <v>17.515000000000001</v>
      </c>
      <c r="AP22" s="13"/>
      <c r="AQ22" s="13">
        <f t="shared" si="8"/>
        <v>0</v>
      </c>
      <c r="AR22" t="s">
        <v>87</v>
      </c>
    </row>
    <row r="23" spans="1:44" x14ac:dyDescent="0.25">
      <c r="A23" s="13" t="s">
        <v>88</v>
      </c>
      <c r="B23" s="13" t="s">
        <v>46</v>
      </c>
      <c r="C23" s="13">
        <v>2.1930000000000001</v>
      </c>
      <c r="D23" s="13">
        <v>145.232</v>
      </c>
      <c r="E23" s="13">
        <v>120.59099999999999</v>
      </c>
      <c r="F23" s="13">
        <v>2.2080000000000002</v>
      </c>
      <c r="G23" s="6">
        <v>1</v>
      </c>
      <c r="H23" s="13">
        <v>70</v>
      </c>
      <c r="I23" s="12" t="s">
        <v>65</v>
      </c>
      <c r="J23" s="13"/>
      <c r="K23" s="13">
        <v>231.05</v>
      </c>
      <c r="L23" s="13">
        <f t="shared" si="4"/>
        <v>-110.45900000000002</v>
      </c>
      <c r="M23" s="13"/>
      <c r="N23" s="13"/>
      <c r="O23" s="13"/>
      <c r="P23" s="13">
        <v>180</v>
      </c>
      <c r="Q23" s="13"/>
      <c r="R23" s="13"/>
      <c r="S23" s="13">
        <v>100</v>
      </c>
      <c r="T23" s="13"/>
      <c r="U23" s="13"/>
      <c r="V23" s="13">
        <v>100</v>
      </c>
      <c r="W23" s="25"/>
      <c r="X23" s="17"/>
      <c r="Y23" s="13">
        <f t="shared" si="5"/>
        <v>24.118199999999998</v>
      </c>
      <c r="Z23" s="4">
        <v>100</v>
      </c>
      <c r="AA23" s="4">
        <f t="shared" si="9"/>
        <v>100</v>
      </c>
      <c r="AB23" s="29"/>
      <c r="AC23" s="21"/>
      <c r="AD23" s="13">
        <f t="shared" si="6"/>
        <v>19.993531855611117</v>
      </c>
      <c r="AE23" s="13">
        <f t="shared" si="7"/>
        <v>15.84728545247987</v>
      </c>
      <c r="AF23" s="13">
        <v>18.269200000000001</v>
      </c>
      <c r="AG23" s="13">
        <v>21.5534</v>
      </c>
      <c r="AH23" s="13">
        <v>26.809000000000001</v>
      </c>
      <c r="AI23" s="13">
        <v>31.9404</v>
      </c>
      <c r="AJ23" s="13">
        <v>32.387</v>
      </c>
      <c r="AK23" s="13">
        <v>26.2134</v>
      </c>
      <c r="AL23" s="13">
        <v>29.136800000000001</v>
      </c>
      <c r="AM23" s="13">
        <v>41.977400000000003</v>
      </c>
      <c r="AN23" s="13">
        <v>38.621600000000001</v>
      </c>
      <c r="AO23" s="13">
        <v>36.080399999999997</v>
      </c>
      <c r="AP23" s="13" t="s">
        <v>89</v>
      </c>
      <c r="AQ23" s="13">
        <f t="shared" si="8"/>
        <v>100</v>
      </c>
      <c r="AR23" t="s">
        <v>90</v>
      </c>
    </row>
    <row r="24" spans="1:44" x14ac:dyDescent="0.25">
      <c r="A24" s="13" t="s">
        <v>91</v>
      </c>
      <c r="B24" s="13" t="s">
        <v>46</v>
      </c>
      <c r="C24" s="13">
        <v>15.952</v>
      </c>
      <c r="D24" s="13">
        <v>54.225999999999999</v>
      </c>
      <c r="E24" s="13">
        <v>23.248000000000001</v>
      </c>
      <c r="F24" s="13">
        <v>41.777000000000001</v>
      </c>
      <c r="G24" s="6">
        <v>1</v>
      </c>
      <c r="H24" s="13">
        <v>180</v>
      </c>
      <c r="I24" s="13" t="s">
        <v>47</v>
      </c>
      <c r="J24" s="13"/>
      <c r="K24" s="13">
        <v>24.49</v>
      </c>
      <c r="L24" s="13">
        <f t="shared" si="4"/>
        <v>-1.2419999999999973</v>
      </c>
      <c r="M24" s="13"/>
      <c r="N24" s="13"/>
      <c r="O24" s="13"/>
      <c r="P24" s="13">
        <v>0</v>
      </c>
      <c r="Q24" s="13"/>
      <c r="R24" s="13"/>
      <c r="S24" s="13">
        <v>35.346600000000002</v>
      </c>
      <c r="T24" s="13"/>
      <c r="U24" s="13"/>
      <c r="V24" s="13">
        <v>35</v>
      </c>
      <c r="W24" s="25"/>
      <c r="X24" s="17"/>
      <c r="Y24" s="13">
        <f t="shared" si="5"/>
        <v>4.6496000000000004</v>
      </c>
      <c r="Z24" s="4"/>
      <c r="AA24" s="4">
        <f t="shared" si="9"/>
        <v>0</v>
      </c>
      <c r="AB24" s="29"/>
      <c r="AC24" s="21"/>
      <c r="AD24" s="13">
        <f t="shared" si="6"/>
        <v>24.114676531314522</v>
      </c>
      <c r="AE24" s="13">
        <f t="shared" si="7"/>
        <v>24.114676531314522</v>
      </c>
      <c r="AF24" s="13">
        <v>6.7364000000000006</v>
      </c>
      <c r="AG24" s="13">
        <v>8.1237999999999992</v>
      </c>
      <c r="AH24" s="13">
        <v>7.3412000000000006</v>
      </c>
      <c r="AI24" s="13">
        <v>7.2737999999999996</v>
      </c>
      <c r="AJ24" s="13">
        <v>6.770999999999999</v>
      </c>
      <c r="AK24" s="13">
        <v>5.3578000000000001</v>
      </c>
      <c r="AL24" s="13">
        <v>2.327</v>
      </c>
      <c r="AM24" s="13">
        <v>0.27739999999999998</v>
      </c>
      <c r="AN24" s="13">
        <v>1.9434</v>
      </c>
      <c r="AO24" s="13">
        <v>9.5144000000000002</v>
      </c>
      <c r="AP24" s="13"/>
      <c r="AQ24" s="13">
        <f t="shared" si="8"/>
        <v>0</v>
      </c>
      <c r="AR24" t="s">
        <v>92</v>
      </c>
    </row>
    <row r="25" spans="1:44" x14ac:dyDescent="0.25">
      <c r="A25" s="13" t="s">
        <v>93</v>
      </c>
      <c r="B25" s="13" t="s">
        <v>46</v>
      </c>
      <c r="C25" s="13">
        <v>150.71600000000001</v>
      </c>
      <c r="D25" s="13">
        <v>163.655</v>
      </c>
      <c r="E25" s="13">
        <v>251.28399999999999</v>
      </c>
      <c r="F25" s="13">
        <v>25.51</v>
      </c>
      <c r="G25" s="6">
        <v>1</v>
      </c>
      <c r="H25" s="13">
        <v>70</v>
      </c>
      <c r="I25" s="12" t="s">
        <v>65</v>
      </c>
      <c r="J25" s="13"/>
      <c r="K25" s="13">
        <v>245.2</v>
      </c>
      <c r="L25" s="13">
        <f t="shared" si="4"/>
        <v>6.0840000000000032</v>
      </c>
      <c r="M25" s="13"/>
      <c r="N25" s="13"/>
      <c r="O25" s="13"/>
      <c r="P25" s="13">
        <v>100</v>
      </c>
      <c r="Q25" s="13"/>
      <c r="R25" s="13"/>
      <c r="S25" s="13">
        <v>100</v>
      </c>
      <c r="T25" s="13"/>
      <c r="U25" s="13"/>
      <c r="V25" s="13">
        <v>303.96300000000002</v>
      </c>
      <c r="W25" s="25"/>
      <c r="X25" s="17"/>
      <c r="Y25" s="13">
        <f t="shared" si="5"/>
        <v>50.256799999999998</v>
      </c>
      <c r="Z25" s="4">
        <f>12*Y25-V25-U25-T25-S25-R25-Q25-P25-O25-F25</f>
        <v>73.608599999999953</v>
      </c>
      <c r="AA25" s="4">
        <f t="shared" si="9"/>
        <v>73.608599999999953</v>
      </c>
      <c r="AB25" s="29"/>
      <c r="AC25" s="21"/>
      <c r="AD25" s="13">
        <f t="shared" si="6"/>
        <v>11.999999999999998</v>
      </c>
      <c r="AE25" s="13">
        <f t="shared" si="7"/>
        <v>10.535350440139442</v>
      </c>
      <c r="AF25" s="13">
        <v>50.878</v>
      </c>
      <c r="AG25" s="13">
        <v>32.047199999999997</v>
      </c>
      <c r="AH25" s="13">
        <v>25.897600000000001</v>
      </c>
      <c r="AI25" s="13">
        <v>37.567</v>
      </c>
      <c r="AJ25" s="13">
        <v>37.298999999999999</v>
      </c>
      <c r="AK25" s="13">
        <v>36.141000000000012</v>
      </c>
      <c r="AL25" s="13">
        <v>39.828000000000003</v>
      </c>
      <c r="AM25" s="13">
        <v>44.405000000000001</v>
      </c>
      <c r="AN25" s="13">
        <v>38.7042</v>
      </c>
      <c r="AO25" s="13">
        <v>38.443199999999997</v>
      </c>
      <c r="AP25" s="13" t="s">
        <v>89</v>
      </c>
      <c r="AQ25" s="13">
        <f t="shared" si="8"/>
        <v>74</v>
      </c>
      <c r="AR25" t="s">
        <v>94</v>
      </c>
    </row>
    <row r="26" spans="1:44" x14ac:dyDescent="0.25">
      <c r="A26" s="8" t="s">
        <v>95</v>
      </c>
      <c r="B26" s="8" t="s">
        <v>46</v>
      </c>
      <c r="C26" s="8"/>
      <c r="D26" s="8"/>
      <c r="E26" s="8"/>
      <c r="F26" s="8"/>
      <c r="G26" s="9">
        <v>0</v>
      </c>
      <c r="H26" s="8"/>
      <c r="I26" s="8" t="s">
        <v>47</v>
      </c>
      <c r="J26" s="8"/>
      <c r="K26" s="8"/>
      <c r="L26" s="8">
        <f t="shared" si="4"/>
        <v>0</v>
      </c>
      <c r="M26" s="8"/>
      <c r="N26" s="8"/>
      <c r="O26" s="8"/>
      <c r="P26" s="8">
        <v>0</v>
      </c>
      <c r="Q26" s="8"/>
      <c r="R26" s="8"/>
      <c r="S26" s="8">
        <v>0</v>
      </c>
      <c r="T26" s="8"/>
      <c r="U26" s="8"/>
      <c r="V26" s="8">
        <v>0</v>
      </c>
      <c r="W26" s="27"/>
      <c r="X26" s="19"/>
      <c r="Y26" s="8">
        <f t="shared" si="5"/>
        <v>0</v>
      </c>
      <c r="Z26" s="10"/>
      <c r="AA26" s="4">
        <f t="shared" si="9"/>
        <v>0</v>
      </c>
      <c r="AB26" s="29"/>
      <c r="AC26" s="21"/>
      <c r="AD26" s="13" t="e">
        <f t="shared" si="6"/>
        <v>#DIV/0!</v>
      </c>
      <c r="AE26" s="8" t="e">
        <f t="shared" si="7"/>
        <v>#DIV/0!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 t="s">
        <v>55</v>
      </c>
      <c r="AQ26" s="13">
        <f t="shared" si="8"/>
        <v>0</v>
      </c>
      <c r="AR26" t="s">
        <v>96</v>
      </c>
    </row>
    <row r="27" spans="1:44" x14ac:dyDescent="0.25">
      <c r="A27" s="13" t="s">
        <v>97</v>
      </c>
      <c r="B27" s="13" t="s">
        <v>46</v>
      </c>
      <c r="C27" s="13">
        <v>36.154000000000003</v>
      </c>
      <c r="D27" s="13">
        <v>155.608</v>
      </c>
      <c r="E27" s="13">
        <v>109.629</v>
      </c>
      <c r="F27" s="13">
        <v>39.844000000000001</v>
      </c>
      <c r="G27" s="6">
        <v>1</v>
      </c>
      <c r="H27" s="13"/>
      <c r="I27" s="12" t="s">
        <v>65</v>
      </c>
      <c r="J27" s="13"/>
      <c r="K27" s="13">
        <v>111.4</v>
      </c>
      <c r="L27" s="13">
        <f t="shared" si="4"/>
        <v>-1.7710000000000008</v>
      </c>
      <c r="M27" s="13"/>
      <c r="N27" s="13"/>
      <c r="O27" s="13"/>
      <c r="P27" s="13">
        <v>0</v>
      </c>
      <c r="Q27" s="13"/>
      <c r="R27" s="13"/>
      <c r="S27" s="13">
        <v>20</v>
      </c>
      <c r="T27" s="13"/>
      <c r="U27" s="13"/>
      <c r="V27" s="13">
        <v>26.337299999999999</v>
      </c>
      <c r="W27" s="25"/>
      <c r="X27" s="17"/>
      <c r="Y27" s="13">
        <f t="shared" si="5"/>
        <v>21.925800000000002</v>
      </c>
      <c r="Z27" s="4">
        <f>12*Y27-V27-U27-T27-S27-R27-Q27-P27-O27-F27</f>
        <v>176.92830000000001</v>
      </c>
      <c r="AA27" s="4">
        <f t="shared" si="9"/>
        <v>176.92830000000001</v>
      </c>
      <c r="AB27" s="29"/>
      <c r="AC27" s="21"/>
      <c r="AD27" s="13">
        <f t="shared" si="6"/>
        <v>11.999999999999998</v>
      </c>
      <c r="AE27" s="13">
        <f t="shared" si="7"/>
        <v>3.9305886216238397</v>
      </c>
      <c r="AF27" s="13">
        <v>18.2592</v>
      </c>
      <c r="AG27" s="13">
        <v>16.141200000000001</v>
      </c>
      <c r="AH27" s="13">
        <v>2.0912000000000002</v>
      </c>
      <c r="AI27" s="13">
        <v>5.1159999999999997</v>
      </c>
      <c r="AJ27" s="13">
        <v>17.8748</v>
      </c>
      <c r="AK27" s="13">
        <v>40.319000000000003</v>
      </c>
      <c r="AL27" s="13">
        <v>42.488399999999999</v>
      </c>
      <c r="AM27" s="13">
        <v>14.019600000000001</v>
      </c>
      <c r="AN27" s="13">
        <v>0.69540000000000002</v>
      </c>
      <c r="AO27" s="13">
        <v>3.7128000000000001</v>
      </c>
      <c r="AP27" s="13"/>
      <c r="AQ27" s="13">
        <f t="shared" si="8"/>
        <v>177</v>
      </c>
      <c r="AR27" t="s">
        <v>98</v>
      </c>
    </row>
    <row r="28" spans="1:44" x14ac:dyDescent="0.25">
      <c r="A28" s="13" t="s">
        <v>99</v>
      </c>
      <c r="B28" s="13" t="s">
        <v>46</v>
      </c>
      <c r="C28" s="13">
        <v>-2.5000000000000001E-2</v>
      </c>
      <c r="D28" s="13">
        <v>89.381</v>
      </c>
      <c r="E28" s="13">
        <v>88.206999999999994</v>
      </c>
      <c r="F28" s="13">
        <v>1.149</v>
      </c>
      <c r="G28" s="6">
        <v>1</v>
      </c>
      <c r="H28" s="13">
        <v>40</v>
      </c>
      <c r="I28" s="12" t="s">
        <v>65</v>
      </c>
      <c r="J28" s="13"/>
      <c r="K28" s="13">
        <v>121.5</v>
      </c>
      <c r="L28" s="13">
        <f t="shared" si="4"/>
        <v>-33.293000000000006</v>
      </c>
      <c r="M28" s="13"/>
      <c r="N28" s="13"/>
      <c r="O28" s="13"/>
      <c r="P28" s="13">
        <v>50</v>
      </c>
      <c r="Q28" s="13"/>
      <c r="R28" s="13"/>
      <c r="S28" s="13">
        <v>0</v>
      </c>
      <c r="T28" s="13"/>
      <c r="U28" s="13"/>
      <c r="V28" s="13">
        <v>80</v>
      </c>
      <c r="W28" s="25">
        <v>-81</v>
      </c>
      <c r="X28" s="17"/>
      <c r="Y28" s="13">
        <f t="shared" si="5"/>
        <v>17.641399999999997</v>
      </c>
      <c r="Z28" s="4">
        <f>12*Y28-V28-U28-T28-S28-R28-Q28-P28-O28-F28</f>
        <v>80.547799999999967</v>
      </c>
      <c r="AA28" s="4">
        <f t="shared" si="9"/>
        <v>80.547799999999967</v>
      </c>
      <c r="AB28" s="29">
        <v>-81</v>
      </c>
      <c r="AC28" s="21"/>
      <c r="AD28" s="13">
        <f t="shared" si="6"/>
        <v>12</v>
      </c>
      <c r="AE28" s="13">
        <f t="shared" si="7"/>
        <v>7.4341605541510321</v>
      </c>
      <c r="AF28" s="13">
        <v>8.9708000000000006</v>
      </c>
      <c r="AG28" s="13">
        <v>-0.30919999999999997</v>
      </c>
      <c r="AH28" s="13">
        <v>-0.6</v>
      </c>
      <c r="AI28" s="13">
        <v>-0.49919999999999998</v>
      </c>
      <c r="AJ28" s="13">
        <v>-0.2084</v>
      </c>
      <c r="AK28" s="13">
        <v>-0.311</v>
      </c>
      <c r="AL28" s="13">
        <v>-0.96479999999999999</v>
      </c>
      <c r="AM28" s="13">
        <v>-1.163</v>
      </c>
      <c r="AN28" s="13">
        <v>-0.50919999999999999</v>
      </c>
      <c r="AO28" s="13">
        <v>-0.21679999999999999</v>
      </c>
      <c r="AP28" s="13"/>
      <c r="AQ28" s="13">
        <f t="shared" si="8"/>
        <v>81</v>
      </c>
      <c r="AR28" t="s">
        <v>100</v>
      </c>
    </row>
    <row r="29" spans="1:44" x14ac:dyDescent="0.25">
      <c r="A29" s="13" t="s">
        <v>101</v>
      </c>
      <c r="B29" s="13" t="s">
        <v>46</v>
      </c>
      <c r="C29" s="13">
        <v>41.683</v>
      </c>
      <c r="D29" s="13">
        <v>75.197999999999993</v>
      </c>
      <c r="E29" s="13">
        <v>80.858000000000004</v>
      </c>
      <c r="F29" s="13">
        <v>10.231999999999999</v>
      </c>
      <c r="G29" s="6">
        <v>1</v>
      </c>
      <c r="H29" s="13">
        <v>30</v>
      </c>
      <c r="I29" s="12" t="s">
        <v>65</v>
      </c>
      <c r="J29" s="13"/>
      <c r="K29" s="13">
        <v>240.2</v>
      </c>
      <c r="L29" s="13">
        <f t="shared" si="4"/>
        <v>-159.34199999999998</v>
      </c>
      <c r="M29" s="13"/>
      <c r="N29" s="13"/>
      <c r="O29" s="13"/>
      <c r="P29" s="13">
        <v>50</v>
      </c>
      <c r="Q29" s="13"/>
      <c r="R29" s="13"/>
      <c r="S29" s="13">
        <v>300</v>
      </c>
      <c r="T29" s="13"/>
      <c r="U29" s="13"/>
      <c r="V29" s="13">
        <v>300</v>
      </c>
      <c r="W29" s="25"/>
      <c r="X29" s="17"/>
      <c r="Y29" s="13">
        <f t="shared" si="5"/>
        <v>16.171600000000002</v>
      </c>
      <c r="Z29" s="4">
        <v>50</v>
      </c>
      <c r="AA29" s="4">
        <f t="shared" si="9"/>
        <v>50</v>
      </c>
      <c r="AB29" s="29"/>
      <c r="AC29" s="21"/>
      <c r="AD29" s="13">
        <f t="shared" si="6"/>
        <v>43.918474362462582</v>
      </c>
      <c r="AE29" s="13">
        <f t="shared" si="7"/>
        <v>40.82663434663236</v>
      </c>
      <c r="AF29" s="13">
        <v>39.539400000000001</v>
      </c>
      <c r="AG29" s="13">
        <v>40.031599999999997</v>
      </c>
      <c r="AH29" s="13">
        <v>22.977399999999999</v>
      </c>
      <c r="AI29" s="13">
        <v>27.055800000000001</v>
      </c>
      <c r="AJ29" s="13">
        <v>48.028799999999997</v>
      </c>
      <c r="AK29" s="13">
        <v>31.125599999999999</v>
      </c>
      <c r="AL29" s="13">
        <v>27.609400000000001</v>
      </c>
      <c r="AM29" s="13">
        <v>42.514200000000002</v>
      </c>
      <c r="AN29" s="13">
        <v>44.266199999999998</v>
      </c>
      <c r="AO29" s="13">
        <v>41.836200000000012</v>
      </c>
      <c r="AP29" s="13"/>
      <c r="AQ29" s="13">
        <f t="shared" si="8"/>
        <v>50</v>
      </c>
      <c r="AR29" t="s">
        <v>102</v>
      </c>
    </row>
    <row r="30" spans="1:44" x14ac:dyDescent="0.25">
      <c r="A30" s="13" t="s">
        <v>103</v>
      </c>
      <c r="B30" s="13" t="s">
        <v>46</v>
      </c>
      <c r="C30" s="13">
        <v>-0.29799999999999999</v>
      </c>
      <c r="D30" s="13">
        <v>218.63900000000001</v>
      </c>
      <c r="E30" s="13">
        <v>216.48599999999999</v>
      </c>
      <c r="F30" s="13">
        <v>-0.36799999999999999</v>
      </c>
      <c r="G30" s="6">
        <v>1</v>
      </c>
      <c r="H30" s="13">
        <v>40</v>
      </c>
      <c r="I30" s="12" t="s">
        <v>65</v>
      </c>
      <c r="J30" s="13"/>
      <c r="K30" s="13">
        <v>428.1</v>
      </c>
      <c r="L30" s="13">
        <f t="shared" si="4"/>
        <v>-211.61400000000003</v>
      </c>
      <c r="M30" s="13"/>
      <c r="N30" s="13"/>
      <c r="O30" s="13"/>
      <c r="P30" s="13">
        <v>700</v>
      </c>
      <c r="Q30" s="13"/>
      <c r="R30" s="13"/>
      <c r="S30" s="13">
        <v>600</v>
      </c>
      <c r="T30" s="13"/>
      <c r="U30" s="13"/>
      <c r="V30" s="13">
        <v>300</v>
      </c>
      <c r="W30" s="25"/>
      <c r="X30" s="17"/>
      <c r="Y30" s="13">
        <f t="shared" si="5"/>
        <v>43.297199999999997</v>
      </c>
      <c r="Z30" s="4"/>
      <c r="AA30" s="4">
        <f t="shared" si="9"/>
        <v>0</v>
      </c>
      <c r="AB30" s="29"/>
      <c r="AC30" s="21"/>
      <c r="AD30" s="13">
        <f t="shared" si="6"/>
        <v>36.945391387895761</v>
      </c>
      <c r="AE30" s="13">
        <f t="shared" si="7"/>
        <v>36.945391387895761</v>
      </c>
      <c r="AF30" s="13">
        <v>65.6066</v>
      </c>
      <c r="AG30" s="13">
        <v>148.5498</v>
      </c>
      <c r="AH30" s="13">
        <v>181.39400000000001</v>
      </c>
      <c r="AI30" s="13">
        <v>103.46299999999999</v>
      </c>
      <c r="AJ30" s="13">
        <v>27.103999999999999</v>
      </c>
      <c r="AK30" s="13">
        <v>-0.1542</v>
      </c>
      <c r="AL30" s="13">
        <v>-1.585</v>
      </c>
      <c r="AM30" s="13">
        <v>-2.5497999999999998</v>
      </c>
      <c r="AN30" s="13">
        <v>-1.9388000000000001</v>
      </c>
      <c r="AO30" s="13">
        <v>2.0426000000000002</v>
      </c>
      <c r="AP30" s="13"/>
      <c r="AQ30" s="13">
        <f t="shared" si="8"/>
        <v>0</v>
      </c>
      <c r="AR30" t="s">
        <v>104</v>
      </c>
    </row>
    <row r="31" spans="1:44" x14ac:dyDescent="0.25">
      <c r="A31" s="13" t="s">
        <v>105</v>
      </c>
      <c r="B31" s="13" t="s">
        <v>46</v>
      </c>
      <c r="C31" s="13">
        <v>8.48</v>
      </c>
      <c r="D31" s="13">
        <v>18.847999999999999</v>
      </c>
      <c r="E31" s="13">
        <v>22.98</v>
      </c>
      <c r="F31" s="13">
        <v>4.3479999999999999</v>
      </c>
      <c r="G31" s="6">
        <v>1</v>
      </c>
      <c r="H31" s="13">
        <v>40</v>
      </c>
      <c r="I31" s="12" t="s">
        <v>65</v>
      </c>
      <c r="J31" s="13"/>
      <c r="K31" s="13">
        <v>20.5</v>
      </c>
      <c r="L31" s="13">
        <f t="shared" si="4"/>
        <v>2.4800000000000004</v>
      </c>
      <c r="M31" s="13"/>
      <c r="N31" s="13"/>
      <c r="O31" s="13"/>
      <c r="P31" s="13">
        <v>0</v>
      </c>
      <c r="Q31" s="13"/>
      <c r="R31" s="13"/>
      <c r="S31" s="13">
        <v>20</v>
      </c>
      <c r="T31" s="13"/>
      <c r="U31" s="13"/>
      <c r="V31" s="13">
        <v>57.9636</v>
      </c>
      <c r="W31" s="25">
        <v>-63</v>
      </c>
      <c r="X31" s="17"/>
      <c r="Y31" s="13">
        <f t="shared" si="5"/>
        <v>4.5960000000000001</v>
      </c>
      <c r="Z31" s="4"/>
      <c r="AA31" s="4">
        <f t="shared" si="9"/>
        <v>0</v>
      </c>
      <c r="AB31" s="29"/>
      <c r="AC31" s="21"/>
      <c r="AD31" s="13">
        <f t="shared" si="6"/>
        <v>17.909399477806787</v>
      </c>
      <c r="AE31" s="13">
        <f t="shared" si="7"/>
        <v>17.909399477806787</v>
      </c>
      <c r="AF31" s="13">
        <v>5.7263999999999999</v>
      </c>
      <c r="AG31" s="13">
        <v>3.5457999999999998</v>
      </c>
      <c r="AH31" s="13">
        <v>2.9331999999999998</v>
      </c>
      <c r="AI31" s="13">
        <v>2.6417999999999999</v>
      </c>
      <c r="AJ31" s="13">
        <v>0</v>
      </c>
      <c r="AK31" s="13">
        <v>0</v>
      </c>
      <c r="AL31" s="13">
        <v>0</v>
      </c>
      <c r="AM31" s="13">
        <v>0.48099999999999998</v>
      </c>
      <c r="AN31" s="13">
        <v>1.6794</v>
      </c>
      <c r="AO31" s="13">
        <v>6.8876000000000008</v>
      </c>
      <c r="AP31" s="13"/>
      <c r="AQ31" s="13">
        <f t="shared" si="8"/>
        <v>0</v>
      </c>
      <c r="AR31" t="s">
        <v>106</v>
      </c>
    </row>
    <row r="32" spans="1:44" x14ac:dyDescent="0.25">
      <c r="A32" s="13" t="s">
        <v>107</v>
      </c>
      <c r="B32" s="13" t="s">
        <v>46</v>
      </c>
      <c r="C32" s="13">
        <v>54.040999999999997</v>
      </c>
      <c r="D32" s="13">
        <v>7.282</v>
      </c>
      <c r="E32" s="13">
        <v>-6.1920000000000002</v>
      </c>
      <c r="F32" s="13">
        <v>4.2050000000000001</v>
      </c>
      <c r="G32" s="6">
        <v>1</v>
      </c>
      <c r="H32" s="13">
        <v>30</v>
      </c>
      <c r="I32" s="13" t="s">
        <v>47</v>
      </c>
      <c r="J32" s="13"/>
      <c r="K32" s="13">
        <v>39.9</v>
      </c>
      <c r="L32" s="13">
        <f t="shared" si="4"/>
        <v>-46.091999999999999</v>
      </c>
      <c r="M32" s="13"/>
      <c r="N32" s="13"/>
      <c r="O32" s="13"/>
      <c r="P32" s="13">
        <v>114.31780000000001</v>
      </c>
      <c r="Q32" s="13"/>
      <c r="R32" s="13"/>
      <c r="S32" s="13">
        <v>82.062800000000038</v>
      </c>
      <c r="T32" s="13"/>
      <c r="U32" s="13"/>
      <c r="V32" s="13">
        <v>0</v>
      </c>
      <c r="W32" s="25"/>
      <c r="X32" s="17"/>
      <c r="Y32" s="13">
        <f t="shared" si="5"/>
        <v>-1.2383999999999999</v>
      </c>
      <c r="Z32" s="4"/>
      <c r="AA32" s="4">
        <f t="shared" si="9"/>
        <v>0</v>
      </c>
      <c r="AB32" s="29"/>
      <c r="AC32" s="21"/>
      <c r="AD32" s="13">
        <f t="shared" si="6"/>
        <v>-161.97157622739024</v>
      </c>
      <c r="AE32" s="13">
        <f t="shared" si="7"/>
        <v>-161.97157622739024</v>
      </c>
      <c r="AF32" s="13">
        <v>7.7220000000000004</v>
      </c>
      <c r="AG32" s="13">
        <v>20.628799999999998</v>
      </c>
      <c r="AH32" s="13">
        <v>19.175799999999999</v>
      </c>
      <c r="AI32" s="13">
        <v>5.3548</v>
      </c>
      <c r="AJ32" s="13">
        <v>3.99</v>
      </c>
      <c r="AK32" s="13">
        <v>15.735799999999999</v>
      </c>
      <c r="AL32" s="13">
        <v>19.2578</v>
      </c>
      <c r="AM32" s="13">
        <v>9.5378000000000007</v>
      </c>
      <c r="AN32" s="13">
        <v>4.1444000000000001</v>
      </c>
      <c r="AO32" s="13">
        <v>12.799799999999999</v>
      </c>
      <c r="AP32" s="15" t="s">
        <v>108</v>
      </c>
      <c r="AQ32" s="13">
        <f t="shared" si="8"/>
        <v>0</v>
      </c>
      <c r="AR32" t="s">
        <v>109</v>
      </c>
    </row>
    <row r="33" spans="1:44" x14ac:dyDescent="0.25">
      <c r="A33" s="13" t="s">
        <v>110</v>
      </c>
      <c r="B33" s="13" t="s">
        <v>46</v>
      </c>
      <c r="C33" s="13">
        <v>17.177</v>
      </c>
      <c r="D33" s="13">
        <v>35.726999999999997</v>
      </c>
      <c r="E33" s="13">
        <v>21.042999999999999</v>
      </c>
      <c r="F33" s="13">
        <v>17.106999999999999</v>
      </c>
      <c r="G33" s="6">
        <v>1</v>
      </c>
      <c r="H33" s="13">
        <v>50</v>
      </c>
      <c r="I33" s="12" t="s">
        <v>65</v>
      </c>
      <c r="J33" s="13"/>
      <c r="K33" s="13">
        <v>69.900000000000006</v>
      </c>
      <c r="L33" s="13">
        <f t="shared" si="4"/>
        <v>-48.857000000000006</v>
      </c>
      <c r="M33" s="13"/>
      <c r="N33" s="13"/>
      <c r="O33" s="13"/>
      <c r="P33" s="13">
        <v>20</v>
      </c>
      <c r="Q33" s="13"/>
      <c r="R33" s="13"/>
      <c r="S33" s="13">
        <v>160</v>
      </c>
      <c r="T33" s="13">
        <v>-127</v>
      </c>
      <c r="U33" s="13"/>
      <c r="V33" s="13">
        <v>225</v>
      </c>
      <c r="W33" s="25"/>
      <c r="X33" s="17"/>
      <c r="Y33" s="13">
        <f t="shared" si="5"/>
        <v>4.2085999999999997</v>
      </c>
      <c r="Z33" s="4">
        <v>100</v>
      </c>
      <c r="AA33" s="4">
        <f t="shared" si="9"/>
        <v>100</v>
      </c>
      <c r="AB33" s="29"/>
      <c r="AC33" s="21"/>
      <c r="AD33" s="13">
        <f t="shared" si="6"/>
        <v>93.880862994820134</v>
      </c>
      <c r="AE33" s="13">
        <f t="shared" si="7"/>
        <v>70.119992396521411</v>
      </c>
      <c r="AF33" s="13">
        <v>21.8612</v>
      </c>
      <c r="AG33" s="13">
        <v>24.236000000000001</v>
      </c>
      <c r="AH33" s="13">
        <v>10.8574</v>
      </c>
      <c r="AI33" s="13">
        <v>12.3216</v>
      </c>
      <c r="AJ33" s="13">
        <v>5.9024000000000001</v>
      </c>
      <c r="AK33" s="13">
        <v>2.0255999999999998</v>
      </c>
      <c r="AL33" s="13">
        <v>11.801600000000001</v>
      </c>
      <c r="AM33" s="13">
        <v>21.644400000000001</v>
      </c>
      <c r="AN33" s="13">
        <v>16.348800000000001</v>
      </c>
      <c r="AO33" s="13">
        <v>13.0716</v>
      </c>
      <c r="AP33" s="13" t="s">
        <v>89</v>
      </c>
      <c r="AQ33" s="13">
        <f t="shared" si="8"/>
        <v>100</v>
      </c>
      <c r="AR33" t="s">
        <v>111</v>
      </c>
    </row>
    <row r="34" spans="1:44" x14ac:dyDescent="0.25">
      <c r="A34" s="8" t="s">
        <v>112</v>
      </c>
      <c r="B34" s="8" t="s">
        <v>46</v>
      </c>
      <c r="C34" s="8"/>
      <c r="D34" s="8"/>
      <c r="E34" s="8">
        <v>2.7559999999999998</v>
      </c>
      <c r="F34" s="8">
        <v>-2.7559999999999998</v>
      </c>
      <c r="G34" s="9">
        <v>0</v>
      </c>
      <c r="H34" s="8"/>
      <c r="I34" s="8" t="s">
        <v>113</v>
      </c>
      <c r="J34" s="8"/>
      <c r="K34" s="8">
        <v>4.5</v>
      </c>
      <c r="L34" s="8">
        <f t="shared" si="4"/>
        <v>-1.7440000000000002</v>
      </c>
      <c r="M34" s="8"/>
      <c r="N34" s="8"/>
      <c r="O34" s="8"/>
      <c r="P34" s="8"/>
      <c r="Q34" s="8"/>
      <c r="R34" s="8"/>
      <c r="S34" s="8"/>
      <c r="T34" s="8"/>
      <c r="U34" s="8"/>
      <c r="V34" s="8">
        <v>0</v>
      </c>
      <c r="W34" s="27"/>
      <c r="X34" s="19"/>
      <c r="Y34" s="8">
        <f t="shared" si="5"/>
        <v>0.55119999999999991</v>
      </c>
      <c r="Z34" s="10"/>
      <c r="AA34" s="4">
        <f t="shared" si="9"/>
        <v>0</v>
      </c>
      <c r="AB34" s="29"/>
      <c r="AC34" s="21"/>
      <c r="AD34" s="13">
        <f t="shared" si="6"/>
        <v>-5</v>
      </c>
      <c r="AE34" s="8">
        <f t="shared" si="7"/>
        <v>-5</v>
      </c>
      <c r="AF34" s="8">
        <v>0.55119999999999991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/>
      <c r="AQ34" s="13">
        <f t="shared" si="8"/>
        <v>0</v>
      </c>
      <c r="AR34" t="s">
        <v>114</v>
      </c>
    </row>
    <row r="35" spans="1:44" x14ac:dyDescent="0.25">
      <c r="A35" s="13" t="s">
        <v>115</v>
      </c>
      <c r="B35" s="13" t="s">
        <v>46</v>
      </c>
      <c r="C35" s="13">
        <v>-3.63</v>
      </c>
      <c r="D35" s="13">
        <v>174.99299999999999</v>
      </c>
      <c r="E35" s="13">
        <v>129.398</v>
      </c>
      <c r="F35" s="13">
        <v>40.164999999999999</v>
      </c>
      <c r="G35" s="6">
        <v>1</v>
      </c>
      <c r="H35" s="13">
        <v>50</v>
      </c>
      <c r="I35" s="12" t="s">
        <v>65</v>
      </c>
      <c r="J35" s="13"/>
      <c r="K35" s="13">
        <v>127.6</v>
      </c>
      <c r="L35" s="13">
        <f t="shared" si="4"/>
        <v>1.7980000000000018</v>
      </c>
      <c r="M35" s="13"/>
      <c r="N35" s="13"/>
      <c r="O35" s="13"/>
      <c r="P35" s="13">
        <v>100</v>
      </c>
      <c r="Q35" s="13">
        <v>-102.6</v>
      </c>
      <c r="R35" s="13"/>
      <c r="S35" s="13">
        <v>55.375800000000027</v>
      </c>
      <c r="T35" s="13">
        <v>-59.4</v>
      </c>
      <c r="U35" s="13"/>
      <c r="V35" s="13">
        <v>90</v>
      </c>
      <c r="W35" s="25"/>
      <c r="X35" s="17"/>
      <c r="Y35" s="13">
        <f t="shared" si="5"/>
        <v>25.8796</v>
      </c>
      <c r="Z35" s="4">
        <v>100</v>
      </c>
      <c r="AA35" s="4">
        <f t="shared" si="9"/>
        <v>100</v>
      </c>
      <c r="AB35" s="29"/>
      <c r="AC35" s="21"/>
      <c r="AD35" s="13">
        <f t="shared" si="6"/>
        <v>8.6377223759254402</v>
      </c>
      <c r="AE35" s="13">
        <f t="shared" si="7"/>
        <v>4.7736750181610237</v>
      </c>
      <c r="AF35" s="13">
        <v>9.8638000000000012</v>
      </c>
      <c r="AG35" s="13">
        <v>26.817399999999999</v>
      </c>
      <c r="AH35" s="13">
        <v>26.715599999999998</v>
      </c>
      <c r="AI35" s="13">
        <v>23.43</v>
      </c>
      <c r="AJ35" s="13">
        <v>7.003400000000001</v>
      </c>
      <c r="AK35" s="13">
        <v>13.5762</v>
      </c>
      <c r="AL35" s="13">
        <v>20.1646</v>
      </c>
      <c r="AM35" s="13">
        <v>12.2386</v>
      </c>
      <c r="AN35" s="13">
        <v>7.5937999999999999</v>
      </c>
      <c r="AO35" s="13">
        <v>11.585599999999999</v>
      </c>
      <c r="AP35" s="13"/>
      <c r="AQ35" s="13">
        <f t="shared" si="8"/>
        <v>100</v>
      </c>
      <c r="AR35" t="s">
        <v>116</v>
      </c>
    </row>
    <row r="36" spans="1:44" x14ac:dyDescent="0.25">
      <c r="A36" s="13" t="s">
        <v>117</v>
      </c>
      <c r="B36" s="13" t="s">
        <v>54</v>
      </c>
      <c r="C36" s="13">
        <v>442.505</v>
      </c>
      <c r="D36" s="13">
        <v>605</v>
      </c>
      <c r="E36" s="13">
        <v>581</v>
      </c>
      <c r="F36" s="13">
        <v>34.505000000000003</v>
      </c>
      <c r="G36" s="6">
        <v>0.4</v>
      </c>
      <c r="H36" s="13">
        <v>45</v>
      </c>
      <c r="I36" s="12" t="s">
        <v>65</v>
      </c>
      <c r="J36" s="13"/>
      <c r="K36" s="13">
        <v>1549</v>
      </c>
      <c r="L36" s="13">
        <f t="shared" si="4"/>
        <v>-968</v>
      </c>
      <c r="M36" s="13"/>
      <c r="N36" s="13"/>
      <c r="O36" s="13"/>
      <c r="P36" s="13">
        <v>600</v>
      </c>
      <c r="Q36" s="13"/>
      <c r="R36" s="13"/>
      <c r="S36" s="13">
        <v>1000</v>
      </c>
      <c r="T36" s="13"/>
      <c r="U36" s="13"/>
      <c r="V36" s="13">
        <v>600</v>
      </c>
      <c r="W36" s="25">
        <v>-600</v>
      </c>
      <c r="X36" s="17"/>
      <c r="Y36" s="13">
        <f t="shared" si="5"/>
        <v>116.2</v>
      </c>
      <c r="Z36" s="4">
        <v>800</v>
      </c>
      <c r="AA36" s="4">
        <f t="shared" si="9"/>
        <v>800</v>
      </c>
      <c r="AB36" s="29"/>
      <c r="AC36" s="21"/>
      <c r="AD36" s="13">
        <f t="shared" si="6"/>
        <v>26.114500860585199</v>
      </c>
      <c r="AE36" s="13">
        <f t="shared" si="7"/>
        <v>19.229819277108433</v>
      </c>
      <c r="AF36" s="13">
        <v>89.6</v>
      </c>
      <c r="AG36" s="13">
        <v>12.8</v>
      </c>
      <c r="AH36" s="13">
        <v>15.2</v>
      </c>
      <c r="AI36" s="13">
        <v>168.4</v>
      </c>
      <c r="AJ36" s="13">
        <v>297.2</v>
      </c>
      <c r="AK36" s="13">
        <v>169.4</v>
      </c>
      <c r="AL36" s="13">
        <v>158.80000000000001</v>
      </c>
      <c r="AM36" s="13">
        <v>244.8</v>
      </c>
      <c r="AN36" s="13">
        <v>275.8</v>
      </c>
      <c r="AO36" s="13">
        <v>345</v>
      </c>
      <c r="AP36" s="13"/>
      <c r="AQ36" s="13">
        <f t="shared" si="8"/>
        <v>320</v>
      </c>
      <c r="AR36" t="s">
        <v>118</v>
      </c>
    </row>
    <row r="37" spans="1:44" x14ac:dyDescent="0.25">
      <c r="A37" s="13" t="s">
        <v>119</v>
      </c>
      <c r="B37" s="13" t="s">
        <v>54</v>
      </c>
      <c r="C37" s="13">
        <v>112</v>
      </c>
      <c r="D37" s="13">
        <v>293</v>
      </c>
      <c r="E37" s="13">
        <v>277</v>
      </c>
      <c r="F37" s="13">
        <v>77</v>
      </c>
      <c r="G37" s="6">
        <v>0.45</v>
      </c>
      <c r="H37" s="13">
        <v>50</v>
      </c>
      <c r="I37" s="13" t="s">
        <v>47</v>
      </c>
      <c r="J37" s="13"/>
      <c r="K37" s="13">
        <v>315</v>
      </c>
      <c r="L37" s="13">
        <f t="shared" si="4"/>
        <v>-38</v>
      </c>
      <c r="M37" s="13"/>
      <c r="N37" s="13"/>
      <c r="O37" s="13"/>
      <c r="P37" s="13">
        <v>480</v>
      </c>
      <c r="Q37" s="13"/>
      <c r="R37" s="13"/>
      <c r="S37" s="13">
        <v>262.63200000000012</v>
      </c>
      <c r="T37" s="13"/>
      <c r="U37" s="13"/>
      <c r="V37" s="13">
        <v>0</v>
      </c>
      <c r="W37" s="25"/>
      <c r="X37" s="17"/>
      <c r="Y37" s="13">
        <f t="shared" si="5"/>
        <v>55.4</v>
      </c>
      <c r="Z37" s="4"/>
      <c r="AA37" s="4">
        <f t="shared" si="9"/>
        <v>0</v>
      </c>
      <c r="AB37" s="29"/>
      <c r="AC37" s="21"/>
      <c r="AD37" s="13">
        <f t="shared" si="6"/>
        <v>14.794801444043323</v>
      </c>
      <c r="AE37" s="13">
        <f t="shared" si="7"/>
        <v>14.794801444043323</v>
      </c>
      <c r="AF37" s="13">
        <v>60.4</v>
      </c>
      <c r="AG37" s="13">
        <v>85.4</v>
      </c>
      <c r="AH37" s="13">
        <v>80.2</v>
      </c>
      <c r="AI37" s="13">
        <v>64.400000000000006</v>
      </c>
      <c r="AJ37" s="13">
        <v>40.4</v>
      </c>
      <c r="AK37" s="13">
        <v>47</v>
      </c>
      <c r="AL37" s="13">
        <v>69.400000000000006</v>
      </c>
      <c r="AM37" s="13">
        <v>64</v>
      </c>
      <c r="AN37" s="13">
        <v>59.8</v>
      </c>
      <c r="AO37" s="13">
        <v>55.6</v>
      </c>
      <c r="AP37" s="13"/>
      <c r="AQ37" s="13">
        <f t="shared" si="8"/>
        <v>0</v>
      </c>
      <c r="AR37" t="s">
        <v>120</v>
      </c>
    </row>
    <row r="38" spans="1:44" x14ac:dyDescent="0.25">
      <c r="A38" s="13" t="s">
        <v>121</v>
      </c>
      <c r="B38" s="13" t="s">
        <v>54</v>
      </c>
      <c r="C38" s="13">
        <v>-55</v>
      </c>
      <c r="D38" s="13">
        <v>225</v>
      </c>
      <c r="E38" s="13">
        <v>211</v>
      </c>
      <c r="F38" s="13">
        <v>-49</v>
      </c>
      <c r="G38" s="6">
        <v>0.4</v>
      </c>
      <c r="H38" s="13">
        <v>45</v>
      </c>
      <c r="I38" s="12" t="s">
        <v>65</v>
      </c>
      <c r="J38" s="13"/>
      <c r="K38" s="13">
        <v>427</v>
      </c>
      <c r="L38" s="13">
        <f t="shared" ref="L38:L69" si="10">E38-K38</f>
        <v>-216</v>
      </c>
      <c r="M38" s="13"/>
      <c r="N38" s="13"/>
      <c r="O38" s="13"/>
      <c r="P38" s="13">
        <v>300</v>
      </c>
      <c r="Q38" s="13"/>
      <c r="R38" s="13"/>
      <c r="S38" s="13">
        <v>423.80000000000013</v>
      </c>
      <c r="T38" s="13"/>
      <c r="U38" s="13"/>
      <c r="V38" s="13">
        <v>150</v>
      </c>
      <c r="W38" s="25"/>
      <c r="X38" s="17"/>
      <c r="Y38" s="13">
        <f t="shared" ref="Y38:Y69" si="11">E38/5</f>
        <v>42.2</v>
      </c>
      <c r="Z38" s="4"/>
      <c r="AA38" s="4">
        <f t="shared" si="9"/>
        <v>0</v>
      </c>
      <c r="AB38" s="29"/>
      <c r="AC38" s="21"/>
      <c r="AD38" s="13">
        <f t="shared" ref="AD38:AD69" si="12">(F38+O38+P38+Q38+R38+S38+T38+U38+V38+AA38)/Y38</f>
        <v>19.545023696682467</v>
      </c>
      <c r="AE38" s="13">
        <f t="shared" ref="AE38:AE69" si="13">(F38+O38+P38+Q38+R38+S38+T38+U38+V38)/Y38</f>
        <v>19.545023696682467</v>
      </c>
      <c r="AF38" s="13">
        <v>56.4</v>
      </c>
      <c r="AG38" s="13">
        <v>72.400000000000006</v>
      </c>
      <c r="AH38" s="13">
        <v>42.4</v>
      </c>
      <c r="AI38" s="13">
        <v>24.4</v>
      </c>
      <c r="AJ38" s="13">
        <v>-0.6</v>
      </c>
      <c r="AK38" s="13">
        <v>0.2</v>
      </c>
      <c r="AL38" s="13">
        <v>60.2</v>
      </c>
      <c r="AM38" s="13">
        <v>66.2</v>
      </c>
      <c r="AN38" s="13">
        <v>45.2</v>
      </c>
      <c r="AO38" s="13">
        <v>106.8</v>
      </c>
      <c r="AP38" s="13"/>
      <c r="AQ38" s="13">
        <f t="shared" ref="AQ38:AQ69" si="14">ROUND(G38*AA38,0)</f>
        <v>0</v>
      </c>
      <c r="AR38" t="s">
        <v>122</v>
      </c>
    </row>
    <row r="39" spans="1:44" x14ac:dyDescent="0.25">
      <c r="A39" s="13" t="s">
        <v>123</v>
      </c>
      <c r="B39" s="13" t="s">
        <v>54</v>
      </c>
      <c r="C39" s="13">
        <v>4</v>
      </c>
      <c r="D39" s="13"/>
      <c r="E39" s="13"/>
      <c r="F39" s="13"/>
      <c r="G39" s="6">
        <v>0.4</v>
      </c>
      <c r="H39" s="13">
        <v>40</v>
      </c>
      <c r="I39" s="12" t="s">
        <v>65</v>
      </c>
      <c r="J39" s="13"/>
      <c r="K39" s="13">
        <v>129</v>
      </c>
      <c r="L39" s="13">
        <f t="shared" si="10"/>
        <v>-129</v>
      </c>
      <c r="M39" s="13"/>
      <c r="N39" s="13"/>
      <c r="O39" s="13"/>
      <c r="P39" s="13">
        <v>40</v>
      </c>
      <c r="Q39" s="13">
        <v>-42</v>
      </c>
      <c r="R39" s="13"/>
      <c r="S39" s="13">
        <v>80</v>
      </c>
      <c r="T39" s="13">
        <v>-84</v>
      </c>
      <c r="U39" s="13"/>
      <c r="V39" s="13">
        <v>150</v>
      </c>
      <c r="W39" s="25"/>
      <c r="X39" s="17"/>
      <c r="Y39" s="13">
        <f t="shared" si="11"/>
        <v>0</v>
      </c>
      <c r="Z39" s="4">
        <v>80</v>
      </c>
      <c r="AA39" s="4">
        <f t="shared" si="9"/>
        <v>80</v>
      </c>
      <c r="AB39" s="29"/>
      <c r="AC39" s="21"/>
      <c r="AD39" s="13" t="e">
        <f t="shared" si="12"/>
        <v>#DIV/0!</v>
      </c>
      <c r="AE39" s="13" t="e">
        <f t="shared" si="13"/>
        <v>#DIV/0!</v>
      </c>
      <c r="AF39" s="13">
        <v>-0.2</v>
      </c>
      <c r="AG39" s="13">
        <v>-0.2</v>
      </c>
      <c r="AH39" s="13">
        <v>0</v>
      </c>
      <c r="AI39" s="13">
        <v>0</v>
      </c>
      <c r="AJ39" s="13">
        <v>3</v>
      </c>
      <c r="AK39" s="13">
        <v>5.6</v>
      </c>
      <c r="AL39" s="13">
        <v>12.6</v>
      </c>
      <c r="AM39" s="13">
        <v>17.600000000000001</v>
      </c>
      <c r="AN39" s="13">
        <v>16.8</v>
      </c>
      <c r="AO39" s="13">
        <v>16.2</v>
      </c>
      <c r="AP39" s="13"/>
      <c r="AQ39" s="13">
        <f t="shared" si="14"/>
        <v>32</v>
      </c>
      <c r="AR39" t="s">
        <v>124</v>
      </c>
    </row>
    <row r="40" spans="1:44" x14ac:dyDescent="0.25">
      <c r="A40" s="13" t="s">
        <v>125</v>
      </c>
      <c r="B40" s="13" t="s">
        <v>46</v>
      </c>
      <c r="C40" s="13">
        <v>140.767</v>
      </c>
      <c r="D40" s="13">
        <v>4.3419999999999996</v>
      </c>
      <c r="E40" s="13">
        <v>67.481999999999999</v>
      </c>
      <c r="F40" s="13">
        <v>65.590999999999994</v>
      </c>
      <c r="G40" s="6">
        <v>1</v>
      </c>
      <c r="H40" s="13">
        <v>45</v>
      </c>
      <c r="I40" s="12" t="s">
        <v>65</v>
      </c>
      <c r="J40" s="13"/>
      <c r="K40" s="13">
        <v>67.150000000000006</v>
      </c>
      <c r="L40" s="13">
        <f t="shared" si="10"/>
        <v>0.33199999999999363</v>
      </c>
      <c r="M40" s="13"/>
      <c r="N40" s="13"/>
      <c r="O40" s="13"/>
      <c r="P40" s="13">
        <v>0</v>
      </c>
      <c r="Q40" s="13"/>
      <c r="R40" s="13"/>
      <c r="S40" s="13">
        <v>20</v>
      </c>
      <c r="T40" s="13"/>
      <c r="U40" s="13"/>
      <c r="V40" s="13">
        <v>14.50770000000001</v>
      </c>
      <c r="W40" s="25"/>
      <c r="X40" s="17"/>
      <c r="Y40" s="13">
        <f t="shared" si="11"/>
        <v>13.4964</v>
      </c>
      <c r="Z40" s="4">
        <f>12*Y40-V40-U40-T40-S40-R40-Q40-P40-O40-F40</f>
        <v>61.858099999999993</v>
      </c>
      <c r="AA40" s="4">
        <f t="shared" si="9"/>
        <v>61.858099999999993</v>
      </c>
      <c r="AB40" s="29"/>
      <c r="AC40" s="21"/>
      <c r="AD40" s="13">
        <f t="shared" si="12"/>
        <v>12</v>
      </c>
      <c r="AE40" s="13">
        <f t="shared" si="13"/>
        <v>7.4166963041996397</v>
      </c>
      <c r="AF40" s="13">
        <v>12.9948</v>
      </c>
      <c r="AG40" s="13">
        <v>12.9156</v>
      </c>
      <c r="AH40" s="13">
        <v>11.095599999999999</v>
      </c>
      <c r="AI40" s="13">
        <v>7.1444000000000001</v>
      </c>
      <c r="AJ40" s="13">
        <v>1.1714</v>
      </c>
      <c r="AK40" s="13">
        <v>9.6359999999999992</v>
      </c>
      <c r="AL40" s="13">
        <v>15.555199999999999</v>
      </c>
      <c r="AM40" s="13">
        <v>6.1219999999999999</v>
      </c>
      <c r="AN40" s="13">
        <v>-6.3E-2</v>
      </c>
      <c r="AO40" s="13">
        <v>5.2148000000000003</v>
      </c>
      <c r="AP40" s="13" t="s">
        <v>89</v>
      </c>
      <c r="AQ40" s="13">
        <f t="shared" si="14"/>
        <v>62</v>
      </c>
      <c r="AR40" t="s">
        <v>126</v>
      </c>
    </row>
    <row r="41" spans="1:44" x14ac:dyDescent="0.25">
      <c r="A41" s="13" t="s">
        <v>127</v>
      </c>
      <c r="B41" s="13" t="s">
        <v>54</v>
      </c>
      <c r="C41" s="13">
        <v>323</v>
      </c>
      <c r="D41" s="13">
        <v>300</v>
      </c>
      <c r="E41" s="13">
        <v>198</v>
      </c>
      <c r="F41" s="13">
        <v>347</v>
      </c>
      <c r="G41" s="6">
        <v>0.1</v>
      </c>
      <c r="H41" s="13">
        <v>731</v>
      </c>
      <c r="I41" s="13" t="s">
        <v>47</v>
      </c>
      <c r="J41" s="13"/>
      <c r="K41" s="13">
        <v>212</v>
      </c>
      <c r="L41" s="13">
        <f t="shared" si="10"/>
        <v>-14</v>
      </c>
      <c r="M41" s="13"/>
      <c r="N41" s="13"/>
      <c r="O41" s="13"/>
      <c r="P41" s="13">
        <v>0</v>
      </c>
      <c r="Q41" s="13"/>
      <c r="R41" s="13"/>
      <c r="S41" s="13">
        <v>50.2</v>
      </c>
      <c r="T41" s="13"/>
      <c r="U41" s="13"/>
      <c r="V41" s="13">
        <v>200</v>
      </c>
      <c r="W41" s="25"/>
      <c r="X41" s="17"/>
      <c r="Y41" s="13">
        <f t="shared" si="11"/>
        <v>39.6</v>
      </c>
      <c r="Z41" s="4"/>
      <c r="AA41" s="4">
        <f t="shared" si="9"/>
        <v>0</v>
      </c>
      <c r="AB41" s="29"/>
      <c r="AC41" s="21"/>
      <c r="AD41" s="13">
        <f t="shared" si="12"/>
        <v>15.080808080808081</v>
      </c>
      <c r="AE41" s="13">
        <f t="shared" si="13"/>
        <v>15.080808080808081</v>
      </c>
      <c r="AF41" s="13">
        <v>43.2</v>
      </c>
      <c r="AG41" s="13">
        <v>50.2</v>
      </c>
      <c r="AH41" s="13">
        <v>33.6</v>
      </c>
      <c r="AI41" s="13">
        <v>22.8</v>
      </c>
      <c r="AJ41" s="13">
        <v>25</v>
      </c>
      <c r="AK41" s="13">
        <v>20.6</v>
      </c>
      <c r="AL41" s="13">
        <v>18.8</v>
      </c>
      <c r="AM41" s="13">
        <v>12.2</v>
      </c>
      <c r="AN41" s="13">
        <v>7.6</v>
      </c>
      <c r="AO41" s="13">
        <v>11.8</v>
      </c>
      <c r="AP41" s="13" t="s">
        <v>89</v>
      </c>
      <c r="AQ41" s="13">
        <f t="shared" si="14"/>
        <v>0</v>
      </c>
      <c r="AR41" t="s">
        <v>128</v>
      </c>
    </row>
    <row r="42" spans="1:44" x14ac:dyDescent="0.25">
      <c r="A42" s="13" t="s">
        <v>129</v>
      </c>
      <c r="B42" s="13" t="s">
        <v>54</v>
      </c>
      <c r="C42" s="13"/>
      <c r="D42" s="13">
        <v>104</v>
      </c>
      <c r="E42" s="13">
        <v>99</v>
      </c>
      <c r="F42" s="13">
        <v>3</v>
      </c>
      <c r="G42" s="6">
        <v>0.35</v>
      </c>
      <c r="H42" s="13">
        <v>40</v>
      </c>
      <c r="I42" s="12" t="s">
        <v>65</v>
      </c>
      <c r="J42" s="13"/>
      <c r="K42" s="13">
        <v>109</v>
      </c>
      <c r="L42" s="13">
        <f t="shared" si="10"/>
        <v>-10</v>
      </c>
      <c r="M42" s="13"/>
      <c r="N42" s="13"/>
      <c r="O42" s="13"/>
      <c r="P42" s="13">
        <v>0</v>
      </c>
      <c r="Q42" s="13"/>
      <c r="R42" s="13"/>
      <c r="S42" s="13">
        <v>20</v>
      </c>
      <c r="T42" s="13"/>
      <c r="U42" s="13"/>
      <c r="V42" s="13">
        <v>130</v>
      </c>
      <c r="W42" s="25">
        <v>-132.00000000000003</v>
      </c>
      <c r="X42" s="17"/>
      <c r="Y42" s="13">
        <f t="shared" si="11"/>
        <v>19.8</v>
      </c>
      <c r="Z42" s="4">
        <f>12*Y42-V42-U42-T42-S42-R42-Q42-P42-O42-F42</f>
        <v>84.600000000000023</v>
      </c>
      <c r="AA42" s="4">
        <f t="shared" si="9"/>
        <v>84.600000000000023</v>
      </c>
      <c r="AB42" s="29">
        <v>-90</v>
      </c>
      <c r="AC42" s="21"/>
      <c r="AD42" s="13">
        <f t="shared" si="12"/>
        <v>12</v>
      </c>
      <c r="AE42" s="13">
        <f t="shared" si="13"/>
        <v>7.7272727272727266</v>
      </c>
      <c r="AF42" s="13">
        <v>6.8</v>
      </c>
      <c r="AG42" s="13">
        <v>0</v>
      </c>
      <c r="AH42" s="13">
        <v>-0.6</v>
      </c>
      <c r="AI42" s="13">
        <v>-0.6</v>
      </c>
      <c r="AJ42" s="13">
        <v>-0.8</v>
      </c>
      <c r="AK42" s="13">
        <v>-2.4</v>
      </c>
      <c r="AL42" s="13">
        <v>-2.8</v>
      </c>
      <c r="AM42" s="13">
        <v>-1.6</v>
      </c>
      <c r="AN42" s="13">
        <v>-1</v>
      </c>
      <c r="AO42" s="13">
        <v>-1.4</v>
      </c>
      <c r="AP42" s="13"/>
      <c r="AQ42" s="13">
        <f t="shared" si="14"/>
        <v>30</v>
      </c>
      <c r="AR42" t="s">
        <v>130</v>
      </c>
    </row>
    <row r="43" spans="1:44" x14ac:dyDescent="0.25">
      <c r="A43" s="13" t="s">
        <v>131</v>
      </c>
      <c r="B43" s="13" t="s">
        <v>46</v>
      </c>
      <c r="C43" s="13">
        <v>4.7679999999999998</v>
      </c>
      <c r="D43" s="13">
        <v>99.991</v>
      </c>
      <c r="E43" s="13">
        <v>98.206000000000003</v>
      </c>
      <c r="F43" s="13">
        <v>3.6389999999999998</v>
      </c>
      <c r="G43" s="6">
        <v>1</v>
      </c>
      <c r="H43" s="13">
        <v>40</v>
      </c>
      <c r="I43" s="12" t="s">
        <v>65</v>
      </c>
      <c r="J43" s="13"/>
      <c r="K43" s="13">
        <v>115.4</v>
      </c>
      <c r="L43" s="13">
        <f t="shared" si="10"/>
        <v>-17.194000000000003</v>
      </c>
      <c r="M43" s="13"/>
      <c r="N43" s="13"/>
      <c r="O43" s="13"/>
      <c r="P43" s="13">
        <v>30</v>
      </c>
      <c r="Q43" s="13"/>
      <c r="R43" s="13"/>
      <c r="S43" s="13">
        <v>20</v>
      </c>
      <c r="T43" s="13"/>
      <c r="U43" s="13"/>
      <c r="V43" s="13">
        <v>50</v>
      </c>
      <c r="W43" s="25"/>
      <c r="X43" s="17"/>
      <c r="Y43" s="13">
        <f t="shared" si="11"/>
        <v>19.641200000000001</v>
      </c>
      <c r="Z43" s="4">
        <f>12*Y43-V43-U43-T43-S43-R43-Q43-P43-O43-F43</f>
        <v>132.05540000000002</v>
      </c>
      <c r="AA43" s="4">
        <f t="shared" si="9"/>
        <v>132.05540000000002</v>
      </c>
      <c r="AB43" s="29"/>
      <c r="AC43" s="21"/>
      <c r="AD43" s="13">
        <f t="shared" si="12"/>
        <v>12</v>
      </c>
      <c r="AE43" s="13">
        <f t="shared" si="13"/>
        <v>5.2766124269392911</v>
      </c>
      <c r="AF43" s="13">
        <v>9.0427999999999997</v>
      </c>
      <c r="AG43" s="13">
        <v>8.4745999999999988</v>
      </c>
      <c r="AH43" s="13">
        <v>7.7513999999999994</v>
      </c>
      <c r="AI43" s="13">
        <v>5.5529999999999999</v>
      </c>
      <c r="AJ43" s="13">
        <v>-1.6140000000000001</v>
      </c>
      <c r="AK43" s="13">
        <v>5.4058000000000002</v>
      </c>
      <c r="AL43" s="13">
        <v>14.0082</v>
      </c>
      <c r="AM43" s="13">
        <v>16.4742</v>
      </c>
      <c r="AN43" s="13">
        <v>12.819800000000001</v>
      </c>
      <c r="AO43" s="13">
        <v>11.537800000000001</v>
      </c>
      <c r="AP43" s="13" t="s">
        <v>89</v>
      </c>
      <c r="AQ43" s="13">
        <f t="shared" si="14"/>
        <v>132</v>
      </c>
      <c r="AR43" t="s">
        <v>132</v>
      </c>
    </row>
    <row r="44" spans="1:44" x14ac:dyDescent="0.25">
      <c r="A44" s="8" t="s">
        <v>133</v>
      </c>
      <c r="B44" s="8" t="s">
        <v>54</v>
      </c>
      <c r="C44" s="8">
        <v>1</v>
      </c>
      <c r="D44" s="8"/>
      <c r="E44" s="8"/>
      <c r="F44" s="8">
        <v>1</v>
      </c>
      <c r="G44" s="9">
        <v>0</v>
      </c>
      <c r="H44" s="8">
        <v>50</v>
      </c>
      <c r="I44" s="8" t="s">
        <v>113</v>
      </c>
      <c r="J44" s="8"/>
      <c r="K44" s="8">
        <v>11</v>
      </c>
      <c r="L44" s="8">
        <f t="shared" si="10"/>
        <v>-11</v>
      </c>
      <c r="M44" s="8"/>
      <c r="N44" s="8"/>
      <c r="O44" s="8"/>
      <c r="P44" s="8">
        <v>0</v>
      </c>
      <c r="Q44" s="8"/>
      <c r="R44" s="8"/>
      <c r="S44" s="8">
        <v>0</v>
      </c>
      <c r="T44" s="8"/>
      <c r="U44" s="8"/>
      <c r="V44" s="8">
        <v>0</v>
      </c>
      <c r="W44" s="27"/>
      <c r="X44" s="19"/>
      <c r="Y44" s="8">
        <f t="shared" si="11"/>
        <v>0</v>
      </c>
      <c r="Z44" s="10"/>
      <c r="AA44" s="4">
        <f t="shared" si="9"/>
        <v>0</v>
      </c>
      <c r="AB44" s="29"/>
      <c r="AC44" s="21"/>
      <c r="AD44" s="13" t="e">
        <f t="shared" si="12"/>
        <v>#DIV/0!</v>
      </c>
      <c r="AE44" s="8" t="e">
        <f t="shared" si="13"/>
        <v>#DIV/0!</v>
      </c>
      <c r="AF44" s="8">
        <v>0</v>
      </c>
      <c r="AG44" s="8">
        <v>0</v>
      </c>
      <c r="AH44" s="8">
        <v>0.2</v>
      </c>
      <c r="AI44" s="8">
        <v>-0.2</v>
      </c>
      <c r="AJ44" s="8">
        <v>-0.2</v>
      </c>
      <c r="AK44" s="8">
        <v>0</v>
      </c>
      <c r="AL44" s="8">
        <v>1.4</v>
      </c>
      <c r="AM44" s="8">
        <v>2.6</v>
      </c>
      <c r="AN44" s="8">
        <v>2.2000000000000002</v>
      </c>
      <c r="AO44" s="8">
        <v>4.4000000000000004</v>
      </c>
      <c r="AP44" s="8"/>
      <c r="AQ44" s="13">
        <f t="shared" si="14"/>
        <v>0</v>
      </c>
      <c r="AR44" t="s">
        <v>134</v>
      </c>
    </row>
    <row r="45" spans="1:44" x14ac:dyDescent="0.25">
      <c r="A45" s="13" t="s">
        <v>135</v>
      </c>
      <c r="B45" s="13" t="s">
        <v>54</v>
      </c>
      <c r="C45" s="13">
        <v>45</v>
      </c>
      <c r="D45" s="13">
        <v>59</v>
      </c>
      <c r="E45" s="13">
        <v>47</v>
      </c>
      <c r="F45" s="13">
        <v>50</v>
      </c>
      <c r="G45" s="6">
        <v>0.4</v>
      </c>
      <c r="H45" s="13">
        <v>40</v>
      </c>
      <c r="I45" s="12" t="s">
        <v>65</v>
      </c>
      <c r="J45" s="13"/>
      <c r="K45" s="13">
        <v>358</v>
      </c>
      <c r="L45" s="13">
        <f t="shared" si="10"/>
        <v>-311</v>
      </c>
      <c r="M45" s="13"/>
      <c r="N45" s="13"/>
      <c r="O45" s="13"/>
      <c r="P45" s="13">
        <v>127.4</v>
      </c>
      <c r="Q45" s="13"/>
      <c r="R45" s="13"/>
      <c r="S45" s="13">
        <v>100</v>
      </c>
      <c r="T45" s="13"/>
      <c r="U45" s="13"/>
      <c r="V45" s="13">
        <v>0</v>
      </c>
      <c r="W45" s="25"/>
      <c r="X45" s="17"/>
      <c r="Y45" s="13">
        <f t="shared" si="11"/>
        <v>9.4</v>
      </c>
      <c r="Z45" s="4">
        <v>150</v>
      </c>
      <c r="AA45" s="4">
        <f t="shared" si="9"/>
        <v>150</v>
      </c>
      <c r="AB45" s="29">
        <v>-150</v>
      </c>
      <c r="AC45" s="21"/>
      <c r="AD45" s="13">
        <f t="shared" si="12"/>
        <v>45.468085106382972</v>
      </c>
      <c r="AE45" s="13">
        <f t="shared" si="13"/>
        <v>29.510638297872337</v>
      </c>
      <c r="AF45" s="13">
        <v>6</v>
      </c>
      <c r="AG45" s="13">
        <v>12.8</v>
      </c>
      <c r="AH45" s="13">
        <v>21.4</v>
      </c>
      <c r="AI45" s="13">
        <v>19.8</v>
      </c>
      <c r="AJ45" s="13">
        <v>8.6</v>
      </c>
      <c r="AK45" s="13">
        <v>8.8000000000000007</v>
      </c>
      <c r="AL45" s="13">
        <v>24.4</v>
      </c>
      <c r="AM45" s="13">
        <v>15.4</v>
      </c>
      <c r="AN45" s="13">
        <v>-2.2000000000000002</v>
      </c>
      <c r="AO45" s="13">
        <v>-2.4</v>
      </c>
      <c r="AP45" s="13"/>
      <c r="AQ45" s="13">
        <f t="shared" si="14"/>
        <v>60</v>
      </c>
      <c r="AR45" t="s">
        <v>136</v>
      </c>
    </row>
    <row r="46" spans="1:44" x14ac:dyDescent="0.25">
      <c r="A46" s="13" t="s">
        <v>137</v>
      </c>
      <c r="B46" s="13" t="s">
        <v>54</v>
      </c>
      <c r="C46" s="13">
        <v>105</v>
      </c>
      <c r="D46" s="13">
        <v>84</v>
      </c>
      <c r="E46" s="13">
        <v>80</v>
      </c>
      <c r="F46" s="13">
        <v>13</v>
      </c>
      <c r="G46" s="6">
        <v>0.4</v>
      </c>
      <c r="H46" s="13">
        <v>45</v>
      </c>
      <c r="I46" s="13" t="s">
        <v>47</v>
      </c>
      <c r="J46" s="13"/>
      <c r="K46" s="13">
        <v>318</v>
      </c>
      <c r="L46" s="13">
        <f t="shared" si="10"/>
        <v>-238</v>
      </c>
      <c r="M46" s="13"/>
      <c r="N46" s="13"/>
      <c r="O46" s="13"/>
      <c r="P46" s="13">
        <v>0</v>
      </c>
      <c r="Q46" s="13"/>
      <c r="R46" s="13"/>
      <c r="S46" s="13">
        <v>251.8</v>
      </c>
      <c r="T46" s="13"/>
      <c r="U46" s="13"/>
      <c r="V46" s="13">
        <v>0</v>
      </c>
      <c r="W46" s="25"/>
      <c r="X46" s="17"/>
      <c r="Y46" s="13">
        <f t="shared" si="11"/>
        <v>16</v>
      </c>
      <c r="Z46" s="4"/>
      <c r="AA46" s="4">
        <f t="shared" si="9"/>
        <v>0</v>
      </c>
      <c r="AB46" s="29"/>
      <c r="AC46" s="21"/>
      <c r="AD46" s="13">
        <f t="shared" si="12"/>
        <v>16.55</v>
      </c>
      <c r="AE46" s="13">
        <f t="shared" si="13"/>
        <v>16.55</v>
      </c>
      <c r="AF46" s="13">
        <v>27.8</v>
      </c>
      <c r="AG46" s="13">
        <v>36.4</v>
      </c>
      <c r="AH46" s="13">
        <v>23.2</v>
      </c>
      <c r="AI46" s="13">
        <v>30.2</v>
      </c>
      <c r="AJ46" s="13">
        <v>28.6</v>
      </c>
      <c r="AK46" s="13">
        <v>42.4</v>
      </c>
      <c r="AL46" s="13">
        <v>40.799999999999997</v>
      </c>
      <c r="AM46" s="13">
        <v>18.2</v>
      </c>
      <c r="AN46" s="13">
        <v>29.8</v>
      </c>
      <c r="AO46" s="13">
        <v>45.4</v>
      </c>
      <c r="AP46" s="13"/>
      <c r="AQ46" s="13">
        <f t="shared" si="14"/>
        <v>0</v>
      </c>
      <c r="AR46" t="s">
        <v>138</v>
      </c>
    </row>
    <row r="47" spans="1:44" x14ac:dyDescent="0.25">
      <c r="A47" s="13" t="s">
        <v>139</v>
      </c>
      <c r="B47" s="13" t="s">
        <v>46</v>
      </c>
      <c r="C47" s="13">
        <v>-10.041</v>
      </c>
      <c r="D47" s="13">
        <v>43.59</v>
      </c>
      <c r="E47" s="13">
        <v>40.725000000000001</v>
      </c>
      <c r="F47" s="13">
        <v>-10.089</v>
      </c>
      <c r="G47" s="6">
        <v>1</v>
      </c>
      <c r="H47" s="13">
        <v>40</v>
      </c>
      <c r="I47" s="12" t="s">
        <v>65</v>
      </c>
      <c r="J47" s="13"/>
      <c r="K47" s="13">
        <v>77.599999999999994</v>
      </c>
      <c r="L47" s="13">
        <f t="shared" si="10"/>
        <v>-36.874999999999993</v>
      </c>
      <c r="M47" s="13"/>
      <c r="N47" s="13"/>
      <c r="O47" s="13"/>
      <c r="P47" s="13">
        <v>64.764200000000002</v>
      </c>
      <c r="Q47" s="13"/>
      <c r="R47" s="13"/>
      <c r="S47" s="13">
        <v>50</v>
      </c>
      <c r="T47" s="13"/>
      <c r="U47" s="13"/>
      <c r="V47" s="13">
        <v>100</v>
      </c>
      <c r="W47" s="25"/>
      <c r="X47" s="17"/>
      <c r="Y47" s="13">
        <f t="shared" si="11"/>
        <v>8.1449999999999996</v>
      </c>
      <c r="Z47" s="4">
        <v>50</v>
      </c>
      <c r="AA47" s="4">
        <f t="shared" si="9"/>
        <v>50</v>
      </c>
      <c r="AB47" s="29"/>
      <c r="AC47" s="21"/>
      <c r="AD47" s="13">
        <f t="shared" si="12"/>
        <v>31.267673419275631</v>
      </c>
      <c r="AE47" s="13">
        <f t="shared" si="13"/>
        <v>25.128937998772255</v>
      </c>
      <c r="AF47" s="13">
        <v>3.4784000000000002</v>
      </c>
      <c r="AG47" s="13">
        <v>2.7585999999999999</v>
      </c>
      <c r="AH47" s="13">
        <v>8.6112000000000002</v>
      </c>
      <c r="AI47" s="13">
        <v>5.2758000000000003</v>
      </c>
      <c r="AJ47" s="13">
        <v>-0.58460000000000001</v>
      </c>
      <c r="AK47" s="13">
        <v>1.7490000000000001</v>
      </c>
      <c r="AL47" s="13">
        <v>10.768800000000001</v>
      </c>
      <c r="AM47" s="13">
        <v>16.7926</v>
      </c>
      <c r="AN47" s="13">
        <v>16.431999999999999</v>
      </c>
      <c r="AO47" s="13">
        <v>25.953600000000002</v>
      </c>
      <c r="AP47" s="13" t="s">
        <v>89</v>
      </c>
      <c r="AQ47" s="13">
        <f t="shared" si="14"/>
        <v>50</v>
      </c>
      <c r="AR47" t="s">
        <v>140</v>
      </c>
    </row>
    <row r="48" spans="1:44" x14ac:dyDescent="0.25">
      <c r="A48" s="13" t="s">
        <v>141</v>
      </c>
      <c r="B48" s="13" t="s">
        <v>54</v>
      </c>
      <c r="C48" s="13">
        <v>-10</v>
      </c>
      <c r="D48" s="13">
        <v>86</v>
      </c>
      <c r="E48" s="13">
        <v>78</v>
      </c>
      <c r="F48" s="13">
        <v>-9</v>
      </c>
      <c r="G48" s="6">
        <v>0.35</v>
      </c>
      <c r="H48" s="13">
        <v>40</v>
      </c>
      <c r="I48" s="12" t="s">
        <v>65</v>
      </c>
      <c r="J48" s="13"/>
      <c r="K48" s="13">
        <v>146</v>
      </c>
      <c r="L48" s="13">
        <f t="shared" si="10"/>
        <v>-68</v>
      </c>
      <c r="M48" s="13"/>
      <c r="N48" s="13"/>
      <c r="O48" s="13"/>
      <c r="P48" s="13">
        <v>111.6</v>
      </c>
      <c r="Q48" s="13"/>
      <c r="R48" s="13"/>
      <c r="S48" s="13">
        <v>244.1999999999999</v>
      </c>
      <c r="T48" s="13">
        <v>-246</v>
      </c>
      <c r="U48" s="13"/>
      <c r="V48" s="13">
        <v>300</v>
      </c>
      <c r="W48" s="25">
        <v>-300</v>
      </c>
      <c r="X48" s="17"/>
      <c r="Y48" s="13">
        <f t="shared" si="11"/>
        <v>15.6</v>
      </c>
      <c r="Z48" s="4">
        <v>200</v>
      </c>
      <c r="AA48" s="4">
        <f t="shared" si="9"/>
        <v>200</v>
      </c>
      <c r="AB48" s="29">
        <v>-204.00000000000003</v>
      </c>
      <c r="AC48" s="21"/>
      <c r="AD48" s="13">
        <f t="shared" si="12"/>
        <v>38.512820512820511</v>
      </c>
      <c r="AE48" s="13">
        <f t="shared" si="13"/>
        <v>25.692307692307686</v>
      </c>
      <c r="AF48" s="13">
        <v>28.8</v>
      </c>
      <c r="AG48" s="13">
        <v>35.4</v>
      </c>
      <c r="AH48" s="13">
        <v>26.6</v>
      </c>
      <c r="AI48" s="13">
        <v>13.4</v>
      </c>
      <c r="AJ48" s="13">
        <v>0.4</v>
      </c>
      <c r="AK48" s="13">
        <v>13.8</v>
      </c>
      <c r="AL48" s="13">
        <v>44.6</v>
      </c>
      <c r="AM48" s="13">
        <v>77</v>
      </c>
      <c r="AN48" s="13">
        <v>65.400000000000006</v>
      </c>
      <c r="AO48" s="13">
        <v>53.2</v>
      </c>
      <c r="AP48" s="13"/>
      <c r="AQ48" s="13">
        <f t="shared" si="14"/>
        <v>70</v>
      </c>
      <c r="AR48" t="s">
        <v>142</v>
      </c>
    </row>
    <row r="49" spans="1:44" x14ac:dyDescent="0.25">
      <c r="A49" s="13" t="s">
        <v>143</v>
      </c>
      <c r="B49" s="13" t="s">
        <v>54</v>
      </c>
      <c r="C49" s="13">
        <v>96</v>
      </c>
      <c r="D49" s="13">
        <v>6</v>
      </c>
      <c r="E49" s="13">
        <v>84</v>
      </c>
      <c r="F49" s="13">
        <v>6</v>
      </c>
      <c r="G49" s="6">
        <v>0.4</v>
      </c>
      <c r="H49" s="13">
        <v>40</v>
      </c>
      <c r="I49" s="12" t="s">
        <v>65</v>
      </c>
      <c r="J49" s="13"/>
      <c r="K49" s="13">
        <v>289</v>
      </c>
      <c r="L49" s="13">
        <f t="shared" si="10"/>
        <v>-205</v>
      </c>
      <c r="M49" s="13"/>
      <c r="N49" s="13"/>
      <c r="O49" s="13"/>
      <c r="P49" s="13">
        <v>800</v>
      </c>
      <c r="Q49" s="13"/>
      <c r="R49" s="13"/>
      <c r="S49" s="13">
        <v>250</v>
      </c>
      <c r="T49" s="13"/>
      <c r="U49" s="13"/>
      <c r="V49" s="13">
        <v>0</v>
      </c>
      <c r="W49" s="25"/>
      <c r="X49" s="17"/>
      <c r="Y49" s="13">
        <f t="shared" si="11"/>
        <v>16.8</v>
      </c>
      <c r="Z49" s="4"/>
      <c r="AA49" s="4">
        <f t="shared" si="9"/>
        <v>0</v>
      </c>
      <c r="AB49" s="29"/>
      <c r="AC49" s="21"/>
      <c r="AD49" s="13">
        <f t="shared" si="12"/>
        <v>62.857142857142854</v>
      </c>
      <c r="AE49" s="13">
        <f t="shared" si="13"/>
        <v>62.857142857142854</v>
      </c>
      <c r="AF49" s="13">
        <v>48.8</v>
      </c>
      <c r="AG49" s="13">
        <v>98</v>
      </c>
      <c r="AH49" s="13">
        <v>87.2</v>
      </c>
      <c r="AI49" s="13">
        <v>48.6</v>
      </c>
      <c r="AJ49" s="13">
        <v>46</v>
      </c>
      <c r="AK49" s="13">
        <v>59.4</v>
      </c>
      <c r="AL49" s="13">
        <v>74.400000000000006</v>
      </c>
      <c r="AM49" s="13">
        <v>51.2</v>
      </c>
      <c r="AN49" s="13">
        <v>37.4</v>
      </c>
      <c r="AO49" s="13">
        <v>52.2</v>
      </c>
      <c r="AP49" s="13"/>
      <c r="AQ49" s="13">
        <f t="shared" si="14"/>
        <v>0</v>
      </c>
      <c r="AR49" t="s">
        <v>144</v>
      </c>
    </row>
    <row r="50" spans="1:44" x14ac:dyDescent="0.25">
      <c r="A50" s="13" t="s">
        <v>145</v>
      </c>
      <c r="B50" s="13" t="s">
        <v>46</v>
      </c>
      <c r="C50" s="13">
        <v>60.74</v>
      </c>
      <c r="D50" s="13">
        <v>75.650999999999996</v>
      </c>
      <c r="E50" s="13">
        <v>82.429000000000002</v>
      </c>
      <c r="F50" s="13">
        <v>29.638999999999999</v>
      </c>
      <c r="G50" s="6">
        <v>1</v>
      </c>
      <c r="H50" s="13">
        <v>50</v>
      </c>
      <c r="I50" s="13" t="s">
        <v>47</v>
      </c>
      <c r="J50" s="13"/>
      <c r="K50" s="13">
        <v>82.5</v>
      </c>
      <c r="L50" s="13">
        <f t="shared" si="10"/>
        <v>-7.0999999999997954E-2</v>
      </c>
      <c r="M50" s="13"/>
      <c r="N50" s="13"/>
      <c r="O50" s="13"/>
      <c r="P50" s="13">
        <v>53.764472000000012</v>
      </c>
      <c r="Q50" s="13"/>
      <c r="R50" s="13"/>
      <c r="S50" s="13">
        <v>0</v>
      </c>
      <c r="T50" s="13"/>
      <c r="U50" s="13"/>
      <c r="V50" s="13">
        <v>0</v>
      </c>
      <c r="W50" s="25"/>
      <c r="X50" s="17"/>
      <c r="Y50" s="13">
        <f t="shared" si="11"/>
        <v>16.485800000000001</v>
      </c>
      <c r="Z50" s="4">
        <f>12*Y50-V50-U50-T50-S50-R50-Q50-P50-O50-F50</f>
        <v>114.42612800000002</v>
      </c>
      <c r="AA50" s="4">
        <f t="shared" si="9"/>
        <v>114.42612800000002</v>
      </c>
      <c r="AB50" s="29"/>
      <c r="AC50" s="21"/>
      <c r="AD50" s="13">
        <f t="shared" si="12"/>
        <v>12</v>
      </c>
      <c r="AE50" s="13">
        <f t="shared" si="13"/>
        <v>5.0591097793252375</v>
      </c>
      <c r="AF50" s="13">
        <v>12.978999999999999</v>
      </c>
      <c r="AG50" s="13">
        <v>13.252599999999999</v>
      </c>
      <c r="AH50" s="13">
        <v>18.2804</v>
      </c>
      <c r="AI50" s="13">
        <v>17.846</v>
      </c>
      <c r="AJ50" s="13">
        <v>16.891999999999999</v>
      </c>
      <c r="AK50" s="13">
        <v>15.883800000000001</v>
      </c>
      <c r="AL50" s="13">
        <v>13.0962</v>
      </c>
      <c r="AM50" s="13">
        <v>16.213799999999999</v>
      </c>
      <c r="AN50" s="13">
        <v>20.591200000000001</v>
      </c>
      <c r="AO50" s="13">
        <v>19.520800000000001</v>
      </c>
      <c r="AP50" s="13"/>
      <c r="AQ50" s="13">
        <f t="shared" si="14"/>
        <v>114</v>
      </c>
      <c r="AR50" t="s">
        <v>146</v>
      </c>
    </row>
    <row r="51" spans="1:44" x14ac:dyDescent="0.25">
      <c r="A51" s="13" t="s">
        <v>147</v>
      </c>
      <c r="B51" s="13" t="s">
        <v>46</v>
      </c>
      <c r="C51" s="13">
        <v>99.873000000000005</v>
      </c>
      <c r="D51" s="13">
        <v>3.9329999999999998</v>
      </c>
      <c r="E51" s="13">
        <v>72.691000000000003</v>
      </c>
      <c r="F51" s="13">
        <v>25.084</v>
      </c>
      <c r="G51" s="6">
        <v>1</v>
      </c>
      <c r="H51" s="13">
        <v>50</v>
      </c>
      <c r="I51" s="13" t="s">
        <v>47</v>
      </c>
      <c r="J51" s="13"/>
      <c r="K51" s="13">
        <v>161.30000000000001</v>
      </c>
      <c r="L51" s="13">
        <f t="shared" si="10"/>
        <v>-88.609000000000009</v>
      </c>
      <c r="M51" s="13"/>
      <c r="N51" s="13"/>
      <c r="O51" s="13"/>
      <c r="P51" s="13">
        <v>0</v>
      </c>
      <c r="Q51" s="13"/>
      <c r="R51" s="13"/>
      <c r="S51" s="13">
        <v>250</v>
      </c>
      <c r="T51" s="13"/>
      <c r="U51" s="13"/>
      <c r="V51" s="13">
        <v>119.06156</v>
      </c>
      <c r="W51" s="25"/>
      <c r="X51" s="17"/>
      <c r="Y51" s="13">
        <f t="shared" si="11"/>
        <v>14.5382</v>
      </c>
      <c r="Z51" s="4"/>
      <c r="AA51" s="4">
        <f t="shared" si="9"/>
        <v>0</v>
      </c>
      <c r="AB51" s="29"/>
      <c r="AC51" s="21"/>
      <c r="AD51" s="13">
        <f t="shared" si="12"/>
        <v>27.11102887565173</v>
      </c>
      <c r="AE51" s="13">
        <f t="shared" si="13"/>
        <v>27.11102887565173</v>
      </c>
      <c r="AF51" s="13">
        <v>31.075199999999999</v>
      </c>
      <c r="AG51" s="13">
        <v>26.267199999999999</v>
      </c>
      <c r="AH51" s="13">
        <v>8.4220000000000006</v>
      </c>
      <c r="AI51" s="13">
        <v>-0.2974</v>
      </c>
      <c r="AJ51" s="13">
        <v>10.7278</v>
      </c>
      <c r="AK51" s="13">
        <v>16.38</v>
      </c>
      <c r="AL51" s="13">
        <v>5.3814000000000002</v>
      </c>
      <c r="AM51" s="13">
        <v>-1.0511999999999999</v>
      </c>
      <c r="AN51" s="13">
        <v>-0.624</v>
      </c>
      <c r="AO51" s="13">
        <v>14.5092</v>
      </c>
      <c r="AP51" s="13" t="s">
        <v>148</v>
      </c>
      <c r="AQ51" s="13">
        <f t="shared" si="14"/>
        <v>0</v>
      </c>
      <c r="AR51" t="s">
        <v>149</v>
      </c>
    </row>
    <row r="52" spans="1:44" x14ac:dyDescent="0.25">
      <c r="A52" s="13" t="s">
        <v>150</v>
      </c>
      <c r="B52" s="13" t="s">
        <v>46</v>
      </c>
      <c r="C52" s="13">
        <v>0.434</v>
      </c>
      <c r="D52" s="13"/>
      <c r="E52" s="13"/>
      <c r="F52" s="13">
        <v>0.434</v>
      </c>
      <c r="G52" s="6">
        <v>1</v>
      </c>
      <c r="H52" s="13">
        <v>45</v>
      </c>
      <c r="I52" s="12" t="s">
        <v>65</v>
      </c>
      <c r="J52" s="13"/>
      <c r="K52" s="13"/>
      <c r="L52" s="13">
        <f t="shared" si="10"/>
        <v>0</v>
      </c>
      <c r="M52" s="13"/>
      <c r="N52" s="13"/>
      <c r="O52" s="13"/>
      <c r="P52" s="13">
        <v>100</v>
      </c>
      <c r="Q52" s="13">
        <v>-108</v>
      </c>
      <c r="R52" s="13"/>
      <c r="S52" s="13">
        <v>80</v>
      </c>
      <c r="T52" s="13">
        <v>-81</v>
      </c>
      <c r="U52" s="13"/>
      <c r="V52" s="13">
        <v>150</v>
      </c>
      <c r="W52" s="25"/>
      <c r="X52" s="17"/>
      <c r="Y52" s="13">
        <f t="shared" si="11"/>
        <v>0</v>
      </c>
      <c r="Z52" s="4">
        <v>100</v>
      </c>
      <c r="AA52" s="4">
        <f t="shared" si="9"/>
        <v>100</v>
      </c>
      <c r="AB52" s="29"/>
      <c r="AC52" s="21"/>
      <c r="AD52" s="13" t="e">
        <f t="shared" si="12"/>
        <v>#DIV/0!</v>
      </c>
      <c r="AE52" s="13" t="e">
        <f t="shared" si="13"/>
        <v>#DIV/0!</v>
      </c>
      <c r="AF52" s="13">
        <v>-1.0289999999999999</v>
      </c>
      <c r="AG52" s="13">
        <v>-0.15640000000000001</v>
      </c>
      <c r="AH52" s="13">
        <v>-0.15640000000000001</v>
      </c>
      <c r="AI52" s="13">
        <v>-1.0711999999999999</v>
      </c>
      <c r="AJ52" s="13">
        <v>-1.0711999999999999</v>
      </c>
      <c r="AK52" s="13">
        <v>-0.8286</v>
      </c>
      <c r="AL52" s="13">
        <v>-1.7338</v>
      </c>
      <c r="AM52" s="13">
        <v>-0.9052</v>
      </c>
      <c r="AN52" s="13">
        <v>-0.41320000000000001</v>
      </c>
      <c r="AO52" s="13">
        <v>43.441600000000001</v>
      </c>
      <c r="AP52" s="13"/>
      <c r="AQ52" s="13">
        <f t="shared" si="14"/>
        <v>100</v>
      </c>
      <c r="AR52" t="s">
        <v>151</v>
      </c>
    </row>
    <row r="53" spans="1:44" x14ac:dyDescent="0.25">
      <c r="A53" s="13" t="s">
        <v>152</v>
      </c>
      <c r="B53" s="13" t="s">
        <v>54</v>
      </c>
      <c r="C53" s="13">
        <v>149</v>
      </c>
      <c r="D53" s="13">
        <v>13</v>
      </c>
      <c r="E53" s="13">
        <v>145</v>
      </c>
      <c r="F53" s="13">
        <v>-9</v>
      </c>
      <c r="G53" s="6">
        <v>0.45</v>
      </c>
      <c r="H53" s="13">
        <v>50</v>
      </c>
      <c r="I53" s="13" t="s">
        <v>47</v>
      </c>
      <c r="J53" s="13"/>
      <c r="K53" s="13">
        <v>158</v>
      </c>
      <c r="L53" s="13">
        <f t="shared" si="10"/>
        <v>-13</v>
      </c>
      <c r="M53" s="13"/>
      <c r="N53" s="13"/>
      <c r="O53" s="13"/>
      <c r="P53" s="13">
        <v>234.6</v>
      </c>
      <c r="Q53" s="13"/>
      <c r="R53" s="13"/>
      <c r="S53" s="13">
        <v>190.4</v>
      </c>
      <c r="T53" s="13"/>
      <c r="U53" s="13"/>
      <c r="V53" s="13">
        <v>100</v>
      </c>
      <c r="W53" s="25"/>
      <c r="X53" s="17"/>
      <c r="Y53" s="13">
        <f t="shared" si="11"/>
        <v>29</v>
      </c>
      <c r="Z53" s="4"/>
      <c r="AA53" s="4">
        <f t="shared" si="9"/>
        <v>0</v>
      </c>
      <c r="AB53" s="29"/>
      <c r="AC53" s="21"/>
      <c r="AD53" s="13">
        <f t="shared" si="12"/>
        <v>17.793103448275861</v>
      </c>
      <c r="AE53" s="13">
        <f t="shared" si="13"/>
        <v>17.793103448275861</v>
      </c>
      <c r="AF53" s="13">
        <v>29.6</v>
      </c>
      <c r="AG53" s="13">
        <v>43</v>
      </c>
      <c r="AH53" s="13">
        <v>42.6</v>
      </c>
      <c r="AI53" s="13">
        <v>20.399999999999999</v>
      </c>
      <c r="AJ53" s="13">
        <v>15.4</v>
      </c>
      <c r="AK53" s="13">
        <v>31.4</v>
      </c>
      <c r="AL53" s="13">
        <v>32.4</v>
      </c>
      <c r="AM53" s="13">
        <v>34</v>
      </c>
      <c r="AN53" s="13">
        <v>40.4</v>
      </c>
      <c r="AO53" s="13">
        <v>25.2</v>
      </c>
      <c r="AP53" s="13"/>
      <c r="AQ53" s="13">
        <f t="shared" si="14"/>
        <v>0</v>
      </c>
      <c r="AR53" t="s">
        <v>153</v>
      </c>
    </row>
    <row r="54" spans="1:44" x14ac:dyDescent="0.25">
      <c r="A54" s="13" t="s">
        <v>154</v>
      </c>
      <c r="B54" s="13" t="s">
        <v>54</v>
      </c>
      <c r="C54" s="13">
        <v>-43</v>
      </c>
      <c r="D54" s="13">
        <v>410</v>
      </c>
      <c r="E54" s="13">
        <v>161</v>
      </c>
      <c r="F54" s="13">
        <v>186</v>
      </c>
      <c r="G54" s="6">
        <v>0.45</v>
      </c>
      <c r="H54" s="13">
        <v>50</v>
      </c>
      <c r="I54" s="13" t="s">
        <v>47</v>
      </c>
      <c r="J54" s="13"/>
      <c r="K54" s="13">
        <v>163</v>
      </c>
      <c r="L54" s="13">
        <f t="shared" si="10"/>
        <v>-2</v>
      </c>
      <c r="M54" s="13"/>
      <c r="N54" s="13"/>
      <c r="O54" s="13"/>
      <c r="P54" s="13">
        <v>290.90800000000007</v>
      </c>
      <c r="Q54" s="13"/>
      <c r="R54" s="13"/>
      <c r="S54" s="13">
        <v>0</v>
      </c>
      <c r="T54" s="13"/>
      <c r="U54" s="13"/>
      <c r="V54" s="13">
        <v>0</v>
      </c>
      <c r="W54" s="25"/>
      <c r="X54" s="17"/>
      <c r="Y54" s="13">
        <f t="shared" si="11"/>
        <v>32.200000000000003</v>
      </c>
      <c r="Z54" s="4"/>
      <c r="AA54" s="4">
        <f t="shared" ref="AA54:AA85" si="15">Z54</f>
        <v>0</v>
      </c>
      <c r="AB54" s="29"/>
      <c r="AC54" s="21"/>
      <c r="AD54" s="13">
        <f t="shared" si="12"/>
        <v>14.81080745341615</v>
      </c>
      <c r="AE54" s="13">
        <f t="shared" si="13"/>
        <v>14.81080745341615</v>
      </c>
      <c r="AF54" s="13">
        <v>15.8</v>
      </c>
      <c r="AG54" s="13">
        <v>47.8</v>
      </c>
      <c r="AH54" s="13">
        <v>63.2</v>
      </c>
      <c r="AI54" s="13">
        <v>48.6</v>
      </c>
      <c r="AJ54" s="13">
        <v>28.2</v>
      </c>
      <c r="AK54" s="13">
        <v>18</v>
      </c>
      <c r="AL54" s="13">
        <v>39.200000000000003</v>
      </c>
      <c r="AM54" s="13">
        <v>60.8</v>
      </c>
      <c r="AN54" s="13">
        <v>57.4</v>
      </c>
      <c r="AO54" s="13">
        <v>45.4</v>
      </c>
      <c r="AP54" s="13"/>
      <c r="AQ54" s="13">
        <f t="shared" si="14"/>
        <v>0</v>
      </c>
      <c r="AR54" t="s">
        <v>155</v>
      </c>
    </row>
    <row r="55" spans="1:44" x14ac:dyDescent="0.25">
      <c r="A55" s="13" t="s">
        <v>156</v>
      </c>
      <c r="B55" s="13" t="s">
        <v>54</v>
      </c>
      <c r="C55" s="13">
        <v>5</v>
      </c>
      <c r="D55" s="13"/>
      <c r="E55" s="13"/>
      <c r="F55" s="13">
        <v>5</v>
      </c>
      <c r="G55" s="6">
        <v>0.4</v>
      </c>
      <c r="H55" s="13">
        <v>40</v>
      </c>
      <c r="I55" s="12" t="s">
        <v>65</v>
      </c>
      <c r="J55" s="13"/>
      <c r="K55" s="13">
        <v>23</v>
      </c>
      <c r="L55" s="13">
        <f t="shared" si="10"/>
        <v>-23</v>
      </c>
      <c r="M55" s="13"/>
      <c r="N55" s="13"/>
      <c r="O55" s="13"/>
      <c r="P55" s="13">
        <v>30</v>
      </c>
      <c r="Q55" s="13"/>
      <c r="R55" s="13"/>
      <c r="S55" s="13">
        <v>30</v>
      </c>
      <c r="T55" s="13"/>
      <c r="U55" s="13"/>
      <c r="V55" s="13">
        <v>45</v>
      </c>
      <c r="W55" s="25">
        <v>-47.999999999999993</v>
      </c>
      <c r="X55" s="17"/>
      <c r="Y55" s="13">
        <f t="shared" si="11"/>
        <v>0</v>
      </c>
      <c r="Z55" s="4">
        <v>20</v>
      </c>
      <c r="AA55" s="4">
        <f t="shared" si="15"/>
        <v>20</v>
      </c>
      <c r="AB55" s="29"/>
      <c r="AC55" s="21"/>
      <c r="AD55" s="13" t="e">
        <f t="shared" si="12"/>
        <v>#DIV/0!</v>
      </c>
      <c r="AE55" s="13" t="e">
        <f t="shared" si="13"/>
        <v>#DIV/0!</v>
      </c>
      <c r="AF55" s="13">
        <v>-0.2</v>
      </c>
      <c r="AG55" s="13">
        <v>-0.2</v>
      </c>
      <c r="AH55" s="13">
        <v>0</v>
      </c>
      <c r="AI55" s="13">
        <v>4</v>
      </c>
      <c r="AJ55" s="13">
        <v>6.8</v>
      </c>
      <c r="AK55" s="13">
        <v>14.2</v>
      </c>
      <c r="AL55" s="13">
        <v>16.399999999999999</v>
      </c>
      <c r="AM55" s="13">
        <v>5.4</v>
      </c>
      <c r="AN55" s="13">
        <v>1.4</v>
      </c>
      <c r="AO55" s="13">
        <v>11.6</v>
      </c>
      <c r="AP55" s="13"/>
      <c r="AQ55" s="13">
        <f t="shared" si="14"/>
        <v>8</v>
      </c>
      <c r="AR55" t="s">
        <v>157</v>
      </c>
    </row>
    <row r="56" spans="1:44" x14ac:dyDescent="0.25">
      <c r="A56" s="13" t="s">
        <v>158</v>
      </c>
      <c r="B56" s="13" t="s">
        <v>54</v>
      </c>
      <c r="C56" s="13">
        <v>4</v>
      </c>
      <c r="D56" s="13">
        <v>25</v>
      </c>
      <c r="E56" s="13">
        <v>8</v>
      </c>
      <c r="F56" s="13">
        <v>13</v>
      </c>
      <c r="G56" s="6">
        <v>0.4</v>
      </c>
      <c r="H56" s="13">
        <v>40</v>
      </c>
      <c r="I56" s="12" t="s">
        <v>65</v>
      </c>
      <c r="J56" s="13"/>
      <c r="K56" s="13">
        <v>26</v>
      </c>
      <c r="L56" s="13">
        <f t="shared" si="10"/>
        <v>-18</v>
      </c>
      <c r="M56" s="13"/>
      <c r="N56" s="13"/>
      <c r="O56" s="13"/>
      <c r="P56" s="13">
        <v>50</v>
      </c>
      <c r="Q56" s="13"/>
      <c r="R56" s="13"/>
      <c r="S56" s="13">
        <v>40</v>
      </c>
      <c r="T56" s="13"/>
      <c r="U56" s="13"/>
      <c r="V56" s="13">
        <v>0</v>
      </c>
      <c r="W56" s="25"/>
      <c r="X56" s="17"/>
      <c r="Y56" s="13">
        <f t="shared" si="11"/>
        <v>1.6</v>
      </c>
      <c r="Z56" s="4"/>
      <c r="AA56" s="4">
        <f t="shared" si="15"/>
        <v>0</v>
      </c>
      <c r="AB56" s="29"/>
      <c r="AC56" s="21"/>
      <c r="AD56" s="13">
        <f t="shared" si="12"/>
        <v>64.375</v>
      </c>
      <c r="AE56" s="13">
        <f t="shared" si="13"/>
        <v>64.375</v>
      </c>
      <c r="AF56" s="13">
        <v>0.4</v>
      </c>
      <c r="AG56" s="13">
        <v>5.8</v>
      </c>
      <c r="AH56" s="13">
        <v>8.8000000000000007</v>
      </c>
      <c r="AI56" s="13">
        <v>8.6</v>
      </c>
      <c r="AJ56" s="13">
        <v>7.4</v>
      </c>
      <c r="AK56" s="13">
        <v>8.1999999999999993</v>
      </c>
      <c r="AL56" s="13">
        <v>12.4</v>
      </c>
      <c r="AM56" s="13">
        <v>6.4</v>
      </c>
      <c r="AN56" s="13">
        <v>1.6</v>
      </c>
      <c r="AO56" s="13">
        <v>2.6</v>
      </c>
      <c r="AP56" s="13"/>
      <c r="AQ56" s="13">
        <f t="shared" si="14"/>
        <v>0</v>
      </c>
      <c r="AR56" t="s">
        <v>159</v>
      </c>
    </row>
    <row r="57" spans="1:44" x14ac:dyDescent="0.25">
      <c r="A57" s="13" t="s">
        <v>160</v>
      </c>
      <c r="B57" s="13" t="s">
        <v>46</v>
      </c>
      <c r="C57" s="13">
        <v>82.289000000000001</v>
      </c>
      <c r="D57" s="13">
        <v>8.2959999999999994</v>
      </c>
      <c r="E57" s="13">
        <v>75.397999999999996</v>
      </c>
      <c r="F57" s="13">
        <v>3.1440000000000001</v>
      </c>
      <c r="G57" s="6">
        <v>1</v>
      </c>
      <c r="H57" s="13">
        <v>50</v>
      </c>
      <c r="I57" s="13" t="s">
        <v>47</v>
      </c>
      <c r="J57" s="13"/>
      <c r="K57" s="13">
        <v>83.11</v>
      </c>
      <c r="L57" s="13">
        <f t="shared" si="10"/>
        <v>-7.7120000000000033</v>
      </c>
      <c r="M57" s="13"/>
      <c r="N57" s="13"/>
      <c r="O57" s="13"/>
      <c r="P57" s="13">
        <v>62.256999999999977</v>
      </c>
      <c r="Q57" s="13"/>
      <c r="R57" s="13"/>
      <c r="S57" s="13">
        <v>76.660399999999996</v>
      </c>
      <c r="T57" s="13"/>
      <c r="U57" s="13"/>
      <c r="V57" s="13">
        <v>150</v>
      </c>
      <c r="W57" s="25"/>
      <c r="X57" s="17"/>
      <c r="Y57" s="13">
        <f t="shared" si="11"/>
        <v>15.079599999999999</v>
      </c>
      <c r="Z57" s="4"/>
      <c r="AA57" s="4">
        <f t="shared" si="15"/>
        <v>0</v>
      </c>
      <c r="AB57" s="29"/>
      <c r="AC57" s="21"/>
      <c r="AD57" s="13">
        <f t="shared" si="12"/>
        <v>19.367980583039337</v>
      </c>
      <c r="AE57" s="13">
        <f t="shared" si="13"/>
        <v>19.367980583039337</v>
      </c>
      <c r="AF57" s="13">
        <v>14.2872</v>
      </c>
      <c r="AG57" s="13">
        <v>18.321200000000001</v>
      </c>
      <c r="AH57" s="13">
        <v>15.973000000000001</v>
      </c>
      <c r="AI57" s="13">
        <v>7.6050000000000004</v>
      </c>
      <c r="AJ57" s="13">
        <v>6.9670000000000014</v>
      </c>
      <c r="AK57" s="13">
        <v>5.6665999999999999</v>
      </c>
      <c r="AL57" s="13">
        <v>8.1686000000000014</v>
      </c>
      <c r="AM57" s="13">
        <v>15.286799999999999</v>
      </c>
      <c r="AN57" s="13">
        <v>16.098400000000002</v>
      </c>
      <c r="AO57" s="13">
        <v>11.240600000000001</v>
      </c>
      <c r="AP57" s="13" t="s">
        <v>89</v>
      </c>
      <c r="AQ57" s="13">
        <f t="shared" si="14"/>
        <v>0</v>
      </c>
      <c r="AR57" t="s">
        <v>161</v>
      </c>
    </row>
    <row r="58" spans="1:44" x14ac:dyDescent="0.25">
      <c r="A58" s="13" t="s">
        <v>162</v>
      </c>
      <c r="B58" s="13" t="s">
        <v>54</v>
      </c>
      <c r="C58" s="13">
        <v>363</v>
      </c>
      <c r="D58" s="13">
        <v>200</v>
      </c>
      <c r="E58" s="11">
        <f>160+E132</f>
        <v>252</v>
      </c>
      <c r="F58" s="11">
        <f>342+F132</f>
        <v>427</v>
      </c>
      <c r="G58" s="6">
        <v>0.1</v>
      </c>
      <c r="H58" s="13">
        <v>731</v>
      </c>
      <c r="I58" s="13" t="s">
        <v>47</v>
      </c>
      <c r="J58" s="13"/>
      <c r="K58" s="13">
        <v>169</v>
      </c>
      <c r="L58" s="13">
        <f t="shared" si="10"/>
        <v>83</v>
      </c>
      <c r="M58" s="13"/>
      <c r="N58" s="13"/>
      <c r="O58" s="13"/>
      <c r="P58" s="13">
        <v>0</v>
      </c>
      <c r="Q58" s="13"/>
      <c r="R58" s="13"/>
      <c r="S58" s="13">
        <v>83.80000000000004</v>
      </c>
      <c r="T58" s="13"/>
      <c r="U58" s="13"/>
      <c r="V58" s="13">
        <v>0</v>
      </c>
      <c r="W58" s="25"/>
      <c r="X58" s="17"/>
      <c r="Y58" s="13">
        <f t="shared" si="11"/>
        <v>50.4</v>
      </c>
      <c r="Z58" s="4">
        <f>12*Y58-V58-U58-T58-S58-R58-Q58-P58-O58-F58</f>
        <v>93.999999999999886</v>
      </c>
      <c r="AA58" s="4">
        <f t="shared" si="15"/>
        <v>93.999999999999886</v>
      </c>
      <c r="AB58" s="29"/>
      <c r="AC58" s="21"/>
      <c r="AD58" s="13">
        <f t="shared" si="12"/>
        <v>12</v>
      </c>
      <c r="AE58" s="13">
        <f t="shared" si="13"/>
        <v>10.134920634920636</v>
      </c>
      <c r="AF58" s="13">
        <v>48.6</v>
      </c>
      <c r="AG58" s="13">
        <v>62.6</v>
      </c>
      <c r="AH58" s="13">
        <v>47.8</v>
      </c>
      <c r="AI58" s="13">
        <v>19.2</v>
      </c>
      <c r="AJ58" s="13">
        <v>14.6</v>
      </c>
      <c r="AK58" s="13">
        <v>11.8</v>
      </c>
      <c r="AL58" s="13">
        <v>11</v>
      </c>
      <c r="AM58" s="13">
        <v>8.8000000000000007</v>
      </c>
      <c r="AN58" s="13">
        <v>7.2</v>
      </c>
      <c r="AO58" s="13">
        <v>5.6</v>
      </c>
      <c r="AP58" s="13" t="s">
        <v>89</v>
      </c>
      <c r="AQ58" s="13">
        <f t="shared" si="14"/>
        <v>9</v>
      </c>
      <c r="AR58" t="s">
        <v>163</v>
      </c>
    </row>
    <row r="59" spans="1:44" x14ac:dyDescent="0.25">
      <c r="A59" s="13" t="s">
        <v>164</v>
      </c>
      <c r="B59" s="13" t="s">
        <v>46</v>
      </c>
      <c r="C59" s="13">
        <v>187.14599999999999</v>
      </c>
      <c r="D59" s="13">
        <v>86.314999999999998</v>
      </c>
      <c r="E59" s="13">
        <v>147.92099999999999</v>
      </c>
      <c r="F59" s="13">
        <v>103.569</v>
      </c>
      <c r="G59" s="6">
        <v>1</v>
      </c>
      <c r="H59" s="13">
        <v>50</v>
      </c>
      <c r="I59" s="13" t="s">
        <v>47</v>
      </c>
      <c r="J59" s="13"/>
      <c r="K59" s="13">
        <v>146.5</v>
      </c>
      <c r="L59" s="13">
        <f t="shared" si="10"/>
        <v>1.4209999999999923</v>
      </c>
      <c r="M59" s="13"/>
      <c r="N59" s="13"/>
      <c r="O59" s="13"/>
      <c r="P59" s="13">
        <v>0</v>
      </c>
      <c r="Q59" s="13"/>
      <c r="R59" s="13"/>
      <c r="S59" s="13">
        <v>7.4985999999999819</v>
      </c>
      <c r="T59" s="13"/>
      <c r="U59" s="13"/>
      <c r="V59" s="13">
        <v>142.58860000000001</v>
      </c>
      <c r="W59" s="25"/>
      <c r="X59" s="17"/>
      <c r="Y59" s="13">
        <f t="shared" si="11"/>
        <v>29.584199999999999</v>
      </c>
      <c r="Z59" s="4">
        <f>12*Y59-V59-U59-T59-S59-R59-Q59-P59-O59-F59</f>
        <v>101.35420000000001</v>
      </c>
      <c r="AA59" s="4">
        <f t="shared" si="15"/>
        <v>101.35420000000001</v>
      </c>
      <c r="AB59" s="29"/>
      <c r="AC59" s="21"/>
      <c r="AD59" s="13">
        <f t="shared" si="12"/>
        <v>12</v>
      </c>
      <c r="AE59" s="13">
        <f t="shared" si="13"/>
        <v>8.5740429012783856</v>
      </c>
      <c r="AF59" s="13">
        <v>28.664000000000001</v>
      </c>
      <c r="AG59" s="13">
        <v>22.774799999999999</v>
      </c>
      <c r="AH59" s="13">
        <v>14.909599999999999</v>
      </c>
      <c r="AI59" s="13">
        <v>28.376000000000001</v>
      </c>
      <c r="AJ59" s="13">
        <v>33.974800000000002</v>
      </c>
      <c r="AK59" s="13">
        <v>26.335999999999999</v>
      </c>
      <c r="AL59" s="13">
        <v>11.852399999999999</v>
      </c>
      <c r="AM59" s="13">
        <v>21.3476</v>
      </c>
      <c r="AN59" s="13">
        <v>36.7468</v>
      </c>
      <c r="AO59" s="13">
        <v>31.912400000000002</v>
      </c>
      <c r="AP59" s="13" t="s">
        <v>89</v>
      </c>
      <c r="AQ59" s="13">
        <f t="shared" si="14"/>
        <v>101</v>
      </c>
      <c r="AR59" t="s">
        <v>165</v>
      </c>
    </row>
    <row r="60" spans="1:44" x14ac:dyDescent="0.25">
      <c r="A60" s="13" t="s">
        <v>166</v>
      </c>
      <c r="B60" s="13" t="s">
        <v>46</v>
      </c>
      <c r="C60" s="13">
        <v>10.925000000000001</v>
      </c>
      <c r="D60" s="13">
        <v>44.881</v>
      </c>
      <c r="E60" s="13">
        <v>29.151</v>
      </c>
      <c r="F60" s="13">
        <v>13.726000000000001</v>
      </c>
      <c r="G60" s="6">
        <v>1</v>
      </c>
      <c r="H60" s="13">
        <v>55</v>
      </c>
      <c r="I60" s="13" t="s">
        <v>47</v>
      </c>
      <c r="J60" s="13"/>
      <c r="K60" s="13">
        <v>28.8</v>
      </c>
      <c r="L60" s="13">
        <f t="shared" si="10"/>
        <v>0.35099999999999909</v>
      </c>
      <c r="M60" s="13"/>
      <c r="N60" s="13"/>
      <c r="O60" s="13"/>
      <c r="P60" s="13">
        <v>0</v>
      </c>
      <c r="Q60" s="13"/>
      <c r="R60" s="13"/>
      <c r="S60" s="13">
        <v>54.311000000000007</v>
      </c>
      <c r="T60" s="13"/>
      <c r="U60" s="13"/>
      <c r="V60" s="13">
        <v>0</v>
      </c>
      <c r="W60" s="25"/>
      <c r="X60" s="17"/>
      <c r="Y60" s="13">
        <f t="shared" si="11"/>
        <v>5.8301999999999996</v>
      </c>
      <c r="Z60" s="4">
        <v>4</v>
      </c>
      <c r="AA60" s="4">
        <f t="shared" si="15"/>
        <v>4</v>
      </c>
      <c r="AB60" s="29"/>
      <c r="AC60" s="21"/>
      <c r="AD60" s="13">
        <f t="shared" si="12"/>
        <v>12.355836849507737</v>
      </c>
      <c r="AE60" s="13">
        <f t="shared" si="13"/>
        <v>11.669754039312547</v>
      </c>
      <c r="AF60" s="13">
        <v>6.5529999999999999</v>
      </c>
      <c r="AG60" s="13">
        <v>8.4641999999999999</v>
      </c>
      <c r="AH60" s="13">
        <v>5.9944000000000006</v>
      </c>
      <c r="AI60" s="13">
        <v>7.5114000000000001</v>
      </c>
      <c r="AJ60" s="13">
        <v>6.9714</v>
      </c>
      <c r="AK60" s="13">
        <v>5.4367999999999999</v>
      </c>
      <c r="AL60" s="13">
        <v>7.0358000000000001</v>
      </c>
      <c r="AM60" s="13">
        <v>6.7897999999999996</v>
      </c>
      <c r="AN60" s="13">
        <v>5.1970000000000001</v>
      </c>
      <c r="AO60" s="13">
        <v>6.2530000000000001</v>
      </c>
      <c r="AP60" s="13"/>
      <c r="AQ60" s="13">
        <f t="shared" si="14"/>
        <v>4</v>
      </c>
      <c r="AR60" t="s">
        <v>167</v>
      </c>
    </row>
    <row r="61" spans="1:44" x14ac:dyDescent="0.25">
      <c r="A61" s="13" t="s">
        <v>168</v>
      </c>
      <c r="B61" s="13" t="s">
        <v>54</v>
      </c>
      <c r="C61" s="13">
        <v>399</v>
      </c>
      <c r="D61" s="13">
        <v>300</v>
      </c>
      <c r="E61" s="13">
        <v>160</v>
      </c>
      <c r="F61" s="13">
        <v>507</v>
      </c>
      <c r="G61" s="6">
        <v>0.1</v>
      </c>
      <c r="H61" s="13">
        <v>731</v>
      </c>
      <c r="I61" s="13" t="s">
        <v>47</v>
      </c>
      <c r="J61" s="13"/>
      <c r="K61" s="13">
        <v>169</v>
      </c>
      <c r="L61" s="13">
        <f t="shared" si="10"/>
        <v>-9</v>
      </c>
      <c r="M61" s="13"/>
      <c r="N61" s="13"/>
      <c r="O61" s="13"/>
      <c r="P61" s="13">
        <v>0</v>
      </c>
      <c r="Q61" s="13"/>
      <c r="R61" s="13"/>
      <c r="S61" s="13">
        <v>0</v>
      </c>
      <c r="T61" s="13"/>
      <c r="U61" s="13"/>
      <c r="V61" s="13">
        <v>0</v>
      </c>
      <c r="W61" s="25"/>
      <c r="X61" s="17"/>
      <c r="Y61" s="13">
        <f t="shared" si="11"/>
        <v>32</v>
      </c>
      <c r="Z61" s="4"/>
      <c r="AA61" s="4">
        <f t="shared" si="15"/>
        <v>0</v>
      </c>
      <c r="AB61" s="29"/>
      <c r="AC61" s="21"/>
      <c r="AD61" s="13">
        <f t="shared" si="12"/>
        <v>15.84375</v>
      </c>
      <c r="AE61" s="13">
        <f t="shared" si="13"/>
        <v>15.84375</v>
      </c>
      <c r="AF61" s="13">
        <v>34</v>
      </c>
      <c r="AG61" s="13">
        <v>39.6</v>
      </c>
      <c r="AH61" s="13">
        <v>29.8</v>
      </c>
      <c r="AI61" s="13">
        <v>25.2</v>
      </c>
      <c r="AJ61" s="13">
        <v>21.2</v>
      </c>
      <c r="AK61" s="13">
        <v>13.2</v>
      </c>
      <c r="AL61" s="13">
        <v>16.2</v>
      </c>
      <c r="AM61" s="13">
        <v>10</v>
      </c>
      <c r="AN61" s="13">
        <v>5</v>
      </c>
      <c r="AO61" s="13">
        <v>10.199999999999999</v>
      </c>
      <c r="AP61" s="13" t="s">
        <v>89</v>
      </c>
      <c r="AQ61" s="13">
        <f t="shared" si="14"/>
        <v>0</v>
      </c>
      <c r="AR61" t="s">
        <v>169</v>
      </c>
    </row>
    <row r="62" spans="1:44" x14ac:dyDescent="0.25">
      <c r="A62" s="13" t="s">
        <v>170</v>
      </c>
      <c r="B62" s="13" t="s">
        <v>54</v>
      </c>
      <c r="C62" s="13">
        <v>20</v>
      </c>
      <c r="D62" s="13"/>
      <c r="E62" s="13">
        <v>17</v>
      </c>
      <c r="F62" s="13">
        <v>3</v>
      </c>
      <c r="G62" s="6">
        <v>0.4</v>
      </c>
      <c r="H62" s="13">
        <v>50</v>
      </c>
      <c r="I62" s="13" t="s">
        <v>47</v>
      </c>
      <c r="J62" s="13"/>
      <c r="K62" s="13">
        <v>17</v>
      </c>
      <c r="L62" s="13">
        <f t="shared" si="10"/>
        <v>0</v>
      </c>
      <c r="M62" s="13"/>
      <c r="N62" s="13"/>
      <c r="O62" s="13"/>
      <c r="P62" s="13">
        <v>11.2</v>
      </c>
      <c r="Q62" s="13"/>
      <c r="R62" s="13"/>
      <c r="S62" s="13">
        <v>10.6</v>
      </c>
      <c r="T62" s="13"/>
      <c r="U62" s="13"/>
      <c r="V62" s="13">
        <v>17.2</v>
      </c>
      <c r="W62" s="25"/>
      <c r="X62" s="17"/>
      <c r="Y62" s="13">
        <f t="shared" si="11"/>
        <v>3.4</v>
      </c>
      <c r="Z62" s="4"/>
      <c r="AA62" s="4">
        <f t="shared" si="15"/>
        <v>0</v>
      </c>
      <c r="AB62" s="29"/>
      <c r="AC62" s="21"/>
      <c r="AD62" s="13">
        <f t="shared" si="12"/>
        <v>12.352941176470589</v>
      </c>
      <c r="AE62" s="13">
        <f t="shared" si="13"/>
        <v>12.352941176470589</v>
      </c>
      <c r="AF62" s="13">
        <v>4</v>
      </c>
      <c r="AG62" s="13">
        <v>3.4</v>
      </c>
      <c r="AH62" s="13">
        <v>3.2</v>
      </c>
      <c r="AI62" s="13">
        <v>1.2</v>
      </c>
      <c r="AJ62" s="13">
        <v>0.2</v>
      </c>
      <c r="AK62" s="13">
        <v>3</v>
      </c>
      <c r="AL62" s="13">
        <v>3.4</v>
      </c>
      <c r="AM62" s="13">
        <v>1.8</v>
      </c>
      <c r="AN62" s="13">
        <v>1.8</v>
      </c>
      <c r="AO62" s="13">
        <v>2</v>
      </c>
      <c r="AP62" s="13"/>
      <c r="AQ62" s="13">
        <f t="shared" si="14"/>
        <v>0</v>
      </c>
      <c r="AR62" t="s">
        <v>171</v>
      </c>
    </row>
    <row r="63" spans="1:44" x14ac:dyDescent="0.25">
      <c r="A63" s="13" t="s">
        <v>172</v>
      </c>
      <c r="B63" s="13" t="s">
        <v>46</v>
      </c>
      <c r="C63" s="13">
        <v>-18.669</v>
      </c>
      <c r="D63" s="13">
        <v>65.343999999999994</v>
      </c>
      <c r="E63" s="13">
        <v>67.908000000000001</v>
      </c>
      <c r="F63" s="13">
        <v>-21.355</v>
      </c>
      <c r="G63" s="6">
        <v>1</v>
      </c>
      <c r="H63" s="13">
        <v>40</v>
      </c>
      <c r="I63" s="12" t="s">
        <v>65</v>
      </c>
      <c r="J63" s="13"/>
      <c r="K63" s="13">
        <v>135.9</v>
      </c>
      <c r="L63" s="13">
        <f t="shared" si="10"/>
        <v>-67.992000000000004</v>
      </c>
      <c r="M63" s="13"/>
      <c r="N63" s="13"/>
      <c r="O63" s="13"/>
      <c r="P63" s="13">
        <v>100</v>
      </c>
      <c r="Q63" s="13"/>
      <c r="R63" s="13"/>
      <c r="S63" s="13">
        <v>150</v>
      </c>
      <c r="T63" s="13"/>
      <c r="U63" s="13"/>
      <c r="V63" s="13">
        <v>0</v>
      </c>
      <c r="W63" s="25"/>
      <c r="X63" s="17"/>
      <c r="Y63" s="13">
        <f t="shared" si="11"/>
        <v>13.5816</v>
      </c>
      <c r="Z63" s="4">
        <v>40</v>
      </c>
      <c r="AA63" s="4">
        <f t="shared" si="15"/>
        <v>40</v>
      </c>
      <c r="AB63" s="29"/>
      <c r="AC63" s="21"/>
      <c r="AD63" s="13">
        <f t="shared" si="12"/>
        <v>19.780070094834187</v>
      </c>
      <c r="AE63" s="13">
        <f t="shared" si="13"/>
        <v>16.834908994521999</v>
      </c>
      <c r="AF63" s="13">
        <v>21.594999999999999</v>
      </c>
      <c r="AG63" s="13">
        <v>26.615600000000001</v>
      </c>
      <c r="AH63" s="13">
        <v>27.269600000000001</v>
      </c>
      <c r="AI63" s="13">
        <v>19.244599999999998</v>
      </c>
      <c r="AJ63" s="13">
        <v>2.0972</v>
      </c>
      <c r="AK63" s="13">
        <v>14.3964</v>
      </c>
      <c r="AL63" s="13">
        <v>41.171799999999998</v>
      </c>
      <c r="AM63" s="13">
        <v>27.4938</v>
      </c>
      <c r="AN63" s="13">
        <v>-0.44119999999999998</v>
      </c>
      <c r="AO63" s="13">
        <v>24.540400000000002</v>
      </c>
      <c r="AP63" s="13"/>
      <c r="AQ63" s="13">
        <f t="shared" si="14"/>
        <v>40</v>
      </c>
      <c r="AR63" t="s">
        <v>173</v>
      </c>
    </row>
    <row r="64" spans="1:44" x14ac:dyDescent="0.25">
      <c r="A64" s="13" t="s">
        <v>174</v>
      </c>
      <c r="B64" s="13" t="s">
        <v>46</v>
      </c>
      <c r="C64" s="13">
        <v>139.52799999999999</v>
      </c>
      <c r="D64" s="13">
        <v>2.6509999999999998</v>
      </c>
      <c r="E64" s="13">
        <v>126.982</v>
      </c>
      <c r="F64" s="13">
        <v>3.0209999999999999</v>
      </c>
      <c r="G64" s="6">
        <v>1</v>
      </c>
      <c r="H64" s="13">
        <v>40</v>
      </c>
      <c r="I64" s="12" t="s">
        <v>65</v>
      </c>
      <c r="J64" s="13"/>
      <c r="K64" s="13">
        <v>131</v>
      </c>
      <c r="L64" s="13">
        <f t="shared" si="10"/>
        <v>-4.0180000000000007</v>
      </c>
      <c r="M64" s="13"/>
      <c r="N64" s="13"/>
      <c r="O64" s="13"/>
      <c r="P64" s="13">
        <v>10</v>
      </c>
      <c r="Q64" s="13"/>
      <c r="R64" s="13"/>
      <c r="S64" s="13">
        <v>230</v>
      </c>
      <c r="T64" s="13">
        <v>-234.9</v>
      </c>
      <c r="U64" s="13"/>
      <c r="V64" s="13">
        <v>150</v>
      </c>
      <c r="W64" s="25">
        <v>-153.9</v>
      </c>
      <c r="X64" s="17"/>
      <c r="Y64" s="13">
        <f t="shared" si="11"/>
        <v>25.3964</v>
      </c>
      <c r="Z64" s="4">
        <v>150</v>
      </c>
      <c r="AA64" s="4">
        <f t="shared" si="15"/>
        <v>150</v>
      </c>
      <c r="AB64" s="29">
        <v>-153.9</v>
      </c>
      <c r="AC64" s="21"/>
      <c r="AD64" s="13">
        <f t="shared" si="12"/>
        <v>12.132467593832196</v>
      </c>
      <c r="AE64" s="13">
        <f t="shared" si="13"/>
        <v>6.2261186624875968</v>
      </c>
      <c r="AF64" s="13">
        <v>39.029400000000003</v>
      </c>
      <c r="AG64" s="13">
        <v>33.448999999999998</v>
      </c>
      <c r="AH64" s="13">
        <v>20.904800000000002</v>
      </c>
      <c r="AI64" s="13">
        <v>8.2733999999999988</v>
      </c>
      <c r="AJ64" s="13">
        <v>11.537800000000001</v>
      </c>
      <c r="AK64" s="13">
        <v>27.928999999999998</v>
      </c>
      <c r="AL64" s="13">
        <v>28.781600000000001</v>
      </c>
      <c r="AM64" s="13">
        <v>10.379</v>
      </c>
      <c r="AN64" s="13">
        <v>0.11600000000000001</v>
      </c>
      <c r="AO64" s="13">
        <v>14.08</v>
      </c>
      <c r="AP64" s="13"/>
      <c r="AQ64" s="13">
        <f t="shared" si="14"/>
        <v>150</v>
      </c>
      <c r="AR64" t="s">
        <v>175</v>
      </c>
    </row>
    <row r="65" spans="1:44" x14ac:dyDescent="0.25">
      <c r="A65" s="13" t="s">
        <v>176</v>
      </c>
      <c r="B65" s="13" t="s">
        <v>54</v>
      </c>
      <c r="C65" s="13">
        <v>53</v>
      </c>
      <c r="D65" s="13">
        <v>204</v>
      </c>
      <c r="E65" s="13">
        <v>183</v>
      </c>
      <c r="F65" s="13">
        <v>13</v>
      </c>
      <c r="G65" s="6">
        <v>0.4</v>
      </c>
      <c r="H65" s="13">
        <v>40</v>
      </c>
      <c r="I65" s="12" t="s">
        <v>65</v>
      </c>
      <c r="J65" s="13"/>
      <c r="K65" s="13">
        <v>512</v>
      </c>
      <c r="L65" s="13">
        <f t="shared" si="10"/>
        <v>-329</v>
      </c>
      <c r="M65" s="13"/>
      <c r="N65" s="13"/>
      <c r="O65" s="13"/>
      <c r="P65" s="13">
        <v>350</v>
      </c>
      <c r="Q65" s="13"/>
      <c r="R65" s="13"/>
      <c r="S65" s="13">
        <v>450</v>
      </c>
      <c r="T65" s="13"/>
      <c r="U65" s="13"/>
      <c r="V65" s="13">
        <v>450</v>
      </c>
      <c r="W65" s="25"/>
      <c r="X65" s="17"/>
      <c r="Y65" s="13">
        <f t="shared" si="11"/>
        <v>36.6</v>
      </c>
      <c r="Z65" s="4">
        <v>100</v>
      </c>
      <c r="AA65" s="4">
        <f t="shared" si="15"/>
        <v>100</v>
      </c>
      <c r="AB65" s="29"/>
      <c r="AC65" s="21"/>
      <c r="AD65" s="13">
        <f t="shared" si="12"/>
        <v>37.240437158469945</v>
      </c>
      <c r="AE65" s="13">
        <f t="shared" si="13"/>
        <v>34.508196721311471</v>
      </c>
      <c r="AF65" s="13">
        <v>28.8</v>
      </c>
      <c r="AG65" s="13">
        <v>9</v>
      </c>
      <c r="AH65" s="13">
        <v>49</v>
      </c>
      <c r="AI65" s="13">
        <v>115.2</v>
      </c>
      <c r="AJ65" s="13">
        <v>114</v>
      </c>
      <c r="AK65" s="13">
        <v>79.599999999999994</v>
      </c>
      <c r="AL65" s="13">
        <v>77.400000000000006</v>
      </c>
      <c r="AM65" s="13">
        <v>91.4</v>
      </c>
      <c r="AN65" s="13">
        <v>92.8</v>
      </c>
      <c r="AO65" s="13">
        <v>116.4</v>
      </c>
      <c r="AP65" s="13"/>
      <c r="AQ65" s="13">
        <f t="shared" si="14"/>
        <v>40</v>
      </c>
      <c r="AR65" t="s">
        <v>177</v>
      </c>
    </row>
    <row r="66" spans="1:44" x14ac:dyDescent="0.25">
      <c r="A66" s="13" t="s">
        <v>178</v>
      </c>
      <c r="B66" s="13" t="s">
        <v>54</v>
      </c>
      <c r="C66" s="13">
        <v>8</v>
      </c>
      <c r="D66" s="13">
        <v>204</v>
      </c>
      <c r="E66" s="13">
        <v>192</v>
      </c>
      <c r="F66" s="13">
        <v>6</v>
      </c>
      <c r="G66" s="6">
        <v>0.4</v>
      </c>
      <c r="H66" s="13">
        <v>40</v>
      </c>
      <c r="I66" s="13" t="s">
        <v>47</v>
      </c>
      <c r="J66" s="13"/>
      <c r="K66" s="13">
        <v>322</v>
      </c>
      <c r="L66" s="13">
        <f t="shared" si="10"/>
        <v>-130</v>
      </c>
      <c r="M66" s="13"/>
      <c r="N66" s="13"/>
      <c r="O66" s="13"/>
      <c r="P66" s="13">
        <v>148.6</v>
      </c>
      <c r="Q66" s="13"/>
      <c r="R66" s="13"/>
      <c r="S66" s="13">
        <v>346.4</v>
      </c>
      <c r="T66" s="13"/>
      <c r="U66" s="13"/>
      <c r="V66" s="13">
        <v>0</v>
      </c>
      <c r="W66" s="25"/>
      <c r="X66" s="17"/>
      <c r="Y66" s="13">
        <f t="shared" si="11"/>
        <v>38.4</v>
      </c>
      <c r="Z66" s="4"/>
      <c r="AA66" s="4">
        <f t="shared" si="15"/>
        <v>0</v>
      </c>
      <c r="AB66" s="29"/>
      <c r="AC66" s="21"/>
      <c r="AD66" s="13">
        <f t="shared" si="12"/>
        <v>13.046875</v>
      </c>
      <c r="AE66" s="13">
        <f t="shared" si="13"/>
        <v>13.046875</v>
      </c>
      <c r="AF66" s="13">
        <v>38.200000000000003</v>
      </c>
      <c r="AG66" s="13">
        <v>54</v>
      </c>
      <c r="AH66" s="13">
        <v>42.6</v>
      </c>
      <c r="AI66" s="13">
        <v>53.4</v>
      </c>
      <c r="AJ66" s="13">
        <v>71.599999999999994</v>
      </c>
      <c r="AK66" s="13">
        <v>43.4</v>
      </c>
      <c r="AL66" s="13">
        <v>48.2</v>
      </c>
      <c r="AM66" s="13">
        <v>41.2</v>
      </c>
      <c r="AN66" s="13">
        <v>26.2</v>
      </c>
      <c r="AO66" s="13">
        <v>68.599999999999994</v>
      </c>
      <c r="AP66" s="13"/>
      <c r="AQ66" s="13">
        <f t="shared" si="14"/>
        <v>0</v>
      </c>
      <c r="AR66" t="s">
        <v>179</v>
      </c>
    </row>
    <row r="67" spans="1:44" x14ac:dyDescent="0.25">
      <c r="A67" s="13" t="s">
        <v>180</v>
      </c>
      <c r="B67" s="13" t="s">
        <v>46</v>
      </c>
      <c r="C67" s="13">
        <v>-3.306</v>
      </c>
      <c r="D67" s="13">
        <v>70.503</v>
      </c>
      <c r="E67" s="13">
        <v>67.254999999999995</v>
      </c>
      <c r="F67" s="13">
        <v>-3.706</v>
      </c>
      <c r="G67" s="6">
        <v>1</v>
      </c>
      <c r="H67" s="13">
        <v>40</v>
      </c>
      <c r="I67" s="12" t="s">
        <v>65</v>
      </c>
      <c r="J67" s="13"/>
      <c r="K67" s="13">
        <v>102</v>
      </c>
      <c r="L67" s="13">
        <f t="shared" si="10"/>
        <v>-34.745000000000005</v>
      </c>
      <c r="M67" s="13"/>
      <c r="N67" s="13"/>
      <c r="O67" s="13"/>
      <c r="P67" s="13">
        <v>100</v>
      </c>
      <c r="Q67" s="13"/>
      <c r="R67" s="13"/>
      <c r="S67" s="13">
        <v>40</v>
      </c>
      <c r="T67" s="13">
        <v>-43.2</v>
      </c>
      <c r="U67" s="13"/>
      <c r="V67" s="13">
        <v>75</v>
      </c>
      <c r="W67" s="25"/>
      <c r="X67" s="17"/>
      <c r="Y67" s="13">
        <f t="shared" si="11"/>
        <v>13.450999999999999</v>
      </c>
      <c r="Z67" s="4">
        <v>50</v>
      </c>
      <c r="AA67" s="4">
        <f t="shared" si="15"/>
        <v>50</v>
      </c>
      <c r="AB67" s="29"/>
      <c r="AC67" s="21"/>
      <c r="AD67" s="13">
        <f t="shared" si="12"/>
        <v>16.213961787227717</v>
      </c>
      <c r="AE67" s="13">
        <f t="shared" si="13"/>
        <v>12.496766039699651</v>
      </c>
      <c r="AF67" s="13">
        <v>8.1768000000000001</v>
      </c>
      <c r="AG67" s="13">
        <v>2.9136000000000002</v>
      </c>
      <c r="AH67" s="13">
        <v>16.226600000000001</v>
      </c>
      <c r="AI67" s="13">
        <v>18.217400000000001</v>
      </c>
      <c r="AJ67" s="13">
        <v>20.844200000000001</v>
      </c>
      <c r="AK67" s="13">
        <v>20.661999999999999</v>
      </c>
      <c r="AL67" s="13">
        <v>14.938599999999999</v>
      </c>
      <c r="AM67" s="13">
        <v>33.050400000000003</v>
      </c>
      <c r="AN67" s="13">
        <v>30.191199999999998</v>
      </c>
      <c r="AO67" s="13">
        <v>25.393000000000001</v>
      </c>
      <c r="AP67" s="13"/>
      <c r="AQ67" s="13">
        <f t="shared" si="14"/>
        <v>50</v>
      </c>
      <c r="AR67" t="s">
        <v>181</v>
      </c>
    </row>
    <row r="68" spans="1:44" x14ac:dyDescent="0.25">
      <c r="A68" s="13" t="s">
        <v>182</v>
      </c>
      <c r="B68" s="13" t="s">
        <v>46</v>
      </c>
      <c r="C68" s="13">
        <v>10.363</v>
      </c>
      <c r="D68" s="13">
        <v>1.8</v>
      </c>
      <c r="E68" s="13">
        <v>-1.827</v>
      </c>
      <c r="F68" s="13">
        <v>9.4600000000000009</v>
      </c>
      <c r="G68" s="6">
        <v>1</v>
      </c>
      <c r="H68" s="13">
        <v>40</v>
      </c>
      <c r="I68" s="12" t="s">
        <v>65</v>
      </c>
      <c r="J68" s="13"/>
      <c r="K68" s="13">
        <v>105.2</v>
      </c>
      <c r="L68" s="13">
        <f t="shared" si="10"/>
        <v>-107.027</v>
      </c>
      <c r="M68" s="13"/>
      <c r="N68" s="13"/>
      <c r="O68" s="13"/>
      <c r="P68" s="13">
        <v>50</v>
      </c>
      <c r="Q68" s="13">
        <v>-54</v>
      </c>
      <c r="R68" s="13"/>
      <c r="S68" s="13">
        <v>100</v>
      </c>
      <c r="T68" s="13">
        <v>-102.6</v>
      </c>
      <c r="U68" s="13"/>
      <c r="V68" s="13">
        <v>100</v>
      </c>
      <c r="W68" s="25"/>
      <c r="X68" s="17"/>
      <c r="Y68" s="13">
        <f t="shared" si="11"/>
        <v>-0.3654</v>
      </c>
      <c r="Z68" s="4">
        <v>50</v>
      </c>
      <c r="AA68" s="4">
        <f t="shared" si="15"/>
        <v>50</v>
      </c>
      <c r="AB68" s="29">
        <v>-54</v>
      </c>
      <c r="AC68" s="21"/>
      <c r="AD68" s="13">
        <f t="shared" si="12"/>
        <v>-418.33607006020804</v>
      </c>
      <c r="AE68" s="13">
        <f t="shared" si="13"/>
        <v>-281.49972632731254</v>
      </c>
      <c r="AF68" s="13">
        <v>-1.2702</v>
      </c>
      <c r="AG68" s="13">
        <v>-1.0875999999999999</v>
      </c>
      <c r="AH68" s="13">
        <v>10.1266</v>
      </c>
      <c r="AI68" s="13">
        <v>11.384600000000001</v>
      </c>
      <c r="AJ68" s="13">
        <v>8.4802</v>
      </c>
      <c r="AK68" s="13">
        <v>12.4748</v>
      </c>
      <c r="AL68" s="13">
        <v>12.3028</v>
      </c>
      <c r="AM68" s="13">
        <v>24.300599999999999</v>
      </c>
      <c r="AN68" s="13">
        <v>29.9604</v>
      </c>
      <c r="AO68" s="13">
        <v>28.129000000000001</v>
      </c>
      <c r="AP68" s="13"/>
      <c r="AQ68" s="13">
        <f t="shared" si="14"/>
        <v>50</v>
      </c>
      <c r="AR68" t="s">
        <v>183</v>
      </c>
    </row>
    <row r="69" spans="1:44" x14ac:dyDescent="0.25">
      <c r="A69" s="13" t="s">
        <v>184</v>
      </c>
      <c r="B69" s="13" t="s">
        <v>46</v>
      </c>
      <c r="C69" s="13">
        <v>3.806</v>
      </c>
      <c r="D69" s="13">
        <v>1.8</v>
      </c>
      <c r="E69" s="13">
        <v>-7.2050000000000001</v>
      </c>
      <c r="F69" s="13">
        <v>1.08</v>
      </c>
      <c r="G69" s="6">
        <v>1</v>
      </c>
      <c r="H69" s="13">
        <v>40</v>
      </c>
      <c r="I69" s="12" t="s">
        <v>65</v>
      </c>
      <c r="J69" s="13"/>
      <c r="K69" s="13">
        <v>194.2</v>
      </c>
      <c r="L69" s="13">
        <f t="shared" si="10"/>
        <v>-201.405</v>
      </c>
      <c r="M69" s="13"/>
      <c r="N69" s="13"/>
      <c r="O69" s="13"/>
      <c r="P69" s="13">
        <v>400</v>
      </c>
      <c r="Q69" s="13"/>
      <c r="R69" s="13"/>
      <c r="S69" s="13">
        <v>300</v>
      </c>
      <c r="T69" s="13"/>
      <c r="U69" s="13"/>
      <c r="V69" s="13">
        <v>0</v>
      </c>
      <c r="W69" s="25"/>
      <c r="X69" s="17"/>
      <c r="Y69" s="13">
        <f t="shared" si="11"/>
        <v>-1.4410000000000001</v>
      </c>
      <c r="Z69" s="4"/>
      <c r="AA69" s="4">
        <f t="shared" si="15"/>
        <v>0</v>
      </c>
      <c r="AB69" s="29"/>
      <c r="AC69" s="21"/>
      <c r="AD69" s="13">
        <f t="shared" si="12"/>
        <v>-486.5232477446217</v>
      </c>
      <c r="AE69" s="13">
        <f t="shared" si="13"/>
        <v>-486.5232477446217</v>
      </c>
      <c r="AF69" s="13">
        <v>-0.9012</v>
      </c>
      <c r="AG69" s="13">
        <v>26.5594</v>
      </c>
      <c r="AH69" s="13">
        <v>56.472000000000001</v>
      </c>
      <c r="AI69" s="13">
        <v>75.826599999999999</v>
      </c>
      <c r="AJ69" s="13">
        <v>76.188999999999993</v>
      </c>
      <c r="AK69" s="13">
        <v>96.034199999999998</v>
      </c>
      <c r="AL69" s="13">
        <v>98.497799999999998</v>
      </c>
      <c r="AM69" s="13">
        <v>30.181999999999999</v>
      </c>
      <c r="AN69" s="13">
        <v>6.6635999999999997</v>
      </c>
      <c r="AO69" s="13">
        <v>112.02800000000001</v>
      </c>
      <c r="AP69" s="13"/>
      <c r="AQ69" s="13">
        <f t="shared" si="14"/>
        <v>0</v>
      </c>
      <c r="AR69" t="s">
        <v>185</v>
      </c>
    </row>
    <row r="70" spans="1:44" x14ac:dyDescent="0.25">
      <c r="A70" s="13" t="s">
        <v>186</v>
      </c>
      <c r="B70" s="13" t="s">
        <v>46</v>
      </c>
      <c r="C70" s="13">
        <v>6.056</v>
      </c>
      <c r="D70" s="13">
        <v>92.433000000000007</v>
      </c>
      <c r="E70" s="13">
        <v>90.878</v>
      </c>
      <c r="F70" s="13">
        <v>3.9849999999999999</v>
      </c>
      <c r="G70" s="6">
        <v>1</v>
      </c>
      <c r="H70" s="13">
        <v>40</v>
      </c>
      <c r="I70" s="12" t="s">
        <v>65</v>
      </c>
      <c r="J70" s="13"/>
      <c r="K70" s="13">
        <v>139.9</v>
      </c>
      <c r="L70" s="13">
        <f t="shared" ref="L70:L101" si="16">E70-K70</f>
        <v>-49.022000000000006</v>
      </c>
      <c r="M70" s="13"/>
      <c r="N70" s="13"/>
      <c r="O70" s="13"/>
      <c r="P70" s="13">
        <v>30</v>
      </c>
      <c r="Q70" s="13">
        <v>-32.4</v>
      </c>
      <c r="R70" s="13"/>
      <c r="S70" s="13">
        <v>120</v>
      </c>
      <c r="T70" s="13">
        <v>-124.2</v>
      </c>
      <c r="U70" s="13"/>
      <c r="V70" s="13">
        <v>100</v>
      </c>
      <c r="W70" s="25">
        <v>-102.6</v>
      </c>
      <c r="X70" s="17"/>
      <c r="Y70" s="13">
        <f t="shared" ref="Y70:Y101" si="17">E70/5</f>
        <v>18.175599999999999</v>
      </c>
      <c r="Z70" s="4">
        <v>80</v>
      </c>
      <c r="AA70" s="4">
        <f t="shared" si="15"/>
        <v>80</v>
      </c>
      <c r="AB70" s="29">
        <v>-81</v>
      </c>
      <c r="AC70" s="21"/>
      <c r="AD70" s="13">
        <f t="shared" ref="AD70:AD101" si="18">(F70+O70+P70+Q70+R70+S70+T70+U70+V70+AA70)/Y70</f>
        <v>9.7595127533616495</v>
      </c>
      <c r="AE70" s="13">
        <f t="shared" ref="AE70:AE101" si="19">(F70+O70+P70+Q70+R70+S70+T70+U70+V70)/Y70</f>
        <v>5.3580074385439822</v>
      </c>
      <c r="AF70" s="13">
        <v>14.3584</v>
      </c>
      <c r="AG70" s="13">
        <v>-0.11700000000000001</v>
      </c>
      <c r="AH70" s="13">
        <v>11.7364</v>
      </c>
      <c r="AI70" s="13">
        <v>16.224799999999998</v>
      </c>
      <c r="AJ70" s="13">
        <v>34.017000000000003</v>
      </c>
      <c r="AK70" s="13">
        <v>35.487000000000002</v>
      </c>
      <c r="AL70" s="13">
        <v>19.944600000000001</v>
      </c>
      <c r="AM70" s="13">
        <v>39.397399999999998</v>
      </c>
      <c r="AN70" s="13">
        <v>36.114600000000003</v>
      </c>
      <c r="AO70" s="13">
        <v>34.558800000000012</v>
      </c>
      <c r="AP70" s="13"/>
      <c r="AQ70" s="13">
        <f t="shared" ref="AQ70:AQ101" si="20">ROUND(G70*AA70,0)</f>
        <v>80</v>
      </c>
      <c r="AR70" t="s">
        <v>187</v>
      </c>
    </row>
    <row r="71" spans="1:44" x14ac:dyDescent="0.25">
      <c r="A71" s="8" t="s">
        <v>188</v>
      </c>
      <c r="B71" s="8" t="s">
        <v>54</v>
      </c>
      <c r="C71" s="8"/>
      <c r="D71" s="8"/>
      <c r="E71" s="8"/>
      <c r="F71" s="8"/>
      <c r="G71" s="9">
        <v>0</v>
      </c>
      <c r="H71" s="8"/>
      <c r="I71" s="8" t="s">
        <v>47</v>
      </c>
      <c r="J71" s="8"/>
      <c r="K71" s="8"/>
      <c r="L71" s="8">
        <f t="shared" si="16"/>
        <v>0</v>
      </c>
      <c r="M71" s="8"/>
      <c r="N71" s="8"/>
      <c r="O71" s="8"/>
      <c r="P71" s="8">
        <v>0</v>
      </c>
      <c r="Q71" s="8"/>
      <c r="R71" s="8"/>
      <c r="S71" s="8">
        <v>0</v>
      </c>
      <c r="T71" s="8"/>
      <c r="U71" s="8"/>
      <c r="V71" s="8">
        <v>0</v>
      </c>
      <c r="W71" s="27"/>
      <c r="X71" s="19"/>
      <c r="Y71" s="8">
        <f t="shared" si="17"/>
        <v>0</v>
      </c>
      <c r="Z71" s="10"/>
      <c r="AA71" s="4">
        <f t="shared" si="15"/>
        <v>0</v>
      </c>
      <c r="AB71" s="29"/>
      <c r="AC71" s="21"/>
      <c r="AD71" s="13" t="e">
        <f t="shared" si="18"/>
        <v>#DIV/0!</v>
      </c>
      <c r="AE71" s="8" t="e">
        <f t="shared" si="19"/>
        <v>#DIV/0!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 t="s">
        <v>55</v>
      </c>
      <c r="AQ71" s="13">
        <f t="shared" si="20"/>
        <v>0</v>
      </c>
      <c r="AR71" t="s">
        <v>189</v>
      </c>
    </row>
    <row r="72" spans="1:44" x14ac:dyDescent="0.25">
      <c r="A72" s="13" t="s">
        <v>190</v>
      </c>
      <c r="B72" s="13" t="s">
        <v>46</v>
      </c>
      <c r="C72" s="13">
        <v>92.47</v>
      </c>
      <c r="D72" s="13">
        <v>5.0030000000000001</v>
      </c>
      <c r="E72" s="13">
        <v>-15.237</v>
      </c>
      <c r="F72" s="13">
        <v>7</v>
      </c>
      <c r="G72" s="6">
        <v>1</v>
      </c>
      <c r="H72" s="13">
        <v>30</v>
      </c>
      <c r="I72" s="12" t="s">
        <v>65</v>
      </c>
      <c r="J72" s="13"/>
      <c r="K72" s="13">
        <v>175.8</v>
      </c>
      <c r="L72" s="13">
        <f t="shared" si="16"/>
        <v>-191.03700000000001</v>
      </c>
      <c r="M72" s="13"/>
      <c r="N72" s="13"/>
      <c r="O72" s="13"/>
      <c r="P72" s="13">
        <v>150</v>
      </c>
      <c r="Q72" s="13"/>
      <c r="R72" s="13"/>
      <c r="S72" s="13">
        <v>150</v>
      </c>
      <c r="T72" s="13"/>
      <c r="U72" s="13"/>
      <c r="V72" s="13">
        <v>0</v>
      </c>
      <c r="W72" s="25"/>
      <c r="X72" s="17"/>
      <c r="Y72" s="13">
        <f t="shared" si="17"/>
        <v>-3.0474000000000001</v>
      </c>
      <c r="Z72" s="4">
        <v>50</v>
      </c>
      <c r="AA72" s="4">
        <f t="shared" si="15"/>
        <v>50</v>
      </c>
      <c r="AB72" s="29"/>
      <c r="AC72" s="21"/>
      <c r="AD72" s="13">
        <f t="shared" si="18"/>
        <v>-117.14904508761566</v>
      </c>
      <c r="AE72" s="13">
        <f t="shared" si="19"/>
        <v>-100.74161580363588</v>
      </c>
      <c r="AF72" s="13">
        <v>6.3057999999999996</v>
      </c>
      <c r="AG72" s="13">
        <v>38.624600000000001</v>
      </c>
      <c r="AH72" s="13">
        <v>42.8994</v>
      </c>
      <c r="AI72" s="13">
        <v>11.5352</v>
      </c>
      <c r="AJ72" s="13">
        <v>1.75</v>
      </c>
      <c r="AK72" s="13">
        <v>29.075600000000001</v>
      </c>
      <c r="AL72" s="13">
        <v>33.2898</v>
      </c>
      <c r="AM72" s="13">
        <v>11.0556</v>
      </c>
      <c r="AN72" s="13">
        <v>4.7800000000000002E-2</v>
      </c>
      <c r="AO72" s="13">
        <v>28.5642</v>
      </c>
      <c r="AP72" s="13" t="s">
        <v>191</v>
      </c>
      <c r="AQ72" s="13">
        <f t="shared" si="20"/>
        <v>50</v>
      </c>
      <c r="AR72" t="s">
        <v>192</v>
      </c>
    </row>
    <row r="73" spans="1:44" x14ac:dyDescent="0.25">
      <c r="A73" s="13" t="s">
        <v>193</v>
      </c>
      <c r="B73" s="13" t="s">
        <v>54</v>
      </c>
      <c r="C73" s="13">
        <v>3</v>
      </c>
      <c r="D73" s="13">
        <v>416</v>
      </c>
      <c r="E73" s="11">
        <f>132+E75</f>
        <v>135</v>
      </c>
      <c r="F73" s="11">
        <f>264+F75</f>
        <v>261</v>
      </c>
      <c r="G73" s="6">
        <v>0.6</v>
      </c>
      <c r="H73" s="13">
        <v>60</v>
      </c>
      <c r="I73" s="13" t="s">
        <v>47</v>
      </c>
      <c r="J73" s="13"/>
      <c r="K73" s="13">
        <v>144</v>
      </c>
      <c r="L73" s="13">
        <f t="shared" si="16"/>
        <v>-9</v>
      </c>
      <c r="M73" s="13"/>
      <c r="N73" s="13"/>
      <c r="O73" s="13"/>
      <c r="P73" s="13">
        <v>0</v>
      </c>
      <c r="Q73" s="13"/>
      <c r="R73" s="13"/>
      <c r="S73" s="13">
        <v>0</v>
      </c>
      <c r="T73" s="13"/>
      <c r="U73" s="13"/>
      <c r="V73" s="13">
        <v>0</v>
      </c>
      <c r="W73" s="25"/>
      <c r="X73" s="17"/>
      <c r="Y73" s="13">
        <f t="shared" si="17"/>
        <v>27</v>
      </c>
      <c r="Z73" s="4">
        <f>12*Y73-V73-U73-T73-S73-R73-Q73-P73-O73-F73</f>
        <v>63</v>
      </c>
      <c r="AA73" s="4">
        <f t="shared" si="15"/>
        <v>63</v>
      </c>
      <c r="AB73" s="29"/>
      <c r="AC73" s="21"/>
      <c r="AD73" s="13">
        <f t="shared" si="18"/>
        <v>12</v>
      </c>
      <c r="AE73" s="13">
        <f t="shared" si="19"/>
        <v>9.6666666666666661</v>
      </c>
      <c r="AF73" s="13">
        <v>1.2</v>
      </c>
      <c r="AG73" s="13">
        <v>3.2</v>
      </c>
      <c r="AH73" s="13">
        <v>19.399999999999999</v>
      </c>
      <c r="AI73" s="13">
        <v>37</v>
      </c>
      <c r="AJ73" s="13">
        <v>27.2</v>
      </c>
      <c r="AK73" s="13">
        <v>8.6</v>
      </c>
      <c r="AL73" s="13">
        <v>18.600000000000001</v>
      </c>
      <c r="AM73" s="13">
        <v>21.6</v>
      </c>
      <c r="AN73" s="13">
        <v>26</v>
      </c>
      <c r="AO73" s="13">
        <v>22.8</v>
      </c>
      <c r="AP73" s="13"/>
      <c r="AQ73" s="13">
        <f t="shared" si="20"/>
        <v>38</v>
      </c>
      <c r="AR73" t="s">
        <v>194</v>
      </c>
    </row>
    <row r="74" spans="1:44" x14ac:dyDescent="0.25">
      <c r="A74" s="13" t="s">
        <v>195</v>
      </c>
      <c r="B74" s="13" t="s">
        <v>54</v>
      </c>
      <c r="C74" s="13">
        <v>-2</v>
      </c>
      <c r="D74" s="13">
        <v>472</v>
      </c>
      <c r="E74" s="13">
        <v>185</v>
      </c>
      <c r="F74" s="13">
        <v>270</v>
      </c>
      <c r="G74" s="6">
        <v>0.6</v>
      </c>
      <c r="H74" s="13">
        <v>60</v>
      </c>
      <c r="I74" s="13" t="s">
        <v>47</v>
      </c>
      <c r="J74" s="13"/>
      <c r="K74" s="13">
        <v>187</v>
      </c>
      <c r="L74" s="13">
        <f t="shared" si="16"/>
        <v>-2</v>
      </c>
      <c r="M74" s="13"/>
      <c r="N74" s="13"/>
      <c r="O74" s="13"/>
      <c r="P74" s="13">
        <v>0</v>
      </c>
      <c r="Q74" s="13"/>
      <c r="R74" s="13"/>
      <c r="S74" s="13">
        <v>0</v>
      </c>
      <c r="T74" s="13"/>
      <c r="U74" s="13"/>
      <c r="V74" s="13">
        <v>0</v>
      </c>
      <c r="W74" s="25"/>
      <c r="X74" s="17"/>
      <c r="Y74" s="13">
        <f t="shared" si="17"/>
        <v>37</v>
      </c>
      <c r="Z74" s="4">
        <f>12*Y74-V74-U74-T74-S74-R74-Q74-P74-O74-F74</f>
        <v>174</v>
      </c>
      <c r="AA74" s="4">
        <f t="shared" si="15"/>
        <v>174</v>
      </c>
      <c r="AB74" s="29"/>
      <c r="AC74" s="21"/>
      <c r="AD74" s="13">
        <f t="shared" si="18"/>
        <v>12</v>
      </c>
      <c r="AE74" s="13">
        <f t="shared" si="19"/>
        <v>7.2972972972972974</v>
      </c>
      <c r="AF74" s="13">
        <v>11.8</v>
      </c>
      <c r="AG74" s="13">
        <v>25.4</v>
      </c>
      <c r="AH74" s="13">
        <v>30.4</v>
      </c>
      <c r="AI74" s="13">
        <v>51</v>
      </c>
      <c r="AJ74" s="13">
        <v>42</v>
      </c>
      <c r="AK74" s="13">
        <v>18.399999999999999</v>
      </c>
      <c r="AL74" s="13">
        <v>32</v>
      </c>
      <c r="AM74" s="13">
        <v>28.4</v>
      </c>
      <c r="AN74" s="13">
        <v>31.4</v>
      </c>
      <c r="AO74" s="13">
        <v>38.799999999999997</v>
      </c>
      <c r="AP74" s="13"/>
      <c r="AQ74" s="13">
        <f t="shared" si="20"/>
        <v>104</v>
      </c>
      <c r="AR74" t="s">
        <v>196</v>
      </c>
    </row>
    <row r="75" spans="1:44" x14ac:dyDescent="0.25">
      <c r="A75" s="8" t="s">
        <v>197</v>
      </c>
      <c r="B75" s="8" t="s">
        <v>54</v>
      </c>
      <c r="C75" s="8"/>
      <c r="D75" s="8"/>
      <c r="E75" s="11">
        <v>3</v>
      </c>
      <c r="F75" s="11">
        <v>-3</v>
      </c>
      <c r="G75" s="9">
        <v>0</v>
      </c>
      <c r="H75" s="8"/>
      <c r="I75" s="8" t="s">
        <v>113</v>
      </c>
      <c r="J75" s="8" t="s">
        <v>193</v>
      </c>
      <c r="K75" s="8">
        <v>3</v>
      </c>
      <c r="L75" s="8">
        <f t="shared" si="16"/>
        <v>0</v>
      </c>
      <c r="M75" s="8"/>
      <c r="N75" s="8"/>
      <c r="O75" s="8"/>
      <c r="P75" s="8"/>
      <c r="Q75" s="8"/>
      <c r="R75" s="8"/>
      <c r="S75" s="8"/>
      <c r="T75" s="8"/>
      <c r="U75" s="8"/>
      <c r="V75" s="8">
        <v>0</v>
      </c>
      <c r="W75" s="27"/>
      <c r="X75" s="19"/>
      <c r="Y75" s="8">
        <f t="shared" si="17"/>
        <v>0.6</v>
      </c>
      <c r="Z75" s="10"/>
      <c r="AA75" s="4">
        <f t="shared" si="15"/>
        <v>0</v>
      </c>
      <c r="AB75" s="29"/>
      <c r="AC75" s="21"/>
      <c r="AD75" s="13">
        <f t="shared" si="18"/>
        <v>-5</v>
      </c>
      <c r="AE75" s="8">
        <f t="shared" si="19"/>
        <v>-5</v>
      </c>
      <c r="AF75" s="8">
        <v>0.6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/>
      <c r="AQ75" s="13">
        <f t="shared" si="20"/>
        <v>0</v>
      </c>
    </row>
    <row r="76" spans="1:44" x14ac:dyDescent="0.25">
      <c r="A76" s="13" t="s">
        <v>198</v>
      </c>
      <c r="B76" s="13" t="s">
        <v>54</v>
      </c>
      <c r="C76" s="13">
        <v>171</v>
      </c>
      <c r="D76" s="13">
        <v>1</v>
      </c>
      <c r="E76" s="13">
        <v>118</v>
      </c>
      <c r="F76" s="13">
        <v>47</v>
      </c>
      <c r="G76" s="6">
        <v>0.4</v>
      </c>
      <c r="H76" s="13">
        <v>90</v>
      </c>
      <c r="I76" s="12" t="s">
        <v>65</v>
      </c>
      <c r="J76" s="13"/>
      <c r="K76" s="13">
        <v>122</v>
      </c>
      <c r="L76" s="13">
        <f t="shared" si="16"/>
        <v>-4</v>
      </c>
      <c r="M76" s="13"/>
      <c r="N76" s="13"/>
      <c r="O76" s="13"/>
      <c r="P76" s="13">
        <v>30</v>
      </c>
      <c r="Q76" s="13"/>
      <c r="R76" s="13"/>
      <c r="S76" s="13">
        <v>136.6</v>
      </c>
      <c r="T76" s="13">
        <v>-144</v>
      </c>
      <c r="U76" s="13"/>
      <c r="V76" s="13">
        <v>144</v>
      </c>
      <c r="W76" s="25"/>
      <c r="X76" s="17"/>
      <c r="Y76" s="13">
        <f t="shared" si="17"/>
        <v>23.6</v>
      </c>
      <c r="Z76" s="4">
        <v>100</v>
      </c>
      <c r="AA76" s="4">
        <f t="shared" si="15"/>
        <v>100</v>
      </c>
      <c r="AB76" s="29"/>
      <c r="AC76" s="21"/>
      <c r="AD76" s="13">
        <f t="shared" si="18"/>
        <v>13.288135593220339</v>
      </c>
      <c r="AE76" s="13">
        <f t="shared" si="19"/>
        <v>9.0508474576271176</v>
      </c>
      <c r="AF76" s="13">
        <v>29</v>
      </c>
      <c r="AG76" s="13">
        <v>27.8</v>
      </c>
      <c r="AH76" s="13">
        <v>26</v>
      </c>
      <c r="AI76" s="13">
        <v>21.4</v>
      </c>
      <c r="AJ76" s="13">
        <v>17</v>
      </c>
      <c r="AK76" s="13">
        <v>24.2</v>
      </c>
      <c r="AL76" s="13">
        <v>25.2</v>
      </c>
      <c r="AM76" s="13">
        <v>23.6</v>
      </c>
      <c r="AN76" s="13">
        <v>19</v>
      </c>
      <c r="AO76" s="13">
        <v>18.8</v>
      </c>
      <c r="AP76" s="13"/>
      <c r="AQ76" s="13">
        <f t="shared" si="20"/>
        <v>40</v>
      </c>
      <c r="AR76" t="s">
        <v>199</v>
      </c>
    </row>
    <row r="77" spans="1:44" x14ac:dyDescent="0.25">
      <c r="A77" s="13" t="s">
        <v>200</v>
      </c>
      <c r="B77" s="13" t="s">
        <v>54</v>
      </c>
      <c r="C77" s="13">
        <v>11</v>
      </c>
      <c r="D77" s="13">
        <v>120</v>
      </c>
      <c r="E77" s="13">
        <v>119</v>
      </c>
      <c r="F77" s="13">
        <v>-4</v>
      </c>
      <c r="G77" s="6">
        <v>0.33</v>
      </c>
      <c r="H77" s="13">
        <v>60</v>
      </c>
      <c r="I77" s="12" t="s">
        <v>65</v>
      </c>
      <c r="J77" s="13"/>
      <c r="K77" s="13">
        <v>204</v>
      </c>
      <c r="L77" s="13">
        <f t="shared" si="16"/>
        <v>-85</v>
      </c>
      <c r="M77" s="13"/>
      <c r="N77" s="13"/>
      <c r="O77" s="13"/>
      <c r="P77" s="13">
        <v>150</v>
      </c>
      <c r="Q77" s="13"/>
      <c r="R77" s="13"/>
      <c r="S77" s="13">
        <v>179.8</v>
      </c>
      <c r="T77" s="13">
        <v>-184</v>
      </c>
      <c r="U77" s="13"/>
      <c r="V77" s="13">
        <v>184</v>
      </c>
      <c r="W77" s="25"/>
      <c r="X77" s="17"/>
      <c r="Y77" s="13">
        <f t="shared" si="17"/>
        <v>23.8</v>
      </c>
      <c r="Z77" s="4">
        <v>100</v>
      </c>
      <c r="AA77" s="4">
        <f t="shared" si="15"/>
        <v>100</v>
      </c>
      <c r="AB77" s="29"/>
      <c r="AC77" s="21"/>
      <c r="AD77" s="13">
        <f t="shared" si="18"/>
        <v>17.890756302521009</v>
      </c>
      <c r="AE77" s="13">
        <f t="shared" si="19"/>
        <v>13.6890756302521</v>
      </c>
      <c r="AF77" s="13">
        <v>36.200000000000003</v>
      </c>
      <c r="AG77" s="13">
        <v>36.4</v>
      </c>
      <c r="AH77" s="13">
        <v>33.6</v>
      </c>
      <c r="AI77" s="13">
        <v>31.8</v>
      </c>
      <c r="AJ77" s="13">
        <v>29.6</v>
      </c>
      <c r="AK77" s="13">
        <v>46.4</v>
      </c>
      <c r="AL77" s="13">
        <v>50.6</v>
      </c>
      <c r="AM77" s="13">
        <v>37.799999999999997</v>
      </c>
      <c r="AN77" s="13">
        <v>30.4</v>
      </c>
      <c r="AO77" s="13">
        <v>37</v>
      </c>
      <c r="AP77" s="13"/>
      <c r="AQ77" s="13">
        <f t="shared" si="20"/>
        <v>33</v>
      </c>
      <c r="AR77" t="s">
        <v>201</v>
      </c>
    </row>
    <row r="78" spans="1:44" x14ac:dyDescent="0.25">
      <c r="A78" s="13" t="s">
        <v>202</v>
      </c>
      <c r="B78" s="13" t="s">
        <v>54</v>
      </c>
      <c r="C78" s="13">
        <v>25</v>
      </c>
      <c r="D78" s="13">
        <v>162</v>
      </c>
      <c r="E78" s="13">
        <v>128</v>
      </c>
      <c r="F78" s="13">
        <v>51</v>
      </c>
      <c r="G78" s="6">
        <v>0.35</v>
      </c>
      <c r="H78" s="13">
        <v>90</v>
      </c>
      <c r="I78" s="12" t="s">
        <v>65</v>
      </c>
      <c r="J78" s="13"/>
      <c r="K78" s="13">
        <v>145</v>
      </c>
      <c r="L78" s="13">
        <f t="shared" si="16"/>
        <v>-17</v>
      </c>
      <c r="M78" s="13"/>
      <c r="N78" s="13"/>
      <c r="O78" s="13"/>
      <c r="P78" s="13">
        <v>41.27200000000002</v>
      </c>
      <c r="Q78" s="13"/>
      <c r="R78" s="13"/>
      <c r="S78" s="13">
        <v>222.60000000000011</v>
      </c>
      <c r="T78" s="13">
        <v>-224</v>
      </c>
      <c r="U78" s="13"/>
      <c r="V78" s="13">
        <v>224</v>
      </c>
      <c r="W78" s="25"/>
      <c r="X78" s="17"/>
      <c r="Y78" s="13">
        <f t="shared" si="17"/>
        <v>25.6</v>
      </c>
      <c r="Z78" s="4">
        <v>100</v>
      </c>
      <c r="AA78" s="4">
        <f t="shared" si="15"/>
        <v>100</v>
      </c>
      <c r="AB78" s="29">
        <v>-104</v>
      </c>
      <c r="AC78" s="21"/>
      <c r="AD78" s="13">
        <f t="shared" si="18"/>
        <v>16.205937500000005</v>
      </c>
      <c r="AE78" s="13">
        <f t="shared" si="19"/>
        <v>12.299687500000005</v>
      </c>
      <c r="AF78" s="13">
        <v>33.4</v>
      </c>
      <c r="AG78" s="13">
        <v>36.200000000000003</v>
      </c>
      <c r="AH78" s="13">
        <v>29.8</v>
      </c>
      <c r="AI78" s="13">
        <v>32.4</v>
      </c>
      <c r="AJ78" s="13">
        <v>29.2</v>
      </c>
      <c r="AK78" s="13">
        <v>27.2</v>
      </c>
      <c r="AL78" s="13">
        <v>29.8</v>
      </c>
      <c r="AM78" s="13">
        <v>25.6</v>
      </c>
      <c r="AN78" s="13">
        <v>21.8</v>
      </c>
      <c r="AO78" s="13">
        <v>26.8</v>
      </c>
      <c r="AP78" s="13"/>
      <c r="AQ78" s="13">
        <f t="shared" si="20"/>
        <v>35</v>
      </c>
      <c r="AR78" t="s">
        <v>203</v>
      </c>
    </row>
    <row r="79" spans="1:44" x14ac:dyDescent="0.25">
      <c r="A79" s="13" t="s">
        <v>204</v>
      </c>
      <c r="B79" s="13" t="s">
        <v>54</v>
      </c>
      <c r="C79" s="13">
        <v>28</v>
      </c>
      <c r="D79" s="13">
        <v>6</v>
      </c>
      <c r="E79" s="13">
        <v>23</v>
      </c>
      <c r="F79" s="13">
        <v>5</v>
      </c>
      <c r="G79" s="6">
        <v>0.37</v>
      </c>
      <c r="H79" s="13"/>
      <c r="I79" s="13" t="s">
        <v>47</v>
      </c>
      <c r="J79" s="13"/>
      <c r="K79" s="13">
        <v>29</v>
      </c>
      <c r="L79" s="13">
        <f t="shared" si="16"/>
        <v>-6</v>
      </c>
      <c r="M79" s="13"/>
      <c r="N79" s="13"/>
      <c r="O79" s="13"/>
      <c r="P79" s="13">
        <v>0</v>
      </c>
      <c r="Q79" s="13"/>
      <c r="R79" s="13"/>
      <c r="S79" s="13">
        <v>0</v>
      </c>
      <c r="T79" s="13"/>
      <c r="U79" s="13"/>
      <c r="V79" s="13">
        <v>20.399999999999999</v>
      </c>
      <c r="W79" s="25"/>
      <c r="X79" s="17"/>
      <c r="Y79" s="13">
        <f t="shared" si="17"/>
        <v>4.5999999999999996</v>
      </c>
      <c r="Z79" s="4">
        <f>12*Y79-V79-U79-T79-S79-R79-Q79-P79-O79-F79</f>
        <v>29.799999999999997</v>
      </c>
      <c r="AA79" s="4">
        <f t="shared" si="15"/>
        <v>29.799999999999997</v>
      </c>
      <c r="AB79" s="29"/>
      <c r="AC79" s="21"/>
      <c r="AD79" s="13">
        <f t="shared" si="18"/>
        <v>12</v>
      </c>
      <c r="AE79" s="13">
        <f t="shared" si="19"/>
        <v>5.5217391304347831</v>
      </c>
      <c r="AF79" s="13">
        <v>3.6</v>
      </c>
      <c r="AG79" s="13">
        <v>0.4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 t="s">
        <v>205</v>
      </c>
      <c r="AQ79" s="13">
        <f t="shared" si="20"/>
        <v>11</v>
      </c>
      <c r="AR79" t="s">
        <v>206</v>
      </c>
    </row>
    <row r="80" spans="1:44" x14ac:dyDescent="0.25">
      <c r="A80" s="13" t="s">
        <v>207</v>
      </c>
      <c r="B80" s="13" t="s">
        <v>54</v>
      </c>
      <c r="C80" s="13">
        <v>7</v>
      </c>
      <c r="D80" s="13">
        <v>200</v>
      </c>
      <c r="E80" s="13">
        <v>70</v>
      </c>
      <c r="F80" s="13">
        <v>118</v>
      </c>
      <c r="G80" s="6">
        <v>0.6</v>
      </c>
      <c r="H80" s="13">
        <v>70</v>
      </c>
      <c r="I80" s="13" t="s">
        <v>47</v>
      </c>
      <c r="J80" s="13"/>
      <c r="K80" s="13">
        <v>81</v>
      </c>
      <c r="L80" s="13">
        <f t="shared" si="16"/>
        <v>-11</v>
      </c>
      <c r="M80" s="13"/>
      <c r="N80" s="13"/>
      <c r="O80" s="13"/>
      <c r="P80" s="13">
        <v>0</v>
      </c>
      <c r="Q80" s="13"/>
      <c r="R80" s="13"/>
      <c r="S80" s="13">
        <v>0</v>
      </c>
      <c r="T80" s="13"/>
      <c r="U80" s="13"/>
      <c r="V80" s="13">
        <v>0</v>
      </c>
      <c r="W80" s="25"/>
      <c r="X80" s="17"/>
      <c r="Y80" s="13">
        <f t="shared" si="17"/>
        <v>14</v>
      </c>
      <c r="Z80" s="4">
        <f>11*Y80-V80-U80-T80-S80-R80-Q80-P80-O80-F80</f>
        <v>36</v>
      </c>
      <c r="AA80" s="4">
        <f t="shared" si="15"/>
        <v>36</v>
      </c>
      <c r="AB80" s="29"/>
      <c r="AC80" s="21"/>
      <c r="AD80" s="13">
        <f t="shared" si="18"/>
        <v>11</v>
      </c>
      <c r="AE80" s="13">
        <f t="shared" si="19"/>
        <v>8.4285714285714288</v>
      </c>
      <c r="AF80" s="13">
        <v>3</v>
      </c>
      <c r="AG80" s="13">
        <v>5</v>
      </c>
      <c r="AH80" s="13">
        <v>8</v>
      </c>
      <c r="AI80" s="13">
        <v>19</v>
      </c>
      <c r="AJ80" s="13">
        <v>18.399999999999999</v>
      </c>
      <c r="AK80" s="13">
        <v>8.4</v>
      </c>
      <c r="AL80" s="13">
        <v>11.8</v>
      </c>
      <c r="AM80" s="13">
        <v>10.6</v>
      </c>
      <c r="AN80" s="13">
        <v>8.6</v>
      </c>
      <c r="AO80" s="13">
        <v>14.6</v>
      </c>
      <c r="AP80" s="13"/>
      <c r="AQ80" s="13">
        <f t="shared" si="20"/>
        <v>22</v>
      </c>
      <c r="AR80" t="s">
        <v>208</v>
      </c>
    </row>
    <row r="81" spans="1:44" x14ac:dyDescent="0.25">
      <c r="A81" s="13" t="s">
        <v>209</v>
      </c>
      <c r="B81" s="13" t="s">
        <v>54</v>
      </c>
      <c r="C81" s="13">
        <v>11</v>
      </c>
      <c r="D81" s="13"/>
      <c r="E81" s="13">
        <v>25</v>
      </c>
      <c r="F81" s="13">
        <v>-11</v>
      </c>
      <c r="G81" s="6">
        <v>0.33</v>
      </c>
      <c r="H81" s="13">
        <v>40</v>
      </c>
      <c r="I81" s="13" t="s">
        <v>47</v>
      </c>
      <c r="J81" s="13"/>
      <c r="K81" s="13">
        <v>76</v>
      </c>
      <c r="L81" s="13">
        <f t="shared" si="16"/>
        <v>-51</v>
      </c>
      <c r="M81" s="13"/>
      <c r="N81" s="13"/>
      <c r="O81" s="13"/>
      <c r="P81" s="13">
        <v>0</v>
      </c>
      <c r="Q81" s="13"/>
      <c r="R81" s="13"/>
      <c r="S81" s="13">
        <v>150</v>
      </c>
      <c r="T81" s="13"/>
      <c r="U81" s="13"/>
      <c r="V81" s="13">
        <v>24.800000000000011</v>
      </c>
      <c r="W81" s="25"/>
      <c r="X81" s="17"/>
      <c r="Y81" s="13">
        <f t="shared" si="17"/>
        <v>5</v>
      </c>
      <c r="Z81" s="4"/>
      <c r="AA81" s="4">
        <f t="shared" si="15"/>
        <v>0</v>
      </c>
      <c r="AB81" s="29"/>
      <c r="AC81" s="21"/>
      <c r="AD81" s="13">
        <f t="shared" si="18"/>
        <v>32.760000000000005</v>
      </c>
      <c r="AE81" s="13">
        <f t="shared" si="19"/>
        <v>32.760000000000005</v>
      </c>
      <c r="AF81" s="13">
        <v>15.8</v>
      </c>
      <c r="AG81" s="13">
        <v>18</v>
      </c>
      <c r="AH81" s="13">
        <v>7</v>
      </c>
      <c r="AI81" s="13">
        <v>9.6</v>
      </c>
      <c r="AJ81" s="13">
        <v>13.4</v>
      </c>
      <c r="AK81" s="13">
        <v>11</v>
      </c>
      <c r="AL81" s="13">
        <v>16.600000000000001</v>
      </c>
      <c r="AM81" s="13">
        <v>4.8</v>
      </c>
      <c r="AN81" s="13">
        <v>3.2</v>
      </c>
      <c r="AO81" s="13">
        <v>4.8</v>
      </c>
      <c r="AP81" s="13"/>
      <c r="AQ81" s="13">
        <f t="shared" si="20"/>
        <v>0</v>
      </c>
      <c r="AR81" t="s">
        <v>210</v>
      </c>
    </row>
    <row r="82" spans="1:44" x14ac:dyDescent="0.25">
      <c r="A82" s="13" t="s">
        <v>211</v>
      </c>
      <c r="B82" s="13" t="s">
        <v>54</v>
      </c>
      <c r="C82" s="13">
        <v>61</v>
      </c>
      <c r="D82" s="13">
        <v>1</v>
      </c>
      <c r="E82" s="13">
        <v>58</v>
      </c>
      <c r="F82" s="13">
        <v>-2</v>
      </c>
      <c r="G82" s="6">
        <v>0.4</v>
      </c>
      <c r="H82" s="13">
        <v>55</v>
      </c>
      <c r="I82" s="13" t="s">
        <v>47</v>
      </c>
      <c r="J82" s="13"/>
      <c r="K82" s="13">
        <v>60</v>
      </c>
      <c r="L82" s="13">
        <f t="shared" si="16"/>
        <v>-2</v>
      </c>
      <c r="M82" s="13"/>
      <c r="N82" s="13"/>
      <c r="O82" s="13"/>
      <c r="P82" s="13">
        <v>0</v>
      </c>
      <c r="Q82" s="13"/>
      <c r="R82" s="13"/>
      <c r="S82" s="13">
        <v>78.800000000000011</v>
      </c>
      <c r="T82" s="13"/>
      <c r="U82" s="13"/>
      <c r="V82" s="13">
        <v>29.599999999999991</v>
      </c>
      <c r="W82" s="25"/>
      <c r="X82" s="17"/>
      <c r="Y82" s="13">
        <f t="shared" si="17"/>
        <v>11.6</v>
      </c>
      <c r="Z82" s="4">
        <f>12*Y82-V82-U82-T82-S82-R82-Q82-P82-O82-F82</f>
        <v>32.799999999999983</v>
      </c>
      <c r="AA82" s="4">
        <f t="shared" si="15"/>
        <v>32.799999999999983</v>
      </c>
      <c r="AB82" s="29"/>
      <c r="AC82" s="21"/>
      <c r="AD82" s="13">
        <f t="shared" si="18"/>
        <v>12</v>
      </c>
      <c r="AE82" s="13">
        <f t="shared" si="19"/>
        <v>9.1724137931034484</v>
      </c>
      <c r="AF82" s="13">
        <v>12.4</v>
      </c>
      <c r="AG82" s="13">
        <v>11.4</v>
      </c>
      <c r="AH82" s="13">
        <v>6.2</v>
      </c>
      <c r="AI82" s="13">
        <v>8.4</v>
      </c>
      <c r="AJ82" s="13">
        <v>10.6</v>
      </c>
      <c r="AK82" s="13">
        <v>6.2</v>
      </c>
      <c r="AL82" s="13">
        <v>7</v>
      </c>
      <c r="AM82" s="13">
        <v>6.8</v>
      </c>
      <c r="AN82" s="13">
        <v>4.2</v>
      </c>
      <c r="AO82" s="13">
        <v>9</v>
      </c>
      <c r="AP82" s="13"/>
      <c r="AQ82" s="13">
        <f t="shared" si="20"/>
        <v>13</v>
      </c>
      <c r="AR82" t="s">
        <v>212</v>
      </c>
    </row>
    <row r="83" spans="1:44" x14ac:dyDescent="0.25">
      <c r="A83" s="13" t="s">
        <v>213</v>
      </c>
      <c r="B83" s="13" t="s">
        <v>54</v>
      </c>
      <c r="C83" s="13">
        <v>-2</v>
      </c>
      <c r="D83" s="13"/>
      <c r="E83" s="13">
        <v>6</v>
      </c>
      <c r="F83" s="13">
        <v>-8</v>
      </c>
      <c r="G83" s="6">
        <v>0.35</v>
      </c>
      <c r="H83" s="13">
        <v>40</v>
      </c>
      <c r="I83" s="12" t="s">
        <v>65</v>
      </c>
      <c r="J83" s="13"/>
      <c r="K83" s="13">
        <v>8</v>
      </c>
      <c r="L83" s="13">
        <f t="shared" si="16"/>
        <v>-2</v>
      </c>
      <c r="M83" s="13"/>
      <c r="N83" s="13"/>
      <c r="O83" s="13"/>
      <c r="P83" s="13">
        <v>20</v>
      </c>
      <c r="Q83" s="13"/>
      <c r="R83" s="13"/>
      <c r="S83" s="13">
        <v>20</v>
      </c>
      <c r="T83" s="13">
        <v>-24</v>
      </c>
      <c r="U83" s="13"/>
      <c r="V83" s="13">
        <v>30</v>
      </c>
      <c r="W83" s="25"/>
      <c r="X83" s="17"/>
      <c r="Y83" s="13">
        <f t="shared" si="17"/>
        <v>1.2</v>
      </c>
      <c r="Z83" s="4">
        <v>10</v>
      </c>
      <c r="AA83" s="4">
        <f t="shared" si="15"/>
        <v>10</v>
      </c>
      <c r="AB83" s="29"/>
      <c r="AC83" s="21"/>
      <c r="AD83" s="13">
        <f t="shared" si="18"/>
        <v>40</v>
      </c>
      <c r="AE83" s="13">
        <f t="shared" si="19"/>
        <v>31.666666666666668</v>
      </c>
      <c r="AF83" s="13">
        <v>0</v>
      </c>
      <c r="AG83" s="13">
        <v>-0.6</v>
      </c>
      <c r="AH83" s="13">
        <v>-0.4</v>
      </c>
      <c r="AI83" s="13">
        <v>3.6</v>
      </c>
      <c r="AJ83" s="13">
        <v>4.4000000000000004</v>
      </c>
      <c r="AK83" s="13">
        <v>1</v>
      </c>
      <c r="AL83" s="13">
        <v>-0.4</v>
      </c>
      <c r="AM83" s="13">
        <v>-0.6</v>
      </c>
      <c r="AN83" s="13">
        <v>0.4</v>
      </c>
      <c r="AO83" s="13">
        <v>1.4</v>
      </c>
      <c r="AP83" s="13" t="s">
        <v>214</v>
      </c>
      <c r="AQ83" s="13">
        <f t="shared" si="20"/>
        <v>4</v>
      </c>
      <c r="AR83" t="s">
        <v>215</v>
      </c>
    </row>
    <row r="84" spans="1:44" x14ac:dyDescent="0.25">
      <c r="A84" s="13" t="s">
        <v>216</v>
      </c>
      <c r="B84" s="13" t="s">
        <v>54</v>
      </c>
      <c r="C84" s="13">
        <v>38</v>
      </c>
      <c r="D84" s="13">
        <v>24</v>
      </c>
      <c r="E84" s="13">
        <v>53</v>
      </c>
      <c r="F84" s="13">
        <v>13</v>
      </c>
      <c r="G84" s="6">
        <v>0.35</v>
      </c>
      <c r="H84" s="13">
        <v>45</v>
      </c>
      <c r="I84" s="12" t="s">
        <v>65</v>
      </c>
      <c r="J84" s="13"/>
      <c r="K84" s="13">
        <v>70</v>
      </c>
      <c r="L84" s="13">
        <f t="shared" si="16"/>
        <v>-17</v>
      </c>
      <c r="M84" s="13"/>
      <c r="N84" s="13"/>
      <c r="O84" s="13"/>
      <c r="P84" s="13">
        <v>20</v>
      </c>
      <c r="Q84" s="13"/>
      <c r="R84" s="13"/>
      <c r="S84" s="13">
        <v>66.600000000000023</v>
      </c>
      <c r="T84" s="13"/>
      <c r="U84" s="13"/>
      <c r="V84" s="13">
        <v>15</v>
      </c>
      <c r="W84" s="25"/>
      <c r="X84" s="17"/>
      <c r="Y84" s="13">
        <f t="shared" si="17"/>
        <v>10.6</v>
      </c>
      <c r="Z84" s="4">
        <v>15</v>
      </c>
      <c r="AA84" s="4">
        <f t="shared" si="15"/>
        <v>15</v>
      </c>
      <c r="AB84" s="29"/>
      <c r="AC84" s="21"/>
      <c r="AD84" s="13">
        <f t="shared" si="18"/>
        <v>12.226415094339625</v>
      </c>
      <c r="AE84" s="13">
        <f t="shared" si="19"/>
        <v>10.811320754716984</v>
      </c>
      <c r="AF84" s="13">
        <v>11</v>
      </c>
      <c r="AG84" s="13">
        <v>11.8</v>
      </c>
      <c r="AH84" s="13">
        <v>10.199999999999999</v>
      </c>
      <c r="AI84" s="13">
        <v>11</v>
      </c>
      <c r="AJ84" s="13">
        <v>7</v>
      </c>
      <c r="AK84" s="13">
        <v>9.4</v>
      </c>
      <c r="AL84" s="13">
        <v>13</v>
      </c>
      <c r="AM84" s="13">
        <v>18</v>
      </c>
      <c r="AN84" s="13">
        <v>20.6</v>
      </c>
      <c r="AO84" s="13">
        <v>16.600000000000001</v>
      </c>
      <c r="AP84" s="13"/>
      <c r="AQ84" s="13">
        <f t="shared" si="20"/>
        <v>5</v>
      </c>
      <c r="AR84" t="s">
        <v>217</v>
      </c>
    </row>
    <row r="85" spans="1:44" x14ac:dyDescent="0.25">
      <c r="A85" s="8" t="s">
        <v>218</v>
      </c>
      <c r="B85" s="8" t="s">
        <v>54</v>
      </c>
      <c r="C85" s="8"/>
      <c r="D85" s="8"/>
      <c r="E85" s="8"/>
      <c r="F85" s="8"/>
      <c r="G85" s="9">
        <v>0</v>
      </c>
      <c r="H85" s="8"/>
      <c r="I85" s="8" t="s">
        <v>47</v>
      </c>
      <c r="J85" s="8"/>
      <c r="K85" s="8"/>
      <c r="L85" s="8">
        <f t="shared" si="16"/>
        <v>0</v>
      </c>
      <c r="M85" s="8"/>
      <c r="N85" s="8"/>
      <c r="O85" s="8"/>
      <c r="P85" s="8">
        <v>0</v>
      </c>
      <c r="Q85" s="8"/>
      <c r="R85" s="8"/>
      <c r="S85" s="8">
        <v>0</v>
      </c>
      <c r="T85" s="8"/>
      <c r="U85" s="8"/>
      <c r="V85" s="8">
        <v>0</v>
      </c>
      <c r="W85" s="27"/>
      <c r="X85" s="19"/>
      <c r="Y85" s="8">
        <f t="shared" si="17"/>
        <v>0</v>
      </c>
      <c r="Z85" s="10"/>
      <c r="AA85" s="4">
        <f t="shared" si="15"/>
        <v>0</v>
      </c>
      <c r="AB85" s="29"/>
      <c r="AC85" s="21"/>
      <c r="AD85" s="13" t="e">
        <f t="shared" si="18"/>
        <v>#DIV/0!</v>
      </c>
      <c r="AE85" s="8" t="e">
        <f t="shared" si="19"/>
        <v>#DIV/0!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 t="s">
        <v>55</v>
      </c>
      <c r="AQ85" s="13">
        <f t="shared" si="20"/>
        <v>0</v>
      </c>
      <c r="AR85" t="s">
        <v>219</v>
      </c>
    </row>
    <row r="86" spans="1:44" x14ac:dyDescent="0.25">
      <c r="A86" s="8" t="s">
        <v>220</v>
      </c>
      <c r="B86" s="8" t="s">
        <v>46</v>
      </c>
      <c r="C86" s="8"/>
      <c r="D86" s="8"/>
      <c r="E86" s="8"/>
      <c r="F86" s="8"/>
      <c r="G86" s="9">
        <v>0</v>
      </c>
      <c r="H86" s="8"/>
      <c r="I86" s="8" t="s">
        <v>47</v>
      </c>
      <c r="J86" s="8"/>
      <c r="K86" s="8"/>
      <c r="L86" s="8">
        <f t="shared" si="16"/>
        <v>0</v>
      </c>
      <c r="M86" s="8"/>
      <c r="N86" s="8"/>
      <c r="O86" s="8"/>
      <c r="P86" s="8">
        <v>0</v>
      </c>
      <c r="Q86" s="8"/>
      <c r="R86" s="8"/>
      <c r="S86" s="8">
        <v>0</v>
      </c>
      <c r="T86" s="8"/>
      <c r="U86" s="8"/>
      <c r="V86" s="8">
        <v>0</v>
      </c>
      <c r="W86" s="27"/>
      <c r="X86" s="19"/>
      <c r="Y86" s="8">
        <f t="shared" si="17"/>
        <v>0</v>
      </c>
      <c r="Z86" s="10"/>
      <c r="AA86" s="4">
        <f t="shared" ref="AA86:AA89" si="21">Z86</f>
        <v>0</v>
      </c>
      <c r="AB86" s="29"/>
      <c r="AC86" s="21"/>
      <c r="AD86" s="13" t="e">
        <f t="shared" si="18"/>
        <v>#DIV/0!</v>
      </c>
      <c r="AE86" s="8" t="e">
        <f t="shared" si="19"/>
        <v>#DIV/0!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 t="s">
        <v>55</v>
      </c>
      <c r="AQ86" s="13">
        <f t="shared" si="20"/>
        <v>0</v>
      </c>
      <c r="AR86" t="s">
        <v>221</v>
      </c>
    </row>
    <row r="87" spans="1:44" x14ac:dyDescent="0.25">
      <c r="A87" s="8" t="s">
        <v>222</v>
      </c>
      <c r="B87" s="8" t="s">
        <v>46</v>
      </c>
      <c r="C87" s="8"/>
      <c r="D87" s="8"/>
      <c r="E87" s="8"/>
      <c r="F87" s="8"/>
      <c r="G87" s="9">
        <v>0</v>
      </c>
      <c r="H87" s="8"/>
      <c r="I87" s="8" t="s">
        <v>47</v>
      </c>
      <c r="J87" s="8"/>
      <c r="K87" s="8"/>
      <c r="L87" s="8">
        <f t="shared" si="16"/>
        <v>0</v>
      </c>
      <c r="M87" s="8"/>
      <c r="N87" s="8"/>
      <c r="O87" s="8"/>
      <c r="P87" s="8">
        <v>0</v>
      </c>
      <c r="Q87" s="8"/>
      <c r="R87" s="8"/>
      <c r="S87" s="8">
        <v>0</v>
      </c>
      <c r="T87" s="8"/>
      <c r="U87" s="8"/>
      <c r="V87" s="8">
        <v>0</v>
      </c>
      <c r="W87" s="27"/>
      <c r="X87" s="19"/>
      <c r="Y87" s="8">
        <f t="shared" si="17"/>
        <v>0</v>
      </c>
      <c r="Z87" s="10"/>
      <c r="AA87" s="4">
        <f t="shared" si="21"/>
        <v>0</v>
      </c>
      <c r="AB87" s="29"/>
      <c r="AC87" s="21"/>
      <c r="AD87" s="13" t="e">
        <f t="shared" si="18"/>
        <v>#DIV/0!</v>
      </c>
      <c r="AE87" s="8" t="e">
        <f t="shared" si="19"/>
        <v>#DIV/0!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 t="s">
        <v>55</v>
      </c>
      <c r="AQ87" s="13">
        <f t="shared" si="20"/>
        <v>0</v>
      </c>
      <c r="AR87" t="s">
        <v>223</v>
      </c>
    </row>
    <row r="88" spans="1:44" x14ac:dyDescent="0.25">
      <c r="A88" s="13" t="s">
        <v>224</v>
      </c>
      <c r="B88" s="13" t="s">
        <v>46</v>
      </c>
      <c r="C88" s="13">
        <v>68.822999999999993</v>
      </c>
      <c r="D88" s="13">
        <v>181.143</v>
      </c>
      <c r="E88" s="13">
        <v>191.785</v>
      </c>
      <c r="F88" s="13">
        <v>31.864000000000001</v>
      </c>
      <c r="G88" s="6">
        <v>1</v>
      </c>
      <c r="H88" s="13">
        <v>60</v>
      </c>
      <c r="I88" s="13" t="s">
        <v>47</v>
      </c>
      <c r="J88" s="13"/>
      <c r="K88" s="13">
        <v>195.4</v>
      </c>
      <c r="L88" s="13">
        <f t="shared" si="16"/>
        <v>-3.6150000000000091</v>
      </c>
      <c r="M88" s="13"/>
      <c r="N88" s="13"/>
      <c r="O88" s="13"/>
      <c r="P88" s="13">
        <v>90.544612000000015</v>
      </c>
      <c r="Q88" s="13"/>
      <c r="R88" s="13"/>
      <c r="S88" s="13">
        <v>111.4485999999999</v>
      </c>
      <c r="T88" s="13"/>
      <c r="U88" s="13"/>
      <c r="V88" s="13">
        <v>0</v>
      </c>
      <c r="W88" s="25"/>
      <c r="X88" s="17"/>
      <c r="Y88" s="13">
        <f t="shared" si="17"/>
        <v>38.356999999999999</v>
      </c>
      <c r="Z88" s="4">
        <f>12*Y88-V88-U88-T88-S88-R88-Q88-P88-O88-F88</f>
        <v>226.42678800000007</v>
      </c>
      <c r="AA88" s="4">
        <f t="shared" si="21"/>
        <v>226.42678800000007</v>
      </c>
      <c r="AB88" s="29"/>
      <c r="AC88" s="21"/>
      <c r="AD88" s="13">
        <f t="shared" si="18"/>
        <v>12</v>
      </c>
      <c r="AE88" s="13">
        <f t="shared" si="19"/>
        <v>6.0968587741481324</v>
      </c>
      <c r="AF88" s="13">
        <v>28.520600000000002</v>
      </c>
      <c r="AG88" s="13">
        <v>36.330599999999997</v>
      </c>
      <c r="AH88" s="13">
        <v>35.1526</v>
      </c>
      <c r="AI88" s="13">
        <v>35.555399999999999</v>
      </c>
      <c r="AJ88" s="13">
        <v>38.276200000000003</v>
      </c>
      <c r="AK88" s="13">
        <v>32.9236</v>
      </c>
      <c r="AL88" s="13">
        <v>36.190600000000003</v>
      </c>
      <c r="AM88" s="13">
        <v>32.9358</v>
      </c>
      <c r="AN88" s="13">
        <v>27.771799999999999</v>
      </c>
      <c r="AO88" s="13">
        <v>31.998000000000001</v>
      </c>
      <c r="AP88" s="13"/>
      <c r="AQ88" s="13">
        <f t="shared" si="20"/>
        <v>226</v>
      </c>
      <c r="AR88" t="s">
        <v>225</v>
      </c>
    </row>
    <row r="89" spans="1:44" x14ac:dyDescent="0.25">
      <c r="A89" s="8" t="s">
        <v>226</v>
      </c>
      <c r="B89" s="8" t="s">
        <v>54</v>
      </c>
      <c r="C89" s="8"/>
      <c r="D89" s="8"/>
      <c r="E89" s="8"/>
      <c r="F89" s="8"/>
      <c r="G89" s="9">
        <v>0</v>
      </c>
      <c r="H89" s="8"/>
      <c r="I89" s="8" t="s">
        <v>47</v>
      </c>
      <c r="J89" s="8"/>
      <c r="K89" s="8"/>
      <c r="L89" s="8">
        <f t="shared" si="16"/>
        <v>0</v>
      </c>
      <c r="M89" s="8"/>
      <c r="N89" s="8"/>
      <c r="O89" s="8"/>
      <c r="P89" s="8">
        <v>0</v>
      </c>
      <c r="Q89" s="8"/>
      <c r="R89" s="8"/>
      <c r="S89" s="8">
        <v>0</v>
      </c>
      <c r="T89" s="8"/>
      <c r="U89" s="8"/>
      <c r="V89" s="8">
        <v>0</v>
      </c>
      <c r="W89" s="27"/>
      <c r="X89" s="19"/>
      <c r="Y89" s="8">
        <f t="shared" si="17"/>
        <v>0</v>
      </c>
      <c r="Z89" s="10"/>
      <c r="AA89" s="4">
        <f t="shared" si="21"/>
        <v>0</v>
      </c>
      <c r="AB89" s="29"/>
      <c r="AC89" s="21"/>
      <c r="AD89" s="13" t="e">
        <f t="shared" si="18"/>
        <v>#DIV/0!</v>
      </c>
      <c r="AE89" s="8" t="e">
        <f t="shared" si="19"/>
        <v>#DIV/0!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 t="s">
        <v>55</v>
      </c>
      <c r="AQ89" s="13">
        <f t="shared" si="20"/>
        <v>0</v>
      </c>
      <c r="AR89" t="s">
        <v>227</v>
      </c>
    </row>
    <row r="90" spans="1:44" x14ac:dyDescent="0.25">
      <c r="A90" s="13" t="s">
        <v>228</v>
      </c>
      <c r="B90" s="13" t="s">
        <v>46</v>
      </c>
      <c r="C90" s="13">
        <v>1672.318</v>
      </c>
      <c r="D90" s="13">
        <v>182.56399999999999</v>
      </c>
      <c r="E90" s="13">
        <v>1754.528</v>
      </c>
      <c r="F90" s="13">
        <v>73.418000000000006</v>
      </c>
      <c r="G90" s="6">
        <v>1</v>
      </c>
      <c r="H90" s="13">
        <v>60</v>
      </c>
      <c r="I90" s="13" t="s">
        <v>47</v>
      </c>
      <c r="J90" s="13"/>
      <c r="K90" s="13">
        <v>2192.5</v>
      </c>
      <c r="L90" s="13">
        <f t="shared" si="16"/>
        <v>-437.97199999999998</v>
      </c>
      <c r="M90" s="13"/>
      <c r="N90" s="13"/>
      <c r="O90" s="13"/>
      <c r="P90" s="13">
        <v>1937.8369200000011</v>
      </c>
      <c r="Q90" s="13"/>
      <c r="R90" s="13"/>
      <c r="S90" s="13">
        <v>280.11407999999892</v>
      </c>
      <c r="T90" s="13"/>
      <c r="U90" s="13">
        <v>300</v>
      </c>
      <c r="V90" s="13">
        <v>593.96328000000005</v>
      </c>
      <c r="W90" s="25"/>
      <c r="X90" s="17">
        <v>390</v>
      </c>
      <c r="Y90" s="13">
        <f t="shared" si="17"/>
        <v>350.90559999999999</v>
      </c>
      <c r="Z90" s="4">
        <f>12*Y90-V90-U90-T90-S90-R90-Q90-P90-O90-F90</f>
        <v>1025.5349199999996</v>
      </c>
      <c r="AA90" s="4">
        <v>1100</v>
      </c>
      <c r="AB90" s="29"/>
      <c r="AC90" s="21"/>
      <c r="AD90" s="13">
        <f t="shared" si="18"/>
        <v>12.212208297616227</v>
      </c>
      <c r="AE90" s="13">
        <f t="shared" si="19"/>
        <v>9.0774620866694633</v>
      </c>
      <c r="AF90" s="13">
        <v>329.9796</v>
      </c>
      <c r="AG90" s="13">
        <v>326.053</v>
      </c>
      <c r="AH90" s="13">
        <v>345.89080000000001</v>
      </c>
      <c r="AI90" s="13">
        <v>302.62</v>
      </c>
      <c r="AJ90" s="13">
        <v>310.3272</v>
      </c>
      <c r="AK90" s="13">
        <v>282.59039999999999</v>
      </c>
      <c r="AL90" s="13">
        <v>311.91120000000001</v>
      </c>
      <c r="AM90" s="13">
        <v>314.94979999999998</v>
      </c>
      <c r="AN90" s="13">
        <v>244.9546</v>
      </c>
      <c r="AO90" s="13">
        <v>250.4194</v>
      </c>
      <c r="AP90" s="13"/>
      <c r="AQ90" s="13">
        <f t="shared" si="20"/>
        <v>1100</v>
      </c>
      <c r="AR90" t="s">
        <v>229</v>
      </c>
    </row>
    <row r="91" spans="1:44" x14ac:dyDescent="0.25">
      <c r="A91" s="13" t="s">
        <v>230</v>
      </c>
      <c r="B91" s="13" t="s">
        <v>46</v>
      </c>
      <c r="C91" s="13">
        <v>665.63499999999999</v>
      </c>
      <c r="D91" s="13">
        <v>1044.5530000000001</v>
      </c>
      <c r="E91" s="13">
        <v>1520.508</v>
      </c>
      <c r="F91" s="13">
        <v>-1.6850000000000001</v>
      </c>
      <c r="G91" s="6">
        <v>1</v>
      </c>
      <c r="H91" s="13">
        <v>60</v>
      </c>
      <c r="I91" s="13" t="s">
        <v>47</v>
      </c>
      <c r="J91" s="13"/>
      <c r="K91" s="13">
        <v>1674.5219999999999</v>
      </c>
      <c r="L91" s="13">
        <f t="shared" si="16"/>
        <v>-154.0139999999999</v>
      </c>
      <c r="M91" s="13"/>
      <c r="N91" s="13"/>
      <c r="O91" s="13"/>
      <c r="P91" s="13">
        <v>882.0758400000002</v>
      </c>
      <c r="Q91" s="13"/>
      <c r="R91" s="13">
        <v>200</v>
      </c>
      <c r="S91" s="13">
        <v>374.66375999999929</v>
      </c>
      <c r="T91" s="13"/>
      <c r="U91" s="13">
        <v>210</v>
      </c>
      <c r="V91" s="13">
        <v>411.12504000000001</v>
      </c>
      <c r="W91" s="25"/>
      <c r="X91" s="17">
        <v>360</v>
      </c>
      <c r="Y91" s="13">
        <f t="shared" si="17"/>
        <v>304.10160000000002</v>
      </c>
      <c r="Z91" s="4">
        <f>12*Y91-V91-U91-T91-S91-R91-Q91-P91-O91-F91</f>
        <v>1573.0395600000008</v>
      </c>
      <c r="AA91" s="4">
        <v>1600</v>
      </c>
      <c r="AB91" s="29"/>
      <c r="AC91" s="21"/>
      <c r="AD91" s="13">
        <f t="shared" si="18"/>
        <v>12.088656028116915</v>
      </c>
      <c r="AE91" s="13">
        <f t="shared" si="19"/>
        <v>6.8272565484693253</v>
      </c>
      <c r="AF91" s="13">
        <v>228.40280000000001</v>
      </c>
      <c r="AG91" s="13">
        <v>232.9778</v>
      </c>
      <c r="AH91" s="13">
        <v>248.2516</v>
      </c>
      <c r="AI91" s="13">
        <v>249.66139999999999</v>
      </c>
      <c r="AJ91" s="13">
        <v>205.2064</v>
      </c>
      <c r="AK91" s="13">
        <v>161.07499999999999</v>
      </c>
      <c r="AL91" s="13">
        <v>169.74440000000001</v>
      </c>
      <c r="AM91" s="13">
        <v>188.2424</v>
      </c>
      <c r="AN91" s="13">
        <v>175.36760000000001</v>
      </c>
      <c r="AO91" s="13">
        <v>241.06899999999999</v>
      </c>
      <c r="AP91" s="13"/>
      <c r="AQ91" s="13">
        <f t="shared" si="20"/>
        <v>1600</v>
      </c>
      <c r="AR91" t="s">
        <v>231</v>
      </c>
    </row>
    <row r="92" spans="1:44" x14ac:dyDescent="0.25">
      <c r="A92" s="13" t="s">
        <v>232</v>
      </c>
      <c r="B92" s="13" t="s">
        <v>46</v>
      </c>
      <c r="C92" s="13">
        <v>1351.1379999999999</v>
      </c>
      <c r="D92" s="13">
        <v>2.4790000000000001</v>
      </c>
      <c r="E92" s="13">
        <v>84.554000000000002</v>
      </c>
      <c r="F92" s="13">
        <v>1273.992</v>
      </c>
      <c r="G92" s="6">
        <v>1</v>
      </c>
      <c r="H92" s="13">
        <v>60</v>
      </c>
      <c r="I92" s="13" t="s">
        <v>47</v>
      </c>
      <c r="J92" s="13"/>
      <c r="K92" s="13">
        <v>2058.8000000000002</v>
      </c>
      <c r="L92" s="13">
        <f t="shared" si="16"/>
        <v>-1974.2460000000001</v>
      </c>
      <c r="M92" s="13"/>
      <c r="N92" s="13"/>
      <c r="O92" s="13">
        <v>-1273.992</v>
      </c>
      <c r="P92" s="13">
        <v>2404.1370000000002</v>
      </c>
      <c r="Q92" s="13"/>
      <c r="R92" s="13">
        <v>300</v>
      </c>
      <c r="S92" s="13">
        <v>676.85639999999967</v>
      </c>
      <c r="T92" s="13"/>
      <c r="U92" s="13">
        <v>330</v>
      </c>
      <c r="V92" s="13">
        <v>1000</v>
      </c>
      <c r="W92" s="25"/>
      <c r="X92" s="17">
        <v>300</v>
      </c>
      <c r="Y92" s="13">
        <f t="shared" si="17"/>
        <v>16.910800000000002</v>
      </c>
      <c r="Z92" s="4"/>
      <c r="AA92" s="4">
        <f t="shared" ref="AA92:AA132" si="22">Z92</f>
        <v>0</v>
      </c>
      <c r="AB92" s="29"/>
      <c r="AC92" s="21">
        <v>600</v>
      </c>
      <c r="AD92" s="13">
        <f t="shared" si="18"/>
        <v>278.57897911393894</v>
      </c>
      <c r="AE92" s="13">
        <f t="shared" si="19"/>
        <v>278.57897911393894</v>
      </c>
      <c r="AF92" s="13">
        <v>161.07499999999999</v>
      </c>
      <c r="AG92" s="13">
        <v>363.33519999999999</v>
      </c>
      <c r="AH92" s="13">
        <v>362.65</v>
      </c>
      <c r="AI92" s="13">
        <v>268.4776</v>
      </c>
      <c r="AJ92" s="13">
        <v>268.70100000000002</v>
      </c>
      <c r="AK92" s="13">
        <v>349.07299999999998</v>
      </c>
      <c r="AL92" s="13">
        <v>386.24540000000002</v>
      </c>
      <c r="AM92" s="13">
        <v>423.5804</v>
      </c>
      <c r="AN92" s="13">
        <v>376.52600000000001</v>
      </c>
      <c r="AO92" s="13">
        <v>336.5274</v>
      </c>
      <c r="AP92" s="13"/>
      <c r="AQ92" s="13">
        <f t="shared" si="20"/>
        <v>0</v>
      </c>
      <c r="AR92" t="s">
        <v>233</v>
      </c>
    </row>
    <row r="93" spans="1:44" x14ac:dyDescent="0.25">
      <c r="A93" s="8" t="s">
        <v>234</v>
      </c>
      <c r="B93" s="8" t="s">
        <v>46</v>
      </c>
      <c r="C93" s="8"/>
      <c r="D93" s="8"/>
      <c r="E93" s="8"/>
      <c r="F93" s="8"/>
      <c r="G93" s="9">
        <v>0</v>
      </c>
      <c r="H93" s="8"/>
      <c r="I93" s="8" t="s">
        <v>47</v>
      </c>
      <c r="J93" s="8"/>
      <c r="K93" s="8"/>
      <c r="L93" s="8">
        <f t="shared" si="16"/>
        <v>0</v>
      </c>
      <c r="M93" s="8"/>
      <c r="N93" s="8"/>
      <c r="O93" s="8"/>
      <c r="P93" s="8">
        <v>0</v>
      </c>
      <c r="Q93" s="8"/>
      <c r="R93" s="8"/>
      <c r="S93" s="8">
        <v>0</v>
      </c>
      <c r="T93" s="8"/>
      <c r="U93" s="8"/>
      <c r="V93" s="8">
        <v>0</v>
      </c>
      <c r="W93" s="27"/>
      <c r="X93" s="19"/>
      <c r="Y93" s="8">
        <f t="shared" si="17"/>
        <v>0</v>
      </c>
      <c r="Z93" s="10"/>
      <c r="AA93" s="4">
        <f t="shared" si="22"/>
        <v>0</v>
      </c>
      <c r="AB93" s="29"/>
      <c r="AC93" s="21"/>
      <c r="AD93" s="13" t="e">
        <f t="shared" si="18"/>
        <v>#DIV/0!</v>
      </c>
      <c r="AE93" s="8" t="e">
        <f t="shared" si="19"/>
        <v>#DIV/0!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 t="s">
        <v>55</v>
      </c>
      <c r="AQ93" s="13">
        <f t="shared" si="20"/>
        <v>0</v>
      </c>
      <c r="AR93" t="s">
        <v>235</v>
      </c>
    </row>
    <row r="94" spans="1:44" x14ac:dyDescent="0.25">
      <c r="A94" s="13" t="s">
        <v>236</v>
      </c>
      <c r="B94" s="13" t="s">
        <v>54</v>
      </c>
      <c r="C94" s="13">
        <v>-3</v>
      </c>
      <c r="D94" s="13"/>
      <c r="E94" s="13"/>
      <c r="F94" s="13">
        <v>-3</v>
      </c>
      <c r="G94" s="6">
        <v>0.3</v>
      </c>
      <c r="H94" s="13">
        <v>40</v>
      </c>
      <c r="I94" s="12" t="s">
        <v>65</v>
      </c>
      <c r="J94" s="13"/>
      <c r="K94" s="13">
        <v>6</v>
      </c>
      <c r="L94" s="13">
        <f t="shared" si="16"/>
        <v>-6</v>
      </c>
      <c r="M94" s="13"/>
      <c r="N94" s="13"/>
      <c r="O94" s="13"/>
      <c r="P94" s="13">
        <v>30</v>
      </c>
      <c r="Q94" s="13">
        <v>-30</v>
      </c>
      <c r="R94" s="13"/>
      <c r="S94" s="13">
        <v>40</v>
      </c>
      <c r="T94" s="13"/>
      <c r="U94" s="13"/>
      <c r="V94" s="13">
        <v>30</v>
      </c>
      <c r="W94" s="25">
        <v>-30</v>
      </c>
      <c r="X94" s="17"/>
      <c r="Y94" s="13">
        <f t="shared" si="17"/>
        <v>0</v>
      </c>
      <c r="Z94" s="4">
        <v>30</v>
      </c>
      <c r="AA94" s="4">
        <f t="shared" si="22"/>
        <v>30</v>
      </c>
      <c r="AB94" s="29">
        <v>-30</v>
      </c>
      <c r="AC94" s="21"/>
      <c r="AD94" s="13" t="e">
        <f t="shared" si="18"/>
        <v>#DIV/0!</v>
      </c>
      <c r="AE94" s="13" t="e">
        <f t="shared" si="19"/>
        <v>#DIV/0!</v>
      </c>
      <c r="AF94" s="13">
        <v>-0.4</v>
      </c>
      <c r="AG94" s="13">
        <v>-1.6</v>
      </c>
      <c r="AH94" s="13">
        <v>-1.8</v>
      </c>
      <c r="AI94" s="13">
        <v>-1</v>
      </c>
      <c r="AJ94" s="13">
        <v>-0.8</v>
      </c>
      <c r="AK94" s="13">
        <v>-1.2</v>
      </c>
      <c r="AL94" s="13">
        <v>-0.4</v>
      </c>
      <c r="AM94" s="13">
        <v>10.8</v>
      </c>
      <c r="AN94" s="13">
        <v>19.399999999999999</v>
      </c>
      <c r="AO94" s="13">
        <v>20.2</v>
      </c>
      <c r="AP94" s="13"/>
      <c r="AQ94" s="13">
        <f t="shared" si="20"/>
        <v>9</v>
      </c>
      <c r="AR94" t="s">
        <v>237</v>
      </c>
    </row>
    <row r="95" spans="1:44" x14ac:dyDescent="0.25">
      <c r="A95" s="8" t="s">
        <v>238</v>
      </c>
      <c r="B95" s="8" t="s">
        <v>54</v>
      </c>
      <c r="C95" s="8"/>
      <c r="D95" s="8"/>
      <c r="E95" s="8"/>
      <c r="F95" s="8"/>
      <c r="G95" s="9">
        <v>0</v>
      </c>
      <c r="H95" s="8"/>
      <c r="I95" s="8" t="s">
        <v>47</v>
      </c>
      <c r="J95" s="8"/>
      <c r="K95" s="8"/>
      <c r="L95" s="8">
        <f t="shared" si="16"/>
        <v>0</v>
      </c>
      <c r="M95" s="8"/>
      <c r="N95" s="8"/>
      <c r="O95" s="8"/>
      <c r="P95" s="8">
        <v>0</v>
      </c>
      <c r="Q95" s="8"/>
      <c r="R95" s="8"/>
      <c r="S95" s="8">
        <v>0</v>
      </c>
      <c r="T95" s="8"/>
      <c r="U95" s="8"/>
      <c r="V95" s="8">
        <v>0</v>
      </c>
      <c r="W95" s="27"/>
      <c r="X95" s="19"/>
      <c r="Y95" s="8">
        <f t="shared" si="17"/>
        <v>0</v>
      </c>
      <c r="Z95" s="10"/>
      <c r="AA95" s="4">
        <f t="shared" si="22"/>
        <v>0</v>
      </c>
      <c r="AB95" s="29"/>
      <c r="AC95" s="21"/>
      <c r="AD95" s="13" t="e">
        <f t="shared" si="18"/>
        <v>#DIV/0!</v>
      </c>
      <c r="AE95" s="8" t="e">
        <f t="shared" si="19"/>
        <v>#DIV/0!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 t="s">
        <v>55</v>
      </c>
      <c r="AQ95" s="13">
        <f t="shared" si="20"/>
        <v>0</v>
      </c>
      <c r="AR95" t="s">
        <v>239</v>
      </c>
    </row>
    <row r="96" spans="1:44" x14ac:dyDescent="0.25">
      <c r="A96" s="13" t="s">
        <v>240</v>
      </c>
      <c r="B96" s="13" t="s">
        <v>54</v>
      </c>
      <c r="C96" s="13">
        <v>7</v>
      </c>
      <c r="D96" s="13">
        <v>1</v>
      </c>
      <c r="E96" s="13"/>
      <c r="F96" s="13">
        <v>4</v>
      </c>
      <c r="G96" s="6">
        <v>7.0000000000000007E-2</v>
      </c>
      <c r="H96" s="13">
        <v>90</v>
      </c>
      <c r="I96" s="12" t="s">
        <v>65</v>
      </c>
      <c r="J96" s="13"/>
      <c r="K96" s="13">
        <v>89</v>
      </c>
      <c r="L96" s="13">
        <f t="shared" si="16"/>
        <v>-89</v>
      </c>
      <c r="M96" s="13"/>
      <c r="N96" s="13"/>
      <c r="O96" s="13"/>
      <c r="P96" s="13">
        <v>60</v>
      </c>
      <c r="Q96" s="13"/>
      <c r="R96" s="13"/>
      <c r="S96" s="13">
        <v>50</v>
      </c>
      <c r="T96" s="13">
        <v>-50</v>
      </c>
      <c r="U96" s="13"/>
      <c r="V96" s="13">
        <v>90</v>
      </c>
      <c r="W96" s="25"/>
      <c r="X96" s="17"/>
      <c r="Y96" s="13">
        <f t="shared" si="17"/>
        <v>0</v>
      </c>
      <c r="Z96" s="4">
        <v>50</v>
      </c>
      <c r="AA96" s="4">
        <f t="shared" si="22"/>
        <v>50</v>
      </c>
      <c r="AB96" s="29">
        <v>-72</v>
      </c>
      <c r="AC96" s="21"/>
      <c r="AD96" s="13" t="e">
        <f t="shared" si="18"/>
        <v>#DIV/0!</v>
      </c>
      <c r="AE96" s="13" t="e">
        <f t="shared" si="19"/>
        <v>#DIV/0!</v>
      </c>
      <c r="AF96" s="13">
        <v>0</v>
      </c>
      <c r="AG96" s="13">
        <v>6.8</v>
      </c>
      <c r="AH96" s="13">
        <v>10.199999999999999</v>
      </c>
      <c r="AI96" s="13">
        <v>7.8</v>
      </c>
      <c r="AJ96" s="13">
        <v>10.6</v>
      </c>
      <c r="AK96" s="13">
        <v>21.2</v>
      </c>
      <c r="AL96" s="13">
        <v>22.4</v>
      </c>
      <c r="AM96" s="13">
        <v>25.6</v>
      </c>
      <c r="AN96" s="13">
        <v>25.4</v>
      </c>
      <c r="AO96" s="13">
        <v>15.4</v>
      </c>
      <c r="AP96" s="13"/>
      <c r="AQ96" s="13">
        <f t="shared" si="20"/>
        <v>4</v>
      </c>
      <c r="AR96" t="s">
        <v>241</v>
      </c>
    </row>
    <row r="97" spans="1:44" x14ac:dyDescent="0.25">
      <c r="A97" s="13" t="s">
        <v>242</v>
      </c>
      <c r="B97" s="13" t="s">
        <v>54</v>
      </c>
      <c r="C97" s="13">
        <v>27</v>
      </c>
      <c r="D97" s="13">
        <v>37</v>
      </c>
      <c r="E97" s="13">
        <v>42</v>
      </c>
      <c r="F97" s="13">
        <v>23</v>
      </c>
      <c r="G97" s="6">
        <v>7.0000000000000007E-2</v>
      </c>
      <c r="H97" s="13">
        <v>90</v>
      </c>
      <c r="I97" s="12" t="s">
        <v>65</v>
      </c>
      <c r="J97" s="13"/>
      <c r="K97" s="13">
        <v>101</v>
      </c>
      <c r="L97" s="13">
        <f t="shared" si="16"/>
        <v>-59</v>
      </c>
      <c r="M97" s="13"/>
      <c r="N97" s="13"/>
      <c r="O97" s="13"/>
      <c r="P97" s="13">
        <v>139.6</v>
      </c>
      <c r="Q97" s="13"/>
      <c r="R97" s="13"/>
      <c r="S97" s="13">
        <v>100.60000000000009</v>
      </c>
      <c r="T97" s="13">
        <v>-108</v>
      </c>
      <c r="U97" s="13"/>
      <c r="V97" s="13">
        <v>60</v>
      </c>
      <c r="W97" s="25">
        <v>-72</v>
      </c>
      <c r="X97" s="17"/>
      <c r="Y97" s="13">
        <f t="shared" si="17"/>
        <v>8.4</v>
      </c>
      <c r="Z97" s="4">
        <v>50</v>
      </c>
      <c r="AA97" s="4">
        <f t="shared" si="22"/>
        <v>50</v>
      </c>
      <c r="AB97" s="29">
        <v>-72</v>
      </c>
      <c r="AC97" s="21"/>
      <c r="AD97" s="13">
        <f t="shared" si="18"/>
        <v>31.571428571428584</v>
      </c>
      <c r="AE97" s="13">
        <f t="shared" si="19"/>
        <v>25.619047619047631</v>
      </c>
      <c r="AF97" s="13">
        <v>15.2</v>
      </c>
      <c r="AG97" s="13">
        <v>24.6</v>
      </c>
      <c r="AH97" s="13">
        <v>21.6</v>
      </c>
      <c r="AI97" s="13">
        <v>6</v>
      </c>
      <c r="AJ97" s="13">
        <v>1.4</v>
      </c>
      <c r="AK97" s="13">
        <v>12.6</v>
      </c>
      <c r="AL97" s="13">
        <v>13.6</v>
      </c>
      <c r="AM97" s="13">
        <v>1.6</v>
      </c>
      <c r="AN97" s="13">
        <v>0.4</v>
      </c>
      <c r="AO97" s="13">
        <v>9.8000000000000007</v>
      </c>
      <c r="AP97" s="13"/>
      <c r="AQ97" s="13">
        <f t="shared" si="20"/>
        <v>4</v>
      </c>
      <c r="AR97" t="s">
        <v>243</v>
      </c>
    </row>
    <row r="98" spans="1:44" x14ac:dyDescent="0.25">
      <c r="A98" s="13" t="s">
        <v>244</v>
      </c>
      <c r="B98" s="13" t="s">
        <v>54</v>
      </c>
      <c r="C98" s="13">
        <v>63</v>
      </c>
      <c r="D98" s="13">
        <v>37</v>
      </c>
      <c r="E98" s="13">
        <v>63</v>
      </c>
      <c r="F98" s="13">
        <v>19</v>
      </c>
      <c r="G98" s="6">
        <v>7.0000000000000007E-2</v>
      </c>
      <c r="H98" s="13">
        <v>90</v>
      </c>
      <c r="I98" s="12" t="s">
        <v>65</v>
      </c>
      <c r="J98" s="13"/>
      <c r="K98" s="13">
        <v>71</v>
      </c>
      <c r="L98" s="13">
        <f t="shared" si="16"/>
        <v>-8</v>
      </c>
      <c r="M98" s="13"/>
      <c r="N98" s="13"/>
      <c r="O98" s="13"/>
      <c r="P98" s="13">
        <v>102</v>
      </c>
      <c r="Q98" s="13"/>
      <c r="R98" s="13"/>
      <c r="S98" s="13">
        <v>130.19999999999999</v>
      </c>
      <c r="T98" s="13">
        <v>-130</v>
      </c>
      <c r="U98" s="13"/>
      <c r="V98" s="13">
        <v>75</v>
      </c>
      <c r="W98" s="25"/>
      <c r="X98" s="17"/>
      <c r="Y98" s="13">
        <f t="shared" si="17"/>
        <v>12.6</v>
      </c>
      <c r="Z98" s="4">
        <v>50</v>
      </c>
      <c r="AA98" s="4">
        <f t="shared" si="22"/>
        <v>50</v>
      </c>
      <c r="AB98" s="29"/>
      <c r="AC98" s="21"/>
      <c r="AD98" s="13">
        <f t="shared" si="18"/>
        <v>19.539682539682538</v>
      </c>
      <c r="AE98" s="13">
        <f t="shared" si="19"/>
        <v>15.571428571428571</v>
      </c>
      <c r="AF98" s="13">
        <v>15</v>
      </c>
      <c r="AG98" s="13">
        <v>27</v>
      </c>
      <c r="AH98" s="13">
        <v>21.8</v>
      </c>
      <c r="AI98" s="13">
        <v>19.8</v>
      </c>
      <c r="AJ98" s="13">
        <v>22</v>
      </c>
      <c r="AK98" s="13">
        <v>17.399999999999999</v>
      </c>
      <c r="AL98" s="13">
        <v>16.8</v>
      </c>
      <c r="AM98" s="13">
        <v>24.6</v>
      </c>
      <c r="AN98" s="13">
        <v>23.6</v>
      </c>
      <c r="AO98" s="13">
        <v>12.4</v>
      </c>
      <c r="AP98" s="13"/>
      <c r="AQ98" s="13">
        <f t="shared" si="20"/>
        <v>4</v>
      </c>
      <c r="AR98" t="s">
        <v>245</v>
      </c>
    </row>
    <row r="99" spans="1:44" x14ac:dyDescent="0.25">
      <c r="A99" s="8" t="s">
        <v>246</v>
      </c>
      <c r="B99" s="8" t="s">
        <v>54</v>
      </c>
      <c r="C99" s="8">
        <v>1</v>
      </c>
      <c r="D99" s="8"/>
      <c r="E99" s="8">
        <v>-4</v>
      </c>
      <c r="F99" s="8">
        <v>1</v>
      </c>
      <c r="G99" s="9">
        <v>0</v>
      </c>
      <c r="H99" s="8">
        <v>90</v>
      </c>
      <c r="I99" s="8" t="s">
        <v>113</v>
      </c>
      <c r="J99" s="8"/>
      <c r="K99" s="8">
        <v>12</v>
      </c>
      <c r="L99" s="8">
        <f t="shared" si="16"/>
        <v>-16</v>
      </c>
      <c r="M99" s="8"/>
      <c r="N99" s="8"/>
      <c r="O99" s="8"/>
      <c r="P99" s="8">
        <v>0</v>
      </c>
      <c r="Q99" s="8"/>
      <c r="R99" s="8"/>
      <c r="S99" s="8">
        <v>0</v>
      </c>
      <c r="T99" s="8"/>
      <c r="U99" s="8"/>
      <c r="V99" s="8">
        <v>0</v>
      </c>
      <c r="W99" s="27"/>
      <c r="X99" s="19"/>
      <c r="Y99" s="8">
        <f t="shared" si="17"/>
        <v>-0.8</v>
      </c>
      <c r="Z99" s="10"/>
      <c r="AA99" s="4">
        <f t="shared" si="22"/>
        <v>0</v>
      </c>
      <c r="AB99" s="29"/>
      <c r="AC99" s="21"/>
      <c r="AD99" s="13">
        <f t="shared" si="18"/>
        <v>-1.25</v>
      </c>
      <c r="AE99" s="8">
        <f t="shared" si="19"/>
        <v>-1.25</v>
      </c>
      <c r="AF99" s="8">
        <v>0</v>
      </c>
      <c r="AG99" s="8">
        <v>0</v>
      </c>
      <c r="AH99" s="8">
        <v>0</v>
      </c>
      <c r="AI99" s="8">
        <v>0</v>
      </c>
      <c r="AJ99" s="8">
        <v>0.2</v>
      </c>
      <c r="AK99" s="8">
        <v>1.4</v>
      </c>
      <c r="AL99" s="8">
        <v>3.8</v>
      </c>
      <c r="AM99" s="8">
        <v>10</v>
      </c>
      <c r="AN99" s="8">
        <v>11.2</v>
      </c>
      <c r="AO99" s="8">
        <v>9.8000000000000007</v>
      </c>
      <c r="AP99" s="8"/>
      <c r="AQ99" s="13">
        <f t="shared" si="20"/>
        <v>0</v>
      </c>
      <c r="AR99" t="s">
        <v>247</v>
      </c>
    </row>
    <row r="100" spans="1:44" x14ac:dyDescent="0.25">
      <c r="A100" s="13" t="s">
        <v>248</v>
      </c>
      <c r="B100" s="13" t="s">
        <v>54</v>
      </c>
      <c r="C100" s="13">
        <v>1</v>
      </c>
      <c r="D100" s="13"/>
      <c r="E100" s="13">
        <v>4</v>
      </c>
      <c r="F100" s="13">
        <v>1</v>
      </c>
      <c r="G100" s="6">
        <v>0.3</v>
      </c>
      <c r="H100" s="13"/>
      <c r="I100" s="13" t="s">
        <v>47</v>
      </c>
      <c r="J100" s="13"/>
      <c r="K100" s="13"/>
      <c r="L100" s="13">
        <f t="shared" si="16"/>
        <v>4</v>
      </c>
      <c r="M100" s="13"/>
      <c r="N100" s="13"/>
      <c r="O100" s="13"/>
      <c r="P100" s="13">
        <v>0</v>
      </c>
      <c r="Q100" s="13"/>
      <c r="R100" s="13"/>
      <c r="S100" s="13">
        <v>140</v>
      </c>
      <c r="T100" s="13"/>
      <c r="U100" s="13"/>
      <c r="V100" s="13">
        <v>0</v>
      </c>
      <c r="W100" s="25"/>
      <c r="X100" s="17"/>
      <c r="Y100" s="13">
        <f t="shared" si="17"/>
        <v>0.8</v>
      </c>
      <c r="Z100" s="4"/>
      <c r="AA100" s="4">
        <f t="shared" si="22"/>
        <v>0</v>
      </c>
      <c r="AB100" s="29"/>
      <c r="AC100" s="21"/>
      <c r="AD100" s="13">
        <f t="shared" si="18"/>
        <v>176.25</v>
      </c>
      <c r="AE100" s="13">
        <f t="shared" si="19"/>
        <v>176.25</v>
      </c>
      <c r="AF100" s="13">
        <v>12.6</v>
      </c>
      <c r="AG100" s="13">
        <v>15.8</v>
      </c>
      <c r="AH100" s="13">
        <v>4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 t="s">
        <v>205</v>
      </c>
      <c r="AQ100" s="13">
        <f t="shared" si="20"/>
        <v>0</v>
      </c>
      <c r="AR100" t="s">
        <v>249</v>
      </c>
    </row>
    <row r="101" spans="1:44" x14ac:dyDescent="0.25">
      <c r="A101" s="13" t="s">
        <v>250</v>
      </c>
      <c r="B101" s="13" t="s">
        <v>46</v>
      </c>
      <c r="C101" s="13">
        <v>4.1059999999999999</v>
      </c>
      <c r="D101" s="13"/>
      <c r="E101" s="13">
        <v>-1.59</v>
      </c>
      <c r="F101" s="13">
        <v>4.1059999999999999</v>
      </c>
      <c r="G101" s="6">
        <v>1</v>
      </c>
      <c r="H101" s="13">
        <v>55</v>
      </c>
      <c r="I101" s="12" t="s">
        <v>65</v>
      </c>
      <c r="J101" s="13"/>
      <c r="K101" s="13">
        <v>9.1</v>
      </c>
      <c r="L101" s="13">
        <f t="shared" si="16"/>
        <v>-10.69</v>
      </c>
      <c r="M101" s="13"/>
      <c r="N101" s="13"/>
      <c r="O101" s="13"/>
      <c r="P101" s="13">
        <v>0</v>
      </c>
      <c r="Q101" s="13"/>
      <c r="R101" s="13"/>
      <c r="S101" s="13">
        <v>20.30439999999999</v>
      </c>
      <c r="T101" s="13"/>
      <c r="U101" s="13"/>
      <c r="V101" s="13">
        <v>0</v>
      </c>
      <c r="W101" s="25"/>
      <c r="X101" s="17"/>
      <c r="Y101" s="13">
        <f t="shared" si="17"/>
        <v>-0.318</v>
      </c>
      <c r="Z101" s="4">
        <v>10</v>
      </c>
      <c r="AA101" s="4">
        <f t="shared" si="22"/>
        <v>10</v>
      </c>
      <c r="AB101" s="29"/>
      <c r="AC101" s="21"/>
      <c r="AD101" s="13">
        <f t="shared" si="18"/>
        <v>-108.2088050314465</v>
      </c>
      <c r="AE101" s="13">
        <f t="shared" si="19"/>
        <v>-76.762264150943352</v>
      </c>
      <c r="AF101" s="13">
        <v>1.2194</v>
      </c>
      <c r="AG101" s="13">
        <v>2.0341999999999998</v>
      </c>
      <c r="AH101" s="13">
        <v>0.81479999999999997</v>
      </c>
      <c r="AI101" s="13">
        <v>0.20419999999999999</v>
      </c>
      <c r="AJ101" s="13">
        <v>0.2034</v>
      </c>
      <c r="AK101" s="13">
        <v>0.40780000000000011</v>
      </c>
      <c r="AL101" s="13">
        <v>-0.11600000000000001</v>
      </c>
      <c r="AM101" s="13">
        <v>-0.64339999999999997</v>
      </c>
      <c r="AN101" s="13">
        <v>-0.32300000000000001</v>
      </c>
      <c r="AO101" s="13">
        <v>0</v>
      </c>
      <c r="AP101" s="13" t="s">
        <v>251</v>
      </c>
      <c r="AQ101" s="13">
        <f t="shared" si="20"/>
        <v>10</v>
      </c>
      <c r="AR101" t="s">
        <v>252</v>
      </c>
    </row>
    <row r="102" spans="1:44" x14ac:dyDescent="0.25">
      <c r="A102" s="13" t="s">
        <v>253</v>
      </c>
      <c r="B102" s="13" t="s">
        <v>54</v>
      </c>
      <c r="C102" s="13">
        <v>58</v>
      </c>
      <c r="D102" s="13"/>
      <c r="E102" s="13">
        <v>7</v>
      </c>
      <c r="F102" s="13"/>
      <c r="G102" s="6">
        <v>0.11</v>
      </c>
      <c r="H102" s="13">
        <v>30</v>
      </c>
      <c r="I102" s="13" t="s">
        <v>47</v>
      </c>
      <c r="J102" s="13"/>
      <c r="K102" s="13">
        <v>62</v>
      </c>
      <c r="L102" s="13">
        <f t="shared" ref="L102:L132" si="23">E102-K102</f>
        <v>-55</v>
      </c>
      <c r="M102" s="13"/>
      <c r="N102" s="13"/>
      <c r="O102" s="13"/>
      <c r="P102" s="13">
        <v>0</v>
      </c>
      <c r="Q102" s="13"/>
      <c r="R102" s="13"/>
      <c r="S102" s="13">
        <v>65</v>
      </c>
      <c r="T102" s="13"/>
      <c r="U102" s="13"/>
      <c r="V102" s="13">
        <v>0</v>
      </c>
      <c r="W102" s="25"/>
      <c r="X102" s="17"/>
      <c r="Y102" s="13">
        <f t="shared" ref="Y102:Y132" si="24">E102/5</f>
        <v>1.4</v>
      </c>
      <c r="Z102" s="4">
        <v>40</v>
      </c>
      <c r="AA102" s="4">
        <f t="shared" si="22"/>
        <v>40</v>
      </c>
      <c r="AB102" s="29"/>
      <c r="AC102" s="21"/>
      <c r="AD102" s="13">
        <f t="shared" ref="AD102:AD132" si="25">(F102+O102+P102+Q102+R102+S102+T102+U102+V102+AA102)/Y102</f>
        <v>75</v>
      </c>
      <c r="AE102" s="13">
        <f t="shared" ref="AE102:AE132" si="26">(F102+O102+P102+Q102+R102+S102+T102+U102+V102)/Y102</f>
        <v>46.428571428571431</v>
      </c>
      <c r="AF102" s="13">
        <v>0.4</v>
      </c>
      <c r="AG102" s="13">
        <v>11</v>
      </c>
      <c r="AH102" s="13">
        <v>1.4</v>
      </c>
      <c r="AI102" s="13">
        <v>3.2</v>
      </c>
      <c r="AJ102" s="13">
        <v>3.6</v>
      </c>
      <c r="AK102" s="13">
        <v>0.4</v>
      </c>
      <c r="AL102" s="13">
        <v>1.6</v>
      </c>
      <c r="AM102" s="13">
        <v>11.4</v>
      </c>
      <c r="AN102" s="13">
        <v>0</v>
      </c>
      <c r="AO102" s="13">
        <v>0</v>
      </c>
      <c r="AP102" s="15" t="s">
        <v>254</v>
      </c>
      <c r="AQ102" s="13">
        <f t="shared" ref="AQ102:AQ132" si="27">ROUND(G102*AA102,0)</f>
        <v>4</v>
      </c>
      <c r="AR102" t="s">
        <v>255</v>
      </c>
    </row>
    <row r="103" spans="1:44" x14ac:dyDescent="0.25">
      <c r="A103" s="8" t="s">
        <v>256</v>
      </c>
      <c r="B103" s="8" t="s">
        <v>54</v>
      </c>
      <c r="C103" s="8"/>
      <c r="D103" s="8"/>
      <c r="E103" s="8"/>
      <c r="F103" s="8"/>
      <c r="G103" s="9">
        <v>0</v>
      </c>
      <c r="H103" s="8"/>
      <c r="I103" s="8" t="s">
        <v>47</v>
      </c>
      <c r="J103" s="8"/>
      <c r="K103" s="8"/>
      <c r="L103" s="8">
        <f t="shared" si="23"/>
        <v>0</v>
      </c>
      <c r="M103" s="8"/>
      <c r="N103" s="8"/>
      <c r="O103" s="8"/>
      <c r="P103" s="8">
        <v>0</v>
      </c>
      <c r="Q103" s="8"/>
      <c r="R103" s="8"/>
      <c r="S103" s="8">
        <v>0</v>
      </c>
      <c r="T103" s="8"/>
      <c r="U103" s="8"/>
      <c r="V103" s="8">
        <v>0</v>
      </c>
      <c r="W103" s="27"/>
      <c r="X103" s="19"/>
      <c r="Y103" s="8">
        <f t="shared" si="24"/>
        <v>0</v>
      </c>
      <c r="Z103" s="10"/>
      <c r="AA103" s="4">
        <f t="shared" si="22"/>
        <v>0</v>
      </c>
      <c r="AB103" s="29"/>
      <c r="AC103" s="21"/>
      <c r="AD103" s="13" t="e">
        <f t="shared" si="25"/>
        <v>#DIV/0!</v>
      </c>
      <c r="AE103" s="8" t="e">
        <f t="shared" si="26"/>
        <v>#DIV/0!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 t="s">
        <v>55</v>
      </c>
      <c r="AQ103" s="13">
        <f t="shared" si="27"/>
        <v>0</v>
      </c>
      <c r="AR103" t="s">
        <v>257</v>
      </c>
    </row>
    <row r="104" spans="1:44" x14ac:dyDescent="0.25">
      <c r="A104" s="13" t="s">
        <v>258</v>
      </c>
      <c r="B104" s="13" t="s">
        <v>54</v>
      </c>
      <c r="C104" s="13">
        <v>44</v>
      </c>
      <c r="D104" s="13">
        <v>102</v>
      </c>
      <c r="E104" s="13">
        <v>114</v>
      </c>
      <c r="F104" s="13">
        <v>24</v>
      </c>
      <c r="G104" s="6">
        <v>0.08</v>
      </c>
      <c r="H104" s="13">
        <v>45</v>
      </c>
      <c r="I104" s="13" t="s">
        <v>47</v>
      </c>
      <c r="J104" s="13"/>
      <c r="K104" s="13">
        <v>123</v>
      </c>
      <c r="L104" s="13">
        <f t="shared" si="23"/>
        <v>-9</v>
      </c>
      <c r="M104" s="13"/>
      <c r="N104" s="13"/>
      <c r="O104" s="13"/>
      <c r="P104" s="13">
        <v>42.400000000000013</v>
      </c>
      <c r="Q104" s="13"/>
      <c r="R104" s="13"/>
      <c r="S104" s="13">
        <v>105.9999999999999</v>
      </c>
      <c r="T104" s="13"/>
      <c r="U104" s="13"/>
      <c r="V104" s="13">
        <v>0</v>
      </c>
      <c r="W104" s="25"/>
      <c r="X104" s="17"/>
      <c r="Y104" s="13">
        <f t="shared" si="24"/>
        <v>22.8</v>
      </c>
      <c r="Z104" s="4">
        <f>12*Y104-V104-U104-T104-S104-R104-Q104-P104-O104-F104</f>
        <v>101.20000000000013</v>
      </c>
      <c r="AA104" s="4">
        <f t="shared" si="22"/>
        <v>101.20000000000013</v>
      </c>
      <c r="AB104" s="29"/>
      <c r="AC104" s="21"/>
      <c r="AD104" s="13">
        <f t="shared" si="25"/>
        <v>12</v>
      </c>
      <c r="AE104" s="13">
        <f t="shared" si="26"/>
        <v>7.5614035087719262</v>
      </c>
      <c r="AF104" s="13">
        <v>18</v>
      </c>
      <c r="AG104" s="13">
        <v>24.4</v>
      </c>
      <c r="AH104" s="13">
        <v>21.8</v>
      </c>
      <c r="AI104" s="13">
        <v>22.4</v>
      </c>
      <c r="AJ104" s="13">
        <v>19.399999999999999</v>
      </c>
      <c r="AK104" s="13">
        <v>14.4</v>
      </c>
      <c r="AL104" s="13">
        <v>21.6</v>
      </c>
      <c r="AM104" s="13">
        <v>26.2</v>
      </c>
      <c r="AN104" s="13">
        <v>19.600000000000001</v>
      </c>
      <c r="AO104" s="13">
        <v>16.399999999999999</v>
      </c>
      <c r="AP104" s="13"/>
      <c r="AQ104" s="13">
        <f t="shared" si="27"/>
        <v>8</v>
      </c>
      <c r="AR104" t="s">
        <v>259</v>
      </c>
    </row>
    <row r="105" spans="1:44" x14ac:dyDescent="0.25">
      <c r="A105" s="13" t="s">
        <v>260</v>
      </c>
      <c r="B105" s="13" t="s">
        <v>54</v>
      </c>
      <c r="C105" s="13">
        <v>13</v>
      </c>
      <c r="D105" s="13">
        <v>101</v>
      </c>
      <c r="E105" s="13">
        <v>88</v>
      </c>
      <c r="F105" s="13">
        <v>16</v>
      </c>
      <c r="G105" s="6">
        <v>0.08</v>
      </c>
      <c r="H105" s="13">
        <v>45</v>
      </c>
      <c r="I105" s="13" t="s">
        <v>47</v>
      </c>
      <c r="J105" s="13"/>
      <c r="K105" s="13">
        <v>99</v>
      </c>
      <c r="L105" s="13">
        <f t="shared" si="23"/>
        <v>-11</v>
      </c>
      <c r="M105" s="13"/>
      <c r="N105" s="13"/>
      <c r="O105" s="13"/>
      <c r="P105" s="13">
        <v>73</v>
      </c>
      <c r="Q105" s="13"/>
      <c r="R105" s="13"/>
      <c r="S105" s="13">
        <v>34</v>
      </c>
      <c r="T105" s="13"/>
      <c r="U105" s="13"/>
      <c r="V105" s="13">
        <v>50</v>
      </c>
      <c r="W105" s="25"/>
      <c r="X105" s="17"/>
      <c r="Y105" s="13">
        <f t="shared" si="24"/>
        <v>17.600000000000001</v>
      </c>
      <c r="Z105" s="4">
        <f>12*Y105-V105-U105-T105-S105-R105-Q105-P105-O105-F105</f>
        <v>38.200000000000017</v>
      </c>
      <c r="AA105" s="4">
        <f t="shared" si="22"/>
        <v>38.200000000000017</v>
      </c>
      <c r="AB105" s="29"/>
      <c r="AC105" s="21"/>
      <c r="AD105" s="13">
        <f t="shared" si="25"/>
        <v>12</v>
      </c>
      <c r="AE105" s="13">
        <f t="shared" si="26"/>
        <v>9.8295454545454533</v>
      </c>
      <c r="AF105" s="13">
        <v>11.2</v>
      </c>
      <c r="AG105" s="13">
        <v>18</v>
      </c>
      <c r="AH105" s="13">
        <v>19</v>
      </c>
      <c r="AI105" s="13">
        <v>18</v>
      </c>
      <c r="AJ105" s="13">
        <v>15.6</v>
      </c>
      <c r="AK105" s="13">
        <v>11.6</v>
      </c>
      <c r="AL105" s="13">
        <v>11.6</v>
      </c>
      <c r="AM105" s="13">
        <v>16.600000000000001</v>
      </c>
      <c r="AN105" s="13">
        <v>15.2</v>
      </c>
      <c r="AO105" s="13">
        <v>10.199999999999999</v>
      </c>
      <c r="AP105" s="13"/>
      <c r="AQ105" s="13">
        <f t="shared" si="27"/>
        <v>3</v>
      </c>
      <c r="AR105" t="s">
        <v>261</v>
      </c>
    </row>
    <row r="106" spans="1:44" x14ac:dyDescent="0.25">
      <c r="A106" s="13" t="s">
        <v>262</v>
      </c>
      <c r="B106" s="13" t="s">
        <v>54</v>
      </c>
      <c r="C106" s="13">
        <v>60</v>
      </c>
      <c r="D106" s="13"/>
      <c r="E106" s="13">
        <v>1</v>
      </c>
      <c r="F106" s="13">
        <v>1</v>
      </c>
      <c r="G106" s="6">
        <v>0.17</v>
      </c>
      <c r="H106" s="13">
        <v>30</v>
      </c>
      <c r="I106" s="13" t="s">
        <v>47</v>
      </c>
      <c r="J106" s="13"/>
      <c r="K106" s="13">
        <v>25</v>
      </c>
      <c r="L106" s="13">
        <f t="shared" si="23"/>
        <v>-24</v>
      </c>
      <c r="M106" s="13"/>
      <c r="N106" s="13"/>
      <c r="O106" s="13"/>
      <c r="P106" s="13">
        <v>0</v>
      </c>
      <c r="Q106" s="13"/>
      <c r="R106" s="13"/>
      <c r="S106" s="13">
        <v>0</v>
      </c>
      <c r="T106" s="13"/>
      <c r="U106" s="13"/>
      <c r="V106" s="13">
        <v>0</v>
      </c>
      <c r="W106" s="25"/>
      <c r="X106" s="17"/>
      <c r="Y106" s="13">
        <f t="shared" si="24"/>
        <v>0.2</v>
      </c>
      <c r="Z106" s="4">
        <v>30</v>
      </c>
      <c r="AA106" s="4">
        <f t="shared" si="22"/>
        <v>30</v>
      </c>
      <c r="AB106" s="29"/>
      <c r="AC106" s="21"/>
      <c r="AD106" s="13">
        <f t="shared" si="25"/>
        <v>155</v>
      </c>
      <c r="AE106" s="13">
        <f t="shared" si="26"/>
        <v>5</v>
      </c>
      <c r="AF106" s="13">
        <v>0.2</v>
      </c>
      <c r="AG106" s="13">
        <v>1</v>
      </c>
      <c r="AH106" s="13">
        <v>1</v>
      </c>
      <c r="AI106" s="13">
        <v>1.4</v>
      </c>
      <c r="AJ106" s="13">
        <v>1.2</v>
      </c>
      <c r="AK106" s="13">
        <v>0.4</v>
      </c>
      <c r="AL106" s="13">
        <v>3.6</v>
      </c>
      <c r="AM106" s="13">
        <v>3.4</v>
      </c>
      <c r="AN106" s="13">
        <v>0</v>
      </c>
      <c r="AO106" s="13">
        <v>0</v>
      </c>
      <c r="AP106" s="15" t="s">
        <v>263</v>
      </c>
      <c r="AQ106" s="13">
        <f t="shared" si="27"/>
        <v>5</v>
      </c>
      <c r="AR106" t="s">
        <v>264</v>
      </c>
    </row>
    <row r="107" spans="1:44" x14ac:dyDescent="0.25">
      <c r="A107" s="13" t="s">
        <v>265</v>
      </c>
      <c r="B107" s="13" t="s">
        <v>46</v>
      </c>
      <c r="C107" s="13">
        <v>-36.728999999999999</v>
      </c>
      <c r="D107" s="13">
        <v>1.4490000000000001</v>
      </c>
      <c r="E107" s="13">
        <v>1.4810000000000001</v>
      </c>
      <c r="F107" s="13">
        <v>-38.189</v>
      </c>
      <c r="G107" s="6">
        <v>1</v>
      </c>
      <c r="H107" s="13">
        <v>40</v>
      </c>
      <c r="I107" s="12" t="s">
        <v>65</v>
      </c>
      <c r="J107" s="13"/>
      <c r="K107" s="13">
        <v>35.4</v>
      </c>
      <c r="L107" s="13">
        <f t="shared" si="23"/>
        <v>-33.918999999999997</v>
      </c>
      <c r="M107" s="13"/>
      <c r="N107" s="13"/>
      <c r="O107" s="13"/>
      <c r="P107" s="13">
        <v>50</v>
      </c>
      <c r="Q107" s="13"/>
      <c r="R107" s="13"/>
      <c r="S107" s="13">
        <v>100</v>
      </c>
      <c r="T107" s="13"/>
      <c r="U107" s="13"/>
      <c r="V107" s="13">
        <v>250</v>
      </c>
      <c r="W107" s="25">
        <v>-252</v>
      </c>
      <c r="X107" s="17"/>
      <c r="Y107" s="13">
        <f t="shared" si="24"/>
        <v>0.29620000000000002</v>
      </c>
      <c r="Z107" s="4"/>
      <c r="AA107" s="4">
        <f t="shared" si="22"/>
        <v>0</v>
      </c>
      <c r="AB107" s="29"/>
      <c r="AC107" s="21"/>
      <c r="AD107" s="13">
        <f t="shared" si="25"/>
        <v>1221.5091154625254</v>
      </c>
      <c r="AE107" s="13">
        <f t="shared" si="26"/>
        <v>1221.5091154625254</v>
      </c>
      <c r="AF107" s="13">
        <v>12.997</v>
      </c>
      <c r="AG107" s="13">
        <v>22.168800000000001</v>
      </c>
      <c r="AH107" s="13">
        <v>13.851800000000001</v>
      </c>
      <c r="AI107" s="13">
        <v>7.4358000000000004</v>
      </c>
      <c r="AJ107" s="13">
        <v>1.85</v>
      </c>
      <c r="AK107" s="13">
        <v>1.1499999999999999</v>
      </c>
      <c r="AL107" s="13">
        <v>11.496</v>
      </c>
      <c r="AM107" s="13">
        <v>18.886600000000001</v>
      </c>
      <c r="AN107" s="13">
        <v>18.115600000000001</v>
      </c>
      <c r="AO107" s="13">
        <v>24.947399999999998</v>
      </c>
      <c r="AP107" s="13"/>
      <c r="AQ107" s="13">
        <f t="shared" si="27"/>
        <v>0</v>
      </c>
      <c r="AR107" t="s">
        <v>266</v>
      </c>
    </row>
    <row r="108" spans="1:44" x14ac:dyDescent="0.25">
      <c r="A108" s="13" t="s">
        <v>267</v>
      </c>
      <c r="B108" s="13" t="s">
        <v>46</v>
      </c>
      <c r="C108" s="13">
        <v>4.1669999999999998</v>
      </c>
      <c r="D108" s="13">
        <v>103.33</v>
      </c>
      <c r="E108" s="13">
        <v>98.433999999999997</v>
      </c>
      <c r="F108" s="13">
        <v>3.9569999999999999</v>
      </c>
      <c r="G108" s="6">
        <v>1</v>
      </c>
      <c r="H108" s="13">
        <v>40</v>
      </c>
      <c r="I108" s="12" t="s">
        <v>65</v>
      </c>
      <c r="J108" s="13"/>
      <c r="K108" s="13">
        <v>128</v>
      </c>
      <c r="L108" s="13">
        <f t="shared" si="23"/>
        <v>-29.566000000000003</v>
      </c>
      <c r="M108" s="13"/>
      <c r="N108" s="13"/>
      <c r="O108" s="13"/>
      <c r="P108" s="13">
        <v>50</v>
      </c>
      <c r="Q108" s="13"/>
      <c r="R108" s="13"/>
      <c r="S108" s="13">
        <v>30</v>
      </c>
      <c r="T108" s="13"/>
      <c r="U108" s="13"/>
      <c r="V108" s="13">
        <v>250</v>
      </c>
      <c r="W108" s="25"/>
      <c r="X108" s="17"/>
      <c r="Y108" s="13">
        <f t="shared" si="24"/>
        <v>19.686799999999998</v>
      </c>
      <c r="Z108" s="4"/>
      <c r="AA108" s="4">
        <f t="shared" si="22"/>
        <v>0</v>
      </c>
      <c r="AB108" s="29"/>
      <c r="AC108" s="21"/>
      <c r="AD108" s="13">
        <f t="shared" si="25"/>
        <v>16.963498384704472</v>
      </c>
      <c r="AE108" s="13">
        <f t="shared" si="26"/>
        <v>16.963498384704472</v>
      </c>
      <c r="AF108" s="13">
        <v>16.466799999999999</v>
      </c>
      <c r="AG108" s="13">
        <v>7.055200000000001</v>
      </c>
      <c r="AH108" s="13">
        <v>12.9968</v>
      </c>
      <c r="AI108" s="13">
        <v>8.9847999999999999</v>
      </c>
      <c r="AJ108" s="13">
        <v>1.7248000000000001</v>
      </c>
      <c r="AK108" s="13">
        <v>5.3618000000000006</v>
      </c>
      <c r="AL108" s="13">
        <v>15.671200000000001</v>
      </c>
      <c r="AM108" s="13">
        <v>16.325800000000001</v>
      </c>
      <c r="AN108" s="13">
        <v>12.1866</v>
      </c>
      <c r="AO108" s="13">
        <v>20.2988</v>
      </c>
      <c r="AP108" s="13"/>
      <c r="AQ108" s="13">
        <f t="shared" si="27"/>
        <v>0</v>
      </c>
      <c r="AR108" t="s">
        <v>268</v>
      </c>
    </row>
    <row r="109" spans="1:44" x14ac:dyDescent="0.25">
      <c r="A109" s="13" t="s">
        <v>269</v>
      </c>
      <c r="B109" s="13" t="s">
        <v>46</v>
      </c>
      <c r="C109" s="13">
        <v>0.46800000000000003</v>
      </c>
      <c r="D109" s="13"/>
      <c r="E109" s="13">
        <v>-3.5569999999999999</v>
      </c>
      <c r="F109" s="13">
        <v>0.46800000000000003</v>
      </c>
      <c r="G109" s="6">
        <v>1</v>
      </c>
      <c r="H109" s="13">
        <v>40</v>
      </c>
      <c r="I109" s="12" t="s">
        <v>65</v>
      </c>
      <c r="J109" s="13"/>
      <c r="K109" s="13">
        <v>53.8</v>
      </c>
      <c r="L109" s="13">
        <f t="shared" si="23"/>
        <v>-57.356999999999999</v>
      </c>
      <c r="M109" s="13"/>
      <c r="N109" s="13"/>
      <c r="O109" s="13"/>
      <c r="P109" s="13">
        <v>100</v>
      </c>
      <c r="Q109" s="13">
        <v>-101.5</v>
      </c>
      <c r="R109" s="13"/>
      <c r="S109" s="13">
        <v>60</v>
      </c>
      <c r="T109" s="13">
        <v>-63</v>
      </c>
      <c r="U109" s="13"/>
      <c r="V109" s="13">
        <v>250</v>
      </c>
      <c r="W109" s="25">
        <v>-252</v>
      </c>
      <c r="X109" s="17"/>
      <c r="Y109" s="13">
        <f t="shared" si="24"/>
        <v>-0.71140000000000003</v>
      </c>
      <c r="Z109" s="4">
        <v>60</v>
      </c>
      <c r="AA109" s="4">
        <f t="shared" si="22"/>
        <v>60</v>
      </c>
      <c r="AB109" s="29">
        <v>-63</v>
      </c>
      <c r="AC109" s="21"/>
      <c r="AD109" s="13">
        <f t="shared" si="25"/>
        <v>-430.09277481023332</v>
      </c>
      <c r="AE109" s="13">
        <f t="shared" si="26"/>
        <v>-345.75203823446725</v>
      </c>
      <c r="AF109" s="13">
        <v>-0.71239999999999992</v>
      </c>
      <c r="AG109" s="13">
        <v>-0.42520000000000002</v>
      </c>
      <c r="AH109" s="13">
        <v>-0.4284</v>
      </c>
      <c r="AI109" s="13">
        <v>2.9601999999999999</v>
      </c>
      <c r="AJ109" s="13">
        <v>5.3917999999999999</v>
      </c>
      <c r="AK109" s="13">
        <v>4.0991999999999997</v>
      </c>
      <c r="AL109" s="13">
        <v>11.083399999999999</v>
      </c>
      <c r="AM109" s="13">
        <v>18.302600000000002</v>
      </c>
      <c r="AN109" s="13">
        <v>15.167199999999999</v>
      </c>
      <c r="AO109" s="13">
        <v>24.976800000000001</v>
      </c>
      <c r="AP109" s="13"/>
      <c r="AQ109" s="13">
        <f t="shared" si="27"/>
        <v>60</v>
      </c>
      <c r="AR109" t="s">
        <v>270</v>
      </c>
    </row>
    <row r="110" spans="1:44" x14ac:dyDescent="0.25">
      <c r="A110" s="8" t="s">
        <v>271</v>
      </c>
      <c r="B110" s="8" t="s">
        <v>54</v>
      </c>
      <c r="C110" s="8"/>
      <c r="D110" s="8"/>
      <c r="E110" s="8"/>
      <c r="F110" s="8"/>
      <c r="G110" s="9">
        <v>0</v>
      </c>
      <c r="H110" s="8"/>
      <c r="I110" s="8" t="s">
        <v>47</v>
      </c>
      <c r="J110" s="8"/>
      <c r="K110" s="8"/>
      <c r="L110" s="8">
        <f t="shared" si="23"/>
        <v>0</v>
      </c>
      <c r="M110" s="8"/>
      <c r="N110" s="8"/>
      <c r="O110" s="8"/>
      <c r="P110" s="8">
        <v>0</v>
      </c>
      <c r="Q110" s="8"/>
      <c r="R110" s="8"/>
      <c r="S110" s="8">
        <v>0</v>
      </c>
      <c r="T110" s="8"/>
      <c r="U110" s="8"/>
      <c r="V110" s="8">
        <v>0</v>
      </c>
      <c r="W110" s="27"/>
      <c r="X110" s="19"/>
      <c r="Y110" s="8">
        <f t="shared" si="24"/>
        <v>0</v>
      </c>
      <c r="Z110" s="10"/>
      <c r="AA110" s="4">
        <f t="shared" si="22"/>
        <v>0</v>
      </c>
      <c r="AB110" s="29"/>
      <c r="AC110" s="21"/>
      <c r="AD110" s="13" t="e">
        <f t="shared" si="25"/>
        <v>#DIV/0!</v>
      </c>
      <c r="AE110" s="8" t="e">
        <f t="shared" si="26"/>
        <v>#DIV/0!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 t="s">
        <v>55</v>
      </c>
      <c r="AQ110" s="13">
        <f t="shared" si="27"/>
        <v>0</v>
      </c>
      <c r="AR110" t="s">
        <v>272</v>
      </c>
    </row>
    <row r="111" spans="1:44" x14ac:dyDescent="0.25">
      <c r="A111" s="8" t="s">
        <v>273</v>
      </c>
      <c r="B111" s="8" t="s">
        <v>46</v>
      </c>
      <c r="C111" s="8"/>
      <c r="D111" s="8"/>
      <c r="E111" s="8"/>
      <c r="F111" s="8"/>
      <c r="G111" s="9">
        <v>0</v>
      </c>
      <c r="H111" s="8"/>
      <c r="I111" s="8" t="s">
        <v>47</v>
      </c>
      <c r="J111" s="8"/>
      <c r="K111" s="8"/>
      <c r="L111" s="8">
        <f t="shared" si="23"/>
        <v>0</v>
      </c>
      <c r="M111" s="8"/>
      <c r="N111" s="8"/>
      <c r="O111" s="8"/>
      <c r="P111" s="8">
        <v>0</v>
      </c>
      <c r="Q111" s="8"/>
      <c r="R111" s="8"/>
      <c r="S111" s="8">
        <v>0</v>
      </c>
      <c r="T111" s="8"/>
      <c r="U111" s="8"/>
      <c r="V111" s="8">
        <v>0</v>
      </c>
      <c r="W111" s="27"/>
      <c r="X111" s="19"/>
      <c r="Y111" s="8">
        <f t="shared" si="24"/>
        <v>0</v>
      </c>
      <c r="Z111" s="10"/>
      <c r="AA111" s="4">
        <f t="shared" si="22"/>
        <v>0</v>
      </c>
      <c r="AB111" s="29"/>
      <c r="AC111" s="21"/>
      <c r="AD111" s="13" t="e">
        <f t="shared" si="25"/>
        <v>#DIV/0!</v>
      </c>
      <c r="AE111" s="8" t="e">
        <f t="shared" si="26"/>
        <v>#DIV/0!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 t="s">
        <v>55</v>
      </c>
      <c r="AQ111" s="13">
        <f t="shared" si="27"/>
        <v>0</v>
      </c>
      <c r="AR111" t="s">
        <v>274</v>
      </c>
    </row>
    <row r="112" spans="1:44" x14ac:dyDescent="0.25">
      <c r="A112" s="13" t="s">
        <v>275</v>
      </c>
      <c r="B112" s="13" t="s">
        <v>54</v>
      </c>
      <c r="C112" s="13">
        <v>4</v>
      </c>
      <c r="D112" s="13"/>
      <c r="E112" s="13">
        <v>1</v>
      </c>
      <c r="F112" s="13">
        <v>4</v>
      </c>
      <c r="G112" s="6">
        <v>0.28000000000000003</v>
      </c>
      <c r="H112" s="13">
        <v>40</v>
      </c>
      <c r="I112" s="12" t="s">
        <v>65</v>
      </c>
      <c r="J112" s="13"/>
      <c r="K112" s="13">
        <v>101</v>
      </c>
      <c r="L112" s="13">
        <f t="shared" si="23"/>
        <v>-100</v>
      </c>
      <c r="M112" s="13"/>
      <c r="N112" s="13"/>
      <c r="O112" s="13"/>
      <c r="P112" s="13">
        <v>50</v>
      </c>
      <c r="Q112" s="13"/>
      <c r="R112" s="13"/>
      <c r="S112" s="13">
        <v>150</v>
      </c>
      <c r="T112" s="13"/>
      <c r="U112" s="13"/>
      <c r="V112" s="13">
        <v>250</v>
      </c>
      <c r="W112" s="25">
        <v>-251.99999999999997</v>
      </c>
      <c r="X112" s="17"/>
      <c r="Y112" s="13">
        <f t="shared" si="24"/>
        <v>0.2</v>
      </c>
      <c r="Z112" s="4"/>
      <c r="AA112" s="4">
        <f t="shared" si="22"/>
        <v>0</v>
      </c>
      <c r="AB112" s="29"/>
      <c r="AC112" s="21"/>
      <c r="AD112" s="13">
        <f t="shared" si="25"/>
        <v>2270</v>
      </c>
      <c r="AE112" s="13">
        <f t="shared" si="26"/>
        <v>2270</v>
      </c>
      <c r="AF112" s="13">
        <v>13.2</v>
      </c>
      <c r="AG112" s="13">
        <v>23.2</v>
      </c>
      <c r="AH112" s="13">
        <v>17.8</v>
      </c>
      <c r="AI112" s="13">
        <v>7.4</v>
      </c>
      <c r="AJ112" s="13">
        <v>-2</v>
      </c>
      <c r="AK112" s="13">
        <v>-3.4</v>
      </c>
      <c r="AL112" s="13">
        <v>-3.8</v>
      </c>
      <c r="AM112" s="13">
        <v>18.399999999999999</v>
      </c>
      <c r="AN112" s="13">
        <v>41</v>
      </c>
      <c r="AO112" s="13">
        <v>43.2</v>
      </c>
      <c r="AP112" s="13"/>
      <c r="AQ112" s="13">
        <f t="shared" si="27"/>
        <v>0</v>
      </c>
      <c r="AR112" t="s">
        <v>276</v>
      </c>
    </row>
    <row r="113" spans="1:44" x14ac:dyDescent="0.25">
      <c r="A113" s="13" t="s">
        <v>277</v>
      </c>
      <c r="B113" s="13" t="s">
        <v>54</v>
      </c>
      <c r="C113" s="13">
        <v>2</v>
      </c>
      <c r="D113" s="13"/>
      <c r="E113" s="13">
        <v>-3</v>
      </c>
      <c r="F113" s="13"/>
      <c r="G113" s="6">
        <v>0.28000000000000003</v>
      </c>
      <c r="H113" s="13">
        <v>40</v>
      </c>
      <c r="I113" s="12" t="s">
        <v>65</v>
      </c>
      <c r="J113" s="13"/>
      <c r="K113" s="13">
        <v>78</v>
      </c>
      <c r="L113" s="13">
        <f t="shared" si="23"/>
        <v>-81</v>
      </c>
      <c r="M113" s="13"/>
      <c r="N113" s="13"/>
      <c r="O113" s="13"/>
      <c r="P113" s="13">
        <v>150</v>
      </c>
      <c r="Q113" s="13"/>
      <c r="R113" s="13"/>
      <c r="S113" s="13">
        <v>152</v>
      </c>
      <c r="T113" s="13"/>
      <c r="U113" s="13"/>
      <c r="V113" s="13">
        <v>250</v>
      </c>
      <c r="W113" s="25"/>
      <c r="X113" s="17"/>
      <c r="Y113" s="13">
        <f t="shared" si="24"/>
        <v>-0.6</v>
      </c>
      <c r="Z113" s="4"/>
      <c r="AA113" s="4">
        <f t="shared" si="22"/>
        <v>0</v>
      </c>
      <c r="AB113" s="29"/>
      <c r="AC113" s="21"/>
      <c r="AD113" s="13">
        <f t="shared" si="25"/>
        <v>-920</v>
      </c>
      <c r="AE113" s="13">
        <f t="shared" si="26"/>
        <v>-920</v>
      </c>
      <c r="AF113" s="13">
        <v>14.4</v>
      </c>
      <c r="AG113" s="13">
        <v>25</v>
      </c>
      <c r="AH113" s="13">
        <v>16.600000000000001</v>
      </c>
      <c r="AI113" s="13">
        <v>8.8000000000000007</v>
      </c>
      <c r="AJ113" s="13">
        <v>-1.2</v>
      </c>
      <c r="AK113" s="13">
        <v>-1.4</v>
      </c>
      <c r="AL113" s="13">
        <v>0.6</v>
      </c>
      <c r="AM113" s="13">
        <v>27.6</v>
      </c>
      <c r="AN113" s="13">
        <v>49.6</v>
      </c>
      <c r="AO113" s="13">
        <v>46.2</v>
      </c>
      <c r="AP113" s="13"/>
      <c r="AQ113" s="13">
        <f t="shared" si="27"/>
        <v>0</v>
      </c>
      <c r="AR113" t="s">
        <v>278</v>
      </c>
    </row>
    <row r="114" spans="1:44" x14ac:dyDescent="0.25">
      <c r="A114" s="13" t="s">
        <v>279</v>
      </c>
      <c r="B114" s="13" t="s">
        <v>54</v>
      </c>
      <c r="C114" s="13">
        <v>-7</v>
      </c>
      <c r="D114" s="13"/>
      <c r="E114" s="13">
        <v>-1</v>
      </c>
      <c r="F114" s="13">
        <v>-7</v>
      </c>
      <c r="G114" s="6">
        <v>0.28000000000000003</v>
      </c>
      <c r="H114" s="13">
        <v>40</v>
      </c>
      <c r="I114" s="12" t="s">
        <v>65</v>
      </c>
      <c r="J114" s="13"/>
      <c r="K114" s="13">
        <v>95</v>
      </c>
      <c r="L114" s="13">
        <f t="shared" si="23"/>
        <v>-96</v>
      </c>
      <c r="M114" s="13"/>
      <c r="N114" s="13"/>
      <c r="O114" s="13"/>
      <c r="P114" s="13">
        <v>150</v>
      </c>
      <c r="Q114" s="13">
        <v>-150</v>
      </c>
      <c r="R114" s="13"/>
      <c r="S114" s="13">
        <v>150</v>
      </c>
      <c r="T114" s="13"/>
      <c r="U114" s="13"/>
      <c r="V114" s="13">
        <v>250</v>
      </c>
      <c r="W114" s="25">
        <v>-251.99999999999997</v>
      </c>
      <c r="X114" s="17"/>
      <c r="Y114" s="13">
        <f t="shared" si="24"/>
        <v>-0.2</v>
      </c>
      <c r="Z114" s="4"/>
      <c r="AA114" s="4">
        <f t="shared" si="22"/>
        <v>0</v>
      </c>
      <c r="AB114" s="29"/>
      <c r="AC114" s="21"/>
      <c r="AD114" s="13">
        <f t="shared" si="25"/>
        <v>-1965</v>
      </c>
      <c r="AE114" s="13">
        <f t="shared" si="26"/>
        <v>-1965</v>
      </c>
      <c r="AF114" s="13">
        <v>9.1999999999999993</v>
      </c>
      <c r="AG114" s="13">
        <v>19.600000000000001</v>
      </c>
      <c r="AH114" s="13">
        <v>12.2</v>
      </c>
      <c r="AI114" s="13">
        <v>4.8</v>
      </c>
      <c r="AJ114" s="13">
        <v>0</v>
      </c>
      <c r="AK114" s="13">
        <v>1.2</v>
      </c>
      <c r="AL114" s="13">
        <v>1.2</v>
      </c>
      <c r="AM114" s="13">
        <v>7.4</v>
      </c>
      <c r="AN114" s="13">
        <v>32.6</v>
      </c>
      <c r="AO114" s="13">
        <v>47</v>
      </c>
      <c r="AP114" s="13"/>
      <c r="AQ114" s="13">
        <f t="shared" si="27"/>
        <v>0</v>
      </c>
      <c r="AR114" t="s">
        <v>280</v>
      </c>
    </row>
    <row r="115" spans="1:44" x14ac:dyDescent="0.25">
      <c r="A115" s="13" t="s">
        <v>281</v>
      </c>
      <c r="B115" s="13" t="s">
        <v>54</v>
      </c>
      <c r="C115" s="13">
        <v>19</v>
      </c>
      <c r="D115" s="13">
        <v>102</v>
      </c>
      <c r="E115" s="13">
        <v>41</v>
      </c>
      <c r="F115" s="13">
        <v>69</v>
      </c>
      <c r="G115" s="6">
        <v>0.09</v>
      </c>
      <c r="H115" s="13">
        <v>45</v>
      </c>
      <c r="I115" s="13" t="s">
        <v>47</v>
      </c>
      <c r="J115" s="13"/>
      <c r="K115" s="13">
        <v>68</v>
      </c>
      <c r="L115" s="13">
        <f t="shared" si="23"/>
        <v>-27</v>
      </c>
      <c r="M115" s="13"/>
      <c r="N115" s="13"/>
      <c r="O115" s="13"/>
      <c r="P115" s="13">
        <v>0</v>
      </c>
      <c r="Q115" s="13"/>
      <c r="R115" s="13"/>
      <c r="S115" s="13">
        <v>38.800000000000011</v>
      </c>
      <c r="T115" s="13"/>
      <c r="U115" s="13"/>
      <c r="V115" s="13">
        <v>0</v>
      </c>
      <c r="W115" s="25"/>
      <c r="X115" s="17"/>
      <c r="Y115" s="13">
        <f t="shared" si="24"/>
        <v>8.1999999999999993</v>
      </c>
      <c r="Z115" s="4"/>
      <c r="AA115" s="4">
        <f t="shared" si="22"/>
        <v>0</v>
      </c>
      <c r="AB115" s="29"/>
      <c r="AC115" s="21"/>
      <c r="AD115" s="13">
        <f t="shared" si="25"/>
        <v>13.146341463414636</v>
      </c>
      <c r="AE115" s="13">
        <f t="shared" si="26"/>
        <v>13.146341463414636</v>
      </c>
      <c r="AF115" s="13">
        <v>8.8000000000000007</v>
      </c>
      <c r="AG115" s="13">
        <v>12.4</v>
      </c>
      <c r="AH115" s="13">
        <v>12.6</v>
      </c>
      <c r="AI115" s="13">
        <v>15</v>
      </c>
      <c r="AJ115" s="13">
        <v>15</v>
      </c>
      <c r="AK115" s="13">
        <v>10</v>
      </c>
      <c r="AL115" s="13">
        <v>8.1999999999999993</v>
      </c>
      <c r="AM115" s="13">
        <v>8.4</v>
      </c>
      <c r="AN115" s="13">
        <v>9.4</v>
      </c>
      <c r="AO115" s="13">
        <v>10</v>
      </c>
      <c r="AP115" s="13"/>
      <c r="AQ115" s="13">
        <f t="shared" si="27"/>
        <v>0</v>
      </c>
      <c r="AR115" t="s">
        <v>282</v>
      </c>
    </row>
    <row r="116" spans="1:44" x14ac:dyDescent="0.25">
      <c r="A116" s="13" t="s">
        <v>283</v>
      </c>
      <c r="B116" s="13" t="s">
        <v>46</v>
      </c>
      <c r="C116" s="13">
        <v>40.896000000000001</v>
      </c>
      <c r="D116" s="13"/>
      <c r="E116" s="13">
        <v>40.250999999999998</v>
      </c>
      <c r="F116" s="13">
        <v>-6.5000000000000002E-2</v>
      </c>
      <c r="G116" s="6">
        <v>1</v>
      </c>
      <c r="H116" s="13">
        <v>60</v>
      </c>
      <c r="I116" s="13" t="s">
        <v>47</v>
      </c>
      <c r="J116" s="13"/>
      <c r="K116" s="13">
        <v>40</v>
      </c>
      <c r="L116" s="13">
        <f t="shared" si="23"/>
        <v>0.25099999999999767</v>
      </c>
      <c r="M116" s="13"/>
      <c r="N116" s="13"/>
      <c r="O116" s="13"/>
      <c r="P116" s="13">
        <v>30.809000000000001</v>
      </c>
      <c r="Q116" s="13"/>
      <c r="R116" s="13"/>
      <c r="S116" s="13">
        <v>61.823799999999991</v>
      </c>
      <c r="T116" s="13"/>
      <c r="U116" s="13"/>
      <c r="V116" s="13">
        <v>18.379400000000011</v>
      </c>
      <c r="W116" s="25"/>
      <c r="X116" s="17"/>
      <c r="Y116" s="13">
        <f t="shared" si="24"/>
        <v>8.0502000000000002</v>
      </c>
      <c r="Z116" s="4"/>
      <c r="AA116" s="4">
        <f t="shared" si="22"/>
        <v>0</v>
      </c>
      <c r="AB116" s="29"/>
      <c r="AC116" s="21"/>
      <c r="AD116" s="13">
        <f t="shared" si="25"/>
        <v>13.781918461653127</v>
      </c>
      <c r="AE116" s="13">
        <f t="shared" si="26"/>
        <v>13.781918461653127</v>
      </c>
      <c r="AF116" s="13">
        <v>10.552199999999999</v>
      </c>
      <c r="AG116" s="13">
        <v>11.1274</v>
      </c>
      <c r="AH116" s="13">
        <v>8.5960000000000001</v>
      </c>
      <c r="AI116" s="13">
        <v>6.4635999999999996</v>
      </c>
      <c r="AJ116" s="13">
        <v>6.4147999999999996</v>
      </c>
      <c r="AK116" s="13">
        <v>7.0069999999999997</v>
      </c>
      <c r="AL116" s="13">
        <v>6.0356000000000014</v>
      </c>
      <c r="AM116" s="13">
        <v>11.877599999999999</v>
      </c>
      <c r="AN116" s="13">
        <v>12.359</v>
      </c>
      <c r="AO116" s="13">
        <v>9.2641999999999989</v>
      </c>
      <c r="AP116" s="13"/>
      <c r="AQ116" s="13">
        <f t="shared" si="27"/>
        <v>0</v>
      </c>
      <c r="AR116" t="s">
        <v>284</v>
      </c>
    </row>
    <row r="117" spans="1:44" x14ac:dyDescent="0.25">
      <c r="A117" s="13" t="s">
        <v>285</v>
      </c>
      <c r="B117" s="13" t="s">
        <v>46</v>
      </c>
      <c r="C117" s="13">
        <v>34.404000000000003</v>
      </c>
      <c r="D117" s="13">
        <v>17.626999999999999</v>
      </c>
      <c r="E117" s="13">
        <v>47.018000000000001</v>
      </c>
      <c r="F117" s="13">
        <v>7.0000000000000007E-2</v>
      </c>
      <c r="G117" s="6">
        <v>1</v>
      </c>
      <c r="H117" s="13">
        <v>50</v>
      </c>
      <c r="I117" s="13" t="s">
        <v>47</v>
      </c>
      <c r="J117" s="13"/>
      <c r="K117" s="13">
        <v>70.063999999999993</v>
      </c>
      <c r="L117" s="13">
        <f t="shared" si="23"/>
        <v>-23.045999999999992</v>
      </c>
      <c r="M117" s="13"/>
      <c r="N117" s="13"/>
      <c r="O117" s="13"/>
      <c r="P117" s="13">
        <v>0</v>
      </c>
      <c r="Q117" s="13"/>
      <c r="R117" s="13"/>
      <c r="S117" s="13">
        <v>150</v>
      </c>
      <c r="T117" s="13"/>
      <c r="U117" s="13"/>
      <c r="V117" s="13">
        <v>47.601800000000019</v>
      </c>
      <c r="W117" s="25"/>
      <c r="X117" s="17"/>
      <c r="Y117" s="13">
        <f t="shared" si="24"/>
        <v>9.4036000000000008</v>
      </c>
      <c r="Z117" s="4"/>
      <c r="AA117" s="4">
        <f t="shared" si="22"/>
        <v>0</v>
      </c>
      <c r="AB117" s="29"/>
      <c r="AC117" s="21"/>
      <c r="AD117" s="13">
        <f t="shared" si="25"/>
        <v>21.020864349823473</v>
      </c>
      <c r="AE117" s="13">
        <f t="shared" si="26"/>
        <v>21.020864349823473</v>
      </c>
      <c r="AF117" s="13">
        <v>18.6568</v>
      </c>
      <c r="AG117" s="13">
        <v>16.679200000000002</v>
      </c>
      <c r="AH117" s="13">
        <v>8.3925999999999998</v>
      </c>
      <c r="AI117" s="13">
        <v>11.4232</v>
      </c>
      <c r="AJ117" s="13">
        <v>9.4489999999999998</v>
      </c>
      <c r="AK117" s="13">
        <v>6.4813999999999989</v>
      </c>
      <c r="AL117" s="13">
        <v>7.4802000000000008</v>
      </c>
      <c r="AM117" s="13">
        <v>18.96</v>
      </c>
      <c r="AN117" s="13">
        <v>21.4636</v>
      </c>
      <c r="AO117" s="13">
        <v>13.702</v>
      </c>
      <c r="AP117" s="13"/>
      <c r="AQ117" s="13">
        <f t="shared" si="27"/>
        <v>0</v>
      </c>
      <c r="AR117" t="s">
        <v>286</v>
      </c>
    </row>
    <row r="118" spans="1:44" x14ac:dyDescent="0.25">
      <c r="A118" s="13" t="s">
        <v>287</v>
      </c>
      <c r="B118" s="13" t="s">
        <v>54</v>
      </c>
      <c r="C118" s="13">
        <v>4</v>
      </c>
      <c r="D118" s="13">
        <v>122</v>
      </c>
      <c r="E118" s="13">
        <v>46</v>
      </c>
      <c r="F118" s="13">
        <v>66</v>
      </c>
      <c r="G118" s="6">
        <v>0.09</v>
      </c>
      <c r="H118" s="13">
        <v>45</v>
      </c>
      <c r="I118" s="13" t="s">
        <v>47</v>
      </c>
      <c r="J118" s="13"/>
      <c r="K118" s="13">
        <v>67</v>
      </c>
      <c r="L118" s="13">
        <f t="shared" si="23"/>
        <v>-21</v>
      </c>
      <c r="M118" s="13"/>
      <c r="N118" s="13"/>
      <c r="O118" s="13"/>
      <c r="P118" s="13">
        <v>26.000000000000011</v>
      </c>
      <c r="Q118" s="13"/>
      <c r="R118" s="13"/>
      <c r="S118" s="13">
        <v>0</v>
      </c>
      <c r="T118" s="13"/>
      <c r="U118" s="13"/>
      <c r="V118" s="13">
        <v>0</v>
      </c>
      <c r="W118" s="25"/>
      <c r="X118" s="17"/>
      <c r="Y118" s="13">
        <f t="shared" si="24"/>
        <v>9.1999999999999993</v>
      </c>
      <c r="Z118" s="4">
        <f>12*Y118-V118-U118-T118-S118-R118-Q118-P118-O118-F118</f>
        <v>18.399999999999977</v>
      </c>
      <c r="AA118" s="4">
        <f t="shared" si="22"/>
        <v>18.399999999999977</v>
      </c>
      <c r="AB118" s="29"/>
      <c r="AC118" s="21"/>
      <c r="AD118" s="13">
        <f t="shared" si="25"/>
        <v>12</v>
      </c>
      <c r="AE118" s="13">
        <f t="shared" si="26"/>
        <v>10.000000000000002</v>
      </c>
      <c r="AF118" s="13">
        <v>3.6</v>
      </c>
      <c r="AG118" s="13">
        <v>8.4</v>
      </c>
      <c r="AH118" s="13">
        <v>12.8</v>
      </c>
      <c r="AI118" s="13">
        <v>13.8</v>
      </c>
      <c r="AJ118" s="13">
        <v>12</v>
      </c>
      <c r="AK118" s="13">
        <v>7</v>
      </c>
      <c r="AL118" s="13">
        <v>7.6</v>
      </c>
      <c r="AM118" s="13">
        <v>10.8</v>
      </c>
      <c r="AN118" s="13">
        <v>11</v>
      </c>
      <c r="AO118" s="13">
        <v>11.8</v>
      </c>
      <c r="AP118" s="13"/>
      <c r="AQ118" s="13">
        <f t="shared" si="27"/>
        <v>2</v>
      </c>
      <c r="AR118" t="s">
        <v>288</v>
      </c>
    </row>
    <row r="119" spans="1:44" x14ac:dyDescent="0.25">
      <c r="A119" s="13" t="s">
        <v>289</v>
      </c>
      <c r="B119" s="13" t="s">
        <v>54</v>
      </c>
      <c r="C119" s="13">
        <v>14</v>
      </c>
      <c r="D119" s="13">
        <v>101</v>
      </c>
      <c r="E119" s="13">
        <v>36</v>
      </c>
      <c r="F119" s="13">
        <v>74</v>
      </c>
      <c r="G119" s="6">
        <v>0.09</v>
      </c>
      <c r="H119" s="13">
        <v>45</v>
      </c>
      <c r="I119" s="13" t="s">
        <v>47</v>
      </c>
      <c r="J119" s="13"/>
      <c r="K119" s="13">
        <v>56</v>
      </c>
      <c r="L119" s="13">
        <f t="shared" si="23"/>
        <v>-20</v>
      </c>
      <c r="M119" s="13"/>
      <c r="N119" s="13"/>
      <c r="O119" s="13"/>
      <c r="P119" s="13">
        <v>44</v>
      </c>
      <c r="Q119" s="13"/>
      <c r="R119" s="13"/>
      <c r="S119" s="13">
        <v>0</v>
      </c>
      <c r="T119" s="13"/>
      <c r="U119" s="13"/>
      <c r="V119" s="13">
        <v>0</v>
      </c>
      <c r="W119" s="25"/>
      <c r="X119" s="17"/>
      <c r="Y119" s="13">
        <f t="shared" si="24"/>
        <v>7.2</v>
      </c>
      <c r="Z119" s="4"/>
      <c r="AA119" s="4">
        <f t="shared" si="22"/>
        <v>0</v>
      </c>
      <c r="AB119" s="29"/>
      <c r="AC119" s="21"/>
      <c r="AD119" s="13">
        <f t="shared" si="25"/>
        <v>16.388888888888889</v>
      </c>
      <c r="AE119" s="13">
        <f t="shared" si="26"/>
        <v>16.388888888888889</v>
      </c>
      <c r="AF119" s="13">
        <v>4</v>
      </c>
      <c r="AG119" s="13">
        <v>11</v>
      </c>
      <c r="AH119" s="13">
        <v>14.6</v>
      </c>
      <c r="AI119" s="13">
        <v>14.6</v>
      </c>
      <c r="AJ119" s="13">
        <v>14</v>
      </c>
      <c r="AK119" s="13">
        <v>9.1999999999999993</v>
      </c>
      <c r="AL119" s="13">
        <v>12.2</v>
      </c>
      <c r="AM119" s="13">
        <v>5.8</v>
      </c>
      <c r="AN119" s="13">
        <v>10</v>
      </c>
      <c r="AO119" s="13">
        <v>13.4</v>
      </c>
      <c r="AP119" s="13"/>
      <c r="AQ119" s="13">
        <f t="shared" si="27"/>
        <v>0</v>
      </c>
      <c r="AR119" t="s">
        <v>290</v>
      </c>
    </row>
    <row r="120" spans="1:44" x14ac:dyDescent="0.25">
      <c r="A120" s="13" t="s">
        <v>291</v>
      </c>
      <c r="B120" s="13" t="s">
        <v>46</v>
      </c>
      <c r="C120" s="13">
        <v>4.1509999999999998</v>
      </c>
      <c r="D120" s="13">
        <v>106.533</v>
      </c>
      <c r="E120" s="13">
        <v>77.415999999999997</v>
      </c>
      <c r="F120" s="13">
        <v>24.808</v>
      </c>
      <c r="G120" s="6">
        <v>1</v>
      </c>
      <c r="H120" s="13">
        <v>60</v>
      </c>
      <c r="I120" s="13" t="s">
        <v>47</v>
      </c>
      <c r="J120" s="13"/>
      <c r="K120" s="13">
        <v>90.5</v>
      </c>
      <c r="L120" s="13">
        <f t="shared" si="23"/>
        <v>-13.084000000000003</v>
      </c>
      <c r="M120" s="13"/>
      <c r="N120" s="13"/>
      <c r="O120" s="13"/>
      <c r="P120" s="13">
        <v>111.0322</v>
      </c>
      <c r="Q120" s="13"/>
      <c r="R120" s="13"/>
      <c r="S120" s="13">
        <v>5.1610000000000396</v>
      </c>
      <c r="T120" s="13"/>
      <c r="U120" s="13"/>
      <c r="V120" s="13">
        <v>0</v>
      </c>
      <c r="W120" s="25"/>
      <c r="X120" s="17"/>
      <c r="Y120" s="13">
        <f t="shared" si="24"/>
        <v>15.4832</v>
      </c>
      <c r="Z120" s="4">
        <f>12*Y120-V120-U120-T120-S120-R120-Q120-P120-O120-F120</f>
        <v>44.797199999999982</v>
      </c>
      <c r="AA120" s="4">
        <f t="shared" si="22"/>
        <v>44.797199999999982</v>
      </c>
      <c r="AB120" s="29"/>
      <c r="AC120" s="21"/>
      <c r="AD120" s="13">
        <f t="shared" si="25"/>
        <v>12.000000000000002</v>
      </c>
      <c r="AE120" s="13">
        <f t="shared" si="26"/>
        <v>9.1067221246254029</v>
      </c>
      <c r="AF120" s="13">
        <v>12.798999999999999</v>
      </c>
      <c r="AG120" s="13">
        <v>18.248999999999999</v>
      </c>
      <c r="AH120" s="13">
        <v>21.303999999999998</v>
      </c>
      <c r="AI120" s="13">
        <v>16.989799999999999</v>
      </c>
      <c r="AJ120" s="13">
        <v>15.9558</v>
      </c>
      <c r="AK120" s="13">
        <v>9.9768000000000008</v>
      </c>
      <c r="AL120" s="13">
        <v>13.449199999999999</v>
      </c>
      <c r="AM120" s="13">
        <v>20.5716</v>
      </c>
      <c r="AN120" s="13">
        <v>16.994599999999998</v>
      </c>
      <c r="AO120" s="13">
        <v>15.692399999999999</v>
      </c>
      <c r="AP120" s="13"/>
      <c r="AQ120" s="13">
        <f t="shared" si="27"/>
        <v>45</v>
      </c>
      <c r="AR120" t="s">
        <v>292</v>
      </c>
    </row>
    <row r="121" spans="1:44" x14ac:dyDescent="0.25">
      <c r="A121" s="13" t="s">
        <v>293</v>
      </c>
      <c r="B121" s="13" t="s">
        <v>46</v>
      </c>
      <c r="C121" s="13">
        <v>39.805999999999997</v>
      </c>
      <c r="D121" s="13">
        <v>116.75700000000001</v>
      </c>
      <c r="E121" s="13">
        <v>135.85499999999999</v>
      </c>
      <c r="F121" s="13">
        <v>10.23</v>
      </c>
      <c r="G121" s="6">
        <v>1</v>
      </c>
      <c r="H121" s="13">
        <v>60</v>
      </c>
      <c r="I121" s="13" t="s">
        <v>47</v>
      </c>
      <c r="J121" s="13"/>
      <c r="K121" s="13">
        <v>183.5</v>
      </c>
      <c r="L121" s="13">
        <f t="shared" si="23"/>
        <v>-47.64500000000001</v>
      </c>
      <c r="M121" s="13"/>
      <c r="N121" s="13"/>
      <c r="O121" s="13"/>
      <c r="P121" s="13">
        <v>67.06019999999998</v>
      </c>
      <c r="Q121" s="13"/>
      <c r="R121" s="13"/>
      <c r="S121" s="13">
        <v>450</v>
      </c>
      <c r="T121" s="13"/>
      <c r="U121" s="13"/>
      <c r="V121" s="13">
        <v>0</v>
      </c>
      <c r="W121" s="25"/>
      <c r="X121" s="17"/>
      <c r="Y121" s="13">
        <f t="shared" si="24"/>
        <v>27.170999999999999</v>
      </c>
      <c r="Z121" s="4"/>
      <c r="AA121" s="4">
        <f t="shared" si="22"/>
        <v>0</v>
      </c>
      <c r="AB121" s="29"/>
      <c r="AC121" s="21"/>
      <c r="AD121" s="13">
        <f t="shared" si="25"/>
        <v>19.406359721762175</v>
      </c>
      <c r="AE121" s="13">
        <f t="shared" si="26"/>
        <v>19.406359721762175</v>
      </c>
      <c r="AF121" s="13">
        <v>43.596200000000003</v>
      </c>
      <c r="AG121" s="13">
        <v>48.666800000000002</v>
      </c>
      <c r="AH121" s="13">
        <v>30.369199999999999</v>
      </c>
      <c r="AI121" s="13">
        <v>23.996400000000001</v>
      </c>
      <c r="AJ121" s="13">
        <v>29.323</v>
      </c>
      <c r="AK121" s="13">
        <v>27.450399999999998</v>
      </c>
      <c r="AL121" s="13">
        <v>22.645399999999999</v>
      </c>
      <c r="AM121" s="13">
        <v>19.9846</v>
      </c>
      <c r="AN121" s="13">
        <v>26.598199999999999</v>
      </c>
      <c r="AO121" s="13">
        <v>30.647200000000002</v>
      </c>
      <c r="AP121" s="13"/>
      <c r="AQ121" s="13">
        <f t="shared" si="27"/>
        <v>0</v>
      </c>
      <c r="AR121" t="s">
        <v>294</v>
      </c>
    </row>
    <row r="122" spans="1:44" x14ac:dyDescent="0.25">
      <c r="A122" s="13" t="s">
        <v>295</v>
      </c>
      <c r="B122" s="13" t="s">
        <v>46</v>
      </c>
      <c r="C122" s="13">
        <v>31.567</v>
      </c>
      <c r="D122" s="13"/>
      <c r="E122" s="13">
        <v>29.454000000000001</v>
      </c>
      <c r="F122" s="13"/>
      <c r="G122" s="6">
        <v>1</v>
      </c>
      <c r="H122" s="13">
        <v>60</v>
      </c>
      <c r="I122" s="13" t="s">
        <v>47</v>
      </c>
      <c r="J122" s="13"/>
      <c r="K122" s="13">
        <v>40.299999999999997</v>
      </c>
      <c r="L122" s="13">
        <f t="shared" si="23"/>
        <v>-10.845999999999997</v>
      </c>
      <c r="M122" s="13"/>
      <c r="N122" s="13"/>
      <c r="O122" s="13"/>
      <c r="P122" s="13">
        <v>18.078399999999998</v>
      </c>
      <c r="Q122" s="13"/>
      <c r="R122" s="13"/>
      <c r="S122" s="13">
        <v>81.252800000000008</v>
      </c>
      <c r="T122" s="13"/>
      <c r="U122" s="13"/>
      <c r="V122" s="13">
        <v>12.7532</v>
      </c>
      <c r="W122" s="25"/>
      <c r="X122" s="17"/>
      <c r="Y122" s="13">
        <f t="shared" si="24"/>
        <v>5.8908000000000005</v>
      </c>
      <c r="Z122" s="4"/>
      <c r="AA122" s="4">
        <f t="shared" si="22"/>
        <v>0</v>
      </c>
      <c r="AB122" s="29"/>
      <c r="AC122" s="21"/>
      <c r="AD122" s="13">
        <f t="shared" si="25"/>
        <v>19.027025191824542</v>
      </c>
      <c r="AE122" s="13">
        <f t="shared" si="26"/>
        <v>19.027025191824542</v>
      </c>
      <c r="AF122" s="13">
        <v>10.9154</v>
      </c>
      <c r="AG122" s="13">
        <v>11.5212</v>
      </c>
      <c r="AH122" s="13">
        <v>7.3034000000000008</v>
      </c>
      <c r="AI122" s="13">
        <v>5.2080000000000002</v>
      </c>
      <c r="AJ122" s="13">
        <v>6.9459999999999997</v>
      </c>
      <c r="AK122" s="13">
        <v>7.2998000000000003</v>
      </c>
      <c r="AL122" s="13">
        <v>8.6598000000000006</v>
      </c>
      <c r="AM122" s="13">
        <v>5.4184000000000001</v>
      </c>
      <c r="AN122" s="13">
        <v>5.4029999999999996</v>
      </c>
      <c r="AO122" s="13">
        <v>3.9361999999999999</v>
      </c>
      <c r="AP122" s="13"/>
      <c r="AQ122" s="13">
        <f t="shared" si="27"/>
        <v>0</v>
      </c>
      <c r="AR122" t="s">
        <v>296</v>
      </c>
    </row>
    <row r="123" spans="1:44" x14ac:dyDescent="0.25">
      <c r="A123" s="13" t="s">
        <v>77</v>
      </c>
      <c r="B123" s="13" t="s">
        <v>46</v>
      </c>
      <c r="C123" s="13">
        <v>548.10599999999999</v>
      </c>
      <c r="D123" s="13"/>
      <c r="E123" s="13">
        <v>-0.63100000000000001</v>
      </c>
      <c r="F123" s="11">
        <f>545.589+F18</f>
        <v>540.55700000000002</v>
      </c>
      <c r="G123" s="6">
        <v>1</v>
      </c>
      <c r="H123" s="13">
        <v>60</v>
      </c>
      <c r="I123" s="13" t="s">
        <v>47</v>
      </c>
      <c r="J123" s="13"/>
      <c r="K123" s="13">
        <v>885</v>
      </c>
      <c r="L123" s="13">
        <f t="shared" si="23"/>
        <v>-885.63099999999997</v>
      </c>
      <c r="M123" s="13"/>
      <c r="N123" s="13"/>
      <c r="O123" s="13">
        <v>-543.07399999999996</v>
      </c>
      <c r="P123" s="13">
        <v>2205.1997999999999</v>
      </c>
      <c r="Q123" s="13"/>
      <c r="R123" s="13"/>
      <c r="S123" s="13">
        <v>0</v>
      </c>
      <c r="T123" s="13"/>
      <c r="U123" s="13"/>
      <c r="V123" s="13">
        <v>500</v>
      </c>
      <c r="W123" s="25"/>
      <c r="X123" s="17"/>
      <c r="Y123" s="13">
        <f t="shared" si="24"/>
        <v>-0.12620000000000001</v>
      </c>
      <c r="Z123" s="4"/>
      <c r="AA123" s="4">
        <f t="shared" si="22"/>
        <v>0</v>
      </c>
      <c r="AB123" s="29"/>
      <c r="AC123" s="21"/>
      <c r="AD123" s="13">
        <f t="shared" si="25"/>
        <v>-21415.87004754358</v>
      </c>
      <c r="AE123" s="13">
        <f t="shared" si="26"/>
        <v>-21415.87004754358</v>
      </c>
      <c r="AF123" s="13">
        <v>16.735600000000002</v>
      </c>
      <c r="AG123" s="13">
        <v>189.98179999999999</v>
      </c>
      <c r="AH123" s="13">
        <v>232.40639999999999</v>
      </c>
      <c r="AI123" s="13">
        <v>104.16679999999999</v>
      </c>
      <c r="AJ123" s="13">
        <v>38.833199999999998</v>
      </c>
      <c r="AK123" s="13">
        <v>101.4106</v>
      </c>
      <c r="AL123" s="13">
        <v>172.1686</v>
      </c>
      <c r="AM123" s="13">
        <v>194.34620000000001</v>
      </c>
      <c r="AN123" s="13">
        <v>173.6292</v>
      </c>
      <c r="AO123" s="13">
        <v>165.13419999999999</v>
      </c>
      <c r="AP123" s="13"/>
      <c r="AQ123" s="13">
        <f t="shared" si="27"/>
        <v>0</v>
      </c>
      <c r="AR123" t="s">
        <v>78</v>
      </c>
    </row>
    <row r="124" spans="1:44" x14ac:dyDescent="0.25">
      <c r="A124" s="13" t="s">
        <v>297</v>
      </c>
      <c r="B124" s="13" t="s">
        <v>54</v>
      </c>
      <c r="C124" s="13">
        <v>11</v>
      </c>
      <c r="D124" s="13">
        <v>60</v>
      </c>
      <c r="E124" s="13">
        <v>41</v>
      </c>
      <c r="F124" s="13">
        <v>30</v>
      </c>
      <c r="G124" s="6">
        <v>0.25</v>
      </c>
      <c r="H124" s="13">
        <v>1096</v>
      </c>
      <c r="I124" s="13" t="s">
        <v>47</v>
      </c>
      <c r="J124" s="13"/>
      <c r="K124" s="13">
        <v>50</v>
      </c>
      <c r="L124" s="13">
        <f t="shared" si="23"/>
        <v>-9</v>
      </c>
      <c r="M124" s="13"/>
      <c r="N124" s="13"/>
      <c r="O124" s="13"/>
      <c r="P124" s="13">
        <v>226</v>
      </c>
      <c r="Q124" s="13"/>
      <c r="R124" s="13"/>
      <c r="S124" s="13">
        <v>462.80000000000013</v>
      </c>
      <c r="T124" s="13"/>
      <c r="U124" s="13"/>
      <c r="V124" s="13">
        <v>0</v>
      </c>
      <c r="W124" s="25"/>
      <c r="X124" s="17"/>
      <c r="Y124" s="13">
        <f t="shared" si="24"/>
        <v>8.1999999999999993</v>
      </c>
      <c r="Z124" s="4"/>
      <c r="AA124" s="4">
        <f t="shared" si="22"/>
        <v>0</v>
      </c>
      <c r="AB124" s="29"/>
      <c r="AC124" s="21"/>
      <c r="AD124" s="13">
        <f t="shared" si="25"/>
        <v>87.65853658536588</v>
      </c>
      <c r="AE124" s="13">
        <f t="shared" si="26"/>
        <v>87.65853658536588</v>
      </c>
      <c r="AF124" s="13">
        <v>28.6</v>
      </c>
      <c r="AG124" s="13">
        <v>57.6</v>
      </c>
      <c r="AH124" s="13">
        <v>38</v>
      </c>
      <c r="AI124" s="13">
        <v>10.4</v>
      </c>
      <c r="AJ124" s="13">
        <v>4.8</v>
      </c>
      <c r="AK124" s="13">
        <v>28.2</v>
      </c>
      <c r="AL124" s="13">
        <v>28.8</v>
      </c>
      <c r="AM124" s="13">
        <v>0</v>
      </c>
      <c r="AN124" s="13">
        <v>0</v>
      </c>
      <c r="AO124" s="13">
        <v>1.8</v>
      </c>
      <c r="AP124" s="13"/>
      <c r="AQ124" s="13">
        <f t="shared" si="27"/>
        <v>0</v>
      </c>
      <c r="AR124" t="s">
        <v>298</v>
      </c>
    </row>
    <row r="125" spans="1:44" x14ac:dyDescent="0.25">
      <c r="A125" s="13" t="s">
        <v>299</v>
      </c>
      <c r="B125" s="13" t="s">
        <v>54</v>
      </c>
      <c r="C125" s="13">
        <v>23</v>
      </c>
      <c r="D125" s="13">
        <v>324</v>
      </c>
      <c r="E125" s="13">
        <v>71</v>
      </c>
      <c r="F125" s="13">
        <v>281</v>
      </c>
      <c r="G125" s="6">
        <v>0.32500000000000001</v>
      </c>
      <c r="H125" s="13">
        <v>1096</v>
      </c>
      <c r="I125" s="13" t="s">
        <v>47</v>
      </c>
      <c r="J125" s="13"/>
      <c r="K125" s="13">
        <v>70</v>
      </c>
      <c r="L125" s="13">
        <f t="shared" si="23"/>
        <v>1</v>
      </c>
      <c r="M125" s="13"/>
      <c r="N125" s="13"/>
      <c r="O125" s="13"/>
      <c r="P125" s="13">
        <v>0</v>
      </c>
      <c r="Q125" s="13"/>
      <c r="R125" s="13"/>
      <c r="S125" s="13">
        <v>97</v>
      </c>
      <c r="T125" s="13"/>
      <c r="U125" s="13"/>
      <c r="V125" s="13">
        <v>0</v>
      </c>
      <c r="W125" s="25"/>
      <c r="X125" s="17"/>
      <c r="Y125" s="13">
        <f t="shared" si="24"/>
        <v>14.2</v>
      </c>
      <c r="Z125" s="4"/>
      <c r="AA125" s="4">
        <f t="shared" si="22"/>
        <v>0</v>
      </c>
      <c r="AB125" s="29"/>
      <c r="AC125" s="21"/>
      <c r="AD125" s="13">
        <f t="shared" si="25"/>
        <v>26.619718309859156</v>
      </c>
      <c r="AE125" s="13">
        <f t="shared" si="26"/>
        <v>26.619718309859156</v>
      </c>
      <c r="AF125" s="13">
        <v>26.4</v>
      </c>
      <c r="AG125" s="13">
        <v>35</v>
      </c>
      <c r="AH125" s="13">
        <v>17</v>
      </c>
      <c r="AI125" s="13">
        <v>11.2</v>
      </c>
      <c r="AJ125" s="13">
        <v>18</v>
      </c>
      <c r="AK125" s="13">
        <v>20</v>
      </c>
      <c r="AL125" s="13">
        <v>16.399999999999999</v>
      </c>
      <c r="AM125" s="13">
        <v>4.2</v>
      </c>
      <c r="AN125" s="13">
        <v>4.2</v>
      </c>
      <c r="AO125" s="13">
        <v>5.8</v>
      </c>
      <c r="AP125" s="13"/>
      <c r="AQ125" s="13">
        <f t="shared" si="27"/>
        <v>0</v>
      </c>
      <c r="AR125" t="s">
        <v>300</v>
      </c>
    </row>
    <row r="126" spans="1:44" x14ac:dyDescent="0.25">
      <c r="A126" s="13" t="s">
        <v>301</v>
      </c>
      <c r="B126" s="13" t="s">
        <v>54</v>
      </c>
      <c r="C126" s="13">
        <v>260</v>
      </c>
      <c r="D126" s="13">
        <v>5</v>
      </c>
      <c r="E126" s="13">
        <v>137</v>
      </c>
      <c r="F126" s="13">
        <v>129</v>
      </c>
      <c r="G126" s="6">
        <v>0.25</v>
      </c>
      <c r="H126" s="13">
        <v>1096</v>
      </c>
      <c r="I126" s="13" t="s">
        <v>47</v>
      </c>
      <c r="J126" s="13"/>
      <c r="K126" s="13">
        <v>137</v>
      </c>
      <c r="L126" s="13">
        <f t="shared" si="23"/>
        <v>0</v>
      </c>
      <c r="M126" s="13"/>
      <c r="N126" s="13"/>
      <c r="O126" s="13"/>
      <c r="P126" s="13">
        <v>74</v>
      </c>
      <c r="Q126" s="13"/>
      <c r="R126" s="13"/>
      <c r="S126" s="13">
        <v>700</v>
      </c>
      <c r="T126" s="13"/>
      <c r="U126" s="13"/>
      <c r="V126" s="13">
        <v>0</v>
      </c>
      <c r="W126" s="25"/>
      <c r="X126" s="17"/>
      <c r="Y126" s="13">
        <f t="shared" si="24"/>
        <v>27.4</v>
      </c>
      <c r="Z126" s="4"/>
      <c r="AA126" s="4">
        <f t="shared" si="22"/>
        <v>0</v>
      </c>
      <c r="AB126" s="29"/>
      <c r="AC126" s="21"/>
      <c r="AD126" s="13">
        <f t="shared" si="25"/>
        <v>32.956204379562045</v>
      </c>
      <c r="AE126" s="13">
        <f t="shared" si="26"/>
        <v>32.956204379562045</v>
      </c>
      <c r="AF126" s="13">
        <v>50.6</v>
      </c>
      <c r="AG126" s="13">
        <v>68.599999999999994</v>
      </c>
      <c r="AH126" s="13">
        <v>45</v>
      </c>
      <c r="AI126" s="13">
        <v>43.2</v>
      </c>
      <c r="AJ126" s="13">
        <v>44</v>
      </c>
      <c r="AK126" s="13">
        <v>62.8</v>
      </c>
      <c r="AL126" s="13">
        <v>77.599999999999994</v>
      </c>
      <c r="AM126" s="13">
        <v>29.6</v>
      </c>
      <c r="AN126" s="13">
        <v>1.2</v>
      </c>
      <c r="AO126" s="13">
        <v>1.8</v>
      </c>
      <c r="AP126" s="13"/>
      <c r="AQ126" s="13">
        <f t="shared" si="27"/>
        <v>0</v>
      </c>
      <c r="AR126" t="s">
        <v>302</v>
      </c>
    </row>
    <row r="127" spans="1:44" x14ac:dyDescent="0.25">
      <c r="A127" s="13" t="s">
        <v>303</v>
      </c>
      <c r="B127" s="13" t="s">
        <v>54</v>
      </c>
      <c r="C127" s="13">
        <v>-13</v>
      </c>
      <c r="D127" s="13"/>
      <c r="E127" s="13">
        <v>-4</v>
      </c>
      <c r="F127" s="13">
        <v>-13</v>
      </c>
      <c r="G127" s="6">
        <v>0.3</v>
      </c>
      <c r="H127" s="13">
        <v>40</v>
      </c>
      <c r="I127" s="12" t="s">
        <v>65</v>
      </c>
      <c r="J127" s="13"/>
      <c r="K127" s="13">
        <v>7</v>
      </c>
      <c r="L127" s="13">
        <f t="shared" si="23"/>
        <v>-11</v>
      </c>
      <c r="M127" s="13"/>
      <c r="N127" s="13"/>
      <c r="O127" s="13"/>
      <c r="P127" s="13">
        <v>60</v>
      </c>
      <c r="Q127" s="13">
        <v>-60</v>
      </c>
      <c r="R127" s="13"/>
      <c r="S127" s="13">
        <v>60</v>
      </c>
      <c r="T127" s="13"/>
      <c r="U127" s="13"/>
      <c r="V127" s="13">
        <v>150</v>
      </c>
      <c r="W127" s="25">
        <v>-150</v>
      </c>
      <c r="X127" s="17"/>
      <c r="Y127" s="13">
        <f t="shared" si="24"/>
        <v>-0.8</v>
      </c>
      <c r="Z127" s="4">
        <v>50</v>
      </c>
      <c r="AA127" s="4">
        <f t="shared" si="22"/>
        <v>50</v>
      </c>
      <c r="AB127" s="29">
        <v>-54</v>
      </c>
      <c r="AC127" s="21"/>
      <c r="AD127" s="13">
        <f t="shared" si="25"/>
        <v>-308.75</v>
      </c>
      <c r="AE127" s="13">
        <f t="shared" si="26"/>
        <v>-246.25</v>
      </c>
      <c r="AF127" s="13">
        <v>-1</v>
      </c>
      <c r="AG127" s="13">
        <v>-0.4</v>
      </c>
      <c r="AH127" s="13">
        <v>-0.2</v>
      </c>
      <c r="AI127" s="13">
        <v>-0.2</v>
      </c>
      <c r="AJ127" s="13">
        <v>0</v>
      </c>
      <c r="AK127" s="13">
        <v>21.8</v>
      </c>
      <c r="AL127" s="13">
        <v>46.2</v>
      </c>
      <c r="AM127" s="13">
        <v>55.2</v>
      </c>
      <c r="AN127" s="13">
        <v>43.487000000000002</v>
      </c>
      <c r="AO127" s="13">
        <v>36.4</v>
      </c>
      <c r="AP127" s="13"/>
      <c r="AQ127" s="13">
        <f t="shared" si="27"/>
        <v>15</v>
      </c>
      <c r="AR127" t="s">
        <v>304</v>
      </c>
    </row>
    <row r="128" spans="1:44" x14ac:dyDescent="0.25">
      <c r="A128" s="13" t="s">
        <v>305</v>
      </c>
      <c r="B128" s="13" t="s">
        <v>54</v>
      </c>
      <c r="C128" s="13">
        <v>1</v>
      </c>
      <c r="D128" s="13"/>
      <c r="E128" s="13">
        <v>-3</v>
      </c>
      <c r="F128" s="13">
        <v>1</v>
      </c>
      <c r="G128" s="6">
        <v>0.3</v>
      </c>
      <c r="H128" s="13">
        <v>40</v>
      </c>
      <c r="I128" s="12" t="s">
        <v>65</v>
      </c>
      <c r="J128" s="13"/>
      <c r="K128" s="13">
        <v>13</v>
      </c>
      <c r="L128" s="13">
        <f t="shared" si="23"/>
        <v>-16</v>
      </c>
      <c r="M128" s="13"/>
      <c r="N128" s="13"/>
      <c r="O128" s="13"/>
      <c r="P128" s="13">
        <v>60</v>
      </c>
      <c r="Q128" s="13">
        <v>-60</v>
      </c>
      <c r="R128" s="13"/>
      <c r="S128" s="13">
        <v>60</v>
      </c>
      <c r="T128" s="13">
        <v>-60</v>
      </c>
      <c r="U128" s="13"/>
      <c r="V128" s="13">
        <v>90</v>
      </c>
      <c r="W128" s="25">
        <v>-90</v>
      </c>
      <c r="X128" s="17"/>
      <c r="Y128" s="13">
        <f t="shared" si="24"/>
        <v>-0.6</v>
      </c>
      <c r="Z128" s="4">
        <v>60</v>
      </c>
      <c r="AA128" s="4">
        <f t="shared" si="22"/>
        <v>60</v>
      </c>
      <c r="AB128" s="29">
        <v>-60</v>
      </c>
      <c r="AC128" s="21"/>
      <c r="AD128" s="13">
        <f t="shared" si="25"/>
        <v>-251.66666666666669</v>
      </c>
      <c r="AE128" s="13">
        <f t="shared" si="26"/>
        <v>-151.66666666666669</v>
      </c>
      <c r="AF128" s="13">
        <v>-0.8</v>
      </c>
      <c r="AG128" s="13">
        <v>-1</v>
      </c>
      <c r="AH128" s="13">
        <v>-1.8</v>
      </c>
      <c r="AI128" s="13">
        <v>-2</v>
      </c>
      <c r="AJ128" s="13">
        <v>-1.8</v>
      </c>
      <c r="AK128" s="13">
        <v>-2</v>
      </c>
      <c r="AL128" s="13">
        <v>-1.6</v>
      </c>
      <c r="AM128" s="13">
        <v>9.4</v>
      </c>
      <c r="AN128" s="13">
        <v>19</v>
      </c>
      <c r="AO128" s="13">
        <v>30.6</v>
      </c>
      <c r="AP128" s="13"/>
      <c r="AQ128" s="13">
        <f t="shared" si="27"/>
        <v>18</v>
      </c>
      <c r="AR128" t="s">
        <v>306</v>
      </c>
    </row>
    <row r="129" spans="1:44" x14ac:dyDescent="0.25">
      <c r="A129" s="13" t="s">
        <v>307</v>
      </c>
      <c r="B129" s="13" t="s">
        <v>46</v>
      </c>
      <c r="C129" s="13">
        <v>25.370999999999999</v>
      </c>
      <c r="D129" s="13"/>
      <c r="E129" s="13">
        <v>17.158000000000001</v>
      </c>
      <c r="F129" s="13">
        <v>6.851</v>
      </c>
      <c r="G129" s="6">
        <v>1</v>
      </c>
      <c r="H129" s="13">
        <v>50</v>
      </c>
      <c r="I129" s="13" t="s">
        <v>47</v>
      </c>
      <c r="J129" s="13"/>
      <c r="K129" s="13">
        <v>18.2</v>
      </c>
      <c r="L129" s="13">
        <f t="shared" si="23"/>
        <v>-1.041999999999998</v>
      </c>
      <c r="M129" s="13"/>
      <c r="N129" s="13"/>
      <c r="O129" s="13"/>
      <c r="P129" s="13">
        <v>0</v>
      </c>
      <c r="Q129" s="13"/>
      <c r="R129" s="13"/>
      <c r="S129" s="13">
        <v>27.114999999999991</v>
      </c>
      <c r="T129" s="13"/>
      <c r="U129" s="13"/>
      <c r="V129" s="13">
        <v>0</v>
      </c>
      <c r="W129" s="25"/>
      <c r="X129" s="17"/>
      <c r="Y129" s="13">
        <f t="shared" si="24"/>
        <v>3.4316000000000004</v>
      </c>
      <c r="Z129" s="4">
        <f>12*Y129-V129-U129-T129-S129-R129-Q129-P129-O129-F129</f>
        <v>7.2132000000000174</v>
      </c>
      <c r="AA129" s="4">
        <f t="shared" si="22"/>
        <v>7.2132000000000174</v>
      </c>
      <c r="AB129" s="29"/>
      <c r="AC129" s="21"/>
      <c r="AD129" s="13">
        <f t="shared" si="25"/>
        <v>12.000000000000002</v>
      </c>
      <c r="AE129" s="13">
        <f t="shared" si="26"/>
        <v>9.8980067606947166</v>
      </c>
      <c r="AF129" s="13">
        <v>3.7071999999999998</v>
      </c>
      <c r="AG129" s="13">
        <v>4.2619999999999996</v>
      </c>
      <c r="AH129" s="13">
        <v>3.2035999999999998</v>
      </c>
      <c r="AI129" s="13">
        <v>1.8520000000000001</v>
      </c>
      <c r="AJ129" s="13">
        <v>0.26700000000000002</v>
      </c>
      <c r="AK129" s="13">
        <v>1.8872</v>
      </c>
      <c r="AL129" s="13">
        <v>2.9937999999999998</v>
      </c>
      <c r="AM129" s="13">
        <v>4.6555999999999997</v>
      </c>
      <c r="AN129" s="13">
        <v>3.5312000000000001</v>
      </c>
      <c r="AO129" s="13">
        <v>1.0506</v>
      </c>
      <c r="AP129" s="13"/>
      <c r="AQ129" s="13">
        <f t="shared" si="27"/>
        <v>7</v>
      </c>
      <c r="AR129" t="s">
        <v>308</v>
      </c>
    </row>
    <row r="130" spans="1:44" x14ac:dyDescent="0.25">
      <c r="A130" s="13" t="s">
        <v>309</v>
      </c>
      <c r="B130" s="13" t="s">
        <v>54</v>
      </c>
      <c r="C130" s="13"/>
      <c r="D130" s="13"/>
      <c r="E130" s="13"/>
      <c r="F130" s="13"/>
      <c r="G130" s="6">
        <v>0.3</v>
      </c>
      <c r="H130" s="13">
        <v>40</v>
      </c>
      <c r="I130" s="12" t="s">
        <v>65</v>
      </c>
      <c r="J130" s="13"/>
      <c r="K130" s="13">
        <v>4</v>
      </c>
      <c r="L130" s="13">
        <f t="shared" si="23"/>
        <v>-4</v>
      </c>
      <c r="M130" s="13"/>
      <c r="N130" s="13"/>
      <c r="O130" s="13"/>
      <c r="P130" s="13">
        <v>40</v>
      </c>
      <c r="Q130" s="13">
        <v>-42</v>
      </c>
      <c r="R130" s="13"/>
      <c r="S130" s="13">
        <v>40</v>
      </c>
      <c r="T130" s="13">
        <v>-42</v>
      </c>
      <c r="U130" s="13"/>
      <c r="V130" s="13">
        <v>60</v>
      </c>
      <c r="W130" s="25">
        <v>-60</v>
      </c>
      <c r="X130" s="17"/>
      <c r="Y130" s="13">
        <f t="shared" si="24"/>
        <v>0</v>
      </c>
      <c r="Z130" s="4">
        <v>40</v>
      </c>
      <c r="AA130" s="4">
        <f t="shared" si="22"/>
        <v>40</v>
      </c>
      <c r="AB130" s="29">
        <v>-42</v>
      </c>
      <c r="AC130" s="21"/>
      <c r="AD130" s="13" t="e">
        <f t="shared" si="25"/>
        <v>#DIV/0!</v>
      </c>
      <c r="AE130" s="13" t="e">
        <f t="shared" si="26"/>
        <v>#DIV/0!</v>
      </c>
      <c r="AF130" s="13">
        <v>0</v>
      </c>
      <c r="AG130" s="13">
        <v>-0.2</v>
      </c>
      <c r="AH130" s="13">
        <v>-0.2</v>
      </c>
      <c r="AI130" s="13">
        <v>-0.4</v>
      </c>
      <c r="AJ130" s="13">
        <v>0.4</v>
      </c>
      <c r="AK130" s="13">
        <v>17.8</v>
      </c>
      <c r="AL130" s="13">
        <v>33.4</v>
      </c>
      <c r="AM130" s="13">
        <v>17.8</v>
      </c>
      <c r="AN130" s="13">
        <v>5.4</v>
      </c>
      <c r="AO130" s="13">
        <v>17.8</v>
      </c>
      <c r="AP130" s="13"/>
      <c r="AQ130" s="13">
        <f t="shared" si="27"/>
        <v>12</v>
      </c>
      <c r="AR130" t="s">
        <v>310</v>
      </c>
    </row>
    <row r="131" spans="1:44" x14ac:dyDescent="0.25">
      <c r="A131" s="13" t="s">
        <v>311</v>
      </c>
      <c r="B131" s="13" t="s">
        <v>54</v>
      </c>
      <c r="C131" s="13">
        <v>-2</v>
      </c>
      <c r="D131" s="13"/>
      <c r="E131" s="13">
        <v>-1</v>
      </c>
      <c r="F131" s="13">
        <v>-2</v>
      </c>
      <c r="G131" s="6">
        <v>0.12</v>
      </c>
      <c r="H131" s="13">
        <v>45</v>
      </c>
      <c r="I131" s="12" t="s">
        <v>65</v>
      </c>
      <c r="J131" s="13"/>
      <c r="K131" s="13">
        <v>4</v>
      </c>
      <c r="L131" s="13">
        <f t="shared" si="23"/>
        <v>-5</v>
      </c>
      <c r="M131" s="13"/>
      <c r="N131" s="13"/>
      <c r="O131" s="13"/>
      <c r="P131" s="13">
        <v>30</v>
      </c>
      <c r="Q131" s="13"/>
      <c r="R131" s="13"/>
      <c r="S131" s="13">
        <v>20</v>
      </c>
      <c r="T131" s="13"/>
      <c r="U131" s="13"/>
      <c r="V131" s="13">
        <v>15</v>
      </c>
      <c r="W131" s="25"/>
      <c r="X131" s="17"/>
      <c r="Y131" s="13">
        <f t="shared" si="24"/>
        <v>-0.2</v>
      </c>
      <c r="Z131" s="4">
        <v>10</v>
      </c>
      <c r="AA131" s="4">
        <f t="shared" si="22"/>
        <v>10</v>
      </c>
      <c r="AB131" s="29"/>
      <c r="AC131" s="21"/>
      <c r="AD131" s="13">
        <f t="shared" si="25"/>
        <v>-365</v>
      </c>
      <c r="AE131" s="13">
        <f t="shared" si="26"/>
        <v>-315</v>
      </c>
      <c r="AF131" s="13">
        <v>2.6</v>
      </c>
      <c r="AG131" s="13">
        <v>8</v>
      </c>
      <c r="AH131" s="13">
        <v>6.2</v>
      </c>
      <c r="AI131" s="13">
        <v>7.8</v>
      </c>
      <c r="AJ131" s="13">
        <v>11.4</v>
      </c>
      <c r="AK131" s="13">
        <v>9.4</v>
      </c>
      <c r="AL131" s="13">
        <v>6.8</v>
      </c>
      <c r="AM131" s="13">
        <v>6.6</v>
      </c>
      <c r="AN131" s="13">
        <v>7</v>
      </c>
      <c r="AO131" s="13">
        <v>9.1999999999999993</v>
      </c>
      <c r="AP131" s="13"/>
      <c r="AQ131" s="13">
        <f t="shared" si="27"/>
        <v>1</v>
      </c>
      <c r="AR131" t="s">
        <v>312</v>
      </c>
    </row>
    <row r="132" spans="1:44" x14ac:dyDescent="0.25">
      <c r="A132" s="8" t="s">
        <v>313</v>
      </c>
      <c r="B132" s="8" t="s">
        <v>54</v>
      </c>
      <c r="C132" s="8">
        <v>183</v>
      </c>
      <c r="D132" s="8">
        <v>1</v>
      </c>
      <c r="E132" s="11">
        <v>92</v>
      </c>
      <c r="F132" s="11">
        <v>85</v>
      </c>
      <c r="G132" s="9">
        <v>0</v>
      </c>
      <c r="H132" s="8"/>
      <c r="I132" s="8" t="s">
        <v>314</v>
      </c>
      <c r="J132" s="8" t="s">
        <v>162</v>
      </c>
      <c r="K132" s="8">
        <v>97</v>
      </c>
      <c r="L132" s="8">
        <f t="shared" si="23"/>
        <v>-5</v>
      </c>
      <c r="M132" s="8"/>
      <c r="N132" s="8"/>
      <c r="O132" s="8"/>
      <c r="P132" s="8">
        <v>0</v>
      </c>
      <c r="Q132" s="8"/>
      <c r="R132" s="8"/>
      <c r="S132" s="8">
        <v>0</v>
      </c>
      <c r="T132" s="8"/>
      <c r="U132" s="8"/>
      <c r="V132" s="8">
        <v>0</v>
      </c>
      <c r="W132" s="27"/>
      <c r="X132" s="19"/>
      <c r="Y132" s="8">
        <f t="shared" si="24"/>
        <v>18.399999999999999</v>
      </c>
      <c r="Z132" s="10"/>
      <c r="AA132" s="4">
        <f t="shared" si="22"/>
        <v>0</v>
      </c>
      <c r="AB132" s="29"/>
      <c r="AC132" s="21"/>
      <c r="AD132" s="13">
        <f t="shared" si="25"/>
        <v>4.6195652173913047</v>
      </c>
      <c r="AE132" s="8">
        <f t="shared" si="26"/>
        <v>4.6195652173913047</v>
      </c>
      <c r="AF132" s="8">
        <v>15.4</v>
      </c>
      <c r="AG132" s="8">
        <v>18</v>
      </c>
      <c r="AH132" s="8">
        <v>14.4</v>
      </c>
      <c r="AI132" s="8">
        <v>2.8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/>
      <c r="AQ132" s="13">
        <f t="shared" si="27"/>
        <v>0</v>
      </c>
    </row>
    <row r="133" spans="1:44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25"/>
      <c r="X133" s="17"/>
      <c r="Y133" s="13"/>
      <c r="Z133" s="13"/>
      <c r="AA133" s="13"/>
      <c r="AB133" s="25"/>
      <c r="AC133" s="17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 spans="1:44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25"/>
      <c r="X134" s="17"/>
      <c r="Y134" s="13"/>
      <c r="Z134" s="13"/>
      <c r="AA134" s="13"/>
      <c r="AB134" s="25"/>
      <c r="AC134" s="17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 spans="1:44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25"/>
      <c r="X135" s="17"/>
      <c r="Y135" s="13"/>
      <c r="Z135" s="13"/>
      <c r="AA135" s="13"/>
      <c r="AB135" s="25"/>
      <c r="AC135" s="17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 spans="1:44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25"/>
      <c r="X136" s="17"/>
      <c r="Y136" s="13"/>
      <c r="Z136" s="13"/>
      <c r="AA136" s="13"/>
      <c r="AB136" s="25"/>
      <c r="AC136" s="17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 spans="1:44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25"/>
      <c r="X137" s="17"/>
      <c r="Y137" s="13"/>
      <c r="Z137" s="13"/>
      <c r="AA137" s="13"/>
      <c r="AB137" s="25"/>
      <c r="AC137" s="17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 spans="1:44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25"/>
      <c r="X138" s="17"/>
      <c r="Y138" s="13"/>
      <c r="Z138" s="13"/>
      <c r="AA138" s="13"/>
      <c r="AB138" s="25"/>
      <c r="AC138" s="17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 spans="1:44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25"/>
      <c r="X139" s="17"/>
      <c r="Y139" s="13"/>
      <c r="Z139" s="13"/>
      <c r="AA139" s="13"/>
      <c r="AB139" s="25"/>
      <c r="AC139" s="17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 spans="1:44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25"/>
      <c r="X140" s="17"/>
      <c r="Y140" s="13"/>
      <c r="Z140" s="13"/>
      <c r="AA140" s="13"/>
      <c r="AB140" s="25"/>
      <c r="AC140" s="17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 spans="1:44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25"/>
      <c r="X141" s="17"/>
      <c r="Y141" s="13"/>
      <c r="Z141" s="13"/>
      <c r="AA141" s="13"/>
      <c r="AB141" s="25"/>
      <c r="AC141" s="17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 spans="1:44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25"/>
      <c r="X142" s="17"/>
      <c r="Y142" s="13"/>
      <c r="Z142" s="13"/>
      <c r="AA142" s="13"/>
      <c r="AB142" s="25"/>
      <c r="AC142" s="17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 spans="1:44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25"/>
      <c r="X143" s="17"/>
      <c r="Y143" s="13"/>
      <c r="Z143" s="13"/>
      <c r="AA143" s="13"/>
      <c r="AB143" s="25"/>
      <c r="AC143" s="17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 spans="1:44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25"/>
      <c r="X144" s="17"/>
      <c r="Y144" s="13"/>
      <c r="Z144" s="13"/>
      <c r="AA144" s="13"/>
      <c r="AB144" s="25"/>
      <c r="AC144" s="17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 spans="1:43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25"/>
      <c r="X145" s="17"/>
      <c r="Y145" s="13"/>
      <c r="Z145" s="13"/>
      <c r="AA145" s="13"/>
      <c r="AB145" s="25"/>
      <c r="AC145" s="17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 spans="1:43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25"/>
      <c r="X146" s="17"/>
      <c r="Y146" s="13"/>
      <c r="Z146" s="13"/>
      <c r="AA146" s="13"/>
      <c r="AB146" s="25"/>
      <c r="AC146" s="17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 spans="1:43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25"/>
      <c r="X147" s="17"/>
      <c r="Y147" s="13"/>
      <c r="Z147" s="13"/>
      <c r="AA147" s="13"/>
      <c r="AB147" s="25"/>
      <c r="AC147" s="17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 spans="1:43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25"/>
      <c r="X148" s="17"/>
      <c r="Y148" s="13"/>
      <c r="Z148" s="13"/>
      <c r="AA148" s="13"/>
      <c r="AB148" s="25"/>
      <c r="AC148" s="17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 spans="1:43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25"/>
      <c r="X149" s="17"/>
      <c r="Y149" s="13"/>
      <c r="Z149" s="13"/>
      <c r="AA149" s="13"/>
      <c r="AB149" s="25"/>
      <c r="AC149" s="17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 spans="1:43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25"/>
      <c r="X150" s="17"/>
      <c r="Y150" s="13"/>
      <c r="Z150" s="13"/>
      <c r="AA150" s="13"/>
      <c r="AB150" s="25"/>
      <c r="AC150" s="17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 spans="1:43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25"/>
      <c r="X151" s="17"/>
      <c r="Y151" s="13"/>
      <c r="Z151" s="13"/>
      <c r="AA151" s="13"/>
      <c r="AB151" s="25"/>
      <c r="AC151" s="17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 spans="1:43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25"/>
      <c r="X152" s="17"/>
      <c r="Y152" s="13"/>
      <c r="Z152" s="13"/>
      <c r="AA152" s="13"/>
      <c r="AB152" s="25"/>
      <c r="AC152" s="17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 spans="1:43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25"/>
      <c r="X153" s="17"/>
      <c r="Y153" s="13"/>
      <c r="Z153" s="13"/>
      <c r="AA153" s="13"/>
      <c r="AB153" s="25"/>
      <c r="AC153" s="17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 spans="1:43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25"/>
      <c r="X154" s="17"/>
      <c r="Y154" s="13"/>
      <c r="Z154" s="13"/>
      <c r="AA154" s="13"/>
      <c r="AB154" s="25"/>
      <c r="AC154" s="17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 spans="1:43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25"/>
      <c r="X155" s="17"/>
      <c r="Y155" s="13"/>
      <c r="Z155" s="13"/>
      <c r="AA155" s="13"/>
      <c r="AB155" s="25"/>
      <c r="AC155" s="17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 spans="1:43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25"/>
      <c r="X156" s="17"/>
      <c r="Y156" s="13"/>
      <c r="Z156" s="13"/>
      <c r="AA156" s="13"/>
      <c r="AB156" s="25"/>
      <c r="AC156" s="17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 spans="1:43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25"/>
      <c r="X157" s="17"/>
      <c r="Y157" s="13"/>
      <c r="Z157" s="13"/>
      <c r="AA157" s="13"/>
      <c r="AB157" s="25"/>
      <c r="AC157" s="17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 spans="1:43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25"/>
      <c r="X158" s="17"/>
      <c r="Y158" s="13"/>
      <c r="Z158" s="13"/>
      <c r="AA158" s="13"/>
      <c r="AB158" s="25"/>
      <c r="AC158" s="17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 spans="1:43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25"/>
      <c r="X159" s="17"/>
      <c r="Y159" s="13"/>
      <c r="Z159" s="13"/>
      <c r="AA159" s="13"/>
      <c r="AB159" s="25"/>
      <c r="AC159" s="17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 spans="1:43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25"/>
      <c r="X160" s="17"/>
      <c r="Y160" s="13"/>
      <c r="Z160" s="13"/>
      <c r="AA160" s="13"/>
      <c r="AB160" s="25"/>
      <c r="AC160" s="17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 spans="1:43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25"/>
      <c r="X161" s="17"/>
      <c r="Y161" s="13"/>
      <c r="Z161" s="13"/>
      <c r="AA161" s="13"/>
      <c r="AB161" s="25"/>
      <c r="AC161" s="17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 spans="1:43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25"/>
      <c r="X162" s="17"/>
      <c r="Y162" s="13"/>
      <c r="Z162" s="13"/>
      <c r="AA162" s="13"/>
      <c r="AB162" s="25"/>
      <c r="AC162" s="17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 spans="1:43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25"/>
      <c r="X163" s="17"/>
      <c r="Y163" s="13"/>
      <c r="Z163" s="13"/>
      <c r="AA163" s="13"/>
      <c r="AB163" s="25"/>
      <c r="AC163" s="17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 spans="1:43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25"/>
      <c r="X164" s="17"/>
      <c r="Y164" s="13"/>
      <c r="Z164" s="13"/>
      <c r="AA164" s="13"/>
      <c r="AB164" s="25"/>
      <c r="AC164" s="17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 spans="1:43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25"/>
      <c r="X165" s="17"/>
      <c r="Y165" s="13"/>
      <c r="Z165" s="13"/>
      <c r="AA165" s="13"/>
      <c r="AB165" s="25"/>
      <c r="AC165" s="17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 spans="1:43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25"/>
      <c r="X166" s="17"/>
      <c r="Y166" s="13"/>
      <c r="Z166" s="13"/>
      <c r="AA166" s="13"/>
      <c r="AB166" s="25"/>
      <c r="AC166" s="17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 spans="1:43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25"/>
      <c r="X167" s="17"/>
      <c r="Y167" s="13"/>
      <c r="Z167" s="13"/>
      <c r="AA167" s="13"/>
      <c r="AB167" s="25"/>
      <c r="AC167" s="17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 spans="1:43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25"/>
      <c r="X168" s="17"/>
      <c r="Y168" s="13"/>
      <c r="Z168" s="13"/>
      <c r="AA168" s="13"/>
      <c r="AB168" s="25"/>
      <c r="AC168" s="17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 spans="1:43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25"/>
      <c r="X169" s="17"/>
      <c r="Y169" s="13"/>
      <c r="Z169" s="13"/>
      <c r="AA169" s="13"/>
      <c r="AB169" s="25"/>
      <c r="AC169" s="17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 spans="1:43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25"/>
      <c r="X170" s="17"/>
      <c r="Y170" s="13"/>
      <c r="Z170" s="13"/>
      <c r="AA170" s="13"/>
      <c r="AB170" s="25"/>
      <c r="AC170" s="17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 spans="1:43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25"/>
      <c r="X171" s="17"/>
      <c r="Y171" s="13"/>
      <c r="Z171" s="13"/>
      <c r="AA171" s="13"/>
      <c r="AB171" s="25"/>
      <c r="AC171" s="17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 spans="1:43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25"/>
      <c r="X172" s="17"/>
      <c r="Y172" s="13"/>
      <c r="Z172" s="13"/>
      <c r="AA172" s="13"/>
      <c r="AB172" s="25"/>
      <c r="AC172" s="17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 spans="1:43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25"/>
      <c r="X173" s="17"/>
      <c r="Y173" s="13"/>
      <c r="Z173" s="13"/>
      <c r="AA173" s="13"/>
      <c r="AB173" s="25"/>
      <c r="AC173" s="17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 spans="1:43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25"/>
      <c r="X174" s="17"/>
      <c r="Y174" s="13"/>
      <c r="Z174" s="13"/>
      <c r="AA174" s="13"/>
      <c r="AB174" s="25"/>
      <c r="AC174" s="17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 spans="1:43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25"/>
      <c r="X175" s="17"/>
      <c r="Y175" s="13"/>
      <c r="Z175" s="13"/>
      <c r="AA175" s="13"/>
      <c r="AB175" s="25"/>
      <c r="AC175" s="17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 spans="1:43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25"/>
      <c r="X176" s="17"/>
      <c r="Y176" s="13"/>
      <c r="Z176" s="13"/>
      <c r="AA176" s="13"/>
      <c r="AB176" s="25"/>
      <c r="AC176" s="17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 spans="1:43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25"/>
      <c r="X177" s="17"/>
      <c r="Y177" s="13"/>
      <c r="Z177" s="13"/>
      <c r="AA177" s="13"/>
      <c r="AB177" s="25"/>
      <c r="AC177" s="17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 spans="1:43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25"/>
      <c r="X178" s="17"/>
      <c r="Y178" s="13"/>
      <c r="Z178" s="13"/>
      <c r="AA178" s="13"/>
      <c r="AB178" s="25"/>
      <c r="AC178" s="17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 spans="1:43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25"/>
      <c r="X179" s="17"/>
      <c r="Y179" s="13"/>
      <c r="Z179" s="13"/>
      <c r="AA179" s="13"/>
      <c r="AB179" s="25"/>
      <c r="AC179" s="17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 spans="1:43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25"/>
      <c r="X180" s="17"/>
      <c r="Y180" s="13"/>
      <c r="Z180" s="13"/>
      <c r="AA180" s="13"/>
      <c r="AB180" s="25"/>
      <c r="AC180" s="17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 spans="1:43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25"/>
      <c r="X181" s="17"/>
      <c r="Y181" s="13"/>
      <c r="Z181" s="13"/>
      <c r="AA181" s="13"/>
      <c r="AB181" s="25"/>
      <c r="AC181" s="17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 spans="1:43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25"/>
      <c r="X182" s="17"/>
      <c r="Y182" s="13"/>
      <c r="Z182" s="13"/>
      <c r="AA182" s="13"/>
      <c r="AB182" s="25"/>
      <c r="AC182" s="17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 spans="1:43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25"/>
      <c r="X183" s="17"/>
      <c r="Y183" s="13"/>
      <c r="Z183" s="13"/>
      <c r="AA183" s="13"/>
      <c r="AB183" s="25"/>
      <c r="AC183" s="17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 spans="1:43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25"/>
      <c r="X184" s="17"/>
      <c r="Y184" s="13"/>
      <c r="Z184" s="13"/>
      <c r="AA184" s="13"/>
      <c r="AB184" s="25"/>
      <c r="AC184" s="17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 spans="1:43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25"/>
      <c r="X185" s="17"/>
      <c r="Y185" s="13"/>
      <c r="Z185" s="13"/>
      <c r="AA185" s="13"/>
      <c r="AB185" s="25"/>
      <c r="AC185" s="17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 spans="1:43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25"/>
      <c r="X186" s="17"/>
      <c r="Y186" s="13"/>
      <c r="Z186" s="13"/>
      <c r="AA186" s="13"/>
      <c r="AB186" s="25"/>
      <c r="AC186" s="17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 spans="1:43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25"/>
      <c r="X187" s="17"/>
      <c r="Y187" s="13"/>
      <c r="Z187" s="13"/>
      <c r="AA187" s="13"/>
      <c r="AB187" s="25"/>
      <c r="AC187" s="17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 spans="1:43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25"/>
      <c r="X188" s="17"/>
      <c r="Y188" s="13"/>
      <c r="Z188" s="13"/>
      <c r="AA188" s="13"/>
      <c r="AB188" s="25"/>
      <c r="AC188" s="17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 spans="1:43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25"/>
      <c r="X189" s="17"/>
      <c r="Y189" s="13"/>
      <c r="Z189" s="13"/>
      <c r="AA189" s="13"/>
      <c r="AB189" s="25"/>
      <c r="AC189" s="17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 spans="1:43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25"/>
      <c r="X190" s="17"/>
      <c r="Y190" s="13"/>
      <c r="Z190" s="13"/>
      <c r="AA190" s="13"/>
      <c r="AB190" s="25"/>
      <c r="AC190" s="17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 spans="1:43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25"/>
      <c r="X191" s="17"/>
      <c r="Y191" s="13"/>
      <c r="Z191" s="13"/>
      <c r="AA191" s="13"/>
      <c r="AB191" s="25"/>
      <c r="AC191" s="17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 spans="1:43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25"/>
      <c r="X192" s="17"/>
      <c r="Y192" s="13"/>
      <c r="Z192" s="13"/>
      <c r="AA192" s="13"/>
      <c r="AB192" s="25"/>
      <c r="AC192" s="17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 spans="1:43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25"/>
      <c r="X193" s="17"/>
      <c r="Y193" s="13"/>
      <c r="Z193" s="13"/>
      <c r="AA193" s="13"/>
      <c r="AB193" s="25"/>
      <c r="AC193" s="17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 spans="1:43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25"/>
      <c r="X194" s="17"/>
      <c r="Y194" s="13"/>
      <c r="Z194" s="13"/>
      <c r="AA194" s="13"/>
      <c r="AB194" s="25"/>
      <c r="AC194" s="17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 spans="1:43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25"/>
      <c r="X195" s="17"/>
      <c r="Y195" s="13"/>
      <c r="Z195" s="13"/>
      <c r="AA195" s="13"/>
      <c r="AB195" s="25"/>
      <c r="AC195" s="17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 spans="1:43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25"/>
      <c r="X196" s="17"/>
      <c r="Y196" s="13"/>
      <c r="Z196" s="13"/>
      <c r="AA196" s="13"/>
      <c r="AB196" s="25"/>
      <c r="AC196" s="17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 spans="1:43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25"/>
      <c r="X197" s="17"/>
      <c r="Y197" s="13"/>
      <c r="Z197" s="13"/>
      <c r="AA197" s="13"/>
      <c r="AB197" s="25"/>
      <c r="AC197" s="17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 spans="1:43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25"/>
      <c r="X198" s="17"/>
      <c r="Y198" s="13"/>
      <c r="Z198" s="13"/>
      <c r="AA198" s="13"/>
      <c r="AB198" s="25"/>
      <c r="AC198" s="17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 spans="1:43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25"/>
      <c r="X199" s="17"/>
      <c r="Y199" s="13"/>
      <c r="Z199" s="13"/>
      <c r="AA199" s="13"/>
      <c r="AB199" s="25"/>
      <c r="AC199" s="17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 spans="1:43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25"/>
      <c r="X200" s="17"/>
      <c r="Y200" s="13"/>
      <c r="Z200" s="13"/>
      <c r="AA200" s="13"/>
      <c r="AB200" s="25"/>
      <c r="AC200" s="17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 spans="1:43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25"/>
      <c r="X201" s="17"/>
      <c r="Y201" s="13"/>
      <c r="Z201" s="13"/>
      <c r="AA201" s="13"/>
      <c r="AB201" s="25"/>
      <c r="AC201" s="17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 spans="1:43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25"/>
      <c r="X202" s="17"/>
      <c r="Y202" s="13"/>
      <c r="Z202" s="13"/>
      <c r="AA202" s="13"/>
      <c r="AB202" s="25"/>
      <c r="AC202" s="17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 spans="1:43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25"/>
      <c r="X203" s="17"/>
      <c r="Y203" s="13"/>
      <c r="Z203" s="13"/>
      <c r="AA203" s="13"/>
      <c r="AB203" s="25"/>
      <c r="AC203" s="17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 spans="1:43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25"/>
      <c r="X204" s="17"/>
      <c r="Y204" s="13"/>
      <c r="Z204" s="13"/>
      <c r="AA204" s="13"/>
      <c r="AB204" s="25"/>
      <c r="AC204" s="17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 spans="1:43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25"/>
      <c r="X205" s="17"/>
      <c r="Y205" s="13"/>
      <c r="Z205" s="13"/>
      <c r="AA205" s="13"/>
      <c r="AB205" s="25"/>
      <c r="AC205" s="17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 spans="1:43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25"/>
      <c r="X206" s="17"/>
      <c r="Y206" s="13"/>
      <c r="Z206" s="13"/>
      <c r="AA206" s="13"/>
      <c r="AB206" s="25"/>
      <c r="AC206" s="17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 spans="1:43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25"/>
      <c r="X207" s="17"/>
      <c r="Y207" s="13"/>
      <c r="Z207" s="13"/>
      <c r="AA207" s="13"/>
      <c r="AB207" s="25"/>
      <c r="AC207" s="17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 spans="1:43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25"/>
      <c r="X208" s="17"/>
      <c r="Y208" s="13"/>
      <c r="Z208" s="13"/>
      <c r="AA208" s="13"/>
      <c r="AB208" s="25"/>
      <c r="AC208" s="17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 spans="1:43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25"/>
      <c r="X209" s="17"/>
      <c r="Y209" s="13"/>
      <c r="Z209" s="13"/>
      <c r="AA209" s="13"/>
      <c r="AB209" s="25"/>
      <c r="AC209" s="17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 spans="1:43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25"/>
      <c r="X210" s="17"/>
      <c r="Y210" s="13"/>
      <c r="Z210" s="13"/>
      <c r="AA210" s="13"/>
      <c r="AB210" s="25"/>
      <c r="AC210" s="17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 spans="1:43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25"/>
      <c r="X211" s="17"/>
      <c r="Y211" s="13"/>
      <c r="Z211" s="13"/>
      <c r="AA211" s="13"/>
      <c r="AB211" s="25"/>
      <c r="AC211" s="17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 spans="1:43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25"/>
      <c r="X212" s="17"/>
      <c r="Y212" s="13"/>
      <c r="Z212" s="13"/>
      <c r="AA212" s="13"/>
      <c r="AB212" s="25"/>
      <c r="AC212" s="17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 spans="1:43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25"/>
      <c r="X213" s="17"/>
      <c r="Y213" s="13"/>
      <c r="Z213" s="13"/>
      <c r="AA213" s="13"/>
      <c r="AB213" s="25"/>
      <c r="AC213" s="17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 spans="1:43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25"/>
      <c r="X214" s="17"/>
      <c r="Y214" s="13"/>
      <c r="Z214" s="13"/>
      <c r="AA214" s="13"/>
      <c r="AB214" s="25"/>
      <c r="AC214" s="17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 spans="1:43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25"/>
      <c r="X215" s="17"/>
      <c r="Y215" s="13"/>
      <c r="Z215" s="13"/>
      <c r="AA215" s="13"/>
      <c r="AB215" s="25"/>
      <c r="AC215" s="17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 spans="1:43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25"/>
      <c r="X216" s="17"/>
      <c r="Y216" s="13"/>
      <c r="Z216" s="13"/>
      <c r="AA216" s="13"/>
      <c r="AB216" s="25"/>
      <c r="AC216" s="17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 spans="1:43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25"/>
      <c r="X217" s="17"/>
      <c r="Y217" s="13"/>
      <c r="Z217" s="13"/>
      <c r="AA217" s="13"/>
      <c r="AB217" s="25"/>
      <c r="AC217" s="17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 spans="1:43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25"/>
      <c r="X218" s="17"/>
      <c r="Y218" s="13"/>
      <c r="Z218" s="13"/>
      <c r="AA218" s="13"/>
      <c r="AB218" s="25"/>
      <c r="AC218" s="17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 spans="1:43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25"/>
      <c r="X219" s="17"/>
      <c r="Y219" s="13"/>
      <c r="Z219" s="13"/>
      <c r="AA219" s="13"/>
      <c r="AB219" s="25"/>
      <c r="AC219" s="17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 spans="1:43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25"/>
      <c r="X220" s="17"/>
      <c r="Y220" s="13"/>
      <c r="Z220" s="13"/>
      <c r="AA220" s="13"/>
      <c r="AB220" s="25"/>
      <c r="AC220" s="17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 spans="1:43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25"/>
      <c r="X221" s="17"/>
      <c r="Y221" s="13"/>
      <c r="Z221" s="13"/>
      <c r="AA221" s="13"/>
      <c r="AB221" s="25"/>
      <c r="AC221" s="17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</row>
    <row r="222" spans="1:43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25"/>
      <c r="X222" s="17"/>
      <c r="Y222" s="13"/>
      <c r="Z222" s="13"/>
      <c r="AA222" s="13"/>
      <c r="AB222" s="25"/>
      <c r="AC222" s="17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</row>
    <row r="223" spans="1:43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25"/>
      <c r="X223" s="17"/>
      <c r="Y223" s="13"/>
      <c r="Z223" s="13"/>
      <c r="AA223" s="13"/>
      <c r="AB223" s="25"/>
      <c r="AC223" s="17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</row>
    <row r="224" spans="1:43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25"/>
      <c r="X224" s="17"/>
      <c r="Y224" s="13"/>
      <c r="Z224" s="13"/>
      <c r="AA224" s="13"/>
      <c r="AB224" s="25"/>
      <c r="AC224" s="17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</row>
    <row r="225" spans="1:43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25"/>
      <c r="X225" s="17"/>
      <c r="Y225" s="13"/>
      <c r="Z225" s="13"/>
      <c r="AA225" s="13"/>
      <c r="AB225" s="25"/>
      <c r="AC225" s="17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</row>
    <row r="226" spans="1:43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25"/>
      <c r="X226" s="17"/>
      <c r="Y226" s="13"/>
      <c r="Z226" s="13"/>
      <c r="AA226" s="13"/>
      <c r="AB226" s="25"/>
      <c r="AC226" s="17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</row>
    <row r="227" spans="1:43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25"/>
      <c r="X227" s="17"/>
      <c r="Y227" s="13"/>
      <c r="Z227" s="13"/>
      <c r="AA227" s="13"/>
      <c r="AB227" s="25"/>
      <c r="AC227" s="17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</row>
    <row r="228" spans="1:43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25"/>
      <c r="X228" s="17"/>
      <c r="Y228" s="13"/>
      <c r="Z228" s="13"/>
      <c r="AA228" s="13"/>
      <c r="AB228" s="25"/>
      <c r="AC228" s="17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</row>
    <row r="229" spans="1:43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25"/>
      <c r="X229" s="17"/>
      <c r="Y229" s="13"/>
      <c r="Z229" s="13"/>
      <c r="AA229" s="13"/>
      <c r="AB229" s="25"/>
      <c r="AC229" s="17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</row>
    <row r="230" spans="1:43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25"/>
      <c r="X230" s="17"/>
      <c r="Y230" s="13"/>
      <c r="Z230" s="13"/>
      <c r="AA230" s="13"/>
      <c r="AB230" s="25"/>
      <c r="AC230" s="17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</row>
    <row r="231" spans="1:43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25"/>
      <c r="X231" s="17"/>
      <c r="Y231" s="13"/>
      <c r="Z231" s="13"/>
      <c r="AA231" s="13"/>
      <c r="AB231" s="25"/>
      <c r="AC231" s="17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</row>
    <row r="232" spans="1:43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25"/>
      <c r="X232" s="17"/>
      <c r="Y232" s="13"/>
      <c r="Z232" s="13"/>
      <c r="AA232" s="13"/>
      <c r="AB232" s="25"/>
      <c r="AC232" s="17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</row>
    <row r="233" spans="1:43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25"/>
      <c r="X233" s="17"/>
      <c r="Y233" s="13"/>
      <c r="Z233" s="13"/>
      <c r="AA233" s="13"/>
      <c r="AB233" s="25"/>
      <c r="AC233" s="17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</row>
    <row r="234" spans="1:43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25"/>
      <c r="X234" s="17"/>
      <c r="Y234" s="13"/>
      <c r="Z234" s="13"/>
      <c r="AA234" s="13"/>
      <c r="AB234" s="25"/>
      <c r="AC234" s="17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</row>
    <row r="235" spans="1:43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25"/>
      <c r="X235" s="17"/>
      <c r="Y235" s="13"/>
      <c r="Z235" s="13"/>
      <c r="AA235" s="13"/>
      <c r="AB235" s="25"/>
      <c r="AC235" s="17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</row>
    <row r="236" spans="1:43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25"/>
      <c r="X236" s="17"/>
      <c r="Y236" s="13"/>
      <c r="Z236" s="13"/>
      <c r="AA236" s="13"/>
      <c r="AB236" s="25"/>
      <c r="AC236" s="17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</row>
    <row r="237" spans="1:43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25"/>
      <c r="X237" s="17"/>
      <c r="Y237" s="13"/>
      <c r="Z237" s="13"/>
      <c r="AA237" s="13"/>
      <c r="AB237" s="25"/>
      <c r="AC237" s="17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</row>
    <row r="238" spans="1:43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25"/>
      <c r="X238" s="17"/>
      <c r="Y238" s="13"/>
      <c r="Z238" s="13"/>
      <c r="AA238" s="13"/>
      <c r="AB238" s="25"/>
      <c r="AC238" s="17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</row>
    <row r="239" spans="1:43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25"/>
      <c r="X239" s="17"/>
      <c r="Y239" s="13"/>
      <c r="Z239" s="13"/>
      <c r="AA239" s="13"/>
      <c r="AB239" s="25"/>
      <c r="AC239" s="17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</row>
    <row r="240" spans="1:43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25"/>
      <c r="X240" s="17"/>
      <c r="Y240" s="13"/>
      <c r="Z240" s="13"/>
      <c r="AA240" s="13"/>
      <c r="AB240" s="25"/>
      <c r="AC240" s="17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</row>
    <row r="241" spans="1:43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25"/>
      <c r="X241" s="17"/>
      <c r="Y241" s="13"/>
      <c r="Z241" s="13"/>
      <c r="AA241" s="13"/>
      <c r="AB241" s="25"/>
      <c r="AC241" s="17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</row>
    <row r="242" spans="1:43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25"/>
      <c r="X242" s="17"/>
      <c r="Y242" s="13"/>
      <c r="Z242" s="13"/>
      <c r="AA242" s="13"/>
      <c r="AB242" s="25"/>
      <c r="AC242" s="17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</row>
    <row r="243" spans="1:43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25"/>
      <c r="X243" s="17"/>
      <c r="Y243" s="13"/>
      <c r="Z243" s="13"/>
      <c r="AA243" s="13"/>
      <c r="AB243" s="25"/>
      <c r="AC243" s="17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</row>
    <row r="244" spans="1:43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25"/>
      <c r="X244" s="17"/>
      <c r="Y244" s="13"/>
      <c r="Z244" s="13"/>
      <c r="AA244" s="13"/>
      <c r="AB244" s="25"/>
      <c r="AC244" s="17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</row>
    <row r="245" spans="1:43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25"/>
      <c r="X245" s="17"/>
      <c r="Y245" s="13"/>
      <c r="Z245" s="13"/>
      <c r="AA245" s="13"/>
      <c r="AB245" s="25"/>
      <c r="AC245" s="17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</row>
    <row r="246" spans="1:43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25"/>
      <c r="X246" s="17"/>
      <c r="Y246" s="13"/>
      <c r="Z246" s="13"/>
      <c r="AA246" s="13"/>
      <c r="AB246" s="25"/>
      <c r="AC246" s="17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</row>
    <row r="247" spans="1:43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25"/>
      <c r="X247" s="17"/>
      <c r="Y247" s="13"/>
      <c r="Z247" s="13"/>
      <c r="AA247" s="13"/>
      <c r="AB247" s="25"/>
      <c r="AC247" s="17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</row>
    <row r="248" spans="1:43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25"/>
      <c r="X248" s="17"/>
      <c r="Y248" s="13"/>
      <c r="Z248" s="13"/>
      <c r="AA248" s="13"/>
      <c r="AB248" s="25"/>
      <c r="AC248" s="17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</row>
    <row r="249" spans="1:43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25"/>
      <c r="X249" s="17"/>
      <c r="Y249" s="13"/>
      <c r="Z249" s="13"/>
      <c r="AA249" s="13"/>
      <c r="AB249" s="25"/>
      <c r="AC249" s="17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</row>
    <row r="250" spans="1:43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25"/>
      <c r="X250" s="17"/>
      <c r="Y250" s="13"/>
      <c r="Z250" s="13"/>
      <c r="AA250" s="13"/>
      <c r="AB250" s="25"/>
      <c r="AC250" s="17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</row>
    <row r="251" spans="1:43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25"/>
      <c r="X251" s="17"/>
      <c r="Y251" s="13"/>
      <c r="Z251" s="13"/>
      <c r="AA251" s="13"/>
      <c r="AB251" s="25"/>
      <c r="AC251" s="17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</row>
    <row r="252" spans="1:43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25"/>
      <c r="X252" s="17"/>
      <c r="Y252" s="13"/>
      <c r="Z252" s="13"/>
      <c r="AA252" s="13"/>
      <c r="AB252" s="25"/>
      <c r="AC252" s="17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</row>
    <row r="253" spans="1:43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25"/>
      <c r="X253" s="17"/>
      <c r="Y253" s="13"/>
      <c r="Z253" s="13"/>
      <c r="AA253" s="13"/>
      <c r="AB253" s="25"/>
      <c r="AC253" s="17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</row>
    <row r="254" spans="1:43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25"/>
      <c r="X254" s="17"/>
      <c r="Y254" s="13"/>
      <c r="Z254" s="13"/>
      <c r="AA254" s="13"/>
      <c r="AB254" s="25"/>
      <c r="AC254" s="17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</row>
    <row r="255" spans="1:43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25"/>
      <c r="X255" s="17"/>
      <c r="Y255" s="13"/>
      <c r="Z255" s="13"/>
      <c r="AA255" s="13"/>
      <c r="AB255" s="25"/>
      <c r="AC255" s="17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</row>
    <row r="256" spans="1:43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25"/>
      <c r="X256" s="17"/>
      <c r="Y256" s="13"/>
      <c r="Z256" s="13"/>
      <c r="AA256" s="13"/>
      <c r="AB256" s="25"/>
      <c r="AC256" s="17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</row>
    <row r="257" spans="1:43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25"/>
      <c r="X257" s="17"/>
      <c r="Y257" s="13"/>
      <c r="Z257" s="13"/>
      <c r="AA257" s="13"/>
      <c r="AB257" s="25"/>
      <c r="AC257" s="17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</row>
    <row r="258" spans="1:43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25"/>
      <c r="X258" s="17"/>
      <c r="Y258" s="13"/>
      <c r="Z258" s="13"/>
      <c r="AA258" s="13"/>
      <c r="AB258" s="25"/>
      <c r="AC258" s="17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</row>
    <row r="259" spans="1:43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25"/>
      <c r="X259" s="17"/>
      <c r="Y259" s="13"/>
      <c r="Z259" s="13"/>
      <c r="AA259" s="13"/>
      <c r="AB259" s="25"/>
      <c r="AC259" s="17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</row>
    <row r="260" spans="1:43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25"/>
      <c r="X260" s="17"/>
      <c r="Y260" s="13"/>
      <c r="Z260" s="13"/>
      <c r="AA260" s="13"/>
      <c r="AB260" s="25"/>
      <c r="AC260" s="17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</row>
    <row r="261" spans="1:43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25"/>
      <c r="X261" s="17"/>
      <c r="Y261" s="13"/>
      <c r="Z261" s="13"/>
      <c r="AA261" s="13"/>
      <c r="AB261" s="25"/>
      <c r="AC261" s="17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</row>
    <row r="262" spans="1:43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25"/>
      <c r="X262" s="17"/>
      <c r="Y262" s="13"/>
      <c r="Z262" s="13"/>
      <c r="AA262" s="13"/>
      <c r="AB262" s="25"/>
      <c r="AC262" s="17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</row>
    <row r="263" spans="1:43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25"/>
      <c r="X263" s="17"/>
      <c r="Y263" s="13"/>
      <c r="Z263" s="13"/>
      <c r="AA263" s="13"/>
      <c r="AB263" s="25"/>
      <c r="AC263" s="17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</row>
    <row r="264" spans="1:43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25"/>
      <c r="X264" s="17"/>
      <c r="Y264" s="13"/>
      <c r="Z264" s="13"/>
      <c r="AA264" s="13"/>
      <c r="AB264" s="25"/>
      <c r="AC264" s="17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</row>
    <row r="265" spans="1:43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25"/>
      <c r="X265" s="17"/>
      <c r="Y265" s="13"/>
      <c r="Z265" s="13"/>
      <c r="AA265" s="13"/>
      <c r="AB265" s="25"/>
      <c r="AC265" s="17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</row>
    <row r="266" spans="1:43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25"/>
      <c r="X266" s="17"/>
      <c r="Y266" s="13"/>
      <c r="Z266" s="13"/>
      <c r="AA266" s="13"/>
      <c r="AB266" s="25"/>
      <c r="AC266" s="17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</row>
    <row r="267" spans="1:43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25"/>
      <c r="X267" s="17"/>
      <c r="Y267" s="13"/>
      <c r="Z267" s="13"/>
      <c r="AA267" s="13"/>
      <c r="AB267" s="25"/>
      <c r="AC267" s="17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</row>
    <row r="268" spans="1:43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25"/>
      <c r="X268" s="17"/>
      <c r="Y268" s="13"/>
      <c r="Z268" s="13"/>
      <c r="AA268" s="13"/>
      <c r="AB268" s="25"/>
      <c r="AC268" s="17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</row>
    <row r="269" spans="1:43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5"/>
      <c r="X269" s="17"/>
      <c r="Y269" s="13"/>
      <c r="Z269" s="13"/>
      <c r="AA269" s="13"/>
      <c r="AB269" s="25"/>
      <c r="AC269" s="17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</row>
    <row r="270" spans="1:43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5"/>
      <c r="X270" s="17"/>
      <c r="Y270" s="13"/>
      <c r="Z270" s="13"/>
      <c r="AA270" s="13"/>
      <c r="AB270" s="25"/>
      <c r="AC270" s="17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</row>
    <row r="271" spans="1:43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5"/>
      <c r="X271" s="17"/>
      <c r="Y271" s="13"/>
      <c r="Z271" s="13"/>
      <c r="AA271" s="13"/>
      <c r="AB271" s="25"/>
      <c r="AC271" s="17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</row>
    <row r="272" spans="1:43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25"/>
      <c r="X272" s="17"/>
      <c r="Y272" s="13"/>
      <c r="Z272" s="13"/>
      <c r="AA272" s="13"/>
      <c r="AB272" s="25"/>
      <c r="AC272" s="17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</row>
    <row r="273" spans="1:43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5"/>
      <c r="X273" s="17"/>
      <c r="Y273" s="13"/>
      <c r="Z273" s="13"/>
      <c r="AA273" s="13"/>
      <c r="AB273" s="25"/>
      <c r="AC273" s="17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</row>
    <row r="274" spans="1:43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5"/>
      <c r="X274" s="17"/>
      <c r="Y274" s="13"/>
      <c r="Z274" s="13"/>
      <c r="AA274" s="13"/>
      <c r="AB274" s="25"/>
      <c r="AC274" s="17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</row>
    <row r="275" spans="1:43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25"/>
      <c r="X275" s="17"/>
      <c r="Y275" s="13"/>
      <c r="Z275" s="13"/>
      <c r="AA275" s="13"/>
      <c r="AB275" s="25"/>
      <c r="AC275" s="17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</row>
    <row r="276" spans="1:43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5"/>
      <c r="X276" s="17"/>
      <c r="Y276" s="13"/>
      <c r="Z276" s="13"/>
      <c r="AA276" s="13"/>
      <c r="AB276" s="25"/>
      <c r="AC276" s="17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</row>
    <row r="277" spans="1:43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25"/>
      <c r="X277" s="17"/>
      <c r="Y277" s="13"/>
      <c r="Z277" s="13"/>
      <c r="AA277" s="13"/>
      <c r="AB277" s="25"/>
      <c r="AC277" s="17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</row>
    <row r="278" spans="1:43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25"/>
      <c r="X278" s="17"/>
      <c r="Y278" s="13"/>
      <c r="Z278" s="13"/>
      <c r="AA278" s="13"/>
      <c r="AB278" s="25"/>
      <c r="AC278" s="17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</row>
    <row r="279" spans="1:43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25"/>
      <c r="X279" s="17"/>
      <c r="Y279" s="13"/>
      <c r="Z279" s="13"/>
      <c r="AA279" s="13"/>
      <c r="AB279" s="25"/>
      <c r="AC279" s="17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</row>
    <row r="280" spans="1:43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25"/>
      <c r="X280" s="17"/>
      <c r="Y280" s="13"/>
      <c r="Z280" s="13"/>
      <c r="AA280" s="13"/>
      <c r="AB280" s="25"/>
      <c r="AC280" s="17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</row>
    <row r="281" spans="1:43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25"/>
      <c r="X281" s="17"/>
      <c r="Y281" s="13"/>
      <c r="Z281" s="13"/>
      <c r="AA281" s="13"/>
      <c r="AB281" s="25"/>
      <c r="AC281" s="17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</row>
    <row r="282" spans="1:43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25"/>
      <c r="X282" s="17"/>
      <c r="Y282" s="13"/>
      <c r="Z282" s="13"/>
      <c r="AA282" s="13"/>
      <c r="AB282" s="25"/>
      <c r="AC282" s="17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</row>
    <row r="283" spans="1:43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25"/>
      <c r="X283" s="17"/>
      <c r="Y283" s="13"/>
      <c r="Z283" s="13"/>
      <c r="AA283" s="13"/>
      <c r="AB283" s="25"/>
      <c r="AC283" s="17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</row>
    <row r="284" spans="1:43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25"/>
      <c r="X284" s="17"/>
      <c r="Y284" s="13"/>
      <c r="Z284" s="13"/>
      <c r="AA284" s="13"/>
      <c r="AB284" s="25"/>
      <c r="AC284" s="17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</row>
    <row r="285" spans="1:43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25"/>
      <c r="X285" s="17"/>
      <c r="Y285" s="13"/>
      <c r="Z285" s="13"/>
      <c r="AA285" s="13"/>
      <c r="AB285" s="25"/>
      <c r="AC285" s="17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</row>
    <row r="286" spans="1:43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5"/>
      <c r="X286" s="17"/>
      <c r="Y286" s="13"/>
      <c r="Z286" s="13"/>
      <c r="AA286" s="13"/>
      <c r="AB286" s="25"/>
      <c r="AC286" s="17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</row>
    <row r="287" spans="1:43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25"/>
      <c r="X287" s="17"/>
      <c r="Y287" s="13"/>
      <c r="Z287" s="13"/>
      <c r="AA287" s="13"/>
      <c r="AB287" s="25"/>
      <c r="AC287" s="17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</row>
    <row r="288" spans="1:43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25"/>
      <c r="X288" s="17"/>
      <c r="Y288" s="13"/>
      <c r="Z288" s="13"/>
      <c r="AA288" s="13"/>
      <c r="AB288" s="25"/>
      <c r="AC288" s="17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</row>
    <row r="289" spans="1:43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25"/>
      <c r="X289" s="17"/>
      <c r="Y289" s="13"/>
      <c r="Z289" s="13"/>
      <c r="AA289" s="13"/>
      <c r="AB289" s="25"/>
      <c r="AC289" s="17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</row>
    <row r="290" spans="1:43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5"/>
      <c r="X290" s="17"/>
      <c r="Y290" s="13"/>
      <c r="Z290" s="13"/>
      <c r="AA290" s="13"/>
      <c r="AB290" s="25"/>
      <c r="AC290" s="17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</row>
    <row r="291" spans="1:43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25"/>
      <c r="X291" s="17"/>
      <c r="Y291" s="13"/>
      <c r="Z291" s="13"/>
      <c r="AA291" s="13"/>
      <c r="AB291" s="25"/>
      <c r="AC291" s="17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</row>
    <row r="292" spans="1:43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25"/>
      <c r="X292" s="17"/>
      <c r="Y292" s="13"/>
      <c r="Z292" s="13"/>
      <c r="AA292" s="13"/>
      <c r="AB292" s="25"/>
      <c r="AC292" s="17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</row>
    <row r="293" spans="1:43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5"/>
      <c r="X293" s="17"/>
      <c r="Y293" s="13"/>
      <c r="Z293" s="13"/>
      <c r="AA293" s="13"/>
      <c r="AB293" s="25"/>
      <c r="AC293" s="17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</row>
    <row r="294" spans="1:43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25"/>
      <c r="X294" s="17"/>
      <c r="Y294" s="13"/>
      <c r="Z294" s="13"/>
      <c r="AA294" s="13"/>
      <c r="AB294" s="25"/>
      <c r="AC294" s="17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</row>
    <row r="295" spans="1:43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5"/>
      <c r="X295" s="17"/>
      <c r="Y295" s="13"/>
      <c r="Z295" s="13"/>
      <c r="AA295" s="13"/>
      <c r="AB295" s="25"/>
      <c r="AC295" s="17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</row>
    <row r="296" spans="1:43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5"/>
      <c r="X296" s="17"/>
      <c r="Y296" s="13"/>
      <c r="Z296" s="13"/>
      <c r="AA296" s="13"/>
      <c r="AB296" s="25"/>
      <c r="AC296" s="17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</row>
    <row r="297" spans="1:43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5"/>
      <c r="X297" s="17"/>
      <c r="Y297" s="13"/>
      <c r="Z297" s="13"/>
      <c r="AA297" s="13"/>
      <c r="AB297" s="25"/>
      <c r="AC297" s="17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</row>
    <row r="298" spans="1:43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25"/>
      <c r="X298" s="17"/>
      <c r="Y298" s="13"/>
      <c r="Z298" s="13"/>
      <c r="AA298" s="13"/>
      <c r="AB298" s="25"/>
      <c r="AC298" s="17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</row>
    <row r="299" spans="1:43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25"/>
      <c r="X299" s="17"/>
      <c r="Y299" s="13"/>
      <c r="Z299" s="13"/>
      <c r="AA299" s="13"/>
      <c r="AB299" s="25"/>
      <c r="AC299" s="17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</row>
    <row r="300" spans="1:43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25"/>
      <c r="X300" s="17"/>
      <c r="Y300" s="13"/>
      <c r="Z300" s="13"/>
      <c r="AA300" s="13"/>
      <c r="AB300" s="25"/>
      <c r="AC300" s="17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</row>
    <row r="301" spans="1:43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25"/>
      <c r="X301" s="17"/>
      <c r="Y301" s="13"/>
      <c r="Z301" s="13"/>
      <c r="AA301" s="13"/>
      <c r="AB301" s="25"/>
      <c r="AC301" s="17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</row>
    <row r="302" spans="1:43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25"/>
      <c r="X302" s="17"/>
      <c r="Y302" s="13"/>
      <c r="Z302" s="13"/>
      <c r="AA302" s="13"/>
      <c r="AB302" s="25"/>
      <c r="AC302" s="17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</row>
    <row r="303" spans="1:43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25"/>
      <c r="X303" s="17"/>
      <c r="Y303" s="13"/>
      <c r="Z303" s="13"/>
      <c r="AA303" s="13"/>
      <c r="AB303" s="25"/>
      <c r="AC303" s="17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</row>
    <row r="304" spans="1:43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25"/>
      <c r="X304" s="17"/>
      <c r="Y304" s="13"/>
      <c r="Z304" s="13"/>
      <c r="AA304" s="13"/>
      <c r="AB304" s="25"/>
      <c r="AC304" s="17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</row>
    <row r="305" spans="1:43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25"/>
      <c r="X305" s="17"/>
      <c r="Y305" s="13"/>
      <c r="Z305" s="13"/>
      <c r="AA305" s="13"/>
      <c r="AB305" s="25"/>
      <c r="AC305" s="17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</row>
    <row r="306" spans="1:43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25"/>
      <c r="X306" s="17"/>
      <c r="Y306" s="13"/>
      <c r="Z306" s="13"/>
      <c r="AA306" s="13"/>
      <c r="AB306" s="25"/>
      <c r="AC306" s="17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</row>
    <row r="307" spans="1:43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25"/>
      <c r="X307" s="17"/>
      <c r="Y307" s="13"/>
      <c r="Z307" s="13"/>
      <c r="AA307" s="13"/>
      <c r="AB307" s="25"/>
      <c r="AC307" s="17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</row>
    <row r="308" spans="1:43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25"/>
      <c r="X308" s="17"/>
      <c r="Y308" s="13"/>
      <c r="Z308" s="13"/>
      <c r="AA308" s="13"/>
      <c r="AB308" s="25"/>
      <c r="AC308" s="17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</row>
    <row r="309" spans="1:43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25"/>
      <c r="X309" s="17"/>
      <c r="Y309" s="13"/>
      <c r="Z309" s="13"/>
      <c r="AA309" s="13"/>
      <c r="AB309" s="25"/>
      <c r="AC309" s="17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</row>
    <row r="310" spans="1:43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25"/>
      <c r="X310" s="17"/>
      <c r="Y310" s="13"/>
      <c r="Z310" s="13"/>
      <c r="AA310" s="13"/>
      <c r="AB310" s="25"/>
      <c r="AC310" s="17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</row>
    <row r="311" spans="1:43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25"/>
      <c r="X311" s="17"/>
      <c r="Y311" s="13"/>
      <c r="Z311" s="13"/>
      <c r="AA311" s="13"/>
      <c r="AB311" s="25"/>
      <c r="AC311" s="17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</row>
    <row r="312" spans="1:43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25"/>
      <c r="X312" s="17"/>
      <c r="Y312" s="13"/>
      <c r="Z312" s="13"/>
      <c r="AA312" s="13"/>
      <c r="AB312" s="25"/>
      <c r="AC312" s="17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</row>
    <row r="313" spans="1:43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25"/>
      <c r="X313" s="17"/>
      <c r="Y313" s="13"/>
      <c r="Z313" s="13"/>
      <c r="AA313" s="13"/>
      <c r="AB313" s="25"/>
      <c r="AC313" s="17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</row>
    <row r="314" spans="1:43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25"/>
      <c r="X314" s="17"/>
      <c r="Y314" s="13"/>
      <c r="Z314" s="13"/>
      <c r="AA314" s="13"/>
      <c r="AB314" s="25"/>
      <c r="AC314" s="17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</row>
    <row r="315" spans="1:43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25"/>
      <c r="X315" s="17"/>
      <c r="Y315" s="13"/>
      <c r="Z315" s="13"/>
      <c r="AA315" s="13"/>
      <c r="AB315" s="25"/>
      <c r="AC315" s="17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</row>
    <row r="316" spans="1:43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25"/>
      <c r="X316" s="17"/>
      <c r="Y316" s="13"/>
      <c r="Z316" s="13"/>
      <c r="AA316" s="13"/>
      <c r="AB316" s="25"/>
      <c r="AC316" s="17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</row>
    <row r="317" spans="1:43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25"/>
      <c r="X317" s="17"/>
      <c r="Y317" s="13"/>
      <c r="Z317" s="13"/>
      <c r="AA317" s="13"/>
      <c r="AB317" s="25"/>
      <c r="AC317" s="17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</row>
    <row r="318" spans="1:43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25"/>
      <c r="X318" s="17"/>
      <c r="Y318" s="13"/>
      <c r="Z318" s="13"/>
      <c r="AA318" s="13"/>
      <c r="AB318" s="25"/>
      <c r="AC318" s="17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</row>
    <row r="319" spans="1:43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25"/>
      <c r="X319" s="17"/>
      <c r="Y319" s="13"/>
      <c r="Z319" s="13"/>
      <c r="AA319" s="13"/>
      <c r="AB319" s="25"/>
      <c r="AC319" s="17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</row>
    <row r="320" spans="1:43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25"/>
      <c r="X320" s="17"/>
      <c r="Y320" s="13"/>
      <c r="Z320" s="13"/>
      <c r="AA320" s="13"/>
      <c r="AB320" s="25"/>
      <c r="AC320" s="17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</row>
    <row r="321" spans="1:43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25"/>
      <c r="X321" s="17"/>
      <c r="Y321" s="13"/>
      <c r="Z321" s="13"/>
      <c r="AA321" s="13"/>
      <c r="AB321" s="25"/>
      <c r="AC321" s="17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</row>
    <row r="322" spans="1:43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25"/>
      <c r="X322" s="17"/>
      <c r="Y322" s="13"/>
      <c r="Z322" s="13"/>
      <c r="AA322" s="13"/>
      <c r="AB322" s="25"/>
      <c r="AC322" s="17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</row>
    <row r="323" spans="1:43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25"/>
      <c r="X323" s="17"/>
      <c r="Y323" s="13"/>
      <c r="Z323" s="13"/>
      <c r="AA323" s="13"/>
      <c r="AB323" s="25"/>
      <c r="AC323" s="17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</row>
    <row r="324" spans="1:43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25"/>
      <c r="X324" s="17"/>
      <c r="Y324" s="13"/>
      <c r="Z324" s="13"/>
      <c r="AA324" s="13"/>
      <c r="AB324" s="25"/>
      <c r="AC324" s="17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</row>
    <row r="325" spans="1:43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25"/>
      <c r="X325" s="17"/>
      <c r="Y325" s="13"/>
      <c r="Z325" s="13"/>
      <c r="AA325" s="13"/>
      <c r="AB325" s="25"/>
      <c r="AC325" s="17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</row>
    <row r="326" spans="1:43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25"/>
      <c r="X326" s="17"/>
      <c r="Y326" s="13"/>
      <c r="Z326" s="13"/>
      <c r="AA326" s="13"/>
      <c r="AB326" s="25"/>
      <c r="AC326" s="17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</row>
    <row r="327" spans="1:43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25"/>
      <c r="X327" s="17"/>
      <c r="Y327" s="13"/>
      <c r="Z327" s="13"/>
      <c r="AA327" s="13"/>
      <c r="AB327" s="25"/>
      <c r="AC327" s="17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</row>
    <row r="328" spans="1:43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25"/>
      <c r="X328" s="17"/>
      <c r="Y328" s="13"/>
      <c r="Z328" s="13"/>
      <c r="AA328" s="13"/>
      <c r="AB328" s="25"/>
      <c r="AC328" s="17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</row>
    <row r="329" spans="1:43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25"/>
      <c r="X329" s="17"/>
      <c r="Y329" s="13"/>
      <c r="Z329" s="13"/>
      <c r="AA329" s="13"/>
      <c r="AB329" s="25"/>
      <c r="AC329" s="17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</row>
    <row r="330" spans="1:43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25"/>
      <c r="X330" s="17"/>
      <c r="Y330" s="13"/>
      <c r="Z330" s="13"/>
      <c r="AA330" s="13"/>
      <c r="AB330" s="25"/>
      <c r="AC330" s="17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</row>
    <row r="331" spans="1:43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25"/>
      <c r="X331" s="17"/>
      <c r="Y331" s="13"/>
      <c r="Z331" s="13"/>
      <c r="AA331" s="13"/>
      <c r="AB331" s="25"/>
      <c r="AC331" s="17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</row>
    <row r="332" spans="1:43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25"/>
      <c r="X332" s="17"/>
      <c r="Y332" s="13"/>
      <c r="Z332" s="13"/>
      <c r="AA332" s="13"/>
      <c r="AB332" s="25"/>
      <c r="AC332" s="17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</row>
    <row r="333" spans="1:43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25"/>
      <c r="X333" s="17"/>
      <c r="Y333" s="13"/>
      <c r="Z333" s="13"/>
      <c r="AA333" s="13"/>
      <c r="AB333" s="25"/>
      <c r="AC333" s="17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</row>
    <row r="334" spans="1:43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25"/>
      <c r="X334" s="17"/>
      <c r="Y334" s="13"/>
      <c r="Z334" s="13"/>
      <c r="AA334" s="13"/>
      <c r="AB334" s="25"/>
      <c r="AC334" s="17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</row>
    <row r="335" spans="1:43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25"/>
      <c r="X335" s="17"/>
      <c r="Y335" s="13"/>
      <c r="Z335" s="13"/>
      <c r="AA335" s="13"/>
      <c r="AB335" s="25"/>
      <c r="AC335" s="17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</row>
    <row r="336" spans="1:43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25"/>
      <c r="X336" s="17"/>
      <c r="Y336" s="13"/>
      <c r="Z336" s="13"/>
      <c r="AA336" s="13"/>
      <c r="AB336" s="25"/>
      <c r="AC336" s="17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</row>
    <row r="337" spans="1:43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25"/>
      <c r="X337" s="17"/>
      <c r="Y337" s="13"/>
      <c r="Z337" s="13"/>
      <c r="AA337" s="13"/>
      <c r="AB337" s="25"/>
      <c r="AC337" s="17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</row>
    <row r="338" spans="1:43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25"/>
      <c r="X338" s="17"/>
      <c r="Y338" s="13"/>
      <c r="Z338" s="13"/>
      <c r="AA338" s="13"/>
      <c r="AB338" s="25"/>
      <c r="AC338" s="17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</row>
    <row r="339" spans="1:43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25"/>
      <c r="X339" s="17"/>
      <c r="Y339" s="13"/>
      <c r="Z339" s="13"/>
      <c r="AA339" s="13"/>
      <c r="AB339" s="25"/>
      <c r="AC339" s="17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</row>
    <row r="340" spans="1:43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25"/>
      <c r="X340" s="17"/>
      <c r="Y340" s="13"/>
      <c r="Z340" s="13"/>
      <c r="AA340" s="13"/>
      <c r="AB340" s="25"/>
      <c r="AC340" s="17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</row>
    <row r="341" spans="1:43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25"/>
      <c r="X341" s="17"/>
      <c r="Y341" s="13"/>
      <c r="Z341" s="13"/>
      <c r="AA341" s="13"/>
      <c r="AB341" s="25"/>
      <c r="AC341" s="17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</row>
    <row r="342" spans="1:43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25"/>
      <c r="X342" s="17"/>
      <c r="Y342" s="13"/>
      <c r="Z342" s="13"/>
      <c r="AA342" s="13"/>
      <c r="AB342" s="25"/>
      <c r="AC342" s="17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</row>
    <row r="343" spans="1:43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25"/>
      <c r="X343" s="17"/>
      <c r="Y343" s="13"/>
      <c r="Z343" s="13"/>
      <c r="AA343" s="13"/>
      <c r="AB343" s="25"/>
      <c r="AC343" s="17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</row>
    <row r="344" spans="1:43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25"/>
      <c r="X344" s="17"/>
      <c r="Y344" s="13"/>
      <c r="Z344" s="13"/>
      <c r="AA344" s="13"/>
      <c r="AB344" s="25"/>
      <c r="AC344" s="17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</row>
    <row r="345" spans="1:43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25"/>
      <c r="X345" s="17"/>
      <c r="Y345" s="13"/>
      <c r="Z345" s="13"/>
      <c r="AA345" s="13"/>
      <c r="AB345" s="25"/>
      <c r="AC345" s="17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</row>
    <row r="346" spans="1:43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25"/>
      <c r="X346" s="17"/>
      <c r="Y346" s="13"/>
      <c r="Z346" s="13"/>
      <c r="AA346" s="13"/>
      <c r="AB346" s="25"/>
      <c r="AC346" s="17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</row>
    <row r="347" spans="1:43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25"/>
      <c r="X347" s="17"/>
      <c r="Y347" s="13"/>
      <c r="Z347" s="13"/>
      <c r="AA347" s="13"/>
      <c r="AB347" s="25"/>
      <c r="AC347" s="17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</row>
    <row r="348" spans="1:43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25"/>
      <c r="X348" s="17"/>
      <c r="Y348" s="13"/>
      <c r="Z348" s="13"/>
      <c r="AA348" s="13"/>
      <c r="AB348" s="25"/>
      <c r="AC348" s="17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</row>
    <row r="349" spans="1:43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25"/>
      <c r="X349" s="17"/>
      <c r="Y349" s="13"/>
      <c r="Z349" s="13"/>
      <c r="AA349" s="13"/>
      <c r="AB349" s="25"/>
      <c r="AC349" s="17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</row>
    <row r="350" spans="1:43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25"/>
      <c r="X350" s="17"/>
      <c r="Y350" s="13"/>
      <c r="Z350" s="13"/>
      <c r="AA350" s="13"/>
      <c r="AB350" s="25"/>
      <c r="AC350" s="17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</row>
    <row r="351" spans="1:43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25"/>
      <c r="X351" s="17"/>
      <c r="Y351" s="13"/>
      <c r="Z351" s="13"/>
      <c r="AA351" s="13"/>
      <c r="AB351" s="25"/>
      <c r="AC351" s="17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</row>
    <row r="352" spans="1:43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25"/>
      <c r="X352" s="17"/>
      <c r="Y352" s="13"/>
      <c r="Z352" s="13"/>
      <c r="AA352" s="13"/>
      <c r="AB352" s="25"/>
      <c r="AC352" s="17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</row>
    <row r="353" spans="1:43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25"/>
      <c r="X353" s="17"/>
      <c r="Y353" s="13"/>
      <c r="Z353" s="13"/>
      <c r="AA353" s="13"/>
      <c r="AB353" s="25"/>
      <c r="AC353" s="17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</row>
    <row r="354" spans="1:43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25"/>
      <c r="X354" s="17"/>
      <c r="Y354" s="13"/>
      <c r="Z354" s="13"/>
      <c r="AA354" s="13"/>
      <c r="AB354" s="25"/>
      <c r="AC354" s="17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</row>
    <row r="355" spans="1:43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25"/>
      <c r="X355" s="17"/>
      <c r="Y355" s="13"/>
      <c r="Z355" s="13"/>
      <c r="AA355" s="13"/>
      <c r="AB355" s="25"/>
      <c r="AC355" s="17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</row>
    <row r="356" spans="1:43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25"/>
      <c r="X356" s="17"/>
      <c r="Y356" s="13"/>
      <c r="Z356" s="13"/>
      <c r="AA356" s="13"/>
      <c r="AB356" s="25"/>
      <c r="AC356" s="17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</row>
    <row r="357" spans="1:43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25"/>
      <c r="X357" s="17"/>
      <c r="Y357" s="13"/>
      <c r="Z357" s="13"/>
      <c r="AA357" s="13"/>
      <c r="AB357" s="25"/>
      <c r="AC357" s="17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</row>
    <row r="358" spans="1:43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25"/>
      <c r="X358" s="17"/>
      <c r="Y358" s="13"/>
      <c r="Z358" s="13"/>
      <c r="AA358" s="13"/>
      <c r="AB358" s="25"/>
      <c r="AC358" s="17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</row>
    <row r="359" spans="1:43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25"/>
      <c r="X359" s="17"/>
      <c r="Y359" s="13"/>
      <c r="Z359" s="13"/>
      <c r="AA359" s="13"/>
      <c r="AB359" s="25"/>
      <c r="AC359" s="17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</row>
    <row r="360" spans="1:43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25"/>
      <c r="X360" s="17"/>
      <c r="Y360" s="13"/>
      <c r="Z360" s="13"/>
      <c r="AA360" s="13"/>
      <c r="AB360" s="25"/>
      <c r="AC360" s="17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</row>
    <row r="361" spans="1:43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25"/>
      <c r="X361" s="17"/>
      <c r="Y361" s="13"/>
      <c r="Z361" s="13"/>
      <c r="AA361" s="13"/>
      <c r="AB361" s="25"/>
      <c r="AC361" s="17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</row>
    <row r="362" spans="1:43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25"/>
      <c r="X362" s="17"/>
      <c r="Y362" s="13"/>
      <c r="Z362" s="13"/>
      <c r="AA362" s="13"/>
      <c r="AB362" s="25"/>
      <c r="AC362" s="17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</row>
    <row r="363" spans="1:43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25"/>
      <c r="X363" s="17"/>
      <c r="Y363" s="13"/>
      <c r="Z363" s="13"/>
      <c r="AA363" s="13"/>
      <c r="AB363" s="25"/>
      <c r="AC363" s="17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</row>
    <row r="364" spans="1:43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25"/>
      <c r="X364" s="17"/>
      <c r="Y364" s="13"/>
      <c r="Z364" s="13"/>
      <c r="AA364" s="13"/>
      <c r="AB364" s="25"/>
      <c r="AC364" s="17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</row>
    <row r="365" spans="1:43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25"/>
      <c r="X365" s="17"/>
      <c r="Y365" s="13"/>
      <c r="Z365" s="13"/>
      <c r="AA365" s="13"/>
      <c r="AB365" s="25"/>
      <c r="AC365" s="17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</row>
    <row r="366" spans="1:43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25"/>
      <c r="X366" s="17"/>
      <c r="Y366" s="13"/>
      <c r="Z366" s="13"/>
      <c r="AA366" s="13"/>
      <c r="AB366" s="25"/>
      <c r="AC366" s="17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</row>
    <row r="367" spans="1:43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25"/>
      <c r="X367" s="17"/>
      <c r="Y367" s="13"/>
      <c r="Z367" s="13"/>
      <c r="AA367" s="13"/>
      <c r="AB367" s="25"/>
      <c r="AC367" s="17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</row>
    <row r="368" spans="1:43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25"/>
      <c r="X368" s="17"/>
      <c r="Y368" s="13"/>
      <c r="Z368" s="13"/>
      <c r="AA368" s="13"/>
      <c r="AB368" s="25"/>
      <c r="AC368" s="17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</row>
    <row r="369" spans="1:43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25"/>
      <c r="X369" s="17"/>
      <c r="Y369" s="13"/>
      <c r="Z369" s="13"/>
      <c r="AA369" s="13"/>
      <c r="AB369" s="25"/>
      <c r="AC369" s="17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</row>
    <row r="370" spans="1:43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25"/>
      <c r="X370" s="17"/>
      <c r="Y370" s="13"/>
      <c r="Z370" s="13"/>
      <c r="AA370" s="13"/>
      <c r="AB370" s="25"/>
      <c r="AC370" s="17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</row>
    <row r="371" spans="1:43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25"/>
      <c r="X371" s="17"/>
      <c r="Y371" s="13"/>
      <c r="Z371" s="13"/>
      <c r="AA371" s="13"/>
      <c r="AB371" s="25"/>
      <c r="AC371" s="17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</row>
    <row r="372" spans="1:43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25"/>
      <c r="X372" s="17"/>
      <c r="Y372" s="13"/>
      <c r="Z372" s="13"/>
      <c r="AA372" s="13"/>
      <c r="AB372" s="25"/>
      <c r="AC372" s="17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</row>
    <row r="373" spans="1:43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25"/>
      <c r="X373" s="17"/>
      <c r="Y373" s="13"/>
      <c r="Z373" s="13"/>
      <c r="AA373" s="13"/>
      <c r="AB373" s="25"/>
      <c r="AC373" s="17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</row>
    <row r="374" spans="1:43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25"/>
      <c r="X374" s="17"/>
      <c r="Y374" s="13"/>
      <c r="Z374" s="13"/>
      <c r="AA374" s="13"/>
      <c r="AB374" s="25"/>
      <c r="AC374" s="17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</row>
    <row r="375" spans="1:43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25"/>
      <c r="X375" s="17"/>
      <c r="Y375" s="13"/>
      <c r="Z375" s="13"/>
      <c r="AA375" s="13"/>
      <c r="AB375" s="25"/>
      <c r="AC375" s="17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</row>
    <row r="376" spans="1:43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25"/>
      <c r="X376" s="17"/>
      <c r="Y376" s="13"/>
      <c r="Z376" s="13"/>
      <c r="AA376" s="13"/>
      <c r="AB376" s="25"/>
      <c r="AC376" s="17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</row>
    <row r="377" spans="1:43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25"/>
      <c r="X377" s="17"/>
      <c r="Y377" s="13"/>
      <c r="Z377" s="13"/>
      <c r="AA377" s="13"/>
      <c r="AB377" s="25"/>
      <c r="AC377" s="17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</row>
    <row r="378" spans="1:43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25"/>
      <c r="X378" s="17"/>
      <c r="Y378" s="13"/>
      <c r="Z378" s="13"/>
      <c r="AA378" s="13"/>
      <c r="AB378" s="25"/>
      <c r="AC378" s="17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</row>
    <row r="379" spans="1:43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25"/>
      <c r="X379" s="17"/>
      <c r="Y379" s="13"/>
      <c r="Z379" s="13"/>
      <c r="AA379" s="13"/>
      <c r="AB379" s="25"/>
      <c r="AC379" s="17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</row>
    <row r="380" spans="1:43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25"/>
      <c r="X380" s="17"/>
      <c r="Y380" s="13"/>
      <c r="Z380" s="13"/>
      <c r="AA380" s="13"/>
      <c r="AB380" s="25"/>
      <c r="AC380" s="17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</row>
    <row r="381" spans="1:43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25"/>
      <c r="X381" s="17"/>
      <c r="Y381" s="13"/>
      <c r="Z381" s="13"/>
      <c r="AA381" s="13"/>
      <c r="AB381" s="25"/>
      <c r="AC381" s="17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</row>
    <row r="382" spans="1:43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25"/>
      <c r="X382" s="17"/>
      <c r="Y382" s="13"/>
      <c r="Z382" s="13"/>
      <c r="AA382" s="13"/>
      <c r="AB382" s="25"/>
      <c r="AC382" s="17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</row>
    <row r="383" spans="1:43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25"/>
      <c r="X383" s="17"/>
      <c r="Y383" s="13"/>
      <c r="Z383" s="13"/>
      <c r="AA383" s="13"/>
      <c r="AB383" s="25"/>
      <c r="AC383" s="17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</row>
    <row r="384" spans="1:43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25"/>
      <c r="X384" s="17"/>
      <c r="Y384" s="13"/>
      <c r="Z384" s="13"/>
      <c r="AA384" s="13"/>
      <c r="AB384" s="25"/>
      <c r="AC384" s="17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</row>
    <row r="385" spans="1:43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25"/>
      <c r="X385" s="17"/>
      <c r="Y385" s="13"/>
      <c r="Z385" s="13"/>
      <c r="AA385" s="13"/>
      <c r="AB385" s="25"/>
      <c r="AC385" s="17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</row>
    <row r="386" spans="1:43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25"/>
      <c r="X386" s="17"/>
      <c r="Y386" s="13"/>
      <c r="Z386" s="13"/>
      <c r="AA386" s="13"/>
      <c r="AB386" s="25"/>
      <c r="AC386" s="17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</row>
    <row r="387" spans="1:43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25"/>
      <c r="X387" s="17"/>
      <c r="Y387" s="13"/>
      <c r="Z387" s="13"/>
      <c r="AA387" s="13"/>
      <c r="AB387" s="25"/>
      <c r="AC387" s="17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</row>
    <row r="388" spans="1:43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25"/>
      <c r="X388" s="17"/>
      <c r="Y388" s="13"/>
      <c r="Z388" s="13"/>
      <c r="AA388" s="13"/>
      <c r="AB388" s="25"/>
      <c r="AC388" s="17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</row>
    <row r="389" spans="1:43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25"/>
      <c r="X389" s="17"/>
      <c r="Y389" s="13"/>
      <c r="Z389" s="13"/>
      <c r="AA389" s="13"/>
      <c r="AB389" s="25"/>
      <c r="AC389" s="17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</row>
    <row r="390" spans="1:43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25"/>
      <c r="X390" s="17"/>
      <c r="Y390" s="13"/>
      <c r="Z390" s="13"/>
      <c r="AA390" s="13"/>
      <c r="AB390" s="25"/>
      <c r="AC390" s="17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</row>
    <row r="391" spans="1:43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25"/>
      <c r="X391" s="17"/>
      <c r="Y391" s="13"/>
      <c r="Z391" s="13"/>
      <c r="AA391" s="13"/>
      <c r="AB391" s="25"/>
      <c r="AC391" s="17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</row>
    <row r="392" spans="1:43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25"/>
      <c r="X392" s="17"/>
      <c r="Y392" s="13"/>
      <c r="Z392" s="13"/>
      <c r="AA392" s="13"/>
      <c r="AB392" s="25"/>
      <c r="AC392" s="17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</row>
    <row r="393" spans="1:43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25"/>
      <c r="X393" s="17"/>
      <c r="Y393" s="13"/>
      <c r="Z393" s="13"/>
      <c r="AA393" s="13"/>
      <c r="AB393" s="25"/>
      <c r="AC393" s="17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</row>
    <row r="394" spans="1:43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25"/>
      <c r="X394" s="17"/>
      <c r="Y394" s="13"/>
      <c r="Z394" s="13"/>
      <c r="AA394" s="13"/>
      <c r="AB394" s="25"/>
      <c r="AC394" s="17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</row>
    <row r="395" spans="1:43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25"/>
      <c r="X395" s="17"/>
      <c r="Y395" s="13"/>
      <c r="Z395" s="13"/>
      <c r="AA395" s="13"/>
      <c r="AB395" s="25"/>
      <c r="AC395" s="17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</row>
    <row r="396" spans="1:43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25"/>
      <c r="X396" s="17"/>
      <c r="Y396" s="13"/>
      <c r="Z396" s="13"/>
      <c r="AA396" s="13"/>
      <c r="AB396" s="25"/>
      <c r="AC396" s="17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</row>
    <row r="397" spans="1:43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25"/>
      <c r="X397" s="17"/>
      <c r="Y397" s="13"/>
      <c r="Z397" s="13"/>
      <c r="AA397" s="13"/>
      <c r="AB397" s="25"/>
      <c r="AC397" s="17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</row>
    <row r="398" spans="1:43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25"/>
      <c r="X398" s="17"/>
      <c r="Y398" s="13"/>
      <c r="Z398" s="13"/>
      <c r="AA398" s="13"/>
      <c r="AB398" s="25"/>
      <c r="AC398" s="17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</row>
    <row r="399" spans="1:43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25"/>
      <c r="X399" s="17"/>
      <c r="Y399" s="13"/>
      <c r="Z399" s="13"/>
      <c r="AA399" s="13"/>
      <c r="AB399" s="25"/>
      <c r="AC399" s="17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</row>
    <row r="400" spans="1:43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25"/>
      <c r="X400" s="17"/>
      <c r="Y400" s="13"/>
      <c r="Z400" s="13"/>
      <c r="AA400" s="13"/>
      <c r="AB400" s="25"/>
      <c r="AC400" s="17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</row>
    <row r="401" spans="1:43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25"/>
      <c r="X401" s="17"/>
      <c r="Y401" s="13"/>
      <c r="Z401" s="13"/>
      <c r="AA401" s="13"/>
      <c r="AB401" s="25"/>
      <c r="AC401" s="17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</row>
    <row r="402" spans="1:43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25"/>
      <c r="X402" s="17"/>
      <c r="Y402" s="13"/>
      <c r="Z402" s="13"/>
      <c r="AA402" s="13"/>
      <c r="AB402" s="25"/>
      <c r="AC402" s="17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</row>
    <row r="403" spans="1:43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25"/>
      <c r="X403" s="17"/>
      <c r="Y403" s="13"/>
      <c r="Z403" s="13"/>
      <c r="AA403" s="13"/>
      <c r="AB403" s="25"/>
      <c r="AC403" s="17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</row>
    <row r="404" spans="1:43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25"/>
      <c r="X404" s="17"/>
      <c r="Y404" s="13"/>
      <c r="Z404" s="13"/>
      <c r="AA404" s="13"/>
      <c r="AB404" s="25"/>
      <c r="AC404" s="17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</row>
    <row r="405" spans="1:43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25"/>
      <c r="X405" s="17"/>
      <c r="Y405" s="13"/>
      <c r="Z405" s="13"/>
      <c r="AA405" s="13"/>
      <c r="AB405" s="25"/>
      <c r="AC405" s="17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</row>
    <row r="406" spans="1:43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25"/>
      <c r="X406" s="17"/>
      <c r="Y406" s="13"/>
      <c r="Z406" s="13"/>
      <c r="AA406" s="13"/>
      <c r="AB406" s="25"/>
      <c r="AC406" s="17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</row>
    <row r="407" spans="1:43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25"/>
      <c r="X407" s="17"/>
      <c r="Y407" s="13"/>
      <c r="Z407" s="13"/>
      <c r="AA407" s="13"/>
      <c r="AB407" s="25"/>
      <c r="AC407" s="17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</row>
    <row r="408" spans="1:43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25"/>
      <c r="X408" s="17"/>
      <c r="Y408" s="13"/>
      <c r="Z408" s="13"/>
      <c r="AA408" s="13"/>
      <c r="AB408" s="25"/>
      <c r="AC408" s="17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</row>
    <row r="409" spans="1:43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25"/>
      <c r="X409" s="17"/>
      <c r="Y409" s="13"/>
      <c r="Z409" s="13"/>
      <c r="AA409" s="13"/>
      <c r="AB409" s="25"/>
      <c r="AC409" s="17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</row>
    <row r="410" spans="1:43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25"/>
      <c r="X410" s="17"/>
      <c r="Y410" s="13"/>
      <c r="Z410" s="13"/>
      <c r="AA410" s="13"/>
      <c r="AB410" s="25"/>
      <c r="AC410" s="17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</row>
    <row r="411" spans="1:43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25"/>
      <c r="X411" s="17"/>
      <c r="Y411" s="13"/>
      <c r="Z411" s="13"/>
      <c r="AA411" s="13"/>
      <c r="AB411" s="25"/>
      <c r="AC411" s="17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</row>
    <row r="412" spans="1:43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25"/>
      <c r="X412" s="17"/>
      <c r="Y412" s="13"/>
      <c r="Z412" s="13"/>
      <c r="AA412" s="13"/>
      <c r="AB412" s="25"/>
      <c r="AC412" s="17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</row>
    <row r="413" spans="1:43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25"/>
      <c r="X413" s="17"/>
      <c r="Y413" s="13"/>
      <c r="Z413" s="13"/>
      <c r="AA413" s="13"/>
      <c r="AB413" s="25"/>
      <c r="AC413" s="17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</row>
    <row r="414" spans="1:43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25"/>
      <c r="X414" s="17"/>
      <c r="Y414" s="13"/>
      <c r="Z414" s="13"/>
      <c r="AA414" s="13"/>
      <c r="AB414" s="25"/>
      <c r="AC414" s="17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</row>
    <row r="415" spans="1:43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25"/>
      <c r="X415" s="17"/>
      <c r="Y415" s="13"/>
      <c r="Z415" s="13"/>
      <c r="AA415" s="13"/>
      <c r="AB415" s="25"/>
      <c r="AC415" s="17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</row>
    <row r="416" spans="1:43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25"/>
      <c r="X416" s="17"/>
      <c r="Y416" s="13"/>
      <c r="Z416" s="13"/>
      <c r="AA416" s="13"/>
      <c r="AB416" s="25"/>
      <c r="AC416" s="17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</row>
    <row r="417" spans="1:43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25"/>
      <c r="X417" s="17"/>
      <c r="Y417" s="13"/>
      <c r="Z417" s="13"/>
      <c r="AA417" s="13"/>
      <c r="AB417" s="25"/>
      <c r="AC417" s="17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</row>
    <row r="418" spans="1:43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25"/>
      <c r="X418" s="17"/>
      <c r="Y418" s="13"/>
      <c r="Z418" s="13"/>
      <c r="AA418" s="13"/>
      <c r="AB418" s="25"/>
      <c r="AC418" s="17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</row>
    <row r="419" spans="1:43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25"/>
      <c r="X419" s="17"/>
      <c r="Y419" s="13"/>
      <c r="Z419" s="13"/>
      <c r="AA419" s="13"/>
      <c r="AB419" s="25"/>
      <c r="AC419" s="17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</row>
    <row r="420" spans="1:43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25"/>
      <c r="X420" s="17"/>
      <c r="Y420" s="13"/>
      <c r="Z420" s="13"/>
      <c r="AA420" s="13"/>
      <c r="AB420" s="25"/>
      <c r="AC420" s="17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</row>
    <row r="421" spans="1:43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25"/>
      <c r="X421" s="17"/>
      <c r="Y421" s="13"/>
      <c r="Z421" s="13"/>
      <c r="AA421" s="13"/>
      <c r="AB421" s="25"/>
      <c r="AC421" s="17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</row>
    <row r="422" spans="1:43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25"/>
      <c r="X422" s="17"/>
      <c r="Y422" s="13"/>
      <c r="Z422" s="13"/>
      <c r="AA422" s="13"/>
      <c r="AB422" s="25"/>
      <c r="AC422" s="17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</row>
    <row r="423" spans="1:43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25"/>
      <c r="X423" s="17"/>
      <c r="Y423" s="13"/>
      <c r="Z423" s="13"/>
      <c r="AA423" s="13"/>
      <c r="AB423" s="25"/>
      <c r="AC423" s="17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</row>
    <row r="424" spans="1:43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25"/>
      <c r="X424" s="17"/>
      <c r="Y424" s="13"/>
      <c r="Z424" s="13"/>
      <c r="AA424" s="13"/>
      <c r="AB424" s="25"/>
      <c r="AC424" s="17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</row>
    <row r="425" spans="1:43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25"/>
      <c r="X425" s="17"/>
      <c r="Y425" s="13"/>
      <c r="Z425" s="13"/>
      <c r="AA425" s="13"/>
      <c r="AB425" s="25"/>
      <c r="AC425" s="17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</row>
    <row r="426" spans="1:43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25"/>
      <c r="X426" s="17"/>
      <c r="Y426" s="13"/>
      <c r="Z426" s="13"/>
      <c r="AA426" s="13"/>
      <c r="AB426" s="25"/>
      <c r="AC426" s="17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</row>
    <row r="427" spans="1:43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25"/>
      <c r="X427" s="17"/>
      <c r="Y427" s="13"/>
      <c r="Z427" s="13"/>
      <c r="AA427" s="13"/>
      <c r="AB427" s="25"/>
      <c r="AC427" s="17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</row>
    <row r="428" spans="1:43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25"/>
      <c r="X428" s="17"/>
      <c r="Y428" s="13"/>
      <c r="Z428" s="13"/>
      <c r="AA428" s="13"/>
      <c r="AB428" s="25"/>
      <c r="AC428" s="17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</row>
    <row r="429" spans="1:43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25"/>
      <c r="X429" s="17"/>
      <c r="Y429" s="13"/>
      <c r="Z429" s="13"/>
      <c r="AA429" s="13"/>
      <c r="AB429" s="25"/>
      <c r="AC429" s="17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</row>
    <row r="430" spans="1:43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25"/>
      <c r="X430" s="17"/>
      <c r="Y430" s="13"/>
      <c r="Z430" s="13"/>
      <c r="AA430" s="13"/>
      <c r="AB430" s="25"/>
      <c r="AC430" s="17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</row>
    <row r="431" spans="1:43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25"/>
      <c r="X431" s="17"/>
      <c r="Y431" s="13"/>
      <c r="Z431" s="13"/>
      <c r="AA431" s="13"/>
      <c r="AB431" s="25"/>
      <c r="AC431" s="17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</row>
    <row r="432" spans="1:43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25"/>
      <c r="X432" s="17"/>
      <c r="Y432" s="13"/>
      <c r="Z432" s="13"/>
      <c r="AA432" s="13"/>
      <c r="AB432" s="25"/>
      <c r="AC432" s="17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</row>
    <row r="433" spans="1:43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25"/>
      <c r="X433" s="17"/>
      <c r="Y433" s="13"/>
      <c r="Z433" s="13"/>
      <c r="AA433" s="13"/>
      <c r="AB433" s="25"/>
      <c r="AC433" s="17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</row>
    <row r="434" spans="1:43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25"/>
      <c r="X434" s="17"/>
      <c r="Y434" s="13"/>
      <c r="Z434" s="13"/>
      <c r="AA434" s="13"/>
      <c r="AB434" s="25"/>
      <c r="AC434" s="17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</row>
    <row r="435" spans="1:43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25"/>
      <c r="X435" s="17"/>
      <c r="Y435" s="13"/>
      <c r="Z435" s="13"/>
      <c r="AA435" s="13"/>
      <c r="AB435" s="25"/>
      <c r="AC435" s="17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</row>
    <row r="436" spans="1:43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25"/>
      <c r="X436" s="17"/>
      <c r="Y436" s="13"/>
      <c r="Z436" s="13"/>
      <c r="AA436" s="13"/>
      <c r="AB436" s="25"/>
      <c r="AC436" s="17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</row>
    <row r="437" spans="1:43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25"/>
      <c r="X437" s="17"/>
      <c r="Y437" s="13"/>
      <c r="Z437" s="13"/>
      <c r="AA437" s="13"/>
      <c r="AB437" s="25"/>
      <c r="AC437" s="17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</row>
    <row r="438" spans="1:43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25"/>
      <c r="X438" s="17"/>
      <c r="Y438" s="13"/>
      <c r="Z438" s="13"/>
      <c r="AA438" s="13"/>
      <c r="AB438" s="25"/>
      <c r="AC438" s="17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</row>
    <row r="439" spans="1:43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25"/>
      <c r="X439" s="17"/>
      <c r="Y439" s="13"/>
      <c r="Z439" s="13"/>
      <c r="AA439" s="13"/>
      <c r="AB439" s="25"/>
      <c r="AC439" s="17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</row>
    <row r="440" spans="1:43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25"/>
      <c r="X440" s="17"/>
      <c r="Y440" s="13"/>
      <c r="Z440" s="13"/>
      <c r="AA440" s="13"/>
      <c r="AB440" s="25"/>
      <c r="AC440" s="17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</row>
    <row r="441" spans="1:43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25"/>
      <c r="X441" s="17"/>
      <c r="Y441" s="13"/>
      <c r="Z441" s="13"/>
      <c r="AA441" s="13"/>
      <c r="AB441" s="25"/>
      <c r="AC441" s="17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</row>
    <row r="442" spans="1:43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25"/>
      <c r="X442" s="17"/>
      <c r="Y442" s="13"/>
      <c r="Z442" s="13"/>
      <c r="AA442" s="13"/>
      <c r="AB442" s="25"/>
      <c r="AC442" s="17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</row>
    <row r="443" spans="1:43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25"/>
      <c r="X443" s="17"/>
      <c r="Y443" s="13"/>
      <c r="Z443" s="13"/>
      <c r="AA443" s="13"/>
      <c r="AB443" s="25"/>
      <c r="AC443" s="17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</row>
    <row r="444" spans="1:43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25"/>
      <c r="X444" s="17"/>
      <c r="Y444" s="13"/>
      <c r="Z444" s="13"/>
      <c r="AA444" s="13"/>
      <c r="AB444" s="25"/>
      <c r="AC444" s="17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</row>
    <row r="445" spans="1:43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25"/>
      <c r="X445" s="17"/>
      <c r="Y445" s="13"/>
      <c r="Z445" s="13"/>
      <c r="AA445" s="13"/>
      <c r="AB445" s="25"/>
      <c r="AC445" s="17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</row>
    <row r="446" spans="1:43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25"/>
      <c r="X446" s="17"/>
      <c r="Y446" s="13"/>
      <c r="Z446" s="13"/>
      <c r="AA446" s="13"/>
      <c r="AB446" s="25"/>
      <c r="AC446" s="17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</row>
    <row r="447" spans="1:43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25"/>
      <c r="X447" s="17"/>
      <c r="Y447" s="13"/>
      <c r="Z447" s="13"/>
      <c r="AA447" s="13"/>
      <c r="AB447" s="25"/>
      <c r="AC447" s="17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</row>
    <row r="448" spans="1:43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25"/>
      <c r="X448" s="17"/>
      <c r="Y448" s="13"/>
      <c r="Z448" s="13"/>
      <c r="AA448" s="13"/>
      <c r="AB448" s="25"/>
      <c r="AC448" s="17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</row>
    <row r="449" spans="1:43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25"/>
      <c r="X449" s="17"/>
      <c r="Y449" s="13"/>
      <c r="Z449" s="13"/>
      <c r="AA449" s="13"/>
      <c r="AB449" s="25"/>
      <c r="AC449" s="17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</row>
    <row r="450" spans="1:43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25"/>
      <c r="X450" s="17"/>
      <c r="Y450" s="13"/>
      <c r="Z450" s="13"/>
      <c r="AA450" s="13"/>
      <c r="AB450" s="25"/>
      <c r="AC450" s="17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</row>
    <row r="451" spans="1:43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25"/>
      <c r="X451" s="17"/>
      <c r="Y451" s="13"/>
      <c r="Z451" s="13"/>
      <c r="AA451" s="13"/>
      <c r="AB451" s="25"/>
      <c r="AC451" s="17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</row>
    <row r="452" spans="1:43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25"/>
      <c r="X452" s="17"/>
      <c r="Y452" s="13"/>
      <c r="Z452" s="13"/>
      <c r="AA452" s="13"/>
      <c r="AB452" s="25"/>
      <c r="AC452" s="17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</row>
    <row r="453" spans="1:43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25"/>
      <c r="X453" s="17"/>
      <c r="Y453" s="13"/>
      <c r="Z453" s="13"/>
      <c r="AA453" s="13"/>
      <c r="AB453" s="25"/>
      <c r="AC453" s="17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</row>
    <row r="454" spans="1:43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25"/>
      <c r="X454" s="17"/>
      <c r="Y454" s="13"/>
      <c r="Z454" s="13"/>
      <c r="AA454" s="13"/>
      <c r="AB454" s="25"/>
      <c r="AC454" s="17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</row>
    <row r="455" spans="1:43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25"/>
      <c r="X455" s="17"/>
      <c r="Y455" s="13"/>
      <c r="Z455" s="13"/>
      <c r="AA455" s="13"/>
      <c r="AB455" s="25"/>
      <c r="AC455" s="17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</row>
    <row r="456" spans="1:43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25"/>
      <c r="X456" s="17"/>
      <c r="Y456" s="13"/>
      <c r="Z456" s="13"/>
      <c r="AA456" s="13"/>
      <c r="AB456" s="25"/>
      <c r="AC456" s="17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</row>
    <row r="457" spans="1:43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25"/>
      <c r="X457" s="17"/>
      <c r="Y457" s="13"/>
      <c r="Z457" s="13"/>
      <c r="AA457" s="13"/>
      <c r="AB457" s="25"/>
      <c r="AC457" s="17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</row>
    <row r="458" spans="1:43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25"/>
      <c r="X458" s="17"/>
      <c r="Y458" s="13"/>
      <c r="Z458" s="13"/>
      <c r="AA458" s="13"/>
      <c r="AB458" s="25"/>
      <c r="AC458" s="17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</row>
    <row r="459" spans="1:43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5"/>
      <c r="X459" s="17"/>
      <c r="Y459" s="13"/>
      <c r="Z459" s="13"/>
      <c r="AA459" s="13"/>
      <c r="AB459" s="25"/>
      <c r="AC459" s="17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</row>
    <row r="460" spans="1:43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5"/>
      <c r="X460" s="17"/>
      <c r="Y460" s="13"/>
      <c r="Z460" s="13"/>
      <c r="AA460" s="13"/>
      <c r="AB460" s="25"/>
      <c r="AC460" s="17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</row>
    <row r="461" spans="1:43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5"/>
      <c r="X461" s="17"/>
      <c r="Y461" s="13"/>
      <c r="Z461" s="13"/>
      <c r="AA461" s="13"/>
      <c r="AB461" s="25"/>
      <c r="AC461" s="17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</row>
    <row r="462" spans="1:43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5"/>
      <c r="X462" s="17"/>
      <c r="Y462" s="13"/>
      <c r="Z462" s="13"/>
      <c r="AA462" s="13"/>
      <c r="AB462" s="25"/>
      <c r="AC462" s="17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</row>
    <row r="463" spans="1:43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25"/>
      <c r="X463" s="17"/>
      <c r="Y463" s="13"/>
      <c r="Z463" s="13"/>
      <c r="AA463" s="13"/>
      <c r="AB463" s="25"/>
      <c r="AC463" s="17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</row>
    <row r="464" spans="1:43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25"/>
      <c r="X464" s="17"/>
      <c r="Y464" s="13"/>
      <c r="Z464" s="13"/>
      <c r="AA464" s="13"/>
      <c r="AB464" s="25"/>
      <c r="AC464" s="17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</row>
    <row r="465" spans="1:43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25"/>
      <c r="X465" s="17"/>
      <c r="Y465" s="13"/>
      <c r="Z465" s="13"/>
      <c r="AA465" s="13"/>
      <c r="AB465" s="25"/>
      <c r="AC465" s="17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</row>
    <row r="466" spans="1:43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25"/>
      <c r="X466" s="17"/>
      <c r="Y466" s="13"/>
      <c r="Z466" s="13"/>
      <c r="AA466" s="13"/>
      <c r="AB466" s="25"/>
      <c r="AC466" s="17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</row>
    <row r="467" spans="1:43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25"/>
      <c r="X467" s="17"/>
      <c r="Y467" s="13"/>
      <c r="Z467" s="13"/>
      <c r="AA467" s="13"/>
      <c r="AB467" s="25"/>
      <c r="AC467" s="17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</row>
    <row r="468" spans="1:43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25"/>
      <c r="X468" s="17"/>
      <c r="Y468" s="13"/>
      <c r="Z468" s="13"/>
      <c r="AA468" s="13"/>
      <c r="AB468" s="25"/>
      <c r="AC468" s="17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</row>
    <row r="469" spans="1:43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25"/>
      <c r="X469" s="17"/>
      <c r="Y469" s="13"/>
      <c r="Z469" s="13"/>
      <c r="AA469" s="13"/>
      <c r="AB469" s="25"/>
      <c r="AC469" s="17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</row>
    <row r="470" spans="1:43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25"/>
      <c r="X470" s="17"/>
      <c r="Y470" s="13"/>
      <c r="Z470" s="13"/>
      <c r="AA470" s="13"/>
      <c r="AB470" s="25"/>
      <c r="AC470" s="17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</row>
    <row r="471" spans="1:43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25"/>
      <c r="X471" s="17"/>
      <c r="Y471" s="13"/>
      <c r="Z471" s="13"/>
      <c r="AA471" s="13"/>
      <c r="AB471" s="25"/>
      <c r="AC471" s="17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</row>
    <row r="472" spans="1:43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5"/>
      <c r="X472" s="17"/>
      <c r="Y472" s="13"/>
      <c r="Z472" s="13"/>
      <c r="AA472" s="13"/>
      <c r="AB472" s="25"/>
      <c r="AC472" s="17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</row>
    <row r="473" spans="1:43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25"/>
      <c r="X473" s="17"/>
      <c r="Y473" s="13"/>
      <c r="Z473" s="13"/>
      <c r="AA473" s="13"/>
      <c r="AB473" s="25"/>
      <c r="AC473" s="17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</row>
    <row r="474" spans="1:43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25"/>
      <c r="X474" s="17"/>
      <c r="Y474" s="13"/>
      <c r="Z474" s="13"/>
      <c r="AA474" s="13"/>
      <c r="AB474" s="25"/>
      <c r="AC474" s="17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</row>
    <row r="475" spans="1:43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25"/>
      <c r="X475" s="17"/>
      <c r="Y475" s="13"/>
      <c r="Z475" s="13"/>
      <c r="AA475" s="13"/>
      <c r="AB475" s="25"/>
      <c r="AC475" s="17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</row>
    <row r="476" spans="1:43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5"/>
      <c r="X476" s="17"/>
      <c r="Y476" s="13"/>
      <c r="Z476" s="13"/>
      <c r="AA476" s="13"/>
      <c r="AB476" s="25"/>
      <c r="AC476" s="17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</row>
    <row r="477" spans="1:43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25"/>
      <c r="X477" s="17"/>
      <c r="Y477" s="13"/>
      <c r="Z477" s="13"/>
      <c r="AA477" s="13"/>
      <c r="AB477" s="25"/>
      <c r="AC477" s="17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</row>
    <row r="478" spans="1:43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25"/>
      <c r="X478" s="17"/>
      <c r="Y478" s="13"/>
      <c r="Z478" s="13"/>
      <c r="AA478" s="13"/>
      <c r="AB478" s="25"/>
      <c r="AC478" s="17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</row>
    <row r="479" spans="1:43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5"/>
      <c r="X479" s="17"/>
      <c r="Y479" s="13"/>
      <c r="Z479" s="13"/>
      <c r="AA479" s="13"/>
      <c r="AB479" s="25"/>
      <c r="AC479" s="17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</row>
    <row r="480" spans="1:43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5"/>
      <c r="X480" s="17"/>
      <c r="Y480" s="13"/>
      <c r="Z480" s="13"/>
      <c r="AA480" s="13"/>
      <c r="AB480" s="25"/>
      <c r="AC480" s="17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</row>
    <row r="481" spans="1:43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5"/>
      <c r="X481" s="17"/>
      <c r="Y481" s="13"/>
      <c r="Z481" s="13"/>
      <c r="AA481" s="13"/>
      <c r="AB481" s="25"/>
      <c r="AC481" s="17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</row>
    <row r="482" spans="1:43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5"/>
      <c r="X482" s="17"/>
      <c r="Y482" s="13"/>
      <c r="Z482" s="13"/>
      <c r="AA482" s="13"/>
      <c r="AB482" s="25"/>
      <c r="AC482" s="17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</row>
    <row r="483" spans="1:43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5"/>
      <c r="X483" s="17"/>
      <c r="Y483" s="13"/>
      <c r="Z483" s="13"/>
      <c r="AA483" s="13"/>
      <c r="AB483" s="25"/>
      <c r="AC483" s="17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</row>
    <row r="484" spans="1:43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25"/>
      <c r="X484" s="17"/>
      <c r="Y484" s="13"/>
      <c r="Z484" s="13"/>
      <c r="AA484" s="13"/>
      <c r="AB484" s="25"/>
      <c r="AC484" s="17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</row>
    <row r="485" spans="1:43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25"/>
      <c r="X485" s="17"/>
      <c r="Y485" s="13"/>
      <c r="Z485" s="13"/>
      <c r="AA485" s="13"/>
      <c r="AB485" s="25"/>
      <c r="AC485" s="17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</row>
    <row r="486" spans="1:43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25"/>
      <c r="X486" s="17"/>
      <c r="Y486" s="13"/>
      <c r="Z486" s="13"/>
      <c r="AA486" s="13"/>
      <c r="AB486" s="25"/>
      <c r="AC486" s="17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</row>
    <row r="487" spans="1:43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25"/>
      <c r="X487" s="17"/>
      <c r="Y487" s="13"/>
      <c r="Z487" s="13"/>
      <c r="AA487" s="13"/>
      <c r="AB487" s="25"/>
      <c r="AC487" s="17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</row>
    <row r="488" spans="1:43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25"/>
      <c r="X488" s="17"/>
      <c r="Y488" s="13"/>
      <c r="Z488" s="13"/>
      <c r="AA488" s="13"/>
      <c r="AB488" s="25"/>
      <c r="AC488" s="17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</row>
    <row r="489" spans="1:43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25"/>
      <c r="X489" s="17"/>
      <c r="Y489" s="13"/>
      <c r="Z489" s="13"/>
      <c r="AA489" s="13"/>
      <c r="AB489" s="25"/>
      <c r="AC489" s="17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</row>
    <row r="490" spans="1:43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25"/>
      <c r="X490" s="17"/>
      <c r="Y490" s="13"/>
      <c r="Z490" s="13"/>
      <c r="AA490" s="13"/>
      <c r="AB490" s="25"/>
      <c r="AC490" s="17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</row>
    <row r="491" spans="1:43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25"/>
      <c r="X491" s="17"/>
      <c r="Y491" s="13"/>
      <c r="Z491" s="13"/>
      <c r="AA491" s="13"/>
      <c r="AB491" s="25"/>
      <c r="AC491" s="17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</row>
    <row r="492" spans="1:43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25"/>
      <c r="X492" s="17"/>
      <c r="Y492" s="13"/>
      <c r="Z492" s="13"/>
      <c r="AA492" s="13"/>
      <c r="AB492" s="25"/>
      <c r="AC492" s="17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</row>
    <row r="493" spans="1:43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25"/>
      <c r="X493" s="17"/>
      <c r="Y493" s="13"/>
      <c r="Z493" s="13"/>
      <c r="AA493" s="13"/>
      <c r="AB493" s="25"/>
      <c r="AC493" s="17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</row>
    <row r="494" spans="1:43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25"/>
      <c r="X494" s="17"/>
      <c r="Y494" s="13"/>
      <c r="Z494" s="13"/>
      <c r="AA494" s="13"/>
      <c r="AB494" s="25"/>
      <c r="AC494" s="17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</row>
    <row r="495" spans="1:43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25"/>
      <c r="X495" s="17"/>
      <c r="Y495" s="13"/>
      <c r="Z495" s="13"/>
      <c r="AA495" s="13"/>
      <c r="AB495" s="25"/>
      <c r="AC495" s="17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</row>
    <row r="496" spans="1:43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25"/>
      <c r="X496" s="17"/>
      <c r="Y496" s="13"/>
      <c r="Z496" s="13"/>
      <c r="AA496" s="13"/>
      <c r="AB496" s="25"/>
      <c r="AC496" s="17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</row>
    <row r="497" spans="1:43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25"/>
      <c r="X497" s="17"/>
      <c r="Y497" s="13"/>
      <c r="Z497" s="13"/>
      <c r="AA497" s="13"/>
      <c r="AB497" s="25"/>
      <c r="AC497" s="17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</row>
    <row r="498" spans="1:43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25"/>
      <c r="X498" s="17"/>
      <c r="Y498" s="13"/>
      <c r="Z498" s="13"/>
      <c r="AA498" s="13"/>
      <c r="AB498" s="25"/>
      <c r="AC498" s="17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</row>
    <row r="499" spans="1:43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25"/>
      <c r="X499" s="17"/>
      <c r="Y499" s="13"/>
      <c r="Z499" s="13"/>
      <c r="AA499" s="13"/>
      <c r="AB499" s="25"/>
      <c r="AC499" s="17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</row>
  </sheetData>
  <autoFilter ref="A3:AQ132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C8A8-DF2B-4F6E-B0BA-A1799196FAD8}">
  <dimension ref="A1:C17"/>
  <sheetViews>
    <sheetView workbookViewId="0">
      <selection activeCell="G19" sqref="G19"/>
    </sheetView>
  </sheetViews>
  <sheetFormatPr defaultRowHeight="15" x14ac:dyDescent="0.25"/>
  <cols>
    <col min="2" max="2" width="110.28515625" bestFit="1" customWidth="1"/>
  </cols>
  <sheetData>
    <row r="1" spans="1:3" x14ac:dyDescent="0.25">
      <c r="A1" s="23" t="s">
        <v>106</v>
      </c>
      <c r="B1" s="23" t="s">
        <v>330</v>
      </c>
      <c r="C1" s="23">
        <v>-63</v>
      </c>
    </row>
    <row r="2" spans="1:3" x14ac:dyDescent="0.25">
      <c r="A2" s="24" t="s">
        <v>100</v>
      </c>
      <c r="B2" s="24" t="s">
        <v>315</v>
      </c>
      <c r="C2" s="24">
        <v>-81</v>
      </c>
    </row>
    <row r="3" spans="1:3" x14ac:dyDescent="0.25">
      <c r="A3" s="24" t="s">
        <v>118</v>
      </c>
      <c r="B3" s="24" t="s">
        <v>331</v>
      </c>
      <c r="C3" s="24">
        <v>-240</v>
      </c>
    </row>
    <row r="4" spans="1:3" x14ac:dyDescent="0.25">
      <c r="A4" s="24" t="s">
        <v>130</v>
      </c>
      <c r="B4" s="24" t="s">
        <v>316</v>
      </c>
      <c r="C4" s="24">
        <v>-46.2</v>
      </c>
    </row>
    <row r="5" spans="1:3" x14ac:dyDescent="0.25">
      <c r="A5" s="24" t="s">
        <v>157</v>
      </c>
      <c r="B5" s="24" t="s">
        <v>332</v>
      </c>
      <c r="C5" s="24">
        <v>-19.2</v>
      </c>
    </row>
    <row r="6" spans="1:3" x14ac:dyDescent="0.25">
      <c r="A6" s="24" t="s">
        <v>175</v>
      </c>
      <c r="B6" s="24" t="s">
        <v>318</v>
      </c>
      <c r="C6" s="24">
        <v>-153.9</v>
      </c>
    </row>
    <row r="7" spans="1:3" x14ac:dyDescent="0.25">
      <c r="A7" s="24" t="s">
        <v>142</v>
      </c>
      <c r="B7" s="24" t="s">
        <v>319</v>
      </c>
      <c r="C7" s="24">
        <v>-105</v>
      </c>
    </row>
    <row r="8" spans="1:3" x14ac:dyDescent="0.25">
      <c r="A8" s="24" t="s">
        <v>306</v>
      </c>
      <c r="B8" s="24" t="s">
        <v>320</v>
      </c>
      <c r="C8" s="24">
        <v>-27</v>
      </c>
    </row>
    <row r="9" spans="1:3" x14ac:dyDescent="0.25">
      <c r="A9" s="24" t="s">
        <v>304</v>
      </c>
      <c r="B9" s="24" t="s">
        <v>322</v>
      </c>
      <c r="C9" s="24">
        <v>-45</v>
      </c>
    </row>
    <row r="10" spans="1:3" x14ac:dyDescent="0.25">
      <c r="A10" s="24" t="s">
        <v>187</v>
      </c>
      <c r="B10" s="24" t="s">
        <v>323</v>
      </c>
      <c r="C10" s="24">
        <v>-102.6</v>
      </c>
    </row>
    <row r="11" spans="1:3" x14ac:dyDescent="0.25">
      <c r="A11" s="24" t="s">
        <v>237</v>
      </c>
      <c r="B11" s="24" t="s">
        <v>324</v>
      </c>
      <c r="C11" s="24">
        <v>-9</v>
      </c>
    </row>
    <row r="12" spans="1:3" x14ac:dyDescent="0.25">
      <c r="A12" s="24" t="s">
        <v>310</v>
      </c>
      <c r="B12" s="24" t="s">
        <v>326</v>
      </c>
      <c r="C12" s="24">
        <v>-18</v>
      </c>
    </row>
    <row r="13" spans="1:3" x14ac:dyDescent="0.25">
      <c r="A13" s="24" t="s">
        <v>243</v>
      </c>
      <c r="B13" s="24" t="s">
        <v>328</v>
      </c>
      <c r="C13" s="24">
        <v>-5.04</v>
      </c>
    </row>
    <row r="14" spans="1:3" x14ac:dyDescent="0.25">
      <c r="A14" s="24" t="s">
        <v>276</v>
      </c>
      <c r="B14" s="24" t="s">
        <v>333</v>
      </c>
      <c r="C14" s="24">
        <v>-70.56</v>
      </c>
    </row>
    <row r="15" spans="1:3" x14ac:dyDescent="0.25">
      <c r="A15" s="24" t="s">
        <v>270</v>
      </c>
      <c r="B15" s="24" t="s">
        <v>329</v>
      </c>
      <c r="C15" s="24">
        <v>-252</v>
      </c>
    </row>
    <row r="16" spans="1:3" x14ac:dyDescent="0.25">
      <c r="A16" s="24" t="s">
        <v>280</v>
      </c>
      <c r="B16" s="24" t="s">
        <v>334</v>
      </c>
      <c r="C16" s="24">
        <v>-70.56</v>
      </c>
    </row>
    <row r="17" spans="1:3" x14ac:dyDescent="0.25">
      <c r="A17" s="24" t="s">
        <v>266</v>
      </c>
      <c r="B17" s="24" t="s">
        <v>335</v>
      </c>
      <c r="C17" s="24">
        <v>-252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A2E3-6C81-4D4A-80CC-7596552F21C4}">
  <dimension ref="A1:C15"/>
  <sheetViews>
    <sheetView workbookViewId="0">
      <selection activeCell="G20" sqref="G20"/>
    </sheetView>
  </sheetViews>
  <sheetFormatPr defaultRowHeight="15" x14ac:dyDescent="0.25"/>
  <cols>
    <col min="2" max="2" width="110.28515625" bestFit="1" customWidth="1"/>
  </cols>
  <sheetData>
    <row r="1" spans="1:3" x14ac:dyDescent="0.25">
      <c r="A1" s="23" t="s">
        <v>100</v>
      </c>
      <c r="B1" s="23" t="s">
        <v>315</v>
      </c>
      <c r="C1" s="23">
        <v>-81</v>
      </c>
    </row>
    <row r="2" spans="1:3" x14ac:dyDescent="0.25">
      <c r="A2" s="24" t="s">
        <v>130</v>
      </c>
      <c r="B2" s="24" t="s">
        <v>316</v>
      </c>
      <c r="C2" s="24">
        <v>-31.5</v>
      </c>
    </row>
    <row r="3" spans="1:3" x14ac:dyDescent="0.25">
      <c r="A3" s="24" t="s">
        <v>136</v>
      </c>
      <c r="B3" s="24" t="s">
        <v>317</v>
      </c>
      <c r="C3" s="24">
        <v>-60</v>
      </c>
    </row>
    <row r="4" spans="1:3" x14ac:dyDescent="0.25">
      <c r="A4" s="24" t="s">
        <v>175</v>
      </c>
      <c r="B4" s="24" t="s">
        <v>318</v>
      </c>
      <c r="C4" s="24">
        <v>-153.9</v>
      </c>
    </row>
    <row r="5" spans="1:3" x14ac:dyDescent="0.25">
      <c r="A5" s="24" t="s">
        <v>142</v>
      </c>
      <c r="B5" s="24" t="s">
        <v>319</v>
      </c>
      <c r="C5" s="24">
        <v>-71.400000000000006</v>
      </c>
    </row>
    <row r="6" spans="1:3" x14ac:dyDescent="0.25">
      <c r="A6" s="24" t="s">
        <v>306</v>
      </c>
      <c r="B6" s="24" t="s">
        <v>320</v>
      </c>
      <c r="C6" s="24">
        <v>-18</v>
      </c>
    </row>
    <row r="7" spans="1:3" x14ac:dyDescent="0.25">
      <c r="A7" s="24" t="s">
        <v>183</v>
      </c>
      <c r="B7" s="24" t="s">
        <v>321</v>
      </c>
      <c r="C7" s="24">
        <v>-54</v>
      </c>
    </row>
    <row r="8" spans="1:3" x14ac:dyDescent="0.25">
      <c r="A8" s="24" t="s">
        <v>304</v>
      </c>
      <c r="B8" s="24" t="s">
        <v>322</v>
      </c>
      <c r="C8" s="24">
        <v>-16.2</v>
      </c>
    </row>
    <row r="9" spans="1:3" x14ac:dyDescent="0.25">
      <c r="A9" s="24" t="s">
        <v>187</v>
      </c>
      <c r="B9" s="24" t="s">
        <v>323</v>
      </c>
      <c r="C9" s="24">
        <v>-81</v>
      </c>
    </row>
    <row r="10" spans="1:3" x14ac:dyDescent="0.25">
      <c r="A10" s="24" t="s">
        <v>237</v>
      </c>
      <c r="B10" s="24" t="s">
        <v>324</v>
      </c>
      <c r="C10" s="24">
        <v>-9</v>
      </c>
    </row>
    <row r="11" spans="1:3" x14ac:dyDescent="0.25">
      <c r="A11" s="24" t="s">
        <v>203</v>
      </c>
      <c r="B11" s="24" t="s">
        <v>325</v>
      </c>
      <c r="C11" s="24">
        <v>-36.4</v>
      </c>
    </row>
    <row r="12" spans="1:3" x14ac:dyDescent="0.25">
      <c r="A12" s="24" t="s">
        <v>310</v>
      </c>
      <c r="B12" s="24" t="s">
        <v>326</v>
      </c>
      <c r="C12" s="24">
        <v>-12.6</v>
      </c>
    </row>
    <row r="13" spans="1:3" x14ac:dyDescent="0.25">
      <c r="A13" s="24" t="s">
        <v>241</v>
      </c>
      <c r="B13" s="24" t="s">
        <v>327</v>
      </c>
      <c r="C13" s="24">
        <v>-5.04</v>
      </c>
    </row>
    <row r="14" spans="1:3" x14ac:dyDescent="0.25">
      <c r="A14" s="24" t="s">
        <v>243</v>
      </c>
      <c r="B14" s="24" t="s">
        <v>328</v>
      </c>
      <c r="C14" s="24">
        <v>-5.04</v>
      </c>
    </row>
    <row r="15" spans="1:3" x14ac:dyDescent="0.25">
      <c r="A15" s="24" t="s">
        <v>270</v>
      </c>
      <c r="B15" s="24" t="s">
        <v>329</v>
      </c>
      <c r="C15" s="24">
        <v>-63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20,09</vt:lpstr>
      <vt:lpstr>дефицит 21,09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2026-09-17T15:23:53Z</dcterms:created>
  <dcterms:modified xsi:type="dcterms:W3CDTF">2026-09-22T09:54:44Z</dcterms:modified>
</cp:coreProperties>
</file>