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F620C1D5-3D2B-4837-9802-1E8BD5892E0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дефицит 27,09" sheetId="2" r:id="rId2"/>
    <sheet name="дефицит 29,09" sheetId="3" r:id="rId3"/>
  </sheets>
  <externalReferences>
    <externalReference r:id="rId4"/>
  </externalReferences>
  <definedNames>
    <definedName name="_xlnm._FilterDatabase" localSheetId="0" hidden="1">Sheet!$A$3:$AM$129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7" i="1" l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6" i="1"/>
  <c r="T5" i="1"/>
  <c r="H2" i="3"/>
  <c r="H3" i="3"/>
  <c r="H4" i="3"/>
  <c r="H5" i="3"/>
  <c r="H6" i="3"/>
  <c r="H7" i="3"/>
  <c r="H8" i="3"/>
  <c r="H9" i="3"/>
  <c r="H10" i="3"/>
  <c r="H11" i="3"/>
  <c r="H12" i="3"/>
  <c r="H1" i="3"/>
  <c r="B2" i="3"/>
  <c r="B3" i="3"/>
  <c r="B4" i="3"/>
  <c r="B5" i="3"/>
  <c r="B6" i="3"/>
  <c r="B7" i="3"/>
  <c r="B8" i="3"/>
  <c r="B9" i="3"/>
  <c r="B10" i="3"/>
  <c r="B11" i="3"/>
  <c r="B12" i="3"/>
  <c r="B1" i="3"/>
  <c r="H12" i="2" l="1"/>
  <c r="B12" i="2"/>
  <c r="H11" i="2"/>
  <c r="B11" i="2"/>
  <c r="H10" i="2"/>
  <c r="B10" i="2"/>
  <c r="H9" i="2"/>
  <c r="B9" i="2"/>
  <c r="H8" i="2"/>
  <c r="B8" i="2"/>
  <c r="H7" i="2"/>
  <c r="B7" i="2"/>
  <c r="H6" i="2"/>
  <c r="B6" i="2"/>
  <c r="H5" i="2"/>
  <c r="B5" i="2"/>
  <c r="H4" i="2"/>
  <c r="B4" i="2"/>
  <c r="H3" i="2"/>
  <c r="B3" i="2"/>
  <c r="H2" i="2"/>
  <c r="B2" i="2"/>
  <c r="H1" i="2"/>
  <c r="B1" i="2"/>
  <c r="X129" i="1"/>
  <c r="V129" i="1"/>
  <c r="L129" i="1"/>
  <c r="X128" i="1"/>
  <c r="V128" i="1"/>
  <c r="AA128" i="1" s="1"/>
  <c r="L128" i="1"/>
  <c r="X127" i="1"/>
  <c r="V127" i="1"/>
  <c r="AA127" i="1" s="1"/>
  <c r="L127" i="1"/>
  <c r="V126" i="1"/>
  <c r="W126" i="1" s="1"/>
  <c r="X126" i="1" s="1"/>
  <c r="L126" i="1"/>
  <c r="AM125" i="1"/>
  <c r="X125" i="1"/>
  <c r="V125" i="1"/>
  <c r="AA125" i="1" s="1"/>
  <c r="L125" i="1"/>
  <c r="AM124" i="1"/>
  <c r="X124" i="1"/>
  <c r="V124" i="1"/>
  <c r="AA124" i="1" s="1"/>
  <c r="L124" i="1"/>
  <c r="AM123" i="1"/>
  <c r="X123" i="1"/>
  <c r="V123" i="1"/>
  <c r="L123" i="1"/>
  <c r="X122" i="1"/>
  <c r="V122" i="1"/>
  <c r="AA122" i="1" s="1"/>
  <c r="L122" i="1"/>
  <c r="X121" i="1"/>
  <c r="V121" i="1"/>
  <c r="AA121" i="1" s="1"/>
  <c r="L121" i="1"/>
  <c r="X120" i="1"/>
  <c r="V120" i="1"/>
  <c r="AA120" i="1" s="1"/>
  <c r="L120" i="1"/>
  <c r="X119" i="1"/>
  <c r="V119" i="1"/>
  <c r="AA119" i="1" s="1"/>
  <c r="L119" i="1"/>
  <c r="V118" i="1"/>
  <c r="W118" i="1" s="1"/>
  <c r="X118" i="1" s="1"/>
  <c r="L118" i="1"/>
  <c r="W117" i="1"/>
  <c r="X117" i="1" s="1"/>
  <c r="AM117" i="1" s="1"/>
  <c r="V117" i="1"/>
  <c r="AA117" i="1" s="1"/>
  <c r="L117" i="1"/>
  <c r="V116" i="1"/>
  <c r="W116" i="1" s="1"/>
  <c r="X116" i="1" s="1"/>
  <c r="L116" i="1"/>
  <c r="X115" i="1"/>
  <c r="AM115" i="1" s="1"/>
  <c r="V115" i="1"/>
  <c r="AA115" i="1" s="1"/>
  <c r="L115" i="1"/>
  <c r="X114" i="1"/>
  <c r="AM114" i="1" s="1"/>
  <c r="V114" i="1"/>
  <c r="AA114" i="1" s="1"/>
  <c r="L114" i="1"/>
  <c r="V113" i="1"/>
  <c r="AA113" i="1" s="1"/>
  <c r="L113" i="1"/>
  <c r="V112" i="1"/>
  <c r="W112" i="1" s="1"/>
  <c r="X112" i="1" s="1"/>
  <c r="L112" i="1"/>
  <c r="V111" i="1"/>
  <c r="AA111" i="1" s="1"/>
  <c r="L111" i="1"/>
  <c r="Y110" i="1"/>
  <c r="X110" i="1" s="1"/>
  <c r="V110" i="1"/>
  <c r="AA110" i="1" s="1"/>
  <c r="L110" i="1"/>
  <c r="X109" i="1"/>
  <c r="V109" i="1"/>
  <c r="AA109" i="1" s="1"/>
  <c r="L109" i="1"/>
  <c r="Y108" i="1"/>
  <c r="X108" i="1" s="1"/>
  <c r="V108" i="1"/>
  <c r="AA108" i="1" s="1"/>
  <c r="L108" i="1"/>
  <c r="X107" i="1"/>
  <c r="V107" i="1"/>
  <c r="L107" i="1"/>
  <c r="X106" i="1"/>
  <c r="AM106" i="1" s="1"/>
  <c r="V106" i="1"/>
  <c r="L106" i="1"/>
  <c r="AM105" i="1"/>
  <c r="Y105" i="1"/>
  <c r="V105" i="1"/>
  <c r="AA105" i="1" s="1"/>
  <c r="L105" i="1"/>
  <c r="Y104" i="1"/>
  <c r="X104" i="1" s="1"/>
  <c r="V104" i="1"/>
  <c r="AA104" i="1" s="1"/>
  <c r="L104" i="1"/>
  <c r="Y103" i="1"/>
  <c r="X103" i="1" s="1"/>
  <c r="V103" i="1"/>
  <c r="AA103" i="1" s="1"/>
  <c r="L103" i="1"/>
  <c r="X102" i="1"/>
  <c r="AM102" i="1" s="1"/>
  <c r="V102" i="1"/>
  <c r="AA102" i="1" s="1"/>
  <c r="L102" i="1"/>
  <c r="X101" i="1"/>
  <c r="AM101" i="1" s="1"/>
  <c r="V101" i="1"/>
  <c r="AA101" i="1" s="1"/>
  <c r="L101" i="1"/>
  <c r="X100" i="1"/>
  <c r="AM100" i="1" s="1"/>
  <c r="V100" i="1"/>
  <c r="AA100" i="1" s="1"/>
  <c r="L100" i="1"/>
  <c r="X99" i="1"/>
  <c r="AM99" i="1" s="1"/>
  <c r="V99" i="1"/>
  <c r="L99" i="1"/>
  <c r="X98" i="1"/>
  <c r="AM98" i="1" s="1"/>
  <c r="V98" i="1"/>
  <c r="L98" i="1"/>
  <c r="X97" i="1"/>
  <c r="AM97" i="1" s="1"/>
  <c r="V97" i="1"/>
  <c r="L97" i="1"/>
  <c r="F97" i="1"/>
  <c r="AA97" i="1" s="1"/>
  <c r="V96" i="1"/>
  <c r="W96" i="1" s="1"/>
  <c r="X96" i="1" s="1"/>
  <c r="L96" i="1"/>
  <c r="X95" i="1"/>
  <c r="AM95" i="1" s="1"/>
  <c r="V95" i="1"/>
  <c r="AA95" i="1" s="1"/>
  <c r="L95" i="1"/>
  <c r="X94" i="1"/>
  <c r="AM94" i="1" s="1"/>
  <c r="V94" i="1"/>
  <c r="AA94" i="1" s="1"/>
  <c r="L94" i="1"/>
  <c r="X93" i="1"/>
  <c r="AM93" i="1" s="1"/>
  <c r="V93" i="1"/>
  <c r="AA93" i="1" s="1"/>
  <c r="L93" i="1"/>
  <c r="X92" i="1"/>
  <c r="V92" i="1"/>
  <c r="L92" i="1"/>
  <c r="X91" i="1"/>
  <c r="V91" i="1"/>
  <c r="AA91" i="1" s="1"/>
  <c r="L91" i="1"/>
  <c r="X90" i="1"/>
  <c r="AM90" i="1" s="1"/>
  <c r="V90" i="1"/>
  <c r="L90" i="1"/>
  <c r="X89" i="1"/>
  <c r="AM89" i="1" s="1"/>
  <c r="V89" i="1"/>
  <c r="AA89" i="1" s="1"/>
  <c r="L89" i="1"/>
  <c r="X88" i="1"/>
  <c r="AM88" i="1" s="1"/>
  <c r="V88" i="1"/>
  <c r="AA88" i="1" s="1"/>
  <c r="L88" i="1"/>
  <c r="X87" i="1"/>
  <c r="AM87" i="1" s="1"/>
  <c r="V87" i="1"/>
  <c r="AA87" i="1" s="1"/>
  <c r="L87" i="1"/>
  <c r="X86" i="1"/>
  <c r="AM86" i="1" s="1"/>
  <c r="V86" i="1"/>
  <c r="L86" i="1"/>
  <c r="X85" i="1"/>
  <c r="V85" i="1"/>
  <c r="AA85" i="1" s="1"/>
  <c r="L85" i="1"/>
  <c r="X84" i="1"/>
  <c r="AM84" i="1" s="1"/>
  <c r="V84" i="1"/>
  <c r="L84" i="1"/>
  <c r="X83" i="1"/>
  <c r="V83" i="1"/>
  <c r="L83" i="1"/>
  <c r="X82" i="1"/>
  <c r="AM82" i="1" s="1"/>
  <c r="V82" i="1"/>
  <c r="L82" i="1"/>
  <c r="X81" i="1"/>
  <c r="AM81" i="1" s="1"/>
  <c r="V81" i="1"/>
  <c r="AA81" i="1" s="1"/>
  <c r="L81" i="1"/>
  <c r="X80" i="1"/>
  <c r="AM80" i="1" s="1"/>
  <c r="V80" i="1"/>
  <c r="AA80" i="1" s="1"/>
  <c r="L80" i="1"/>
  <c r="V79" i="1"/>
  <c r="AA79" i="1" s="1"/>
  <c r="L79" i="1"/>
  <c r="V78" i="1"/>
  <c r="W78" i="1" s="1"/>
  <c r="X78" i="1" s="1"/>
  <c r="L78" i="1"/>
  <c r="X77" i="1"/>
  <c r="AM77" i="1" s="1"/>
  <c r="V77" i="1"/>
  <c r="AA77" i="1" s="1"/>
  <c r="L77" i="1"/>
  <c r="X76" i="1"/>
  <c r="AM76" i="1" s="1"/>
  <c r="V76" i="1"/>
  <c r="AA76" i="1" s="1"/>
  <c r="L76" i="1"/>
  <c r="X75" i="1"/>
  <c r="AM75" i="1" s="1"/>
  <c r="V75" i="1"/>
  <c r="AA75" i="1" s="1"/>
  <c r="L75" i="1"/>
  <c r="X74" i="1"/>
  <c r="AM74" i="1" s="1"/>
  <c r="V74" i="1"/>
  <c r="AA74" i="1" s="1"/>
  <c r="L74" i="1"/>
  <c r="V73" i="1"/>
  <c r="AA73" i="1" s="1"/>
  <c r="L73" i="1"/>
  <c r="X72" i="1"/>
  <c r="AM72" i="1" s="1"/>
  <c r="V72" i="1"/>
  <c r="L72" i="1"/>
  <c r="X71" i="1"/>
  <c r="AM71" i="1" s="1"/>
  <c r="V71" i="1"/>
  <c r="L71" i="1"/>
  <c r="X70" i="1"/>
  <c r="AM70" i="1" s="1"/>
  <c r="V70" i="1"/>
  <c r="L70" i="1"/>
  <c r="X69" i="1"/>
  <c r="AM69" i="1" s="1"/>
  <c r="V69" i="1"/>
  <c r="L69" i="1"/>
  <c r="X68" i="1"/>
  <c r="AM68" i="1" s="1"/>
  <c r="V68" i="1"/>
  <c r="AA68" i="1" s="1"/>
  <c r="L68" i="1"/>
  <c r="X67" i="1"/>
  <c r="AM67" i="1" s="1"/>
  <c r="V67" i="1"/>
  <c r="AA67" i="1" s="1"/>
  <c r="L67" i="1"/>
  <c r="X66" i="1"/>
  <c r="AM66" i="1" s="1"/>
  <c r="V66" i="1"/>
  <c r="AA66" i="1" s="1"/>
  <c r="L66" i="1"/>
  <c r="X65" i="1"/>
  <c r="AM65" i="1" s="1"/>
  <c r="V65" i="1"/>
  <c r="AA65" i="1" s="1"/>
  <c r="L65" i="1"/>
  <c r="V64" i="1"/>
  <c r="AA64" i="1" s="1"/>
  <c r="L64" i="1"/>
  <c r="V63" i="1"/>
  <c r="AA63" i="1" s="1"/>
  <c r="L63" i="1"/>
  <c r="X62" i="1"/>
  <c r="AM62" i="1" s="1"/>
  <c r="V62" i="1"/>
  <c r="AA62" i="1" s="1"/>
  <c r="L62" i="1"/>
  <c r="V61" i="1"/>
  <c r="AA61" i="1" s="1"/>
  <c r="L61" i="1"/>
  <c r="V60" i="1"/>
  <c r="AA60" i="1" s="1"/>
  <c r="L60" i="1"/>
  <c r="X59" i="1"/>
  <c r="AM59" i="1" s="1"/>
  <c r="V59" i="1"/>
  <c r="AA59" i="1" s="1"/>
  <c r="L59" i="1"/>
  <c r="X58" i="1"/>
  <c r="AM58" i="1" s="1"/>
  <c r="V58" i="1"/>
  <c r="AA58" i="1" s="1"/>
  <c r="L58" i="1"/>
  <c r="X57" i="1"/>
  <c r="AM57" i="1" s="1"/>
  <c r="V57" i="1"/>
  <c r="AA57" i="1" s="1"/>
  <c r="L57" i="1"/>
  <c r="F56" i="1"/>
  <c r="E56" i="1"/>
  <c r="L56" i="1" s="1"/>
  <c r="V55" i="1"/>
  <c r="AA55" i="1" s="1"/>
  <c r="L55" i="1"/>
  <c r="X54" i="1"/>
  <c r="AM54" i="1" s="1"/>
  <c r="V54" i="1"/>
  <c r="AA54" i="1" s="1"/>
  <c r="L54" i="1"/>
  <c r="X53" i="1"/>
  <c r="AM53" i="1" s="1"/>
  <c r="V53" i="1"/>
  <c r="AA53" i="1" s="1"/>
  <c r="L53" i="1"/>
  <c r="V52" i="1"/>
  <c r="AA52" i="1" s="1"/>
  <c r="L52" i="1"/>
  <c r="X51" i="1"/>
  <c r="AM51" i="1" s="1"/>
  <c r="V51" i="1"/>
  <c r="L51" i="1"/>
  <c r="V50" i="1"/>
  <c r="AA50" i="1" s="1"/>
  <c r="L50" i="1"/>
  <c r="V49" i="1"/>
  <c r="AA49" i="1" s="1"/>
  <c r="L49" i="1"/>
  <c r="X48" i="1"/>
  <c r="AM48" i="1" s="1"/>
  <c r="V48" i="1"/>
  <c r="L48" i="1"/>
  <c r="X47" i="1"/>
  <c r="AM47" i="1" s="1"/>
  <c r="V47" i="1"/>
  <c r="L47" i="1"/>
  <c r="X46" i="1"/>
  <c r="AM46" i="1" s="1"/>
  <c r="V46" i="1"/>
  <c r="L46" i="1"/>
  <c r="X45" i="1"/>
  <c r="AM45" i="1" s="1"/>
  <c r="V45" i="1"/>
  <c r="L45" i="1"/>
  <c r="V44" i="1"/>
  <c r="AA44" i="1" s="1"/>
  <c r="L44" i="1"/>
  <c r="X43" i="1"/>
  <c r="AM43" i="1" s="1"/>
  <c r="V43" i="1"/>
  <c r="AA43" i="1" s="1"/>
  <c r="L43" i="1"/>
  <c r="X42" i="1"/>
  <c r="AM42" i="1" s="1"/>
  <c r="V42" i="1"/>
  <c r="L42" i="1"/>
  <c r="V41" i="1"/>
  <c r="AA41" i="1" s="1"/>
  <c r="L41" i="1"/>
  <c r="X40" i="1"/>
  <c r="AM40" i="1" s="1"/>
  <c r="V40" i="1"/>
  <c r="AA40" i="1" s="1"/>
  <c r="L40" i="1"/>
  <c r="X39" i="1"/>
  <c r="AM39" i="1" s="1"/>
  <c r="V39" i="1"/>
  <c r="AA39" i="1" s="1"/>
  <c r="L39" i="1"/>
  <c r="V38" i="1"/>
  <c r="AA38" i="1" s="1"/>
  <c r="L38" i="1"/>
  <c r="X37" i="1"/>
  <c r="AM37" i="1" s="1"/>
  <c r="V37" i="1"/>
  <c r="L37" i="1"/>
  <c r="V36" i="1"/>
  <c r="AA36" i="1" s="1"/>
  <c r="L36" i="1"/>
  <c r="V35" i="1"/>
  <c r="AA35" i="1" s="1"/>
  <c r="L35" i="1"/>
  <c r="X34" i="1"/>
  <c r="AM34" i="1" s="1"/>
  <c r="V34" i="1"/>
  <c r="L34" i="1"/>
  <c r="V33" i="1"/>
  <c r="AA33" i="1" s="1"/>
  <c r="L33" i="1"/>
  <c r="X32" i="1"/>
  <c r="AM32" i="1" s="1"/>
  <c r="V32" i="1"/>
  <c r="AA32" i="1" s="1"/>
  <c r="L32" i="1"/>
  <c r="X31" i="1"/>
  <c r="AM31" i="1" s="1"/>
  <c r="V31" i="1"/>
  <c r="AA31" i="1" s="1"/>
  <c r="L31" i="1"/>
  <c r="X30" i="1"/>
  <c r="AM30" i="1" s="1"/>
  <c r="V30" i="1"/>
  <c r="AA30" i="1" s="1"/>
  <c r="L30" i="1"/>
  <c r="X29" i="1"/>
  <c r="AM29" i="1" s="1"/>
  <c r="V29" i="1"/>
  <c r="AA29" i="1" s="1"/>
  <c r="L29" i="1"/>
  <c r="Y28" i="1"/>
  <c r="X28" i="1" s="1"/>
  <c r="V28" i="1"/>
  <c r="AA28" i="1" s="1"/>
  <c r="L28" i="1"/>
  <c r="X27" i="1"/>
  <c r="AM27" i="1" s="1"/>
  <c r="V27" i="1"/>
  <c r="L27" i="1"/>
  <c r="X26" i="1"/>
  <c r="AM26" i="1" s="1"/>
  <c r="V26" i="1"/>
  <c r="L26" i="1"/>
  <c r="X25" i="1"/>
  <c r="AM25" i="1" s="1"/>
  <c r="V25" i="1"/>
  <c r="L25" i="1"/>
  <c r="V24" i="1"/>
  <c r="AA24" i="1" s="1"/>
  <c r="L24" i="1"/>
  <c r="X23" i="1"/>
  <c r="AM23" i="1" s="1"/>
  <c r="V23" i="1"/>
  <c r="L23" i="1"/>
  <c r="X22" i="1"/>
  <c r="AM22" i="1" s="1"/>
  <c r="V22" i="1"/>
  <c r="L22" i="1"/>
  <c r="X21" i="1"/>
  <c r="AM21" i="1" s="1"/>
  <c r="V21" i="1"/>
  <c r="L21" i="1"/>
  <c r="X20" i="1"/>
  <c r="AM20" i="1" s="1"/>
  <c r="V20" i="1"/>
  <c r="L20" i="1"/>
  <c r="X19" i="1"/>
  <c r="AM19" i="1" s="1"/>
  <c r="V19" i="1"/>
  <c r="L19" i="1"/>
  <c r="X18" i="1"/>
  <c r="AM18" i="1" s="1"/>
  <c r="V18" i="1"/>
  <c r="L18" i="1"/>
  <c r="X17" i="1"/>
  <c r="AM17" i="1" s="1"/>
  <c r="V17" i="1"/>
  <c r="L17" i="1"/>
  <c r="X16" i="1"/>
  <c r="AM16" i="1" s="1"/>
  <c r="V16" i="1"/>
  <c r="L16" i="1"/>
  <c r="V15" i="1"/>
  <c r="AA15" i="1" s="1"/>
  <c r="L15" i="1"/>
  <c r="Y14" i="1"/>
  <c r="X14" i="1" s="1"/>
  <c r="V14" i="1"/>
  <c r="AA14" i="1" s="1"/>
  <c r="L14" i="1"/>
  <c r="X13" i="1"/>
  <c r="AM13" i="1" s="1"/>
  <c r="V13" i="1"/>
  <c r="AA13" i="1" s="1"/>
  <c r="L13" i="1"/>
  <c r="X12" i="1"/>
  <c r="AM12" i="1" s="1"/>
  <c r="V12" i="1"/>
  <c r="AA12" i="1" s="1"/>
  <c r="L12" i="1"/>
  <c r="X11" i="1"/>
  <c r="AM11" i="1" s="1"/>
  <c r="V11" i="1"/>
  <c r="AA11" i="1" s="1"/>
  <c r="L11" i="1"/>
  <c r="X10" i="1"/>
  <c r="AM10" i="1" s="1"/>
  <c r="V10" i="1"/>
  <c r="AA10" i="1" s="1"/>
  <c r="L10" i="1"/>
  <c r="X9" i="1"/>
  <c r="AM9" i="1" s="1"/>
  <c r="V9" i="1"/>
  <c r="L9" i="1"/>
  <c r="X8" i="1"/>
  <c r="V8" i="1"/>
  <c r="AA8" i="1" s="1"/>
  <c r="L8" i="1"/>
  <c r="V7" i="1"/>
  <c r="W7" i="1" s="1"/>
  <c r="X7" i="1" s="1"/>
  <c r="L7" i="1"/>
  <c r="V6" i="1"/>
  <c r="AA6" i="1" s="1"/>
  <c r="L6" i="1"/>
  <c r="AK5" i="1"/>
  <c r="AJ5" i="1"/>
  <c r="AI5" i="1"/>
  <c r="AH5" i="1"/>
  <c r="AG5" i="1"/>
  <c r="AF5" i="1"/>
  <c r="AE5" i="1"/>
  <c r="AD5" i="1"/>
  <c r="AC5" i="1"/>
  <c r="AB5" i="1"/>
  <c r="U5" i="1"/>
  <c r="S5" i="1"/>
  <c r="R5" i="1"/>
  <c r="Q5" i="1"/>
  <c r="P5" i="1"/>
  <c r="O5" i="1"/>
  <c r="N5" i="1"/>
  <c r="M5" i="1"/>
  <c r="K5" i="1"/>
  <c r="E5" i="1"/>
  <c r="L5" i="1" l="1"/>
  <c r="F5" i="1"/>
  <c r="Y5" i="1"/>
  <c r="Z92" i="1"/>
  <c r="W6" i="1"/>
  <c r="X6" i="1" s="1"/>
  <c r="AM6" i="1" s="1"/>
  <c r="W50" i="1"/>
  <c r="X50" i="1" s="1"/>
  <c r="Z50" i="1" s="1"/>
  <c r="Z51" i="1"/>
  <c r="W15" i="1"/>
  <c r="X15" i="1" s="1"/>
  <c r="Z15" i="1" s="1"/>
  <c r="Z16" i="1"/>
  <c r="Z17" i="1"/>
  <c r="Z18" i="1"/>
  <c r="Z19" i="1"/>
  <c r="Z20" i="1"/>
  <c r="Z21" i="1"/>
  <c r="Z22" i="1"/>
  <c r="Z23" i="1"/>
  <c r="W36" i="1"/>
  <c r="X36" i="1" s="1"/>
  <c r="Z36" i="1" s="1"/>
  <c r="Z37" i="1"/>
  <c r="W63" i="1"/>
  <c r="X63" i="1" s="1"/>
  <c r="AM63" i="1" s="1"/>
  <c r="W79" i="1"/>
  <c r="X79" i="1" s="1"/>
  <c r="AM79" i="1" s="1"/>
  <c r="Z82" i="1"/>
  <c r="Z83" i="1"/>
  <c r="Z90" i="1"/>
  <c r="Z104" i="1"/>
  <c r="Z106" i="1"/>
  <c r="Z107" i="1"/>
  <c r="W111" i="1"/>
  <c r="X111" i="1" s="1"/>
  <c r="AM111" i="1" s="1"/>
  <c r="Z9" i="1"/>
  <c r="Z26" i="1"/>
  <c r="Z27" i="1"/>
  <c r="W33" i="1"/>
  <c r="X33" i="1" s="1"/>
  <c r="Z33" i="1" s="1"/>
  <c r="Z34" i="1"/>
  <c r="W41" i="1"/>
  <c r="X41" i="1" s="1"/>
  <c r="Z41" i="1" s="1"/>
  <c r="Z42" i="1"/>
  <c r="W44" i="1"/>
  <c r="X44" i="1" s="1"/>
  <c r="Z44" i="1" s="1"/>
  <c r="Z45" i="1"/>
  <c r="Z46" i="1"/>
  <c r="Z47" i="1"/>
  <c r="Z48" i="1"/>
  <c r="W55" i="1"/>
  <c r="X55" i="1" s="1"/>
  <c r="AM55" i="1" s="1"/>
  <c r="W60" i="1"/>
  <c r="X60" i="1" s="1"/>
  <c r="AM60" i="1" s="1"/>
  <c r="Z70" i="1"/>
  <c r="Z71" i="1"/>
  <c r="Z72" i="1"/>
  <c r="AM83" i="1"/>
  <c r="Z84" i="1"/>
  <c r="Z86" i="1"/>
  <c r="Z98" i="1"/>
  <c r="Z99" i="1"/>
  <c r="AM107" i="1"/>
  <c r="W110" i="1"/>
  <c r="W113" i="1"/>
  <c r="X113" i="1" s="1"/>
  <c r="Z123" i="1"/>
  <c r="Z129" i="1"/>
  <c r="V56" i="1"/>
  <c r="AA56" i="1" s="1"/>
  <c r="AM129" i="1"/>
  <c r="AM7" i="1"/>
  <c r="Z7" i="1"/>
  <c r="Z6" i="1"/>
  <c r="AM8" i="1"/>
  <c r="Z8" i="1"/>
  <c r="Z11" i="1"/>
  <c r="Z13" i="1"/>
  <c r="AM14" i="1"/>
  <c r="Z14" i="1"/>
  <c r="AM15" i="1"/>
  <c r="AM28" i="1"/>
  <c r="Z28" i="1"/>
  <c r="AM36" i="1"/>
  <c r="AM50" i="1"/>
  <c r="Z63" i="1"/>
  <c r="AM96" i="1"/>
  <c r="Z96" i="1"/>
  <c r="AA7" i="1"/>
  <c r="Z10" i="1"/>
  <c r="Z12" i="1"/>
  <c r="AM33" i="1"/>
  <c r="AM41" i="1"/>
  <c r="AM44" i="1"/>
  <c r="Z55" i="1"/>
  <c r="AM112" i="1"/>
  <c r="Z112" i="1"/>
  <c r="AM118" i="1"/>
  <c r="Z118" i="1"/>
  <c r="AM126" i="1"/>
  <c r="Z126" i="1"/>
  <c r="AA16" i="1"/>
  <c r="AA17" i="1"/>
  <c r="AA18" i="1"/>
  <c r="AA19" i="1"/>
  <c r="AA20" i="1"/>
  <c r="AA21" i="1"/>
  <c r="AA22" i="1"/>
  <c r="AA23" i="1"/>
  <c r="W24" i="1"/>
  <c r="Z25" i="1"/>
  <c r="AA26" i="1"/>
  <c r="AA27" i="1"/>
  <c r="Z29" i="1"/>
  <c r="Z30" i="1"/>
  <c r="Z31" i="1"/>
  <c r="Z32" i="1"/>
  <c r="AA34" i="1"/>
  <c r="W35" i="1"/>
  <c r="X35" i="1" s="1"/>
  <c r="AA37" i="1"/>
  <c r="W38" i="1"/>
  <c r="X38" i="1" s="1"/>
  <c r="Z39" i="1"/>
  <c r="Z40" i="1"/>
  <c r="Z43" i="1"/>
  <c r="AA45" i="1"/>
  <c r="AA46" i="1"/>
  <c r="AA47" i="1"/>
  <c r="AA48" i="1"/>
  <c r="W49" i="1"/>
  <c r="X49" i="1" s="1"/>
  <c r="AA51" i="1"/>
  <c r="W52" i="1"/>
  <c r="X52" i="1" s="1"/>
  <c r="Z53" i="1"/>
  <c r="Z54" i="1"/>
  <c r="Z57" i="1"/>
  <c r="Z58" i="1"/>
  <c r="Z59" i="1"/>
  <c r="W61" i="1"/>
  <c r="X61" i="1" s="1"/>
  <c r="Z62" i="1"/>
  <c r="W64" i="1"/>
  <c r="X64" i="1" s="1"/>
  <c r="Z65" i="1"/>
  <c r="Z66" i="1"/>
  <c r="Z67" i="1"/>
  <c r="Z68" i="1"/>
  <c r="Z69" i="1"/>
  <c r="AA70" i="1"/>
  <c r="AA71" i="1"/>
  <c r="AA72" i="1"/>
  <c r="W73" i="1"/>
  <c r="X73" i="1" s="1"/>
  <c r="Z74" i="1"/>
  <c r="Z75" i="1"/>
  <c r="Z76" i="1"/>
  <c r="AA78" i="1"/>
  <c r="Z79" i="1"/>
  <c r="Z81" i="1"/>
  <c r="AM85" i="1"/>
  <c r="Z85" i="1"/>
  <c r="Z88" i="1"/>
  <c r="AM92" i="1"/>
  <c r="Z93" i="1"/>
  <c r="Z95" i="1"/>
  <c r="Z97" i="1"/>
  <c r="Z101" i="1"/>
  <c r="AM104" i="1"/>
  <c r="Z105" i="1"/>
  <c r="AM108" i="1"/>
  <c r="Z108" i="1"/>
  <c r="AM109" i="1"/>
  <c r="Z109" i="1"/>
  <c r="Z114" i="1"/>
  <c r="AA116" i="1"/>
  <c r="Z117" i="1"/>
  <c r="AM119" i="1"/>
  <c r="Z119" i="1"/>
  <c r="AM120" i="1"/>
  <c r="Z120" i="1"/>
  <c r="AM121" i="1"/>
  <c r="Z121" i="1"/>
  <c r="AM122" i="1"/>
  <c r="Z122" i="1"/>
  <c r="Z125" i="1"/>
  <c r="AM127" i="1"/>
  <c r="Z127" i="1"/>
  <c r="AM128" i="1"/>
  <c r="Z128" i="1"/>
  <c r="Z77" i="1"/>
  <c r="AM78" i="1"/>
  <c r="Z78" i="1"/>
  <c r="Z80" i="1"/>
  <c r="Z87" i="1"/>
  <c r="Z89" i="1"/>
  <c r="AM91" i="1"/>
  <c r="Z91" i="1"/>
  <c r="Z94" i="1"/>
  <c r="AA96" i="1"/>
  <c r="Z100" i="1"/>
  <c r="Z102" i="1"/>
  <c r="AM103" i="1"/>
  <c r="Z103" i="1"/>
  <c r="AM110" i="1"/>
  <c r="Z110" i="1"/>
  <c r="AA112" i="1"/>
  <c r="Z115" i="1"/>
  <c r="AM116" i="1"/>
  <c r="Z116" i="1"/>
  <c r="AA118" i="1"/>
  <c r="Z124" i="1"/>
  <c r="AA126" i="1"/>
  <c r="Z111" i="1" l="1"/>
  <c r="Z60" i="1"/>
  <c r="AM113" i="1"/>
  <c r="Z113" i="1"/>
  <c r="W56" i="1"/>
  <c r="X56" i="1" s="1"/>
  <c r="V5" i="1"/>
  <c r="AM73" i="1"/>
  <c r="Z73" i="1"/>
  <c r="AM52" i="1"/>
  <c r="Z52" i="1"/>
  <c r="AM49" i="1"/>
  <c r="Z49" i="1"/>
  <c r="AM38" i="1"/>
  <c r="Z38" i="1"/>
  <c r="AM35" i="1"/>
  <c r="Z35" i="1"/>
  <c r="AM64" i="1"/>
  <c r="Z64" i="1"/>
  <c r="AM61" i="1"/>
  <c r="Z61" i="1"/>
  <c r="X24" i="1"/>
  <c r="W5" i="1" l="1"/>
  <c r="AM56" i="1"/>
  <c r="Z56" i="1"/>
  <c r="AM24" i="1"/>
  <c r="AM5" i="1" s="1"/>
  <c r="Z24" i="1"/>
  <c r="X5" i="1"/>
</calcChain>
</file>

<file path=xl/sharedStrings.xml><?xml version="1.0" encoding="utf-8"?>
<sst xmlns="http://schemas.openxmlformats.org/spreadsheetml/2006/main" count="751" uniqueCount="387">
  <si>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</si>
  <si>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</si>
  <si>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</si>
  <si>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</si>
  <si>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</si>
  <si>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</si>
  <si>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</si>
  <si>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</si>
  <si>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</si>
  <si>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</si>
  <si>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</si>
  <si>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</si>
  <si>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</si>
  <si>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</si>
  <si>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</si>
  <si>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</si>
  <si>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</si>
  <si>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</si>
  <si>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ТК</t>
  </si>
  <si>
    <t>кон ост</t>
  </si>
  <si>
    <t>факт</t>
  </si>
  <si>
    <t>ср</t>
  </si>
  <si>
    <t>комментарии</t>
  </si>
  <si>
    <t>вес</t>
  </si>
  <si>
    <t>27,09,</t>
  </si>
  <si>
    <t>27,09,недогр</t>
  </si>
  <si>
    <t>27,09,доз</t>
  </si>
  <si>
    <t>27,09,доз2</t>
  </si>
  <si>
    <t>29,09,</t>
  </si>
  <si>
    <t>29,09,доз</t>
  </si>
  <si>
    <t>01,10,</t>
  </si>
  <si>
    <t>06,10,</t>
  </si>
  <si>
    <t>Боярко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</si>
  <si>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</si>
  <si>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</si>
  <si>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</si>
  <si>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</si>
  <si>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</si>
  <si>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</si>
  <si>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</si>
  <si>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</si>
  <si>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</si>
  <si>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</si>
  <si>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</si>
  <si>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</si>
  <si>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</si>
  <si>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</si>
  <si>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</si>
  <si>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</si>
  <si>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</si>
  <si>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</si>
  <si>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</si>
  <si>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</si>
  <si>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</si>
  <si>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</si>
  <si>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нужно увеличить продажи!!! / 281кг списано (19,09,26)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</si>
  <si>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</si>
  <si>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</si>
  <si>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</si>
  <si>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</si>
  <si>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нужно увеличить продажи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</si>
  <si>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</si>
  <si>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</si>
  <si>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</si>
  <si>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</si>
  <si>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</si>
  <si>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</si>
  <si>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</si>
  <si>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</si>
  <si>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</si>
  <si>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</si>
  <si>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</si>
  <si>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нужно увеличить продажи!!!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</si>
  <si>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</si>
  <si>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</si>
  <si>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</si>
  <si>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</si>
  <si>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</si>
  <si>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</si>
  <si>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</si>
  <si>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</si>
  <si>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</si>
  <si>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</si>
  <si>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ПРОМО сентябрь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</si>
  <si>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</si>
  <si>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</si>
  <si>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</si>
  <si>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</si>
  <si>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</si>
  <si>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</si>
  <si>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</si>
  <si>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</si>
  <si>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</si>
  <si>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</si>
  <si>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</si>
  <si>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</si>
  <si>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</si>
  <si>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</si>
  <si>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</si>
  <si>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</si>
  <si>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</si>
  <si>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</si>
  <si>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53кг списано (16,09,26)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</si>
  <si>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</si>
  <si>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</si>
  <si>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</si>
  <si>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</si>
  <si>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</si>
  <si>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</si>
  <si>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</si>
  <si>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</si>
  <si>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</si>
  <si>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</si>
  <si>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</si>
  <si>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</si>
  <si>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</si>
  <si>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</si>
  <si>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</si>
  <si>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</si>
  <si>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</si>
  <si>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</si>
  <si>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</si>
  <si>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</si>
  <si>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</si>
  <si>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298  Колбаса Сливушка ТМ Вязанка, 0,375кг,  ПОКОМ</t>
  </si>
  <si>
    <t>SU002733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</si>
  <si>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</si>
  <si>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</si>
  <si>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</si>
  <si>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92шт списаны (16,09,26)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</si>
  <si>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</si>
  <si>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</si>
  <si>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</si>
  <si>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</si>
  <si>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</si>
  <si>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</si>
  <si>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</si>
  <si>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</si>
  <si>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</si>
  <si>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</si>
  <si>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ПРОМО сентябрь / 181кг списание (11,08,26)</t>
  </si>
  <si>
    <t>SU002830</t>
  </si>
  <si>
    <t xml:space="preserve"> 318  Сосиски Датские ТМ Зареченские, ВЕС  ПОКОМ</t>
  </si>
  <si>
    <t>SU004392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</si>
  <si>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</si>
  <si>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</si>
  <si>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</si>
  <si>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</si>
  <si>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</si>
  <si>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</si>
  <si>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</si>
  <si>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</si>
  <si>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</si>
  <si>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</si>
  <si>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</si>
  <si>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</si>
  <si>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</si>
  <si>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</si>
  <si>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</si>
  <si>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</si>
  <si>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</si>
  <si>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</si>
  <si>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</si>
  <si>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</si>
  <si>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</si>
  <si>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</si>
  <si>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</si>
  <si>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</si>
  <si>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</si>
  <si>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</si>
  <si>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</si>
  <si>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</si>
  <si>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</si>
  <si>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</si>
  <si>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</si>
  <si>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</si>
  <si>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</si>
  <si>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</si>
  <si>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</si>
  <si>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</si>
  <si>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</si>
  <si>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</si>
  <si>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</si>
  <si>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90кг списано (16,09,26)</t>
  </si>
  <si>
    <t>SU002835</t>
  </si>
  <si>
    <t xml:space="preserve"> 376  Колбаса Докторская Дугушка 0,6кг ГОСТ ТМ Стародворье  ПОКОМ </t>
  </si>
  <si>
    <t>нужно увеличить продажи / нет потребности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</si>
  <si>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</si>
  <si>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</si>
  <si>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</si>
  <si>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</si>
  <si>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</si>
  <si>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</si>
  <si>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</si>
  <si>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</si>
  <si>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</si>
  <si>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</si>
  <si>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заказываем с 28,08,26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</si>
  <si>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</si>
  <si>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</si>
  <si>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</si>
  <si>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</si>
  <si>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</si>
  <si>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</si>
  <si>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</si>
  <si>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</si>
  <si>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17шт списание сроки (11,08,26)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</si>
  <si>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</si>
  <si>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</si>
  <si>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</si>
  <si>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</si>
  <si>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</si>
  <si>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</si>
  <si>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</si>
  <si>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</si>
  <si>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</si>
  <si>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</si>
  <si>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</si>
  <si>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</si>
  <si>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</si>
  <si>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</si>
  <si>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</si>
  <si>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</si>
  <si>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</si>
  <si>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</si>
  <si>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нужно увеличить продажи / 1274кг списано (19,09,26)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</si>
  <si>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</si>
  <si>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</si>
  <si>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</si>
  <si>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</si>
  <si>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</si>
  <si>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</si>
  <si>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</si>
  <si>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</si>
  <si>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</si>
  <si>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</si>
  <si>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</si>
  <si>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</si>
  <si>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</si>
  <si>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</si>
  <si>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</si>
  <si>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</si>
  <si>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</si>
  <si>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>SU004157</t>
  </si>
  <si>
    <t xml:space="preserve"> 551  Колбаса Сливушка ТМ Вязанка в модифицированной газовой среде 0,11 кг нарезка  ПОКОМ</t>
  </si>
  <si>
    <t>нет потребности / 51шт списана (16,09,26)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</si>
  <si>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</si>
  <si>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</si>
  <si>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нет потребности / нет в бланке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</si>
  <si>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</si>
  <si>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</si>
  <si>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</si>
  <si>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</si>
  <si>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</si>
  <si>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</si>
  <si>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нет потребности / 57шт списание (16,09,26) / 14шт списание сроки (11,08,26) / 70шт сеть Молоко (07,08,26)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</si>
  <si>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</si>
  <si>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</si>
  <si>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</si>
  <si>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</si>
  <si>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</si>
  <si>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</si>
  <si>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</si>
  <si>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</si>
  <si>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</si>
  <si>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</si>
  <si>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</si>
  <si>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</si>
  <si>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</si>
  <si>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</si>
  <si>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</si>
  <si>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</si>
  <si>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</si>
  <si>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</si>
  <si>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</si>
  <si>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</si>
  <si>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</si>
  <si>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</si>
  <si>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</si>
  <si>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</si>
  <si>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</si>
  <si>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</si>
  <si>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</si>
  <si>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</si>
  <si>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</si>
  <si>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</si>
  <si>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</si>
  <si>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</si>
  <si>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</si>
  <si>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</si>
  <si>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546кг списано (19,09,26)</t>
  </si>
  <si>
    <t>SU004238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</si>
  <si>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</si>
  <si>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</si>
  <si>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</si>
  <si>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</si>
  <si>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</si>
  <si>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</si>
  <si>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</si>
  <si>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</si>
  <si>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</si>
  <si>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</si>
  <si>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</si>
  <si>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</si>
  <si>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</si>
  <si>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</si>
  <si>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</si>
  <si>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</si>
  <si>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</si>
  <si>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</si>
  <si>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</si>
  <si>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</si>
  <si>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</si>
  <si>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48 </t>
  </si>
  <si>
    <t> 0 </t>
  </si>
  <si>
    <t> -48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</si>
  <si>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</si>
  <si>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</si>
  <si>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44 </t>
  </si>
  <si>
    <t> -44 </t>
  </si>
  <si>
    <t> SU002943 </t>
  </si>
  <si>
    <t> В/к колбасы «Сочинка по-фински с сочным окороком» Весовой фиброуз ТМ «Стародворье» </t>
  </si>
  <si>
    <t> 70 </t>
  </si>
  <si>
    <t> -70 </t>
  </si>
  <si>
    <t> SU002944 </t>
  </si>
  <si>
    <t> В/к колбасы «Сочинка по-европейски с сочной грудинкой» срез Фикс.вес 0,3 фиброуз ТМ «Стародворье» </t>
  </si>
  <si>
    <t> 25 </t>
  </si>
  <si>
    <t> -25 </t>
  </si>
  <si>
    <t> SU002945 </t>
  </si>
  <si>
    <t> П/к колбасы «Сочинка зернистая с сочной грудинкой» Весовой фиброуз ТМ «Стародворье» </t>
  </si>
  <si>
    <t> 189 </t>
  </si>
  <si>
    <t> -189 </t>
  </si>
  <si>
    <t> SU002947 </t>
  </si>
  <si>
    <t> П/к колбасы «Сочинка рубленая с сочным окороком» Весовой фиброуз ТМ «Стародворье» </t>
  </si>
  <si>
    <t> 97 </t>
  </si>
  <si>
    <t> -97 </t>
  </si>
  <si>
    <t> SU002948 </t>
  </si>
  <si>
    <t> П/к колбасы «Сочинка рубленая с сочным окороком» срез Фикс.вес 0,3 фиброуз ТМ «Стародворье» </t>
  </si>
  <si>
    <t> 11 </t>
  </si>
  <si>
    <t> -11 </t>
  </si>
  <si>
    <t> SU002984 </t>
  </si>
  <si>
    <t> Сосиски Восточные халяль ТМ Вязанка полиамид в/у ф/в 0,33 кг Казахстан АК </t>
  </si>
  <si>
    <t> 24 </t>
  </si>
  <si>
    <t> -24 </t>
  </si>
  <si>
    <t> SU003829 </t>
  </si>
  <si>
    <t> Копченые колбасы «Сервелат Мясорубский Делюкс» Фикс.вес 0,3 фиброуз ТМ «Стародворье» </t>
  </si>
  <si>
    <t> 14 </t>
  </si>
  <si>
    <t> -14 </t>
  </si>
  <si>
    <t> SU003893 </t>
  </si>
  <si>
    <t> Сырокопченые колбасы «Сальчичон» Фикс.вес 0,07 нарезка ТМ «Стародворье» </t>
  </si>
  <si>
    <t> 5 </t>
  </si>
  <si>
    <t> -5 </t>
  </si>
  <si>
    <t> SU003894 </t>
  </si>
  <si>
    <t> Сырокопченые колбасы «Сервелат Ореховый» Фикс.вес 0,07 нарезка ТМ «Стародворье» </t>
  </si>
  <si>
    <t> SU004042 </t>
  </si>
  <si>
    <t> Копченые колбасы «Сервелат Ореховый» Фикс.вес 0,28 фиброуз срез ТМ «Вязанка» </t>
  </si>
  <si>
    <t> 10 </t>
  </si>
  <si>
    <t> -10 </t>
  </si>
  <si>
    <t> SU002801 </t>
  </si>
  <si>
    <t> Сосиски «Сочинки по-баварски с сыром» Фикс.вес 0,4 П/а мгс ТМ «Стародворье» </t>
  </si>
  <si>
    <t> 53 </t>
  </si>
  <si>
    <t> -53 </t>
  </si>
  <si>
    <t> 9 </t>
  </si>
  <si>
    <t> -9 </t>
  </si>
  <si>
    <t> 265 </t>
  </si>
  <si>
    <t> 254 </t>
  </si>
  <si>
    <t> 257 </t>
  </si>
  <si>
    <t> -8 </t>
  </si>
  <si>
    <t> 27 </t>
  </si>
  <si>
    <t> -27 </t>
  </si>
  <si>
    <t> SU003753 </t>
  </si>
  <si>
    <t> Копченые колбасы «Балыковая » Фикс.вес 0,09 нарезка ТМ «Вязанка» </t>
  </si>
  <si>
    <t> 2 </t>
  </si>
  <si>
    <t> -2 </t>
  </si>
  <si>
    <t> 13 </t>
  </si>
  <si>
    <t> -13 </t>
  </si>
  <si>
    <t> SU004039 </t>
  </si>
  <si>
    <t> Копченые колбасы «Балыковая» Фикс.вес 0,28 фиброуз срез ТМ «Вязанка» </t>
  </si>
  <si>
    <t> 30 </t>
  </si>
  <si>
    <t> -30 </t>
  </si>
  <si>
    <t> SU004045 </t>
  </si>
  <si>
    <t> Копченые колбасы «Сервелат Финский» Фикс.вес 0,28 фиброуз срез ТМ «Вязанка» </t>
  </si>
  <si>
    <t> 148 </t>
  </si>
  <si>
    <t> -148 </t>
  </si>
  <si>
    <t>29,09,недогр</t>
  </si>
  <si>
    <t>не в матрице</t>
  </si>
  <si>
    <t>дубль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</si>
</sst>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6" fillId="7" borderId="1" xfId="1" applyNumberFormat="1" applyFont="1" applyFill="1"/>
    <xf numFmtId="164" fontId="4" fillId="7" borderId="1" xfId="1" applyNumberFormat="1" applyFont="1" applyFill="1"/>
    <xf numFmtId="164" fontId="1" fillId="0" borderId="1" xfId="1" applyNumberFormat="1"/>
    <xf numFmtId="0" fontId="0" fillId="0" borderId="1" xfId="0"/>
    <xf numFmtId="164" fontId="7" fillId="2" borderId="1" xfId="1" applyNumberFormat="1" applyFont="1" applyFill="1"/>
    <xf numFmtId="164" fontId="1" fillId="8" borderId="2" xfId="1" applyNumberFormat="1" applyFill="1" applyBorder="1"/>
    <xf numFmtId="0" fontId="0" fillId="0" borderId="1" xfId="0" applyBorder="1"/>
    <xf numFmtId="164" fontId="0" fillId="0" borderId="0" xfId="0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77;&#1088;&#1076;&#1103;&#1085;&#1089;&#1082;/&#1076;&#1074;%2029,09,26%20&#1073;&#1088;&#1088;&#1089;&#1095;%20&#1087;&#1086;&#1082;%20&#1082;&#1080;%20(&#1085;&#1077;&#109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W1">
            <v>0</v>
          </cell>
        </row>
        <row r="2">
          <cell r="P2">
            <v>600</v>
          </cell>
          <cell r="Q2">
            <v>405</v>
          </cell>
          <cell r="S2">
            <v>450</v>
          </cell>
          <cell r="W2" t="str">
            <v>дн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заказ в пути</v>
          </cell>
          <cell r="U3" t="str">
            <v>ср нов</v>
          </cell>
          <cell r="V3" t="str">
            <v>расчет</v>
          </cell>
          <cell r="W3" t="str">
            <v>заказ</v>
          </cell>
          <cell r="X3" t="str">
            <v>ТК</v>
          </cell>
        </row>
        <row r="4">
          <cell r="O4" t="str">
            <v>27,09,</v>
          </cell>
          <cell r="P4" t="str">
            <v>27,09,доз</v>
          </cell>
          <cell r="Q4" t="str">
            <v>27,09,доз2</v>
          </cell>
          <cell r="R4" t="str">
            <v>29,09,</v>
          </cell>
          <cell r="S4" t="str">
            <v>29,09,доз</v>
          </cell>
          <cell r="T4" t="str">
            <v>Мариуполь</v>
          </cell>
          <cell r="U4" t="str">
            <v>29,09,</v>
          </cell>
          <cell r="W4" t="str">
            <v>нет</v>
          </cell>
          <cell r="X4" t="str">
            <v>Боярко</v>
          </cell>
        </row>
        <row r="5">
          <cell r="E5">
            <v>12872.132999999998</v>
          </cell>
          <cell r="F5">
            <v>18886.486999999997</v>
          </cell>
          <cell r="K5">
            <v>14025.300000000003</v>
          </cell>
          <cell r="L5">
            <v>-1153.1670000000001</v>
          </cell>
          <cell r="M5">
            <v>0</v>
          </cell>
          <cell r="N5">
            <v>0</v>
          </cell>
          <cell r="O5">
            <v>8232.0673739488429</v>
          </cell>
          <cell r="P5">
            <v>600</v>
          </cell>
          <cell r="Q5">
            <v>405</v>
          </cell>
          <cell r="R5">
            <v>13802.115944170748</v>
          </cell>
          <cell r="S5">
            <v>450</v>
          </cell>
          <cell r="T5">
            <v>-1560</v>
          </cell>
          <cell r="U5">
            <v>2574.4265999999993</v>
          </cell>
          <cell r="V5">
            <v>2035.1485091774287</v>
          </cell>
          <cell r="W5">
            <v>3192.3331245620443</v>
          </cell>
          <cell r="X5">
            <v>1630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108.248</v>
          </cell>
          <cell r="D6">
            <v>315.43900000000002</v>
          </cell>
          <cell r="E6">
            <v>176.14099999999999</v>
          </cell>
          <cell r="F6">
            <v>97.177000000000007</v>
          </cell>
          <cell r="G6">
            <v>1</v>
          </cell>
          <cell r="H6">
            <v>50</v>
          </cell>
          <cell r="I6" t="str">
            <v>матрица</v>
          </cell>
          <cell r="K6">
            <v>166.4</v>
          </cell>
          <cell r="L6">
            <v>9.7409999999999854</v>
          </cell>
          <cell r="O6">
            <v>0</v>
          </cell>
          <cell r="R6">
            <v>90.360999999999933</v>
          </cell>
          <cell r="U6">
            <v>35.228200000000001</v>
          </cell>
          <cell r="V6">
            <v>199.97220000000004</v>
          </cell>
          <cell r="W6">
            <v>199.97220000000004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60.430999999999997</v>
          </cell>
          <cell r="D7">
            <v>732.99300000000005</v>
          </cell>
          <cell r="E7">
            <v>243.976</v>
          </cell>
          <cell r="F7">
            <v>143.76599999999999</v>
          </cell>
          <cell r="G7">
            <v>1</v>
          </cell>
          <cell r="H7">
            <v>45</v>
          </cell>
          <cell r="I7" t="str">
            <v>матрица</v>
          </cell>
          <cell r="K7">
            <v>246</v>
          </cell>
          <cell r="L7">
            <v>-2.0240000000000009</v>
          </cell>
          <cell r="O7">
            <v>152.32748036826791</v>
          </cell>
          <cell r="R7">
            <v>217.62223963173241</v>
          </cell>
          <cell r="U7">
            <v>48.795200000000001</v>
          </cell>
          <cell r="V7">
            <v>23.031479999999675</v>
          </cell>
          <cell r="W7">
            <v>23.031479999999675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288.74099999999999</v>
          </cell>
          <cell r="D8">
            <v>490.85</v>
          </cell>
          <cell r="E8">
            <v>264.69200000000001</v>
          </cell>
          <cell r="F8">
            <v>502.459</v>
          </cell>
          <cell r="G8">
            <v>1</v>
          </cell>
          <cell r="H8">
            <v>45</v>
          </cell>
          <cell r="I8" t="str">
            <v>матрица</v>
          </cell>
          <cell r="K8">
            <v>258.2</v>
          </cell>
          <cell r="L8">
            <v>6.4920000000000186</v>
          </cell>
          <cell r="O8">
            <v>206.50970044406151</v>
          </cell>
          <cell r="R8">
            <v>0</v>
          </cell>
          <cell r="U8">
            <v>52.938400000000001</v>
          </cell>
          <cell r="W8">
            <v>0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R9">
            <v>0</v>
          </cell>
          <cell r="U9">
            <v>0</v>
          </cell>
          <cell r="W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D10">
            <v>756</v>
          </cell>
          <cell r="E10">
            <v>164</v>
          </cell>
          <cell r="F10">
            <v>567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167</v>
          </cell>
          <cell r="L10">
            <v>-3</v>
          </cell>
          <cell r="O10">
            <v>300</v>
          </cell>
          <cell r="R10">
            <v>0</v>
          </cell>
          <cell r="U10">
            <v>32.799999999999997</v>
          </cell>
          <cell r="W10">
            <v>0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297</v>
          </cell>
          <cell r="D11">
            <v>766</v>
          </cell>
          <cell r="E11">
            <v>295</v>
          </cell>
          <cell r="F11">
            <v>660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310</v>
          </cell>
          <cell r="L11">
            <v>-15</v>
          </cell>
          <cell r="O11">
            <v>466.692943063352</v>
          </cell>
          <cell r="R11">
            <v>0</v>
          </cell>
          <cell r="U11">
            <v>59</v>
          </cell>
          <cell r="W11">
            <v>0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16</v>
          </cell>
          <cell r="D12">
            <v>180</v>
          </cell>
          <cell r="E12">
            <v>16</v>
          </cell>
          <cell r="F12">
            <v>109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29</v>
          </cell>
          <cell r="L12">
            <v>-13</v>
          </cell>
          <cell r="O12">
            <v>137.06887966804979</v>
          </cell>
          <cell r="R12">
            <v>0</v>
          </cell>
          <cell r="U12">
            <v>3.2</v>
          </cell>
          <cell r="W12">
            <v>0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3</v>
          </cell>
          <cell r="D13">
            <v>155</v>
          </cell>
          <cell r="E13">
            <v>93</v>
          </cell>
          <cell r="F13">
            <v>11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98</v>
          </cell>
          <cell r="L13">
            <v>-5</v>
          </cell>
          <cell r="O13">
            <v>83.308900523560212</v>
          </cell>
          <cell r="R13">
            <v>211.23842931937159</v>
          </cell>
          <cell r="U13">
            <v>18.600000000000001</v>
          </cell>
          <cell r="W13">
            <v>0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104</v>
          </cell>
          <cell r="D14">
            <v>259</v>
          </cell>
          <cell r="E14">
            <v>157</v>
          </cell>
          <cell r="F14">
            <v>32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159</v>
          </cell>
          <cell r="L14">
            <v>-2</v>
          </cell>
          <cell r="O14">
            <v>0</v>
          </cell>
          <cell r="R14">
            <v>337</v>
          </cell>
          <cell r="U14">
            <v>31.4</v>
          </cell>
          <cell r="W14">
            <v>100</v>
          </cell>
          <cell r="X14">
            <v>100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258.83499999999998</v>
          </cell>
          <cell r="D15">
            <v>578.524</v>
          </cell>
          <cell r="E15">
            <v>183.52199999999999</v>
          </cell>
          <cell r="F15">
            <v>370.28100000000001</v>
          </cell>
          <cell r="G15">
            <v>1</v>
          </cell>
          <cell r="H15">
            <v>70</v>
          </cell>
          <cell r="I15" t="str">
            <v>НЕДОГРУЗ / матрица</v>
          </cell>
          <cell r="K15">
            <v>167.3</v>
          </cell>
          <cell r="L15">
            <v>16.22199999999998</v>
          </cell>
          <cell r="O15">
            <v>126.9810882813124</v>
          </cell>
          <cell r="R15">
            <v>0</v>
          </cell>
          <cell r="U15">
            <v>36.7044</v>
          </cell>
          <cell r="W15">
            <v>0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933.52499999999998</v>
          </cell>
          <cell r="D16">
            <v>3664.058</v>
          </cell>
          <cell r="E16">
            <v>1306.7619999999999</v>
          </cell>
          <cell r="F16">
            <v>2074.0459999999998</v>
          </cell>
          <cell r="G16">
            <v>1</v>
          </cell>
          <cell r="H16">
            <v>50</v>
          </cell>
          <cell r="I16" t="str">
            <v>матрица</v>
          </cell>
          <cell r="K16">
            <v>1672.5</v>
          </cell>
          <cell r="L16">
            <v>-365.73800000000006</v>
          </cell>
          <cell r="O16">
            <v>200</v>
          </cell>
          <cell r="R16">
            <v>2052.8198000000011</v>
          </cell>
          <cell r="T16">
            <v>-510</v>
          </cell>
          <cell r="U16">
            <v>261.35239999999999</v>
          </cell>
          <cell r="W16">
            <v>0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52.344000000000001</v>
          </cell>
          <cell r="D17">
            <v>26.436</v>
          </cell>
          <cell r="E17">
            <v>7.0510000000000002</v>
          </cell>
          <cell r="F17">
            <v>69.073999999999998</v>
          </cell>
          <cell r="G17">
            <v>1</v>
          </cell>
          <cell r="H17">
            <v>60</v>
          </cell>
          <cell r="I17" t="str">
            <v>матрица</v>
          </cell>
          <cell r="K17">
            <v>7.4</v>
          </cell>
          <cell r="L17">
            <v>-0.3490000000000002</v>
          </cell>
          <cell r="O17">
            <v>0</v>
          </cell>
          <cell r="R17">
            <v>0</v>
          </cell>
          <cell r="U17">
            <v>1.4102000000000001</v>
          </cell>
          <cell r="W17">
            <v>0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24.83</v>
          </cell>
          <cell r="D18">
            <v>47.454999999999998</v>
          </cell>
          <cell r="E18">
            <v>5.843</v>
          </cell>
          <cell r="F18">
            <v>59.124000000000002</v>
          </cell>
          <cell r="G18">
            <v>1</v>
          </cell>
          <cell r="H18">
            <v>60</v>
          </cell>
          <cell r="I18" t="str">
            <v>НЕДОГРУЗ / матрица</v>
          </cell>
          <cell r="K18">
            <v>6</v>
          </cell>
          <cell r="L18">
            <v>-0.15700000000000003</v>
          </cell>
          <cell r="O18">
            <v>0</v>
          </cell>
          <cell r="R18">
            <v>0</v>
          </cell>
          <cell r="U18">
            <v>1.1686000000000001</v>
          </cell>
          <cell r="W18">
            <v>0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14.474</v>
          </cell>
          <cell r="D19">
            <v>44.308999999999997</v>
          </cell>
          <cell r="E19">
            <v>24.315999999999999</v>
          </cell>
          <cell r="F19">
            <v>-0.35599999999999998</v>
          </cell>
          <cell r="G19">
            <v>1</v>
          </cell>
          <cell r="H19">
            <v>180</v>
          </cell>
          <cell r="I19" t="str">
            <v>матрица</v>
          </cell>
          <cell r="K19">
            <v>20.55</v>
          </cell>
          <cell r="L19">
            <v>3.7659999999999982</v>
          </cell>
          <cell r="O19">
            <v>0</v>
          </cell>
          <cell r="R19">
            <v>63.97999999999999</v>
          </cell>
          <cell r="U19">
            <v>4.8632</v>
          </cell>
          <cell r="V19">
            <v>10</v>
          </cell>
          <cell r="W19">
            <v>10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200.721</v>
          </cell>
          <cell r="D20">
            <v>248.965</v>
          </cell>
          <cell r="E20">
            <v>124.098</v>
          </cell>
          <cell r="F20">
            <v>292.072</v>
          </cell>
          <cell r="G20">
            <v>1</v>
          </cell>
          <cell r="H20">
            <v>60</v>
          </cell>
          <cell r="I20" t="str">
            <v>матрица</v>
          </cell>
          <cell r="K20">
            <v>113.4</v>
          </cell>
          <cell r="L20">
            <v>10.697999999999993</v>
          </cell>
          <cell r="O20">
            <v>120.11363661258849</v>
          </cell>
          <cell r="R20">
            <v>0</v>
          </cell>
          <cell r="U20">
            <v>24.819600000000001</v>
          </cell>
          <cell r="W20">
            <v>0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3.5609999999999999</v>
          </cell>
          <cell r="D21">
            <v>323.59699999999998</v>
          </cell>
          <cell r="E21">
            <v>14.904</v>
          </cell>
          <cell r="F21">
            <v>132.24</v>
          </cell>
          <cell r="G21">
            <v>1</v>
          </cell>
          <cell r="H21">
            <v>70</v>
          </cell>
          <cell r="I21" t="str">
            <v>матрица</v>
          </cell>
          <cell r="K21">
            <v>20.5</v>
          </cell>
          <cell r="L21">
            <v>-5.5960000000000001</v>
          </cell>
          <cell r="O21">
            <v>0</v>
          </cell>
          <cell r="R21">
            <v>0</v>
          </cell>
          <cell r="U21">
            <v>2.9807999999999999</v>
          </cell>
          <cell r="W21">
            <v>0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65.918999999999997</v>
          </cell>
          <cell r="D22">
            <v>300.55200000000002</v>
          </cell>
          <cell r="E22">
            <v>61.494999999999997</v>
          </cell>
          <cell r="F22">
            <v>167.727</v>
          </cell>
          <cell r="G22">
            <v>1</v>
          </cell>
          <cell r="H22">
            <v>70</v>
          </cell>
          <cell r="I22" t="str">
            <v>НЕДОГРУЗ / матрица</v>
          </cell>
          <cell r="K22">
            <v>57.3</v>
          </cell>
          <cell r="L22">
            <v>4.1950000000000003</v>
          </cell>
          <cell r="O22">
            <v>0</v>
          </cell>
          <cell r="R22">
            <v>0</v>
          </cell>
          <cell r="U22">
            <v>12.298999999999999</v>
          </cell>
          <cell r="W22">
            <v>0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C23">
            <v>12.022</v>
          </cell>
          <cell r="D23">
            <v>75.141000000000005</v>
          </cell>
          <cell r="E23">
            <v>31.407</v>
          </cell>
          <cell r="F23">
            <v>5.8010000000000002</v>
          </cell>
          <cell r="G23">
            <v>1</v>
          </cell>
          <cell r="H23">
            <v>180</v>
          </cell>
          <cell r="I23" t="str">
            <v>матрица</v>
          </cell>
          <cell r="K23">
            <v>27.95</v>
          </cell>
          <cell r="L23">
            <v>3.4570000000000007</v>
          </cell>
          <cell r="O23">
            <v>0</v>
          </cell>
          <cell r="R23">
            <v>58.63280000000001</v>
          </cell>
          <cell r="U23">
            <v>6.2813999999999997</v>
          </cell>
          <cell r="V23">
            <v>4.6615999999999875</v>
          </cell>
          <cell r="W23">
            <v>4.6615999999999875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33.406999999999996</v>
          </cell>
          <cell r="D24">
            <v>485.142</v>
          </cell>
          <cell r="E24">
            <v>60.539000000000001</v>
          </cell>
          <cell r="F24">
            <v>130.392</v>
          </cell>
          <cell r="G24">
            <v>1</v>
          </cell>
          <cell r="H24">
            <v>70</v>
          </cell>
          <cell r="I24" t="str">
            <v>НЕДОГРУЗ / матрица</v>
          </cell>
          <cell r="K24">
            <v>52.1</v>
          </cell>
          <cell r="L24">
            <v>8.4390000000000001</v>
          </cell>
          <cell r="O24">
            <v>0</v>
          </cell>
          <cell r="R24">
            <v>0</v>
          </cell>
          <cell r="U24">
            <v>12.107800000000001</v>
          </cell>
          <cell r="V24">
            <v>4</v>
          </cell>
          <cell r="W24">
            <v>4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G25">
            <v>0</v>
          </cell>
          <cell r="I25" t="str">
            <v>матрица</v>
          </cell>
          <cell r="L25">
            <v>0</v>
          </cell>
          <cell r="R25">
            <v>0</v>
          </cell>
          <cell r="U25">
            <v>0</v>
          </cell>
          <cell r="W25">
            <v>0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D26">
            <v>246.52199999999999</v>
          </cell>
          <cell r="E26">
            <v>20.658999999999999</v>
          </cell>
          <cell r="F26">
            <v>177.697</v>
          </cell>
          <cell r="G26">
            <v>1</v>
          </cell>
          <cell r="I26" t="str">
            <v>НЕДОГРУЗ / матрица</v>
          </cell>
          <cell r="K26">
            <v>31.4</v>
          </cell>
          <cell r="L26">
            <v>-10.741</v>
          </cell>
          <cell r="O26">
            <v>55.239207031064041</v>
          </cell>
          <cell r="R26">
            <v>0</v>
          </cell>
          <cell r="U26">
            <v>4.1318000000000001</v>
          </cell>
          <cell r="W26">
            <v>0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C27">
            <v>-6.3E-2</v>
          </cell>
          <cell r="F27">
            <v>-6.3E-2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10.8</v>
          </cell>
          <cell r="L27">
            <v>-10.8</v>
          </cell>
          <cell r="O27">
            <v>126</v>
          </cell>
          <cell r="R27">
            <v>52</v>
          </cell>
          <cell r="U27">
            <v>0</v>
          </cell>
          <cell r="W27">
            <v>0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-0.155</v>
          </cell>
          <cell r="D28">
            <v>379.387</v>
          </cell>
          <cell r="E28">
            <v>184.75299999999999</v>
          </cell>
          <cell r="F28">
            <v>108.821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189.3</v>
          </cell>
          <cell r="L28">
            <v>-4.5470000000000255</v>
          </cell>
          <cell r="O28">
            <v>0</v>
          </cell>
          <cell r="R28">
            <v>58.979179999999992</v>
          </cell>
          <cell r="U28">
            <v>36.950599999999994</v>
          </cell>
          <cell r="V28">
            <v>200</v>
          </cell>
          <cell r="W28">
            <v>280</v>
          </cell>
          <cell r="X28">
            <v>280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209.53299999999999</v>
          </cell>
          <cell r="D29">
            <v>918.75400000000002</v>
          </cell>
          <cell r="E29">
            <v>410.95499999999998</v>
          </cell>
          <cell r="F29">
            <v>189.71</v>
          </cell>
          <cell r="G29">
            <v>1</v>
          </cell>
          <cell r="H29">
            <v>40</v>
          </cell>
          <cell r="I29" t="str">
            <v>НЕДОГРУЗ / матрица</v>
          </cell>
          <cell r="K29">
            <v>361.3</v>
          </cell>
          <cell r="L29">
            <v>49.654999999999973</v>
          </cell>
          <cell r="O29">
            <v>0</v>
          </cell>
          <cell r="R29">
            <v>1111.8580199999999</v>
          </cell>
          <cell r="U29">
            <v>82.191000000000003</v>
          </cell>
          <cell r="W29">
            <v>0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C30">
            <v>4.75</v>
          </cell>
          <cell r="D30">
            <v>27.341000000000001</v>
          </cell>
          <cell r="E30">
            <v>7.6840000000000002</v>
          </cell>
          <cell r="F30">
            <v>19.503</v>
          </cell>
          <cell r="G30">
            <v>1</v>
          </cell>
          <cell r="H30">
            <v>40</v>
          </cell>
          <cell r="I30" t="str">
            <v>НЕДОГРУЗ / матрица</v>
          </cell>
          <cell r="K30">
            <v>6.5</v>
          </cell>
          <cell r="L30">
            <v>1.1840000000000002</v>
          </cell>
          <cell r="O30">
            <v>34.767980045267677</v>
          </cell>
          <cell r="R30">
            <v>26</v>
          </cell>
          <cell r="U30">
            <v>1.5367999999999999</v>
          </cell>
          <cell r="W30">
            <v>0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71.459999999999994</v>
          </cell>
          <cell r="D31">
            <v>95.381</v>
          </cell>
          <cell r="E31">
            <v>89.665999999999997</v>
          </cell>
          <cell r="F31">
            <v>28.18</v>
          </cell>
          <cell r="G31">
            <v>1</v>
          </cell>
          <cell r="H31">
            <v>30</v>
          </cell>
          <cell r="I31" t="str">
            <v>матрица</v>
          </cell>
          <cell r="K31">
            <v>85.4</v>
          </cell>
          <cell r="L31">
            <v>4.2659999999999911</v>
          </cell>
          <cell r="O31">
            <v>0</v>
          </cell>
          <cell r="R31">
            <v>163.13900000000001</v>
          </cell>
          <cell r="U31">
            <v>17.933199999999999</v>
          </cell>
          <cell r="V31">
            <v>5.9461999999999833</v>
          </cell>
          <cell r="W31">
            <v>5.9461999999999833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D32">
            <v>355.39</v>
          </cell>
          <cell r="E32">
            <v>35.710999999999999</v>
          </cell>
          <cell r="F32">
            <v>97.412999999999997</v>
          </cell>
          <cell r="G32">
            <v>1</v>
          </cell>
          <cell r="H32">
            <v>50</v>
          </cell>
          <cell r="I32" t="str">
            <v>НЕДОГРУЗ / матрица</v>
          </cell>
          <cell r="K32">
            <v>91.8</v>
          </cell>
          <cell r="L32">
            <v>-56.088999999999999</v>
          </cell>
          <cell r="O32">
            <v>0</v>
          </cell>
          <cell r="R32">
            <v>0</v>
          </cell>
          <cell r="U32">
            <v>7.1421999999999999</v>
          </cell>
          <cell r="V32">
            <v>80</v>
          </cell>
          <cell r="W32">
            <v>80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C33">
            <v>-3.66</v>
          </cell>
          <cell r="D33">
            <v>196.33699999999999</v>
          </cell>
          <cell r="E33">
            <v>-0.94899999999999995</v>
          </cell>
          <cell r="F33">
            <v>94.058000000000007</v>
          </cell>
          <cell r="G33">
            <v>1</v>
          </cell>
          <cell r="H33">
            <v>50</v>
          </cell>
          <cell r="I33" t="str">
            <v>НЕДОГРУЗ / матрица</v>
          </cell>
          <cell r="K33">
            <v>24</v>
          </cell>
          <cell r="L33">
            <v>-24.949000000000002</v>
          </cell>
          <cell r="O33">
            <v>126.3529594469065</v>
          </cell>
          <cell r="R33">
            <v>0</v>
          </cell>
          <cell r="U33">
            <v>-0.1898</v>
          </cell>
          <cell r="W33">
            <v>0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D34">
            <v>1853</v>
          </cell>
          <cell r="E34">
            <v>747</v>
          </cell>
          <cell r="F34">
            <v>1039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775</v>
          </cell>
          <cell r="L34">
            <v>-28</v>
          </cell>
          <cell r="O34">
            <v>568.63585951940854</v>
          </cell>
          <cell r="R34">
            <v>0</v>
          </cell>
          <cell r="U34">
            <v>149.4</v>
          </cell>
          <cell r="V34">
            <v>100</v>
          </cell>
          <cell r="W34">
            <v>100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243</v>
          </cell>
          <cell r="D35">
            <v>682</v>
          </cell>
          <cell r="E35">
            <v>161</v>
          </cell>
          <cell r="F35">
            <v>73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155</v>
          </cell>
          <cell r="L35">
            <v>6</v>
          </cell>
          <cell r="O35">
            <v>0</v>
          </cell>
          <cell r="R35">
            <v>218.6</v>
          </cell>
          <cell r="U35">
            <v>32.200000000000003</v>
          </cell>
          <cell r="V35">
            <v>62.600000000000051</v>
          </cell>
          <cell r="W35">
            <v>62.600000000000051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58</v>
          </cell>
          <cell r="D36">
            <v>581</v>
          </cell>
          <cell r="E36">
            <v>238</v>
          </cell>
          <cell r="F36">
            <v>217</v>
          </cell>
          <cell r="G36">
            <v>0.4</v>
          </cell>
          <cell r="H36">
            <v>45</v>
          </cell>
          <cell r="I36" t="str">
            <v>НЕДОГРУЗ / матрица</v>
          </cell>
          <cell r="K36">
            <v>238</v>
          </cell>
          <cell r="L36">
            <v>0</v>
          </cell>
          <cell r="O36">
            <v>50</v>
          </cell>
          <cell r="R36">
            <v>104</v>
          </cell>
          <cell r="U36">
            <v>47.6</v>
          </cell>
          <cell r="V36">
            <v>152.60000000000002</v>
          </cell>
          <cell r="W36">
            <v>152.60000000000002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D37">
            <v>150</v>
          </cell>
          <cell r="G37">
            <v>0.4</v>
          </cell>
          <cell r="H37">
            <v>40</v>
          </cell>
          <cell r="I37" t="str">
            <v>НЕДОГРУЗ / матрица</v>
          </cell>
          <cell r="L37">
            <v>0</v>
          </cell>
          <cell r="O37">
            <v>75.581395348837205</v>
          </cell>
          <cell r="R37">
            <v>0</v>
          </cell>
          <cell r="U37">
            <v>0</v>
          </cell>
          <cell r="V37">
            <v>30</v>
          </cell>
          <cell r="W37">
            <v>30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7.1020000000000003</v>
          </cell>
          <cell r="D38">
            <v>115.23099999999999</v>
          </cell>
          <cell r="E38">
            <v>32.363</v>
          </cell>
          <cell r="F38">
            <v>70.415999999999997</v>
          </cell>
          <cell r="G38">
            <v>1</v>
          </cell>
          <cell r="H38">
            <v>45</v>
          </cell>
          <cell r="I38" t="str">
            <v>НЕДОГРУЗ / матрица</v>
          </cell>
          <cell r="K38">
            <v>32.6</v>
          </cell>
          <cell r="L38">
            <v>-0.23700000000000188</v>
          </cell>
          <cell r="O38">
            <v>31.517523165112291</v>
          </cell>
          <cell r="R38">
            <v>13</v>
          </cell>
          <cell r="U38">
            <v>6.4725999999999999</v>
          </cell>
          <cell r="W38">
            <v>0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80</v>
          </cell>
          <cell r="D39">
            <v>260</v>
          </cell>
          <cell r="E39">
            <v>146</v>
          </cell>
          <cell r="F39">
            <v>-3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157</v>
          </cell>
          <cell r="L39">
            <v>-11</v>
          </cell>
          <cell r="O39">
            <v>284.8763285024155</v>
          </cell>
          <cell r="R39">
            <v>374.52367149758442</v>
          </cell>
          <cell r="U39">
            <v>29.2</v>
          </cell>
          <cell r="W39">
            <v>0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C40">
            <v>2</v>
          </cell>
          <cell r="E40">
            <v>-1</v>
          </cell>
          <cell r="F40">
            <v>2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26</v>
          </cell>
          <cell r="L40">
            <v>-27</v>
          </cell>
          <cell r="O40">
            <v>136</v>
          </cell>
          <cell r="R40">
            <v>65</v>
          </cell>
          <cell r="U40">
            <v>-0.2</v>
          </cell>
          <cell r="W40">
            <v>0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-6.4000000000000001E-2</v>
          </cell>
          <cell r="D41">
            <v>208.499</v>
          </cell>
          <cell r="E41">
            <v>31.774999999999999</v>
          </cell>
          <cell r="F41">
            <v>175.83699999999999</v>
          </cell>
          <cell r="G41">
            <v>1</v>
          </cell>
          <cell r="H41">
            <v>40</v>
          </cell>
          <cell r="I41" t="str">
            <v>НЕДОГРУЗ / матрица</v>
          </cell>
          <cell r="K41">
            <v>74.2</v>
          </cell>
          <cell r="L41">
            <v>-42.425000000000004</v>
          </cell>
          <cell r="O41">
            <v>69.400144604067776</v>
          </cell>
          <cell r="R41">
            <v>0</v>
          </cell>
          <cell r="U41">
            <v>6.3549999999999995</v>
          </cell>
          <cell r="W41">
            <v>0</v>
          </cell>
        </row>
        <row r="42">
          <cell r="A42" t="str">
            <v xml:space="preserve"> 298  Колбаса Сливушка ТМ Вязанка, 0,375кг,  ПОКОМ</v>
          </cell>
          <cell r="B42" t="str">
            <v>шт</v>
          </cell>
          <cell r="C42">
            <v>-4</v>
          </cell>
          <cell r="D42">
            <v>4</v>
          </cell>
          <cell r="G42">
            <v>0</v>
          </cell>
          <cell r="H42">
            <v>50</v>
          </cell>
          <cell r="I42" t="str">
            <v>не в матрице</v>
          </cell>
          <cell r="L42">
            <v>0</v>
          </cell>
          <cell r="R42">
            <v>0</v>
          </cell>
          <cell r="U42">
            <v>0</v>
          </cell>
          <cell r="W42">
            <v>0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B43" t="str">
            <v>шт</v>
          </cell>
          <cell r="C43">
            <v>47</v>
          </cell>
          <cell r="D43">
            <v>102</v>
          </cell>
          <cell r="E43">
            <v>101</v>
          </cell>
          <cell r="F43">
            <v>38</v>
          </cell>
          <cell r="G43">
            <v>0.4</v>
          </cell>
          <cell r="H43">
            <v>40</v>
          </cell>
          <cell r="I43" t="str">
            <v>НЕДОГРУЗ / матрица</v>
          </cell>
          <cell r="K43">
            <v>95</v>
          </cell>
          <cell r="L43">
            <v>6</v>
          </cell>
          <cell r="O43">
            <v>85.296167247386762</v>
          </cell>
          <cell r="R43">
            <v>130</v>
          </cell>
          <cell r="U43">
            <v>20.2</v>
          </cell>
          <cell r="W43">
            <v>0</v>
          </cell>
        </row>
        <row r="44">
          <cell r="A44" t="str">
            <v xml:space="preserve"> 302  Сосиски Сочинки по-баварски,  0.4кг, ТМ Стародворье  ПОКОМ</v>
          </cell>
          <cell r="B44" t="str">
            <v>шт</v>
          </cell>
          <cell r="D44">
            <v>258</v>
          </cell>
          <cell r="E44">
            <v>26</v>
          </cell>
          <cell r="F44">
            <v>140</v>
          </cell>
          <cell r="G44">
            <v>0.4</v>
          </cell>
          <cell r="H44">
            <v>45</v>
          </cell>
          <cell r="I44" t="str">
            <v>матрица</v>
          </cell>
          <cell r="K44">
            <v>26</v>
          </cell>
          <cell r="L44">
            <v>0</v>
          </cell>
          <cell r="O44">
            <v>125.51020408163259</v>
          </cell>
          <cell r="R44">
            <v>0</v>
          </cell>
          <cell r="U44">
            <v>5.2</v>
          </cell>
          <cell r="W44">
            <v>0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B45" t="str">
            <v>кг</v>
          </cell>
          <cell r="C45">
            <v>21.068000000000001</v>
          </cell>
          <cell r="D45">
            <v>205.20599999999999</v>
          </cell>
          <cell r="E45">
            <v>85.546999999999997</v>
          </cell>
          <cell r="F45">
            <v>40.094000000000001</v>
          </cell>
          <cell r="G45">
            <v>1</v>
          </cell>
          <cell r="H45">
            <v>40</v>
          </cell>
          <cell r="I45" t="str">
            <v>НЕДОГРУЗ / матрица</v>
          </cell>
          <cell r="K45">
            <v>118.9</v>
          </cell>
          <cell r="L45">
            <v>-33.353000000000009</v>
          </cell>
          <cell r="O45">
            <v>0</v>
          </cell>
          <cell r="R45">
            <v>130</v>
          </cell>
          <cell r="U45">
            <v>17.109400000000001</v>
          </cell>
          <cell r="V45">
            <v>30</v>
          </cell>
          <cell r="W45">
            <v>30</v>
          </cell>
        </row>
        <row r="46">
          <cell r="A46" t="str">
            <v xml:space="preserve"> 307  Колбаса Сервелат Мясорубский с мелкорубленным окороком 0,35 кг срез ТМ Стародворье   Поком</v>
          </cell>
          <cell r="B46" t="str">
            <v>шт</v>
          </cell>
          <cell r="C46">
            <v>47</v>
          </cell>
          <cell r="D46">
            <v>3</v>
          </cell>
          <cell r="E46">
            <v>67</v>
          </cell>
          <cell r="G46">
            <v>0.35</v>
          </cell>
          <cell r="H46">
            <v>40</v>
          </cell>
          <cell r="I46" t="str">
            <v>НЕДОГРУЗ / матрица</v>
          </cell>
          <cell r="K46">
            <v>83</v>
          </cell>
          <cell r="L46">
            <v>-16</v>
          </cell>
          <cell r="O46">
            <v>124.5150501672241</v>
          </cell>
          <cell r="R46">
            <v>195</v>
          </cell>
          <cell r="U46">
            <v>13.4</v>
          </cell>
          <cell r="W46">
            <v>0</v>
          </cell>
        </row>
        <row r="47">
          <cell r="A47" t="str">
            <v xml:space="preserve"> 309  Сосиски Сочинки с сыром 0,4 кг ТМ Стародворье  ПОКОМ</v>
          </cell>
          <cell r="B47" t="str">
            <v>шт</v>
          </cell>
          <cell r="C47">
            <v>330</v>
          </cell>
          <cell r="D47">
            <v>259</v>
          </cell>
          <cell r="E47">
            <v>233</v>
          </cell>
          <cell r="F47">
            <v>219</v>
          </cell>
          <cell r="G47">
            <v>0.4</v>
          </cell>
          <cell r="H47">
            <v>40</v>
          </cell>
          <cell r="I47" t="str">
            <v>НЕДОГРУЗ / матрица</v>
          </cell>
          <cell r="K47">
            <v>223</v>
          </cell>
          <cell r="L47">
            <v>10</v>
          </cell>
          <cell r="O47">
            <v>0</v>
          </cell>
          <cell r="R47">
            <v>298.74</v>
          </cell>
          <cell r="U47">
            <v>46.6</v>
          </cell>
          <cell r="W47">
            <v>0</v>
          </cell>
        </row>
        <row r="48">
          <cell r="A48" t="str">
            <v xml:space="preserve"> 312  Ветчина Филейская ВЕС ТМ  Вязанка ТС Столичная  ПОКОМ</v>
          </cell>
          <cell r="B48" t="str">
            <v>кг</v>
          </cell>
          <cell r="C48">
            <v>33.649000000000001</v>
          </cell>
          <cell r="D48">
            <v>118.65300000000001</v>
          </cell>
          <cell r="E48">
            <v>20.704000000000001</v>
          </cell>
          <cell r="F48">
            <v>134.81200000000001</v>
          </cell>
          <cell r="G48">
            <v>1</v>
          </cell>
          <cell r="H48">
            <v>50</v>
          </cell>
          <cell r="I48" t="str">
            <v>матрица</v>
          </cell>
          <cell r="K48">
            <v>18</v>
          </cell>
          <cell r="L48">
            <v>2.7040000000000006</v>
          </cell>
          <cell r="O48">
            <v>23.31891103012844</v>
          </cell>
          <cell r="R48">
            <v>0</v>
          </cell>
          <cell r="U48">
            <v>4.1408000000000005</v>
          </cell>
          <cell r="W48">
            <v>0</v>
          </cell>
        </row>
        <row r="49">
          <cell r="A49" t="str">
            <v xml:space="preserve"> 315  Колбаса вареная Молокуша ТМ Вязанка ВЕС, ПОКОМ</v>
          </cell>
          <cell r="B49" t="str">
            <v>кг</v>
          </cell>
          <cell r="D49">
            <v>389.73399999999998</v>
          </cell>
          <cell r="E49">
            <v>57.591000000000001</v>
          </cell>
          <cell r="F49">
            <v>164.82900000000001</v>
          </cell>
          <cell r="G49">
            <v>1</v>
          </cell>
          <cell r="H49">
            <v>50</v>
          </cell>
          <cell r="I49" t="str">
            <v>матрица</v>
          </cell>
          <cell r="K49">
            <v>55.6</v>
          </cell>
          <cell r="L49">
            <v>1.9909999999999997</v>
          </cell>
          <cell r="O49">
            <v>0</v>
          </cell>
          <cell r="R49">
            <v>0</v>
          </cell>
          <cell r="U49">
            <v>11.5182</v>
          </cell>
          <cell r="W49">
            <v>0</v>
          </cell>
        </row>
        <row r="50">
          <cell r="A50" t="str">
            <v xml:space="preserve"> 318  Сосиски Датские ТМ Зареченские, ВЕС  ПОКОМ</v>
          </cell>
          <cell r="B50" t="str">
            <v>кг</v>
          </cell>
          <cell r="C50">
            <v>0.434</v>
          </cell>
          <cell r="D50">
            <v>262.47500000000002</v>
          </cell>
          <cell r="F50">
            <v>95.174000000000007</v>
          </cell>
          <cell r="G50">
            <v>1</v>
          </cell>
          <cell r="H50">
            <v>45</v>
          </cell>
          <cell r="I50" t="str">
            <v>НЕДОГРУЗ / матрица</v>
          </cell>
          <cell r="K50">
            <v>2.8</v>
          </cell>
          <cell r="L50">
            <v>-2.8</v>
          </cell>
          <cell r="O50">
            <v>0</v>
          </cell>
          <cell r="R50">
            <v>0</v>
          </cell>
          <cell r="U50">
            <v>0</v>
          </cell>
          <cell r="W50">
            <v>0</v>
          </cell>
        </row>
        <row r="51">
          <cell r="A51" t="str">
            <v xml:space="preserve"> 319  Колбаса вареная Филейская ТМ Вязанка ТС Классическая, 0,45 кг. ПОКОМ</v>
          </cell>
          <cell r="B51" t="str">
            <v>шт</v>
          </cell>
          <cell r="C51">
            <v>103</v>
          </cell>
          <cell r="D51">
            <v>406</v>
          </cell>
          <cell r="E51">
            <v>49</v>
          </cell>
          <cell r="F51">
            <v>139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55</v>
          </cell>
          <cell r="L51">
            <v>-6</v>
          </cell>
          <cell r="O51">
            <v>0</v>
          </cell>
          <cell r="R51">
            <v>12.6</v>
          </cell>
          <cell r="U51">
            <v>9.8000000000000007</v>
          </cell>
          <cell r="W51">
            <v>0</v>
          </cell>
        </row>
        <row r="52">
          <cell r="A52" t="str">
            <v xml:space="preserve"> 322  Колбаса вареная Молокуша 0,45кг ТМ Вязанка  ПОКОМ</v>
          </cell>
          <cell r="B52" t="str">
            <v>шт</v>
          </cell>
          <cell r="C52">
            <v>230</v>
          </cell>
          <cell r="D52">
            <v>49</v>
          </cell>
          <cell r="E52">
            <v>115</v>
          </cell>
          <cell r="F52">
            <v>120</v>
          </cell>
          <cell r="G52">
            <v>0.45</v>
          </cell>
          <cell r="H52">
            <v>50</v>
          </cell>
          <cell r="I52" t="str">
            <v>матрица</v>
          </cell>
          <cell r="K52">
            <v>109</v>
          </cell>
          <cell r="L52">
            <v>6</v>
          </cell>
          <cell r="O52">
            <v>52.911627906976747</v>
          </cell>
          <cell r="R52">
            <v>20</v>
          </cell>
          <cell r="U52">
            <v>23</v>
          </cell>
          <cell r="V52">
            <v>60.088372093023253</v>
          </cell>
          <cell r="W52">
            <v>60.088372093023253</v>
          </cell>
        </row>
        <row r="53">
          <cell r="A53" t="str">
            <v xml:space="preserve"> 328  Сардельки Сочинки Стародворье ТМ  0,4 кг ПОКОМ</v>
          </cell>
          <cell r="B53" t="str">
            <v>шт</v>
          </cell>
          <cell r="C53">
            <v>21</v>
          </cell>
          <cell r="D53">
            <v>55</v>
          </cell>
          <cell r="E53">
            <v>40</v>
          </cell>
          <cell r="F53">
            <v>38</v>
          </cell>
          <cell r="G53">
            <v>0.4</v>
          </cell>
          <cell r="H53">
            <v>40</v>
          </cell>
          <cell r="I53" t="str">
            <v>НЕДОГРУЗ / матрица</v>
          </cell>
          <cell r="K53">
            <v>35</v>
          </cell>
          <cell r="L53">
            <v>5</v>
          </cell>
          <cell r="O53">
            <v>29.228070175438599</v>
          </cell>
          <cell r="R53">
            <v>26</v>
          </cell>
          <cell r="U53">
            <v>8</v>
          </cell>
          <cell r="W53">
            <v>0</v>
          </cell>
        </row>
        <row r="54">
          <cell r="A54" t="str">
            <v xml:space="preserve"> 329  Сардельки Сочинки с сыром Стародворье ТМ, 0,4 кг. ПОКОМ</v>
          </cell>
          <cell r="B54" t="str">
            <v>шт</v>
          </cell>
          <cell r="C54">
            <v>50</v>
          </cell>
          <cell r="D54">
            <v>43</v>
          </cell>
          <cell r="E54">
            <v>45</v>
          </cell>
          <cell r="F54">
            <v>50</v>
          </cell>
          <cell r="G54">
            <v>0.4</v>
          </cell>
          <cell r="H54">
            <v>40</v>
          </cell>
          <cell r="I54" t="str">
            <v>НЕДОГРУЗ / матрица</v>
          </cell>
          <cell r="K54">
            <v>40</v>
          </cell>
          <cell r="L54">
            <v>5</v>
          </cell>
          <cell r="O54">
            <v>4</v>
          </cell>
          <cell r="R54">
            <v>45.759999999999977</v>
          </cell>
          <cell r="U54">
            <v>9</v>
          </cell>
          <cell r="W54">
            <v>0</v>
          </cell>
        </row>
        <row r="55">
          <cell r="A55" t="str">
            <v xml:space="preserve"> 330  Колбаса вареная Филейская ТМ Вязанка ТС Классическая ВЕС  ПОКОМ</v>
          </cell>
          <cell r="B55" t="str">
            <v>кг</v>
          </cell>
          <cell r="C55">
            <v>16.245999999999999</v>
          </cell>
          <cell r="D55">
            <v>240.25899999999999</v>
          </cell>
          <cell r="E55">
            <v>36.345999999999997</v>
          </cell>
          <cell r="F55">
            <v>71.468000000000004</v>
          </cell>
          <cell r="G55">
            <v>1</v>
          </cell>
          <cell r="H55">
            <v>50</v>
          </cell>
          <cell r="I55" t="str">
            <v>матрица</v>
          </cell>
          <cell r="K55">
            <v>27.1</v>
          </cell>
          <cell r="L55">
            <v>9.2459999999999951</v>
          </cell>
          <cell r="O55">
            <v>0</v>
          </cell>
          <cell r="R55">
            <v>0</v>
          </cell>
          <cell r="U55">
            <v>7.2691999999999997</v>
          </cell>
          <cell r="V55">
            <v>8.4931999999999874</v>
          </cell>
          <cell r="W55">
            <v>8.4931999999999874</v>
          </cell>
        </row>
        <row r="56">
          <cell r="A56" t="str">
            <v xml:space="preserve"> 334  Паштет Любительский ТМ Стародворье ламистер 0,1 кг  ПОКОМ</v>
          </cell>
          <cell r="B56" t="str">
            <v>шт</v>
          </cell>
          <cell r="C56">
            <v>157</v>
          </cell>
          <cell r="D56">
            <v>180</v>
          </cell>
          <cell r="E56">
            <v>179</v>
          </cell>
          <cell r="F56">
            <v>135</v>
          </cell>
          <cell r="G56">
            <v>0.1</v>
          </cell>
          <cell r="H56">
            <v>731</v>
          </cell>
          <cell r="I56" t="str">
            <v>матрица</v>
          </cell>
          <cell r="K56">
            <v>135</v>
          </cell>
          <cell r="L56">
            <v>44</v>
          </cell>
          <cell r="O56">
            <v>215.525052631579</v>
          </cell>
          <cell r="R56">
            <v>86.474947368421113</v>
          </cell>
          <cell r="U56">
            <v>35.799999999999997</v>
          </cell>
          <cell r="W56">
            <v>0</v>
          </cell>
        </row>
        <row r="57">
          <cell r="A57" t="str">
            <v xml:space="preserve"> 335  Колбаса Сливушка ТМ Вязанка. ВЕС.  ПОКОМ </v>
          </cell>
          <cell r="B57" t="str">
            <v>кг</v>
          </cell>
          <cell r="C57">
            <v>6.6539999999999999</v>
          </cell>
          <cell r="D57">
            <v>269.88900000000001</v>
          </cell>
          <cell r="E57">
            <v>21.364999999999998</v>
          </cell>
          <cell r="F57">
            <v>105.723</v>
          </cell>
          <cell r="G57">
            <v>1</v>
          </cell>
          <cell r="H57">
            <v>50</v>
          </cell>
          <cell r="I57" t="str">
            <v>матрица</v>
          </cell>
          <cell r="K57">
            <v>20.100000000000001</v>
          </cell>
          <cell r="L57">
            <v>1.264999999999997</v>
          </cell>
          <cell r="O57">
            <v>67.325150343878946</v>
          </cell>
          <cell r="R57">
            <v>13.907999999999999</v>
          </cell>
          <cell r="U57">
            <v>4.2729999999999997</v>
          </cell>
          <cell r="W57">
            <v>0</v>
          </cell>
        </row>
        <row r="58">
          <cell r="A58" t="str">
            <v xml:space="preserve"> 336  Ветчина Сливушка с индейкой ТМ Вязанка. ВЕС  ПОКОМ</v>
          </cell>
          <cell r="B58" t="str">
            <v>кг</v>
          </cell>
          <cell r="C58">
            <v>8.9999999999999993E-3</v>
          </cell>
          <cell r="D58">
            <v>64.917000000000002</v>
          </cell>
          <cell r="E58">
            <v>18.881</v>
          </cell>
          <cell r="F58">
            <v>44.698999999999998</v>
          </cell>
          <cell r="G58">
            <v>1</v>
          </cell>
          <cell r="H58">
            <v>55</v>
          </cell>
          <cell r="I58" t="str">
            <v>матрица</v>
          </cell>
          <cell r="K58">
            <v>18.3</v>
          </cell>
          <cell r="L58">
            <v>0.58099999999999952</v>
          </cell>
          <cell r="O58">
            <v>42.548510946944248</v>
          </cell>
          <cell r="R58">
            <v>0</v>
          </cell>
          <cell r="U58">
            <v>3.7762000000000002</v>
          </cell>
          <cell r="W58">
            <v>0</v>
          </cell>
        </row>
        <row r="59">
          <cell r="A59" t="str">
            <v xml:space="preserve"> 338  Паштет печеночный с морковью ТМ Стародворье ламистер 0,1 кг.  ПОКОМ</v>
          </cell>
          <cell r="B59" t="str">
            <v>шт</v>
          </cell>
          <cell r="C59">
            <v>189</v>
          </cell>
          <cell r="E59">
            <v>148</v>
          </cell>
          <cell r="F59">
            <v>43</v>
          </cell>
          <cell r="G59">
            <v>0.1</v>
          </cell>
          <cell r="H59">
            <v>731</v>
          </cell>
          <cell r="I59" t="str">
            <v>матрица</v>
          </cell>
          <cell r="K59">
            <v>141</v>
          </cell>
          <cell r="L59">
            <v>7</v>
          </cell>
          <cell r="O59">
            <v>91.06797642436149</v>
          </cell>
          <cell r="R59">
            <v>221.53202357563839</v>
          </cell>
          <cell r="U59">
            <v>29.6</v>
          </cell>
          <cell r="W59">
            <v>0</v>
          </cell>
        </row>
        <row r="60">
          <cell r="A60" t="str">
            <v xml:space="preserve"> 339  Колбаса вареная Филейская ТМ Вязанка ТС Классическая, 0,40 кг.  ПОКОМ</v>
          </cell>
          <cell r="B60" t="str">
            <v>шт</v>
          </cell>
          <cell r="C60">
            <v>14</v>
          </cell>
          <cell r="D60">
            <v>33</v>
          </cell>
          <cell r="E60">
            <v>14</v>
          </cell>
          <cell r="F60">
            <v>2</v>
          </cell>
          <cell r="G60">
            <v>0.4</v>
          </cell>
          <cell r="H60">
            <v>50</v>
          </cell>
          <cell r="I60" t="str">
            <v>матрица</v>
          </cell>
          <cell r="K60">
            <v>14</v>
          </cell>
          <cell r="L60">
            <v>0</v>
          </cell>
          <cell r="O60">
            <v>0</v>
          </cell>
          <cell r="R60">
            <v>8.4000000000000021</v>
          </cell>
          <cell r="U60">
            <v>2.8</v>
          </cell>
          <cell r="V60">
            <v>20.399999999999995</v>
          </cell>
          <cell r="W60">
            <v>20.399999999999995</v>
          </cell>
        </row>
        <row r="61">
          <cell r="A61" t="str">
            <v xml:space="preserve"> 340  Сосиски Сочинки Молочные ТМ Стародворье, ВЕС ПОКОМ</v>
          </cell>
          <cell r="B61" t="str">
            <v>кг</v>
          </cell>
          <cell r="C61">
            <v>62.716000000000001</v>
          </cell>
          <cell r="D61">
            <v>211.18600000000001</v>
          </cell>
          <cell r="E61">
            <v>146.48599999999999</v>
          </cell>
          <cell r="F61">
            <v>62.875</v>
          </cell>
          <cell r="G61">
            <v>1</v>
          </cell>
          <cell r="H61">
            <v>40</v>
          </cell>
          <cell r="I61" t="str">
            <v>НЕДОГРУЗ / матрица</v>
          </cell>
          <cell r="K61">
            <v>150.1</v>
          </cell>
          <cell r="L61">
            <v>-3.6140000000000043</v>
          </cell>
          <cell r="O61">
            <v>82.974373640960252</v>
          </cell>
          <cell r="R61">
            <v>125.4214342667517</v>
          </cell>
          <cell r="U61">
            <v>29.297199999999997</v>
          </cell>
          <cell r="V61">
            <v>50.998392092288</v>
          </cell>
          <cell r="W61">
            <v>50.998392092288</v>
          </cell>
        </row>
        <row r="62">
          <cell r="A62" t="str">
            <v xml:space="preserve"> 341 Сосиски Сочинки Сливочные ТМ Стародворье ВЕС ПОКОМ</v>
          </cell>
          <cell r="B62" t="str">
            <v>кг</v>
          </cell>
          <cell r="C62">
            <v>-1.748</v>
          </cell>
          <cell r="D62">
            <v>8.2989999999999995</v>
          </cell>
          <cell r="E62">
            <v>8.3330000000000002</v>
          </cell>
          <cell r="F62">
            <v>-0.13900000000000001</v>
          </cell>
          <cell r="G62">
            <v>1</v>
          </cell>
          <cell r="H62">
            <v>40</v>
          </cell>
          <cell r="I62" t="str">
            <v>НЕДОГРУЗ / матрица</v>
          </cell>
          <cell r="K62">
            <v>18.600000000000001</v>
          </cell>
          <cell r="L62">
            <v>-10.267000000000001</v>
          </cell>
          <cell r="O62">
            <v>157.7291886195996</v>
          </cell>
          <cell r="R62">
            <v>65</v>
          </cell>
          <cell r="U62">
            <v>1.6666000000000001</v>
          </cell>
          <cell r="W62">
            <v>0</v>
          </cell>
        </row>
        <row r="63">
          <cell r="A63" t="str">
            <v xml:space="preserve"> 342 Сосиски Сочинки Молочные ТМ Стародворье 0,4 кг ПОКОМ</v>
          </cell>
          <cell r="B63" t="str">
            <v>шт</v>
          </cell>
          <cell r="C63">
            <v>132</v>
          </cell>
          <cell r="D63">
            <v>1007</v>
          </cell>
          <cell r="E63">
            <v>367</v>
          </cell>
          <cell r="F63">
            <v>294</v>
          </cell>
          <cell r="G63">
            <v>0.4</v>
          </cell>
          <cell r="H63">
            <v>40</v>
          </cell>
          <cell r="I63" t="str">
            <v>НЕДОГРУЗ / матрица</v>
          </cell>
          <cell r="K63">
            <v>368</v>
          </cell>
          <cell r="L63">
            <v>-1</v>
          </cell>
          <cell r="O63">
            <v>64.264919941775844</v>
          </cell>
          <cell r="R63">
            <v>195</v>
          </cell>
          <cell r="U63">
            <v>73.400000000000006</v>
          </cell>
          <cell r="V63">
            <v>254.13508005822428</v>
          </cell>
          <cell r="W63">
            <v>254.13508005822428</v>
          </cell>
        </row>
        <row r="64">
          <cell r="A64" t="str">
            <v xml:space="preserve"> 343 Сосиски Сочинки Сливочные ТМ Стародворье  0,4 кг ПОКОМ</v>
          </cell>
          <cell r="B64" t="str">
            <v>шт</v>
          </cell>
          <cell r="C64">
            <v>86</v>
          </cell>
          <cell r="D64">
            <v>355</v>
          </cell>
          <cell r="E64">
            <v>186</v>
          </cell>
          <cell r="F64">
            <v>234</v>
          </cell>
          <cell r="G64">
            <v>0.4</v>
          </cell>
          <cell r="H64">
            <v>40</v>
          </cell>
          <cell r="I64" t="str">
            <v>матрица</v>
          </cell>
          <cell r="K64">
            <v>197</v>
          </cell>
          <cell r="L64">
            <v>-11</v>
          </cell>
          <cell r="O64">
            <v>140.38267875125879</v>
          </cell>
          <cell r="R64">
            <v>0</v>
          </cell>
          <cell r="U64">
            <v>37.200000000000003</v>
          </cell>
          <cell r="V64">
            <v>34.817321248741223</v>
          </cell>
          <cell r="W64">
            <v>34.817321248741223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 t="str">
            <v>кг</v>
          </cell>
          <cell r="C65">
            <v>-8.1000000000000003E-2</v>
          </cell>
          <cell r="D65">
            <v>130.256</v>
          </cell>
          <cell r="E65">
            <v>0.91800000000000004</v>
          </cell>
          <cell r="F65">
            <v>38.722000000000001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64.2</v>
          </cell>
          <cell r="L65">
            <v>-63.282000000000004</v>
          </cell>
          <cell r="O65">
            <v>66.72749588742191</v>
          </cell>
          <cell r="R65">
            <v>26</v>
          </cell>
          <cell r="U65">
            <v>0.18360000000000001</v>
          </cell>
          <cell r="V65">
            <v>20</v>
          </cell>
          <cell r="W65">
            <v>20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 t="str">
            <v>кг</v>
          </cell>
          <cell r="D66">
            <v>102.29900000000001</v>
          </cell>
          <cell r="E66">
            <v>-4.4249999999999998</v>
          </cell>
          <cell r="F66">
            <v>11.657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4.5</v>
          </cell>
          <cell r="L66">
            <v>-8.9250000000000007</v>
          </cell>
          <cell r="O66">
            <v>65.506768635724328</v>
          </cell>
          <cell r="R66">
            <v>26</v>
          </cell>
          <cell r="U66">
            <v>-0.88500000000000001</v>
          </cell>
          <cell r="W66">
            <v>0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 t="str">
            <v>кг</v>
          </cell>
          <cell r="C67">
            <v>50.837000000000003</v>
          </cell>
          <cell r="D67">
            <v>5.4580000000000002</v>
          </cell>
          <cell r="E67">
            <v>75.828999999999994</v>
          </cell>
          <cell r="F67">
            <v>-0.41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55.6</v>
          </cell>
          <cell r="L67">
            <v>20.228999999999992</v>
          </cell>
          <cell r="O67">
            <v>185.44251614261961</v>
          </cell>
          <cell r="R67">
            <v>260</v>
          </cell>
          <cell r="U67">
            <v>15.165799999999999</v>
          </cell>
          <cell r="W67">
            <v>0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 t="str">
            <v>кг</v>
          </cell>
          <cell r="G68">
            <v>1</v>
          </cell>
          <cell r="H68">
            <v>40</v>
          </cell>
          <cell r="I68" t="str">
            <v>НЕДОГРУЗ / матрица</v>
          </cell>
          <cell r="K68">
            <v>4.5</v>
          </cell>
          <cell r="L68">
            <v>-4.5</v>
          </cell>
          <cell r="O68">
            <v>94.231088526074814</v>
          </cell>
          <cell r="R68">
            <v>26</v>
          </cell>
          <cell r="U68">
            <v>0</v>
          </cell>
          <cell r="W68">
            <v>0</v>
          </cell>
        </row>
        <row r="69">
          <cell r="A69" t="str">
            <v xml:space="preserve"> 355  Колбаса Сервелат запеченный ТМ Стародворье ТС Дугушка. 0,6 кг. ПОКОМ</v>
          </cell>
          <cell r="B69" t="str">
            <v>шт</v>
          </cell>
          <cell r="G69">
            <v>0</v>
          </cell>
          <cell r="I69" t="str">
            <v>матрица</v>
          </cell>
          <cell r="L69">
            <v>0</v>
          </cell>
          <cell r="R69">
            <v>0</v>
          </cell>
          <cell r="U69">
            <v>0</v>
          </cell>
          <cell r="W69">
            <v>0</v>
          </cell>
        </row>
        <row r="70">
          <cell r="A70" t="str">
            <v xml:space="preserve"> 364  Сардельки Филейские Вязанка ВЕС NDX ТМ Вязанка  ПОКОМ</v>
          </cell>
          <cell r="B70" t="str">
            <v>кг</v>
          </cell>
          <cell r="C70">
            <v>57.883000000000003</v>
          </cell>
          <cell r="D70">
            <v>218.93899999999999</v>
          </cell>
          <cell r="E70">
            <v>114.258</v>
          </cell>
          <cell r="F70">
            <v>154.191</v>
          </cell>
          <cell r="G70">
            <v>1</v>
          </cell>
          <cell r="H70">
            <v>30</v>
          </cell>
          <cell r="I70" t="str">
            <v>НЕДОГРУЗ / матрица</v>
          </cell>
          <cell r="K70">
            <v>122.1</v>
          </cell>
          <cell r="L70">
            <v>-7.8419999999999987</v>
          </cell>
          <cell r="O70">
            <v>61.041236403526483</v>
          </cell>
          <cell r="R70">
            <v>87.828732675415679</v>
          </cell>
          <cell r="U70">
            <v>22.851599999999998</v>
          </cell>
          <cell r="V70">
            <v>30</v>
          </cell>
          <cell r="W70">
            <v>30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B71" t="str">
            <v>шт</v>
          </cell>
          <cell r="C71">
            <v>100</v>
          </cell>
          <cell r="D71">
            <v>66</v>
          </cell>
          <cell r="E71">
            <v>28</v>
          </cell>
          <cell r="F71">
            <v>115</v>
          </cell>
          <cell r="G71">
            <v>0.6</v>
          </cell>
          <cell r="H71">
            <v>60</v>
          </cell>
          <cell r="I71" t="str">
            <v>матрица</v>
          </cell>
          <cell r="K71">
            <v>30</v>
          </cell>
          <cell r="L71">
            <v>-2</v>
          </cell>
          <cell r="O71">
            <v>77.89787234042555</v>
          </cell>
          <cell r="R71">
            <v>0</v>
          </cell>
          <cell r="U71">
            <v>5.6</v>
          </cell>
          <cell r="W71">
            <v>0</v>
          </cell>
        </row>
        <row r="72">
          <cell r="A72" t="str">
            <v xml:space="preserve"> 377  Колбаса Молочная Дугушка 0,6кг ТМ Стародворье  ПОКОМ</v>
          </cell>
          <cell r="B72" t="str">
            <v>шт</v>
          </cell>
          <cell r="C72">
            <v>110</v>
          </cell>
          <cell r="D72">
            <v>178</v>
          </cell>
          <cell r="E72">
            <v>56</v>
          </cell>
          <cell r="F72">
            <v>194</v>
          </cell>
          <cell r="G72">
            <v>0.6</v>
          </cell>
          <cell r="H72">
            <v>60</v>
          </cell>
          <cell r="I72" t="str">
            <v>матрица</v>
          </cell>
          <cell r="K72">
            <v>57</v>
          </cell>
          <cell r="L72">
            <v>-1</v>
          </cell>
          <cell r="O72">
            <v>66.136986301369859</v>
          </cell>
          <cell r="R72">
            <v>0</v>
          </cell>
          <cell r="U72">
            <v>11.2</v>
          </cell>
          <cell r="W72">
            <v>0</v>
          </cell>
        </row>
        <row r="73">
          <cell r="A73" t="str">
            <v xml:space="preserve"> 387  Колбаса вареная Мусульманская Халяль ТМ Вязанка, 0,4 кг ПОКОМ</v>
          </cell>
          <cell r="B73" t="str">
            <v>шт</v>
          </cell>
          <cell r="C73">
            <v>39</v>
          </cell>
          <cell r="D73">
            <v>273</v>
          </cell>
          <cell r="E73">
            <v>39</v>
          </cell>
          <cell r="F73">
            <v>92</v>
          </cell>
          <cell r="G73">
            <v>0.4</v>
          </cell>
          <cell r="H73">
            <v>90</v>
          </cell>
          <cell r="I73" t="str">
            <v>НЕДОГРУЗ / матрица</v>
          </cell>
          <cell r="K73">
            <v>43</v>
          </cell>
          <cell r="L73">
            <v>-4</v>
          </cell>
          <cell r="O73">
            <v>48.218181818181819</v>
          </cell>
          <cell r="R73">
            <v>0</v>
          </cell>
          <cell r="U73">
            <v>7.8</v>
          </cell>
          <cell r="W73">
            <v>0</v>
          </cell>
        </row>
        <row r="74">
          <cell r="A74" t="str">
            <v xml:space="preserve"> 388  Сосиски Восточные Халяль ТМ Вязанка 0,33 кг АК. ПОКОМ</v>
          </cell>
          <cell r="B74" t="str">
            <v>шт</v>
          </cell>
          <cell r="C74">
            <v>87</v>
          </cell>
          <cell r="D74">
            <v>302</v>
          </cell>
          <cell r="E74">
            <v>86</v>
          </cell>
          <cell r="F74">
            <v>82</v>
          </cell>
          <cell r="G74">
            <v>0.33</v>
          </cell>
          <cell r="H74">
            <v>60</v>
          </cell>
          <cell r="I74" t="str">
            <v>НЕДОГРУЗ / матрица</v>
          </cell>
          <cell r="K74">
            <v>108</v>
          </cell>
          <cell r="L74">
            <v>-22</v>
          </cell>
          <cell r="O74">
            <v>67.583673469387747</v>
          </cell>
          <cell r="R74">
            <v>0</v>
          </cell>
          <cell r="U74">
            <v>17.2</v>
          </cell>
          <cell r="V74">
            <v>60</v>
          </cell>
          <cell r="W74">
            <v>60</v>
          </cell>
        </row>
        <row r="75">
          <cell r="A75" t="str">
            <v xml:space="preserve"> 394 Колбаса полукопченая Аль-Ислами халяль ТМ Вязанка оболочка фиброуз в в/у 0,35 кг  ПОКОМ</v>
          </cell>
          <cell r="B75" t="str">
            <v>шт</v>
          </cell>
          <cell r="C75">
            <v>47</v>
          </cell>
          <cell r="D75">
            <v>226</v>
          </cell>
          <cell r="E75">
            <v>45</v>
          </cell>
          <cell r="F75">
            <v>1</v>
          </cell>
          <cell r="G75">
            <v>0.35</v>
          </cell>
          <cell r="H75">
            <v>90</v>
          </cell>
          <cell r="I75" t="str">
            <v>НЕДОГРУЗ / матрица</v>
          </cell>
          <cell r="K75">
            <v>62</v>
          </cell>
          <cell r="L75">
            <v>-17</v>
          </cell>
          <cell r="O75">
            <v>61.167464114832534</v>
          </cell>
          <cell r="R75">
            <v>130</v>
          </cell>
          <cell r="U75">
            <v>9</v>
          </cell>
          <cell r="W75">
            <v>0</v>
          </cell>
        </row>
        <row r="76">
          <cell r="A76" t="str">
            <v xml:space="preserve"> 395  Колбаса Докторская ГОСТ ТМ Вязанка в оболочке полиамид 0,37 кг. ПОКОМ</v>
          </cell>
          <cell r="B76" t="str">
            <v>шт</v>
          </cell>
          <cell r="C76">
            <v>3</v>
          </cell>
          <cell r="D76">
            <v>60</v>
          </cell>
          <cell r="E76">
            <v>1</v>
          </cell>
          <cell r="F76">
            <v>32</v>
          </cell>
          <cell r="G76">
            <v>0.37</v>
          </cell>
          <cell r="I76" t="str">
            <v>матрица</v>
          </cell>
          <cell r="K76">
            <v>1</v>
          </cell>
          <cell r="L76">
            <v>0</v>
          </cell>
          <cell r="O76">
            <v>0</v>
          </cell>
          <cell r="R76">
            <v>0</v>
          </cell>
          <cell r="U76">
            <v>0.2</v>
          </cell>
          <cell r="W76">
            <v>0</v>
          </cell>
        </row>
        <row r="77">
          <cell r="A77" t="str">
            <v xml:space="preserve"> 397  Ветчина Дугушка ТМ Стародворье ТС Дугушка в полиамидной оболочке 0,6 кг. ПОКОМ</v>
          </cell>
          <cell r="B77" t="str">
            <v>шт</v>
          </cell>
          <cell r="C77">
            <v>28</v>
          </cell>
          <cell r="D77">
            <v>40</v>
          </cell>
          <cell r="E77">
            <v>10</v>
          </cell>
          <cell r="F77">
            <v>-21.2</v>
          </cell>
          <cell r="G77">
            <v>0.6</v>
          </cell>
          <cell r="H77">
            <v>70</v>
          </cell>
          <cell r="I77" t="str">
            <v>матрица</v>
          </cell>
          <cell r="K77">
            <v>10</v>
          </cell>
          <cell r="L77">
            <v>0</v>
          </cell>
          <cell r="O77">
            <v>36.901960784313729</v>
          </cell>
          <cell r="R77">
            <v>71.098039215686256</v>
          </cell>
          <cell r="U77">
            <v>2</v>
          </cell>
          <cell r="W77">
            <v>0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D78">
            <v>187</v>
          </cell>
          <cell r="E78">
            <v>17</v>
          </cell>
          <cell r="F78">
            <v>118</v>
          </cell>
          <cell r="G78">
            <v>0.33</v>
          </cell>
          <cell r="H78">
            <v>40</v>
          </cell>
          <cell r="I78" t="str">
            <v>матрица</v>
          </cell>
          <cell r="K78">
            <v>20</v>
          </cell>
          <cell r="L78">
            <v>-3</v>
          </cell>
          <cell r="O78">
            <v>19.78165938864629</v>
          </cell>
          <cell r="R78">
            <v>0</v>
          </cell>
          <cell r="U78">
            <v>3.4</v>
          </cell>
          <cell r="W78">
            <v>0</v>
          </cell>
        </row>
        <row r="79">
          <cell r="A79" t="str">
            <v xml:space="preserve"> 408  Ветчина Сливушка с индейкой ТМ Вязанка, 0,4кг  ПОКОМ</v>
          </cell>
          <cell r="B79" t="str">
            <v>шт</v>
          </cell>
          <cell r="D79">
            <v>177</v>
          </cell>
          <cell r="E79">
            <v>29</v>
          </cell>
          <cell r="F79">
            <v>65</v>
          </cell>
          <cell r="G79">
            <v>0.4</v>
          </cell>
          <cell r="H79">
            <v>55</v>
          </cell>
          <cell r="I79" t="str">
            <v>матрица</v>
          </cell>
          <cell r="K79">
            <v>30</v>
          </cell>
          <cell r="L79">
            <v>-1</v>
          </cell>
          <cell r="O79">
            <v>0</v>
          </cell>
          <cell r="R79">
            <v>0</v>
          </cell>
          <cell r="U79">
            <v>5.8</v>
          </cell>
          <cell r="V79">
            <v>10</v>
          </cell>
          <cell r="W79">
            <v>10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6</v>
          </cell>
          <cell r="D80">
            <v>48</v>
          </cell>
          <cell r="E80">
            <v>12</v>
          </cell>
          <cell r="F80">
            <v>10</v>
          </cell>
          <cell r="G80">
            <v>0.35</v>
          </cell>
          <cell r="H80">
            <v>40</v>
          </cell>
          <cell r="I80" t="str">
            <v>НЕДОГРУЗ / матрица</v>
          </cell>
          <cell r="K80">
            <v>10</v>
          </cell>
          <cell r="L80">
            <v>2</v>
          </cell>
          <cell r="O80">
            <v>17</v>
          </cell>
          <cell r="R80">
            <v>26</v>
          </cell>
          <cell r="U80">
            <v>2.4</v>
          </cell>
          <cell r="W80">
            <v>0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19</v>
          </cell>
          <cell r="D81">
            <v>36</v>
          </cell>
          <cell r="E81">
            <v>14</v>
          </cell>
          <cell r="F81">
            <v>19</v>
          </cell>
          <cell r="G81">
            <v>0.35</v>
          </cell>
          <cell r="H81">
            <v>45</v>
          </cell>
          <cell r="I81" t="str">
            <v>НЕДОГРУЗ / матрица</v>
          </cell>
          <cell r="K81">
            <v>16</v>
          </cell>
          <cell r="L81">
            <v>-2</v>
          </cell>
          <cell r="O81">
            <v>15.74891774891775</v>
          </cell>
          <cell r="R81">
            <v>0</v>
          </cell>
          <cell r="U81">
            <v>2.8</v>
          </cell>
          <cell r="W81">
            <v>0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G82">
            <v>0</v>
          </cell>
          <cell r="I82" t="str">
            <v>матрица</v>
          </cell>
          <cell r="L82">
            <v>0</v>
          </cell>
          <cell r="R82">
            <v>0</v>
          </cell>
          <cell r="U82">
            <v>0</v>
          </cell>
          <cell r="W82">
            <v>0</v>
          </cell>
        </row>
        <row r="83">
          <cell r="A83" t="str">
            <v xml:space="preserve"> 433 Колбаса Стародворская со шпиком  в оболочке полиамид. ТМ Стародворье ВЕС ПОКОМ</v>
          </cell>
          <cell r="B83" t="str">
            <v>кг</v>
          </cell>
          <cell r="G83">
            <v>0</v>
          </cell>
          <cell r="I83" t="str">
            <v>матрица</v>
          </cell>
          <cell r="L83">
            <v>0</v>
          </cell>
          <cell r="R83">
            <v>0</v>
          </cell>
          <cell r="U83">
            <v>0</v>
          </cell>
          <cell r="W83">
            <v>0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B84" t="str">
            <v>кг</v>
          </cell>
          <cell r="G84">
            <v>0</v>
          </cell>
          <cell r="I84" t="str">
            <v>матрица</v>
          </cell>
          <cell r="L84">
            <v>0</v>
          </cell>
          <cell r="R84">
            <v>0</v>
          </cell>
          <cell r="U84">
            <v>0</v>
          </cell>
          <cell r="W84">
            <v>0</v>
          </cell>
        </row>
        <row r="85">
          <cell r="A85" t="str">
            <v xml:space="preserve"> 449  Колбаса Дугушка Стародворская ВЕС ТС Дугушка ПОКОМ</v>
          </cell>
          <cell r="B85" t="str">
            <v>кг</v>
          </cell>
          <cell r="C85">
            <v>34.832999999999998</v>
          </cell>
          <cell r="D85">
            <v>346.64499999999998</v>
          </cell>
          <cell r="E85">
            <v>37.723999999999997</v>
          </cell>
          <cell r="F85">
            <v>312.149</v>
          </cell>
          <cell r="G85">
            <v>1</v>
          </cell>
          <cell r="H85">
            <v>60</v>
          </cell>
          <cell r="I85" t="str">
            <v>матрица</v>
          </cell>
          <cell r="K85">
            <v>41.6</v>
          </cell>
          <cell r="L85">
            <v>-3.8760000000000048</v>
          </cell>
          <cell r="O85">
            <v>30.76575472513327</v>
          </cell>
          <cell r="R85">
            <v>0</v>
          </cell>
          <cell r="U85">
            <v>7.5447999999999995</v>
          </cell>
          <cell r="W85">
            <v>0</v>
          </cell>
        </row>
        <row r="86">
          <cell r="A86" t="str">
            <v xml:space="preserve"> 451 Сосиски Филейские ТМ Вязанка в оболочке целлофан 0,3 кг. ПОКОМ</v>
          </cell>
          <cell r="B86" t="str">
            <v>шт</v>
          </cell>
          <cell r="G86">
            <v>0</v>
          </cell>
          <cell r="I86" t="str">
            <v>матрица</v>
          </cell>
          <cell r="L86">
            <v>0</v>
          </cell>
          <cell r="R86">
            <v>0</v>
          </cell>
          <cell r="U86">
            <v>0</v>
          </cell>
          <cell r="W86">
            <v>0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B87" t="str">
            <v>кг</v>
          </cell>
          <cell r="C87">
            <v>473.935</v>
          </cell>
          <cell r="D87">
            <v>2700.2730000000001</v>
          </cell>
          <cell r="E87">
            <v>769.81200000000001</v>
          </cell>
          <cell r="F87">
            <v>1420.5409999999999</v>
          </cell>
          <cell r="G87">
            <v>1</v>
          </cell>
          <cell r="H87">
            <v>60</v>
          </cell>
          <cell r="I87" t="str">
            <v>матрица</v>
          </cell>
          <cell r="K87">
            <v>1197.5</v>
          </cell>
          <cell r="L87">
            <v>-427.68799999999999</v>
          </cell>
          <cell r="O87">
            <v>626.82223060072488</v>
          </cell>
          <cell r="R87">
            <v>1861.153369399276</v>
          </cell>
          <cell r="T87">
            <v>-390</v>
          </cell>
          <cell r="U87">
            <v>153.9624</v>
          </cell>
          <cell r="W87">
            <v>0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B88" t="str">
            <v>кг</v>
          </cell>
          <cell r="C88">
            <v>439.36</v>
          </cell>
          <cell r="D88">
            <v>3351.049</v>
          </cell>
          <cell r="E88">
            <v>722.87300000000005</v>
          </cell>
          <cell r="F88">
            <v>2103.846</v>
          </cell>
          <cell r="G88">
            <v>1</v>
          </cell>
          <cell r="H88">
            <v>60</v>
          </cell>
          <cell r="I88" t="str">
            <v>матрица</v>
          </cell>
          <cell r="K88">
            <v>724</v>
          </cell>
          <cell r="L88">
            <v>-1.1269999999999527</v>
          </cell>
          <cell r="O88">
            <v>874.98797665822281</v>
          </cell>
          <cell r="R88">
            <v>0</v>
          </cell>
          <cell r="T88">
            <v>-360</v>
          </cell>
          <cell r="U88">
            <v>144.5746</v>
          </cell>
          <cell r="W88">
            <v>0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B89" t="str">
            <v>кг</v>
          </cell>
          <cell r="C89">
            <v>1197.05</v>
          </cell>
          <cell r="D89">
            <v>2959.875</v>
          </cell>
          <cell r="E89">
            <v>1299.866</v>
          </cell>
          <cell r="F89">
            <v>1710.1859999999999</v>
          </cell>
          <cell r="G89">
            <v>1</v>
          </cell>
          <cell r="H89">
            <v>60</v>
          </cell>
          <cell r="I89" t="str">
            <v>матрица</v>
          </cell>
          <cell r="K89">
            <v>1307.5</v>
          </cell>
          <cell r="L89">
            <v>-7.6340000000000146</v>
          </cell>
          <cell r="O89">
            <v>132.45345231080921</v>
          </cell>
          <cell r="P89">
            <v>450</v>
          </cell>
          <cell r="Q89">
            <v>405</v>
          </cell>
          <cell r="R89">
            <v>1261.4407476891911</v>
          </cell>
          <cell r="S89">
            <v>450</v>
          </cell>
          <cell r="T89">
            <v>-300</v>
          </cell>
          <cell r="U89">
            <v>259.97320000000002</v>
          </cell>
          <cell r="W89">
            <v>0</v>
          </cell>
        </row>
        <row r="90">
          <cell r="A90" t="str">
            <v xml:space="preserve"> 460  Колбаса Стародворская Традиционная ВЕС ТМ Стародворье в оболочке полиамид. ПОКОМ</v>
          </cell>
          <cell r="B90" t="str">
            <v>кг</v>
          </cell>
          <cell r="G90">
            <v>0</v>
          </cell>
          <cell r="I90" t="str">
            <v>матрица</v>
          </cell>
          <cell r="L90">
            <v>0</v>
          </cell>
          <cell r="R90">
            <v>0</v>
          </cell>
          <cell r="U90">
            <v>0</v>
          </cell>
          <cell r="W90">
            <v>0</v>
          </cell>
        </row>
        <row r="91">
          <cell r="A91" t="str">
            <v xml:space="preserve"> 498  Колбаса Сочинка рубленая с сочным окороком 0,3кг ТМ Стародворье  ПОКОМ</v>
          </cell>
          <cell r="B91" t="str">
            <v>шт</v>
          </cell>
          <cell r="G91">
            <v>0.3</v>
          </cell>
          <cell r="H91">
            <v>40</v>
          </cell>
          <cell r="I91" t="str">
            <v>НЕДОГРУЗ / матрица</v>
          </cell>
          <cell r="L91">
            <v>0</v>
          </cell>
          <cell r="O91">
            <v>34</v>
          </cell>
          <cell r="R91">
            <v>13</v>
          </cell>
          <cell r="U91">
            <v>0</v>
          </cell>
          <cell r="V91">
            <v>10</v>
          </cell>
          <cell r="W91">
            <v>10</v>
          </cell>
        </row>
        <row r="92">
          <cell r="A92" t="str">
            <v xml:space="preserve"> 517  Сосиски С сыром ТМ Ядрена копоть 0,3кг  ПОКОМ</v>
          </cell>
          <cell r="B92" t="str">
            <v>шт</v>
          </cell>
          <cell r="G92">
            <v>0</v>
          </cell>
          <cell r="I92" t="str">
            <v>матрица</v>
          </cell>
          <cell r="L92">
            <v>0</v>
          </cell>
          <cell r="R92">
            <v>0</v>
          </cell>
          <cell r="U92">
            <v>0</v>
          </cell>
          <cell r="W92">
            <v>0</v>
          </cell>
        </row>
        <row r="93">
          <cell r="A93" t="str">
            <v xml:space="preserve"> 523  Колбаса Сальчичон нарезка 0,07кг ТМ Стародворье  ПОКОМ </v>
          </cell>
          <cell r="B93" t="str">
            <v>шт</v>
          </cell>
          <cell r="C93">
            <v>35</v>
          </cell>
          <cell r="D93">
            <v>18</v>
          </cell>
          <cell r="E93">
            <v>43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42</v>
          </cell>
          <cell r="L93">
            <v>1</v>
          </cell>
          <cell r="O93">
            <v>53.65625</v>
          </cell>
          <cell r="R93">
            <v>171.00687500000001</v>
          </cell>
          <cell r="U93">
            <v>8.6</v>
          </cell>
          <cell r="W93">
            <v>0</v>
          </cell>
        </row>
        <row r="94">
          <cell r="A94" t="str">
            <v xml:space="preserve"> 524  Колбаса Сервелат Ореховый нарезка 0,07кг ТМ Стародворье  ПОКОМ</v>
          </cell>
          <cell r="B94" t="str">
            <v>шт</v>
          </cell>
          <cell r="C94">
            <v>119</v>
          </cell>
          <cell r="D94">
            <v>1</v>
          </cell>
          <cell r="E94">
            <v>78</v>
          </cell>
          <cell r="F94">
            <v>41</v>
          </cell>
          <cell r="G94">
            <v>7.0000000000000007E-2</v>
          </cell>
          <cell r="H94">
            <v>90</v>
          </cell>
          <cell r="I94" t="str">
            <v>НЕДОГРУЗ / матрица</v>
          </cell>
          <cell r="K94">
            <v>77</v>
          </cell>
          <cell r="L94">
            <v>1</v>
          </cell>
          <cell r="O94">
            <v>57.720930232558139</v>
          </cell>
          <cell r="R94">
            <v>51.582790697674383</v>
          </cell>
          <cell r="U94">
            <v>15.6</v>
          </cell>
          <cell r="V94">
            <v>21.296279069767472</v>
          </cell>
          <cell r="W94">
            <v>21.296279069767472</v>
          </cell>
        </row>
        <row r="95">
          <cell r="A95" t="str">
            <v xml:space="preserve"> 525  Колбаса Фуэт нарезка 0,07кг ТМ Стародворье  ПОКОМ</v>
          </cell>
          <cell r="B95" t="str">
            <v>шт</v>
          </cell>
          <cell r="C95">
            <v>98</v>
          </cell>
          <cell r="D95">
            <v>144</v>
          </cell>
          <cell r="E95">
            <v>62</v>
          </cell>
          <cell r="F95">
            <v>111</v>
          </cell>
          <cell r="G95">
            <v>7.0000000000000007E-2</v>
          </cell>
          <cell r="H95">
            <v>90</v>
          </cell>
          <cell r="I95" t="str">
            <v>НЕДОГРУЗ / матрица</v>
          </cell>
          <cell r="K95">
            <v>55</v>
          </cell>
          <cell r="L95">
            <v>7</v>
          </cell>
          <cell r="O95">
            <v>56.718894009216591</v>
          </cell>
          <cell r="R95">
            <v>0</v>
          </cell>
          <cell r="U95">
            <v>12.4</v>
          </cell>
          <cell r="W95">
            <v>0</v>
          </cell>
        </row>
        <row r="96">
          <cell r="A96" t="str">
            <v xml:space="preserve"> 544  Сосиски Мясные для гриля ТС Ядрена копоть 0,3 кг  ПОКОМ</v>
          </cell>
          <cell r="B96" t="str">
            <v>шт</v>
          </cell>
          <cell r="D96">
            <v>144</v>
          </cell>
          <cell r="E96">
            <v>40</v>
          </cell>
          <cell r="F96">
            <v>31</v>
          </cell>
          <cell r="G96">
            <v>0.3</v>
          </cell>
          <cell r="I96" t="str">
            <v>матрица</v>
          </cell>
          <cell r="K96">
            <v>45</v>
          </cell>
          <cell r="L96">
            <v>-5</v>
          </cell>
          <cell r="O96">
            <v>0</v>
          </cell>
          <cell r="R96">
            <v>0</v>
          </cell>
          <cell r="U96">
            <v>8</v>
          </cell>
          <cell r="V96">
            <v>57</v>
          </cell>
          <cell r="W96">
            <v>57</v>
          </cell>
        </row>
        <row r="97">
          <cell r="A97" t="str">
            <v xml:space="preserve"> 547  Колбаса Мясная Классическая ТМ Вязанка в оболочке полиамид. ВЕС  ПОКОМ</v>
          </cell>
          <cell r="B97" t="str">
            <v>кг</v>
          </cell>
          <cell r="D97">
            <v>24.245000000000001</v>
          </cell>
          <cell r="F97">
            <v>11.885</v>
          </cell>
          <cell r="G97">
            <v>1</v>
          </cell>
          <cell r="H97">
            <v>55</v>
          </cell>
          <cell r="I97" t="str">
            <v>НЕДОГРУЗ / матрица</v>
          </cell>
          <cell r="L97">
            <v>0</v>
          </cell>
          <cell r="O97">
            <v>4</v>
          </cell>
          <cell r="R97">
            <v>5.2</v>
          </cell>
          <cell r="U97">
            <v>0</v>
          </cell>
          <cell r="W97">
            <v>0</v>
          </cell>
        </row>
        <row r="98">
          <cell r="A98" t="str">
            <v xml:space="preserve"> 551  Колбаса Сливушка ТМ Вязанка в модифицированной газовой среде 0,11 кг нарезка  ПОКОМ</v>
          </cell>
          <cell r="B98" t="str">
            <v>шт</v>
          </cell>
          <cell r="C98">
            <v>51</v>
          </cell>
          <cell r="D98">
            <v>108</v>
          </cell>
          <cell r="E98">
            <v>50</v>
          </cell>
          <cell r="F98">
            <v>43</v>
          </cell>
          <cell r="G98">
            <v>0</v>
          </cell>
          <cell r="H98">
            <v>30</v>
          </cell>
          <cell r="I98" t="str">
            <v>матрица</v>
          </cell>
          <cell r="K98">
            <v>87</v>
          </cell>
          <cell r="L98">
            <v>-37</v>
          </cell>
          <cell r="O98">
            <v>0</v>
          </cell>
          <cell r="R98">
            <v>0</v>
          </cell>
          <cell r="U98">
            <v>10</v>
          </cell>
          <cell r="V98">
            <v>67</v>
          </cell>
          <cell r="W98">
            <v>0</v>
          </cell>
          <cell r="X98">
            <v>0</v>
          </cell>
        </row>
        <row r="99">
          <cell r="A99" t="str">
            <v xml:space="preserve"> 552  Ветчина Сливушка с индейкой ТМ Вязанка в модифицированной газовой среде 0,1 кг нарезка  ПОКОМ</v>
          </cell>
          <cell r="B99" t="str">
            <v>шт</v>
          </cell>
          <cell r="G99">
            <v>0</v>
          </cell>
          <cell r="I99" t="str">
            <v>матрица</v>
          </cell>
          <cell r="L99">
            <v>0</v>
          </cell>
          <cell r="R99">
            <v>0</v>
          </cell>
          <cell r="U99">
            <v>0</v>
          </cell>
          <cell r="W99">
            <v>0</v>
          </cell>
        </row>
        <row r="100">
          <cell r="A100" t="str">
            <v xml:space="preserve"> 553  Ассорти колбас Мясорубская коллекция: Сервелат Делюкс, С балыком 0,08 кг нарезка  ПОКОМ</v>
          </cell>
          <cell r="B100" t="str">
            <v>шт</v>
          </cell>
          <cell r="C100">
            <v>19</v>
          </cell>
          <cell r="D100">
            <v>201</v>
          </cell>
          <cell r="E100">
            <v>57</v>
          </cell>
          <cell r="F100">
            <v>163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55</v>
          </cell>
          <cell r="L100">
            <v>2</v>
          </cell>
          <cell r="O100">
            <v>43.185948477751772</v>
          </cell>
          <cell r="R100">
            <v>0</v>
          </cell>
          <cell r="U100">
            <v>11.4</v>
          </cell>
          <cell r="W100">
            <v>0</v>
          </cell>
        </row>
        <row r="101">
          <cell r="A101" t="str">
            <v xml:space="preserve"> 554  Колбаса Сервелат Мясорубский ТМ Стародворье в упаковке скин 0,08 кг нарезка  ПОКОМ</v>
          </cell>
          <cell r="B101" t="str">
            <v>шт</v>
          </cell>
          <cell r="C101">
            <v>77</v>
          </cell>
          <cell r="D101">
            <v>131</v>
          </cell>
          <cell r="E101">
            <v>53</v>
          </cell>
          <cell r="F101">
            <v>70</v>
          </cell>
          <cell r="G101">
            <v>0.08</v>
          </cell>
          <cell r="H101">
            <v>45</v>
          </cell>
          <cell r="I101" t="str">
            <v>матрица</v>
          </cell>
          <cell r="K101">
            <v>47</v>
          </cell>
          <cell r="L101">
            <v>6</v>
          </cell>
          <cell r="O101">
            <v>24.97568389057751</v>
          </cell>
          <cell r="R101">
            <v>25.224316109422482</v>
          </cell>
          <cell r="U101">
            <v>10.6</v>
          </cell>
          <cell r="W101">
            <v>0</v>
          </cell>
        </row>
        <row r="102">
          <cell r="A102" t="str">
            <v xml:space="preserve"> 555  Колбаса Молокуша ТМ Вязанка в модифицированной газовой среде 0,17 кг нарезка  ПОКОМ</v>
          </cell>
          <cell r="B102" t="str">
            <v>шт</v>
          </cell>
          <cell r="D102">
            <v>32</v>
          </cell>
          <cell r="F102">
            <v>32</v>
          </cell>
          <cell r="G102">
            <v>0.17</v>
          </cell>
          <cell r="H102">
            <v>30</v>
          </cell>
          <cell r="I102" t="str">
            <v>матрица</v>
          </cell>
          <cell r="L102">
            <v>0</v>
          </cell>
          <cell r="O102">
            <v>0</v>
          </cell>
          <cell r="R102">
            <v>0</v>
          </cell>
          <cell r="U102">
            <v>0</v>
          </cell>
          <cell r="W102">
            <v>0</v>
          </cell>
        </row>
        <row r="103">
          <cell r="A103" t="str">
            <v xml:space="preserve"> 556  Колбаса Сервелат Ореховый ТМ Вязанка в оболочке фиброуз в вакуумной упаковке, ВЕС  ПОКОМ</v>
          </cell>
          <cell r="B103" t="str">
            <v>кг</v>
          </cell>
          <cell r="C103">
            <v>4.0000000000000001E-3</v>
          </cell>
          <cell r="D103">
            <v>101.875</v>
          </cell>
          <cell r="E103">
            <v>101.179</v>
          </cell>
          <cell r="F103">
            <v>-0.72399999999999998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126.8</v>
          </cell>
          <cell r="L103">
            <v>-25.620999999999995</v>
          </cell>
          <cell r="O103">
            <v>61.237747397578516</v>
          </cell>
          <cell r="R103">
            <v>156</v>
          </cell>
          <cell r="U103">
            <v>20.235800000000001</v>
          </cell>
          <cell r="V103">
            <v>25</v>
          </cell>
          <cell r="W103">
            <v>250</v>
          </cell>
          <cell r="X103">
            <v>250</v>
          </cell>
        </row>
        <row r="104">
          <cell r="A104" t="str">
            <v xml:space="preserve"> 557  Колбаса Сервелат Финский ТМ Вязанка в оболочке фиброуз в вакуумной упаковке, ВЕС  ПОКОМ</v>
          </cell>
          <cell r="B104" t="str">
            <v>кг</v>
          </cell>
          <cell r="C104">
            <v>-2.4E-2</v>
          </cell>
          <cell r="D104">
            <v>252.357</v>
          </cell>
          <cell r="E104">
            <v>-0.73699999999999999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13.8</v>
          </cell>
          <cell r="L104">
            <v>-14.537000000000001</v>
          </cell>
          <cell r="O104">
            <v>57.042986938794677</v>
          </cell>
          <cell r="R104">
            <v>91</v>
          </cell>
          <cell r="U104">
            <v>-0.1474</v>
          </cell>
          <cell r="W104">
            <v>250</v>
          </cell>
          <cell r="X104">
            <v>250</v>
          </cell>
        </row>
        <row r="105">
          <cell r="A105" t="str">
            <v xml:space="preserve"> 558  Колбаса Балыковая НОВАЯ ВЕС Вязанка фиброуз в/у ПОКОМ</v>
          </cell>
          <cell r="B105" t="str">
            <v>кг</v>
          </cell>
          <cell r="E105">
            <v>-0.72</v>
          </cell>
          <cell r="G105">
            <v>1</v>
          </cell>
          <cell r="H105">
            <v>40</v>
          </cell>
          <cell r="I105" t="str">
            <v>НЕДОГРУЗ / матрица</v>
          </cell>
          <cell r="K105">
            <v>8.8000000000000007</v>
          </cell>
          <cell r="L105">
            <v>-9.5200000000000014</v>
          </cell>
          <cell r="O105">
            <v>56.175616647149567</v>
          </cell>
          <cell r="R105">
            <v>39</v>
          </cell>
          <cell r="U105">
            <v>-0.14399999999999999</v>
          </cell>
          <cell r="W105">
            <v>250</v>
          </cell>
          <cell r="X105">
            <v>250</v>
          </cell>
        </row>
        <row r="106">
          <cell r="A106" t="str">
            <v xml:space="preserve"> 564  Сосиски Сочные 0,3 кг ТМ Вязанка  ПОКОМ</v>
          </cell>
          <cell r="B106" t="str">
            <v>шт</v>
          </cell>
          <cell r="G106">
            <v>0</v>
          </cell>
          <cell r="I106" t="str">
            <v>матрица</v>
          </cell>
          <cell r="L106">
            <v>0</v>
          </cell>
          <cell r="R106">
            <v>0</v>
          </cell>
          <cell r="U106">
            <v>0</v>
          </cell>
          <cell r="W106">
            <v>0</v>
          </cell>
        </row>
        <row r="107">
          <cell r="A107" t="str">
            <v xml:space="preserve"> 567 Колбаса Со шпиком Стародворская ТМ Стародворье в оболочке полиамид ВЕС  ПОКОМ</v>
          </cell>
          <cell r="B107" t="str">
            <v>кг</v>
          </cell>
          <cell r="G107">
            <v>0</v>
          </cell>
          <cell r="I107" t="str">
            <v>матрица</v>
          </cell>
          <cell r="L107">
            <v>0</v>
          </cell>
          <cell r="R107">
            <v>0</v>
          </cell>
          <cell r="U107">
            <v>0</v>
          </cell>
          <cell r="W107">
            <v>0</v>
          </cell>
        </row>
        <row r="108">
          <cell r="A108" t="str">
            <v xml:space="preserve"> 569  Колбаса Балыковая ТМ Вязанка в оболочке фиброуз в вакуумной упаковке 0,28 кг срез.  ПОКОМ</v>
          </cell>
          <cell r="B108" t="str">
            <v>шт</v>
          </cell>
          <cell r="C108">
            <v>-3</v>
          </cell>
          <cell r="D108">
            <v>5</v>
          </cell>
          <cell r="E108">
            <v>-1</v>
          </cell>
          <cell r="G108">
            <v>0.28000000000000003</v>
          </cell>
          <cell r="H108">
            <v>40</v>
          </cell>
          <cell r="I108" t="str">
            <v>НЕДОГРУЗ / матрица</v>
          </cell>
          <cell r="K108">
            <v>44</v>
          </cell>
          <cell r="L108">
            <v>-45</v>
          </cell>
          <cell r="O108">
            <v>61.394285714285722</v>
          </cell>
          <cell r="R108">
            <v>104</v>
          </cell>
          <cell r="U108">
            <v>-0.2</v>
          </cell>
          <cell r="W108">
            <v>250</v>
          </cell>
          <cell r="X108">
            <v>250</v>
          </cell>
        </row>
        <row r="109">
          <cell r="A109" t="str">
            <v xml:space="preserve"> 570  Колбаса Сервелат Финский ТМ Вязанка в оболочке фиброуз в вак. упаковке 0,28 кг срез  ПОКОМ</v>
          </cell>
          <cell r="B109" t="str">
            <v>шт</v>
          </cell>
          <cell r="C109">
            <v>81</v>
          </cell>
          <cell r="D109">
            <v>457</v>
          </cell>
          <cell r="E109">
            <v>231</v>
          </cell>
          <cell r="F109">
            <v>6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225</v>
          </cell>
          <cell r="L109">
            <v>6</v>
          </cell>
          <cell r="O109">
            <v>0</v>
          </cell>
          <cell r="R109">
            <v>524.42000000000007</v>
          </cell>
          <cell r="U109">
            <v>46.2</v>
          </cell>
          <cell r="W109">
            <v>0</v>
          </cell>
        </row>
        <row r="110">
          <cell r="A110" t="str">
            <v xml:space="preserve"> 571  Колбаса Сервелат Ореховый ТМ Вязанка в оболочке фиброуз в вак. упаковке 0,28 кг срез  ПОКОМ</v>
          </cell>
          <cell r="B110" t="str">
            <v>шт</v>
          </cell>
          <cell r="D110">
            <v>176</v>
          </cell>
          <cell r="E110">
            <v>141</v>
          </cell>
          <cell r="F110">
            <v>7</v>
          </cell>
          <cell r="G110">
            <v>0.28000000000000003</v>
          </cell>
          <cell r="H110">
            <v>40</v>
          </cell>
          <cell r="I110" t="str">
            <v>НЕДОГРУЗ / матрица</v>
          </cell>
          <cell r="K110">
            <v>171</v>
          </cell>
          <cell r="L110">
            <v>-30</v>
          </cell>
          <cell r="O110">
            <v>31.38461538461538</v>
          </cell>
          <cell r="R110">
            <v>91</v>
          </cell>
          <cell r="U110">
            <v>28.2</v>
          </cell>
          <cell r="V110">
            <v>180.8153846153846</v>
          </cell>
          <cell r="W110">
            <v>250</v>
          </cell>
          <cell r="X110">
            <v>250</v>
          </cell>
        </row>
        <row r="111">
          <cell r="A111" t="str">
            <v xml:space="preserve"> 574  Колбаса Сервелат Финский ТМ Вязанка в упаковке скин 0,09 кг нарезка  ПОКОМ</v>
          </cell>
          <cell r="B111" t="str">
            <v>шт</v>
          </cell>
          <cell r="D111">
            <v>40</v>
          </cell>
          <cell r="E111">
            <v>34</v>
          </cell>
          <cell r="F111">
            <v>10</v>
          </cell>
          <cell r="G111">
            <v>0.09</v>
          </cell>
          <cell r="H111">
            <v>45</v>
          </cell>
          <cell r="I111" t="str">
            <v>матрица</v>
          </cell>
          <cell r="K111">
            <v>31</v>
          </cell>
          <cell r="L111">
            <v>3</v>
          </cell>
          <cell r="O111">
            <v>40.033472803347252</v>
          </cell>
          <cell r="R111">
            <v>14.96652719665275</v>
          </cell>
          <cell r="U111">
            <v>6.8</v>
          </cell>
          <cell r="V111">
            <v>9.7999999999999972</v>
          </cell>
          <cell r="W111">
            <v>9.7999999999999972</v>
          </cell>
        </row>
        <row r="112">
          <cell r="A112" t="str">
            <v xml:space="preserve"> 579  Колбаса Ветчинно-рубленая ТМ Особый рецепт в оболочке полиамид.ВЕС  ПОКОМ</v>
          </cell>
          <cell r="B112" t="str">
            <v>кг</v>
          </cell>
          <cell r="C112">
            <v>22.446000000000002</v>
          </cell>
          <cell r="D112">
            <v>110.504</v>
          </cell>
          <cell r="E112">
            <v>79.486999999999995</v>
          </cell>
          <cell r="F112">
            <v>12.715</v>
          </cell>
          <cell r="G112">
            <v>1</v>
          </cell>
          <cell r="H112">
            <v>60</v>
          </cell>
          <cell r="I112" t="str">
            <v>матрица</v>
          </cell>
          <cell r="K112">
            <v>77.5</v>
          </cell>
          <cell r="L112">
            <v>1.9869999999999948</v>
          </cell>
          <cell r="O112">
            <v>0</v>
          </cell>
          <cell r="R112">
            <v>57.112000000000023</v>
          </cell>
          <cell r="U112">
            <v>15.897399999999999</v>
          </cell>
          <cell r="V112">
            <v>105.04439999999997</v>
          </cell>
          <cell r="W112">
            <v>105.04439999999997</v>
          </cell>
        </row>
        <row r="113">
          <cell r="A113" t="str">
            <v xml:space="preserve"> 580  Ветчина Нежная с индейкой ТМ Особый рецепт в оболочке полиамид.ВЕС  ПОКОМ</v>
          </cell>
          <cell r="B113" t="str">
            <v>кг</v>
          </cell>
          <cell r="D113">
            <v>209.26400000000001</v>
          </cell>
          <cell r="E113">
            <v>62.323</v>
          </cell>
          <cell r="F113">
            <v>74.664000000000001</v>
          </cell>
          <cell r="G113">
            <v>1</v>
          </cell>
          <cell r="H113">
            <v>50</v>
          </cell>
          <cell r="I113" t="str">
            <v>матрица</v>
          </cell>
          <cell r="K113">
            <v>62.5</v>
          </cell>
          <cell r="L113">
            <v>-0.1769999999999996</v>
          </cell>
          <cell r="O113">
            <v>0</v>
          </cell>
          <cell r="R113">
            <v>0</v>
          </cell>
          <cell r="U113">
            <v>12.464600000000001</v>
          </cell>
          <cell r="V113">
            <v>62.446600000000004</v>
          </cell>
          <cell r="W113">
            <v>62.446600000000004</v>
          </cell>
        </row>
        <row r="114">
          <cell r="A114" t="str">
            <v xml:space="preserve"> 583  Колбаса Балыковая ТМ Вязанка в упаковке скин 0,09 кг нарезка  ПОКОМ</v>
          </cell>
          <cell r="B114" t="str">
            <v>шт</v>
          </cell>
          <cell r="C114">
            <v>29</v>
          </cell>
          <cell r="D114">
            <v>32</v>
          </cell>
          <cell r="E114">
            <v>28</v>
          </cell>
          <cell r="F114">
            <v>29</v>
          </cell>
          <cell r="G114">
            <v>0.09</v>
          </cell>
          <cell r="H114">
            <v>45</v>
          </cell>
          <cell r="I114" t="str">
            <v>матрица</v>
          </cell>
          <cell r="K114">
            <v>39</v>
          </cell>
          <cell r="L114">
            <v>-11</v>
          </cell>
          <cell r="O114">
            <v>106.5606382978724</v>
          </cell>
          <cell r="R114">
            <v>10</v>
          </cell>
          <cell r="U114">
            <v>5.6</v>
          </cell>
          <cell r="W114">
            <v>0</v>
          </cell>
        </row>
        <row r="115">
          <cell r="A115" t="str">
            <v xml:space="preserve"> 584  Колбаса Сервелат Ореховый ТМ Вязанка в упаковке скин 0,09 кг нарезка  ПОКОМ</v>
          </cell>
          <cell r="B115" t="str">
            <v>шт</v>
          </cell>
          <cell r="C115">
            <v>47</v>
          </cell>
          <cell r="D115">
            <v>3</v>
          </cell>
          <cell r="E115">
            <v>47</v>
          </cell>
          <cell r="F115">
            <v>-1</v>
          </cell>
          <cell r="G115">
            <v>0.09</v>
          </cell>
          <cell r="H115">
            <v>45</v>
          </cell>
          <cell r="I115" t="str">
            <v>матрица</v>
          </cell>
          <cell r="K115">
            <v>42</v>
          </cell>
          <cell r="L115">
            <v>5</v>
          </cell>
          <cell r="O115">
            <v>57.46829268292683</v>
          </cell>
          <cell r="R115">
            <v>48.931707317073183</v>
          </cell>
          <cell r="U115">
            <v>9.4</v>
          </cell>
          <cell r="W115">
            <v>0</v>
          </cell>
        </row>
        <row r="116">
          <cell r="A116" t="str">
            <v xml:space="preserve"> 585  Колбаса Молочная ТМ Стародворье в оболочке вектор НД ВЕС.  ПОКОМ</v>
          </cell>
          <cell r="B116" t="str">
            <v>кг</v>
          </cell>
          <cell r="C116">
            <v>56.688000000000002</v>
          </cell>
          <cell r="D116">
            <v>59.113</v>
          </cell>
          <cell r="E116">
            <v>64.638999999999996</v>
          </cell>
          <cell r="F116">
            <v>49.704999999999998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59.2</v>
          </cell>
          <cell r="L116">
            <v>5.438999999999993</v>
          </cell>
          <cell r="O116">
            <v>50.296173455809154</v>
          </cell>
          <cell r="R116">
            <v>50.464426544190857</v>
          </cell>
          <cell r="U116">
            <v>12.9278</v>
          </cell>
          <cell r="W116">
            <v>0</v>
          </cell>
        </row>
        <row r="117">
          <cell r="A117" t="str">
            <v xml:space="preserve"> 586  Колбаса Мясная ТМ Стародворье в оболочке вектор НД ВЕС.  ПОКОМ</v>
          </cell>
          <cell r="B117" t="str">
            <v>кг</v>
          </cell>
          <cell r="C117">
            <v>44.167000000000002</v>
          </cell>
          <cell r="D117">
            <v>453.15199999999999</v>
          </cell>
          <cell r="E117">
            <v>112.8</v>
          </cell>
          <cell r="F117">
            <v>213.15799999999999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106.4</v>
          </cell>
          <cell r="L117">
            <v>6.3999999999999915</v>
          </cell>
          <cell r="O117">
            <v>0</v>
          </cell>
          <cell r="R117">
            <v>0</v>
          </cell>
          <cell r="U117">
            <v>22.56</v>
          </cell>
          <cell r="V117">
            <v>35.00200000000001</v>
          </cell>
          <cell r="W117">
            <v>35.00200000000001</v>
          </cell>
        </row>
        <row r="118">
          <cell r="A118" t="str">
            <v xml:space="preserve"> 588 Колбаса Со шпиком ТМ Стародворье в оболочке вектор ВЕС  ПОКОМ</v>
          </cell>
          <cell r="B118" t="str">
            <v>кг</v>
          </cell>
          <cell r="C118">
            <v>16.52</v>
          </cell>
          <cell r="D118">
            <v>109.107</v>
          </cell>
          <cell r="E118">
            <v>23.395</v>
          </cell>
          <cell r="F118">
            <v>69.727000000000004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22.2</v>
          </cell>
          <cell r="L118">
            <v>1.1950000000000003</v>
          </cell>
          <cell r="O118">
            <v>0</v>
          </cell>
          <cell r="R118">
            <v>0</v>
          </cell>
          <cell r="U118">
            <v>4.6790000000000003</v>
          </cell>
          <cell r="W118">
            <v>0</v>
          </cell>
        </row>
        <row r="119">
          <cell r="A119" t="str">
            <v xml:space="preserve"> 597  Колбаса Классическая ТМ Особый рецепт в оболочке полиамид ВЕС. ПОКОМ</v>
          </cell>
          <cell r="B119" t="str">
            <v>кг</v>
          </cell>
          <cell r="C119">
            <v>1591.829</v>
          </cell>
          <cell r="D119">
            <v>514.22900000000004</v>
          </cell>
          <cell r="E119">
            <v>675.20899999999995</v>
          </cell>
          <cell r="F119">
            <v>202.53800000000001</v>
          </cell>
          <cell r="G119">
            <v>1</v>
          </cell>
          <cell r="H119">
            <v>60</v>
          </cell>
          <cell r="I119" t="str">
            <v>матрица</v>
          </cell>
          <cell r="K119">
            <v>665</v>
          </cell>
          <cell r="L119">
            <v>10.208999999999946</v>
          </cell>
          <cell r="O119">
            <v>0</v>
          </cell>
          <cell r="P119">
            <v>150</v>
          </cell>
          <cell r="R119">
            <v>1658.8091999999999</v>
          </cell>
          <cell r="U119">
            <v>135.04179999999999</v>
          </cell>
          <cell r="W119">
            <v>0</v>
          </cell>
        </row>
        <row r="120">
          <cell r="A120" t="str">
            <v xml:space="preserve"> 614  Буженина в пряном маринаде 0,25 кг консервы из мяса индейки ТМ Стародворье  ПОКОМ</v>
          </cell>
          <cell r="B120" t="str">
            <v>шт</v>
          </cell>
          <cell r="C120">
            <v>210</v>
          </cell>
          <cell r="D120">
            <v>468</v>
          </cell>
          <cell r="E120">
            <v>73</v>
          </cell>
          <cell r="F120">
            <v>391</v>
          </cell>
          <cell r="G120">
            <v>0.25</v>
          </cell>
          <cell r="H120">
            <v>1096</v>
          </cell>
          <cell r="I120" t="str">
            <v>матрица</v>
          </cell>
          <cell r="K120">
            <v>58</v>
          </cell>
          <cell r="L120">
            <v>15</v>
          </cell>
          <cell r="O120">
            <v>0</v>
          </cell>
          <cell r="R120">
            <v>0</v>
          </cell>
          <cell r="U120">
            <v>14.6</v>
          </cell>
          <cell r="W120">
            <v>0</v>
          </cell>
        </row>
        <row r="121">
          <cell r="A121" t="str">
            <v xml:space="preserve"> 615  Гречка по-купечески с говядиной и овощами 0,325кг ТМ Стародворье  ПОКОМ</v>
          </cell>
          <cell r="B121" t="str">
            <v>шт</v>
          </cell>
          <cell r="C121">
            <v>120</v>
          </cell>
          <cell r="D121">
            <v>108</v>
          </cell>
          <cell r="E121">
            <v>7</v>
          </cell>
          <cell r="F121">
            <v>223</v>
          </cell>
          <cell r="G121">
            <v>0.32500000000000001</v>
          </cell>
          <cell r="H121">
            <v>1096</v>
          </cell>
          <cell r="I121" t="str">
            <v>матрица</v>
          </cell>
          <cell r="K121">
            <v>8</v>
          </cell>
          <cell r="L121">
            <v>-1</v>
          </cell>
          <cell r="O121">
            <v>0</v>
          </cell>
          <cell r="R121">
            <v>0</v>
          </cell>
          <cell r="U121">
            <v>1.4</v>
          </cell>
          <cell r="W121">
            <v>0</v>
          </cell>
        </row>
        <row r="122">
          <cell r="A122" t="str">
            <v xml:space="preserve"> 616  Индейка томлёная в собственном соку 0,25кг ТМ Стародлворье Консервый из мяс.птицы  ПОКОМ</v>
          </cell>
          <cell r="B122" t="str">
            <v>шт</v>
          </cell>
          <cell r="C122">
            <v>144</v>
          </cell>
          <cell r="D122">
            <v>708</v>
          </cell>
          <cell r="E122">
            <v>66</v>
          </cell>
          <cell r="F122">
            <v>680</v>
          </cell>
          <cell r="G122">
            <v>0.25</v>
          </cell>
          <cell r="H122">
            <v>1096</v>
          </cell>
          <cell r="I122" t="str">
            <v>матрица</v>
          </cell>
          <cell r="K122">
            <v>62</v>
          </cell>
          <cell r="L122">
            <v>4</v>
          </cell>
          <cell r="O122">
            <v>0</v>
          </cell>
          <cell r="R122">
            <v>0</v>
          </cell>
          <cell r="U122">
            <v>13.2</v>
          </cell>
          <cell r="W122">
            <v>0</v>
          </cell>
        </row>
        <row r="123">
          <cell r="A123" t="str">
            <v xml:space="preserve"> 633  Колбаса Мясная Классическая ТМ Вязанка в оболочке полиамид УМВ.ВЕС.  ПОКОМ</v>
          </cell>
          <cell r="B123" t="str">
            <v>кг</v>
          </cell>
          <cell r="D123">
            <v>11.885</v>
          </cell>
          <cell r="F123">
            <v>11.885</v>
          </cell>
          <cell r="G123">
            <v>0</v>
          </cell>
          <cell r="I123" t="str">
            <v>дубль</v>
          </cell>
          <cell r="J123" t="str">
            <v xml:space="preserve"> 547  Колбаса Мясная Классическая ТМ Вязанка в оболочке полиамид. ВЕС  ПОКОМ</v>
          </cell>
          <cell r="L123">
            <v>0</v>
          </cell>
          <cell r="U123">
            <v>0</v>
          </cell>
          <cell r="W123">
            <v>0</v>
          </cell>
        </row>
        <row r="124">
          <cell r="A124" t="str">
            <v>495  Колбаса Сочинка по-европейски с сочной грудинкой 0,3кг ТМ Стародворье  ПОКОМ</v>
          </cell>
          <cell r="B124" t="str">
            <v>шт</v>
          </cell>
          <cell r="E124">
            <v>-1</v>
          </cell>
          <cell r="G124">
            <v>0.3</v>
          </cell>
          <cell r="H124">
            <v>40</v>
          </cell>
          <cell r="I124" t="str">
            <v>НЕДОГРУЗ / матрица</v>
          </cell>
          <cell r="K124">
            <v>3</v>
          </cell>
          <cell r="L124">
            <v>-4</v>
          </cell>
          <cell r="O124">
            <v>81.667774086378742</v>
          </cell>
          <cell r="R124">
            <v>26</v>
          </cell>
          <cell r="U124">
            <v>-0.2</v>
          </cell>
          <cell r="W124">
            <v>0</v>
          </cell>
        </row>
        <row r="125">
          <cell r="A125" t="str">
            <v>496  Колбаса Сочинка по-фински с сочным окроком 0,3кг ТМ Стародворье  ПОКОМ</v>
          </cell>
          <cell r="B125" t="str">
            <v>шт</v>
          </cell>
          <cell r="G125">
            <v>0.3</v>
          </cell>
          <cell r="H125">
            <v>40</v>
          </cell>
          <cell r="I125" t="str">
            <v>НЕДОГРУЗ / матрица</v>
          </cell>
          <cell r="K125">
            <v>3</v>
          </cell>
          <cell r="L125">
            <v>-3</v>
          </cell>
          <cell r="O125">
            <v>66.827586206896541</v>
          </cell>
          <cell r="R125">
            <v>26</v>
          </cell>
          <cell r="U125">
            <v>0</v>
          </cell>
          <cell r="W125">
            <v>0</v>
          </cell>
        </row>
        <row r="126">
          <cell r="A126" t="str">
            <v>503 Колбаса Филейская со шпиком ТМ Вязанка в оболочке полиамид.ПОКОМ</v>
          </cell>
          <cell r="B126" t="str">
            <v>кг</v>
          </cell>
          <cell r="C126">
            <v>5.15</v>
          </cell>
          <cell r="D126">
            <v>43.546999999999997</v>
          </cell>
          <cell r="E126">
            <v>7.0869999999999997</v>
          </cell>
          <cell r="F126">
            <v>39.341999999999999</v>
          </cell>
          <cell r="G126">
            <v>1</v>
          </cell>
          <cell r="H126">
            <v>50</v>
          </cell>
          <cell r="I126" t="str">
            <v>матрица</v>
          </cell>
          <cell r="K126">
            <v>9.1999999999999993</v>
          </cell>
          <cell r="L126">
            <v>-2.1129999999999995</v>
          </cell>
          <cell r="O126">
            <v>0</v>
          </cell>
          <cell r="R126">
            <v>0</v>
          </cell>
          <cell r="U126">
            <v>1.4174</v>
          </cell>
          <cell r="W126">
            <v>0</v>
          </cell>
        </row>
        <row r="127">
          <cell r="A127" t="str">
            <v>515  Колбаса Сервелат Мясорубский Делюкс 0,3кг ТМ Стародворье  ПОКОМ</v>
          </cell>
          <cell r="B127" t="str">
            <v>шт</v>
          </cell>
          <cell r="G127">
            <v>0.3</v>
          </cell>
          <cell r="H127">
            <v>40</v>
          </cell>
          <cell r="I127" t="str">
            <v>НЕДОГРУЗ / матрица</v>
          </cell>
          <cell r="K127">
            <v>3</v>
          </cell>
          <cell r="L127">
            <v>-3</v>
          </cell>
          <cell r="O127">
            <v>43</v>
          </cell>
          <cell r="R127">
            <v>13</v>
          </cell>
          <cell r="U127">
            <v>0</v>
          </cell>
          <cell r="W127">
            <v>0</v>
          </cell>
        </row>
        <row r="128">
          <cell r="A128" t="str">
            <v>519  Грудинка 0,12 кг нарезка ТМ Стародворье  ПОКОМ</v>
          </cell>
          <cell r="B128" t="str">
            <v>шт</v>
          </cell>
          <cell r="C128">
            <v>18</v>
          </cell>
          <cell r="D128">
            <v>76</v>
          </cell>
          <cell r="E128">
            <v>50</v>
          </cell>
          <cell r="F128">
            <v>12</v>
          </cell>
          <cell r="G128">
            <v>0.12</v>
          </cell>
          <cell r="H128">
            <v>45</v>
          </cell>
          <cell r="I128" t="str">
            <v>НЕДОГРУЗ / матрица</v>
          </cell>
          <cell r="K128">
            <v>44</v>
          </cell>
          <cell r="L128">
            <v>6</v>
          </cell>
          <cell r="O128">
            <v>38.333333333333343</v>
          </cell>
          <cell r="R128">
            <v>57.286666666666648</v>
          </cell>
          <cell r="U128">
            <v>10</v>
          </cell>
          <cell r="V128">
            <v>10</v>
          </cell>
          <cell r="W128">
            <v>10</v>
          </cell>
        </row>
        <row r="129">
          <cell r="A129" t="str">
            <v>БОНУС_ 334  Паштет Любительский ТМ Стародворье ламистер 0,1 кг  ПОКОМ</v>
          </cell>
          <cell r="B129" t="str">
            <v>шт</v>
          </cell>
          <cell r="C129">
            <v>-16</v>
          </cell>
          <cell r="D129">
            <v>70</v>
          </cell>
          <cell r="E129">
            <v>37</v>
          </cell>
          <cell r="F129">
            <v>12</v>
          </cell>
          <cell r="G129">
            <v>0</v>
          </cell>
          <cell r="I129" t="str">
            <v>бонус</v>
          </cell>
          <cell r="J129" t="str">
            <v xml:space="preserve"> 334  Паштет Любительский ТМ Стародворье ламистер 0,1 кг  ПОКОМ</v>
          </cell>
          <cell r="K129">
            <v>37</v>
          </cell>
          <cell r="L129">
            <v>0</v>
          </cell>
          <cell r="R129">
            <v>0</v>
          </cell>
          <cell r="U129">
            <v>7.4</v>
          </cell>
          <cell r="W12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O5" sqref="AO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8.42578125" customWidth="1"/>
    <col min="10" max="10" width="1" customWidth="1"/>
    <col min="11" max="12" width="7" customWidth="1"/>
    <col min="13" max="14" width="0.28515625" customWidth="1"/>
    <col min="15" max="15" width="7" customWidth="1"/>
    <col min="16" max="16" width="7" style="17" customWidth="1"/>
    <col min="17" max="19" width="7" customWidth="1"/>
    <col min="20" max="20" width="7" style="20" customWidth="1"/>
    <col min="21" max="24" width="7" customWidth="1"/>
    <col min="25" max="25" width="7" style="17" customWidth="1"/>
    <col min="26" max="27" width="5" customWidth="1"/>
    <col min="28" max="37" width="6" customWidth="1"/>
    <col min="38" max="38" width="7.7109375" customWidth="1"/>
    <col min="39" max="39" width="7" customWidth="1"/>
  </cols>
  <sheetData>
    <row r="1" spans="1:41" x14ac:dyDescent="0.25">
      <c r="A1" s="16"/>
      <c r="B1" s="16"/>
      <c r="C1" s="16"/>
      <c r="D1" s="16"/>
      <c r="E1" s="16"/>
      <c r="F1" s="16"/>
      <c r="G1" s="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</row>
    <row r="2" spans="1:41" x14ac:dyDescent="0.25">
      <c r="A2" s="16"/>
      <c r="B2" s="16"/>
      <c r="C2" s="16"/>
      <c r="D2" s="16"/>
      <c r="E2" s="16"/>
      <c r="F2" s="16"/>
      <c r="G2" s="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</row>
    <row r="3" spans="1:4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14</v>
      </c>
      <c r="U3" s="1" t="s">
        <v>14</v>
      </c>
      <c r="V3" s="1" t="s">
        <v>15</v>
      </c>
      <c r="W3" s="2" t="s">
        <v>16</v>
      </c>
      <c r="X3" s="2" t="s">
        <v>17</v>
      </c>
      <c r="Y3" s="18" t="s">
        <v>18</v>
      </c>
      <c r="Z3" s="1" t="s">
        <v>19</v>
      </c>
      <c r="AA3" s="1" t="s">
        <v>20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21</v>
      </c>
      <c r="AI3" s="1" t="s">
        <v>21</v>
      </c>
      <c r="AJ3" s="1" t="s">
        <v>21</v>
      </c>
      <c r="AK3" s="1" t="s">
        <v>21</v>
      </c>
      <c r="AL3" s="1" t="s">
        <v>22</v>
      </c>
      <c r="AM3" s="1" t="s">
        <v>23</v>
      </c>
    </row>
    <row r="4" spans="1:41" x14ac:dyDescent="0.25">
      <c r="A4" s="16"/>
      <c r="B4" s="16"/>
      <c r="C4" s="16"/>
      <c r="D4" s="16"/>
      <c r="E4" s="16"/>
      <c r="F4" s="16"/>
      <c r="G4" s="6"/>
      <c r="H4" s="16"/>
      <c r="I4" s="16"/>
      <c r="J4" s="16"/>
      <c r="K4" s="16"/>
      <c r="L4" s="16"/>
      <c r="M4" s="16"/>
      <c r="N4" s="16"/>
      <c r="O4" s="16" t="s">
        <v>24</v>
      </c>
      <c r="P4" s="8" t="s">
        <v>25</v>
      </c>
      <c r="Q4" s="16" t="s">
        <v>26</v>
      </c>
      <c r="R4" s="16" t="s">
        <v>27</v>
      </c>
      <c r="S4" s="16" t="s">
        <v>28</v>
      </c>
      <c r="T4" s="16" t="s">
        <v>384</v>
      </c>
      <c r="U4" s="16" t="s">
        <v>29</v>
      </c>
      <c r="V4" s="16" t="s">
        <v>30</v>
      </c>
      <c r="W4" s="16"/>
      <c r="X4" s="16" t="s">
        <v>31</v>
      </c>
      <c r="Y4" s="16" t="s">
        <v>32</v>
      </c>
      <c r="Z4" s="16"/>
      <c r="AA4" s="16"/>
      <c r="AB4" s="16" t="s">
        <v>28</v>
      </c>
      <c r="AC4" s="16" t="s">
        <v>33</v>
      </c>
      <c r="AD4" s="16" t="s">
        <v>34</v>
      </c>
      <c r="AE4" s="16" t="s">
        <v>35</v>
      </c>
      <c r="AF4" s="16" t="s">
        <v>36</v>
      </c>
      <c r="AG4" s="16" t="s">
        <v>37</v>
      </c>
      <c r="AH4" s="16" t="s">
        <v>38</v>
      </c>
      <c r="AI4" s="16" t="s">
        <v>39</v>
      </c>
      <c r="AJ4" s="16" t="s">
        <v>40</v>
      </c>
      <c r="AK4" s="16" t="s">
        <v>41</v>
      </c>
      <c r="AL4" s="16"/>
      <c r="AM4" s="16"/>
    </row>
    <row r="5" spans="1:41" x14ac:dyDescent="0.25">
      <c r="A5" s="16"/>
      <c r="B5" s="16"/>
      <c r="C5" s="16"/>
      <c r="D5" s="16"/>
      <c r="E5" s="3">
        <f>SUM(E6:E499)</f>
        <v>10819.578999999996</v>
      </c>
      <c r="F5" s="3">
        <f>SUM(F6:F499)</f>
        <v>10667.461000000001</v>
      </c>
      <c r="G5" s="6"/>
      <c r="H5" s="16"/>
      <c r="I5" s="16"/>
      <c r="J5" s="16"/>
      <c r="K5" s="3">
        <f t="shared" ref="K5:X5" si="0">SUM(K6:K499)</f>
        <v>12621.928</v>
      </c>
      <c r="L5" s="3">
        <f t="shared" si="0"/>
        <v>-1802.3490000000002</v>
      </c>
      <c r="M5" s="3">
        <f t="shared" si="0"/>
        <v>0</v>
      </c>
      <c r="N5" s="3">
        <f t="shared" si="0"/>
        <v>0</v>
      </c>
      <c r="O5" s="3">
        <f t="shared" si="0"/>
        <v>8232.0673739488429</v>
      </c>
      <c r="P5" s="3">
        <f t="shared" si="0"/>
        <v>-1036.8225108225108</v>
      </c>
      <c r="Q5" s="3">
        <f t="shared" si="0"/>
        <v>600</v>
      </c>
      <c r="R5" s="3">
        <f t="shared" si="0"/>
        <v>405</v>
      </c>
      <c r="S5" s="3">
        <f t="shared" si="0"/>
        <v>13802.115944170748</v>
      </c>
      <c r="T5" s="3">
        <f t="shared" ref="T5" si="1">SUM(T6:T499)</f>
        <v>-1235.1984126984125</v>
      </c>
      <c r="U5" s="3">
        <f t="shared" si="0"/>
        <v>450</v>
      </c>
      <c r="V5" s="3">
        <f t="shared" si="0"/>
        <v>2163.9158000000002</v>
      </c>
      <c r="W5" s="3">
        <f t="shared" si="0"/>
        <v>4845.658555036086</v>
      </c>
      <c r="X5" s="3">
        <f t="shared" si="0"/>
        <v>6425.186884706417</v>
      </c>
      <c r="Y5" s="3">
        <f>SUM(Y6:Y495)</f>
        <v>1630</v>
      </c>
      <c r="Z5" s="16"/>
      <c r="AA5" s="16"/>
      <c r="AB5" s="3">
        <f t="shared" ref="AB5:AK5" si="2">SUM(AB6:AB499)</f>
        <v>2574.4265999999993</v>
      </c>
      <c r="AC5" s="3">
        <f t="shared" si="2"/>
        <v>2832.1130000000003</v>
      </c>
      <c r="AD5" s="3">
        <f t="shared" si="2"/>
        <v>3211.8783999999996</v>
      </c>
      <c r="AE5" s="3">
        <f t="shared" si="2"/>
        <v>3221.5873999999994</v>
      </c>
      <c r="AF5" s="3">
        <f t="shared" si="2"/>
        <v>3336.7943999999984</v>
      </c>
      <c r="AG5" s="3">
        <f t="shared" si="2"/>
        <v>4291.6760000000013</v>
      </c>
      <c r="AH5" s="3">
        <f t="shared" si="2"/>
        <v>4268.7132000000001</v>
      </c>
      <c r="AI5" s="3">
        <f t="shared" si="2"/>
        <v>3863.9036000000019</v>
      </c>
      <c r="AJ5" s="3">
        <f t="shared" si="2"/>
        <v>3651.4625999999989</v>
      </c>
      <c r="AK5" s="3">
        <f t="shared" si="2"/>
        <v>3632.7342000000017</v>
      </c>
      <c r="AL5" s="16"/>
      <c r="AM5" s="3">
        <f>SUM(AM6:AM499)</f>
        <v>3858</v>
      </c>
    </row>
    <row r="6" spans="1:41" x14ac:dyDescent="0.25">
      <c r="A6" s="16" t="s">
        <v>42</v>
      </c>
      <c r="B6" s="16" t="s">
        <v>43</v>
      </c>
      <c r="C6" s="16">
        <v>210.999</v>
      </c>
      <c r="D6" s="16">
        <v>175.256</v>
      </c>
      <c r="E6" s="16">
        <v>147.108</v>
      </c>
      <c r="F6" s="16">
        <v>46.021000000000001</v>
      </c>
      <c r="G6" s="6">
        <v>1</v>
      </c>
      <c r="H6" s="16">
        <v>50</v>
      </c>
      <c r="I6" s="16" t="s">
        <v>44</v>
      </c>
      <c r="J6" s="16"/>
      <c r="K6" s="16">
        <v>143.5</v>
      </c>
      <c r="L6" s="16">
        <f t="shared" ref="L6:L37" si="3">E6-K6</f>
        <v>3.6080000000000041</v>
      </c>
      <c r="M6" s="16"/>
      <c r="N6" s="16"/>
      <c r="O6" s="16">
        <v>0</v>
      </c>
      <c r="P6" s="16"/>
      <c r="Q6" s="16"/>
      <c r="R6" s="16"/>
      <c r="S6" s="16">
        <v>90.360999999999933</v>
      </c>
      <c r="T6" s="16"/>
      <c r="U6" s="16"/>
      <c r="V6" s="16">
        <f t="shared" ref="V6:V37" si="4">E6/5</f>
        <v>29.421600000000002</v>
      </c>
      <c r="W6" s="4">
        <f>12*V6-U6-S6-R6-Q6-P6-O6-F6</f>
        <v>216.67720000000008</v>
      </c>
      <c r="X6" s="4">
        <f>W6+V6</f>
        <v>246.0988000000001</v>
      </c>
      <c r="Y6" s="16"/>
      <c r="Z6" s="16">
        <f t="shared" ref="Z6:Z37" si="5">(F6+O6+P6+Q6+R6+S6+U6+X6)/V6</f>
        <v>13</v>
      </c>
      <c r="AA6" s="16">
        <f>(F6+O6+P6+Q6+R6+S6+U6)/V6</f>
        <v>4.6354379095630405</v>
      </c>
      <c r="AB6" s="16">
        <v>35.228200000000001</v>
      </c>
      <c r="AC6" s="16">
        <v>20.837399999999999</v>
      </c>
      <c r="AD6" s="16">
        <v>32.624200000000002</v>
      </c>
      <c r="AE6" s="16">
        <v>49.9176</v>
      </c>
      <c r="AF6" s="16">
        <v>50.513599999999997</v>
      </c>
      <c r="AG6" s="16">
        <v>52.347000000000001</v>
      </c>
      <c r="AH6" s="16">
        <v>48.521000000000001</v>
      </c>
      <c r="AI6" s="16">
        <v>43.444600000000001</v>
      </c>
      <c r="AJ6" s="16">
        <v>50.715400000000002</v>
      </c>
      <c r="AK6" s="16">
        <v>50.555</v>
      </c>
      <c r="AL6" s="16"/>
      <c r="AM6" s="16">
        <f t="shared" ref="AM6:AM37" si="6">ROUND(G6*X6,0)</f>
        <v>246</v>
      </c>
      <c r="AN6" t="s">
        <v>45</v>
      </c>
      <c r="AO6" s="21" t="str">
        <f>I6</f>
        <v>матрица</v>
      </c>
    </row>
    <row r="7" spans="1:41" x14ac:dyDescent="0.25">
      <c r="A7" s="16" t="s">
        <v>46</v>
      </c>
      <c r="B7" s="16" t="s">
        <v>43</v>
      </c>
      <c r="C7" s="16">
        <v>223.87799999999999</v>
      </c>
      <c r="D7" s="16">
        <v>471.77</v>
      </c>
      <c r="E7" s="16">
        <v>194.57599999999999</v>
      </c>
      <c r="F7" s="16">
        <v>68.605000000000004</v>
      </c>
      <c r="G7" s="6">
        <v>1</v>
      </c>
      <c r="H7" s="16">
        <v>45</v>
      </c>
      <c r="I7" s="16" t="s">
        <v>44</v>
      </c>
      <c r="J7" s="16"/>
      <c r="K7" s="16">
        <v>210.9</v>
      </c>
      <c r="L7" s="16">
        <f t="shared" si="3"/>
        <v>-16.324000000000012</v>
      </c>
      <c r="M7" s="16"/>
      <c r="N7" s="16"/>
      <c r="O7" s="16">
        <v>152.32748036826791</v>
      </c>
      <c r="P7" s="16"/>
      <c r="Q7" s="16"/>
      <c r="R7" s="16"/>
      <c r="S7" s="16">
        <v>217.62223963173241</v>
      </c>
      <c r="T7" s="16"/>
      <c r="U7" s="16"/>
      <c r="V7" s="16">
        <f t="shared" si="4"/>
        <v>38.915199999999999</v>
      </c>
      <c r="W7" s="4">
        <f>12*V7-U7-S7-R7-Q7-P7-O7-F7</f>
        <v>28.427679999999654</v>
      </c>
      <c r="X7" s="4">
        <f>W7+V7</f>
        <v>67.342879999999653</v>
      </c>
      <c r="Y7" s="16"/>
      <c r="Z7" s="16">
        <f t="shared" si="5"/>
        <v>13</v>
      </c>
      <c r="AA7" s="16">
        <f>(F7+O7+P7+Q7+R7+S7+U7)/V7</f>
        <v>11.269496751911857</v>
      </c>
      <c r="AB7" s="16">
        <v>48.795200000000001</v>
      </c>
      <c r="AC7" s="16">
        <v>46.159799999999997</v>
      </c>
      <c r="AD7" s="16">
        <v>75.304000000000002</v>
      </c>
      <c r="AE7" s="16">
        <v>93.414999999999992</v>
      </c>
      <c r="AF7" s="16">
        <v>102.57940000000001</v>
      </c>
      <c r="AG7" s="16">
        <v>91.360199999999992</v>
      </c>
      <c r="AH7" s="16">
        <v>75.338800000000006</v>
      </c>
      <c r="AI7" s="16">
        <v>78.611599999999996</v>
      </c>
      <c r="AJ7" s="16">
        <v>107.873</v>
      </c>
      <c r="AK7" s="16">
        <v>130.68199999999999</v>
      </c>
      <c r="AL7" s="16"/>
      <c r="AM7" s="16">
        <f t="shared" si="6"/>
        <v>67</v>
      </c>
      <c r="AN7" t="s">
        <v>47</v>
      </c>
      <c r="AO7" s="21" t="str">
        <f t="shared" ref="AO7:AO70" si="7">I7</f>
        <v>матрица</v>
      </c>
    </row>
    <row r="8" spans="1:41" x14ac:dyDescent="0.25">
      <c r="A8" s="16" t="s">
        <v>48</v>
      </c>
      <c r="B8" s="16" t="s">
        <v>43</v>
      </c>
      <c r="C8" s="16">
        <v>194.208</v>
      </c>
      <c r="D8" s="16">
        <v>475.65199999999999</v>
      </c>
      <c r="E8" s="16">
        <v>208.523</v>
      </c>
      <c r="F8" s="16">
        <v>421.67200000000003</v>
      </c>
      <c r="G8" s="6">
        <v>1</v>
      </c>
      <c r="H8" s="16">
        <v>45</v>
      </c>
      <c r="I8" s="16" t="s">
        <v>63</v>
      </c>
      <c r="J8" s="16"/>
      <c r="K8" s="16">
        <v>210.5</v>
      </c>
      <c r="L8" s="16">
        <f t="shared" si="3"/>
        <v>-1.9770000000000039</v>
      </c>
      <c r="M8" s="16"/>
      <c r="N8" s="16"/>
      <c r="O8" s="16">
        <v>206.50970044406151</v>
      </c>
      <c r="P8" s="16"/>
      <c r="Q8" s="16"/>
      <c r="R8" s="16"/>
      <c r="S8" s="16">
        <v>0</v>
      </c>
      <c r="T8" s="16"/>
      <c r="U8" s="16"/>
      <c r="V8" s="16">
        <f t="shared" si="4"/>
        <v>41.704599999999999</v>
      </c>
      <c r="W8" s="4"/>
      <c r="X8" s="4">
        <f t="shared" ref="X8:X13" si="8">W8</f>
        <v>0</v>
      </c>
      <c r="Y8" s="16"/>
      <c r="Z8" s="16">
        <f t="shared" si="5"/>
        <v>15.062647776122096</v>
      </c>
      <c r="AA8" s="16">
        <f>(F8+O8+P8+Q8+R8+S8+U8)/V8</f>
        <v>15.062647776122096</v>
      </c>
      <c r="AB8" s="16">
        <v>52.938400000000001</v>
      </c>
      <c r="AC8" s="16">
        <v>54.453600000000009</v>
      </c>
      <c r="AD8" s="16">
        <v>85.114000000000004</v>
      </c>
      <c r="AE8" s="16">
        <v>96.858000000000004</v>
      </c>
      <c r="AF8" s="16">
        <v>78.322800000000001</v>
      </c>
      <c r="AG8" s="16">
        <v>84.352599999999995</v>
      </c>
      <c r="AH8" s="16">
        <v>119.5784</v>
      </c>
      <c r="AI8" s="16">
        <v>115.399</v>
      </c>
      <c r="AJ8" s="16">
        <v>92.236400000000003</v>
      </c>
      <c r="AK8" s="16">
        <v>101.6842</v>
      </c>
      <c r="AL8" s="16"/>
      <c r="AM8" s="16">
        <f t="shared" si="6"/>
        <v>0</v>
      </c>
      <c r="AN8" t="s">
        <v>49</v>
      </c>
      <c r="AO8" s="21" t="str">
        <f t="shared" si="7"/>
        <v>НЕДОГРУЗ / матрица</v>
      </c>
    </row>
    <row r="9" spans="1:41" x14ac:dyDescent="0.25">
      <c r="A9" s="10" t="s">
        <v>50</v>
      </c>
      <c r="B9" s="10" t="s">
        <v>51</v>
      </c>
      <c r="C9" s="10"/>
      <c r="D9" s="10"/>
      <c r="E9" s="10"/>
      <c r="F9" s="10"/>
      <c r="G9" s="11">
        <v>0</v>
      </c>
      <c r="H9" s="10"/>
      <c r="I9" s="10" t="s">
        <v>44</v>
      </c>
      <c r="J9" s="10"/>
      <c r="K9" s="10"/>
      <c r="L9" s="10">
        <f t="shared" si="3"/>
        <v>0</v>
      </c>
      <c r="M9" s="10"/>
      <c r="N9" s="10"/>
      <c r="O9" s="10"/>
      <c r="P9" s="10"/>
      <c r="Q9" s="10"/>
      <c r="R9" s="10"/>
      <c r="S9" s="10">
        <v>0</v>
      </c>
      <c r="T9" s="10"/>
      <c r="U9" s="10"/>
      <c r="V9" s="10">
        <f t="shared" si="4"/>
        <v>0</v>
      </c>
      <c r="W9" s="12"/>
      <c r="X9" s="4">
        <f t="shared" si="8"/>
        <v>0</v>
      </c>
      <c r="Y9" s="16"/>
      <c r="Z9" s="16" t="e">
        <f t="shared" si="5"/>
        <v>#DIV/0!</v>
      </c>
      <c r="AA9" s="10"/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 t="s">
        <v>52</v>
      </c>
      <c r="AM9" s="16">
        <f t="shared" si="6"/>
        <v>0</v>
      </c>
      <c r="AN9" t="s">
        <v>53</v>
      </c>
      <c r="AO9" s="21" t="str">
        <f t="shared" si="7"/>
        <v>матрица</v>
      </c>
    </row>
    <row r="10" spans="1:41" x14ac:dyDescent="0.25">
      <c r="A10" s="16" t="s">
        <v>54</v>
      </c>
      <c r="B10" s="16" t="s">
        <v>51</v>
      </c>
      <c r="C10" s="16">
        <v>743</v>
      </c>
      <c r="D10" s="16">
        <v>2</v>
      </c>
      <c r="E10" s="16">
        <v>187</v>
      </c>
      <c r="F10" s="16">
        <v>509</v>
      </c>
      <c r="G10" s="6">
        <v>0.45</v>
      </c>
      <c r="H10" s="16">
        <v>45</v>
      </c>
      <c r="I10" s="16" t="s">
        <v>44</v>
      </c>
      <c r="J10" s="16"/>
      <c r="K10" s="16">
        <v>200</v>
      </c>
      <c r="L10" s="16">
        <f t="shared" si="3"/>
        <v>-13</v>
      </c>
      <c r="M10" s="16"/>
      <c r="N10" s="16"/>
      <c r="O10" s="16">
        <v>300</v>
      </c>
      <c r="P10" s="16"/>
      <c r="Q10" s="16"/>
      <c r="R10" s="16"/>
      <c r="S10" s="16">
        <v>0</v>
      </c>
      <c r="T10" s="16"/>
      <c r="U10" s="16"/>
      <c r="V10" s="16">
        <f t="shared" si="4"/>
        <v>37.4</v>
      </c>
      <c r="W10" s="4"/>
      <c r="X10" s="4">
        <f t="shared" si="8"/>
        <v>0</v>
      </c>
      <c r="Y10" s="16"/>
      <c r="Z10" s="16">
        <f t="shared" si="5"/>
        <v>21.63101604278075</v>
      </c>
      <c r="AA10" s="16">
        <f t="shared" ref="AA10:AA24" si="9">(F10+O10+P10+Q10+R10+S10+U10)/V10</f>
        <v>21.63101604278075</v>
      </c>
      <c r="AB10" s="16">
        <v>32.799999999999997</v>
      </c>
      <c r="AC10" s="16">
        <v>1.8</v>
      </c>
      <c r="AD10" s="16">
        <v>-2.4</v>
      </c>
      <c r="AE10" s="16">
        <v>1.8</v>
      </c>
      <c r="AF10" s="16">
        <v>59.4</v>
      </c>
      <c r="AG10" s="16">
        <v>80.107600000000005</v>
      </c>
      <c r="AH10" s="16">
        <v>22.907599999999999</v>
      </c>
      <c r="AI10" s="16">
        <v>53.8</v>
      </c>
      <c r="AJ10" s="16">
        <v>96.8</v>
      </c>
      <c r="AK10" s="16">
        <v>76.400000000000006</v>
      </c>
      <c r="AL10" s="15" t="s">
        <v>55</v>
      </c>
      <c r="AM10" s="16">
        <f t="shared" si="6"/>
        <v>0</v>
      </c>
      <c r="AN10" t="s">
        <v>56</v>
      </c>
      <c r="AO10" s="21" t="str">
        <f t="shared" si="7"/>
        <v>матрица</v>
      </c>
    </row>
    <row r="11" spans="1:41" x14ac:dyDescent="0.25">
      <c r="A11" s="16" t="s">
        <v>57</v>
      </c>
      <c r="B11" s="16" t="s">
        <v>51</v>
      </c>
      <c r="C11" s="16">
        <v>141</v>
      </c>
      <c r="D11" s="16">
        <v>767</v>
      </c>
      <c r="E11" s="16">
        <v>304</v>
      </c>
      <c r="F11" s="16">
        <v>489</v>
      </c>
      <c r="G11" s="6">
        <v>0.45</v>
      </c>
      <c r="H11" s="16">
        <v>45</v>
      </c>
      <c r="I11" s="16" t="s">
        <v>44</v>
      </c>
      <c r="J11" s="16"/>
      <c r="K11" s="16">
        <v>318</v>
      </c>
      <c r="L11" s="16">
        <f t="shared" si="3"/>
        <v>-14</v>
      </c>
      <c r="M11" s="16"/>
      <c r="N11" s="16"/>
      <c r="O11" s="16">
        <v>466.692943063352</v>
      </c>
      <c r="P11" s="16"/>
      <c r="Q11" s="16"/>
      <c r="R11" s="16"/>
      <c r="S11" s="16">
        <v>0</v>
      </c>
      <c r="T11" s="16"/>
      <c r="U11" s="16"/>
      <c r="V11" s="16">
        <f t="shared" si="4"/>
        <v>60.8</v>
      </c>
      <c r="W11" s="4"/>
      <c r="X11" s="4">
        <f t="shared" si="8"/>
        <v>0</v>
      </c>
      <c r="Y11" s="16"/>
      <c r="Z11" s="16">
        <f t="shared" si="5"/>
        <v>15.718633931963026</v>
      </c>
      <c r="AA11" s="16">
        <f t="shared" si="9"/>
        <v>15.718633931963026</v>
      </c>
      <c r="AB11" s="16">
        <v>59</v>
      </c>
      <c r="AC11" s="16">
        <v>68.400000000000006</v>
      </c>
      <c r="AD11" s="16">
        <v>186</v>
      </c>
      <c r="AE11" s="16">
        <v>149.80000000000001</v>
      </c>
      <c r="AF11" s="16">
        <v>27.2</v>
      </c>
      <c r="AG11" s="16">
        <v>95.2</v>
      </c>
      <c r="AH11" s="16">
        <v>169.6</v>
      </c>
      <c r="AI11" s="16">
        <v>188.2</v>
      </c>
      <c r="AJ11" s="16">
        <v>158.4</v>
      </c>
      <c r="AK11" s="16">
        <v>100.4</v>
      </c>
      <c r="AL11" s="16"/>
      <c r="AM11" s="16">
        <f t="shared" si="6"/>
        <v>0</v>
      </c>
      <c r="AN11" t="s">
        <v>58</v>
      </c>
      <c r="AO11" s="21" t="str">
        <f t="shared" si="7"/>
        <v>матрица</v>
      </c>
    </row>
    <row r="12" spans="1:41" x14ac:dyDescent="0.25">
      <c r="A12" s="16" t="s">
        <v>59</v>
      </c>
      <c r="B12" s="16" t="s">
        <v>51</v>
      </c>
      <c r="C12" s="16"/>
      <c r="D12" s="16">
        <v>182</v>
      </c>
      <c r="E12" s="16">
        <v>31</v>
      </c>
      <c r="F12" s="16">
        <v>69</v>
      </c>
      <c r="G12" s="6">
        <v>0.17</v>
      </c>
      <c r="H12" s="16">
        <v>180</v>
      </c>
      <c r="I12" s="16" t="s">
        <v>44</v>
      </c>
      <c r="J12" s="16"/>
      <c r="K12" s="16">
        <v>35</v>
      </c>
      <c r="L12" s="16">
        <f t="shared" si="3"/>
        <v>-4</v>
      </c>
      <c r="M12" s="16"/>
      <c r="N12" s="16"/>
      <c r="O12" s="16">
        <v>137.06887966804979</v>
      </c>
      <c r="P12" s="16"/>
      <c r="Q12" s="16"/>
      <c r="R12" s="16"/>
      <c r="S12" s="16">
        <v>0</v>
      </c>
      <c r="T12" s="16"/>
      <c r="U12" s="16"/>
      <c r="V12" s="16">
        <f t="shared" si="4"/>
        <v>6.2</v>
      </c>
      <c r="W12" s="4"/>
      <c r="X12" s="4">
        <f t="shared" si="8"/>
        <v>0</v>
      </c>
      <c r="Y12" s="16"/>
      <c r="Z12" s="16">
        <f t="shared" si="5"/>
        <v>33.236916075491898</v>
      </c>
      <c r="AA12" s="16">
        <f t="shared" si="9"/>
        <v>33.236916075491898</v>
      </c>
      <c r="AB12" s="16">
        <v>3.2</v>
      </c>
      <c r="AC12" s="16">
        <v>13.4</v>
      </c>
      <c r="AD12" s="16">
        <v>30</v>
      </c>
      <c r="AE12" s="16">
        <v>20.399999999999999</v>
      </c>
      <c r="AF12" s="16">
        <v>8.4</v>
      </c>
      <c r="AG12" s="16">
        <v>9</v>
      </c>
      <c r="AH12" s="16">
        <v>4.4000000000000004</v>
      </c>
      <c r="AI12" s="16">
        <v>19.8</v>
      </c>
      <c r="AJ12" s="16">
        <v>26.4</v>
      </c>
      <c r="AK12" s="16">
        <v>7.6</v>
      </c>
      <c r="AL12" s="15" t="s">
        <v>60</v>
      </c>
      <c r="AM12" s="16">
        <f t="shared" si="6"/>
        <v>0</v>
      </c>
      <c r="AN12" t="s">
        <v>61</v>
      </c>
      <c r="AO12" s="21" t="str">
        <f t="shared" si="7"/>
        <v>матрица</v>
      </c>
    </row>
    <row r="13" spans="1:41" x14ac:dyDescent="0.25">
      <c r="A13" s="16" t="s">
        <v>62</v>
      </c>
      <c r="B13" s="16" t="s">
        <v>51</v>
      </c>
      <c r="C13" s="16">
        <v>26</v>
      </c>
      <c r="D13" s="16">
        <v>71</v>
      </c>
      <c r="E13" s="16">
        <v>15</v>
      </c>
      <c r="F13" s="16">
        <v>6</v>
      </c>
      <c r="G13" s="6">
        <v>0.3</v>
      </c>
      <c r="H13" s="16">
        <v>40</v>
      </c>
      <c r="I13" s="9" t="s">
        <v>44</v>
      </c>
      <c r="J13" s="16"/>
      <c r="K13" s="16">
        <v>72</v>
      </c>
      <c r="L13" s="16">
        <f t="shared" si="3"/>
        <v>-57</v>
      </c>
      <c r="M13" s="16"/>
      <c r="N13" s="16"/>
      <c r="O13" s="16">
        <v>83.308900523560212</v>
      </c>
      <c r="P13" s="16"/>
      <c r="Q13" s="16"/>
      <c r="R13" s="16"/>
      <c r="S13" s="16">
        <v>211.23842931937159</v>
      </c>
      <c r="T13" s="16"/>
      <c r="U13" s="16"/>
      <c r="V13" s="16">
        <f t="shared" si="4"/>
        <v>3</v>
      </c>
      <c r="W13" s="4"/>
      <c r="X13" s="4">
        <f t="shared" si="8"/>
        <v>0</v>
      </c>
      <c r="Y13" s="16"/>
      <c r="Z13" s="16">
        <f t="shared" si="5"/>
        <v>100.18244328097727</v>
      </c>
      <c r="AA13" s="16">
        <f t="shared" si="9"/>
        <v>100.18244328097727</v>
      </c>
      <c r="AB13" s="16">
        <v>18.600000000000001</v>
      </c>
      <c r="AC13" s="16">
        <v>22.4</v>
      </c>
      <c r="AD13" s="16">
        <v>9.4</v>
      </c>
      <c r="AE13" s="16">
        <v>5.8</v>
      </c>
      <c r="AF13" s="16">
        <v>6.2</v>
      </c>
      <c r="AG13" s="16">
        <v>11.4</v>
      </c>
      <c r="AH13" s="16">
        <v>16</v>
      </c>
      <c r="AI13" s="16">
        <v>6.8</v>
      </c>
      <c r="AJ13" s="16">
        <v>-1.2</v>
      </c>
      <c r="AK13" s="16">
        <v>3.4</v>
      </c>
      <c r="AL13" s="16"/>
      <c r="AM13" s="16">
        <f t="shared" si="6"/>
        <v>0</v>
      </c>
      <c r="AN13" t="s">
        <v>64</v>
      </c>
      <c r="AO13" s="21" t="str">
        <f t="shared" si="7"/>
        <v>матрица</v>
      </c>
    </row>
    <row r="14" spans="1:41" x14ac:dyDescent="0.25">
      <c r="A14" s="16" t="s">
        <v>65</v>
      </c>
      <c r="B14" s="16" t="s">
        <v>51</v>
      </c>
      <c r="C14" s="16">
        <v>121</v>
      </c>
      <c r="D14" s="16">
        <v>111</v>
      </c>
      <c r="E14" s="16">
        <v>119</v>
      </c>
      <c r="F14" s="16">
        <v>2</v>
      </c>
      <c r="G14" s="6">
        <v>0.17</v>
      </c>
      <c r="H14" s="16">
        <v>180</v>
      </c>
      <c r="I14" s="16" t="s">
        <v>44</v>
      </c>
      <c r="J14" s="16"/>
      <c r="K14" s="16">
        <v>128</v>
      </c>
      <c r="L14" s="16">
        <f t="shared" si="3"/>
        <v>-9</v>
      </c>
      <c r="M14" s="16"/>
      <c r="N14" s="16"/>
      <c r="O14" s="16">
        <v>0</v>
      </c>
      <c r="P14" s="16"/>
      <c r="Q14" s="16"/>
      <c r="R14" s="16"/>
      <c r="S14" s="16">
        <v>337</v>
      </c>
      <c r="T14" s="16"/>
      <c r="U14" s="16"/>
      <c r="V14" s="16">
        <f t="shared" si="4"/>
        <v>23.8</v>
      </c>
      <c r="W14" s="4"/>
      <c r="X14" s="4">
        <f>Y14</f>
        <v>100</v>
      </c>
      <c r="Y14" s="16">
        <f>VLOOKUP(A14,[1]Sheet!$A:$X,24,0)</f>
        <v>100</v>
      </c>
      <c r="Z14" s="16">
        <f t="shared" si="5"/>
        <v>18.445378151260503</v>
      </c>
      <c r="AA14" s="16">
        <f t="shared" si="9"/>
        <v>14.243697478991596</v>
      </c>
      <c r="AB14" s="16">
        <v>31.4</v>
      </c>
      <c r="AC14" s="16">
        <v>32</v>
      </c>
      <c r="AD14" s="16">
        <v>38.6</v>
      </c>
      <c r="AE14" s="16">
        <v>35.799999999999997</v>
      </c>
      <c r="AF14" s="16">
        <v>42.8</v>
      </c>
      <c r="AG14" s="16">
        <v>55.6</v>
      </c>
      <c r="AH14" s="16">
        <v>50.6</v>
      </c>
      <c r="AI14" s="16">
        <v>53.6</v>
      </c>
      <c r="AJ14" s="16">
        <v>49</v>
      </c>
      <c r="AK14" s="16">
        <v>49.2</v>
      </c>
      <c r="AL14" s="16"/>
      <c r="AM14" s="16">
        <f t="shared" si="6"/>
        <v>17</v>
      </c>
      <c r="AN14" t="s">
        <v>66</v>
      </c>
      <c r="AO14" s="21" t="str">
        <f t="shared" si="7"/>
        <v>матрица</v>
      </c>
    </row>
    <row r="15" spans="1:41" x14ac:dyDescent="0.25">
      <c r="A15" s="16" t="s">
        <v>67</v>
      </c>
      <c r="B15" s="16" t="s">
        <v>43</v>
      </c>
      <c r="C15" s="16">
        <v>305.834</v>
      </c>
      <c r="D15" s="16">
        <v>479.25900000000001</v>
      </c>
      <c r="E15" s="16">
        <v>176.477</v>
      </c>
      <c r="F15" s="16">
        <v>287.79599999999999</v>
      </c>
      <c r="G15" s="6">
        <v>1</v>
      </c>
      <c r="H15" s="16">
        <v>70</v>
      </c>
      <c r="I15" s="9" t="s">
        <v>44</v>
      </c>
      <c r="J15" s="16"/>
      <c r="K15" s="16">
        <v>168.4</v>
      </c>
      <c r="L15" s="16">
        <f t="shared" si="3"/>
        <v>8.0769999999999982</v>
      </c>
      <c r="M15" s="16"/>
      <c r="N15" s="16"/>
      <c r="O15" s="16">
        <v>126.9810882813124</v>
      </c>
      <c r="P15" s="16"/>
      <c r="Q15" s="16"/>
      <c r="R15" s="16"/>
      <c r="S15" s="16">
        <v>0</v>
      </c>
      <c r="T15" s="16"/>
      <c r="U15" s="16"/>
      <c r="V15" s="16">
        <f t="shared" si="4"/>
        <v>35.295400000000001</v>
      </c>
      <c r="W15" s="4">
        <f>12*V15-U15-S15-R15-Q15-P15-O15-F15</f>
        <v>8.7677117186876217</v>
      </c>
      <c r="X15" s="19">
        <f>W15+V15</f>
        <v>44.063111718687622</v>
      </c>
      <c r="Y15" s="16"/>
      <c r="Z15" s="16">
        <f t="shared" si="5"/>
        <v>13</v>
      </c>
      <c r="AA15" s="16">
        <f t="shared" si="9"/>
        <v>11.751590526848043</v>
      </c>
      <c r="AB15" s="16">
        <v>36.7044</v>
      </c>
      <c r="AC15" s="16">
        <v>34.183599999999998</v>
      </c>
      <c r="AD15" s="16">
        <v>66.669600000000003</v>
      </c>
      <c r="AE15" s="16">
        <v>94.391199999999998</v>
      </c>
      <c r="AF15" s="16">
        <v>92.775999999999996</v>
      </c>
      <c r="AG15" s="16">
        <v>91.034000000000006</v>
      </c>
      <c r="AH15" s="16">
        <v>96.842399999999998</v>
      </c>
      <c r="AI15" s="16">
        <v>93.471599999999995</v>
      </c>
      <c r="AJ15" s="16">
        <v>88.441000000000003</v>
      </c>
      <c r="AK15" s="16">
        <v>86.75739999999999</v>
      </c>
      <c r="AL15" s="16"/>
      <c r="AM15" s="16">
        <f t="shared" si="6"/>
        <v>44</v>
      </c>
      <c r="AN15" t="s">
        <v>68</v>
      </c>
      <c r="AO15" s="21" t="str">
        <f t="shared" si="7"/>
        <v>матрица</v>
      </c>
    </row>
    <row r="16" spans="1:41" x14ac:dyDescent="0.25">
      <c r="A16" s="16" t="s">
        <v>69</v>
      </c>
      <c r="B16" s="16" t="s">
        <v>43</v>
      </c>
      <c r="C16" s="16">
        <v>507.15300000000002</v>
      </c>
      <c r="D16" s="16">
        <v>2939.3719999999998</v>
      </c>
      <c r="E16" s="16">
        <v>791.26400000000001</v>
      </c>
      <c r="F16" s="16">
        <v>817.26900000000001</v>
      </c>
      <c r="G16" s="6">
        <v>1</v>
      </c>
      <c r="H16" s="16">
        <v>50</v>
      </c>
      <c r="I16" s="16" t="s">
        <v>44</v>
      </c>
      <c r="J16" s="16"/>
      <c r="K16" s="16">
        <v>1180</v>
      </c>
      <c r="L16" s="16">
        <f t="shared" si="3"/>
        <v>-388.73599999999999</v>
      </c>
      <c r="M16" s="16"/>
      <c r="N16" s="16"/>
      <c r="O16" s="16">
        <v>200</v>
      </c>
      <c r="P16" s="16"/>
      <c r="Q16" s="16"/>
      <c r="R16" s="16"/>
      <c r="S16" s="16">
        <v>2052.8198000000011</v>
      </c>
      <c r="T16" s="16"/>
      <c r="U16" s="16"/>
      <c r="V16" s="16">
        <f t="shared" si="4"/>
        <v>158.25280000000001</v>
      </c>
      <c r="W16" s="4"/>
      <c r="X16" s="4">
        <f t="shared" ref="X16:X23" si="10">W16</f>
        <v>0</v>
      </c>
      <c r="Y16" s="16"/>
      <c r="Z16" s="16">
        <f t="shared" si="5"/>
        <v>19.3999019290654</v>
      </c>
      <c r="AA16" s="16">
        <f t="shared" si="9"/>
        <v>19.3999019290654</v>
      </c>
      <c r="AB16" s="16">
        <v>261.35239999999999</v>
      </c>
      <c r="AC16" s="16">
        <v>314.37259999999998</v>
      </c>
      <c r="AD16" s="16">
        <v>350.28039999999999</v>
      </c>
      <c r="AE16" s="16">
        <v>480.89580000000001</v>
      </c>
      <c r="AF16" s="16">
        <v>437.53480000000002</v>
      </c>
      <c r="AG16" s="16">
        <v>456.43400000000003</v>
      </c>
      <c r="AH16" s="16">
        <v>513.70119999999997</v>
      </c>
      <c r="AI16" s="16">
        <v>424.07979999999998</v>
      </c>
      <c r="AJ16" s="16">
        <v>400.34519999999998</v>
      </c>
      <c r="AK16" s="16">
        <v>421.65800000000002</v>
      </c>
      <c r="AL16" s="15" t="s">
        <v>60</v>
      </c>
      <c r="AM16" s="16">
        <f t="shared" si="6"/>
        <v>0</v>
      </c>
      <c r="AN16" t="s">
        <v>70</v>
      </c>
      <c r="AO16" s="21" t="str">
        <f t="shared" si="7"/>
        <v>матрица</v>
      </c>
    </row>
    <row r="17" spans="1:41" x14ac:dyDescent="0.25">
      <c r="A17" s="16" t="s">
        <v>71</v>
      </c>
      <c r="B17" s="16" t="s">
        <v>43</v>
      </c>
      <c r="C17" s="16">
        <v>76.144999999999996</v>
      </c>
      <c r="D17" s="16"/>
      <c r="E17" s="16">
        <v>7.9580000000000002</v>
      </c>
      <c r="F17" s="16">
        <v>65.543000000000006</v>
      </c>
      <c r="G17" s="6">
        <v>1</v>
      </c>
      <c r="H17" s="16">
        <v>60</v>
      </c>
      <c r="I17" s="16" t="s">
        <v>44</v>
      </c>
      <c r="J17" s="16"/>
      <c r="K17" s="16">
        <v>8.5</v>
      </c>
      <c r="L17" s="16">
        <f t="shared" si="3"/>
        <v>-0.54199999999999982</v>
      </c>
      <c r="M17" s="16"/>
      <c r="N17" s="16"/>
      <c r="O17" s="16">
        <v>0</v>
      </c>
      <c r="P17" s="16"/>
      <c r="Q17" s="16"/>
      <c r="R17" s="16"/>
      <c r="S17" s="16">
        <v>0</v>
      </c>
      <c r="T17" s="16"/>
      <c r="U17" s="16"/>
      <c r="V17" s="16">
        <f t="shared" si="4"/>
        <v>1.5916000000000001</v>
      </c>
      <c r="W17" s="4"/>
      <c r="X17" s="4">
        <f t="shared" si="10"/>
        <v>0</v>
      </c>
      <c r="Y17" s="16"/>
      <c r="Z17" s="16">
        <f t="shared" si="5"/>
        <v>41.180573008293543</v>
      </c>
      <c r="AA17" s="16">
        <f t="shared" si="9"/>
        <v>41.180573008293543</v>
      </c>
      <c r="AB17" s="16">
        <v>1.4101999999999999</v>
      </c>
      <c r="AC17" s="16">
        <v>0.70200000000000029</v>
      </c>
      <c r="AD17" s="16">
        <v>6.7040000000000006</v>
      </c>
      <c r="AE17" s="16">
        <v>9.8385999999999996</v>
      </c>
      <c r="AF17" s="16">
        <v>11.293200000000001</v>
      </c>
      <c r="AG17" s="16">
        <v>15.170199999999999</v>
      </c>
      <c r="AH17" s="16">
        <v>14.3386</v>
      </c>
      <c r="AI17" s="16">
        <v>12.2934</v>
      </c>
      <c r="AJ17" s="16">
        <v>14.3178</v>
      </c>
      <c r="AK17" s="16">
        <v>13.440799999999999</v>
      </c>
      <c r="AL17" s="14" t="s">
        <v>72</v>
      </c>
      <c r="AM17" s="16">
        <f t="shared" si="6"/>
        <v>0</v>
      </c>
      <c r="AN17" t="s">
        <v>73</v>
      </c>
      <c r="AO17" s="21" t="str">
        <f t="shared" si="7"/>
        <v>матрица</v>
      </c>
    </row>
    <row r="18" spans="1:41" x14ac:dyDescent="0.25">
      <c r="A18" s="16" t="s">
        <v>74</v>
      </c>
      <c r="B18" s="16" t="s">
        <v>43</v>
      </c>
      <c r="C18" s="16">
        <v>55.557000000000002</v>
      </c>
      <c r="D18" s="16">
        <v>10.581</v>
      </c>
      <c r="E18" s="16">
        <v>10.532999999999999</v>
      </c>
      <c r="F18" s="16">
        <v>55.604999999999997</v>
      </c>
      <c r="G18" s="6">
        <v>1</v>
      </c>
      <c r="H18" s="16">
        <v>60</v>
      </c>
      <c r="I18" s="9" t="s">
        <v>44</v>
      </c>
      <c r="J18" s="16"/>
      <c r="K18" s="16">
        <v>10.3</v>
      </c>
      <c r="L18" s="16">
        <f t="shared" si="3"/>
        <v>0.23299999999999876</v>
      </c>
      <c r="M18" s="16"/>
      <c r="N18" s="16"/>
      <c r="O18" s="16">
        <v>0</v>
      </c>
      <c r="P18" s="16"/>
      <c r="Q18" s="16"/>
      <c r="R18" s="16"/>
      <c r="S18" s="16">
        <v>0</v>
      </c>
      <c r="T18" s="16"/>
      <c r="U18" s="16"/>
      <c r="V18" s="16">
        <f t="shared" si="4"/>
        <v>2.1065999999999998</v>
      </c>
      <c r="W18" s="4"/>
      <c r="X18" s="4">
        <f t="shared" si="10"/>
        <v>0</v>
      </c>
      <c r="Y18" s="16"/>
      <c r="Z18" s="16">
        <f t="shared" si="5"/>
        <v>26.395613785246368</v>
      </c>
      <c r="AA18" s="16">
        <f t="shared" si="9"/>
        <v>26.395613785246368</v>
      </c>
      <c r="AB18" s="16">
        <v>1.1686000000000001</v>
      </c>
      <c r="AC18" s="16">
        <v>0.5292</v>
      </c>
      <c r="AD18" s="16">
        <v>2.8111999999999999</v>
      </c>
      <c r="AE18" s="16">
        <v>5.9997999999999996</v>
      </c>
      <c r="AF18" s="16">
        <v>7.8230000000000004</v>
      </c>
      <c r="AG18" s="16">
        <v>10.795400000000001</v>
      </c>
      <c r="AH18" s="16">
        <v>9.7043999999999997</v>
      </c>
      <c r="AI18" s="16">
        <v>7.2253999999999996</v>
      </c>
      <c r="AJ18" s="16">
        <v>9.3013999999999992</v>
      </c>
      <c r="AK18" s="16">
        <v>8.0855999999999995</v>
      </c>
      <c r="AL18" s="14" t="s">
        <v>72</v>
      </c>
      <c r="AM18" s="16">
        <f t="shared" si="6"/>
        <v>0</v>
      </c>
      <c r="AN18" t="s">
        <v>75</v>
      </c>
      <c r="AO18" s="21" t="str">
        <f t="shared" si="7"/>
        <v>матрица</v>
      </c>
    </row>
    <row r="19" spans="1:41" x14ac:dyDescent="0.25">
      <c r="A19" s="16" t="s">
        <v>76</v>
      </c>
      <c r="B19" s="16" t="s">
        <v>43</v>
      </c>
      <c r="C19" s="16">
        <v>5.9390000000000001</v>
      </c>
      <c r="D19" s="16">
        <v>38.441000000000003</v>
      </c>
      <c r="E19" s="16">
        <v>6.149</v>
      </c>
      <c r="F19" s="16">
        <v>-0.56599999999999995</v>
      </c>
      <c r="G19" s="6">
        <v>1</v>
      </c>
      <c r="H19" s="16">
        <v>180</v>
      </c>
      <c r="I19" s="16" t="s">
        <v>44</v>
      </c>
      <c r="J19" s="16"/>
      <c r="K19" s="16">
        <v>9.6999999999999993</v>
      </c>
      <c r="L19" s="16">
        <f t="shared" si="3"/>
        <v>-3.5509999999999993</v>
      </c>
      <c r="M19" s="16"/>
      <c r="N19" s="16"/>
      <c r="O19" s="16">
        <v>0</v>
      </c>
      <c r="P19" s="16"/>
      <c r="Q19" s="16"/>
      <c r="R19" s="16"/>
      <c r="S19" s="16">
        <v>63.97999999999999</v>
      </c>
      <c r="T19" s="16"/>
      <c r="U19" s="16"/>
      <c r="V19" s="16">
        <f t="shared" si="4"/>
        <v>1.2298</v>
      </c>
      <c r="W19" s="4"/>
      <c r="X19" s="4">
        <f t="shared" si="10"/>
        <v>0</v>
      </c>
      <c r="Y19" s="16"/>
      <c r="Z19" s="16">
        <f t="shared" si="5"/>
        <v>51.564482029598295</v>
      </c>
      <c r="AA19" s="16">
        <f t="shared" si="9"/>
        <v>51.564482029598295</v>
      </c>
      <c r="AB19" s="16">
        <v>4.8632</v>
      </c>
      <c r="AC19" s="16">
        <v>4.8779999999999992</v>
      </c>
      <c r="AD19" s="16">
        <v>4.3624000000000001</v>
      </c>
      <c r="AE19" s="16">
        <v>4.9363999999999999</v>
      </c>
      <c r="AF19" s="16">
        <v>5.5602</v>
      </c>
      <c r="AG19" s="16">
        <v>7.5060000000000002</v>
      </c>
      <c r="AH19" s="16">
        <v>7.0279999999999996</v>
      </c>
      <c r="AI19" s="16">
        <v>6.3250000000000002</v>
      </c>
      <c r="AJ19" s="16">
        <v>6.3784000000000001</v>
      </c>
      <c r="AK19" s="16">
        <v>6.1204000000000001</v>
      </c>
      <c r="AL19" s="16"/>
      <c r="AM19" s="16">
        <f t="shared" si="6"/>
        <v>0</v>
      </c>
      <c r="AN19" t="s">
        <v>77</v>
      </c>
      <c r="AO19" s="21" t="str">
        <f t="shared" si="7"/>
        <v>матрица</v>
      </c>
    </row>
    <row r="20" spans="1:41" x14ac:dyDescent="0.25">
      <c r="A20" s="16" t="s">
        <v>78</v>
      </c>
      <c r="B20" s="16" t="s">
        <v>43</v>
      </c>
      <c r="C20" s="16">
        <v>313.90100000000001</v>
      </c>
      <c r="D20" s="16">
        <v>53.039000000000001</v>
      </c>
      <c r="E20" s="16">
        <v>109.14</v>
      </c>
      <c r="F20" s="16">
        <v>240.251</v>
      </c>
      <c r="G20" s="6">
        <v>1</v>
      </c>
      <c r="H20" s="16">
        <v>60</v>
      </c>
      <c r="I20" s="16" t="s">
        <v>44</v>
      </c>
      <c r="J20" s="16"/>
      <c r="K20" s="16">
        <v>102.7</v>
      </c>
      <c r="L20" s="16">
        <f t="shared" si="3"/>
        <v>6.4399999999999977</v>
      </c>
      <c r="M20" s="16"/>
      <c r="N20" s="16"/>
      <c r="O20" s="16">
        <v>120.11363661258849</v>
      </c>
      <c r="P20" s="16"/>
      <c r="Q20" s="16"/>
      <c r="R20" s="16"/>
      <c r="S20" s="16">
        <v>0</v>
      </c>
      <c r="T20" s="16"/>
      <c r="U20" s="16"/>
      <c r="V20" s="16">
        <f t="shared" si="4"/>
        <v>21.827999999999999</v>
      </c>
      <c r="W20" s="4"/>
      <c r="X20" s="4">
        <f t="shared" si="10"/>
        <v>0</v>
      </c>
      <c r="Y20" s="16"/>
      <c r="Z20" s="16">
        <f t="shared" si="5"/>
        <v>16.509283333910044</v>
      </c>
      <c r="AA20" s="16">
        <f t="shared" si="9"/>
        <v>16.509283333910044</v>
      </c>
      <c r="AB20" s="16">
        <v>24.819600000000001</v>
      </c>
      <c r="AC20" s="16">
        <v>23.265000000000001</v>
      </c>
      <c r="AD20" s="16">
        <v>64.643600000000006</v>
      </c>
      <c r="AE20" s="16">
        <v>58.071800000000003</v>
      </c>
      <c r="AF20" s="16">
        <v>56.750199999999992</v>
      </c>
      <c r="AG20" s="16">
        <v>79.769800000000004</v>
      </c>
      <c r="AH20" s="16">
        <v>80.206800000000001</v>
      </c>
      <c r="AI20" s="16">
        <v>75.62</v>
      </c>
      <c r="AJ20" s="16">
        <v>64.991</v>
      </c>
      <c r="AK20" s="16">
        <v>61.033200000000001</v>
      </c>
      <c r="AL20" s="16"/>
      <c r="AM20" s="16">
        <f t="shared" si="6"/>
        <v>0</v>
      </c>
      <c r="AN20" t="s">
        <v>79</v>
      </c>
      <c r="AO20" s="21" t="str">
        <f t="shared" si="7"/>
        <v>матрица</v>
      </c>
    </row>
    <row r="21" spans="1:41" x14ac:dyDescent="0.25">
      <c r="A21" s="16" t="s">
        <v>80</v>
      </c>
      <c r="B21" s="16" t="s">
        <v>43</v>
      </c>
      <c r="C21" s="16">
        <v>149.81800000000001</v>
      </c>
      <c r="D21" s="16">
        <v>143.85400000000001</v>
      </c>
      <c r="E21" s="16">
        <v>25.460999999999999</v>
      </c>
      <c r="F21" s="16">
        <v>116.41800000000001</v>
      </c>
      <c r="G21" s="6">
        <v>1</v>
      </c>
      <c r="H21" s="16">
        <v>70</v>
      </c>
      <c r="I21" s="16" t="s">
        <v>44</v>
      </c>
      <c r="J21" s="16"/>
      <c r="K21" s="16">
        <v>30.308</v>
      </c>
      <c r="L21" s="16">
        <f t="shared" si="3"/>
        <v>-4.8470000000000013</v>
      </c>
      <c r="M21" s="16"/>
      <c r="N21" s="16"/>
      <c r="O21" s="16">
        <v>0</v>
      </c>
      <c r="P21" s="16"/>
      <c r="Q21" s="16"/>
      <c r="R21" s="16"/>
      <c r="S21" s="16">
        <v>0</v>
      </c>
      <c r="T21" s="16"/>
      <c r="U21" s="16"/>
      <c r="V21" s="16">
        <f t="shared" si="4"/>
        <v>5.0922000000000001</v>
      </c>
      <c r="W21" s="4"/>
      <c r="X21" s="4">
        <f t="shared" si="10"/>
        <v>0</v>
      </c>
      <c r="Y21" s="16"/>
      <c r="Z21" s="16">
        <f t="shared" si="5"/>
        <v>22.862024272416637</v>
      </c>
      <c r="AA21" s="16">
        <f t="shared" si="9"/>
        <v>22.862024272416637</v>
      </c>
      <c r="AB21" s="16">
        <v>2.9807999999999999</v>
      </c>
      <c r="AC21" s="16">
        <v>1.7667999999999999</v>
      </c>
      <c r="AD21" s="16">
        <v>11.1084</v>
      </c>
      <c r="AE21" s="16">
        <v>22.072600000000001</v>
      </c>
      <c r="AF21" s="16">
        <v>24.557600000000001</v>
      </c>
      <c r="AG21" s="16">
        <v>24.7864</v>
      </c>
      <c r="AH21" s="16">
        <v>16.4818</v>
      </c>
      <c r="AI21" s="16">
        <v>17.9194</v>
      </c>
      <c r="AJ21" s="16">
        <v>20.691400000000002</v>
      </c>
      <c r="AK21" s="16">
        <v>19.97</v>
      </c>
      <c r="AL21" s="14" t="s">
        <v>72</v>
      </c>
      <c r="AM21" s="16">
        <f t="shared" si="6"/>
        <v>0</v>
      </c>
      <c r="AN21" t="s">
        <v>81</v>
      </c>
      <c r="AO21" s="21" t="str">
        <f t="shared" si="7"/>
        <v>матрица</v>
      </c>
    </row>
    <row r="22" spans="1:41" x14ac:dyDescent="0.25">
      <c r="A22" s="16" t="s">
        <v>82</v>
      </c>
      <c r="B22" s="16" t="s">
        <v>43</v>
      </c>
      <c r="C22" s="16">
        <v>101.05500000000001</v>
      </c>
      <c r="D22" s="16">
        <v>200.28399999999999</v>
      </c>
      <c r="E22" s="16">
        <v>43.941000000000003</v>
      </c>
      <c r="F22" s="16">
        <v>151.05600000000001</v>
      </c>
      <c r="G22" s="6">
        <v>1</v>
      </c>
      <c r="H22" s="16">
        <v>70</v>
      </c>
      <c r="I22" s="9" t="s">
        <v>44</v>
      </c>
      <c r="J22" s="16"/>
      <c r="K22" s="16">
        <v>44.4</v>
      </c>
      <c r="L22" s="16">
        <f t="shared" si="3"/>
        <v>-0.45899999999999608</v>
      </c>
      <c r="M22" s="16"/>
      <c r="N22" s="16"/>
      <c r="O22" s="16">
        <v>0</v>
      </c>
      <c r="P22" s="16"/>
      <c r="Q22" s="16"/>
      <c r="R22" s="16"/>
      <c r="S22" s="16">
        <v>0</v>
      </c>
      <c r="T22" s="16"/>
      <c r="U22" s="16"/>
      <c r="V22" s="16">
        <f t="shared" si="4"/>
        <v>8.7881999999999998</v>
      </c>
      <c r="W22" s="4"/>
      <c r="X22" s="4">
        <f t="shared" si="10"/>
        <v>0</v>
      </c>
      <c r="Y22" s="16"/>
      <c r="Z22" s="16">
        <f t="shared" si="5"/>
        <v>17.188502765071348</v>
      </c>
      <c r="AA22" s="16">
        <f t="shared" si="9"/>
        <v>17.188502765071348</v>
      </c>
      <c r="AB22" s="16">
        <v>12.298999999999999</v>
      </c>
      <c r="AC22" s="16">
        <v>9.3088000000000015</v>
      </c>
      <c r="AD22" s="16">
        <v>12.678599999999999</v>
      </c>
      <c r="AE22" s="16">
        <v>24.118200000000002</v>
      </c>
      <c r="AF22" s="16">
        <v>18.269200000000001</v>
      </c>
      <c r="AG22" s="16">
        <v>21.5534</v>
      </c>
      <c r="AH22" s="16">
        <v>26.809000000000001</v>
      </c>
      <c r="AI22" s="16">
        <v>31.9404</v>
      </c>
      <c r="AJ22" s="16">
        <v>32.387</v>
      </c>
      <c r="AK22" s="16">
        <v>26.2134</v>
      </c>
      <c r="AL22" s="16" t="s">
        <v>83</v>
      </c>
      <c r="AM22" s="16">
        <f t="shared" si="6"/>
        <v>0</v>
      </c>
      <c r="AN22" t="s">
        <v>84</v>
      </c>
      <c r="AO22" s="21" t="str">
        <f t="shared" si="7"/>
        <v>матрица</v>
      </c>
    </row>
    <row r="23" spans="1:41" x14ac:dyDescent="0.25">
      <c r="A23" s="16" t="s">
        <v>85</v>
      </c>
      <c r="B23" s="16" t="s">
        <v>43</v>
      </c>
      <c r="C23" s="16">
        <v>18.768000000000001</v>
      </c>
      <c r="D23" s="16">
        <v>38.664000000000001</v>
      </c>
      <c r="E23" s="16">
        <v>16.489000000000001</v>
      </c>
      <c r="F23" s="16">
        <v>0.873</v>
      </c>
      <c r="G23" s="6">
        <v>1</v>
      </c>
      <c r="H23" s="16">
        <v>180</v>
      </c>
      <c r="I23" s="16" t="s">
        <v>44</v>
      </c>
      <c r="J23" s="16"/>
      <c r="K23" s="16">
        <v>16.899999999999999</v>
      </c>
      <c r="L23" s="16">
        <f t="shared" si="3"/>
        <v>-0.41099999999999781</v>
      </c>
      <c r="M23" s="16"/>
      <c r="N23" s="16"/>
      <c r="O23" s="16">
        <v>0</v>
      </c>
      <c r="P23" s="16"/>
      <c r="Q23" s="16"/>
      <c r="R23" s="16"/>
      <c r="S23" s="16">
        <v>58.63280000000001</v>
      </c>
      <c r="T23" s="16"/>
      <c r="U23" s="16"/>
      <c r="V23" s="16">
        <f t="shared" si="4"/>
        <v>3.2978000000000001</v>
      </c>
      <c r="W23" s="4"/>
      <c r="X23" s="4">
        <f t="shared" si="10"/>
        <v>0</v>
      </c>
      <c r="Y23" s="16"/>
      <c r="Z23" s="16">
        <f t="shared" si="5"/>
        <v>18.044089999393538</v>
      </c>
      <c r="AA23" s="16">
        <f t="shared" si="9"/>
        <v>18.044089999393538</v>
      </c>
      <c r="AB23" s="16">
        <v>6.2813999999999997</v>
      </c>
      <c r="AC23" s="16">
        <v>5.3385999999999996</v>
      </c>
      <c r="AD23" s="16">
        <v>3.8740000000000001</v>
      </c>
      <c r="AE23" s="16">
        <v>4.6496000000000004</v>
      </c>
      <c r="AF23" s="16">
        <v>6.7364000000000006</v>
      </c>
      <c r="AG23" s="16">
        <v>8.1237999999999992</v>
      </c>
      <c r="AH23" s="16">
        <v>7.3412000000000006</v>
      </c>
      <c r="AI23" s="16">
        <v>7.2737999999999996</v>
      </c>
      <c r="AJ23" s="16">
        <v>6.770999999999999</v>
      </c>
      <c r="AK23" s="16">
        <v>5.3578000000000001</v>
      </c>
      <c r="AL23" s="16"/>
      <c r="AM23" s="16">
        <f t="shared" si="6"/>
        <v>0</v>
      </c>
      <c r="AN23" t="s">
        <v>86</v>
      </c>
      <c r="AO23" s="21" t="str">
        <f t="shared" si="7"/>
        <v>матрица</v>
      </c>
    </row>
    <row r="24" spans="1:41" x14ac:dyDescent="0.25">
      <c r="A24" s="16" t="s">
        <v>87</v>
      </c>
      <c r="B24" s="16" t="s">
        <v>43</v>
      </c>
      <c r="C24" s="16">
        <v>88.808000000000007</v>
      </c>
      <c r="D24" s="16">
        <v>384.83300000000003</v>
      </c>
      <c r="E24" s="16">
        <v>60.468000000000004</v>
      </c>
      <c r="F24" s="16">
        <v>103.116</v>
      </c>
      <c r="G24" s="6">
        <v>1</v>
      </c>
      <c r="H24" s="16">
        <v>70</v>
      </c>
      <c r="I24" s="9" t="s">
        <v>44</v>
      </c>
      <c r="J24" s="16"/>
      <c r="K24" s="16">
        <v>56.5</v>
      </c>
      <c r="L24" s="16">
        <f t="shared" si="3"/>
        <v>3.9680000000000035</v>
      </c>
      <c r="M24" s="16"/>
      <c r="N24" s="16"/>
      <c r="O24" s="16">
        <v>0</v>
      </c>
      <c r="P24" s="16"/>
      <c r="Q24" s="16"/>
      <c r="R24" s="16"/>
      <c r="S24" s="16">
        <v>0</v>
      </c>
      <c r="T24" s="16"/>
      <c r="U24" s="16"/>
      <c r="V24" s="16">
        <f t="shared" si="4"/>
        <v>12.0936</v>
      </c>
      <c r="W24" s="4">
        <f>12*V24-U24-S24-R24-Q24-P24-O24-F24</f>
        <v>42.007199999999997</v>
      </c>
      <c r="X24" s="19">
        <f>W24+V24</f>
        <v>54.1008</v>
      </c>
      <c r="Y24" s="16"/>
      <c r="Z24" s="16">
        <f t="shared" si="5"/>
        <v>13</v>
      </c>
      <c r="AA24" s="16">
        <f t="shared" si="9"/>
        <v>8.5264933518555264</v>
      </c>
      <c r="AB24" s="16">
        <v>12.107799999999999</v>
      </c>
      <c r="AC24" s="16">
        <v>10.0344</v>
      </c>
      <c r="AD24" s="16">
        <v>32.643000000000001</v>
      </c>
      <c r="AE24" s="16">
        <v>50.256799999999998</v>
      </c>
      <c r="AF24" s="16">
        <v>50.878</v>
      </c>
      <c r="AG24" s="16">
        <v>32.047199999999997</v>
      </c>
      <c r="AH24" s="16">
        <v>25.897600000000001</v>
      </c>
      <c r="AI24" s="16">
        <v>37.567</v>
      </c>
      <c r="AJ24" s="16">
        <v>37.298999999999999</v>
      </c>
      <c r="AK24" s="16">
        <v>36.141000000000012</v>
      </c>
      <c r="AL24" s="16" t="s">
        <v>83</v>
      </c>
      <c r="AM24" s="16">
        <f t="shared" si="6"/>
        <v>54</v>
      </c>
      <c r="AN24" t="s">
        <v>88</v>
      </c>
      <c r="AO24" s="21" t="str">
        <f t="shared" si="7"/>
        <v>матрица</v>
      </c>
    </row>
    <row r="25" spans="1:41" x14ac:dyDescent="0.25">
      <c r="A25" s="10" t="s">
        <v>89</v>
      </c>
      <c r="B25" s="10" t="s">
        <v>43</v>
      </c>
      <c r="C25" s="10"/>
      <c r="D25" s="10"/>
      <c r="E25" s="10"/>
      <c r="F25" s="10"/>
      <c r="G25" s="11">
        <v>0</v>
      </c>
      <c r="H25" s="10"/>
      <c r="I25" s="10" t="s">
        <v>44</v>
      </c>
      <c r="J25" s="10"/>
      <c r="K25" s="10"/>
      <c r="L25" s="10">
        <f t="shared" si="3"/>
        <v>0</v>
      </c>
      <c r="M25" s="10"/>
      <c r="N25" s="10"/>
      <c r="O25" s="10"/>
      <c r="P25" s="10"/>
      <c r="Q25" s="10"/>
      <c r="R25" s="10"/>
      <c r="S25" s="10">
        <v>0</v>
      </c>
      <c r="T25" s="10"/>
      <c r="U25" s="10"/>
      <c r="V25" s="10">
        <f t="shared" si="4"/>
        <v>0</v>
      </c>
      <c r="W25" s="12"/>
      <c r="X25" s="4">
        <f>W25</f>
        <v>0</v>
      </c>
      <c r="Y25" s="16"/>
      <c r="Z25" s="16" t="e">
        <f t="shared" si="5"/>
        <v>#DIV/0!</v>
      </c>
      <c r="AA25" s="10"/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 t="s">
        <v>52</v>
      </c>
      <c r="AM25" s="16">
        <f t="shared" si="6"/>
        <v>0</v>
      </c>
      <c r="AN25" t="s">
        <v>90</v>
      </c>
      <c r="AO25" s="21" t="str">
        <f t="shared" si="7"/>
        <v>матрица</v>
      </c>
    </row>
    <row r="26" spans="1:41" x14ac:dyDescent="0.25">
      <c r="A26" s="16" t="s">
        <v>91</v>
      </c>
      <c r="B26" s="16" t="s">
        <v>43</v>
      </c>
      <c r="C26" s="16">
        <v>7.1820000000000004</v>
      </c>
      <c r="D26" s="16">
        <v>220.26300000000001</v>
      </c>
      <c r="E26" s="16">
        <v>48.295999999999999</v>
      </c>
      <c r="F26" s="16">
        <v>113.13800000000001</v>
      </c>
      <c r="G26" s="6">
        <v>1</v>
      </c>
      <c r="H26" s="16"/>
      <c r="I26" s="9" t="s">
        <v>44</v>
      </c>
      <c r="J26" s="16"/>
      <c r="K26" s="16">
        <v>57.5</v>
      </c>
      <c r="L26" s="16">
        <f t="shared" si="3"/>
        <v>-9.2040000000000006</v>
      </c>
      <c r="M26" s="16"/>
      <c r="N26" s="16"/>
      <c r="O26" s="16">
        <v>55.239207031064041</v>
      </c>
      <c r="P26" s="16"/>
      <c r="Q26" s="16"/>
      <c r="R26" s="16"/>
      <c r="S26" s="16">
        <v>0</v>
      </c>
      <c r="T26" s="16"/>
      <c r="U26" s="16"/>
      <c r="V26" s="16">
        <f t="shared" si="4"/>
        <v>9.6592000000000002</v>
      </c>
      <c r="W26" s="4"/>
      <c r="X26" s="4">
        <f>W26</f>
        <v>0</v>
      </c>
      <c r="Y26" s="16"/>
      <c r="Z26" s="16">
        <f t="shared" si="5"/>
        <v>17.431796321751701</v>
      </c>
      <c r="AA26" s="16">
        <f t="shared" ref="AA26:AA41" si="11">(F26+O26+P26+Q26+R26+S26+U26)/V26</f>
        <v>17.431796321751701</v>
      </c>
      <c r="AB26" s="16">
        <v>4.1318000000000001</v>
      </c>
      <c r="AC26" s="16">
        <v>11.148199999999999</v>
      </c>
      <c r="AD26" s="16">
        <v>25.6892</v>
      </c>
      <c r="AE26" s="16">
        <v>21.925799999999999</v>
      </c>
      <c r="AF26" s="16">
        <v>18.2592</v>
      </c>
      <c r="AG26" s="16">
        <v>16.141200000000001</v>
      </c>
      <c r="AH26" s="16">
        <v>2.0912000000000002</v>
      </c>
      <c r="AI26" s="16">
        <v>5.1159999999999997</v>
      </c>
      <c r="AJ26" s="16">
        <v>17.8748</v>
      </c>
      <c r="AK26" s="16">
        <v>40.319000000000003</v>
      </c>
      <c r="AL26" s="16"/>
      <c r="AM26" s="16">
        <f t="shared" si="6"/>
        <v>0</v>
      </c>
      <c r="AN26" t="s">
        <v>92</v>
      </c>
      <c r="AO26" s="21" t="str">
        <f t="shared" si="7"/>
        <v>матрица</v>
      </c>
    </row>
    <row r="27" spans="1:41" x14ac:dyDescent="0.25">
      <c r="A27" s="16" t="s">
        <v>93</v>
      </c>
      <c r="B27" s="16" t="s">
        <v>43</v>
      </c>
      <c r="C27" s="16">
        <v>-6.3E-2</v>
      </c>
      <c r="D27" s="16"/>
      <c r="E27" s="16"/>
      <c r="F27" s="16">
        <v>-6.3E-2</v>
      </c>
      <c r="G27" s="6">
        <v>1</v>
      </c>
      <c r="H27" s="16">
        <v>40</v>
      </c>
      <c r="I27" s="9" t="s">
        <v>63</v>
      </c>
      <c r="J27" s="16"/>
      <c r="K27" s="16">
        <v>8</v>
      </c>
      <c r="L27" s="16">
        <f t="shared" si="3"/>
        <v>-8</v>
      </c>
      <c r="M27" s="16"/>
      <c r="N27" s="16"/>
      <c r="O27" s="16">
        <v>126</v>
      </c>
      <c r="P27" s="16"/>
      <c r="Q27" s="16"/>
      <c r="R27" s="16"/>
      <c r="S27" s="16">
        <v>52</v>
      </c>
      <c r="T27" s="16"/>
      <c r="U27" s="16"/>
      <c r="V27" s="16">
        <f t="shared" si="4"/>
        <v>0</v>
      </c>
      <c r="W27" s="4"/>
      <c r="X27" s="4">
        <f>W27</f>
        <v>0</v>
      </c>
      <c r="Y27" s="16"/>
      <c r="Z27" s="16" t="e">
        <f t="shared" si="5"/>
        <v>#DIV/0!</v>
      </c>
      <c r="AA27" s="16" t="e">
        <f t="shared" si="11"/>
        <v>#DIV/0!</v>
      </c>
      <c r="AB27" s="16">
        <v>0</v>
      </c>
      <c r="AC27" s="16">
        <v>2.1427999999999998</v>
      </c>
      <c r="AD27" s="16">
        <v>10.8134</v>
      </c>
      <c r="AE27" s="16">
        <v>17.641400000000001</v>
      </c>
      <c r="AF27" s="16">
        <v>8.9708000000000006</v>
      </c>
      <c r="AG27" s="16">
        <v>-0.30919999999999997</v>
      </c>
      <c r="AH27" s="16">
        <v>-0.6</v>
      </c>
      <c r="AI27" s="16">
        <v>-0.49919999999999998</v>
      </c>
      <c r="AJ27" s="16">
        <v>-0.2084</v>
      </c>
      <c r="AK27" s="16">
        <v>-0.311</v>
      </c>
      <c r="AL27" s="16"/>
      <c r="AM27" s="16">
        <f t="shared" si="6"/>
        <v>0</v>
      </c>
      <c r="AN27" t="s">
        <v>94</v>
      </c>
      <c r="AO27" s="21" t="str">
        <f t="shared" si="7"/>
        <v>НЕДОГРУЗ / матрица</v>
      </c>
    </row>
    <row r="28" spans="1:41" x14ac:dyDescent="0.25">
      <c r="A28" s="16" t="s">
        <v>95</v>
      </c>
      <c r="B28" s="16" t="s">
        <v>43</v>
      </c>
      <c r="C28" s="16">
        <v>203.416</v>
      </c>
      <c r="D28" s="16">
        <v>67.926000000000002</v>
      </c>
      <c r="E28" s="16">
        <v>199.80799999999999</v>
      </c>
      <c r="F28" s="16">
        <v>44.988999999999997</v>
      </c>
      <c r="G28" s="6">
        <v>1</v>
      </c>
      <c r="H28" s="16">
        <v>30</v>
      </c>
      <c r="I28" s="9" t="s">
        <v>63</v>
      </c>
      <c r="J28" s="16"/>
      <c r="K28" s="16">
        <v>209.9</v>
      </c>
      <c r="L28" s="16">
        <f t="shared" si="3"/>
        <v>-10.092000000000013</v>
      </c>
      <c r="M28" s="16"/>
      <c r="N28" s="16"/>
      <c r="O28" s="16">
        <v>0</v>
      </c>
      <c r="P28" s="16"/>
      <c r="Q28" s="16"/>
      <c r="R28" s="16"/>
      <c r="S28" s="16">
        <v>58.979179999999992</v>
      </c>
      <c r="T28" s="16"/>
      <c r="U28" s="16"/>
      <c r="V28" s="16">
        <f t="shared" si="4"/>
        <v>39.961599999999997</v>
      </c>
      <c r="W28" s="4">
        <v>250</v>
      </c>
      <c r="X28" s="4">
        <f>Y28</f>
        <v>280</v>
      </c>
      <c r="Y28" s="16">
        <f>VLOOKUP(A28,[1]Sheet!$A:$X,24,0)</f>
        <v>280</v>
      </c>
      <c r="Z28" s="16">
        <f t="shared" si="5"/>
        <v>9.6084285914477903</v>
      </c>
      <c r="AA28" s="16">
        <f t="shared" si="11"/>
        <v>2.6017021340486868</v>
      </c>
      <c r="AB28" s="16">
        <v>36.950599999999987</v>
      </c>
      <c r="AC28" s="16">
        <v>19.311800000000002</v>
      </c>
      <c r="AD28" s="16">
        <v>9.3336000000000006</v>
      </c>
      <c r="AE28" s="16">
        <v>16.171600000000002</v>
      </c>
      <c r="AF28" s="16">
        <v>39.539400000000001</v>
      </c>
      <c r="AG28" s="16">
        <v>40.031599999999997</v>
      </c>
      <c r="AH28" s="16">
        <v>22.977399999999999</v>
      </c>
      <c r="AI28" s="16">
        <v>27.055800000000001</v>
      </c>
      <c r="AJ28" s="16">
        <v>48.028799999999997</v>
      </c>
      <c r="AK28" s="16">
        <v>31.125599999999999</v>
      </c>
      <c r="AL28" s="16"/>
      <c r="AM28" s="16">
        <f t="shared" si="6"/>
        <v>280</v>
      </c>
      <c r="AN28" t="s">
        <v>96</v>
      </c>
      <c r="AO28" s="21" t="str">
        <f t="shared" si="7"/>
        <v>НЕДОГРУЗ / матрица</v>
      </c>
    </row>
    <row r="29" spans="1:41" x14ac:dyDescent="0.25">
      <c r="A29" s="16" t="s">
        <v>97</v>
      </c>
      <c r="B29" s="16" t="s">
        <v>43</v>
      </c>
      <c r="C29" s="16">
        <v>445.12700000000001</v>
      </c>
      <c r="D29" s="16">
        <v>319.05599999999998</v>
      </c>
      <c r="E29" s="16">
        <v>391.91899999999998</v>
      </c>
      <c r="F29" s="16">
        <v>16.809999999999999</v>
      </c>
      <c r="G29" s="6">
        <v>1</v>
      </c>
      <c r="H29" s="16">
        <v>40</v>
      </c>
      <c r="I29" s="9" t="s">
        <v>44</v>
      </c>
      <c r="J29" s="16"/>
      <c r="K29" s="16">
        <v>357.9</v>
      </c>
      <c r="L29" s="16">
        <f t="shared" si="3"/>
        <v>34.019000000000005</v>
      </c>
      <c r="M29" s="16"/>
      <c r="N29" s="16"/>
      <c r="O29" s="16">
        <v>0</v>
      </c>
      <c r="P29" s="16"/>
      <c r="Q29" s="16"/>
      <c r="R29" s="16"/>
      <c r="S29" s="16">
        <v>1111.8580199999999</v>
      </c>
      <c r="T29" s="16"/>
      <c r="U29" s="16"/>
      <c r="V29" s="16">
        <f t="shared" si="4"/>
        <v>78.383799999999994</v>
      </c>
      <c r="W29" s="4"/>
      <c r="X29" s="4">
        <f>W29</f>
        <v>0</v>
      </c>
      <c r="Y29" s="16"/>
      <c r="Z29" s="16">
        <f t="shared" si="5"/>
        <v>14.3992511207673</v>
      </c>
      <c r="AA29" s="16">
        <f t="shared" si="11"/>
        <v>14.3992511207673</v>
      </c>
      <c r="AB29" s="16">
        <v>82.191000000000003</v>
      </c>
      <c r="AC29" s="16">
        <v>101.8682</v>
      </c>
      <c r="AD29" s="16">
        <v>58.460400000000007</v>
      </c>
      <c r="AE29" s="16">
        <v>43.297199999999997</v>
      </c>
      <c r="AF29" s="16">
        <v>65.6066</v>
      </c>
      <c r="AG29" s="16">
        <v>148.5498</v>
      </c>
      <c r="AH29" s="16">
        <v>181.39400000000001</v>
      </c>
      <c r="AI29" s="16">
        <v>103.46299999999999</v>
      </c>
      <c r="AJ29" s="16">
        <v>27.103999999999999</v>
      </c>
      <c r="AK29" s="16">
        <v>-0.1542</v>
      </c>
      <c r="AL29" s="16"/>
      <c r="AM29" s="16">
        <f t="shared" si="6"/>
        <v>0</v>
      </c>
      <c r="AN29" t="s">
        <v>98</v>
      </c>
      <c r="AO29" s="21" t="str">
        <f t="shared" si="7"/>
        <v>матрица</v>
      </c>
    </row>
    <row r="30" spans="1:41" x14ac:dyDescent="0.25">
      <c r="A30" s="16" t="s">
        <v>99</v>
      </c>
      <c r="B30" s="16" t="s">
        <v>43</v>
      </c>
      <c r="C30" s="16">
        <v>27.350999999999999</v>
      </c>
      <c r="D30" s="16"/>
      <c r="E30" s="16">
        <v>10.82</v>
      </c>
      <c r="F30" s="16">
        <v>14.95</v>
      </c>
      <c r="G30" s="6">
        <v>1</v>
      </c>
      <c r="H30" s="16">
        <v>40</v>
      </c>
      <c r="I30" s="9" t="s">
        <v>44</v>
      </c>
      <c r="J30" s="16"/>
      <c r="K30" s="16">
        <v>9.3000000000000007</v>
      </c>
      <c r="L30" s="16">
        <f t="shared" si="3"/>
        <v>1.5199999999999996</v>
      </c>
      <c r="M30" s="16"/>
      <c r="N30" s="16"/>
      <c r="O30" s="16">
        <v>34.767980045267677</v>
      </c>
      <c r="P30" s="16"/>
      <c r="Q30" s="16"/>
      <c r="R30" s="16"/>
      <c r="S30" s="16">
        <v>26</v>
      </c>
      <c r="T30" s="16"/>
      <c r="U30" s="16"/>
      <c r="V30" s="16">
        <f t="shared" si="4"/>
        <v>2.1640000000000001</v>
      </c>
      <c r="W30" s="4"/>
      <c r="X30" s="4">
        <f>W30</f>
        <v>0</v>
      </c>
      <c r="Y30" s="16"/>
      <c r="Z30" s="16">
        <f t="shared" si="5"/>
        <v>34.989824420179147</v>
      </c>
      <c r="AA30" s="16">
        <f t="shared" si="11"/>
        <v>34.989824420179147</v>
      </c>
      <c r="AB30" s="16">
        <v>1.5367999999999999</v>
      </c>
      <c r="AC30" s="16">
        <v>0.94800000000000006</v>
      </c>
      <c r="AD30" s="16">
        <v>1.244</v>
      </c>
      <c r="AE30" s="16">
        <v>4.5960000000000001</v>
      </c>
      <c r="AF30" s="16">
        <v>5.7263999999999999</v>
      </c>
      <c r="AG30" s="16">
        <v>3.5457999999999998</v>
      </c>
      <c r="AH30" s="16">
        <v>2.9331999999999998</v>
      </c>
      <c r="AI30" s="16">
        <v>2.6417999999999999</v>
      </c>
      <c r="AJ30" s="16">
        <v>0</v>
      </c>
      <c r="AK30" s="16">
        <v>0</v>
      </c>
      <c r="AL30" s="16"/>
      <c r="AM30" s="16">
        <f t="shared" si="6"/>
        <v>0</v>
      </c>
      <c r="AN30" t="s">
        <v>100</v>
      </c>
      <c r="AO30" s="21" t="str">
        <f t="shared" si="7"/>
        <v>матрица</v>
      </c>
    </row>
    <row r="31" spans="1:41" x14ac:dyDescent="0.25">
      <c r="A31" s="16" t="s">
        <v>101</v>
      </c>
      <c r="B31" s="16" t="s">
        <v>43</v>
      </c>
      <c r="C31" s="16">
        <v>66.840999999999994</v>
      </c>
      <c r="D31" s="16">
        <v>6.859</v>
      </c>
      <c r="E31" s="16">
        <v>39.709000000000003</v>
      </c>
      <c r="F31" s="16">
        <v>19.567</v>
      </c>
      <c r="G31" s="6">
        <v>1</v>
      </c>
      <c r="H31" s="16">
        <v>30</v>
      </c>
      <c r="I31" s="16" t="s">
        <v>63</v>
      </c>
      <c r="J31" s="16"/>
      <c r="K31" s="16">
        <v>49.5</v>
      </c>
      <c r="L31" s="16">
        <f t="shared" si="3"/>
        <v>-9.7909999999999968</v>
      </c>
      <c r="M31" s="16"/>
      <c r="N31" s="16"/>
      <c r="O31" s="16">
        <v>0</v>
      </c>
      <c r="P31" s="16"/>
      <c r="Q31" s="16"/>
      <c r="R31" s="16"/>
      <c r="S31" s="16">
        <v>163.13900000000001</v>
      </c>
      <c r="T31" s="16"/>
      <c r="U31" s="16"/>
      <c r="V31" s="16">
        <f t="shared" si="4"/>
        <v>7.9418000000000006</v>
      </c>
      <c r="W31" s="4"/>
      <c r="X31" s="4">
        <f>W31</f>
        <v>0</v>
      </c>
      <c r="Y31" s="16"/>
      <c r="Z31" s="16">
        <f t="shared" si="5"/>
        <v>23.005615855347653</v>
      </c>
      <c r="AA31" s="16">
        <f t="shared" si="11"/>
        <v>23.005615855347653</v>
      </c>
      <c r="AB31" s="16">
        <v>17.933199999999999</v>
      </c>
      <c r="AC31" s="16">
        <v>20.16</v>
      </c>
      <c r="AD31" s="16">
        <v>6.9640000000000004</v>
      </c>
      <c r="AE31" s="16">
        <v>-1.2383999999999999</v>
      </c>
      <c r="AF31" s="16">
        <v>7.7220000000000004</v>
      </c>
      <c r="AG31" s="16">
        <v>20.628799999999998</v>
      </c>
      <c r="AH31" s="16">
        <v>19.175799999999999</v>
      </c>
      <c r="AI31" s="16">
        <v>5.3548</v>
      </c>
      <c r="AJ31" s="16">
        <v>3.99</v>
      </c>
      <c r="AK31" s="16">
        <v>15.735799999999999</v>
      </c>
      <c r="AL31" s="16" t="s">
        <v>102</v>
      </c>
      <c r="AM31" s="16">
        <f t="shared" si="6"/>
        <v>0</v>
      </c>
      <c r="AN31" t="s">
        <v>103</v>
      </c>
      <c r="AO31" s="21" t="str">
        <f t="shared" si="7"/>
        <v>НЕДОГРУЗ / матрица</v>
      </c>
    </row>
    <row r="32" spans="1:41" x14ac:dyDescent="0.25">
      <c r="A32" s="16" t="s">
        <v>104</v>
      </c>
      <c r="B32" s="16" t="s">
        <v>43</v>
      </c>
      <c r="C32" s="16">
        <v>-0.24399999999999999</v>
      </c>
      <c r="D32" s="16">
        <v>317.19299999999998</v>
      </c>
      <c r="E32" s="16">
        <v>68.903000000000006</v>
      </c>
      <c r="F32" s="16">
        <v>0.27200000000000002</v>
      </c>
      <c r="G32" s="6">
        <v>1</v>
      </c>
      <c r="H32" s="16">
        <v>50</v>
      </c>
      <c r="I32" s="9" t="s">
        <v>44</v>
      </c>
      <c r="J32" s="16"/>
      <c r="K32" s="16">
        <v>115.7</v>
      </c>
      <c r="L32" s="16">
        <f t="shared" si="3"/>
        <v>-46.796999999999997</v>
      </c>
      <c r="M32" s="16"/>
      <c r="N32" s="16"/>
      <c r="O32" s="16">
        <v>0</v>
      </c>
      <c r="P32" s="16"/>
      <c r="Q32" s="16"/>
      <c r="R32" s="16"/>
      <c r="S32" s="16">
        <v>0</v>
      </c>
      <c r="T32" s="16"/>
      <c r="U32" s="16"/>
      <c r="V32" s="16">
        <f t="shared" si="4"/>
        <v>13.780600000000002</v>
      </c>
      <c r="W32" s="4">
        <v>100</v>
      </c>
      <c r="X32" s="4">
        <f>W32</f>
        <v>100</v>
      </c>
      <c r="Y32" s="16"/>
      <c r="Z32" s="16">
        <f t="shared" si="5"/>
        <v>7.2763159804362649</v>
      </c>
      <c r="AA32" s="16">
        <f t="shared" si="11"/>
        <v>1.9737892399460111E-2</v>
      </c>
      <c r="AB32" s="16">
        <v>7.1421999999999999</v>
      </c>
      <c r="AC32" s="16">
        <v>7.5117999999999991</v>
      </c>
      <c r="AD32" s="16">
        <v>0.18379999999999999</v>
      </c>
      <c r="AE32" s="16">
        <v>4.2085999999999997</v>
      </c>
      <c r="AF32" s="16">
        <v>21.8612</v>
      </c>
      <c r="AG32" s="16">
        <v>24.236000000000001</v>
      </c>
      <c r="AH32" s="16">
        <v>10.8574</v>
      </c>
      <c r="AI32" s="16">
        <v>12.3216</v>
      </c>
      <c r="AJ32" s="16">
        <v>5.9024000000000001</v>
      </c>
      <c r="AK32" s="16">
        <v>2.0255999999999998</v>
      </c>
      <c r="AL32" s="16" t="s">
        <v>83</v>
      </c>
      <c r="AM32" s="16">
        <f t="shared" si="6"/>
        <v>100</v>
      </c>
      <c r="AN32" t="s">
        <v>105</v>
      </c>
      <c r="AO32" s="21" t="str">
        <f t="shared" si="7"/>
        <v>матрица</v>
      </c>
    </row>
    <row r="33" spans="1:41" x14ac:dyDescent="0.25">
      <c r="A33" s="16" t="s">
        <v>106</v>
      </c>
      <c r="B33" s="16" t="s">
        <v>43</v>
      </c>
      <c r="C33" s="16">
        <v>-3.66</v>
      </c>
      <c r="D33" s="16">
        <v>196.33699999999999</v>
      </c>
      <c r="E33" s="16">
        <v>64.185000000000002</v>
      </c>
      <c r="F33" s="16">
        <v>-3.0510000000000002</v>
      </c>
      <c r="G33" s="6">
        <v>1</v>
      </c>
      <c r="H33" s="16">
        <v>50</v>
      </c>
      <c r="I33" s="9" t="s">
        <v>44</v>
      </c>
      <c r="J33" s="16"/>
      <c r="K33" s="16">
        <v>84.5</v>
      </c>
      <c r="L33" s="16">
        <f t="shared" si="3"/>
        <v>-20.314999999999998</v>
      </c>
      <c r="M33" s="16"/>
      <c r="N33" s="16"/>
      <c r="O33" s="16">
        <v>126.3529594469065</v>
      </c>
      <c r="P33" s="16"/>
      <c r="Q33" s="16"/>
      <c r="R33" s="16"/>
      <c r="S33" s="16">
        <v>0</v>
      </c>
      <c r="T33" s="16"/>
      <c r="U33" s="16"/>
      <c r="V33" s="16">
        <f t="shared" si="4"/>
        <v>12.837</v>
      </c>
      <c r="W33" s="4">
        <f>12*V33-U33-S33-R33-Q33-P33-O33-F33</f>
        <v>30.742040553093489</v>
      </c>
      <c r="X33" s="19">
        <f>W33+V33</f>
        <v>43.579040553093492</v>
      </c>
      <c r="Y33" s="16"/>
      <c r="Z33" s="16">
        <f t="shared" si="5"/>
        <v>12.999999999999998</v>
      </c>
      <c r="AA33" s="16">
        <f t="shared" si="11"/>
        <v>9.6052005489527534</v>
      </c>
      <c r="AB33" s="16">
        <v>-0.1898</v>
      </c>
      <c r="AC33" s="16">
        <v>7.3756000000000004</v>
      </c>
      <c r="AD33" s="16">
        <v>28.135400000000001</v>
      </c>
      <c r="AE33" s="16">
        <v>25.8796</v>
      </c>
      <c r="AF33" s="16">
        <v>9.8638000000000012</v>
      </c>
      <c r="AG33" s="16">
        <v>26.817399999999999</v>
      </c>
      <c r="AH33" s="16">
        <v>26.715599999999998</v>
      </c>
      <c r="AI33" s="16">
        <v>23.43</v>
      </c>
      <c r="AJ33" s="16">
        <v>7.003400000000001</v>
      </c>
      <c r="AK33" s="16">
        <v>13.5762</v>
      </c>
      <c r="AL33" s="16"/>
      <c r="AM33" s="16">
        <f t="shared" si="6"/>
        <v>44</v>
      </c>
      <c r="AN33" t="s">
        <v>107</v>
      </c>
      <c r="AO33" s="21" t="str">
        <f t="shared" si="7"/>
        <v>матрица</v>
      </c>
    </row>
    <row r="34" spans="1:41" x14ac:dyDescent="0.25">
      <c r="A34" s="16" t="s">
        <v>108</v>
      </c>
      <c r="B34" s="16" t="s">
        <v>51</v>
      </c>
      <c r="C34" s="16">
        <v>876</v>
      </c>
      <c r="D34" s="16">
        <v>853</v>
      </c>
      <c r="E34" s="16">
        <v>1083</v>
      </c>
      <c r="F34" s="16">
        <v>340</v>
      </c>
      <c r="G34" s="6">
        <v>0.4</v>
      </c>
      <c r="H34" s="16">
        <v>45</v>
      </c>
      <c r="I34" s="9" t="s">
        <v>63</v>
      </c>
      <c r="J34" s="16"/>
      <c r="K34" s="16">
        <v>1152</v>
      </c>
      <c r="L34" s="16">
        <f t="shared" si="3"/>
        <v>-69</v>
      </c>
      <c r="M34" s="16"/>
      <c r="N34" s="16"/>
      <c r="O34" s="16">
        <v>568.63585951940854</v>
      </c>
      <c r="P34" s="16"/>
      <c r="Q34" s="16"/>
      <c r="R34" s="16"/>
      <c r="S34" s="16">
        <v>0</v>
      </c>
      <c r="T34" s="16"/>
      <c r="U34" s="16"/>
      <c r="V34" s="16">
        <f t="shared" si="4"/>
        <v>216.6</v>
      </c>
      <c r="W34" s="4">
        <v>1200</v>
      </c>
      <c r="X34" s="4">
        <f>W34</f>
        <v>1200</v>
      </c>
      <c r="Y34" s="16"/>
      <c r="Z34" s="16">
        <f t="shared" si="5"/>
        <v>9.7351609396094592</v>
      </c>
      <c r="AA34" s="16">
        <f t="shared" si="11"/>
        <v>4.1949947346233083</v>
      </c>
      <c r="AB34" s="16">
        <v>149.4</v>
      </c>
      <c r="AC34" s="16">
        <v>96.8</v>
      </c>
      <c r="AD34" s="16">
        <v>94.4</v>
      </c>
      <c r="AE34" s="16">
        <v>116.2</v>
      </c>
      <c r="AF34" s="16">
        <v>89.6</v>
      </c>
      <c r="AG34" s="16">
        <v>12.8</v>
      </c>
      <c r="AH34" s="16">
        <v>15.2</v>
      </c>
      <c r="AI34" s="16">
        <v>168.4</v>
      </c>
      <c r="AJ34" s="16">
        <v>297.2</v>
      </c>
      <c r="AK34" s="16">
        <v>169.4</v>
      </c>
      <c r="AL34" s="16"/>
      <c r="AM34" s="16">
        <f t="shared" si="6"/>
        <v>480</v>
      </c>
      <c r="AN34" t="s">
        <v>109</v>
      </c>
      <c r="AO34" s="21" t="str">
        <f t="shared" si="7"/>
        <v>НЕДОГРУЗ / матрица</v>
      </c>
    </row>
    <row r="35" spans="1:41" x14ac:dyDescent="0.25">
      <c r="A35" s="16" t="s">
        <v>110</v>
      </c>
      <c r="B35" s="16" t="s">
        <v>51</v>
      </c>
      <c r="C35" s="16">
        <v>164</v>
      </c>
      <c r="D35" s="16">
        <v>412</v>
      </c>
      <c r="E35" s="16">
        <v>111</v>
      </c>
      <c r="F35" s="16">
        <v>37</v>
      </c>
      <c r="G35" s="6">
        <v>0.45</v>
      </c>
      <c r="H35" s="16">
        <v>50</v>
      </c>
      <c r="I35" s="16" t="s">
        <v>44</v>
      </c>
      <c r="J35" s="16"/>
      <c r="K35" s="16">
        <v>112</v>
      </c>
      <c r="L35" s="16">
        <f t="shared" si="3"/>
        <v>-1</v>
      </c>
      <c r="M35" s="16"/>
      <c r="N35" s="16"/>
      <c r="O35" s="16">
        <v>0</v>
      </c>
      <c r="P35" s="16"/>
      <c r="Q35" s="16"/>
      <c r="R35" s="16"/>
      <c r="S35" s="16">
        <v>218.6</v>
      </c>
      <c r="T35" s="16"/>
      <c r="U35" s="16"/>
      <c r="V35" s="16">
        <f t="shared" si="4"/>
        <v>22.2</v>
      </c>
      <c r="W35" s="4">
        <f>12*V35-U35-S35-R35-Q35-P35-O35-F35</f>
        <v>10.799999999999983</v>
      </c>
      <c r="X35" s="4">
        <f>W35+V35</f>
        <v>32.999999999999986</v>
      </c>
      <c r="Y35" s="16"/>
      <c r="Z35" s="16">
        <f t="shared" si="5"/>
        <v>12.999999999999998</v>
      </c>
      <c r="AA35" s="16">
        <f t="shared" si="11"/>
        <v>11.513513513513514</v>
      </c>
      <c r="AB35" s="16">
        <v>32.200000000000003</v>
      </c>
      <c r="AC35" s="16">
        <v>28.2</v>
      </c>
      <c r="AD35" s="16">
        <v>49.8</v>
      </c>
      <c r="AE35" s="16">
        <v>55.4</v>
      </c>
      <c r="AF35" s="16">
        <v>60.4</v>
      </c>
      <c r="AG35" s="16">
        <v>85.4</v>
      </c>
      <c r="AH35" s="16">
        <v>80.2</v>
      </c>
      <c r="AI35" s="16">
        <v>64.400000000000006</v>
      </c>
      <c r="AJ35" s="16">
        <v>40.4</v>
      </c>
      <c r="AK35" s="16">
        <v>47</v>
      </c>
      <c r="AL35" s="16"/>
      <c r="AM35" s="16">
        <f t="shared" si="6"/>
        <v>15</v>
      </c>
      <c r="AN35" t="s">
        <v>111</v>
      </c>
      <c r="AO35" s="21" t="str">
        <f t="shared" si="7"/>
        <v>матрица</v>
      </c>
    </row>
    <row r="36" spans="1:41" x14ac:dyDescent="0.25">
      <c r="A36" s="16" t="s">
        <v>112</v>
      </c>
      <c r="B36" s="16" t="s">
        <v>51</v>
      </c>
      <c r="C36" s="16">
        <v>369</v>
      </c>
      <c r="D36" s="16">
        <v>156</v>
      </c>
      <c r="E36" s="16">
        <v>195</v>
      </c>
      <c r="F36" s="16">
        <v>105</v>
      </c>
      <c r="G36" s="6">
        <v>0.4</v>
      </c>
      <c r="H36" s="16">
        <v>45</v>
      </c>
      <c r="I36" s="9" t="s">
        <v>44</v>
      </c>
      <c r="J36" s="16"/>
      <c r="K36" s="16">
        <v>201</v>
      </c>
      <c r="L36" s="16">
        <f t="shared" si="3"/>
        <v>-6</v>
      </c>
      <c r="M36" s="16"/>
      <c r="N36" s="16"/>
      <c r="O36" s="16">
        <v>50</v>
      </c>
      <c r="P36" s="16"/>
      <c r="Q36" s="16"/>
      <c r="R36" s="16"/>
      <c r="S36" s="16">
        <v>104</v>
      </c>
      <c r="T36" s="16"/>
      <c r="U36" s="16"/>
      <c r="V36" s="16">
        <f t="shared" si="4"/>
        <v>39</v>
      </c>
      <c r="W36" s="4">
        <f>12*V36-U36-S36-R36-Q36-P36-O36-F36</f>
        <v>209</v>
      </c>
      <c r="X36" s="19">
        <f>W36+V36</f>
        <v>248</v>
      </c>
      <c r="Y36" s="16"/>
      <c r="Z36" s="16">
        <f t="shared" si="5"/>
        <v>13</v>
      </c>
      <c r="AA36" s="16">
        <f t="shared" si="11"/>
        <v>6.6410256410256414</v>
      </c>
      <c r="AB36" s="16">
        <v>47.6</v>
      </c>
      <c r="AC36" s="16">
        <v>37.799999999999997</v>
      </c>
      <c r="AD36" s="16">
        <v>37.4</v>
      </c>
      <c r="AE36" s="16">
        <v>42.2</v>
      </c>
      <c r="AF36" s="16">
        <v>56.4</v>
      </c>
      <c r="AG36" s="16">
        <v>72.400000000000006</v>
      </c>
      <c r="AH36" s="16">
        <v>42.4</v>
      </c>
      <c r="AI36" s="16">
        <v>24.4</v>
      </c>
      <c r="AJ36" s="16">
        <v>-0.6</v>
      </c>
      <c r="AK36" s="16">
        <v>0.2</v>
      </c>
      <c r="AL36" s="16"/>
      <c r="AM36" s="16">
        <f t="shared" si="6"/>
        <v>99</v>
      </c>
      <c r="AN36" t="s">
        <v>113</v>
      </c>
      <c r="AO36" s="21" t="str">
        <f t="shared" si="7"/>
        <v>матрица</v>
      </c>
    </row>
    <row r="37" spans="1:41" x14ac:dyDescent="0.25">
      <c r="A37" s="16" t="s">
        <v>114</v>
      </c>
      <c r="B37" s="16" t="s">
        <v>51</v>
      </c>
      <c r="C37" s="16"/>
      <c r="D37" s="16">
        <v>150</v>
      </c>
      <c r="E37" s="16"/>
      <c r="F37" s="16"/>
      <c r="G37" s="6">
        <v>0.4</v>
      </c>
      <c r="H37" s="16">
        <v>40</v>
      </c>
      <c r="I37" s="9" t="s">
        <v>44</v>
      </c>
      <c r="J37" s="16"/>
      <c r="K37" s="16">
        <v>11</v>
      </c>
      <c r="L37" s="16">
        <f t="shared" si="3"/>
        <v>-11</v>
      </c>
      <c r="M37" s="16"/>
      <c r="N37" s="16"/>
      <c r="O37" s="16">
        <v>75.581395348837205</v>
      </c>
      <c r="P37" s="16"/>
      <c r="Q37" s="16"/>
      <c r="R37" s="16"/>
      <c r="S37" s="16">
        <v>0</v>
      </c>
      <c r="T37" s="16"/>
      <c r="U37" s="16"/>
      <c r="V37" s="16">
        <f t="shared" si="4"/>
        <v>0</v>
      </c>
      <c r="W37" s="4">
        <v>20</v>
      </c>
      <c r="X37" s="4">
        <f>W37</f>
        <v>20</v>
      </c>
      <c r="Y37" s="16"/>
      <c r="Z37" s="16" t="e">
        <f t="shared" si="5"/>
        <v>#DIV/0!</v>
      </c>
      <c r="AA37" s="16" t="e">
        <f t="shared" si="11"/>
        <v>#DIV/0!</v>
      </c>
      <c r="AB37" s="16">
        <v>0</v>
      </c>
      <c r="AC37" s="16">
        <v>0</v>
      </c>
      <c r="AD37" s="16">
        <v>0</v>
      </c>
      <c r="AE37" s="16">
        <v>0</v>
      </c>
      <c r="AF37" s="16">
        <v>-0.2</v>
      </c>
      <c r="AG37" s="16">
        <v>-0.2</v>
      </c>
      <c r="AH37" s="16">
        <v>0</v>
      </c>
      <c r="AI37" s="16">
        <v>0</v>
      </c>
      <c r="AJ37" s="16">
        <v>3</v>
      </c>
      <c r="AK37" s="16">
        <v>5.6</v>
      </c>
      <c r="AL37" s="16"/>
      <c r="AM37" s="16">
        <f t="shared" si="6"/>
        <v>8</v>
      </c>
      <c r="AN37" t="s">
        <v>115</v>
      </c>
      <c r="AO37" s="21" t="str">
        <f t="shared" si="7"/>
        <v>матрица</v>
      </c>
    </row>
    <row r="38" spans="1:41" x14ac:dyDescent="0.25">
      <c r="A38" s="16" t="s">
        <v>116</v>
      </c>
      <c r="B38" s="16" t="s">
        <v>43</v>
      </c>
      <c r="C38" s="16">
        <v>12.762</v>
      </c>
      <c r="D38" s="16">
        <v>89.759</v>
      </c>
      <c r="E38" s="16">
        <v>42.932000000000002</v>
      </c>
      <c r="F38" s="16">
        <v>37.262</v>
      </c>
      <c r="G38" s="6">
        <v>1</v>
      </c>
      <c r="H38" s="16">
        <v>45</v>
      </c>
      <c r="I38" s="9" t="s">
        <v>44</v>
      </c>
      <c r="J38" s="16"/>
      <c r="K38" s="16">
        <v>42.2</v>
      </c>
      <c r="L38" s="16">
        <f t="shared" ref="L38:L69" si="12">E38-K38</f>
        <v>0.73199999999999932</v>
      </c>
      <c r="M38" s="16"/>
      <c r="N38" s="16"/>
      <c r="O38" s="16">
        <v>31.517523165112291</v>
      </c>
      <c r="P38" s="16"/>
      <c r="Q38" s="16"/>
      <c r="R38" s="16"/>
      <c r="S38" s="16">
        <v>13</v>
      </c>
      <c r="T38" s="16"/>
      <c r="U38" s="16"/>
      <c r="V38" s="16">
        <f t="shared" ref="V38:V69" si="13">E38/5</f>
        <v>8.5864000000000011</v>
      </c>
      <c r="W38" s="4">
        <f>12*V38-U38-S38-R38-Q38-P38-O38-F38</f>
        <v>21.257276834887719</v>
      </c>
      <c r="X38" s="19">
        <f>W38+V38</f>
        <v>29.84367683488772</v>
      </c>
      <c r="Y38" s="16"/>
      <c r="Z38" s="16">
        <f t="shared" ref="Z38:Z69" si="14">(F38+O38+P38+Q38+R38+S38+U38+X38)/V38</f>
        <v>13</v>
      </c>
      <c r="AA38" s="16">
        <f t="shared" si="11"/>
        <v>9.5243085769486964</v>
      </c>
      <c r="AB38" s="16">
        <v>6.4725999999999999</v>
      </c>
      <c r="AC38" s="16">
        <v>8.2210000000000001</v>
      </c>
      <c r="AD38" s="16">
        <v>13.138</v>
      </c>
      <c r="AE38" s="16">
        <v>13.4964</v>
      </c>
      <c r="AF38" s="16">
        <v>12.9948</v>
      </c>
      <c r="AG38" s="16">
        <v>12.9156</v>
      </c>
      <c r="AH38" s="16">
        <v>11.095599999999999</v>
      </c>
      <c r="AI38" s="16">
        <v>7.1444000000000001</v>
      </c>
      <c r="AJ38" s="16">
        <v>1.1714</v>
      </c>
      <c r="AK38" s="16">
        <v>9.6359999999999992</v>
      </c>
      <c r="AL38" s="16" t="s">
        <v>83</v>
      </c>
      <c r="AM38" s="16">
        <f t="shared" ref="AM38:AM69" si="15">ROUND(G38*X38,0)</f>
        <v>30</v>
      </c>
      <c r="AN38" t="s">
        <v>117</v>
      </c>
      <c r="AO38" s="21" t="str">
        <f t="shared" si="7"/>
        <v>матрица</v>
      </c>
    </row>
    <row r="39" spans="1:41" x14ac:dyDescent="0.25">
      <c r="A39" s="16" t="s">
        <v>118</v>
      </c>
      <c r="B39" s="16" t="s">
        <v>51</v>
      </c>
      <c r="C39" s="16">
        <v>75</v>
      </c>
      <c r="D39" s="16">
        <v>200</v>
      </c>
      <c r="E39" s="16">
        <v>79</v>
      </c>
      <c r="F39" s="16">
        <v>-4</v>
      </c>
      <c r="G39" s="6">
        <v>0.1</v>
      </c>
      <c r="H39" s="16">
        <v>731</v>
      </c>
      <c r="I39" s="16" t="s">
        <v>44</v>
      </c>
      <c r="J39" s="16"/>
      <c r="K39" s="16">
        <v>127</v>
      </c>
      <c r="L39" s="16">
        <f t="shared" si="12"/>
        <v>-48</v>
      </c>
      <c r="M39" s="16"/>
      <c r="N39" s="16"/>
      <c r="O39" s="16">
        <v>284.8763285024155</v>
      </c>
      <c r="P39" s="16"/>
      <c r="Q39" s="16"/>
      <c r="R39" s="16"/>
      <c r="S39" s="16">
        <v>374.52367149758442</v>
      </c>
      <c r="T39" s="16"/>
      <c r="U39" s="16"/>
      <c r="V39" s="16">
        <f t="shared" si="13"/>
        <v>15.8</v>
      </c>
      <c r="W39" s="4"/>
      <c r="X39" s="4">
        <f>W39</f>
        <v>0</v>
      </c>
      <c r="Y39" s="16"/>
      <c r="Z39" s="16">
        <f t="shared" si="14"/>
        <v>41.48101265822784</v>
      </c>
      <c r="AA39" s="16">
        <f t="shared" si="11"/>
        <v>41.48101265822784</v>
      </c>
      <c r="AB39" s="16">
        <v>29.2</v>
      </c>
      <c r="AC39" s="16">
        <v>50.8</v>
      </c>
      <c r="AD39" s="16">
        <v>58.6</v>
      </c>
      <c r="AE39" s="16">
        <v>39.6</v>
      </c>
      <c r="AF39" s="16">
        <v>43.2</v>
      </c>
      <c r="AG39" s="16">
        <v>50.2</v>
      </c>
      <c r="AH39" s="16">
        <v>33.6</v>
      </c>
      <c r="AI39" s="16">
        <v>22.8</v>
      </c>
      <c r="AJ39" s="16">
        <v>25</v>
      </c>
      <c r="AK39" s="16">
        <v>20.6</v>
      </c>
      <c r="AL39" s="16" t="s">
        <v>83</v>
      </c>
      <c r="AM39" s="16">
        <f t="shared" si="15"/>
        <v>0</v>
      </c>
      <c r="AN39" t="s">
        <v>119</v>
      </c>
      <c r="AO39" s="21" t="str">
        <f t="shared" si="7"/>
        <v>матрица</v>
      </c>
    </row>
    <row r="40" spans="1:41" x14ac:dyDescent="0.25">
      <c r="A40" s="16" t="s">
        <v>120</v>
      </c>
      <c r="B40" s="16" t="s">
        <v>51</v>
      </c>
      <c r="C40" s="16">
        <v>2</v>
      </c>
      <c r="D40" s="16">
        <v>1</v>
      </c>
      <c r="E40" s="16">
        <v>-1</v>
      </c>
      <c r="F40" s="16"/>
      <c r="G40" s="6">
        <v>0.35</v>
      </c>
      <c r="H40" s="16">
        <v>40</v>
      </c>
      <c r="I40" s="9" t="s">
        <v>63</v>
      </c>
      <c r="J40" s="16"/>
      <c r="K40" s="16">
        <v>4</v>
      </c>
      <c r="L40" s="16">
        <f t="shared" si="12"/>
        <v>-5</v>
      </c>
      <c r="M40" s="16"/>
      <c r="N40" s="16"/>
      <c r="O40" s="16">
        <v>136</v>
      </c>
      <c r="P40" s="16">
        <v>-137.14285714285711</v>
      </c>
      <c r="Q40" s="16"/>
      <c r="R40" s="16"/>
      <c r="S40" s="16">
        <v>65</v>
      </c>
      <c r="T40" s="16"/>
      <c r="U40" s="16"/>
      <c r="V40" s="16">
        <f t="shared" si="13"/>
        <v>-0.2</v>
      </c>
      <c r="W40" s="4">
        <v>30</v>
      </c>
      <c r="X40" s="4">
        <f>W40</f>
        <v>30</v>
      </c>
      <c r="Y40" s="16"/>
      <c r="Z40" s="16">
        <f t="shared" si="14"/>
        <v>-469.28571428571445</v>
      </c>
      <c r="AA40" s="16">
        <f t="shared" si="11"/>
        <v>-319.28571428571445</v>
      </c>
      <c r="AB40" s="16">
        <v>-0.2</v>
      </c>
      <c r="AC40" s="16">
        <v>0</v>
      </c>
      <c r="AD40" s="16">
        <v>13.6</v>
      </c>
      <c r="AE40" s="16">
        <v>19.8</v>
      </c>
      <c r="AF40" s="16">
        <v>6.8</v>
      </c>
      <c r="AG40" s="16">
        <v>0</v>
      </c>
      <c r="AH40" s="16">
        <v>-0.6</v>
      </c>
      <c r="AI40" s="16">
        <v>-0.6</v>
      </c>
      <c r="AJ40" s="16">
        <v>-0.8</v>
      </c>
      <c r="AK40" s="16">
        <v>-2.4</v>
      </c>
      <c r="AL40" s="16"/>
      <c r="AM40" s="16">
        <f t="shared" si="15"/>
        <v>11</v>
      </c>
      <c r="AN40" t="s">
        <v>121</v>
      </c>
      <c r="AO40" s="21" t="str">
        <f t="shared" si="7"/>
        <v>НЕДОГРУЗ / матрица</v>
      </c>
    </row>
    <row r="41" spans="1:41" x14ac:dyDescent="0.25">
      <c r="A41" s="16" t="s">
        <v>122</v>
      </c>
      <c r="B41" s="16" t="s">
        <v>43</v>
      </c>
      <c r="C41" s="16">
        <v>-8.4000000000000005E-2</v>
      </c>
      <c r="D41" s="16">
        <v>188.34</v>
      </c>
      <c r="E41" s="16">
        <v>68.516000000000005</v>
      </c>
      <c r="F41" s="16">
        <v>11.118</v>
      </c>
      <c r="G41" s="6">
        <v>1</v>
      </c>
      <c r="H41" s="16">
        <v>40</v>
      </c>
      <c r="I41" s="9" t="s">
        <v>44</v>
      </c>
      <c r="J41" s="16"/>
      <c r="K41" s="16">
        <v>100.1</v>
      </c>
      <c r="L41" s="16">
        <f t="shared" si="12"/>
        <v>-31.583999999999989</v>
      </c>
      <c r="M41" s="16"/>
      <c r="N41" s="16"/>
      <c r="O41" s="16">
        <v>69.400144604067776</v>
      </c>
      <c r="P41" s="16"/>
      <c r="Q41" s="16"/>
      <c r="R41" s="16"/>
      <c r="S41" s="16">
        <v>0</v>
      </c>
      <c r="T41" s="16"/>
      <c r="U41" s="16"/>
      <c r="V41" s="16">
        <f t="shared" si="13"/>
        <v>13.703200000000001</v>
      </c>
      <c r="W41" s="4">
        <f>12*V41-U41-S41-R41-Q41-P41-O41-F41</f>
        <v>83.92025539593223</v>
      </c>
      <c r="X41" s="19">
        <f>W41+V41</f>
        <v>97.623455395932226</v>
      </c>
      <c r="Y41" s="16"/>
      <c r="Z41" s="16">
        <f t="shared" si="14"/>
        <v>12.999999999999998</v>
      </c>
      <c r="AA41" s="16">
        <f t="shared" si="11"/>
        <v>5.8758643677438673</v>
      </c>
      <c r="AB41" s="16">
        <v>6.3550000000000004</v>
      </c>
      <c r="AC41" s="16">
        <v>11.1378</v>
      </c>
      <c r="AD41" s="16">
        <v>21.081199999999999</v>
      </c>
      <c r="AE41" s="16">
        <v>19.641200000000001</v>
      </c>
      <c r="AF41" s="16">
        <v>9.0427999999999997</v>
      </c>
      <c r="AG41" s="16">
        <v>8.4745999999999988</v>
      </c>
      <c r="AH41" s="16">
        <v>7.7513999999999994</v>
      </c>
      <c r="AI41" s="16">
        <v>5.5529999999999999</v>
      </c>
      <c r="AJ41" s="16">
        <v>-1.6140000000000001</v>
      </c>
      <c r="AK41" s="16">
        <v>5.4058000000000002</v>
      </c>
      <c r="AL41" s="16" t="s">
        <v>83</v>
      </c>
      <c r="AM41" s="16">
        <f t="shared" si="15"/>
        <v>98</v>
      </c>
      <c r="AN41" t="s">
        <v>123</v>
      </c>
      <c r="AO41" s="21" t="str">
        <f t="shared" si="7"/>
        <v>матрица</v>
      </c>
    </row>
    <row r="42" spans="1:41" x14ac:dyDescent="0.25">
      <c r="A42" s="10" t="s">
        <v>124</v>
      </c>
      <c r="B42" s="10" t="s">
        <v>51</v>
      </c>
      <c r="C42" s="10">
        <v>-3</v>
      </c>
      <c r="D42" s="10">
        <v>3</v>
      </c>
      <c r="E42" s="10"/>
      <c r="F42" s="10"/>
      <c r="G42" s="11">
        <v>0</v>
      </c>
      <c r="H42" s="10">
        <v>50</v>
      </c>
      <c r="I42" s="10" t="s">
        <v>385</v>
      </c>
      <c r="J42" s="10"/>
      <c r="K42" s="10"/>
      <c r="L42" s="10">
        <f t="shared" si="12"/>
        <v>0</v>
      </c>
      <c r="M42" s="10"/>
      <c r="N42" s="10"/>
      <c r="O42" s="10"/>
      <c r="P42" s="10"/>
      <c r="Q42" s="10"/>
      <c r="R42" s="10"/>
      <c r="S42" s="10">
        <v>0</v>
      </c>
      <c r="T42" s="10"/>
      <c r="U42" s="10"/>
      <c r="V42" s="10">
        <f t="shared" si="13"/>
        <v>0</v>
      </c>
      <c r="W42" s="12"/>
      <c r="X42" s="4">
        <f>W42</f>
        <v>0</v>
      </c>
      <c r="Y42" s="16"/>
      <c r="Z42" s="16" t="e">
        <f t="shared" si="14"/>
        <v>#DIV/0!</v>
      </c>
      <c r="AA42" s="10"/>
      <c r="AB42" s="10">
        <v>0</v>
      </c>
      <c r="AC42" s="10">
        <v>0.6</v>
      </c>
      <c r="AD42" s="10">
        <v>0.8</v>
      </c>
      <c r="AE42" s="10">
        <v>0</v>
      </c>
      <c r="AF42" s="10">
        <v>0</v>
      </c>
      <c r="AG42" s="10">
        <v>0</v>
      </c>
      <c r="AH42" s="10">
        <v>0.2</v>
      </c>
      <c r="AI42" s="10">
        <v>-0.2</v>
      </c>
      <c r="AJ42" s="10">
        <v>-0.2</v>
      </c>
      <c r="AK42" s="10">
        <v>0</v>
      </c>
      <c r="AL42" s="10"/>
      <c r="AM42" s="16">
        <f t="shared" si="15"/>
        <v>0</v>
      </c>
      <c r="AN42" t="s">
        <v>125</v>
      </c>
      <c r="AO42" s="21" t="str">
        <f t="shared" si="7"/>
        <v>не в матрице</v>
      </c>
    </row>
    <row r="43" spans="1:41" x14ac:dyDescent="0.25">
      <c r="A43" s="16" t="s">
        <v>126</v>
      </c>
      <c r="B43" s="16" t="s">
        <v>51</v>
      </c>
      <c r="C43" s="16">
        <v>76</v>
      </c>
      <c r="D43" s="16"/>
      <c r="E43" s="16">
        <v>74</v>
      </c>
      <c r="F43" s="16"/>
      <c r="G43" s="6">
        <v>0.4</v>
      </c>
      <c r="H43" s="16">
        <v>40</v>
      </c>
      <c r="I43" s="9" t="s">
        <v>63</v>
      </c>
      <c r="J43" s="16"/>
      <c r="K43" s="16">
        <v>73</v>
      </c>
      <c r="L43" s="16">
        <f t="shared" si="12"/>
        <v>1</v>
      </c>
      <c r="M43" s="16"/>
      <c r="N43" s="16"/>
      <c r="O43" s="16">
        <v>85.296167247386762</v>
      </c>
      <c r="P43" s="16"/>
      <c r="Q43" s="16"/>
      <c r="R43" s="16"/>
      <c r="S43" s="16">
        <v>130</v>
      </c>
      <c r="T43" s="16">
        <v>-132.5</v>
      </c>
      <c r="U43" s="16"/>
      <c r="V43" s="16">
        <f t="shared" si="13"/>
        <v>14.8</v>
      </c>
      <c r="W43" s="4"/>
      <c r="X43" s="4">
        <f>W43</f>
        <v>0</v>
      </c>
      <c r="Y43" s="16"/>
      <c r="Z43" s="16">
        <f t="shared" si="14"/>
        <v>14.547038327526131</v>
      </c>
      <c r="AA43" s="16">
        <f t="shared" ref="AA43:AA68" si="16">(F43+O43+P43+Q43+R43+S43+U43)/V43</f>
        <v>14.547038327526131</v>
      </c>
      <c r="AB43" s="16">
        <v>20.2</v>
      </c>
      <c r="AC43" s="16">
        <v>19</v>
      </c>
      <c r="AD43" s="16">
        <v>9.6</v>
      </c>
      <c r="AE43" s="16">
        <v>9.4</v>
      </c>
      <c r="AF43" s="16">
        <v>6</v>
      </c>
      <c r="AG43" s="16">
        <v>12.8</v>
      </c>
      <c r="AH43" s="16">
        <v>21.4</v>
      </c>
      <c r="AI43" s="16">
        <v>19.8</v>
      </c>
      <c r="AJ43" s="16">
        <v>8.6</v>
      </c>
      <c r="AK43" s="16">
        <v>8.8000000000000007</v>
      </c>
      <c r="AL43" s="16"/>
      <c r="AM43" s="16">
        <f t="shared" si="15"/>
        <v>0</v>
      </c>
      <c r="AN43" t="s">
        <v>127</v>
      </c>
      <c r="AO43" s="21" t="str">
        <f t="shared" si="7"/>
        <v>НЕДОГРУЗ / матрица</v>
      </c>
    </row>
    <row r="44" spans="1:41" x14ac:dyDescent="0.25">
      <c r="A44" s="16" t="s">
        <v>128</v>
      </c>
      <c r="B44" s="16" t="s">
        <v>51</v>
      </c>
      <c r="C44" s="16">
        <v>177</v>
      </c>
      <c r="D44" s="16"/>
      <c r="E44" s="16">
        <v>132</v>
      </c>
      <c r="F44" s="16">
        <v>31</v>
      </c>
      <c r="G44" s="6">
        <v>0.4</v>
      </c>
      <c r="H44" s="16">
        <v>45</v>
      </c>
      <c r="I44" s="16" t="s">
        <v>63</v>
      </c>
      <c r="J44" s="16"/>
      <c r="K44" s="16">
        <v>132</v>
      </c>
      <c r="L44" s="16">
        <f t="shared" si="12"/>
        <v>0</v>
      </c>
      <c r="M44" s="16"/>
      <c r="N44" s="16"/>
      <c r="O44" s="16">
        <v>125.51020408163259</v>
      </c>
      <c r="P44" s="16"/>
      <c r="Q44" s="16"/>
      <c r="R44" s="16"/>
      <c r="S44" s="16">
        <v>0</v>
      </c>
      <c r="T44" s="16"/>
      <c r="U44" s="16"/>
      <c r="V44" s="16">
        <f t="shared" si="13"/>
        <v>26.4</v>
      </c>
      <c r="W44" s="4">
        <f>12*V44-U44-S44-R44-Q44-P44-O44-F44</f>
        <v>160.28979591836736</v>
      </c>
      <c r="X44" s="4">
        <f>W44+V44</f>
        <v>186.68979591836737</v>
      </c>
      <c r="Y44" s="16"/>
      <c r="Z44" s="16">
        <f t="shared" si="14"/>
        <v>12.999999999999998</v>
      </c>
      <c r="AA44" s="16">
        <f t="shared" si="16"/>
        <v>5.9284168212739621</v>
      </c>
      <c r="AB44" s="16">
        <v>5.2</v>
      </c>
      <c r="AC44" s="16">
        <v>0.4</v>
      </c>
      <c r="AD44" s="16">
        <v>11.4</v>
      </c>
      <c r="AE44" s="16">
        <v>16</v>
      </c>
      <c r="AF44" s="16">
        <v>27.8</v>
      </c>
      <c r="AG44" s="16">
        <v>36.4</v>
      </c>
      <c r="AH44" s="16">
        <v>23.2</v>
      </c>
      <c r="AI44" s="16">
        <v>30.2</v>
      </c>
      <c r="AJ44" s="16">
        <v>28.6</v>
      </c>
      <c r="AK44" s="16">
        <v>42.4</v>
      </c>
      <c r="AL44" s="16" t="s">
        <v>129</v>
      </c>
      <c r="AM44" s="16">
        <f t="shared" si="15"/>
        <v>75</v>
      </c>
      <c r="AN44" t="s">
        <v>130</v>
      </c>
      <c r="AO44" s="21" t="str">
        <f t="shared" si="7"/>
        <v>НЕДОГРУЗ / матрица</v>
      </c>
    </row>
    <row r="45" spans="1:41" x14ac:dyDescent="0.25">
      <c r="A45" s="16" t="s">
        <v>131</v>
      </c>
      <c r="B45" s="16" t="s">
        <v>43</v>
      </c>
      <c r="C45" s="16">
        <v>-0.35</v>
      </c>
      <c r="D45" s="16">
        <v>152.78299999999999</v>
      </c>
      <c r="E45" s="16">
        <v>50.956000000000003</v>
      </c>
      <c r="F45" s="16">
        <v>-0.61799999999999999</v>
      </c>
      <c r="G45" s="6">
        <v>1</v>
      </c>
      <c r="H45" s="16">
        <v>40</v>
      </c>
      <c r="I45" s="9" t="s">
        <v>63</v>
      </c>
      <c r="J45" s="16"/>
      <c r="K45" s="16">
        <v>91.1</v>
      </c>
      <c r="L45" s="16">
        <f t="shared" si="12"/>
        <v>-40.143999999999991</v>
      </c>
      <c r="M45" s="16"/>
      <c r="N45" s="16"/>
      <c r="O45" s="16">
        <v>0</v>
      </c>
      <c r="P45" s="16"/>
      <c r="Q45" s="16"/>
      <c r="R45" s="16"/>
      <c r="S45" s="16">
        <v>130</v>
      </c>
      <c r="T45" s="16"/>
      <c r="U45" s="16"/>
      <c r="V45" s="16">
        <f t="shared" si="13"/>
        <v>10.1912</v>
      </c>
      <c r="W45" s="4">
        <v>80</v>
      </c>
      <c r="X45" s="4">
        <f>W45</f>
        <v>80</v>
      </c>
      <c r="Y45" s="16"/>
      <c r="Z45" s="16">
        <f t="shared" si="14"/>
        <v>20.5453724782165</v>
      </c>
      <c r="AA45" s="16">
        <f t="shared" si="16"/>
        <v>12.695462752178351</v>
      </c>
      <c r="AB45" s="16">
        <v>17.109400000000001</v>
      </c>
      <c r="AC45" s="16">
        <v>24.5684</v>
      </c>
      <c r="AD45" s="16">
        <v>11.5448</v>
      </c>
      <c r="AE45" s="16">
        <v>8.1449999999999996</v>
      </c>
      <c r="AF45" s="16">
        <v>3.4784000000000002</v>
      </c>
      <c r="AG45" s="16">
        <v>2.7585999999999999</v>
      </c>
      <c r="AH45" s="16">
        <v>8.6112000000000002</v>
      </c>
      <c r="AI45" s="16">
        <v>5.2758000000000003</v>
      </c>
      <c r="AJ45" s="16">
        <v>-0.58460000000000001</v>
      </c>
      <c r="AK45" s="16">
        <v>1.7490000000000001</v>
      </c>
      <c r="AL45" s="16" t="s">
        <v>83</v>
      </c>
      <c r="AM45" s="16">
        <f t="shared" si="15"/>
        <v>80</v>
      </c>
      <c r="AN45" t="s">
        <v>132</v>
      </c>
      <c r="AO45" s="21" t="str">
        <f t="shared" si="7"/>
        <v>НЕДОГРУЗ / матрица</v>
      </c>
    </row>
    <row r="46" spans="1:41" x14ac:dyDescent="0.25">
      <c r="A46" s="16" t="s">
        <v>133</v>
      </c>
      <c r="B46" s="16" t="s">
        <v>51</v>
      </c>
      <c r="C46" s="16">
        <v>-3</v>
      </c>
      <c r="D46" s="16">
        <v>3</v>
      </c>
      <c r="E46" s="16">
        <v>-2</v>
      </c>
      <c r="F46" s="16"/>
      <c r="G46" s="6">
        <v>0.35</v>
      </c>
      <c r="H46" s="16">
        <v>40</v>
      </c>
      <c r="I46" s="9" t="s">
        <v>63</v>
      </c>
      <c r="J46" s="16"/>
      <c r="K46" s="16"/>
      <c r="L46" s="16">
        <f t="shared" si="12"/>
        <v>-2</v>
      </c>
      <c r="M46" s="16"/>
      <c r="N46" s="16"/>
      <c r="O46" s="16">
        <v>124.5150501672241</v>
      </c>
      <c r="P46" s="16">
        <v>-125.71428571428569</v>
      </c>
      <c r="Q46" s="16"/>
      <c r="R46" s="16"/>
      <c r="S46" s="16">
        <v>195</v>
      </c>
      <c r="T46" s="16"/>
      <c r="U46" s="16"/>
      <c r="V46" s="16">
        <f t="shared" si="13"/>
        <v>-0.4</v>
      </c>
      <c r="W46" s="4">
        <v>50</v>
      </c>
      <c r="X46" s="4">
        <f>W46</f>
        <v>50</v>
      </c>
      <c r="Y46" s="16"/>
      <c r="Z46" s="16">
        <f t="shared" si="14"/>
        <v>-609.50191113234598</v>
      </c>
      <c r="AA46" s="16">
        <f t="shared" si="16"/>
        <v>-484.50191113234598</v>
      </c>
      <c r="AB46" s="16">
        <v>13.4</v>
      </c>
      <c r="AC46" s="16">
        <v>23</v>
      </c>
      <c r="AD46" s="16">
        <v>18.8</v>
      </c>
      <c r="AE46" s="16">
        <v>15.6</v>
      </c>
      <c r="AF46" s="16">
        <v>28.8</v>
      </c>
      <c r="AG46" s="16">
        <v>35.4</v>
      </c>
      <c r="AH46" s="16">
        <v>26.6</v>
      </c>
      <c r="AI46" s="16">
        <v>13.4</v>
      </c>
      <c r="AJ46" s="16">
        <v>0.4</v>
      </c>
      <c r="AK46" s="16">
        <v>13.8</v>
      </c>
      <c r="AL46" s="16"/>
      <c r="AM46" s="16">
        <f t="shared" si="15"/>
        <v>18</v>
      </c>
      <c r="AN46" t="s">
        <v>134</v>
      </c>
      <c r="AO46" s="21" t="str">
        <f t="shared" si="7"/>
        <v>НЕДОГРУЗ / матрица</v>
      </c>
    </row>
    <row r="47" spans="1:41" x14ac:dyDescent="0.25">
      <c r="A47" s="16" t="s">
        <v>135</v>
      </c>
      <c r="B47" s="16" t="s">
        <v>51</v>
      </c>
      <c r="C47" s="16">
        <v>343</v>
      </c>
      <c r="D47" s="16">
        <v>8</v>
      </c>
      <c r="E47" s="16">
        <v>159</v>
      </c>
      <c r="F47" s="16">
        <v>117</v>
      </c>
      <c r="G47" s="6">
        <v>0.4</v>
      </c>
      <c r="H47" s="16">
        <v>40</v>
      </c>
      <c r="I47" s="9" t="s">
        <v>44</v>
      </c>
      <c r="J47" s="16"/>
      <c r="K47" s="16">
        <v>175</v>
      </c>
      <c r="L47" s="16">
        <f t="shared" si="12"/>
        <v>-16</v>
      </c>
      <c r="M47" s="16"/>
      <c r="N47" s="16"/>
      <c r="O47" s="16">
        <v>0</v>
      </c>
      <c r="P47" s="16"/>
      <c r="Q47" s="16"/>
      <c r="R47" s="16"/>
      <c r="S47" s="16">
        <v>298.74</v>
      </c>
      <c r="T47" s="16"/>
      <c r="U47" s="16"/>
      <c r="V47" s="16">
        <f t="shared" si="13"/>
        <v>31.8</v>
      </c>
      <c r="W47" s="4"/>
      <c r="X47" s="4">
        <f>W47</f>
        <v>0</v>
      </c>
      <c r="Y47" s="16"/>
      <c r="Z47" s="16">
        <f t="shared" si="14"/>
        <v>13.073584905660377</v>
      </c>
      <c r="AA47" s="16">
        <f t="shared" si="16"/>
        <v>13.073584905660377</v>
      </c>
      <c r="AB47" s="16">
        <v>46.6</v>
      </c>
      <c r="AC47" s="16">
        <v>43.4</v>
      </c>
      <c r="AD47" s="16">
        <v>18.2</v>
      </c>
      <c r="AE47" s="16">
        <v>16.8</v>
      </c>
      <c r="AF47" s="16">
        <v>48.8</v>
      </c>
      <c r="AG47" s="16">
        <v>98</v>
      </c>
      <c r="AH47" s="16">
        <v>87.2</v>
      </c>
      <c r="AI47" s="16">
        <v>48.6</v>
      </c>
      <c r="AJ47" s="16">
        <v>46</v>
      </c>
      <c r="AK47" s="16">
        <v>59.4</v>
      </c>
      <c r="AL47" s="16"/>
      <c r="AM47" s="16">
        <f t="shared" si="15"/>
        <v>0</v>
      </c>
      <c r="AN47" t="s">
        <v>136</v>
      </c>
      <c r="AO47" s="21" t="str">
        <f t="shared" si="7"/>
        <v>матрица</v>
      </c>
    </row>
    <row r="48" spans="1:41" x14ac:dyDescent="0.25">
      <c r="A48" s="16" t="s">
        <v>137</v>
      </c>
      <c r="B48" s="16" t="s">
        <v>43</v>
      </c>
      <c r="C48" s="16">
        <v>24.207000000000001</v>
      </c>
      <c r="D48" s="16">
        <v>118.65300000000001</v>
      </c>
      <c r="E48" s="16">
        <v>18.274999999999999</v>
      </c>
      <c r="F48" s="16">
        <v>105.279</v>
      </c>
      <c r="G48" s="6">
        <v>1</v>
      </c>
      <c r="H48" s="16">
        <v>50</v>
      </c>
      <c r="I48" s="16" t="s">
        <v>44</v>
      </c>
      <c r="J48" s="16"/>
      <c r="K48" s="16">
        <v>19.100000000000001</v>
      </c>
      <c r="L48" s="16">
        <f t="shared" si="12"/>
        <v>-0.82500000000000284</v>
      </c>
      <c r="M48" s="16"/>
      <c r="N48" s="16"/>
      <c r="O48" s="16">
        <v>23.31891103012844</v>
      </c>
      <c r="P48" s="16"/>
      <c r="Q48" s="16"/>
      <c r="R48" s="16"/>
      <c r="S48" s="16">
        <v>0</v>
      </c>
      <c r="T48" s="16"/>
      <c r="U48" s="16"/>
      <c r="V48" s="16">
        <f t="shared" si="13"/>
        <v>3.6549999999999998</v>
      </c>
      <c r="W48" s="4"/>
      <c r="X48" s="4">
        <f>W48</f>
        <v>0</v>
      </c>
      <c r="Y48" s="16"/>
      <c r="Z48" s="16">
        <f t="shared" si="14"/>
        <v>35.184106984987267</v>
      </c>
      <c r="AA48" s="16">
        <f t="shared" si="16"/>
        <v>35.184106984987267</v>
      </c>
      <c r="AB48" s="16">
        <v>4.1407999999999996</v>
      </c>
      <c r="AC48" s="16">
        <v>7.4958</v>
      </c>
      <c r="AD48" s="16">
        <v>14.864000000000001</v>
      </c>
      <c r="AE48" s="16">
        <v>16.485800000000001</v>
      </c>
      <c r="AF48" s="16">
        <v>12.978999999999999</v>
      </c>
      <c r="AG48" s="16">
        <v>13.252599999999999</v>
      </c>
      <c r="AH48" s="16">
        <v>18.2804</v>
      </c>
      <c r="AI48" s="16">
        <v>17.846</v>
      </c>
      <c r="AJ48" s="16">
        <v>16.891999999999999</v>
      </c>
      <c r="AK48" s="16">
        <v>15.883800000000001</v>
      </c>
      <c r="AL48" s="14" t="s">
        <v>72</v>
      </c>
      <c r="AM48" s="16">
        <f t="shared" si="15"/>
        <v>0</v>
      </c>
      <c r="AN48" t="s">
        <v>138</v>
      </c>
      <c r="AO48" s="21" t="str">
        <f t="shared" si="7"/>
        <v>матрица</v>
      </c>
    </row>
    <row r="49" spans="1:41" x14ac:dyDescent="0.25">
      <c r="A49" s="16" t="s">
        <v>139</v>
      </c>
      <c r="B49" s="16" t="s">
        <v>43</v>
      </c>
      <c r="C49" s="16">
        <v>208.90899999999999</v>
      </c>
      <c r="D49" s="16">
        <v>132.691</v>
      </c>
      <c r="E49" s="16">
        <v>60.118000000000002</v>
      </c>
      <c r="F49" s="16">
        <v>120.661</v>
      </c>
      <c r="G49" s="6">
        <v>1</v>
      </c>
      <c r="H49" s="16">
        <v>50</v>
      </c>
      <c r="I49" s="16" t="s">
        <v>44</v>
      </c>
      <c r="J49" s="16"/>
      <c r="K49" s="16">
        <v>58</v>
      </c>
      <c r="L49" s="16">
        <f t="shared" si="12"/>
        <v>2.1180000000000021</v>
      </c>
      <c r="M49" s="16"/>
      <c r="N49" s="16"/>
      <c r="O49" s="16">
        <v>0</v>
      </c>
      <c r="P49" s="16"/>
      <c r="Q49" s="16"/>
      <c r="R49" s="16"/>
      <c r="S49" s="16">
        <v>0</v>
      </c>
      <c r="T49" s="16"/>
      <c r="U49" s="16"/>
      <c r="V49" s="16">
        <f t="shared" si="13"/>
        <v>12.0236</v>
      </c>
      <c r="W49" s="4">
        <f>12*V49-U49-S49-R49-Q49-P49-O49-F49</f>
        <v>23.622199999999992</v>
      </c>
      <c r="X49" s="4">
        <f>W49+V49</f>
        <v>35.645799999999994</v>
      </c>
      <c r="Y49" s="16"/>
      <c r="Z49" s="16">
        <f t="shared" si="14"/>
        <v>13</v>
      </c>
      <c r="AA49" s="16">
        <f t="shared" si="16"/>
        <v>10.035347150603812</v>
      </c>
      <c r="AB49" s="16">
        <v>11.5182</v>
      </c>
      <c r="AC49" s="16">
        <v>2.968</v>
      </c>
      <c r="AD49" s="16">
        <v>0.1734</v>
      </c>
      <c r="AE49" s="16">
        <v>14.5382</v>
      </c>
      <c r="AF49" s="16">
        <v>31.075199999999999</v>
      </c>
      <c r="AG49" s="16">
        <v>26.267199999999999</v>
      </c>
      <c r="AH49" s="16">
        <v>8.4220000000000006</v>
      </c>
      <c r="AI49" s="16">
        <v>-0.2974</v>
      </c>
      <c r="AJ49" s="16">
        <v>10.7278</v>
      </c>
      <c r="AK49" s="16">
        <v>16.38</v>
      </c>
      <c r="AL49" s="16" t="s">
        <v>140</v>
      </c>
      <c r="AM49" s="16">
        <f t="shared" si="15"/>
        <v>36</v>
      </c>
      <c r="AN49" t="s">
        <v>141</v>
      </c>
      <c r="AO49" s="21" t="str">
        <f t="shared" si="7"/>
        <v>матрица</v>
      </c>
    </row>
    <row r="50" spans="1:41" x14ac:dyDescent="0.25">
      <c r="A50" s="16" t="s">
        <v>142</v>
      </c>
      <c r="B50" s="16" t="s">
        <v>43</v>
      </c>
      <c r="C50" s="16">
        <v>0.434</v>
      </c>
      <c r="D50" s="16">
        <v>262.47500000000002</v>
      </c>
      <c r="E50" s="16">
        <v>31.495000000000001</v>
      </c>
      <c r="F50" s="16">
        <v>47.1</v>
      </c>
      <c r="G50" s="6">
        <v>1</v>
      </c>
      <c r="H50" s="16">
        <v>45</v>
      </c>
      <c r="I50" s="9" t="s">
        <v>63</v>
      </c>
      <c r="J50" s="16"/>
      <c r="K50" s="16">
        <v>34.5</v>
      </c>
      <c r="L50" s="16">
        <f t="shared" si="12"/>
        <v>-3.004999999999999</v>
      </c>
      <c r="M50" s="16"/>
      <c r="N50" s="16"/>
      <c r="O50" s="16">
        <v>0</v>
      </c>
      <c r="P50" s="16"/>
      <c r="Q50" s="16"/>
      <c r="R50" s="16"/>
      <c r="S50" s="16">
        <v>0</v>
      </c>
      <c r="T50" s="16"/>
      <c r="U50" s="16"/>
      <c r="V50" s="16">
        <f t="shared" si="13"/>
        <v>6.2990000000000004</v>
      </c>
      <c r="W50" s="4">
        <f>12*V50-U50-S50-R50-Q50-P50-O50-F50</f>
        <v>28.488000000000007</v>
      </c>
      <c r="X50" s="19">
        <f>W50+V50</f>
        <v>34.787000000000006</v>
      </c>
      <c r="Y50" s="16"/>
      <c r="Z50" s="16">
        <f t="shared" si="14"/>
        <v>13</v>
      </c>
      <c r="AA50" s="16">
        <f t="shared" si="16"/>
        <v>7.4773773614859502</v>
      </c>
      <c r="AB50" s="16">
        <v>0</v>
      </c>
      <c r="AC50" s="16">
        <v>0</v>
      </c>
      <c r="AD50" s="16">
        <v>0</v>
      </c>
      <c r="AE50" s="16">
        <v>0</v>
      </c>
      <c r="AF50" s="16">
        <v>-1.0289999999999999</v>
      </c>
      <c r="AG50" s="16">
        <v>-0.15640000000000001</v>
      </c>
      <c r="AH50" s="16">
        <v>-0.15640000000000001</v>
      </c>
      <c r="AI50" s="16">
        <v>-1.0711999999999999</v>
      </c>
      <c r="AJ50" s="16">
        <v>-1.0711999999999999</v>
      </c>
      <c r="AK50" s="16">
        <v>-0.8286</v>
      </c>
      <c r="AL50" s="16"/>
      <c r="AM50" s="16">
        <f t="shared" si="15"/>
        <v>35</v>
      </c>
      <c r="AN50" t="s">
        <v>143</v>
      </c>
      <c r="AO50" s="21" t="str">
        <f t="shared" si="7"/>
        <v>НЕДОГРУЗ / матрица</v>
      </c>
    </row>
    <row r="51" spans="1:41" x14ac:dyDescent="0.25">
      <c r="A51" s="16" t="s">
        <v>144</v>
      </c>
      <c r="B51" s="16" t="s">
        <v>51</v>
      </c>
      <c r="C51" s="16">
        <v>171</v>
      </c>
      <c r="D51" s="16">
        <v>206</v>
      </c>
      <c r="E51" s="16">
        <v>37</v>
      </c>
      <c r="F51" s="16">
        <v>118</v>
      </c>
      <c r="G51" s="6">
        <v>0.45</v>
      </c>
      <c r="H51" s="16">
        <v>50</v>
      </c>
      <c r="I51" s="16" t="s">
        <v>44</v>
      </c>
      <c r="J51" s="16"/>
      <c r="K51" s="16">
        <v>55</v>
      </c>
      <c r="L51" s="16">
        <f t="shared" si="12"/>
        <v>-18</v>
      </c>
      <c r="M51" s="16"/>
      <c r="N51" s="16"/>
      <c r="O51" s="16">
        <v>0</v>
      </c>
      <c r="P51" s="16"/>
      <c r="Q51" s="16"/>
      <c r="R51" s="16"/>
      <c r="S51" s="16">
        <v>12.6</v>
      </c>
      <c r="T51" s="16"/>
      <c r="U51" s="16"/>
      <c r="V51" s="16">
        <f t="shared" si="13"/>
        <v>7.4</v>
      </c>
      <c r="W51" s="4"/>
      <c r="X51" s="4">
        <f>W51</f>
        <v>0</v>
      </c>
      <c r="Y51" s="16"/>
      <c r="Z51" s="16">
        <f t="shared" si="14"/>
        <v>17.648648648648646</v>
      </c>
      <c r="AA51" s="16">
        <f t="shared" si="16"/>
        <v>17.648648648648646</v>
      </c>
      <c r="AB51" s="16">
        <v>9.8000000000000007</v>
      </c>
      <c r="AC51" s="16">
        <v>12.6</v>
      </c>
      <c r="AD51" s="16">
        <v>21.4</v>
      </c>
      <c r="AE51" s="16">
        <v>29</v>
      </c>
      <c r="AF51" s="16">
        <v>29.6</v>
      </c>
      <c r="AG51" s="16">
        <v>43</v>
      </c>
      <c r="AH51" s="16">
        <v>42.6</v>
      </c>
      <c r="AI51" s="16">
        <v>20.399999999999999</v>
      </c>
      <c r="AJ51" s="16">
        <v>15.4</v>
      </c>
      <c r="AK51" s="16">
        <v>31.4</v>
      </c>
      <c r="AL51" s="16"/>
      <c r="AM51" s="16">
        <f t="shared" si="15"/>
        <v>0</v>
      </c>
      <c r="AN51" t="s">
        <v>145</v>
      </c>
      <c r="AO51" s="21" t="str">
        <f t="shared" si="7"/>
        <v>матрица</v>
      </c>
    </row>
    <row r="52" spans="1:41" x14ac:dyDescent="0.25">
      <c r="A52" s="16" t="s">
        <v>146</v>
      </c>
      <c r="B52" s="16" t="s">
        <v>51</v>
      </c>
      <c r="C52" s="16">
        <v>198</v>
      </c>
      <c r="D52" s="16">
        <v>49</v>
      </c>
      <c r="E52" s="16">
        <v>95</v>
      </c>
      <c r="F52" s="16">
        <v>91</v>
      </c>
      <c r="G52" s="6">
        <v>0.45</v>
      </c>
      <c r="H52" s="16">
        <v>50</v>
      </c>
      <c r="I52" s="16" t="s">
        <v>44</v>
      </c>
      <c r="J52" s="16"/>
      <c r="K52" s="16">
        <v>96</v>
      </c>
      <c r="L52" s="16">
        <f t="shared" si="12"/>
        <v>-1</v>
      </c>
      <c r="M52" s="16"/>
      <c r="N52" s="16"/>
      <c r="O52" s="16">
        <v>52.911627906976747</v>
      </c>
      <c r="P52" s="16"/>
      <c r="Q52" s="16"/>
      <c r="R52" s="16"/>
      <c r="S52" s="16">
        <v>20</v>
      </c>
      <c r="T52" s="16"/>
      <c r="U52" s="16"/>
      <c r="V52" s="16">
        <f t="shared" si="13"/>
        <v>19</v>
      </c>
      <c r="W52" s="4">
        <f>12*V52-U52-S52-R52-Q52-P52-O52-F52</f>
        <v>64.088372093023253</v>
      </c>
      <c r="X52" s="4">
        <f>W52+V52</f>
        <v>83.088372093023253</v>
      </c>
      <c r="Y52" s="16"/>
      <c r="Z52" s="16">
        <f t="shared" si="14"/>
        <v>13</v>
      </c>
      <c r="AA52" s="16">
        <f t="shared" si="16"/>
        <v>8.6269277845777239</v>
      </c>
      <c r="AB52" s="16">
        <v>23</v>
      </c>
      <c r="AC52" s="16">
        <v>20</v>
      </c>
      <c r="AD52" s="16">
        <v>43.2</v>
      </c>
      <c r="AE52" s="16">
        <v>32.200000000000003</v>
      </c>
      <c r="AF52" s="16">
        <v>15.8</v>
      </c>
      <c r="AG52" s="16">
        <v>47.8</v>
      </c>
      <c r="AH52" s="16">
        <v>63.2</v>
      </c>
      <c r="AI52" s="16">
        <v>48.6</v>
      </c>
      <c r="AJ52" s="16">
        <v>28.2</v>
      </c>
      <c r="AK52" s="16">
        <v>18</v>
      </c>
      <c r="AL52" s="16"/>
      <c r="AM52" s="16">
        <f t="shared" si="15"/>
        <v>37</v>
      </c>
      <c r="AN52" t="s">
        <v>147</v>
      </c>
      <c r="AO52" s="21" t="str">
        <f t="shared" si="7"/>
        <v>матрица</v>
      </c>
    </row>
    <row r="53" spans="1:41" x14ac:dyDescent="0.25">
      <c r="A53" s="16" t="s">
        <v>148</v>
      </c>
      <c r="B53" s="16" t="s">
        <v>51</v>
      </c>
      <c r="C53" s="16">
        <v>26</v>
      </c>
      <c r="D53" s="16">
        <v>25</v>
      </c>
      <c r="E53" s="16">
        <v>19</v>
      </c>
      <c r="F53" s="16">
        <v>28</v>
      </c>
      <c r="G53" s="6">
        <v>0.4</v>
      </c>
      <c r="H53" s="16">
        <v>40</v>
      </c>
      <c r="I53" s="9" t="s">
        <v>44</v>
      </c>
      <c r="J53" s="16"/>
      <c r="K53" s="16">
        <v>17</v>
      </c>
      <c r="L53" s="16">
        <f t="shared" si="12"/>
        <v>2</v>
      </c>
      <c r="M53" s="16"/>
      <c r="N53" s="16"/>
      <c r="O53" s="16">
        <v>29.228070175438599</v>
      </c>
      <c r="P53" s="16"/>
      <c r="Q53" s="16"/>
      <c r="R53" s="16"/>
      <c r="S53" s="16">
        <v>26</v>
      </c>
      <c r="T53" s="16"/>
      <c r="U53" s="16"/>
      <c r="V53" s="16">
        <f t="shared" si="13"/>
        <v>3.8</v>
      </c>
      <c r="W53" s="4"/>
      <c r="X53" s="4">
        <f>W53</f>
        <v>0</v>
      </c>
      <c r="Y53" s="16"/>
      <c r="Z53" s="16">
        <f t="shared" si="14"/>
        <v>21.90212373037858</v>
      </c>
      <c r="AA53" s="16">
        <f t="shared" si="16"/>
        <v>21.90212373037858</v>
      </c>
      <c r="AB53" s="16">
        <v>8</v>
      </c>
      <c r="AC53" s="16">
        <v>6.4</v>
      </c>
      <c r="AD53" s="16">
        <v>0.4</v>
      </c>
      <c r="AE53" s="16">
        <v>0</v>
      </c>
      <c r="AF53" s="16">
        <v>-0.2</v>
      </c>
      <c r="AG53" s="16">
        <v>-0.2</v>
      </c>
      <c r="AH53" s="16">
        <v>0</v>
      </c>
      <c r="AI53" s="16">
        <v>4</v>
      </c>
      <c r="AJ53" s="16">
        <v>6.8</v>
      </c>
      <c r="AK53" s="16">
        <v>14.2</v>
      </c>
      <c r="AL53" s="16"/>
      <c r="AM53" s="16">
        <f t="shared" si="15"/>
        <v>0</v>
      </c>
      <c r="AN53" t="s">
        <v>149</v>
      </c>
      <c r="AO53" s="21" t="str">
        <f t="shared" si="7"/>
        <v>матрица</v>
      </c>
    </row>
    <row r="54" spans="1:41" x14ac:dyDescent="0.25">
      <c r="A54" s="16" t="s">
        <v>150</v>
      </c>
      <c r="B54" s="16" t="s">
        <v>51</v>
      </c>
      <c r="C54" s="16">
        <v>64</v>
      </c>
      <c r="D54" s="16">
        <v>2</v>
      </c>
      <c r="E54" s="16">
        <v>28</v>
      </c>
      <c r="F54" s="16">
        <v>32</v>
      </c>
      <c r="G54" s="6">
        <v>0.4</v>
      </c>
      <c r="H54" s="16">
        <v>40</v>
      </c>
      <c r="I54" s="9" t="s">
        <v>44</v>
      </c>
      <c r="J54" s="16"/>
      <c r="K54" s="16">
        <v>27</v>
      </c>
      <c r="L54" s="16">
        <f t="shared" si="12"/>
        <v>1</v>
      </c>
      <c r="M54" s="16"/>
      <c r="N54" s="16"/>
      <c r="O54" s="16">
        <v>4</v>
      </c>
      <c r="P54" s="16"/>
      <c r="Q54" s="16"/>
      <c r="R54" s="16"/>
      <c r="S54" s="16">
        <v>45.759999999999977</v>
      </c>
      <c r="T54" s="16"/>
      <c r="U54" s="16"/>
      <c r="V54" s="16">
        <f t="shared" si="13"/>
        <v>5.6</v>
      </c>
      <c r="W54" s="4"/>
      <c r="X54" s="4">
        <f>W54</f>
        <v>0</v>
      </c>
      <c r="Y54" s="16"/>
      <c r="Z54" s="16">
        <f t="shared" si="14"/>
        <v>14.599999999999996</v>
      </c>
      <c r="AA54" s="16">
        <f t="shared" si="16"/>
        <v>14.599999999999996</v>
      </c>
      <c r="AB54" s="16">
        <v>9</v>
      </c>
      <c r="AC54" s="16">
        <v>8.6</v>
      </c>
      <c r="AD54" s="16">
        <v>3.6</v>
      </c>
      <c r="AE54" s="16">
        <v>1.6</v>
      </c>
      <c r="AF54" s="16">
        <v>0.4</v>
      </c>
      <c r="AG54" s="16">
        <v>5.8</v>
      </c>
      <c r="AH54" s="16">
        <v>8.8000000000000007</v>
      </c>
      <c r="AI54" s="16">
        <v>8.6</v>
      </c>
      <c r="AJ54" s="16">
        <v>7.4</v>
      </c>
      <c r="AK54" s="16">
        <v>8.1999999999999993</v>
      </c>
      <c r="AL54" s="16"/>
      <c r="AM54" s="16">
        <f t="shared" si="15"/>
        <v>0</v>
      </c>
      <c r="AN54" t="s">
        <v>151</v>
      </c>
      <c r="AO54" s="21" t="str">
        <f t="shared" si="7"/>
        <v>матрица</v>
      </c>
    </row>
    <row r="55" spans="1:41" x14ac:dyDescent="0.25">
      <c r="A55" s="16" t="s">
        <v>152</v>
      </c>
      <c r="B55" s="16" t="s">
        <v>43</v>
      </c>
      <c r="C55" s="16">
        <v>90.334000000000003</v>
      </c>
      <c r="D55" s="16">
        <v>152.733</v>
      </c>
      <c r="E55" s="16">
        <v>30.919</v>
      </c>
      <c r="F55" s="16">
        <v>45.912999999999997</v>
      </c>
      <c r="G55" s="6">
        <v>1</v>
      </c>
      <c r="H55" s="16">
        <v>50</v>
      </c>
      <c r="I55" s="16" t="s">
        <v>44</v>
      </c>
      <c r="J55" s="16"/>
      <c r="K55" s="16">
        <v>26.6</v>
      </c>
      <c r="L55" s="16">
        <f t="shared" si="12"/>
        <v>4.3189999999999991</v>
      </c>
      <c r="M55" s="16"/>
      <c r="N55" s="16"/>
      <c r="O55" s="16">
        <v>0</v>
      </c>
      <c r="P55" s="16"/>
      <c r="Q55" s="16"/>
      <c r="R55" s="16"/>
      <c r="S55" s="16">
        <v>0</v>
      </c>
      <c r="T55" s="16"/>
      <c r="U55" s="16"/>
      <c r="V55" s="16">
        <f t="shared" si="13"/>
        <v>6.1837999999999997</v>
      </c>
      <c r="W55" s="4">
        <f>12*V55-U55-S55-R55-Q55-P55-O55-F55</f>
        <v>28.292600000000007</v>
      </c>
      <c r="X55" s="4">
        <f>W55+V55</f>
        <v>34.476400000000005</v>
      </c>
      <c r="Y55" s="16"/>
      <c r="Z55" s="16">
        <f t="shared" si="14"/>
        <v>13</v>
      </c>
      <c r="AA55" s="16">
        <f t="shared" si="16"/>
        <v>7.42472266244057</v>
      </c>
      <c r="AB55" s="16">
        <v>7.2691999999999997</v>
      </c>
      <c r="AC55" s="16">
        <v>5.6552000000000007</v>
      </c>
      <c r="AD55" s="16">
        <v>10.2532</v>
      </c>
      <c r="AE55" s="16">
        <v>15.079599999999999</v>
      </c>
      <c r="AF55" s="16">
        <v>14.2872</v>
      </c>
      <c r="AG55" s="16">
        <v>18.321200000000001</v>
      </c>
      <c r="AH55" s="16">
        <v>15.973000000000001</v>
      </c>
      <c r="AI55" s="16">
        <v>7.6050000000000004</v>
      </c>
      <c r="AJ55" s="16">
        <v>6.9670000000000014</v>
      </c>
      <c r="AK55" s="16">
        <v>5.6665999999999999</v>
      </c>
      <c r="AL55" s="16" t="s">
        <v>83</v>
      </c>
      <c r="AM55" s="16">
        <f t="shared" si="15"/>
        <v>34</v>
      </c>
      <c r="AN55" t="s">
        <v>153</v>
      </c>
      <c r="AO55" s="21" t="str">
        <f t="shared" si="7"/>
        <v>матрица</v>
      </c>
    </row>
    <row r="56" spans="1:41" x14ac:dyDescent="0.25">
      <c r="A56" s="16" t="s">
        <v>154</v>
      </c>
      <c r="B56" s="16" t="s">
        <v>51</v>
      </c>
      <c r="C56" s="16">
        <v>138</v>
      </c>
      <c r="D56" s="16">
        <v>105</v>
      </c>
      <c r="E56" s="13">
        <f>142+E129</f>
        <v>200</v>
      </c>
      <c r="F56" s="13">
        <f>17+F129</f>
        <v>-3</v>
      </c>
      <c r="G56" s="6">
        <v>0.1</v>
      </c>
      <c r="H56" s="16">
        <v>731</v>
      </c>
      <c r="I56" s="16" t="s">
        <v>44</v>
      </c>
      <c r="J56" s="16"/>
      <c r="K56" s="16">
        <v>140</v>
      </c>
      <c r="L56" s="16">
        <f t="shared" si="12"/>
        <v>60</v>
      </c>
      <c r="M56" s="16"/>
      <c r="N56" s="16"/>
      <c r="O56" s="16">
        <v>215.525052631579</v>
      </c>
      <c r="P56" s="16"/>
      <c r="Q56" s="16"/>
      <c r="R56" s="16"/>
      <c r="S56" s="16">
        <v>86.474947368421113</v>
      </c>
      <c r="T56" s="16"/>
      <c r="U56" s="16"/>
      <c r="V56" s="16">
        <f t="shared" si="13"/>
        <v>40</v>
      </c>
      <c r="W56" s="4">
        <f>12*V56-U56-S56-R56-Q56-P56-O56-F56</f>
        <v>180.99999999999989</v>
      </c>
      <c r="X56" s="4">
        <f>W56+V56</f>
        <v>220.99999999999989</v>
      </c>
      <c r="Y56" s="16"/>
      <c r="Z56" s="16">
        <f t="shared" si="14"/>
        <v>13</v>
      </c>
      <c r="AA56" s="16">
        <f t="shared" si="16"/>
        <v>7.4750000000000032</v>
      </c>
      <c r="AB56" s="16">
        <v>35.799999999999997</v>
      </c>
      <c r="AC56" s="16">
        <v>39</v>
      </c>
      <c r="AD56" s="16">
        <v>54.6</v>
      </c>
      <c r="AE56" s="16">
        <v>50.4</v>
      </c>
      <c r="AF56" s="16">
        <v>48.6</v>
      </c>
      <c r="AG56" s="16">
        <v>62.6</v>
      </c>
      <c r="AH56" s="16">
        <v>47.8</v>
      </c>
      <c r="AI56" s="16">
        <v>19.2</v>
      </c>
      <c r="AJ56" s="16">
        <v>14.6</v>
      </c>
      <c r="AK56" s="16">
        <v>11.8</v>
      </c>
      <c r="AL56" s="16" t="s">
        <v>83</v>
      </c>
      <c r="AM56" s="16">
        <f t="shared" si="15"/>
        <v>22</v>
      </c>
      <c r="AN56" t="s">
        <v>155</v>
      </c>
      <c r="AO56" s="21" t="str">
        <f t="shared" si="7"/>
        <v>матрица</v>
      </c>
    </row>
    <row r="57" spans="1:41" x14ac:dyDescent="0.25">
      <c r="A57" s="16" t="s">
        <v>156</v>
      </c>
      <c r="B57" s="16" t="s">
        <v>43</v>
      </c>
      <c r="C57" s="16">
        <v>8.0820000000000007</v>
      </c>
      <c r="D57" s="16">
        <v>259.14999999999998</v>
      </c>
      <c r="E57" s="16">
        <v>22.952999999999999</v>
      </c>
      <c r="F57" s="16">
        <v>75.891000000000005</v>
      </c>
      <c r="G57" s="6">
        <v>1</v>
      </c>
      <c r="H57" s="16">
        <v>50</v>
      </c>
      <c r="I57" s="16" t="s">
        <v>44</v>
      </c>
      <c r="J57" s="16"/>
      <c r="K57" s="16">
        <v>25.5</v>
      </c>
      <c r="L57" s="16">
        <f t="shared" si="12"/>
        <v>-2.5470000000000006</v>
      </c>
      <c r="M57" s="16"/>
      <c r="N57" s="16"/>
      <c r="O57" s="16">
        <v>67.325150343878946</v>
      </c>
      <c r="P57" s="16"/>
      <c r="Q57" s="16"/>
      <c r="R57" s="16"/>
      <c r="S57" s="16">
        <v>13.907999999999999</v>
      </c>
      <c r="T57" s="16"/>
      <c r="U57" s="16"/>
      <c r="V57" s="16">
        <f t="shared" si="13"/>
        <v>4.5906000000000002</v>
      </c>
      <c r="W57" s="4"/>
      <c r="X57" s="4">
        <f>W57</f>
        <v>0</v>
      </c>
      <c r="Y57" s="16"/>
      <c r="Z57" s="16">
        <f t="shared" si="14"/>
        <v>34.22736686792117</v>
      </c>
      <c r="AA57" s="16">
        <f t="shared" si="16"/>
        <v>34.22736686792117</v>
      </c>
      <c r="AB57" s="16">
        <v>4.2729999999999997</v>
      </c>
      <c r="AC57" s="16">
        <v>13.907999999999999</v>
      </c>
      <c r="AD57" s="16">
        <v>32.824800000000003</v>
      </c>
      <c r="AE57" s="16">
        <v>29.584199999999999</v>
      </c>
      <c r="AF57" s="16">
        <v>28.664000000000001</v>
      </c>
      <c r="AG57" s="16">
        <v>22.774799999999999</v>
      </c>
      <c r="AH57" s="16">
        <v>14.909599999999999</v>
      </c>
      <c r="AI57" s="16">
        <v>28.376000000000001</v>
      </c>
      <c r="AJ57" s="16">
        <v>33.974800000000002</v>
      </c>
      <c r="AK57" s="16">
        <v>26.335999999999999</v>
      </c>
      <c r="AL57" s="16" t="s">
        <v>83</v>
      </c>
      <c r="AM57" s="16">
        <f t="shared" si="15"/>
        <v>0</v>
      </c>
      <c r="AN57" t="s">
        <v>157</v>
      </c>
      <c r="AO57" s="21" t="str">
        <f t="shared" si="7"/>
        <v>матрица</v>
      </c>
    </row>
    <row r="58" spans="1:41" x14ac:dyDescent="0.25">
      <c r="A58" s="16" t="s">
        <v>158</v>
      </c>
      <c r="B58" s="16" t="s">
        <v>43</v>
      </c>
      <c r="C58" s="16">
        <v>45.91</v>
      </c>
      <c r="D58" s="16">
        <v>10.94</v>
      </c>
      <c r="E58" s="16">
        <v>20.251000000000001</v>
      </c>
      <c r="F58" s="16">
        <v>21.754999999999999</v>
      </c>
      <c r="G58" s="6">
        <v>1</v>
      </c>
      <c r="H58" s="16">
        <v>55</v>
      </c>
      <c r="I58" s="16" t="s">
        <v>44</v>
      </c>
      <c r="J58" s="16"/>
      <c r="K58" s="16">
        <v>19.600000000000001</v>
      </c>
      <c r="L58" s="16">
        <f t="shared" si="12"/>
        <v>0.6509999999999998</v>
      </c>
      <c r="M58" s="16"/>
      <c r="N58" s="16"/>
      <c r="O58" s="16">
        <v>42.548510946944248</v>
      </c>
      <c r="P58" s="16"/>
      <c r="Q58" s="16"/>
      <c r="R58" s="16"/>
      <c r="S58" s="16">
        <v>0</v>
      </c>
      <c r="T58" s="16"/>
      <c r="U58" s="16"/>
      <c r="V58" s="16">
        <f t="shared" si="13"/>
        <v>4.0502000000000002</v>
      </c>
      <c r="W58" s="4"/>
      <c r="X58" s="4">
        <f>W58</f>
        <v>0</v>
      </c>
      <c r="Y58" s="16"/>
      <c r="Z58" s="16">
        <f t="shared" si="14"/>
        <v>15.876626079439099</v>
      </c>
      <c r="AA58" s="16">
        <f t="shared" si="16"/>
        <v>15.876626079439099</v>
      </c>
      <c r="AB58" s="16">
        <v>3.7761999999999998</v>
      </c>
      <c r="AC58" s="16">
        <v>5.9706000000000001</v>
      </c>
      <c r="AD58" s="16">
        <v>8.2767999999999997</v>
      </c>
      <c r="AE58" s="16">
        <v>5.8301999999999996</v>
      </c>
      <c r="AF58" s="16">
        <v>6.5529999999999999</v>
      </c>
      <c r="AG58" s="16">
        <v>8.4641999999999999</v>
      </c>
      <c r="AH58" s="16">
        <v>5.9944000000000006</v>
      </c>
      <c r="AI58" s="16">
        <v>7.5114000000000001</v>
      </c>
      <c r="AJ58" s="16">
        <v>6.9714</v>
      </c>
      <c r="AK58" s="16">
        <v>5.4367999999999999</v>
      </c>
      <c r="AL58" s="16"/>
      <c r="AM58" s="16">
        <f t="shared" si="15"/>
        <v>0</v>
      </c>
      <c r="AN58" t="s">
        <v>159</v>
      </c>
      <c r="AO58" s="21" t="str">
        <f t="shared" si="7"/>
        <v>матрица</v>
      </c>
    </row>
    <row r="59" spans="1:41" x14ac:dyDescent="0.25">
      <c r="A59" s="16" t="s">
        <v>160</v>
      </c>
      <c r="B59" s="16" t="s">
        <v>51</v>
      </c>
      <c r="C59" s="16">
        <v>125</v>
      </c>
      <c r="D59" s="16">
        <v>3</v>
      </c>
      <c r="E59" s="16">
        <v>112</v>
      </c>
      <c r="F59" s="16">
        <v>10</v>
      </c>
      <c r="G59" s="6">
        <v>0.1</v>
      </c>
      <c r="H59" s="16">
        <v>731</v>
      </c>
      <c r="I59" s="16" t="s">
        <v>44</v>
      </c>
      <c r="J59" s="16"/>
      <c r="K59" s="16">
        <v>140</v>
      </c>
      <c r="L59" s="16">
        <f t="shared" si="12"/>
        <v>-28</v>
      </c>
      <c r="M59" s="16"/>
      <c r="N59" s="16"/>
      <c r="O59" s="16">
        <v>91.06797642436149</v>
      </c>
      <c r="P59" s="16"/>
      <c r="Q59" s="16"/>
      <c r="R59" s="16"/>
      <c r="S59" s="16">
        <v>221.53202357563839</v>
      </c>
      <c r="T59" s="16"/>
      <c r="U59" s="16"/>
      <c r="V59" s="16">
        <f t="shared" si="13"/>
        <v>22.4</v>
      </c>
      <c r="W59" s="4"/>
      <c r="X59" s="4">
        <f>W59</f>
        <v>0</v>
      </c>
      <c r="Y59" s="16"/>
      <c r="Z59" s="16">
        <f t="shared" si="14"/>
        <v>14.401785714285712</v>
      </c>
      <c r="AA59" s="16">
        <f t="shared" si="16"/>
        <v>14.401785714285712</v>
      </c>
      <c r="AB59" s="16">
        <v>29.6</v>
      </c>
      <c r="AC59" s="16">
        <v>31.2</v>
      </c>
      <c r="AD59" s="16">
        <v>34.799999999999997</v>
      </c>
      <c r="AE59" s="16">
        <v>32</v>
      </c>
      <c r="AF59" s="16">
        <v>34</v>
      </c>
      <c r="AG59" s="16">
        <v>39.6</v>
      </c>
      <c r="AH59" s="16">
        <v>29.8</v>
      </c>
      <c r="AI59" s="16">
        <v>25.2</v>
      </c>
      <c r="AJ59" s="16">
        <v>21.2</v>
      </c>
      <c r="AK59" s="16">
        <v>13.2</v>
      </c>
      <c r="AL59" s="16" t="s">
        <v>83</v>
      </c>
      <c r="AM59" s="16">
        <f t="shared" si="15"/>
        <v>0</v>
      </c>
      <c r="AN59" t="s">
        <v>161</v>
      </c>
      <c r="AO59" s="21" t="str">
        <f t="shared" si="7"/>
        <v>матрица</v>
      </c>
    </row>
    <row r="60" spans="1:41" x14ac:dyDescent="0.25">
      <c r="A60" s="16" t="s">
        <v>162</v>
      </c>
      <c r="B60" s="16" t="s">
        <v>51</v>
      </c>
      <c r="C60" s="16">
        <v>18</v>
      </c>
      <c r="D60" s="16">
        <v>23</v>
      </c>
      <c r="E60" s="16">
        <v>8</v>
      </c>
      <c r="F60" s="16">
        <v>2</v>
      </c>
      <c r="G60" s="6">
        <v>0.4</v>
      </c>
      <c r="H60" s="16">
        <v>50</v>
      </c>
      <c r="I60" s="16" t="s">
        <v>44</v>
      </c>
      <c r="J60" s="16"/>
      <c r="K60" s="16">
        <v>8</v>
      </c>
      <c r="L60" s="16">
        <f t="shared" si="12"/>
        <v>0</v>
      </c>
      <c r="M60" s="16"/>
      <c r="N60" s="16"/>
      <c r="O60" s="16">
        <v>0</v>
      </c>
      <c r="P60" s="16"/>
      <c r="Q60" s="16"/>
      <c r="R60" s="16"/>
      <c r="S60" s="16">
        <v>8.4000000000000021</v>
      </c>
      <c r="T60" s="16"/>
      <c r="U60" s="16"/>
      <c r="V60" s="16">
        <f t="shared" si="13"/>
        <v>1.6</v>
      </c>
      <c r="W60" s="4">
        <f>12*V60-U60-S60-R60-Q60-P60-O60-F60</f>
        <v>8.8000000000000007</v>
      </c>
      <c r="X60" s="4">
        <f>W60+V60</f>
        <v>10.4</v>
      </c>
      <c r="Y60" s="16"/>
      <c r="Z60" s="16">
        <f t="shared" si="14"/>
        <v>13.000000000000002</v>
      </c>
      <c r="AA60" s="16">
        <f t="shared" si="16"/>
        <v>6.5000000000000009</v>
      </c>
      <c r="AB60" s="16">
        <v>2.8</v>
      </c>
      <c r="AC60" s="16">
        <v>1.8</v>
      </c>
      <c r="AD60" s="16">
        <v>1</v>
      </c>
      <c r="AE60" s="16">
        <v>3.4</v>
      </c>
      <c r="AF60" s="16">
        <v>4</v>
      </c>
      <c r="AG60" s="16">
        <v>3.4</v>
      </c>
      <c r="AH60" s="16">
        <v>3.2</v>
      </c>
      <c r="AI60" s="16">
        <v>1.2</v>
      </c>
      <c r="AJ60" s="16">
        <v>0.2</v>
      </c>
      <c r="AK60" s="16">
        <v>3</v>
      </c>
      <c r="AL60" s="16"/>
      <c r="AM60" s="16">
        <f t="shared" si="15"/>
        <v>4</v>
      </c>
      <c r="AN60" t="s">
        <v>163</v>
      </c>
      <c r="AO60" s="21" t="str">
        <f t="shared" si="7"/>
        <v>матрица</v>
      </c>
    </row>
    <row r="61" spans="1:41" x14ac:dyDescent="0.25">
      <c r="A61" s="16" t="s">
        <v>164</v>
      </c>
      <c r="B61" s="16" t="s">
        <v>43</v>
      </c>
      <c r="C61" s="16">
        <v>104.67400000000001</v>
      </c>
      <c r="D61" s="16">
        <v>52.612000000000002</v>
      </c>
      <c r="E61" s="16">
        <v>117.703</v>
      </c>
      <c r="F61" s="16">
        <v>9.3179999999999996</v>
      </c>
      <c r="G61" s="6">
        <v>1</v>
      </c>
      <c r="H61" s="16">
        <v>40</v>
      </c>
      <c r="I61" s="9" t="s">
        <v>63</v>
      </c>
      <c r="J61" s="16"/>
      <c r="K61" s="16">
        <v>127.2</v>
      </c>
      <c r="L61" s="16">
        <f t="shared" si="12"/>
        <v>-9.4969999999999999</v>
      </c>
      <c r="M61" s="16"/>
      <c r="N61" s="16"/>
      <c r="O61" s="16">
        <v>82.974373640960252</v>
      </c>
      <c r="P61" s="16"/>
      <c r="Q61" s="16"/>
      <c r="R61" s="16"/>
      <c r="S61" s="16">
        <v>125.4214342667517</v>
      </c>
      <c r="T61" s="16"/>
      <c r="U61" s="16"/>
      <c r="V61" s="16">
        <f t="shared" si="13"/>
        <v>23.540600000000001</v>
      </c>
      <c r="W61" s="4">
        <f>12*V61-U61-S61-R61-Q61-P61-O61-F61</f>
        <v>64.773392092288077</v>
      </c>
      <c r="X61" s="19">
        <f>W61+V61</f>
        <v>88.313992092288075</v>
      </c>
      <c r="Y61" s="16"/>
      <c r="Z61" s="16">
        <f t="shared" si="14"/>
        <v>13</v>
      </c>
      <c r="AA61" s="16">
        <f t="shared" si="16"/>
        <v>9.2484392032366181</v>
      </c>
      <c r="AB61" s="16">
        <v>29.2972</v>
      </c>
      <c r="AC61" s="16">
        <v>24.019200000000001</v>
      </c>
      <c r="AD61" s="16">
        <v>15.448399999999999</v>
      </c>
      <c r="AE61" s="16">
        <v>13.5816</v>
      </c>
      <c r="AF61" s="16">
        <v>21.594999999999999</v>
      </c>
      <c r="AG61" s="16">
        <v>26.615600000000001</v>
      </c>
      <c r="AH61" s="16">
        <v>27.269600000000001</v>
      </c>
      <c r="AI61" s="16">
        <v>19.244599999999998</v>
      </c>
      <c r="AJ61" s="16">
        <v>2.0972</v>
      </c>
      <c r="AK61" s="16">
        <v>14.3964</v>
      </c>
      <c r="AL61" s="16"/>
      <c r="AM61" s="16">
        <f t="shared" si="15"/>
        <v>88</v>
      </c>
      <c r="AN61" t="s">
        <v>165</v>
      </c>
      <c r="AO61" s="21" t="str">
        <f t="shared" si="7"/>
        <v>НЕДОГРУЗ / матрица</v>
      </c>
    </row>
    <row r="62" spans="1:41" x14ac:dyDescent="0.25">
      <c r="A62" s="16" t="s">
        <v>166</v>
      </c>
      <c r="B62" s="16" t="s">
        <v>43</v>
      </c>
      <c r="C62" s="16">
        <v>5.2309999999999999</v>
      </c>
      <c r="D62" s="16"/>
      <c r="E62" s="16">
        <v>2.9889999999999999</v>
      </c>
      <c r="F62" s="16">
        <v>-0.13900000000000001</v>
      </c>
      <c r="G62" s="6">
        <v>1</v>
      </c>
      <c r="H62" s="16">
        <v>40</v>
      </c>
      <c r="I62" s="9" t="s">
        <v>44</v>
      </c>
      <c r="J62" s="16"/>
      <c r="K62" s="16">
        <v>17.2</v>
      </c>
      <c r="L62" s="16">
        <f t="shared" si="12"/>
        <v>-14.210999999999999</v>
      </c>
      <c r="M62" s="16"/>
      <c r="N62" s="16"/>
      <c r="O62" s="16">
        <v>157.7291886195996</v>
      </c>
      <c r="P62" s="16"/>
      <c r="Q62" s="16"/>
      <c r="R62" s="16"/>
      <c r="S62" s="16">
        <v>65</v>
      </c>
      <c r="T62" s="16"/>
      <c r="U62" s="16"/>
      <c r="V62" s="16">
        <f t="shared" si="13"/>
        <v>0.5978</v>
      </c>
      <c r="W62" s="4">
        <v>30</v>
      </c>
      <c r="X62" s="4">
        <f>W62</f>
        <v>30</v>
      </c>
      <c r="Y62" s="16"/>
      <c r="Z62" s="16">
        <f t="shared" si="14"/>
        <v>422.53293512813582</v>
      </c>
      <c r="AA62" s="16">
        <f t="shared" si="16"/>
        <v>372.3489270986945</v>
      </c>
      <c r="AB62" s="16">
        <v>1.6666000000000001</v>
      </c>
      <c r="AC62" s="16">
        <v>5.6360000000000001</v>
      </c>
      <c r="AD62" s="16">
        <v>11.8102</v>
      </c>
      <c r="AE62" s="16">
        <v>25.3964</v>
      </c>
      <c r="AF62" s="16">
        <v>39.029400000000003</v>
      </c>
      <c r="AG62" s="16">
        <v>33.448999999999998</v>
      </c>
      <c r="AH62" s="16">
        <v>20.904800000000002</v>
      </c>
      <c r="AI62" s="16">
        <v>8.2733999999999988</v>
      </c>
      <c r="AJ62" s="16">
        <v>11.537800000000001</v>
      </c>
      <c r="AK62" s="16">
        <v>27.928999999999998</v>
      </c>
      <c r="AL62" s="16"/>
      <c r="AM62" s="16">
        <f t="shared" si="15"/>
        <v>30</v>
      </c>
      <c r="AN62" t="s">
        <v>167</v>
      </c>
      <c r="AO62" s="21" t="str">
        <f t="shared" si="7"/>
        <v>матрица</v>
      </c>
    </row>
    <row r="63" spans="1:41" x14ac:dyDescent="0.25">
      <c r="A63" s="16" t="s">
        <v>168</v>
      </c>
      <c r="B63" s="16" t="s">
        <v>51</v>
      </c>
      <c r="C63" s="16">
        <v>443</v>
      </c>
      <c r="D63" s="16">
        <v>559</v>
      </c>
      <c r="E63" s="16">
        <v>306</v>
      </c>
      <c r="F63" s="16">
        <v>128</v>
      </c>
      <c r="G63" s="6">
        <v>0.4</v>
      </c>
      <c r="H63" s="16">
        <v>40</v>
      </c>
      <c r="I63" s="9" t="s">
        <v>44</v>
      </c>
      <c r="J63" s="16"/>
      <c r="K63" s="16">
        <v>319</v>
      </c>
      <c r="L63" s="16">
        <f t="shared" si="12"/>
        <v>-13</v>
      </c>
      <c r="M63" s="16"/>
      <c r="N63" s="16"/>
      <c r="O63" s="16">
        <v>64.264919941775844</v>
      </c>
      <c r="P63" s="16"/>
      <c r="Q63" s="16"/>
      <c r="R63" s="16"/>
      <c r="S63" s="16">
        <v>195</v>
      </c>
      <c r="T63" s="16"/>
      <c r="U63" s="16"/>
      <c r="V63" s="16">
        <f t="shared" si="13"/>
        <v>61.2</v>
      </c>
      <c r="W63" s="4">
        <f>12*V63-U63-S63-R63-Q63-P63-O63-F63</f>
        <v>347.13508005822428</v>
      </c>
      <c r="X63" s="19">
        <f>W63+V63</f>
        <v>408.33508005822426</v>
      </c>
      <c r="Y63" s="16"/>
      <c r="Z63" s="16">
        <f t="shared" si="14"/>
        <v>13.000000000000002</v>
      </c>
      <c r="AA63" s="16">
        <f t="shared" si="16"/>
        <v>6.3278581689832647</v>
      </c>
      <c r="AB63" s="16">
        <v>73.400000000000006</v>
      </c>
      <c r="AC63" s="16">
        <v>57.2</v>
      </c>
      <c r="AD63" s="16">
        <v>35.799999999999997</v>
      </c>
      <c r="AE63" s="16">
        <v>36.6</v>
      </c>
      <c r="AF63" s="16">
        <v>28.8</v>
      </c>
      <c r="AG63" s="16">
        <v>9</v>
      </c>
      <c r="AH63" s="16">
        <v>49</v>
      </c>
      <c r="AI63" s="16">
        <v>115.2</v>
      </c>
      <c r="AJ63" s="16">
        <v>114</v>
      </c>
      <c r="AK63" s="16">
        <v>79.599999999999994</v>
      </c>
      <c r="AL63" s="16"/>
      <c r="AM63" s="16">
        <f t="shared" si="15"/>
        <v>163</v>
      </c>
      <c r="AN63" t="s">
        <v>169</v>
      </c>
      <c r="AO63" s="21" t="str">
        <f t="shared" si="7"/>
        <v>матрица</v>
      </c>
    </row>
    <row r="64" spans="1:41" x14ac:dyDescent="0.25">
      <c r="A64" s="16" t="s">
        <v>170</v>
      </c>
      <c r="B64" s="16" t="s">
        <v>51</v>
      </c>
      <c r="C64" s="16">
        <v>347</v>
      </c>
      <c r="D64" s="16">
        <v>8</v>
      </c>
      <c r="E64" s="16">
        <v>158</v>
      </c>
      <c r="F64" s="16">
        <v>146</v>
      </c>
      <c r="G64" s="6">
        <v>0.4</v>
      </c>
      <c r="H64" s="16">
        <v>40</v>
      </c>
      <c r="I64" s="16" t="s">
        <v>63</v>
      </c>
      <c r="J64" s="16"/>
      <c r="K64" s="16">
        <v>167</v>
      </c>
      <c r="L64" s="16">
        <f t="shared" si="12"/>
        <v>-9</v>
      </c>
      <c r="M64" s="16"/>
      <c r="N64" s="16"/>
      <c r="O64" s="16">
        <v>140.38267875125879</v>
      </c>
      <c r="P64" s="16"/>
      <c r="Q64" s="16"/>
      <c r="R64" s="16"/>
      <c r="S64" s="16">
        <v>0</v>
      </c>
      <c r="T64" s="16"/>
      <c r="U64" s="16"/>
      <c r="V64" s="16">
        <f t="shared" si="13"/>
        <v>31.6</v>
      </c>
      <c r="W64" s="4">
        <f>12*V64-U64-S64-R64-Q64-P64-O64-F64</f>
        <v>92.817321248741251</v>
      </c>
      <c r="X64" s="4">
        <f>W64+V64</f>
        <v>124.41732124874125</v>
      </c>
      <c r="Y64" s="16"/>
      <c r="Z64" s="16">
        <f t="shared" si="14"/>
        <v>13.000000000000002</v>
      </c>
      <c r="AA64" s="16">
        <f t="shared" si="16"/>
        <v>9.0627429984575567</v>
      </c>
      <c r="AB64" s="16">
        <v>37.200000000000003</v>
      </c>
      <c r="AC64" s="16">
        <v>29.6</v>
      </c>
      <c r="AD64" s="16">
        <v>34.200000000000003</v>
      </c>
      <c r="AE64" s="16">
        <v>38.4</v>
      </c>
      <c r="AF64" s="16">
        <v>38.200000000000003</v>
      </c>
      <c r="AG64" s="16">
        <v>54</v>
      </c>
      <c r="AH64" s="16">
        <v>42.6</v>
      </c>
      <c r="AI64" s="16">
        <v>53.4</v>
      </c>
      <c r="AJ64" s="16">
        <v>71.599999999999994</v>
      </c>
      <c r="AK64" s="16">
        <v>43.4</v>
      </c>
      <c r="AL64" s="16"/>
      <c r="AM64" s="16">
        <f t="shared" si="15"/>
        <v>50</v>
      </c>
      <c r="AN64" t="s">
        <v>171</v>
      </c>
      <c r="AO64" s="21" t="str">
        <f t="shared" si="7"/>
        <v>НЕДОГРУЗ / матрица</v>
      </c>
    </row>
    <row r="65" spans="1:41" x14ac:dyDescent="0.25">
      <c r="A65" s="16" t="s">
        <v>172</v>
      </c>
      <c r="B65" s="16" t="s">
        <v>43</v>
      </c>
      <c r="C65" s="16">
        <v>-8.1000000000000003E-2</v>
      </c>
      <c r="D65" s="16">
        <v>131.16300000000001</v>
      </c>
      <c r="E65" s="16">
        <v>52.899000000000001</v>
      </c>
      <c r="F65" s="16">
        <v>-0.52900000000000003</v>
      </c>
      <c r="G65" s="6">
        <v>1</v>
      </c>
      <c r="H65" s="16">
        <v>40</v>
      </c>
      <c r="I65" s="9" t="s">
        <v>63</v>
      </c>
      <c r="J65" s="16"/>
      <c r="K65" s="16">
        <v>124.1</v>
      </c>
      <c r="L65" s="16">
        <f t="shared" si="12"/>
        <v>-71.200999999999993</v>
      </c>
      <c r="M65" s="16"/>
      <c r="N65" s="16"/>
      <c r="O65" s="16">
        <v>66.72749588742191</v>
      </c>
      <c r="P65" s="16"/>
      <c r="Q65" s="16"/>
      <c r="R65" s="16"/>
      <c r="S65" s="16">
        <v>26</v>
      </c>
      <c r="T65" s="16"/>
      <c r="U65" s="16"/>
      <c r="V65" s="16">
        <f t="shared" si="13"/>
        <v>10.579800000000001</v>
      </c>
      <c r="W65" s="4">
        <v>100</v>
      </c>
      <c r="X65" s="4">
        <f t="shared" ref="X65:X72" si="17">W65</f>
        <v>100</v>
      </c>
      <c r="Y65" s="16"/>
      <c r="Z65" s="16">
        <f t="shared" si="14"/>
        <v>18.166552854252625</v>
      </c>
      <c r="AA65" s="16">
        <f t="shared" si="16"/>
        <v>8.7145783367759222</v>
      </c>
      <c r="AB65" s="16">
        <v>0.18360000000000001</v>
      </c>
      <c r="AC65" s="16">
        <v>14.255800000000001</v>
      </c>
      <c r="AD65" s="16">
        <v>19.347200000000001</v>
      </c>
      <c r="AE65" s="16">
        <v>13.451000000000001</v>
      </c>
      <c r="AF65" s="16">
        <v>8.1768000000000001</v>
      </c>
      <c r="AG65" s="16">
        <v>2.9136000000000002</v>
      </c>
      <c r="AH65" s="16">
        <v>16.226600000000001</v>
      </c>
      <c r="AI65" s="16">
        <v>18.217400000000001</v>
      </c>
      <c r="AJ65" s="16">
        <v>20.844200000000001</v>
      </c>
      <c r="AK65" s="16">
        <v>20.661999999999999</v>
      </c>
      <c r="AL65" s="16"/>
      <c r="AM65" s="16">
        <f t="shared" si="15"/>
        <v>100</v>
      </c>
      <c r="AN65" t="s">
        <v>173</v>
      </c>
      <c r="AO65" s="21" t="str">
        <f t="shared" si="7"/>
        <v>НЕДОГРУЗ / матрица</v>
      </c>
    </row>
    <row r="66" spans="1:41" x14ac:dyDescent="0.25">
      <c r="A66" s="16" t="s">
        <v>174</v>
      </c>
      <c r="B66" s="16" t="s">
        <v>43</v>
      </c>
      <c r="C66" s="16"/>
      <c r="D66" s="16">
        <v>102.29900000000001</v>
      </c>
      <c r="E66" s="16">
        <v>-3.5249999999999999</v>
      </c>
      <c r="F66" s="16"/>
      <c r="G66" s="6">
        <v>1</v>
      </c>
      <c r="H66" s="16">
        <v>40</v>
      </c>
      <c r="I66" s="9" t="s">
        <v>63</v>
      </c>
      <c r="J66" s="16"/>
      <c r="K66" s="16">
        <v>33.299999999999997</v>
      </c>
      <c r="L66" s="16">
        <f t="shared" si="12"/>
        <v>-36.824999999999996</v>
      </c>
      <c r="M66" s="16"/>
      <c r="N66" s="16"/>
      <c r="O66" s="16">
        <v>65.506768635724328</v>
      </c>
      <c r="P66" s="16">
        <v>-70</v>
      </c>
      <c r="Q66" s="16"/>
      <c r="R66" s="16"/>
      <c r="S66" s="16">
        <v>26</v>
      </c>
      <c r="T66" s="16"/>
      <c r="U66" s="16"/>
      <c r="V66" s="16">
        <f t="shared" si="13"/>
        <v>-0.70499999999999996</v>
      </c>
      <c r="W66" s="4">
        <v>40</v>
      </c>
      <c r="X66" s="4">
        <f t="shared" si="17"/>
        <v>40</v>
      </c>
      <c r="Y66" s="16"/>
      <c r="Z66" s="16">
        <f t="shared" si="14"/>
        <v>-87.243643454928133</v>
      </c>
      <c r="AA66" s="16">
        <f t="shared" si="16"/>
        <v>-30.506054802445856</v>
      </c>
      <c r="AB66" s="16">
        <v>-0.88500000000000001</v>
      </c>
      <c r="AC66" s="16">
        <v>-0.18</v>
      </c>
      <c r="AD66" s="16">
        <v>-0.3654</v>
      </c>
      <c r="AE66" s="16">
        <v>-0.3654</v>
      </c>
      <c r="AF66" s="16">
        <v>-1.2702</v>
      </c>
      <c r="AG66" s="16">
        <v>-1.0875999999999999</v>
      </c>
      <c r="AH66" s="16">
        <v>10.1266</v>
      </c>
      <c r="AI66" s="16">
        <v>11.384600000000001</v>
      </c>
      <c r="AJ66" s="16">
        <v>8.4802</v>
      </c>
      <c r="AK66" s="16">
        <v>12.4748</v>
      </c>
      <c r="AL66" s="16"/>
      <c r="AM66" s="16">
        <f t="shared" si="15"/>
        <v>40</v>
      </c>
      <c r="AN66" t="s">
        <v>175</v>
      </c>
      <c r="AO66" s="21" t="str">
        <f t="shared" si="7"/>
        <v>НЕДОГРУЗ / матрица</v>
      </c>
    </row>
    <row r="67" spans="1:41" x14ac:dyDescent="0.25">
      <c r="A67" s="16" t="s">
        <v>176</v>
      </c>
      <c r="B67" s="16" t="s">
        <v>43</v>
      </c>
      <c r="C67" s="16">
        <v>-0.41</v>
      </c>
      <c r="D67" s="16"/>
      <c r="E67" s="16"/>
      <c r="F67" s="16">
        <v>-0.41</v>
      </c>
      <c r="G67" s="6">
        <v>1</v>
      </c>
      <c r="H67" s="16">
        <v>40</v>
      </c>
      <c r="I67" s="9" t="s">
        <v>63</v>
      </c>
      <c r="J67" s="16"/>
      <c r="K67" s="16">
        <v>1.7</v>
      </c>
      <c r="L67" s="16">
        <f t="shared" si="12"/>
        <v>-1.7</v>
      </c>
      <c r="M67" s="16"/>
      <c r="N67" s="16"/>
      <c r="O67" s="16">
        <v>185.44251614261961</v>
      </c>
      <c r="P67" s="16">
        <v>-189</v>
      </c>
      <c r="Q67" s="16"/>
      <c r="R67" s="16"/>
      <c r="S67" s="16">
        <v>260</v>
      </c>
      <c r="T67" s="16">
        <v>-8</v>
      </c>
      <c r="U67" s="16"/>
      <c r="V67" s="16">
        <f t="shared" si="13"/>
        <v>0</v>
      </c>
      <c r="W67" s="4">
        <v>100</v>
      </c>
      <c r="X67" s="4">
        <f t="shared" si="17"/>
        <v>100</v>
      </c>
      <c r="Y67" s="16"/>
      <c r="Z67" s="16" t="e">
        <f t="shared" si="14"/>
        <v>#DIV/0!</v>
      </c>
      <c r="AA67" s="16" t="e">
        <f t="shared" si="16"/>
        <v>#DIV/0!</v>
      </c>
      <c r="AB67" s="16">
        <v>15.165800000000001</v>
      </c>
      <c r="AC67" s="16">
        <v>54.539200000000008</v>
      </c>
      <c r="AD67" s="16">
        <v>38.833599999999997</v>
      </c>
      <c r="AE67" s="16">
        <v>-1.4410000000000001</v>
      </c>
      <c r="AF67" s="16">
        <v>-0.9012</v>
      </c>
      <c r="AG67" s="16">
        <v>26.5594</v>
      </c>
      <c r="AH67" s="16">
        <v>56.472000000000001</v>
      </c>
      <c r="AI67" s="16">
        <v>75.826599999999999</v>
      </c>
      <c r="AJ67" s="16">
        <v>76.188999999999993</v>
      </c>
      <c r="AK67" s="16">
        <v>96.034199999999998</v>
      </c>
      <c r="AL67" s="16"/>
      <c r="AM67" s="16">
        <f t="shared" si="15"/>
        <v>100</v>
      </c>
      <c r="AN67" t="s">
        <v>177</v>
      </c>
      <c r="AO67" s="21" t="str">
        <f t="shared" si="7"/>
        <v>НЕДОГРУЗ / матрица</v>
      </c>
    </row>
    <row r="68" spans="1:41" x14ac:dyDescent="0.25">
      <c r="A68" s="16" t="s">
        <v>178</v>
      </c>
      <c r="B68" s="16" t="s">
        <v>43</v>
      </c>
      <c r="C68" s="16"/>
      <c r="D68" s="16"/>
      <c r="E68" s="16">
        <v>-0.91700000000000004</v>
      </c>
      <c r="F68" s="16"/>
      <c r="G68" s="6">
        <v>1</v>
      </c>
      <c r="H68" s="16">
        <v>40</v>
      </c>
      <c r="I68" s="9" t="s">
        <v>63</v>
      </c>
      <c r="J68" s="16"/>
      <c r="K68" s="16"/>
      <c r="L68" s="16">
        <f t="shared" si="12"/>
        <v>-0.91700000000000004</v>
      </c>
      <c r="M68" s="16"/>
      <c r="N68" s="16"/>
      <c r="O68" s="16">
        <v>94.231088526074814</v>
      </c>
      <c r="P68" s="16">
        <v>-97</v>
      </c>
      <c r="Q68" s="16"/>
      <c r="R68" s="16"/>
      <c r="S68" s="16">
        <v>26</v>
      </c>
      <c r="T68" s="16">
        <v>-27</v>
      </c>
      <c r="U68" s="16"/>
      <c r="V68" s="16">
        <f t="shared" si="13"/>
        <v>-0.18340000000000001</v>
      </c>
      <c r="W68" s="4">
        <v>50</v>
      </c>
      <c r="X68" s="4">
        <f t="shared" si="17"/>
        <v>50</v>
      </c>
      <c r="Y68" s="16"/>
      <c r="Z68" s="16">
        <f t="shared" si="14"/>
        <v>-399.29710210509711</v>
      </c>
      <c r="AA68" s="16">
        <f t="shared" si="16"/>
        <v>-126.66896688154205</v>
      </c>
      <c r="AB68" s="16">
        <v>0</v>
      </c>
      <c r="AC68" s="16">
        <v>-0.1852</v>
      </c>
      <c r="AD68" s="16">
        <v>2.7107999999999999</v>
      </c>
      <c r="AE68" s="16">
        <v>18.175599999999999</v>
      </c>
      <c r="AF68" s="16">
        <v>14.3584</v>
      </c>
      <c r="AG68" s="16">
        <v>-0.11700000000000001</v>
      </c>
      <c r="AH68" s="16">
        <v>11.7364</v>
      </c>
      <c r="AI68" s="16">
        <v>16.224799999999998</v>
      </c>
      <c r="AJ68" s="16">
        <v>34.017000000000003</v>
      </c>
      <c r="AK68" s="16">
        <v>35.487000000000002</v>
      </c>
      <c r="AL68" s="16"/>
      <c r="AM68" s="16">
        <f t="shared" si="15"/>
        <v>50</v>
      </c>
      <c r="AN68" t="s">
        <v>179</v>
      </c>
      <c r="AO68" s="21" t="str">
        <f t="shared" si="7"/>
        <v>НЕДОГРУЗ / матрица</v>
      </c>
    </row>
    <row r="69" spans="1:41" x14ac:dyDescent="0.25">
      <c r="A69" s="10" t="s">
        <v>180</v>
      </c>
      <c r="B69" s="10" t="s">
        <v>51</v>
      </c>
      <c r="C69" s="10"/>
      <c r="D69" s="10"/>
      <c r="E69" s="10"/>
      <c r="F69" s="10"/>
      <c r="G69" s="11">
        <v>0</v>
      </c>
      <c r="H69" s="10"/>
      <c r="I69" s="10" t="s">
        <v>44</v>
      </c>
      <c r="J69" s="10"/>
      <c r="K69" s="10"/>
      <c r="L69" s="10">
        <f t="shared" si="12"/>
        <v>0</v>
      </c>
      <c r="M69" s="10"/>
      <c r="N69" s="10"/>
      <c r="O69" s="10"/>
      <c r="P69" s="10"/>
      <c r="Q69" s="10"/>
      <c r="R69" s="10"/>
      <c r="S69" s="10">
        <v>0</v>
      </c>
      <c r="T69" s="10"/>
      <c r="U69" s="10"/>
      <c r="V69" s="10">
        <f t="shared" si="13"/>
        <v>0</v>
      </c>
      <c r="W69" s="12"/>
      <c r="X69" s="4">
        <f t="shared" si="17"/>
        <v>0</v>
      </c>
      <c r="Y69" s="16"/>
      <c r="Z69" s="16" t="e">
        <f t="shared" si="14"/>
        <v>#DIV/0!</v>
      </c>
      <c r="AA69" s="10"/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 t="s">
        <v>52</v>
      </c>
      <c r="AM69" s="16">
        <f t="shared" si="15"/>
        <v>0</v>
      </c>
      <c r="AN69" t="s">
        <v>181</v>
      </c>
      <c r="AO69" s="21" t="str">
        <f t="shared" si="7"/>
        <v>матрица</v>
      </c>
    </row>
    <row r="70" spans="1:41" x14ac:dyDescent="0.25">
      <c r="A70" s="16" t="s">
        <v>182</v>
      </c>
      <c r="B70" s="16" t="s">
        <v>43</v>
      </c>
      <c r="C70" s="16">
        <v>154.76900000000001</v>
      </c>
      <c r="D70" s="16">
        <v>62.597999999999999</v>
      </c>
      <c r="E70" s="16">
        <v>75.418000000000006</v>
      </c>
      <c r="F70" s="16">
        <v>116.408</v>
      </c>
      <c r="G70" s="6">
        <v>1</v>
      </c>
      <c r="H70" s="16">
        <v>30</v>
      </c>
      <c r="I70" s="9" t="s">
        <v>44</v>
      </c>
      <c r="J70" s="16"/>
      <c r="K70" s="16">
        <v>95.3</v>
      </c>
      <c r="L70" s="16">
        <f t="shared" ref="L70:L101" si="18">E70-K70</f>
        <v>-19.881999999999991</v>
      </c>
      <c r="M70" s="16"/>
      <c r="N70" s="16"/>
      <c r="O70" s="16">
        <v>61.041236403526483</v>
      </c>
      <c r="P70" s="16"/>
      <c r="Q70" s="16"/>
      <c r="R70" s="16"/>
      <c r="S70" s="16">
        <v>87.828732675415679</v>
      </c>
      <c r="T70" s="16"/>
      <c r="U70" s="16"/>
      <c r="V70" s="16">
        <f t="shared" ref="V70:V101" si="19">E70/5</f>
        <v>15.083600000000001</v>
      </c>
      <c r="W70" s="4"/>
      <c r="X70" s="4">
        <f t="shared" si="17"/>
        <v>0</v>
      </c>
      <c r="Y70" s="16"/>
      <c r="Z70" s="16">
        <f t="shared" ref="Z70:Z101" si="20">(F70+O70+P70+Q70+R70+S70+U70+X70)/V70</f>
        <v>17.587178729145702</v>
      </c>
      <c r="AA70" s="16">
        <f t="shared" ref="AA70:AA81" si="21">(F70+O70+P70+Q70+R70+S70+U70)/V70</f>
        <v>17.587178729145702</v>
      </c>
      <c r="AB70" s="16">
        <v>22.851600000000001</v>
      </c>
      <c r="AC70" s="16">
        <v>27.151399999999999</v>
      </c>
      <c r="AD70" s="16">
        <v>11.3246</v>
      </c>
      <c r="AE70" s="16">
        <v>-3.0474000000000001</v>
      </c>
      <c r="AF70" s="16">
        <v>6.3057999999999996</v>
      </c>
      <c r="AG70" s="16">
        <v>38.624600000000001</v>
      </c>
      <c r="AH70" s="16">
        <v>42.8994</v>
      </c>
      <c r="AI70" s="16">
        <v>11.5352</v>
      </c>
      <c r="AJ70" s="16">
        <v>1.75</v>
      </c>
      <c r="AK70" s="16">
        <v>29.075600000000001</v>
      </c>
      <c r="AL70" s="16" t="s">
        <v>183</v>
      </c>
      <c r="AM70" s="16">
        <f t="shared" ref="AM70:AM101" si="22">ROUND(G70*X70,0)</f>
        <v>0</v>
      </c>
      <c r="AN70" t="s">
        <v>184</v>
      </c>
      <c r="AO70" s="21" t="str">
        <f t="shared" si="7"/>
        <v>матрица</v>
      </c>
    </row>
    <row r="71" spans="1:41" x14ac:dyDescent="0.25">
      <c r="A71" s="16" t="s">
        <v>185</v>
      </c>
      <c r="B71" s="16" t="s">
        <v>51</v>
      </c>
      <c r="C71" s="16">
        <v>77</v>
      </c>
      <c r="D71" s="16">
        <v>66</v>
      </c>
      <c r="E71" s="16">
        <v>50</v>
      </c>
      <c r="F71" s="16">
        <v>85</v>
      </c>
      <c r="G71" s="6">
        <v>0</v>
      </c>
      <c r="H71" s="16">
        <v>60</v>
      </c>
      <c r="I71" s="16" t="s">
        <v>44</v>
      </c>
      <c r="J71" s="16"/>
      <c r="K71" s="16">
        <v>48</v>
      </c>
      <c r="L71" s="16">
        <f t="shared" si="18"/>
        <v>2</v>
      </c>
      <c r="M71" s="16"/>
      <c r="N71" s="16"/>
      <c r="O71" s="16">
        <v>77.89787234042555</v>
      </c>
      <c r="P71" s="16"/>
      <c r="Q71" s="16"/>
      <c r="R71" s="16"/>
      <c r="S71" s="16">
        <v>0</v>
      </c>
      <c r="T71" s="16"/>
      <c r="U71" s="16"/>
      <c r="V71" s="16">
        <f t="shared" si="19"/>
        <v>10</v>
      </c>
      <c r="W71" s="4"/>
      <c r="X71" s="4">
        <f t="shared" si="17"/>
        <v>0</v>
      </c>
      <c r="Y71" s="16"/>
      <c r="Z71" s="16">
        <f t="shared" si="20"/>
        <v>16.289787234042556</v>
      </c>
      <c r="AA71" s="16">
        <f t="shared" si="21"/>
        <v>16.289787234042556</v>
      </c>
      <c r="AB71" s="16">
        <v>5.6</v>
      </c>
      <c r="AC71" s="16">
        <v>11</v>
      </c>
      <c r="AD71" s="16">
        <v>36.200000000000003</v>
      </c>
      <c r="AE71" s="16">
        <v>27</v>
      </c>
      <c r="AF71" s="16">
        <v>1.2</v>
      </c>
      <c r="AG71" s="16">
        <v>3.2</v>
      </c>
      <c r="AH71" s="16">
        <v>19.399999999999999</v>
      </c>
      <c r="AI71" s="16">
        <v>37</v>
      </c>
      <c r="AJ71" s="16">
        <v>27.2</v>
      </c>
      <c r="AK71" s="16">
        <v>8.6</v>
      </c>
      <c r="AL71" s="15" t="s">
        <v>186</v>
      </c>
      <c r="AM71" s="16">
        <f t="shared" si="22"/>
        <v>0</v>
      </c>
      <c r="AN71" t="s">
        <v>187</v>
      </c>
      <c r="AO71" s="21" t="str">
        <f t="shared" ref="AO71:AO128" si="23">I71</f>
        <v>матрица</v>
      </c>
    </row>
    <row r="72" spans="1:41" x14ac:dyDescent="0.25">
      <c r="A72" s="16" t="s">
        <v>188</v>
      </c>
      <c r="B72" s="16" t="s">
        <v>51</v>
      </c>
      <c r="C72" s="16">
        <v>63</v>
      </c>
      <c r="D72" s="16">
        <v>178</v>
      </c>
      <c r="E72" s="16">
        <v>78</v>
      </c>
      <c r="F72" s="16">
        <v>145</v>
      </c>
      <c r="G72" s="6">
        <v>0</v>
      </c>
      <c r="H72" s="16">
        <v>60</v>
      </c>
      <c r="I72" s="16" t="s">
        <v>44</v>
      </c>
      <c r="J72" s="16"/>
      <c r="K72" s="16">
        <v>81</v>
      </c>
      <c r="L72" s="16">
        <f t="shared" si="18"/>
        <v>-3</v>
      </c>
      <c r="M72" s="16"/>
      <c r="N72" s="16"/>
      <c r="O72" s="16">
        <v>66.136986301369859</v>
      </c>
      <c r="P72" s="16"/>
      <c r="Q72" s="16"/>
      <c r="R72" s="16"/>
      <c r="S72" s="16">
        <v>0</v>
      </c>
      <c r="T72" s="16"/>
      <c r="U72" s="16"/>
      <c r="V72" s="16">
        <f t="shared" si="19"/>
        <v>15.6</v>
      </c>
      <c r="W72" s="4"/>
      <c r="X72" s="4">
        <f t="shared" si="17"/>
        <v>0</v>
      </c>
      <c r="Y72" s="16"/>
      <c r="Z72" s="16">
        <f t="shared" si="20"/>
        <v>13.53442219880576</v>
      </c>
      <c r="AA72" s="16">
        <f t="shared" si="21"/>
        <v>13.53442219880576</v>
      </c>
      <c r="AB72" s="16">
        <v>11.2</v>
      </c>
      <c r="AC72" s="16">
        <v>17.2</v>
      </c>
      <c r="AD72" s="16">
        <v>47.6</v>
      </c>
      <c r="AE72" s="16">
        <v>37</v>
      </c>
      <c r="AF72" s="16">
        <v>11.8</v>
      </c>
      <c r="AG72" s="16">
        <v>25.4</v>
      </c>
      <c r="AH72" s="16">
        <v>30.4</v>
      </c>
      <c r="AI72" s="16">
        <v>51</v>
      </c>
      <c r="AJ72" s="16">
        <v>42</v>
      </c>
      <c r="AK72" s="16">
        <v>18.399999999999999</v>
      </c>
      <c r="AL72" s="8" t="s">
        <v>52</v>
      </c>
      <c r="AM72" s="16">
        <f t="shared" si="22"/>
        <v>0</v>
      </c>
      <c r="AN72" t="s">
        <v>189</v>
      </c>
      <c r="AO72" s="21" t="str">
        <f t="shared" si="23"/>
        <v>матрица</v>
      </c>
    </row>
    <row r="73" spans="1:41" x14ac:dyDescent="0.25">
      <c r="A73" s="16" t="s">
        <v>190</v>
      </c>
      <c r="B73" s="16" t="s">
        <v>51</v>
      </c>
      <c r="C73" s="16"/>
      <c r="D73" s="16">
        <v>273</v>
      </c>
      <c r="E73" s="16">
        <v>46</v>
      </c>
      <c r="F73" s="16">
        <v>57</v>
      </c>
      <c r="G73" s="6">
        <v>0.4</v>
      </c>
      <c r="H73" s="16">
        <v>90</v>
      </c>
      <c r="I73" s="9" t="s">
        <v>44</v>
      </c>
      <c r="J73" s="16"/>
      <c r="K73" s="16">
        <v>38</v>
      </c>
      <c r="L73" s="16">
        <f t="shared" si="18"/>
        <v>8</v>
      </c>
      <c r="M73" s="16"/>
      <c r="N73" s="16"/>
      <c r="O73" s="16">
        <v>48.218181818181819</v>
      </c>
      <c r="P73" s="16"/>
      <c r="Q73" s="16"/>
      <c r="R73" s="16"/>
      <c r="S73" s="16">
        <v>0</v>
      </c>
      <c r="T73" s="16"/>
      <c r="U73" s="16"/>
      <c r="V73" s="16">
        <f t="shared" si="19"/>
        <v>9.1999999999999993</v>
      </c>
      <c r="W73" s="4">
        <f>12*V73-U73-S73-R73-Q73-P73-O73-F73</f>
        <v>5.1818181818181728</v>
      </c>
      <c r="X73" s="19">
        <f>W73+V73</f>
        <v>14.381818181818172</v>
      </c>
      <c r="Y73" s="16"/>
      <c r="Z73" s="16">
        <f t="shared" si="20"/>
        <v>13</v>
      </c>
      <c r="AA73" s="16">
        <f t="shared" si="21"/>
        <v>11.436758893280633</v>
      </c>
      <c r="AB73" s="16">
        <v>7.8</v>
      </c>
      <c r="AC73" s="16">
        <v>11.6</v>
      </c>
      <c r="AD73" s="16">
        <v>18</v>
      </c>
      <c r="AE73" s="16">
        <v>23.6</v>
      </c>
      <c r="AF73" s="16">
        <v>29</v>
      </c>
      <c r="AG73" s="16">
        <v>27.8</v>
      </c>
      <c r="AH73" s="16">
        <v>26</v>
      </c>
      <c r="AI73" s="16">
        <v>21.4</v>
      </c>
      <c r="AJ73" s="16">
        <v>17</v>
      </c>
      <c r="AK73" s="16">
        <v>24.2</v>
      </c>
      <c r="AL73" s="16"/>
      <c r="AM73" s="16">
        <f t="shared" si="22"/>
        <v>6</v>
      </c>
      <c r="AN73" t="s">
        <v>191</v>
      </c>
      <c r="AO73" s="21" t="str">
        <f t="shared" si="23"/>
        <v>матрица</v>
      </c>
    </row>
    <row r="74" spans="1:41" x14ac:dyDescent="0.25">
      <c r="A74" s="16" t="s">
        <v>192</v>
      </c>
      <c r="B74" s="16" t="s">
        <v>51</v>
      </c>
      <c r="C74" s="16">
        <v>18</v>
      </c>
      <c r="D74" s="16">
        <v>302</v>
      </c>
      <c r="E74" s="16">
        <v>108</v>
      </c>
      <c r="F74" s="16">
        <v>5</v>
      </c>
      <c r="G74" s="6">
        <v>0.33</v>
      </c>
      <c r="H74" s="16">
        <v>60</v>
      </c>
      <c r="I74" s="9" t="s">
        <v>63</v>
      </c>
      <c r="J74" s="16"/>
      <c r="K74" s="16">
        <v>120</v>
      </c>
      <c r="L74" s="16">
        <f t="shared" si="18"/>
        <v>-12</v>
      </c>
      <c r="M74" s="16"/>
      <c r="N74" s="16"/>
      <c r="O74" s="16">
        <v>67.583673469387747</v>
      </c>
      <c r="P74" s="16">
        <v>-72.72727272727272</v>
      </c>
      <c r="Q74" s="16"/>
      <c r="R74" s="16"/>
      <c r="S74" s="16">
        <v>0</v>
      </c>
      <c r="T74" s="16"/>
      <c r="U74" s="16"/>
      <c r="V74" s="16">
        <f t="shared" si="19"/>
        <v>21.6</v>
      </c>
      <c r="W74" s="4">
        <v>120</v>
      </c>
      <c r="X74" s="4">
        <f>W74</f>
        <v>120</v>
      </c>
      <c r="Y74" s="16"/>
      <c r="Z74" s="16">
        <f t="shared" si="20"/>
        <v>5.5489074417645838</v>
      </c>
      <c r="AA74" s="16">
        <f t="shared" si="21"/>
        <v>-6.6481137909709291E-3</v>
      </c>
      <c r="AB74" s="16">
        <v>17.2</v>
      </c>
      <c r="AC74" s="16">
        <v>16</v>
      </c>
      <c r="AD74" s="16">
        <v>21.2</v>
      </c>
      <c r="AE74" s="16">
        <v>23.8</v>
      </c>
      <c r="AF74" s="16">
        <v>36.200000000000003</v>
      </c>
      <c r="AG74" s="16">
        <v>36.4</v>
      </c>
      <c r="AH74" s="16">
        <v>33.6</v>
      </c>
      <c r="AI74" s="16">
        <v>31.8</v>
      </c>
      <c r="AJ74" s="16">
        <v>29.6</v>
      </c>
      <c r="AK74" s="16">
        <v>46.4</v>
      </c>
      <c r="AL74" s="16"/>
      <c r="AM74" s="16">
        <f t="shared" si="22"/>
        <v>40</v>
      </c>
      <c r="AN74" t="s">
        <v>193</v>
      </c>
      <c r="AO74" s="21" t="str">
        <f t="shared" si="23"/>
        <v>НЕДОГРУЗ / матрица</v>
      </c>
    </row>
    <row r="75" spans="1:41" x14ac:dyDescent="0.25">
      <c r="A75" s="16" t="s">
        <v>194</v>
      </c>
      <c r="B75" s="16" t="s">
        <v>51</v>
      </c>
      <c r="C75" s="16">
        <v>7</v>
      </c>
      <c r="D75" s="16">
        <v>226</v>
      </c>
      <c r="E75" s="16">
        <v>6</v>
      </c>
      <c r="F75" s="16">
        <v>1</v>
      </c>
      <c r="G75" s="6">
        <v>0.35</v>
      </c>
      <c r="H75" s="16">
        <v>90</v>
      </c>
      <c r="I75" s="9" t="s">
        <v>44</v>
      </c>
      <c r="J75" s="16"/>
      <c r="K75" s="16">
        <v>52</v>
      </c>
      <c r="L75" s="16">
        <f t="shared" si="18"/>
        <v>-46</v>
      </c>
      <c r="M75" s="16"/>
      <c r="N75" s="16"/>
      <c r="O75" s="16">
        <v>61.167464114832534</v>
      </c>
      <c r="P75" s="16"/>
      <c r="Q75" s="16"/>
      <c r="R75" s="16"/>
      <c r="S75" s="16">
        <v>130</v>
      </c>
      <c r="T75" s="16"/>
      <c r="U75" s="16"/>
      <c r="V75" s="16">
        <f t="shared" si="19"/>
        <v>1.2</v>
      </c>
      <c r="W75" s="4"/>
      <c r="X75" s="4">
        <f>W75</f>
        <v>0</v>
      </c>
      <c r="Y75" s="16"/>
      <c r="Z75" s="16">
        <f t="shared" si="20"/>
        <v>160.13955342902713</v>
      </c>
      <c r="AA75" s="16">
        <f t="shared" si="21"/>
        <v>160.13955342902713</v>
      </c>
      <c r="AB75" s="16">
        <v>9</v>
      </c>
      <c r="AC75" s="16">
        <v>12.8</v>
      </c>
      <c r="AD75" s="16">
        <v>20</v>
      </c>
      <c r="AE75" s="16">
        <v>25.6</v>
      </c>
      <c r="AF75" s="16">
        <v>33.4</v>
      </c>
      <c r="AG75" s="16">
        <v>36.200000000000003</v>
      </c>
      <c r="AH75" s="16">
        <v>29.8</v>
      </c>
      <c r="AI75" s="16">
        <v>32.4</v>
      </c>
      <c r="AJ75" s="16">
        <v>29.2</v>
      </c>
      <c r="AK75" s="16">
        <v>27.2</v>
      </c>
      <c r="AL75" s="16"/>
      <c r="AM75" s="16">
        <f t="shared" si="22"/>
        <v>0</v>
      </c>
      <c r="AN75" t="s">
        <v>195</v>
      </c>
      <c r="AO75" s="21" t="str">
        <f t="shared" si="23"/>
        <v>матрица</v>
      </c>
    </row>
    <row r="76" spans="1:41" x14ac:dyDescent="0.25">
      <c r="A76" s="16" t="s">
        <v>196</v>
      </c>
      <c r="B76" s="16" t="s">
        <v>51</v>
      </c>
      <c r="C76" s="16">
        <v>3</v>
      </c>
      <c r="D76" s="16">
        <v>60</v>
      </c>
      <c r="E76" s="16">
        <v>1</v>
      </c>
      <c r="F76" s="16">
        <v>28</v>
      </c>
      <c r="G76" s="6">
        <v>0.37</v>
      </c>
      <c r="H76" s="16"/>
      <c r="I76" s="16" t="s">
        <v>44</v>
      </c>
      <c r="J76" s="16"/>
      <c r="K76" s="16">
        <v>1</v>
      </c>
      <c r="L76" s="16">
        <f t="shared" si="18"/>
        <v>0</v>
      </c>
      <c r="M76" s="16"/>
      <c r="N76" s="16"/>
      <c r="O76" s="16">
        <v>0</v>
      </c>
      <c r="P76" s="16"/>
      <c r="Q76" s="16"/>
      <c r="R76" s="16"/>
      <c r="S76" s="16">
        <v>0</v>
      </c>
      <c r="T76" s="16"/>
      <c r="U76" s="16"/>
      <c r="V76" s="16">
        <f t="shared" si="19"/>
        <v>0.2</v>
      </c>
      <c r="W76" s="4"/>
      <c r="X76" s="4">
        <f>W76</f>
        <v>0</v>
      </c>
      <c r="Y76" s="16"/>
      <c r="Z76" s="16">
        <f t="shared" si="20"/>
        <v>140</v>
      </c>
      <c r="AA76" s="16">
        <f t="shared" si="21"/>
        <v>140</v>
      </c>
      <c r="AB76" s="16">
        <v>0.2</v>
      </c>
      <c r="AC76" s="16">
        <v>0.4</v>
      </c>
      <c r="AD76" s="16">
        <v>1.8</v>
      </c>
      <c r="AE76" s="16">
        <v>4.5999999999999996</v>
      </c>
      <c r="AF76" s="16">
        <v>3.6</v>
      </c>
      <c r="AG76" s="16">
        <v>0.4</v>
      </c>
      <c r="AH76" s="16">
        <v>0</v>
      </c>
      <c r="AI76" s="16">
        <v>0</v>
      </c>
      <c r="AJ76" s="16">
        <v>0</v>
      </c>
      <c r="AK76" s="16">
        <v>0</v>
      </c>
      <c r="AL76" s="16" t="s">
        <v>197</v>
      </c>
      <c r="AM76" s="16">
        <f t="shared" si="22"/>
        <v>0</v>
      </c>
      <c r="AN76" t="s">
        <v>198</v>
      </c>
      <c r="AO76" s="21" t="str">
        <f t="shared" si="23"/>
        <v>матрица</v>
      </c>
    </row>
    <row r="77" spans="1:41" x14ac:dyDescent="0.25">
      <c r="A77" s="16" t="s">
        <v>199</v>
      </c>
      <c r="B77" s="16" t="s">
        <v>51</v>
      </c>
      <c r="C77" s="16">
        <v>-58.2</v>
      </c>
      <c r="D77" s="16">
        <v>40</v>
      </c>
      <c r="E77" s="16">
        <v>3</v>
      </c>
      <c r="F77" s="16">
        <v>-21.2</v>
      </c>
      <c r="G77" s="6">
        <v>0.6</v>
      </c>
      <c r="H77" s="16">
        <v>70</v>
      </c>
      <c r="I77" s="16" t="s">
        <v>44</v>
      </c>
      <c r="J77" s="16"/>
      <c r="K77" s="16">
        <v>3</v>
      </c>
      <c r="L77" s="16">
        <f t="shared" si="18"/>
        <v>0</v>
      </c>
      <c r="M77" s="16"/>
      <c r="N77" s="16"/>
      <c r="O77" s="16">
        <v>36.901960784313729</v>
      </c>
      <c r="P77" s="16"/>
      <c r="Q77" s="16"/>
      <c r="R77" s="16"/>
      <c r="S77" s="16">
        <v>71.098039215686256</v>
      </c>
      <c r="T77" s="16"/>
      <c r="U77" s="16"/>
      <c r="V77" s="16">
        <f t="shared" si="19"/>
        <v>0.6</v>
      </c>
      <c r="W77" s="4"/>
      <c r="X77" s="4">
        <f>W77</f>
        <v>0</v>
      </c>
      <c r="Y77" s="16"/>
      <c r="Z77" s="16">
        <f t="shared" si="20"/>
        <v>144.66666666666666</v>
      </c>
      <c r="AA77" s="16">
        <f t="shared" si="21"/>
        <v>144.66666666666666</v>
      </c>
      <c r="AB77" s="16">
        <v>2</v>
      </c>
      <c r="AC77" s="16">
        <v>6.6</v>
      </c>
      <c r="AD77" s="16">
        <v>21.8</v>
      </c>
      <c r="AE77" s="16">
        <v>14</v>
      </c>
      <c r="AF77" s="16">
        <v>3</v>
      </c>
      <c r="AG77" s="16">
        <v>5</v>
      </c>
      <c r="AH77" s="16">
        <v>8</v>
      </c>
      <c r="AI77" s="16">
        <v>19</v>
      </c>
      <c r="AJ77" s="16">
        <v>18.399999999999999</v>
      </c>
      <c r="AK77" s="16">
        <v>8.4</v>
      </c>
      <c r="AL77" s="16"/>
      <c r="AM77" s="16">
        <f t="shared" si="22"/>
        <v>0</v>
      </c>
      <c r="AN77" t="s">
        <v>200</v>
      </c>
      <c r="AO77" s="21" t="str">
        <f t="shared" si="23"/>
        <v>матрица</v>
      </c>
    </row>
    <row r="78" spans="1:41" x14ac:dyDescent="0.25">
      <c r="A78" s="16" t="s">
        <v>201</v>
      </c>
      <c r="B78" s="16" t="s">
        <v>51</v>
      </c>
      <c r="C78" s="16">
        <v>151</v>
      </c>
      <c r="D78" s="16">
        <v>31</v>
      </c>
      <c r="E78" s="16">
        <v>51</v>
      </c>
      <c r="F78" s="16">
        <v>82</v>
      </c>
      <c r="G78" s="6">
        <v>0.33</v>
      </c>
      <c r="H78" s="16">
        <v>40</v>
      </c>
      <c r="I78" s="16" t="s">
        <v>44</v>
      </c>
      <c r="J78" s="16"/>
      <c r="K78" s="16">
        <v>51</v>
      </c>
      <c r="L78" s="16">
        <f t="shared" si="18"/>
        <v>0</v>
      </c>
      <c r="M78" s="16"/>
      <c r="N78" s="16"/>
      <c r="O78" s="16">
        <v>19.78165938864629</v>
      </c>
      <c r="P78" s="16"/>
      <c r="Q78" s="16"/>
      <c r="R78" s="16"/>
      <c r="S78" s="16">
        <v>0</v>
      </c>
      <c r="T78" s="16"/>
      <c r="U78" s="16"/>
      <c r="V78" s="16">
        <f t="shared" si="19"/>
        <v>10.199999999999999</v>
      </c>
      <c r="W78" s="4">
        <f>12*V78-U78-S78-R78-Q78-P78-O78-F78</f>
        <v>20.618340611353702</v>
      </c>
      <c r="X78" s="4">
        <f>W78+V78</f>
        <v>30.818340611353701</v>
      </c>
      <c r="Y78" s="16"/>
      <c r="Z78" s="16">
        <f t="shared" si="20"/>
        <v>13</v>
      </c>
      <c r="AA78" s="16">
        <f t="shared" si="21"/>
        <v>9.9785940577104206</v>
      </c>
      <c r="AB78" s="16">
        <v>3.4</v>
      </c>
      <c r="AC78" s="16">
        <v>0.2</v>
      </c>
      <c r="AD78" s="16">
        <v>1.6</v>
      </c>
      <c r="AE78" s="16">
        <v>5</v>
      </c>
      <c r="AF78" s="16">
        <v>15.8</v>
      </c>
      <c r="AG78" s="16">
        <v>18</v>
      </c>
      <c r="AH78" s="16">
        <v>7</v>
      </c>
      <c r="AI78" s="16">
        <v>9.6</v>
      </c>
      <c r="AJ78" s="16">
        <v>13.4</v>
      </c>
      <c r="AK78" s="16">
        <v>11</v>
      </c>
      <c r="AL78" s="16"/>
      <c r="AM78" s="16">
        <f t="shared" si="22"/>
        <v>10</v>
      </c>
      <c r="AN78" t="s">
        <v>202</v>
      </c>
      <c r="AO78" s="21" t="str">
        <f t="shared" si="23"/>
        <v>матрица</v>
      </c>
    </row>
    <row r="79" spans="1:41" x14ac:dyDescent="0.25">
      <c r="A79" s="16" t="s">
        <v>203</v>
      </c>
      <c r="B79" s="16" t="s">
        <v>51</v>
      </c>
      <c r="C79" s="16">
        <v>53</v>
      </c>
      <c r="D79" s="16">
        <v>94</v>
      </c>
      <c r="E79" s="16">
        <v>26</v>
      </c>
      <c r="F79" s="16">
        <v>58</v>
      </c>
      <c r="G79" s="6">
        <v>0.4</v>
      </c>
      <c r="H79" s="16">
        <v>55</v>
      </c>
      <c r="I79" s="16" t="s">
        <v>63</v>
      </c>
      <c r="J79" s="16"/>
      <c r="K79" s="16">
        <v>29</v>
      </c>
      <c r="L79" s="16">
        <f t="shared" si="18"/>
        <v>-3</v>
      </c>
      <c r="M79" s="16"/>
      <c r="N79" s="16"/>
      <c r="O79" s="16">
        <v>0</v>
      </c>
      <c r="P79" s="16"/>
      <c r="Q79" s="16"/>
      <c r="R79" s="16"/>
      <c r="S79" s="16">
        <v>0</v>
      </c>
      <c r="T79" s="16"/>
      <c r="U79" s="16"/>
      <c r="V79" s="16">
        <f t="shared" si="19"/>
        <v>5.2</v>
      </c>
      <c r="W79" s="4">
        <f>12*V79-U79-S79-R79-Q79-P79-O79-F79</f>
        <v>4.4000000000000057</v>
      </c>
      <c r="X79" s="4">
        <f>W79+V79</f>
        <v>9.600000000000005</v>
      </c>
      <c r="Y79" s="16"/>
      <c r="Z79" s="16">
        <f t="shared" si="20"/>
        <v>13.000000000000002</v>
      </c>
      <c r="AA79" s="16">
        <f t="shared" si="21"/>
        <v>11.153846153846153</v>
      </c>
      <c r="AB79" s="16">
        <v>5.8</v>
      </c>
      <c r="AC79" s="16">
        <v>2.2000000000000002</v>
      </c>
      <c r="AD79" s="16">
        <v>6</v>
      </c>
      <c r="AE79" s="16">
        <v>11.6</v>
      </c>
      <c r="AF79" s="16">
        <v>12.4</v>
      </c>
      <c r="AG79" s="16">
        <v>11.4</v>
      </c>
      <c r="AH79" s="16">
        <v>6.2</v>
      </c>
      <c r="AI79" s="16">
        <v>8.4</v>
      </c>
      <c r="AJ79" s="16">
        <v>10.6</v>
      </c>
      <c r="AK79" s="16">
        <v>6.2</v>
      </c>
      <c r="AL79" s="16"/>
      <c r="AM79" s="16">
        <f t="shared" si="22"/>
        <v>4</v>
      </c>
      <c r="AN79" t="s">
        <v>204</v>
      </c>
      <c r="AO79" s="21" t="str">
        <f t="shared" si="23"/>
        <v>НЕДОГРУЗ / матрица</v>
      </c>
    </row>
    <row r="80" spans="1:41" x14ac:dyDescent="0.25">
      <c r="A80" s="16" t="s">
        <v>205</v>
      </c>
      <c r="B80" s="16" t="s">
        <v>51</v>
      </c>
      <c r="C80" s="16"/>
      <c r="D80" s="16">
        <v>48</v>
      </c>
      <c r="E80" s="16">
        <v>5</v>
      </c>
      <c r="F80" s="16"/>
      <c r="G80" s="6">
        <v>0.35</v>
      </c>
      <c r="H80" s="16">
        <v>40</v>
      </c>
      <c r="I80" s="9" t="s">
        <v>63</v>
      </c>
      <c r="J80" s="16"/>
      <c r="K80" s="16">
        <v>5</v>
      </c>
      <c r="L80" s="16">
        <f t="shared" si="18"/>
        <v>0</v>
      </c>
      <c r="M80" s="16"/>
      <c r="N80" s="16"/>
      <c r="O80" s="16">
        <v>17</v>
      </c>
      <c r="P80" s="16"/>
      <c r="Q80" s="16"/>
      <c r="R80" s="16"/>
      <c r="S80" s="16">
        <v>26</v>
      </c>
      <c r="T80" s="16"/>
      <c r="U80" s="16"/>
      <c r="V80" s="16">
        <f t="shared" si="19"/>
        <v>1</v>
      </c>
      <c r="W80" s="4"/>
      <c r="X80" s="4">
        <f t="shared" ref="X80:X102" si="24">W80</f>
        <v>0</v>
      </c>
      <c r="Y80" s="16"/>
      <c r="Z80" s="16">
        <f t="shared" si="20"/>
        <v>43</v>
      </c>
      <c r="AA80" s="16">
        <f t="shared" si="21"/>
        <v>43</v>
      </c>
      <c r="AB80" s="16">
        <v>2.4</v>
      </c>
      <c r="AC80" s="16">
        <v>3.2</v>
      </c>
      <c r="AD80" s="16">
        <v>2</v>
      </c>
      <c r="AE80" s="16">
        <v>1.2</v>
      </c>
      <c r="AF80" s="16">
        <v>0</v>
      </c>
      <c r="AG80" s="16">
        <v>-0.6</v>
      </c>
      <c r="AH80" s="16">
        <v>-0.4</v>
      </c>
      <c r="AI80" s="16">
        <v>3.6</v>
      </c>
      <c r="AJ80" s="16">
        <v>4.4000000000000004</v>
      </c>
      <c r="AK80" s="16">
        <v>1</v>
      </c>
      <c r="AL80" s="16" t="s">
        <v>206</v>
      </c>
      <c r="AM80" s="16">
        <f t="shared" si="22"/>
        <v>0</v>
      </c>
      <c r="AN80" t="s">
        <v>207</v>
      </c>
      <c r="AO80" s="21" t="str">
        <f t="shared" si="23"/>
        <v>НЕДОГРУЗ / матрица</v>
      </c>
    </row>
    <row r="81" spans="1:41" x14ac:dyDescent="0.25">
      <c r="A81" s="16" t="s">
        <v>208</v>
      </c>
      <c r="B81" s="16" t="s">
        <v>51</v>
      </c>
      <c r="C81" s="16">
        <v>8</v>
      </c>
      <c r="D81" s="16">
        <v>36</v>
      </c>
      <c r="E81" s="16">
        <v>7</v>
      </c>
      <c r="F81" s="16">
        <v>15</v>
      </c>
      <c r="G81" s="6">
        <v>0.35</v>
      </c>
      <c r="H81" s="16">
        <v>45</v>
      </c>
      <c r="I81" s="9" t="s">
        <v>44</v>
      </c>
      <c r="J81" s="16"/>
      <c r="K81" s="16">
        <v>10</v>
      </c>
      <c r="L81" s="16">
        <f t="shared" si="18"/>
        <v>-3</v>
      </c>
      <c r="M81" s="16"/>
      <c r="N81" s="16"/>
      <c r="O81" s="16">
        <v>15.74891774891775</v>
      </c>
      <c r="P81" s="16"/>
      <c r="Q81" s="16"/>
      <c r="R81" s="16"/>
      <c r="S81" s="16">
        <v>0</v>
      </c>
      <c r="T81" s="16"/>
      <c r="U81" s="16"/>
      <c r="V81" s="16">
        <f t="shared" si="19"/>
        <v>1.4</v>
      </c>
      <c r="W81" s="4">
        <v>10</v>
      </c>
      <c r="X81" s="4">
        <f t="shared" si="24"/>
        <v>10</v>
      </c>
      <c r="Y81" s="16"/>
      <c r="Z81" s="16">
        <f t="shared" si="20"/>
        <v>29.106369820655537</v>
      </c>
      <c r="AA81" s="16">
        <f t="shared" si="21"/>
        <v>21.963512677798391</v>
      </c>
      <c r="AB81" s="16">
        <v>2.8</v>
      </c>
      <c r="AC81" s="16">
        <v>2.6</v>
      </c>
      <c r="AD81" s="16">
        <v>6.6</v>
      </c>
      <c r="AE81" s="16">
        <v>10.6</v>
      </c>
      <c r="AF81" s="16">
        <v>11</v>
      </c>
      <c r="AG81" s="16">
        <v>11.8</v>
      </c>
      <c r="AH81" s="16">
        <v>10.199999999999999</v>
      </c>
      <c r="AI81" s="16">
        <v>11</v>
      </c>
      <c r="AJ81" s="16">
        <v>7</v>
      </c>
      <c r="AK81" s="16">
        <v>9.4</v>
      </c>
      <c r="AL81" s="16"/>
      <c r="AM81" s="16">
        <f t="shared" si="22"/>
        <v>4</v>
      </c>
      <c r="AN81" t="s">
        <v>209</v>
      </c>
      <c r="AO81" s="21" t="str">
        <f t="shared" si="23"/>
        <v>матрица</v>
      </c>
    </row>
    <row r="82" spans="1:41" x14ac:dyDescent="0.25">
      <c r="A82" s="10" t="s">
        <v>210</v>
      </c>
      <c r="B82" s="10" t="s">
        <v>51</v>
      </c>
      <c r="C82" s="10"/>
      <c r="D82" s="10"/>
      <c r="E82" s="10"/>
      <c r="F82" s="10"/>
      <c r="G82" s="11">
        <v>0</v>
      </c>
      <c r="H82" s="10"/>
      <c r="I82" s="10" t="s">
        <v>44</v>
      </c>
      <c r="J82" s="10"/>
      <c r="K82" s="10"/>
      <c r="L82" s="10">
        <f t="shared" si="18"/>
        <v>0</v>
      </c>
      <c r="M82" s="10"/>
      <c r="N82" s="10"/>
      <c r="O82" s="10"/>
      <c r="P82" s="10"/>
      <c r="Q82" s="10"/>
      <c r="R82" s="10"/>
      <c r="S82" s="10">
        <v>0</v>
      </c>
      <c r="T82" s="10"/>
      <c r="U82" s="10"/>
      <c r="V82" s="10">
        <f t="shared" si="19"/>
        <v>0</v>
      </c>
      <c r="W82" s="12"/>
      <c r="X82" s="4">
        <f t="shared" si="24"/>
        <v>0</v>
      </c>
      <c r="Y82" s="16"/>
      <c r="Z82" s="16" t="e">
        <f t="shared" si="20"/>
        <v>#DIV/0!</v>
      </c>
      <c r="AA82" s="10"/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 t="s">
        <v>52</v>
      </c>
      <c r="AM82" s="16">
        <f t="shared" si="22"/>
        <v>0</v>
      </c>
      <c r="AN82" t="s">
        <v>211</v>
      </c>
      <c r="AO82" s="21" t="str">
        <f t="shared" si="23"/>
        <v>матрица</v>
      </c>
    </row>
    <row r="83" spans="1:41" x14ac:dyDescent="0.25">
      <c r="A83" s="10" t="s">
        <v>212</v>
      </c>
      <c r="B83" s="10" t="s">
        <v>43</v>
      </c>
      <c r="C83" s="10"/>
      <c r="D83" s="10"/>
      <c r="E83" s="10"/>
      <c r="F83" s="10"/>
      <c r="G83" s="11">
        <v>0</v>
      </c>
      <c r="H83" s="10"/>
      <c r="I83" s="10" t="s">
        <v>44</v>
      </c>
      <c r="J83" s="10"/>
      <c r="K83" s="10"/>
      <c r="L83" s="10">
        <f t="shared" si="18"/>
        <v>0</v>
      </c>
      <c r="M83" s="10"/>
      <c r="N83" s="10"/>
      <c r="O83" s="10"/>
      <c r="P83" s="10"/>
      <c r="Q83" s="10"/>
      <c r="R83" s="10"/>
      <c r="S83" s="10">
        <v>0</v>
      </c>
      <c r="T83" s="10"/>
      <c r="U83" s="10"/>
      <c r="V83" s="10">
        <f t="shared" si="19"/>
        <v>0</v>
      </c>
      <c r="W83" s="12"/>
      <c r="X83" s="4">
        <f t="shared" si="24"/>
        <v>0</v>
      </c>
      <c r="Y83" s="16"/>
      <c r="Z83" s="16" t="e">
        <f t="shared" si="20"/>
        <v>#DIV/0!</v>
      </c>
      <c r="AA83" s="10"/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 t="s">
        <v>52</v>
      </c>
      <c r="AM83" s="16">
        <f t="shared" si="22"/>
        <v>0</v>
      </c>
      <c r="AN83" t="s">
        <v>213</v>
      </c>
      <c r="AO83" s="21" t="str">
        <f t="shared" si="23"/>
        <v>матрица</v>
      </c>
    </row>
    <row r="84" spans="1:41" x14ac:dyDescent="0.25">
      <c r="A84" s="10" t="s">
        <v>214</v>
      </c>
      <c r="B84" s="10" t="s">
        <v>43</v>
      </c>
      <c r="C84" s="10"/>
      <c r="D84" s="10"/>
      <c r="E84" s="10"/>
      <c r="F84" s="10"/>
      <c r="G84" s="11">
        <v>0</v>
      </c>
      <c r="H84" s="10"/>
      <c r="I84" s="10" t="s">
        <v>44</v>
      </c>
      <c r="J84" s="10"/>
      <c r="K84" s="10"/>
      <c r="L84" s="10">
        <f t="shared" si="18"/>
        <v>0</v>
      </c>
      <c r="M84" s="10"/>
      <c r="N84" s="10"/>
      <c r="O84" s="10"/>
      <c r="P84" s="10"/>
      <c r="Q84" s="10"/>
      <c r="R84" s="10"/>
      <c r="S84" s="10">
        <v>0</v>
      </c>
      <c r="T84" s="10"/>
      <c r="U84" s="10"/>
      <c r="V84" s="10">
        <f t="shared" si="19"/>
        <v>0</v>
      </c>
      <c r="W84" s="12"/>
      <c r="X84" s="4">
        <f t="shared" si="24"/>
        <v>0</v>
      </c>
      <c r="Y84" s="16"/>
      <c r="Z84" s="16" t="e">
        <f t="shared" si="20"/>
        <v>#DIV/0!</v>
      </c>
      <c r="AA84" s="10"/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 t="s">
        <v>52</v>
      </c>
      <c r="AM84" s="16">
        <f t="shared" si="22"/>
        <v>0</v>
      </c>
      <c r="AN84" t="s">
        <v>215</v>
      </c>
      <c r="AO84" s="21" t="str">
        <f t="shared" si="23"/>
        <v>матрица</v>
      </c>
    </row>
    <row r="85" spans="1:41" x14ac:dyDescent="0.25">
      <c r="A85" s="16" t="s">
        <v>216</v>
      </c>
      <c r="B85" s="16" t="s">
        <v>43</v>
      </c>
      <c r="C85" s="16">
        <v>117.41</v>
      </c>
      <c r="D85" s="16">
        <v>229.03100000000001</v>
      </c>
      <c r="E85" s="16">
        <v>40.186</v>
      </c>
      <c r="F85" s="16">
        <v>286.66800000000001</v>
      </c>
      <c r="G85" s="6">
        <v>1</v>
      </c>
      <c r="H85" s="16">
        <v>60</v>
      </c>
      <c r="I85" s="16" t="s">
        <v>44</v>
      </c>
      <c r="J85" s="16"/>
      <c r="K85" s="16">
        <v>43.4</v>
      </c>
      <c r="L85" s="16">
        <f t="shared" si="18"/>
        <v>-3.2139999999999986</v>
      </c>
      <c r="M85" s="16"/>
      <c r="N85" s="16"/>
      <c r="O85" s="16">
        <v>30.76575472513327</v>
      </c>
      <c r="P85" s="16"/>
      <c r="Q85" s="16"/>
      <c r="R85" s="16"/>
      <c r="S85" s="16">
        <v>0</v>
      </c>
      <c r="T85" s="16"/>
      <c r="U85" s="16"/>
      <c r="V85" s="16">
        <f t="shared" si="19"/>
        <v>8.0372000000000003</v>
      </c>
      <c r="W85" s="4"/>
      <c r="X85" s="4">
        <f t="shared" si="24"/>
        <v>0</v>
      </c>
      <c r="Y85" s="16"/>
      <c r="Z85" s="16">
        <f t="shared" si="20"/>
        <v>39.495564963561101</v>
      </c>
      <c r="AA85" s="16">
        <f>(F85+O85+P85+Q85+R85+S85+U85)/V85</f>
        <v>39.495564963561101</v>
      </c>
      <c r="AB85" s="16">
        <v>7.5448000000000004</v>
      </c>
      <c r="AC85" s="16">
        <v>9.0503999999999998</v>
      </c>
      <c r="AD85" s="16">
        <v>31.274799999999999</v>
      </c>
      <c r="AE85" s="16">
        <v>38.356999999999999</v>
      </c>
      <c r="AF85" s="16">
        <v>28.520600000000002</v>
      </c>
      <c r="AG85" s="16">
        <v>36.330599999999997</v>
      </c>
      <c r="AH85" s="16">
        <v>35.1526</v>
      </c>
      <c r="AI85" s="16">
        <v>35.555399999999999</v>
      </c>
      <c r="AJ85" s="16">
        <v>38.276200000000003</v>
      </c>
      <c r="AK85" s="16">
        <v>32.9236</v>
      </c>
      <c r="AL85" s="14" t="s">
        <v>72</v>
      </c>
      <c r="AM85" s="16">
        <f t="shared" si="22"/>
        <v>0</v>
      </c>
      <c r="AN85" t="s">
        <v>217</v>
      </c>
      <c r="AO85" s="21" t="str">
        <f t="shared" si="23"/>
        <v>матрица</v>
      </c>
    </row>
    <row r="86" spans="1:41" x14ac:dyDescent="0.25">
      <c r="A86" s="10" t="s">
        <v>218</v>
      </c>
      <c r="B86" s="10" t="s">
        <v>51</v>
      </c>
      <c r="C86" s="10"/>
      <c r="D86" s="10"/>
      <c r="E86" s="10"/>
      <c r="F86" s="10"/>
      <c r="G86" s="11">
        <v>0</v>
      </c>
      <c r="H86" s="10"/>
      <c r="I86" s="10" t="s">
        <v>44</v>
      </c>
      <c r="J86" s="10"/>
      <c r="K86" s="10"/>
      <c r="L86" s="10">
        <f t="shared" si="18"/>
        <v>0</v>
      </c>
      <c r="M86" s="10"/>
      <c r="N86" s="10"/>
      <c r="O86" s="10"/>
      <c r="P86" s="10"/>
      <c r="Q86" s="10"/>
      <c r="R86" s="10"/>
      <c r="S86" s="10">
        <v>0</v>
      </c>
      <c r="T86" s="10"/>
      <c r="U86" s="10"/>
      <c r="V86" s="10">
        <f t="shared" si="19"/>
        <v>0</v>
      </c>
      <c r="W86" s="12"/>
      <c r="X86" s="4">
        <f t="shared" si="24"/>
        <v>0</v>
      </c>
      <c r="Y86" s="16"/>
      <c r="Z86" s="16" t="e">
        <f t="shared" si="20"/>
        <v>#DIV/0!</v>
      </c>
      <c r="AA86" s="10"/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 t="s">
        <v>52</v>
      </c>
      <c r="AM86" s="16">
        <f t="shared" si="22"/>
        <v>0</v>
      </c>
      <c r="AN86" t="s">
        <v>219</v>
      </c>
      <c r="AO86" s="21" t="str">
        <f t="shared" si="23"/>
        <v>матрица</v>
      </c>
    </row>
    <row r="87" spans="1:41" x14ac:dyDescent="0.25">
      <c r="A87" s="16" t="s">
        <v>220</v>
      </c>
      <c r="B87" s="16" t="s">
        <v>43</v>
      </c>
      <c r="C87" s="16">
        <v>138.48400000000001</v>
      </c>
      <c r="D87" s="16">
        <v>2101.471</v>
      </c>
      <c r="E87" s="16">
        <v>456.59699999999998</v>
      </c>
      <c r="F87" s="16">
        <v>301.839</v>
      </c>
      <c r="G87" s="6">
        <v>1</v>
      </c>
      <c r="H87" s="16">
        <v>60</v>
      </c>
      <c r="I87" s="16" t="s">
        <v>44</v>
      </c>
      <c r="J87" s="16"/>
      <c r="K87" s="16">
        <v>907.46500000000003</v>
      </c>
      <c r="L87" s="16">
        <f t="shared" si="18"/>
        <v>-450.86800000000005</v>
      </c>
      <c r="M87" s="16"/>
      <c r="N87" s="16"/>
      <c r="O87" s="16">
        <v>626.82223060072488</v>
      </c>
      <c r="P87" s="16"/>
      <c r="Q87" s="16"/>
      <c r="R87" s="16"/>
      <c r="S87" s="16">
        <v>1861.153369399276</v>
      </c>
      <c r="T87" s="16"/>
      <c r="U87" s="16"/>
      <c r="V87" s="16">
        <f t="shared" si="19"/>
        <v>91.319400000000002</v>
      </c>
      <c r="W87" s="4"/>
      <c r="X87" s="4">
        <f t="shared" si="24"/>
        <v>0</v>
      </c>
      <c r="Y87" s="16"/>
      <c r="Z87" s="16">
        <f t="shared" si="20"/>
        <v>30.550075887489413</v>
      </c>
      <c r="AA87" s="16">
        <f>(F87+O87+P87+Q87+R87+S87+U87)/V87</f>
        <v>30.550075887489413</v>
      </c>
      <c r="AB87" s="16">
        <v>153.9624</v>
      </c>
      <c r="AC87" s="16">
        <v>276.22120000000001</v>
      </c>
      <c r="AD87" s="16">
        <v>278.00040000000001</v>
      </c>
      <c r="AE87" s="16">
        <v>350.90559999999999</v>
      </c>
      <c r="AF87" s="16">
        <v>329.9796</v>
      </c>
      <c r="AG87" s="16">
        <v>326.053</v>
      </c>
      <c r="AH87" s="16">
        <v>345.89080000000001</v>
      </c>
      <c r="AI87" s="16">
        <v>302.62</v>
      </c>
      <c r="AJ87" s="16">
        <v>310.3272</v>
      </c>
      <c r="AK87" s="16">
        <v>282.59039999999999</v>
      </c>
      <c r="AL87" s="14" t="s">
        <v>72</v>
      </c>
      <c r="AM87" s="16">
        <f t="shared" si="22"/>
        <v>0</v>
      </c>
      <c r="AN87" t="s">
        <v>221</v>
      </c>
      <c r="AO87" s="21" t="str">
        <f t="shared" si="23"/>
        <v>матрица</v>
      </c>
    </row>
    <row r="88" spans="1:41" x14ac:dyDescent="0.25">
      <c r="A88" s="16" t="s">
        <v>222</v>
      </c>
      <c r="B88" s="16" t="s">
        <v>43</v>
      </c>
      <c r="C88" s="16">
        <v>598.16099999999994</v>
      </c>
      <c r="D88" s="16">
        <v>2418.2020000000002</v>
      </c>
      <c r="E88" s="16">
        <v>651.47</v>
      </c>
      <c r="F88" s="16">
        <v>1470.509</v>
      </c>
      <c r="G88" s="6">
        <v>1</v>
      </c>
      <c r="H88" s="16">
        <v>60</v>
      </c>
      <c r="I88" s="16" t="s">
        <v>44</v>
      </c>
      <c r="J88" s="16"/>
      <c r="K88" s="16">
        <v>669.35500000000002</v>
      </c>
      <c r="L88" s="16">
        <f t="shared" si="18"/>
        <v>-17.884999999999991</v>
      </c>
      <c r="M88" s="16"/>
      <c r="N88" s="16"/>
      <c r="O88" s="16">
        <v>874.98797665822281</v>
      </c>
      <c r="P88" s="16"/>
      <c r="Q88" s="16"/>
      <c r="R88" s="16"/>
      <c r="S88" s="16">
        <v>0</v>
      </c>
      <c r="T88" s="16"/>
      <c r="U88" s="16"/>
      <c r="V88" s="16">
        <f t="shared" si="19"/>
        <v>130.29400000000001</v>
      </c>
      <c r="W88" s="4"/>
      <c r="X88" s="4">
        <f t="shared" si="24"/>
        <v>0</v>
      </c>
      <c r="Y88" s="16"/>
      <c r="Z88" s="16">
        <f t="shared" si="20"/>
        <v>18.00157318570481</v>
      </c>
      <c r="AA88" s="16">
        <f>(F88+O88+P88+Q88+R88+S88+U88)/V88</f>
        <v>18.00157318570481</v>
      </c>
      <c r="AB88" s="16">
        <v>144.5746</v>
      </c>
      <c r="AC88" s="16">
        <v>208.70779999999999</v>
      </c>
      <c r="AD88" s="16">
        <v>294.3168</v>
      </c>
      <c r="AE88" s="16">
        <v>304.10160000000002</v>
      </c>
      <c r="AF88" s="16">
        <v>228.40280000000001</v>
      </c>
      <c r="AG88" s="16">
        <v>232.9778</v>
      </c>
      <c r="AH88" s="16">
        <v>248.2516</v>
      </c>
      <c r="AI88" s="16">
        <v>249.66139999999999</v>
      </c>
      <c r="AJ88" s="16">
        <v>205.2064</v>
      </c>
      <c r="AK88" s="16">
        <v>161.07499999999999</v>
      </c>
      <c r="AL88" s="15" t="s">
        <v>60</v>
      </c>
      <c r="AM88" s="16">
        <f t="shared" si="22"/>
        <v>0</v>
      </c>
      <c r="AN88" t="s">
        <v>223</v>
      </c>
      <c r="AO88" s="21" t="str">
        <f t="shared" si="23"/>
        <v>матрица</v>
      </c>
    </row>
    <row r="89" spans="1:41" x14ac:dyDescent="0.25">
      <c r="A89" s="16" t="s">
        <v>224</v>
      </c>
      <c r="B89" s="16" t="s">
        <v>43</v>
      </c>
      <c r="C89" s="16">
        <v>1616.24</v>
      </c>
      <c r="D89" s="16">
        <v>1929.2670000000001</v>
      </c>
      <c r="E89" s="16">
        <v>1008.371</v>
      </c>
      <c r="F89" s="16">
        <v>843.09500000000003</v>
      </c>
      <c r="G89" s="6">
        <v>1</v>
      </c>
      <c r="H89" s="16">
        <v>60</v>
      </c>
      <c r="I89" s="16" t="s">
        <v>44</v>
      </c>
      <c r="J89" s="16"/>
      <c r="K89" s="16">
        <v>1037.5</v>
      </c>
      <c r="L89" s="16">
        <f t="shared" si="18"/>
        <v>-29.129000000000019</v>
      </c>
      <c r="M89" s="16"/>
      <c r="N89" s="16"/>
      <c r="O89" s="16">
        <v>132.45345231080921</v>
      </c>
      <c r="P89" s="16"/>
      <c r="Q89" s="16">
        <v>450</v>
      </c>
      <c r="R89" s="16">
        <v>405</v>
      </c>
      <c r="S89" s="16">
        <v>1261.4407476891911</v>
      </c>
      <c r="T89" s="16"/>
      <c r="U89" s="16">
        <v>450</v>
      </c>
      <c r="V89" s="16">
        <f t="shared" si="19"/>
        <v>201.67419999999998</v>
      </c>
      <c r="W89" s="4"/>
      <c r="X89" s="4">
        <f t="shared" si="24"/>
        <v>0</v>
      </c>
      <c r="Y89" s="16"/>
      <c r="Z89" s="16">
        <f t="shared" si="20"/>
        <v>17.562926740257311</v>
      </c>
      <c r="AA89" s="16">
        <f>(F89+O89+P89+Q89+R89+S89+U89)/V89</f>
        <v>17.562926740257311</v>
      </c>
      <c r="AB89" s="16">
        <v>259.97320000000002</v>
      </c>
      <c r="AC89" s="16">
        <v>265.08339999999998</v>
      </c>
      <c r="AD89" s="16">
        <v>161.8836</v>
      </c>
      <c r="AE89" s="16">
        <v>16.910799999999998</v>
      </c>
      <c r="AF89" s="16">
        <v>161.07499999999999</v>
      </c>
      <c r="AG89" s="16">
        <v>363.33519999999999</v>
      </c>
      <c r="AH89" s="16">
        <v>362.65</v>
      </c>
      <c r="AI89" s="16">
        <v>268.4776</v>
      </c>
      <c r="AJ89" s="16">
        <v>268.70100000000002</v>
      </c>
      <c r="AK89" s="16">
        <v>349.07299999999998</v>
      </c>
      <c r="AL89" s="15" t="s">
        <v>225</v>
      </c>
      <c r="AM89" s="16">
        <f t="shared" si="22"/>
        <v>0</v>
      </c>
      <c r="AN89" t="s">
        <v>226</v>
      </c>
      <c r="AO89" s="21" t="str">
        <f t="shared" si="23"/>
        <v>матрица</v>
      </c>
    </row>
    <row r="90" spans="1:41" x14ac:dyDescent="0.25">
      <c r="A90" s="10" t="s">
        <v>227</v>
      </c>
      <c r="B90" s="10" t="s">
        <v>43</v>
      </c>
      <c r="C90" s="10"/>
      <c r="D90" s="10"/>
      <c r="E90" s="10"/>
      <c r="F90" s="10"/>
      <c r="G90" s="11">
        <v>0</v>
      </c>
      <c r="H90" s="10"/>
      <c r="I90" s="10" t="s">
        <v>63</v>
      </c>
      <c r="J90" s="10"/>
      <c r="K90" s="10"/>
      <c r="L90" s="10">
        <f t="shared" si="18"/>
        <v>0</v>
      </c>
      <c r="M90" s="10"/>
      <c r="N90" s="10"/>
      <c r="O90" s="10"/>
      <c r="P90" s="10"/>
      <c r="Q90" s="10"/>
      <c r="R90" s="10"/>
      <c r="S90" s="10">
        <v>0</v>
      </c>
      <c r="T90" s="10"/>
      <c r="U90" s="10"/>
      <c r="V90" s="10">
        <f t="shared" si="19"/>
        <v>0</v>
      </c>
      <c r="W90" s="12"/>
      <c r="X90" s="4">
        <f t="shared" si="24"/>
        <v>0</v>
      </c>
      <c r="Y90" s="16"/>
      <c r="Z90" s="16" t="e">
        <f t="shared" si="20"/>
        <v>#DIV/0!</v>
      </c>
      <c r="AA90" s="10"/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 t="s">
        <v>52</v>
      </c>
      <c r="AM90" s="16">
        <f t="shared" si="22"/>
        <v>0</v>
      </c>
      <c r="AN90" t="s">
        <v>228</v>
      </c>
      <c r="AO90" s="21" t="str">
        <f t="shared" si="23"/>
        <v>НЕДОГРУЗ / матрица</v>
      </c>
    </row>
    <row r="91" spans="1:41" x14ac:dyDescent="0.25">
      <c r="A91" s="16" t="s">
        <v>229</v>
      </c>
      <c r="B91" s="16" t="s">
        <v>51</v>
      </c>
      <c r="C91" s="16"/>
      <c r="D91" s="16"/>
      <c r="E91" s="16"/>
      <c r="F91" s="16"/>
      <c r="G91" s="6">
        <v>0.3</v>
      </c>
      <c r="H91" s="16">
        <v>40</v>
      </c>
      <c r="I91" s="9" t="s">
        <v>63</v>
      </c>
      <c r="J91" s="16"/>
      <c r="K91" s="16"/>
      <c r="L91" s="16">
        <f t="shared" si="18"/>
        <v>0</v>
      </c>
      <c r="M91" s="16"/>
      <c r="N91" s="16"/>
      <c r="O91" s="16">
        <v>34</v>
      </c>
      <c r="P91" s="16">
        <v>-36.666666666666671</v>
      </c>
      <c r="Q91" s="16"/>
      <c r="R91" s="16"/>
      <c r="S91" s="16">
        <v>13</v>
      </c>
      <c r="T91" s="16">
        <v>-16.666666666666668</v>
      </c>
      <c r="U91" s="16"/>
      <c r="V91" s="16">
        <f t="shared" si="19"/>
        <v>0</v>
      </c>
      <c r="W91" s="4">
        <v>20</v>
      </c>
      <c r="X91" s="4">
        <f t="shared" si="24"/>
        <v>20</v>
      </c>
      <c r="Y91" s="16"/>
      <c r="Z91" s="16" t="e">
        <f t="shared" si="20"/>
        <v>#DIV/0!</v>
      </c>
      <c r="AA91" s="16" t="e">
        <f>(F91+O91+P91+Q91+R91+S91+U91)/V91</f>
        <v>#DIV/0!</v>
      </c>
      <c r="AB91" s="16">
        <v>0</v>
      </c>
      <c r="AC91" s="16">
        <v>0</v>
      </c>
      <c r="AD91" s="16">
        <v>0</v>
      </c>
      <c r="AE91" s="16">
        <v>0</v>
      </c>
      <c r="AF91" s="16">
        <v>-0.4</v>
      </c>
      <c r="AG91" s="16">
        <v>-1.6</v>
      </c>
      <c r="AH91" s="16">
        <v>-1.8</v>
      </c>
      <c r="AI91" s="16">
        <v>-1</v>
      </c>
      <c r="AJ91" s="16">
        <v>-0.8</v>
      </c>
      <c r="AK91" s="16">
        <v>-1.2</v>
      </c>
      <c r="AL91" s="16"/>
      <c r="AM91" s="16">
        <f t="shared" si="22"/>
        <v>6</v>
      </c>
      <c r="AN91" t="s">
        <v>230</v>
      </c>
      <c r="AO91" s="21" t="str">
        <f t="shared" si="23"/>
        <v>НЕДОГРУЗ / матрица</v>
      </c>
    </row>
    <row r="92" spans="1:41" x14ac:dyDescent="0.25">
      <c r="A92" s="10" t="s">
        <v>231</v>
      </c>
      <c r="B92" s="10" t="s">
        <v>51</v>
      </c>
      <c r="C92" s="10"/>
      <c r="D92" s="10"/>
      <c r="E92" s="10"/>
      <c r="F92" s="10"/>
      <c r="G92" s="11">
        <v>0</v>
      </c>
      <c r="H92" s="10"/>
      <c r="I92" s="10" t="s">
        <v>44</v>
      </c>
      <c r="J92" s="10"/>
      <c r="K92" s="10"/>
      <c r="L92" s="10">
        <f t="shared" si="18"/>
        <v>0</v>
      </c>
      <c r="M92" s="10"/>
      <c r="N92" s="10"/>
      <c r="O92" s="10"/>
      <c r="P92" s="10"/>
      <c r="Q92" s="10"/>
      <c r="R92" s="10"/>
      <c r="S92" s="10">
        <v>0</v>
      </c>
      <c r="T92" s="10"/>
      <c r="U92" s="10"/>
      <c r="V92" s="10">
        <f t="shared" si="19"/>
        <v>0</v>
      </c>
      <c r="W92" s="12"/>
      <c r="X92" s="4">
        <f t="shared" si="24"/>
        <v>0</v>
      </c>
      <c r="Y92" s="16"/>
      <c r="Z92" s="16" t="e">
        <f t="shared" si="20"/>
        <v>#DIV/0!</v>
      </c>
      <c r="AA92" s="10"/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 t="s">
        <v>52</v>
      </c>
      <c r="AM92" s="16">
        <f t="shared" si="22"/>
        <v>0</v>
      </c>
      <c r="AN92" t="s">
        <v>232</v>
      </c>
      <c r="AO92" s="21" t="str">
        <f t="shared" si="23"/>
        <v>матрица</v>
      </c>
    </row>
    <row r="93" spans="1:41" x14ac:dyDescent="0.25">
      <c r="A93" s="16" t="s">
        <v>233</v>
      </c>
      <c r="B93" s="16" t="s">
        <v>51</v>
      </c>
      <c r="C93" s="16">
        <v>4</v>
      </c>
      <c r="D93" s="16">
        <v>18</v>
      </c>
      <c r="E93" s="16">
        <v>4</v>
      </c>
      <c r="F93" s="16"/>
      <c r="G93" s="6">
        <v>7.0000000000000007E-2</v>
      </c>
      <c r="H93" s="16">
        <v>90</v>
      </c>
      <c r="I93" s="9" t="s">
        <v>63</v>
      </c>
      <c r="J93" s="16"/>
      <c r="K93" s="16">
        <v>16</v>
      </c>
      <c r="L93" s="16">
        <f t="shared" si="18"/>
        <v>-12</v>
      </c>
      <c r="M93" s="16"/>
      <c r="N93" s="16"/>
      <c r="O93" s="16">
        <v>53.65625</v>
      </c>
      <c r="P93" s="16">
        <v>-71.428571428571416</v>
      </c>
      <c r="Q93" s="16"/>
      <c r="R93" s="16"/>
      <c r="S93" s="16">
        <v>171.00687500000001</v>
      </c>
      <c r="T93" s="16">
        <v>-185.71428571428569</v>
      </c>
      <c r="U93" s="16"/>
      <c r="V93" s="16">
        <f t="shared" si="19"/>
        <v>0.8</v>
      </c>
      <c r="W93" s="4">
        <v>20</v>
      </c>
      <c r="X93" s="4">
        <f t="shared" si="24"/>
        <v>20</v>
      </c>
      <c r="Y93" s="16"/>
      <c r="Z93" s="16">
        <f t="shared" si="20"/>
        <v>216.54319196428574</v>
      </c>
      <c r="AA93" s="16">
        <f>(F93+O93+P93+Q93+R93+S93+U93)/V93</f>
        <v>191.54319196428574</v>
      </c>
      <c r="AB93" s="16">
        <v>8.6</v>
      </c>
      <c r="AC93" s="16">
        <v>13.6</v>
      </c>
      <c r="AD93" s="16">
        <v>5.8</v>
      </c>
      <c r="AE93" s="16">
        <v>0</v>
      </c>
      <c r="AF93" s="16">
        <v>0</v>
      </c>
      <c r="AG93" s="16">
        <v>6.8</v>
      </c>
      <c r="AH93" s="16">
        <v>10.199999999999999</v>
      </c>
      <c r="AI93" s="16">
        <v>7.8</v>
      </c>
      <c r="AJ93" s="16">
        <v>10.6</v>
      </c>
      <c r="AK93" s="16">
        <v>21.2</v>
      </c>
      <c r="AL93" s="16"/>
      <c r="AM93" s="16">
        <f t="shared" si="22"/>
        <v>1</v>
      </c>
      <c r="AN93" t="s">
        <v>234</v>
      </c>
      <c r="AO93" s="21" t="str">
        <f t="shared" si="23"/>
        <v>НЕДОГРУЗ / матрица</v>
      </c>
    </row>
    <row r="94" spans="1:41" x14ac:dyDescent="0.25">
      <c r="A94" s="16" t="s">
        <v>235</v>
      </c>
      <c r="B94" s="16" t="s">
        <v>51</v>
      </c>
      <c r="C94" s="16">
        <v>88</v>
      </c>
      <c r="D94" s="16">
        <v>2</v>
      </c>
      <c r="E94" s="16">
        <v>65</v>
      </c>
      <c r="F94" s="16">
        <v>-8</v>
      </c>
      <c r="G94" s="6">
        <v>7.0000000000000007E-2</v>
      </c>
      <c r="H94" s="16">
        <v>90</v>
      </c>
      <c r="I94" s="9" t="s">
        <v>63</v>
      </c>
      <c r="J94" s="16"/>
      <c r="K94" s="16">
        <v>67</v>
      </c>
      <c r="L94" s="16">
        <f t="shared" si="18"/>
        <v>-2</v>
      </c>
      <c r="M94" s="16"/>
      <c r="N94" s="16"/>
      <c r="O94" s="16">
        <v>57.720930232558139</v>
      </c>
      <c r="P94" s="16">
        <v>-71.428571428571416</v>
      </c>
      <c r="Q94" s="16"/>
      <c r="R94" s="16"/>
      <c r="S94" s="16">
        <v>51.582790697674383</v>
      </c>
      <c r="T94" s="16">
        <v>-71.428571428571416</v>
      </c>
      <c r="U94" s="16"/>
      <c r="V94" s="16">
        <f t="shared" si="19"/>
        <v>13</v>
      </c>
      <c r="W94" s="4">
        <v>70</v>
      </c>
      <c r="X94" s="4">
        <f t="shared" si="24"/>
        <v>70</v>
      </c>
      <c r="Y94" s="16"/>
      <c r="Z94" s="16">
        <f t="shared" si="20"/>
        <v>7.6827038078200847</v>
      </c>
      <c r="AA94" s="16">
        <f>(F94+O94+P94+Q94+R94+S94+U94)/V94</f>
        <v>2.2980884232047005</v>
      </c>
      <c r="AB94" s="16">
        <v>15.6</v>
      </c>
      <c r="AC94" s="16">
        <v>11.2</v>
      </c>
      <c r="AD94" s="16">
        <v>5.8</v>
      </c>
      <c r="AE94" s="16">
        <v>8.4</v>
      </c>
      <c r="AF94" s="16">
        <v>15.2</v>
      </c>
      <c r="AG94" s="16">
        <v>24.6</v>
      </c>
      <c r="AH94" s="16">
        <v>21.6</v>
      </c>
      <c r="AI94" s="16">
        <v>6</v>
      </c>
      <c r="AJ94" s="16">
        <v>1.4</v>
      </c>
      <c r="AK94" s="16">
        <v>12.6</v>
      </c>
      <c r="AL94" s="16"/>
      <c r="AM94" s="16">
        <f t="shared" si="22"/>
        <v>5</v>
      </c>
      <c r="AN94" t="s">
        <v>236</v>
      </c>
      <c r="AO94" s="21" t="str">
        <f t="shared" si="23"/>
        <v>НЕДОГРУЗ / матрица</v>
      </c>
    </row>
    <row r="95" spans="1:41" x14ac:dyDescent="0.25">
      <c r="A95" s="16" t="s">
        <v>237</v>
      </c>
      <c r="B95" s="16" t="s">
        <v>51</v>
      </c>
      <c r="C95" s="16">
        <v>69</v>
      </c>
      <c r="D95" s="16">
        <v>144</v>
      </c>
      <c r="E95" s="16">
        <v>41</v>
      </c>
      <c r="F95" s="16">
        <v>78</v>
      </c>
      <c r="G95" s="6">
        <v>7.0000000000000007E-2</v>
      </c>
      <c r="H95" s="16">
        <v>90</v>
      </c>
      <c r="I95" s="9" t="s">
        <v>44</v>
      </c>
      <c r="J95" s="16"/>
      <c r="K95" s="16">
        <v>42</v>
      </c>
      <c r="L95" s="16">
        <f t="shared" si="18"/>
        <v>-1</v>
      </c>
      <c r="M95" s="16"/>
      <c r="N95" s="16"/>
      <c r="O95" s="16">
        <v>56.718894009216591</v>
      </c>
      <c r="P95" s="16"/>
      <c r="Q95" s="16"/>
      <c r="R95" s="16"/>
      <c r="S95" s="16">
        <v>0</v>
      </c>
      <c r="T95" s="16"/>
      <c r="U95" s="16"/>
      <c r="V95" s="16">
        <f t="shared" si="19"/>
        <v>8.1999999999999993</v>
      </c>
      <c r="W95" s="4"/>
      <c r="X95" s="4">
        <f t="shared" si="24"/>
        <v>0</v>
      </c>
      <c r="Y95" s="16"/>
      <c r="Z95" s="16">
        <f t="shared" si="20"/>
        <v>16.429133415758123</v>
      </c>
      <c r="AA95" s="16">
        <f>(F95+O95+P95+Q95+R95+S95+U95)/V95</f>
        <v>16.429133415758123</v>
      </c>
      <c r="AB95" s="16">
        <v>12.4</v>
      </c>
      <c r="AC95" s="16">
        <v>14.2</v>
      </c>
      <c r="AD95" s="16">
        <v>13.4</v>
      </c>
      <c r="AE95" s="16">
        <v>12.6</v>
      </c>
      <c r="AF95" s="16">
        <v>15</v>
      </c>
      <c r="AG95" s="16">
        <v>27</v>
      </c>
      <c r="AH95" s="16">
        <v>21.8</v>
      </c>
      <c r="AI95" s="16">
        <v>19.8</v>
      </c>
      <c r="AJ95" s="16">
        <v>22</v>
      </c>
      <c r="AK95" s="16">
        <v>17.399999999999999</v>
      </c>
      <c r="AL95" s="16"/>
      <c r="AM95" s="16">
        <f t="shared" si="22"/>
        <v>0</v>
      </c>
      <c r="AN95" t="s">
        <v>238</v>
      </c>
      <c r="AO95" s="21" t="str">
        <f t="shared" si="23"/>
        <v>матрица</v>
      </c>
    </row>
    <row r="96" spans="1:41" x14ac:dyDescent="0.25">
      <c r="A96" s="16" t="s">
        <v>239</v>
      </c>
      <c r="B96" s="16" t="s">
        <v>51</v>
      </c>
      <c r="C96" s="16">
        <v>63</v>
      </c>
      <c r="D96" s="16"/>
      <c r="E96" s="16">
        <v>37</v>
      </c>
      <c r="F96" s="16">
        <v>21</v>
      </c>
      <c r="G96" s="6">
        <v>0.3</v>
      </c>
      <c r="H96" s="16"/>
      <c r="I96" s="16" t="s">
        <v>44</v>
      </c>
      <c r="J96" s="16"/>
      <c r="K96" s="16">
        <v>38</v>
      </c>
      <c r="L96" s="16">
        <f t="shared" si="18"/>
        <v>-1</v>
      </c>
      <c r="M96" s="16"/>
      <c r="N96" s="16"/>
      <c r="O96" s="16">
        <v>0</v>
      </c>
      <c r="P96" s="16"/>
      <c r="Q96" s="16"/>
      <c r="R96" s="16"/>
      <c r="S96" s="16">
        <v>0</v>
      </c>
      <c r="T96" s="16"/>
      <c r="U96" s="16"/>
      <c r="V96" s="16">
        <f t="shared" si="19"/>
        <v>7.4</v>
      </c>
      <c r="W96" s="4">
        <f>11*V96-U96-S96-R96-Q96-P96-O96-F96</f>
        <v>60.400000000000006</v>
      </c>
      <c r="X96" s="4">
        <f t="shared" si="24"/>
        <v>60.400000000000006</v>
      </c>
      <c r="Y96" s="16"/>
      <c r="Z96" s="16">
        <f t="shared" si="20"/>
        <v>11</v>
      </c>
      <c r="AA96" s="16">
        <f>(F96+O96+P96+Q96+R96+S96+U96)/V96</f>
        <v>2.8378378378378377</v>
      </c>
      <c r="AB96" s="16">
        <v>8</v>
      </c>
      <c r="AC96" s="16">
        <v>3.2</v>
      </c>
      <c r="AD96" s="16">
        <v>0</v>
      </c>
      <c r="AE96" s="16">
        <v>0.8</v>
      </c>
      <c r="AF96" s="16">
        <v>12.6</v>
      </c>
      <c r="AG96" s="16">
        <v>15.8</v>
      </c>
      <c r="AH96" s="16">
        <v>4</v>
      </c>
      <c r="AI96" s="16">
        <v>0</v>
      </c>
      <c r="AJ96" s="16">
        <v>0</v>
      </c>
      <c r="AK96" s="16">
        <v>0</v>
      </c>
      <c r="AL96" s="16" t="s">
        <v>197</v>
      </c>
      <c r="AM96" s="16">
        <f t="shared" si="22"/>
        <v>18</v>
      </c>
      <c r="AN96" t="s">
        <v>240</v>
      </c>
      <c r="AO96" s="21" t="str">
        <f t="shared" si="23"/>
        <v>матрица</v>
      </c>
    </row>
    <row r="97" spans="1:41" x14ac:dyDescent="0.25">
      <c r="A97" s="16" t="s">
        <v>241</v>
      </c>
      <c r="B97" s="16" t="s">
        <v>43</v>
      </c>
      <c r="C97" s="16"/>
      <c r="D97" s="16"/>
      <c r="E97" s="16"/>
      <c r="F97" s="13">
        <f>0+F123</f>
        <v>11.885</v>
      </c>
      <c r="G97" s="6">
        <v>1</v>
      </c>
      <c r="H97" s="16">
        <v>55</v>
      </c>
      <c r="I97" s="9" t="s">
        <v>44</v>
      </c>
      <c r="J97" s="16"/>
      <c r="K97" s="16"/>
      <c r="L97" s="16">
        <f t="shared" si="18"/>
        <v>0</v>
      </c>
      <c r="M97" s="16"/>
      <c r="N97" s="16"/>
      <c r="O97" s="16">
        <v>4</v>
      </c>
      <c r="P97" s="16"/>
      <c r="Q97" s="16"/>
      <c r="R97" s="16"/>
      <c r="S97" s="16">
        <v>5.2</v>
      </c>
      <c r="T97" s="16"/>
      <c r="U97" s="16"/>
      <c r="V97" s="16">
        <f t="shared" si="19"/>
        <v>0</v>
      </c>
      <c r="W97" s="4"/>
      <c r="X97" s="4">
        <f t="shared" si="24"/>
        <v>0</v>
      </c>
      <c r="Y97" s="16"/>
      <c r="Z97" s="16" t="e">
        <f t="shared" si="20"/>
        <v>#DIV/0!</v>
      </c>
      <c r="AA97" s="16" t="e">
        <f>(F97+O97+P97+Q97+R97+S97+U97)/V97</f>
        <v>#DIV/0!</v>
      </c>
      <c r="AB97" s="16">
        <v>0</v>
      </c>
      <c r="AC97" s="16">
        <v>0</v>
      </c>
      <c r="AD97" s="16">
        <v>-0.318</v>
      </c>
      <c r="AE97" s="16">
        <v>-0.318</v>
      </c>
      <c r="AF97" s="16">
        <v>1.2194</v>
      </c>
      <c r="AG97" s="16">
        <v>2.0341999999999998</v>
      </c>
      <c r="AH97" s="16">
        <v>0.81479999999999997</v>
      </c>
      <c r="AI97" s="16">
        <v>0.20419999999999999</v>
      </c>
      <c r="AJ97" s="16">
        <v>0.2034</v>
      </c>
      <c r="AK97" s="16">
        <v>0.40780000000000011</v>
      </c>
      <c r="AL97" s="16" t="s">
        <v>242</v>
      </c>
      <c r="AM97" s="16">
        <f t="shared" si="22"/>
        <v>0</v>
      </c>
      <c r="AN97" t="s">
        <v>243</v>
      </c>
      <c r="AO97" s="21" t="str">
        <f t="shared" si="23"/>
        <v>матрица</v>
      </c>
    </row>
    <row r="98" spans="1:41" x14ac:dyDescent="0.25">
      <c r="A98" s="10" t="s">
        <v>244</v>
      </c>
      <c r="B98" s="10" t="s">
        <v>51</v>
      </c>
      <c r="C98" s="10">
        <v>51</v>
      </c>
      <c r="D98" s="10">
        <v>42</v>
      </c>
      <c r="E98" s="10">
        <v>56</v>
      </c>
      <c r="F98" s="10">
        <v>37</v>
      </c>
      <c r="G98" s="11">
        <v>0</v>
      </c>
      <c r="H98" s="10">
        <v>30</v>
      </c>
      <c r="I98" s="10" t="s">
        <v>44</v>
      </c>
      <c r="J98" s="10"/>
      <c r="K98" s="10">
        <v>93</v>
      </c>
      <c r="L98" s="10">
        <f t="shared" si="18"/>
        <v>-37</v>
      </c>
      <c r="M98" s="10"/>
      <c r="N98" s="10"/>
      <c r="O98" s="10">
        <v>0</v>
      </c>
      <c r="P98" s="10"/>
      <c r="Q98" s="10"/>
      <c r="R98" s="10"/>
      <c r="S98" s="10">
        <v>0</v>
      </c>
      <c r="T98" s="10"/>
      <c r="U98" s="10"/>
      <c r="V98" s="10">
        <f t="shared" si="19"/>
        <v>11.2</v>
      </c>
      <c r="W98" s="12"/>
      <c r="X98" s="4">
        <f t="shared" si="24"/>
        <v>0</v>
      </c>
      <c r="Y98" s="16"/>
      <c r="Z98" s="16">
        <f t="shared" si="20"/>
        <v>3.3035714285714288</v>
      </c>
      <c r="AA98" s="10"/>
      <c r="AB98" s="10">
        <v>10</v>
      </c>
      <c r="AC98" s="10">
        <v>0</v>
      </c>
      <c r="AD98" s="10">
        <v>1</v>
      </c>
      <c r="AE98" s="10">
        <v>1.4</v>
      </c>
      <c r="AF98" s="10">
        <v>0.4</v>
      </c>
      <c r="AG98" s="10">
        <v>11</v>
      </c>
      <c r="AH98" s="10">
        <v>1.4</v>
      </c>
      <c r="AI98" s="10">
        <v>3.2</v>
      </c>
      <c r="AJ98" s="10">
        <v>3.6</v>
      </c>
      <c r="AK98" s="10">
        <v>0.4</v>
      </c>
      <c r="AL98" s="10" t="s">
        <v>245</v>
      </c>
      <c r="AM98" s="16">
        <f t="shared" si="22"/>
        <v>0</v>
      </c>
      <c r="AN98" t="s">
        <v>246</v>
      </c>
      <c r="AO98" s="21" t="str">
        <f t="shared" si="23"/>
        <v>матрица</v>
      </c>
    </row>
    <row r="99" spans="1:41" x14ac:dyDescent="0.25">
      <c r="A99" s="10" t="s">
        <v>247</v>
      </c>
      <c r="B99" s="10" t="s">
        <v>51</v>
      </c>
      <c r="C99" s="10"/>
      <c r="D99" s="10"/>
      <c r="E99" s="10"/>
      <c r="F99" s="10"/>
      <c r="G99" s="11">
        <v>0</v>
      </c>
      <c r="H99" s="10"/>
      <c r="I99" s="10" t="s">
        <v>44</v>
      </c>
      <c r="J99" s="10"/>
      <c r="K99" s="10"/>
      <c r="L99" s="10">
        <f t="shared" si="18"/>
        <v>0</v>
      </c>
      <c r="M99" s="10"/>
      <c r="N99" s="10"/>
      <c r="O99" s="10"/>
      <c r="P99" s="10"/>
      <c r="Q99" s="10"/>
      <c r="R99" s="10"/>
      <c r="S99" s="10">
        <v>0</v>
      </c>
      <c r="T99" s="10"/>
      <c r="U99" s="10"/>
      <c r="V99" s="10">
        <f t="shared" si="19"/>
        <v>0</v>
      </c>
      <c r="W99" s="12"/>
      <c r="X99" s="4">
        <f t="shared" si="24"/>
        <v>0</v>
      </c>
      <c r="Y99" s="16"/>
      <c r="Z99" s="16" t="e">
        <f t="shared" si="20"/>
        <v>#DIV/0!</v>
      </c>
      <c r="AA99" s="10"/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 t="s">
        <v>248</v>
      </c>
      <c r="AM99" s="16">
        <f t="shared" si="22"/>
        <v>0</v>
      </c>
      <c r="AN99" t="s">
        <v>249</v>
      </c>
      <c r="AO99" s="21" t="str">
        <f t="shared" si="23"/>
        <v>матрица</v>
      </c>
    </row>
    <row r="100" spans="1:41" x14ac:dyDescent="0.25">
      <c r="A100" s="16" t="s">
        <v>250</v>
      </c>
      <c r="B100" s="16" t="s">
        <v>51</v>
      </c>
      <c r="C100" s="16">
        <v>98</v>
      </c>
      <c r="D100" s="16">
        <v>101</v>
      </c>
      <c r="E100" s="16">
        <v>44</v>
      </c>
      <c r="F100" s="16">
        <v>126</v>
      </c>
      <c r="G100" s="6">
        <v>0.08</v>
      </c>
      <c r="H100" s="16">
        <v>45</v>
      </c>
      <c r="I100" s="16" t="s">
        <v>44</v>
      </c>
      <c r="J100" s="16"/>
      <c r="K100" s="16">
        <v>48</v>
      </c>
      <c r="L100" s="16">
        <f t="shared" si="18"/>
        <v>-4</v>
      </c>
      <c r="M100" s="16"/>
      <c r="N100" s="16"/>
      <c r="O100" s="16">
        <v>43.185948477751772</v>
      </c>
      <c r="P100" s="16"/>
      <c r="Q100" s="16"/>
      <c r="R100" s="16"/>
      <c r="S100" s="16">
        <v>0</v>
      </c>
      <c r="T100" s="16"/>
      <c r="U100" s="16"/>
      <c r="V100" s="16">
        <f t="shared" si="19"/>
        <v>8.8000000000000007</v>
      </c>
      <c r="W100" s="4"/>
      <c r="X100" s="4">
        <f t="shared" si="24"/>
        <v>0</v>
      </c>
      <c r="Y100" s="16"/>
      <c r="Z100" s="16">
        <f t="shared" si="20"/>
        <v>19.22567596338088</v>
      </c>
      <c r="AA100" s="16">
        <f t="shared" ref="AA100:AA105" si="25">(F100+O100+P100+Q100+R100+S100+U100)/V100</f>
        <v>19.22567596338088</v>
      </c>
      <c r="AB100" s="16">
        <v>11.4</v>
      </c>
      <c r="AC100" s="16">
        <v>13</v>
      </c>
      <c r="AD100" s="16">
        <v>21.6</v>
      </c>
      <c r="AE100" s="16">
        <v>22.8</v>
      </c>
      <c r="AF100" s="16">
        <v>18</v>
      </c>
      <c r="AG100" s="16">
        <v>24.4</v>
      </c>
      <c r="AH100" s="16">
        <v>21.8</v>
      </c>
      <c r="AI100" s="16">
        <v>22.4</v>
      </c>
      <c r="AJ100" s="16">
        <v>19.399999999999999</v>
      </c>
      <c r="AK100" s="16">
        <v>14.4</v>
      </c>
      <c r="AL100" s="15" t="s">
        <v>60</v>
      </c>
      <c r="AM100" s="16">
        <f t="shared" si="22"/>
        <v>0</v>
      </c>
      <c r="AN100" t="s">
        <v>251</v>
      </c>
      <c r="AO100" s="21" t="str">
        <f t="shared" si="23"/>
        <v>матрица</v>
      </c>
    </row>
    <row r="101" spans="1:41" x14ac:dyDescent="0.25">
      <c r="A101" s="16" t="s">
        <v>252</v>
      </c>
      <c r="B101" s="16" t="s">
        <v>51</v>
      </c>
      <c r="C101" s="16">
        <v>60</v>
      </c>
      <c r="D101" s="16">
        <v>92</v>
      </c>
      <c r="E101" s="16">
        <v>37</v>
      </c>
      <c r="F101" s="16">
        <v>45</v>
      </c>
      <c r="G101" s="6">
        <v>0.08</v>
      </c>
      <c r="H101" s="16">
        <v>45</v>
      </c>
      <c r="I101" s="16" t="s">
        <v>44</v>
      </c>
      <c r="J101" s="16"/>
      <c r="K101" s="16">
        <v>39</v>
      </c>
      <c r="L101" s="16">
        <f t="shared" si="18"/>
        <v>-2</v>
      </c>
      <c r="M101" s="16"/>
      <c r="N101" s="16"/>
      <c r="O101" s="16">
        <v>24.97568389057751</v>
      </c>
      <c r="P101" s="16"/>
      <c r="Q101" s="16"/>
      <c r="R101" s="16"/>
      <c r="S101" s="16">
        <v>25.224316109422482</v>
      </c>
      <c r="T101" s="16"/>
      <c r="U101" s="16"/>
      <c r="V101" s="16">
        <f t="shared" si="19"/>
        <v>7.4</v>
      </c>
      <c r="W101" s="4"/>
      <c r="X101" s="4">
        <f t="shared" si="24"/>
        <v>0</v>
      </c>
      <c r="Y101" s="16"/>
      <c r="Z101" s="16">
        <f t="shared" si="20"/>
        <v>12.864864864864863</v>
      </c>
      <c r="AA101" s="16">
        <f t="shared" si="25"/>
        <v>12.864864864864863</v>
      </c>
      <c r="AB101" s="16">
        <v>10.6</v>
      </c>
      <c r="AC101" s="16">
        <v>9.8000000000000007</v>
      </c>
      <c r="AD101" s="16">
        <v>16.600000000000001</v>
      </c>
      <c r="AE101" s="16">
        <v>17.600000000000001</v>
      </c>
      <c r="AF101" s="16">
        <v>11.2</v>
      </c>
      <c r="AG101" s="16">
        <v>18</v>
      </c>
      <c r="AH101" s="16">
        <v>19</v>
      </c>
      <c r="AI101" s="16">
        <v>18</v>
      </c>
      <c r="AJ101" s="16">
        <v>15.6</v>
      </c>
      <c r="AK101" s="16">
        <v>11.6</v>
      </c>
      <c r="AL101" s="16"/>
      <c r="AM101" s="16">
        <f t="shared" si="22"/>
        <v>0</v>
      </c>
      <c r="AN101" t="s">
        <v>253</v>
      </c>
      <c r="AO101" s="21" t="str">
        <f t="shared" si="23"/>
        <v>матрица</v>
      </c>
    </row>
    <row r="102" spans="1:41" x14ac:dyDescent="0.25">
      <c r="A102" s="16" t="s">
        <v>254</v>
      </c>
      <c r="B102" s="16" t="s">
        <v>51</v>
      </c>
      <c r="C102" s="16"/>
      <c r="D102" s="16">
        <v>32</v>
      </c>
      <c r="E102" s="16">
        <v>7</v>
      </c>
      <c r="F102" s="16">
        <v>16</v>
      </c>
      <c r="G102" s="6">
        <v>0</v>
      </c>
      <c r="H102" s="16">
        <v>30</v>
      </c>
      <c r="I102" s="16" t="s">
        <v>63</v>
      </c>
      <c r="J102" s="16"/>
      <c r="K102" s="16">
        <v>6</v>
      </c>
      <c r="L102" s="16">
        <f t="shared" ref="L102:L129" si="26">E102-K102</f>
        <v>1</v>
      </c>
      <c r="M102" s="16"/>
      <c r="N102" s="16"/>
      <c r="O102" s="16">
        <v>0</v>
      </c>
      <c r="P102" s="16"/>
      <c r="Q102" s="16"/>
      <c r="R102" s="16"/>
      <c r="S102" s="16">
        <v>0</v>
      </c>
      <c r="T102" s="16"/>
      <c r="U102" s="16"/>
      <c r="V102" s="16">
        <f t="shared" ref="V102:V129" si="27">E102/5</f>
        <v>1.4</v>
      </c>
      <c r="W102" s="4"/>
      <c r="X102" s="4">
        <f t="shared" si="24"/>
        <v>0</v>
      </c>
      <c r="Y102" s="16"/>
      <c r="Z102" s="16">
        <f t="shared" ref="Z102:Z129" si="28">(F102+O102+P102+Q102+R102+S102+U102+X102)/V102</f>
        <v>11.428571428571429</v>
      </c>
      <c r="AA102" s="16">
        <f t="shared" si="25"/>
        <v>11.428571428571429</v>
      </c>
      <c r="AB102" s="16">
        <v>0</v>
      </c>
      <c r="AC102" s="16">
        <v>0</v>
      </c>
      <c r="AD102" s="16">
        <v>0</v>
      </c>
      <c r="AE102" s="16">
        <v>0.2</v>
      </c>
      <c r="AF102" s="16">
        <v>0.2</v>
      </c>
      <c r="AG102" s="16">
        <v>1</v>
      </c>
      <c r="AH102" s="16">
        <v>1</v>
      </c>
      <c r="AI102" s="16">
        <v>1.4</v>
      </c>
      <c r="AJ102" s="16">
        <v>1.2</v>
      </c>
      <c r="AK102" s="16">
        <v>0.4</v>
      </c>
      <c r="AL102" s="16" t="s">
        <v>255</v>
      </c>
      <c r="AM102" s="16">
        <f t="shared" ref="AM102:AM129" si="29">ROUND(G102*X102,0)</f>
        <v>0</v>
      </c>
      <c r="AN102" t="s">
        <v>256</v>
      </c>
      <c r="AO102" s="21" t="str">
        <f t="shared" si="23"/>
        <v>НЕДОГРУЗ / матрица</v>
      </c>
    </row>
    <row r="103" spans="1:41" x14ac:dyDescent="0.25">
      <c r="A103" s="16" t="s">
        <v>257</v>
      </c>
      <c r="B103" s="16" t="s">
        <v>43</v>
      </c>
      <c r="C103" s="16">
        <v>27.151</v>
      </c>
      <c r="D103" s="16">
        <v>0.72399999999999998</v>
      </c>
      <c r="E103" s="16">
        <v>27.175000000000001</v>
      </c>
      <c r="F103" s="16">
        <v>-0.72399999999999998</v>
      </c>
      <c r="G103" s="6">
        <v>1</v>
      </c>
      <c r="H103" s="16">
        <v>40</v>
      </c>
      <c r="I103" s="9" t="s">
        <v>63</v>
      </c>
      <c r="J103" s="16"/>
      <c r="K103" s="16">
        <v>54.4</v>
      </c>
      <c r="L103" s="16">
        <f t="shared" si="26"/>
        <v>-27.224999999999998</v>
      </c>
      <c r="M103" s="16"/>
      <c r="N103" s="16"/>
      <c r="O103" s="16">
        <v>61.237747397578516</v>
      </c>
      <c r="P103" s="16"/>
      <c r="Q103" s="16"/>
      <c r="R103" s="16"/>
      <c r="S103" s="16">
        <v>156</v>
      </c>
      <c r="T103" s="16"/>
      <c r="U103" s="16"/>
      <c r="V103" s="16">
        <f t="shared" si="27"/>
        <v>5.4350000000000005</v>
      </c>
      <c r="W103" s="4">
        <v>20</v>
      </c>
      <c r="X103" s="4">
        <f>Y103</f>
        <v>250</v>
      </c>
      <c r="Y103" s="16">
        <f>VLOOKUP(A103,[1]Sheet!$A:$X,24,0)</f>
        <v>250</v>
      </c>
      <c r="Z103" s="16">
        <f t="shared" si="28"/>
        <v>85.835096117309746</v>
      </c>
      <c r="AA103" s="16">
        <f t="shared" si="25"/>
        <v>39.836936043712697</v>
      </c>
      <c r="AB103" s="16">
        <v>20.235800000000001</v>
      </c>
      <c r="AC103" s="16">
        <v>19.062200000000001</v>
      </c>
      <c r="AD103" s="16">
        <v>4.2573999999999996</v>
      </c>
      <c r="AE103" s="16">
        <v>0.29620000000000002</v>
      </c>
      <c r="AF103" s="16">
        <v>12.997</v>
      </c>
      <c r="AG103" s="16">
        <v>22.168800000000001</v>
      </c>
      <c r="AH103" s="16">
        <v>13.851800000000001</v>
      </c>
      <c r="AI103" s="16">
        <v>7.4358000000000004</v>
      </c>
      <c r="AJ103" s="16">
        <v>1.85</v>
      </c>
      <c r="AK103" s="16">
        <v>1.1499999999999999</v>
      </c>
      <c r="AL103" s="16"/>
      <c r="AM103" s="16">
        <f t="shared" si="29"/>
        <v>250</v>
      </c>
      <c r="AN103" t="s">
        <v>258</v>
      </c>
      <c r="AO103" s="21" t="str">
        <f t="shared" si="23"/>
        <v>НЕДОГРУЗ / матрица</v>
      </c>
    </row>
    <row r="104" spans="1:41" x14ac:dyDescent="0.25">
      <c r="A104" s="16" t="s">
        <v>259</v>
      </c>
      <c r="B104" s="16" t="s">
        <v>43</v>
      </c>
      <c r="C104" s="16">
        <v>-2.4E-2</v>
      </c>
      <c r="D104" s="16">
        <v>252.357</v>
      </c>
      <c r="E104" s="16">
        <v>-1.4650000000000001</v>
      </c>
      <c r="F104" s="16">
        <v>-2.4E-2</v>
      </c>
      <c r="G104" s="6">
        <v>1</v>
      </c>
      <c r="H104" s="16">
        <v>40</v>
      </c>
      <c r="I104" s="9" t="s">
        <v>63</v>
      </c>
      <c r="J104" s="16"/>
      <c r="K104" s="16">
        <v>22.9</v>
      </c>
      <c r="L104" s="16">
        <f t="shared" si="26"/>
        <v>-24.364999999999998</v>
      </c>
      <c r="M104" s="16"/>
      <c r="N104" s="16"/>
      <c r="O104" s="16">
        <v>57.042986938794677</v>
      </c>
      <c r="P104" s="16"/>
      <c r="Q104" s="16"/>
      <c r="R104" s="16"/>
      <c r="S104" s="16">
        <v>91</v>
      </c>
      <c r="T104" s="16"/>
      <c r="U104" s="16"/>
      <c r="V104" s="16">
        <f t="shared" si="27"/>
        <v>-0.29300000000000004</v>
      </c>
      <c r="W104" s="4">
        <v>20</v>
      </c>
      <c r="X104" s="4">
        <f>Y104</f>
        <v>250</v>
      </c>
      <c r="Y104" s="16">
        <f>VLOOKUP(A104,[1]Sheet!$A:$X,24,0)</f>
        <v>250</v>
      </c>
      <c r="Z104" s="16">
        <f t="shared" si="28"/>
        <v>-1358.4265765829168</v>
      </c>
      <c r="AA104" s="16">
        <f t="shared" si="25"/>
        <v>-505.18425576380429</v>
      </c>
      <c r="AB104" s="16">
        <v>-0.1474</v>
      </c>
      <c r="AC104" s="16">
        <v>10.8888</v>
      </c>
      <c r="AD104" s="16">
        <v>13.965199999999999</v>
      </c>
      <c r="AE104" s="16">
        <v>19.686800000000002</v>
      </c>
      <c r="AF104" s="16">
        <v>16.466799999999999</v>
      </c>
      <c r="AG104" s="16">
        <v>7.055200000000001</v>
      </c>
      <c r="AH104" s="16">
        <v>12.9968</v>
      </c>
      <c r="AI104" s="16">
        <v>8.9847999999999999</v>
      </c>
      <c r="AJ104" s="16">
        <v>1.7248000000000001</v>
      </c>
      <c r="AK104" s="16">
        <v>5.3618000000000006</v>
      </c>
      <c r="AL104" s="16"/>
      <c r="AM104" s="16">
        <f t="shared" si="29"/>
        <v>250</v>
      </c>
      <c r="AN104" t="s">
        <v>260</v>
      </c>
      <c r="AO104" s="21" t="str">
        <f t="shared" si="23"/>
        <v>НЕДОГРУЗ / матрица</v>
      </c>
    </row>
    <row r="105" spans="1:41" x14ac:dyDescent="0.25">
      <c r="A105" s="16" t="s">
        <v>261</v>
      </c>
      <c r="B105" s="16" t="s">
        <v>43</v>
      </c>
      <c r="C105" s="16"/>
      <c r="D105" s="16"/>
      <c r="E105" s="16"/>
      <c r="F105" s="16"/>
      <c r="G105" s="6">
        <v>1</v>
      </c>
      <c r="H105" s="16">
        <v>40</v>
      </c>
      <c r="I105" s="9" t="s">
        <v>44</v>
      </c>
      <c r="J105" s="16"/>
      <c r="K105" s="16">
        <v>4.2</v>
      </c>
      <c r="L105" s="16">
        <f t="shared" si="26"/>
        <v>-4.2</v>
      </c>
      <c r="M105" s="16"/>
      <c r="N105" s="16"/>
      <c r="O105" s="16">
        <v>56.175616647149567</v>
      </c>
      <c r="P105" s="16"/>
      <c r="Q105" s="16"/>
      <c r="R105" s="16"/>
      <c r="S105" s="16">
        <v>39</v>
      </c>
      <c r="T105" s="16"/>
      <c r="U105" s="16"/>
      <c r="V105" s="16">
        <f t="shared" si="27"/>
        <v>0</v>
      </c>
      <c r="W105" s="4"/>
      <c r="X105" s="4">
        <v>50</v>
      </c>
      <c r="Y105" s="16">
        <f>VLOOKUP(A105,[1]Sheet!$A:$X,24,0)</f>
        <v>250</v>
      </c>
      <c r="Z105" s="16" t="e">
        <f t="shared" si="28"/>
        <v>#DIV/0!</v>
      </c>
      <c r="AA105" s="16" t="e">
        <f t="shared" si="25"/>
        <v>#DIV/0!</v>
      </c>
      <c r="AB105" s="16">
        <v>-0.14399999999999999</v>
      </c>
      <c r="AC105" s="16">
        <v>-0.14399999999999999</v>
      </c>
      <c r="AD105" s="16">
        <v>-0.28499999999999998</v>
      </c>
      <c r="AE105" s="16">
        <v>-0.71140000000000003</v>
      </c>
      <c r="AF105" s="16">
        <v>-0.71239999999999992</v>
      </c>
      <c r="AG105" s="16">
        <v>-0.42520000000000002</v>
      </c>
      <c r="AH105" s="16">
        <v>-0.4284</v>
      </c>
      <c r="AI105" s="16">
        <v>2.9601999999999999</v>
      </c>
      <c r="AJ105" s="16">
        <v>5.3917999999999999</v>
      </c>
      <c r="AK105" s="16">
        <v>4.0991999999999997</v>
      </c>
      <c r="AL105" s="16"/>
      <c r="AM105" s="16">
        <f t="shared" si="29"/>
        <v>50</v>
      </c>
      <c r="AN105" t="s">
        <v>262</v>
      </c>
      <c r="AO105" s="21" t="str">
        <f t="shared" si="23"/>
        <v>матрица</v>
      </c>
    </row>
    <row r="106" spans="1:41" x14ac:dyDescent="0.25">
      <c r="A106" s="10" t="s">
        <v>263</v>
      </c>
      <c r="B106" s="10" t="s">
        <v>51</v>
      </c>
      <c r="C106" s="10"/>
      <c r="D106" s="10"/>
      <c r="E106" s="10"/>
      <c r="F106" s="10"/>
      <c r="G106" s="11">
        <v>0</v>
      </c>
      <c r="H106" s="10"/>
      <c r="I106" s="10" t="s">
        <v>44</v>
      </c>
      <c r="J106" s="10"/>
      <c r="K106" s="10"/>
      <c r="L106" s="10">
        <f t="shared" si="26"/>
        <v>0</v>
      </c>
      <c r="M106" s="10"/>
      <c r="N106" s="10"/>
      <c r="O106" s="10"/>
      <c r="P106" s="10"/>
      <c r="Q106" s="10"/>
      <c r="R106" s="10"/>
      <c r="S106" s="10">
        <v>0</v>
      </c>
      <c r="T106" s="10"/>
      <c r="U106" s="10"/>
      <c r="V106" s="10">
        <f t="shared" si="27"/>
        <v>0</v>
      </c>
      <c r="W106" s="12"/>
      <c r="X106" s="4">
        <f>W106</f>
        <v>0</v>
      </c>
      <c r="Y106" s="16"/>
      <c r="Z106" s="16" t="e">
        <f t="shared" si="28"/>
        <v>#DIV/0!</v>
      </c>
      <c r="AA106" s="10"/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 t="s">
        <v>52</v>
      </c>
      <c r="AM106" s="16">
        <f t="shared" si="29"/>
        <v>0</v>
      </c>
      <c r="AN106" t="s">
        <v>264</v>
      </c>
      <c r="AO106" s="21" t="str">
        <f t="shared" si="23"/>
        <v>матрица</v>
      </c>
    </row>
    <row r="107" spans="1:41" x14ac:dyDescent="0.25">
      <c r="A107" s="10" t="s">
        <v>265</v>
      </c>
      <c r="B107" s="10" t="s">
        <v>43</v>
      </c>
      <c r="C107" s="10"/>
      <c r="D107" s="10"/>
      <c r="E107" s="10"/>
      <c r="F107" s="10"/>
      <c r="G107" s="11">
        <v>0</v>
      </c>
      <c r="H107" s="10"/>
      <c r="I107" s="10" t="s">
        <v>63</v>
      </c>
      <c r="J107" s="10"/>
      <c r="K107" s="10"/>
      <c r="L107" s="10">
        <f t="shared" si="26"/>
        <v>0</v>
      </c>
      <c r="M107" s="10"/>
      <c r="N107" s="10"/>
      <c r="O107" s="10"/>
      <c r="P107" s="10"/>
      <c r="Q107" s="10"/>
      <c r="R107" s="10"/>
      <c r="S107" s="10">
        <v>0</v>
      </c>
      <c r="T107" s="10"/>
      <c r="U107" s="10"/>
      <c r="V107" s="10">
        <f t="shared" si="27"/>
        <v>0</v>
      </c>
      <c r="W107" s="12"/>
      <c r="X107" s="4">
        <f>W107</f>
        <v>0</v>
      </c>
      <c r="Y107" s="16"/>
      <c r="Z107" s="16" t="e">
        <f t="shared" si="28"/>
        <v>#DIV/0!</v>
      </c>
      <c r="AA107" s="10"/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 t="s">
        <v>52</v>
      </c>
      <c r="AM107" s="16">
        <f t="shared" si="29"/>
        <v>0</v>
      </c>
      <c r="AN107" t="s">
        <v>266</v>
      </c>
      <c r="AO107" s="21" t="str">
        <f t="shared" si="23"/>
        <v>НЕДОГРУЗ / матрица</v>
      </c>
    </row>
    <row r="108" spans="1:41" x14ac:dyDescent="0.25">
      <c r="A108" s="16" t="s">
        <v>267</v>
      </c>
      <c r="B108" s="16" t="s">
        <v>51</v>
      </c>
      <c r="C108" s="16">
        <v>-3</v>
      </c>
      <c r="D108" s="16">
        <v>3</v>
      </c>
      <c r="E108" s="16">
        <v>-1</v>
      </c>
      <c r="F108" s="16"/>
      <c r="G108" s="6">
        <v>0.28000000000000003</v>
      </c>
      <c r="H108" s="16">
        <v>40</v>
      </c>
      <c r="I108" s="9" t="s">
        <v>63</v>
      </c>
      <c r="J108" s="16"/>
      <c r="K108" s="16">
        <v>40</v>
      </c>
      <c r="L108" s="16">
        <f t="shared" si="26"/>
        <v>-41</v>
      </c>
      <c r="M108" s="16"/>
      <c r="N108" s="16"/>
      <c r="O108" s="16">
        <v>61.394285714285722</v>
      </c>
      <c r="P108" s="16"/>
      <c r="Q108" s="16"/>
      <c r="R108" s="16"/>
      <c r="S108" s="16">
        <v>104</v>
      </c>
      <c r="T108" s="16">
        <v>-107.14285714285714</v>
      </c>
      <c r="U108" s="16"/>
      <c r="V108" s="16">
        <f t="shared" si="27"/>
        <v>-0.2</v>
      </c>
      <c r="W108" s="4"/>
      <c r="X108" s="4">
        <f>Y108</f>
        <v>250</v>
      </c>
      <c r="Y108" s="16">
        <f>VLOOKUP(A108,[1]Sheet!$A:$X,24,0)</f>
        <v>250</v>
      </c>
      <c r="Z108" s="16">
        <f t="shared" si="28"/>
        <v>-2076.9714285714285</v>
      </c>
      <c r="AA108" s="16">
        <f t="shared" ref="AA108:AA122" si="30">(F108+O108+P108+Q108+R108+S108+U108)/V108</f>
        <v>-826.97142857142865</v>
      </c>
      <c r="AB108" s="16">
        <v>-0.2</v>
      </c>
      <c r="AC108" s="16">
        <v>11</v>
      </c>
      <c r="AD108" s="16">
        <v>10.8</v>
      </c>
      <c r="AE108" s="16">
        <v>0.2</v>
      </c>
      <c r="AF108" s="16">
        <v>13.2</v>
      </c>
      <c r="AG108" s="16">
        <v>23.2</v>
      </c>
      <c r="AH108" s="16">
        <v>17.8</v>
      </c>
      <c r="AI108" s="16">
        <v>7.4</v>
      </c>
      <c r="AJ108" s="16">
        <v>-2</v>
      </c>
      <c r="AK108" s="16">
        <v>-3.4</v>
      </c>
      <c r="AL108" s="16"/>
      <c r="AM108" s="16">
        <f t="shared" si="29"/>
        <v>70</v>
      </c>
      <c r="AN108" t="s">
        <v>268</v>
      </c>
      <c r="AO108" s="21" t="str">
        <f t="shared" si="23"/>
        <v>НЕДОГРУЗ / матрица</v>
      </c>
    </row>
    <row r="109" spans="1:41" x14ac:dyDescent="0.25">
      <c r="A109" s="16" t="s">
        <v>269</v>
      </c>
      <c r="B109" s="16" t="s">
        <v>51</v>
      </c>
      <c r="C109" s="16">
        <v>108</v>
      </c>
      <c r="D109" s="16">
        <v>301</v>
      </c>
      <c r="E109" s="16">
        <v>100</v>
      </c>
      <c r="F109" s="16">
        <v>-1</v>
      </c>
      <c r="G109" s="6">
        <v>0.28000000000000003</v>
      </c>
      <c r="H109" s="16">
        <v>40</v>
      </c>
      <c r="I109" s="9" t="s">
        <v>63</v>
      </c>
      <c r="J109" s="16"/>
      <c r="K109" s="16">
        <v>173</v>
      </c>
      <c r="L109" s="16">
        <f t="shared" si="26"/>
        <v>-73</v>
      </c>
      <c r="M109" s="16"/>
      <c r="N109" s="16"/>
      <c r="O109" s="16">
        <v>0</v>
      </c>
      <c r="P109" s="16"/>
      <c r="Q109" s="16"/>
      <c r="R109" s="16"/>
      <c r="S109" s="16">
        <v>524.42000000000007</v>
      </c>
      <c r="T109" s="16">
        <v>-528.57142857142856</v>
      </c>
      <c r="U109" s="16"/>
      <c r="V109" s="16">
        <f t="shared" si="27"/>
        <v>20</v>
      </c>
      <c r="W109" s="4">
        <v>200</v>
      </c>
      <c r="X109" s="4">
        <f>W109</f>
        <v>200</v>
      </c>
      <c r="Y109" s="16"/>
      <c r="Z109" s="16">
        <f t="shared" si="28"/>
        <v>36.171000000000006</v>
      </c>
      <c r="AA109" s="16">
        <f t="shared" si="30"/>
        <v>26.171000000000003</v>
      </c>
      <c r="AB109" s="16">
        <v>46.2</v>
      </c>
      <c r="AC109" s="16">
        <v>39.200000000000003</v>
      </c>
      <c r="AD109" s="16">
        <v>10.8</v>
      </c>
      <c r="AE109" s="16">
        <v>-0.6</v>
      </c>
      <c r="AF109" s="16">
        <v>14.4</v>
      </c>
      <c r="AG109" s="16">
        <v>25</v>
      </c>
      <c r="AH109" s="16">
        <v>16.600000000000001</v>
      </c>
      <c r="AI109" s="16">
        <v>8.8000000000000007</v>
      </c>
      <c r="AJ109" s="16">
        <v>-1.2</v>
      </c>
      <c r="AK109" s="16">
        <v>-1.4</v>
      </c>
      <c r="AL109" s="16"/>
      <c r="AM109" s="16">
        <f t="shared" si="29"/>
        <v>56</v>
      </c>
      <c r="AN109" t="s">
        <v>270</v>
      </c>
      <c r="AO109" s="21" t="str">
        <f t="shared" si="23"/>
        <v>НЕДОГРУЗ / матрица</v>
      </c>
    </row>
    <row r="110" spans="1:41" x14ac:dyDescent="0.25">
      <c r="A110" s="16" t="s">
        <v>271</v>
      </c>
      <c r="B110" s="16" t="s">
        <v>51</v>
      </c>
      <c r="C110" s="16">
        <v>79</v>
      </c>
      <c r="D110" s="16">
        <v>26</v>
      </c>
      <c r="E110" s="16">
        <v>77</v>
      </c>
      <c r="F110" s="16">
        <v>-2</v>
      </c>
      <c r="G110" s="6">
        <v>0.28000000000000003</v>
      </c>
      <c r="H110" s="16">
        <v>40</v>
      </c>
      <c r="I110" s="9" t="s">
        <v>63</v>
      </c>
      <c r="J110" s="16"/>
      <c r="K110" s="16">
        <v>123</v>
      </c>
      <c r="L110" s="16">
        <f t="shared" si="26"/>
        <v>-46</v>
      </c>
      <c r="M110" s="16"/>
      <c r="N110" s="16"/>
      <c r="O110" s="16">
        <v>31.38461538461538</v>
      </c>
      <c r="P110" s="16">
        <v>-35.714285714285708</v>
      </c>
      <c r="Q110" s="16"/>
      <c r="R110" s="16"/>
      <c r="S110" s="16">
        <v>91</v>
      </c>
      <c r="T110" s="16">
        <v>-89.285714285714278</v>
      </c>
      <c r="U110" s="16"/>
      <c r="V110" s="16">
        <f t="shared" si="27"/>
        <v>15.4</v>
      </c>
      <c r="W110" s="4">
        <f>12*V110-U110-S110-R110-Q110-P110-O110-F110</f>
        <v>100.12967032967035</v>
      </c>
      <c r="X110" s="4">
        <f>Y110</f>
        <v>250</v>
      </c>
      <c r="Y110" s="16">
        <f>VLOOKUP(A110,[1]Sheet!$A:$X,24,0)</f>
        <v>250</v>
      </c>
      <c r="Z110" s="16">
        <f t="shared" si="28"/>
        <v>21.731839588982446</v>
      </c>
      <c r="AA110" s="16">
        <f t="shared" si="30"/>
        <v>5.4980733552162118</v>
      </c>
      <c r="AB110" s="16">
        <v>28.2</v>
      </c>
      <c r="AC110" s="16">
        <v>13.8</v>
      </c>
      <c r="AD110" s="16">
        <v>-0.4</v>
      </c>
      <c r="AE110" s="16">
        <v>-0.2</v>
      </c>
      <c r="AF110" s="16">
        <v>9.1999999999999993</v>
      </c>
      <c r="AG110" s="16">
        <v>19.600000000000001</v>
      </c>
      <c r="AH110" s="16">
        <v>12.2</v>
      </c>
      <c r="AI110" s="16">
        <v>4.8</v>
      </c>
      <c r="AJ110" s="16">
        <v>0</v>
      </c>
      <c r="AK110" s="16">
        <v>1.2</v>
      </c>
      <c r="AL110" s="16"/>
      <c r="AM110" s="16">
        <f t="shared" si="29"/>
        <v>70</v>
      </c>
      <c r="AN110" t="s">
        <v>272</v>
      </c>
      <c r="AO110" s="21" t="str">
        <f t="shared" si="23"/>
        <v>НЕДОГРУЗ / матрица</v>
      </c>
    </row>
    <row r="111" spans="1:41" x14ac:dyDescent="0.25">
      <c r="A111" s="16" t="s">
        <v>273</v>
      </c>
      <c r="B111" s="16" t="s">
        <v>51</v>
      </c>
      <c r="C111" s="16">
        <v>37</v>
      </c>
      <c r="D111" s="16"/>
      <c r="E111" s="16">
        <v>37</v>
      </c>
      <c r="F111" s="16"/>
      <c r="G111" s="6">
        <v>0.09</v>
      </c>
      <c r="H111" s="16">
        <v>45</v>
      </c>
      <c r="I111" s="16" t="s">
        <v>44</v>
      </c>
      <c r="J111" s="16"/>
      <c r="K111" s="16">
        <v>35</v>
      </c>
      <c r="L111" s="16">
        <f t="shared" si="26"/>
        <v>2</v>
      </c>
      <c r="M111" s="16"/>
      <c r="N111" s="16"/>
      <c r="O111" s="16">
        <v>40.033472803347252</v>
      </c>
      <c r="P111" s="16"/>
      <c r="Q111" s="16"/>
      <c r="R111" s="16"/>
      <c r="S111" s="16">
        <v>14.96652719665275</v>
      </c>
      <c r="T111" s="16"/>
      <c r="U111" s="16"/>
      <c r="V111" s="16">
        <f t="shared" si="27"/>
        <v>7.4</v>
      </c>
      <c r="W111" s="4">
        <f>12*V111-U111-S111-R111-Q111-P111-O111-F111</f>
        <v>33.800000000000011</v>
      </c>
      <c r="X111" s="4">
        <f>W111+V111</f>
        <v>41.20000000000001</v>
      </c>
      <c r="Y111" s="16"/>
      <c r="Z111" s="16">
        <f t="shared" si="28"/>
        <v>13.000000000000002</v>
      </c>
      <c r="AA111" s="16">
        <f t="shared" si="30"/>
        <v>7.4324324324324325</v>
      </c>
      <c r="AB111" s="16">
        <v>6.8</v>
      </c>
      <c r="AC111" s="16">
        <v>6</v>
      </c>
      <c r="AD111" s="16">
        <v>8.1999999999999993</v>
      </c>
      <c r="AE111" s="16">
        <v>8.1999999999999993</v>
      </c>
      <c r="AF111" s="16">
        <v>8.8000000000000007</v>
      </c>
      <c r="AG111" s="16">
        <v>12.4</v>
      </c>
      <c r="AH111" s="16">
        <v>12.6</v>
      </c>
      <c r="AI111" s="16">
        <v>15</v>
      </c>
      <c r="AJ111" s="16">
        <v>15</v>
      </c>
      <c r="AK111" s="16">
        <v>10</v>
      </c>
      <c r="AL111" s="16"/>
      <c r="AM111" s="16">
        <f t="shared" si="29"/>
        <v>4</v>
      </c>
      <c r="AN111" t="s">
        <v>274</v>
      </c>
      <c r="AO111" s="21" t="str">
        <f t="shared" si="23"/>
        <v>матрица</v>
      </c>
    </row>
    <row r="112" spans="1:41" x14ac:dyDescent="0.25">
      <c r="A112" s="16" t="s">
        <v>275</v>
      </c>
      <c r="B112" s="16" t="s">
        <v>43</v>
      </c>
      <c r="C112" s="16">
        <v>75.266999999999996</v>
      </c>
      <c r="D112" s="16">
        <v>35.15</v>
      </c>
      <c r="E112" s="16">
        <v>71.944999999999993</v>
      </c>
      <c r="F112" s="16">
        <v>0.19900000000000001</v>
      </c>
      <c r="G112" s="6">
        <v>1</v>
      </c>
      <c r="H112" s="16">
        <v>60</v>
      </c>
      <c r="I112" s="16" t="s">
        <v>44</v>
      </c>
      <c r="J112" s="16"/>
      <c r="K112" s="16">
        <v>77.5</v>
      </c>
      <c r="L112" s="16">
        <f t="shared" si="26"/>
        <v>-5.5550000000000068</v>
      </c>
      <c r="M112" s="16"/>
      <c r="N112" s="16"/>
      <c r="O112" s="16">
        <v>0</v>
      </c>
      <c r="P112" s="16"/>
      <c r="Q112" s="16"/>
      <c r="R112" s="16"/>
      <c r="S112" s="16">
        <v>57.112000000000023</v>
      </c>
      <c r="T112" s="16"/>
      <c r="U112" s="16"/>
      <c r="V112" s="16">
        <f t="shared" si="27"/>
        <v>14.388999999999999</v>
      </c>
      <c r="W112" s="4">
        <f>12*V112-U112-S112-R112-Q112-P112-O112-F112</f>
        <v>115.35699999999999</v>
      </c>
      <c r="X112" s="4">
        <f>W112+V112</f>
        <v>129.74599999999998</v>
      </c>
      <c r="Y112" s="16"/>
      <c r="Z112" s="16">
        <f t="shared" si="28"/>
        <v>13.000000000000002</v>
      </c>
      <c r="AA112" s="16">
        <f t="shared" si="30"/>
        <v>3.9829731044547936</v>
      </c>
      <c r="AB112" s="16">
        <v>15.897399999999999</v>
      </c>
      <c r="AC112" s="16">
        <v>9.0400000000000009</v>
      </c>
      <c r="AD112" s="16">
        <v>5.0895999999999999</v>
      </c>
      <c r="AE112" s="16">
        <v>8.0502000000000002</v>
      </c>
      <c r="AF112" s="16">
        <v>10.552199999999999</v>
      </c>
      <c r="AG112" s="16">
        <v>11.1274</v>
      </c>
      <c r="AH112" s="16">
        <v>8.5960000000000001</v>
      </c>
      <c r="AI112" s="16">
        <v>6.4635999999999996</v>
      </c>
      <c r="AJ112" s="16">
        <v>6.4147999999999996</v>
      </c>
      <c r="AK112" s="16">
        <v>7.0069999999999997</v>
      </c>
      <c r="AL112" s="16"/>
      <c r="AM112" s="16">
        <f t="shared" si="29"/>
        <v>130</v>
      </c>
      <c r="AN112" t="s">
        <v>276</v>
      </c>
      <c r="AO112" s="21" t="str">
        <f t="shared" si="23"/>
        <v>матрица</v>
      </c>
    </row>
    <row r="113" spans="1:41" x14ac:dyDescent="0.25">
      <c r="A113" s="16" t="s">
        <v>277</v>
      </c>
      <c r="B113" s="16" t="s">
        <v>43</v>
      </c>
      <c r="C113" s="16">
        <v>114.508</v>
      </c>
      <c r="D113" s="16">
        <v>59.86</v>
      </c>
      <c r="E113" s="16">
        <v>52.255000000000003</v>
      </c>
      <c r="F113" s="16">
        <v>44.831000000000003</v>
      </c>
      <c r="G113" s="6">
        <v>1</v>
      </c>
      <c r="H113" s="16">
        <v>50</v>
      </c>
      <c r="I113" s="16" t="s">
        <v>44</v>
      </c>
      <c r="J113" s="16"/>
      <c r="K113" s="16">
        <v>52.5</v>
      </c>
      <c r="L113" s="16">
        <f t="shared" si="26"/>
        <v>-0.24499999999999744</v>
      </c>
      <c r="M113" s="16"/>
      <c r="N113" s="16"/>
      <c r="O113" s="16">
        <v>0</v>
      </c>
      <c r="P113" s="16"/>
      <c r="Q113" s="16"/>
      <c r="R113" s="16"/>
      <c r="S113" s="16">
        <v>0</v>
      </c>
      <c r="T113" s="16"/>
      <c r="U113" s="16"/>
      <c r="V113" s="16">
        <f t="shared" si="27"/>
        <v>10.451000000000001</v>
      </c>
      <c r="W113" s="4">
        <f>12*V113-U113-S113-R113-Q113-P113-O113-F113</f>
        <v>80.581000000000003</v>
      </c>
      <c r="X113" s="4">
        <f>W113+V113</f>
        <v>91.032000000000011</v>
      </c>
      <c r="Y113" s="16"/>
      <c r="Z113" s="16">
        <f t="shared" si="28"/>
        <v>13</v>
      </c>
      <c r="AA113" s="16">
        <f t="shared" si="30"/>
        <v>4.2896373552770068</v>
      </c>
      <c r="AB113" s="16">
        <v>12.464600000000001</v>
      </c>
      <c r="AC113" s="16">
        <v>6.9792000000000014</v>
      </c>
      <c r="AD113" s="16">
        <v>2.5167999999999999</v>
      </c>
      <c r="AE113" s="16">
        <v>9.4036000000000008</v>
      </c>
      <c r="AF113" s="16">
        <v>18.6568</v>
      </c>
      <c r="AG113" s="16">
        <v>16.679200000000002</v>
      </c>
      <c r="AH113" s="16">
        <v>8.3925999999999998</v>
      </c>
      <c r="AI113" s="16">
        <v>11.4232</v>
      </c>
      <c r="AJ113" s="16">
        <v>9.4489999999999998</v>
      </c>
      <c r="AK113" s="16">
        <v>6.4813999999999989</v>
      </c>
      <c r="AL113" s="16"/>
      <c r="AM113" s="16">
        <f t="shared" si="29"/>
        <v>91</v>
      </c>
      <c r="AN113" t="s">
        <v>278</v>
      </c>
      <c r="AO113" s="21" t="str">
        <f t="shared" si="23"/>
        <v>матрица</v>
      </c>
    </row>
    <row r="114" spans="1:41" x14ac:dyDescent="0.25">
      <c r="A114" s="16" t="s">
        <v>279</v>
      </c>
      <c r="B114" s="16" t="s">
        <v>51</v>
      </c>
      <c r="C114" s="16">
        <v>16</v>
      </c>
      <c r="D114" s="16">
        <v>32</v>
      </c>
      <c r="E114" s="16">
        <v>24</v>
      </c>
      <c r="F114" s="16">
        <v>13</v>
      </c>
      <c r="G114" s="6">
        <v>0.09</v>
      </c>
      <c r="H114" s="16">
        <v>45</v>
      </c>
      <c r="I114" s="9" t="s">
        <v>63</v>
      </c>
      <c r="J114" s="16"/>
      <c r="K114" s="16">
        <v>34</v>
      </c>
      <c r="L114" s="16">
        <f t="shared" si="26"/>
        <v>-10</v>
      </c>
      <c r="M114" s="16"/>
      <c r="N114" s="16"/>
      <c r="O114" s="16">
        <v>106.5606382978724</v>
      </c>
      <c r="P114" s="16"/>
      <c r="Q114" s="16"/>
      <c r="R114" s="16"/>
      <c r="S114" s="16">
        <v>10</v>
      </c>
      <c r="T114" s="16">
        <v>-22.222222222222221</v>
      </c>
      <c r="U114" s="16"/>
      <c r="V114" s="16">
        <f t="shared" si="27"/>
        <v>4.8</v>
      </c>
      <c r="W114" s="4"/>
      <c r="X114" s="4">
        <f>W114</f>
        <v>0</v>
      </c>
      <c r="Y114" s="16"/>
      <c r="Z114" s="16">
        <f t="shared" si="28"/>
        <v>26.991799645390085</v>
      </c>
      <c r="AA114" s="16">
        <f t="shared" si="30"/>
        <v>26.991799645390085</v>
      </c>
      <c r="AB114" s="16">
        <v>5.6</v>
      </c>
      <c r="AC114" s="16">
        <v>10</v>
      </c>
      <c r="AD114" s="16">
        <v>13.8</v>
      </c>
      <c r="AE114" s="16">
        <v>9.1999999999999993</v>
      </c>
      <c r="AF114" s="16">
        <v>3.6</v>
      </c>
      <c r="AG114" s="16">
        <v>8.4</v>
      </c>
      <c r="AH114" s="16">
        <v>12.8</v>
      </c>
      <c r="AI114" s="16">
        <v>13.8</v>
      </c>
      <c r="AJ114" s="16">
        <v>12</v>
      </c>
      <c r="AK114" s="16">
        <v>7</v>
      </c>
      <c r="AL114" s="15" t="s">
        <v>60</v>
      </c>
      <c r="AM114" s="16">
        <f t="shared" si="29"/>
        <v>0</v>
      </c>
      <c r="AN114" t="s">
        <v>280</v>
      </c>
      <c r="AO114" s="21" t="str">
        <f t="shared" si="23"/>
        <v>НЕДОГРУЗ / матрица</v>
      </c>
    </row>
    <row r="115" spans="1:41" x14ac:dyDescent="0.25">
      <c r="A115" s="16" t="s">
        <v>281</v>
      </c>
      <c r="B115" s="16" t="s">
        <v>51</v>
      </c>
      <c r="C115" s="16">
        <v>34</v>
      </c>
      <c r="D115" s="16">
        <v>2</v>
      </c>
      <c r="E115" s="16">
        <v>25</v>
      </c>
      <c r="F115" s="16">
        <v>-1</v>
      </c>
      <c r="G115" s="6">
        <v>0.09</v>
      </c>
      <c r="H115" s="16">
        <v>45</v>
      </c>
      <c r="I115" s="16" t="s">
        <v>44</v>
      </c>
      <c r="J115" s="16"/>
      <c r="K115" s="16">
        <v>28</v>
      </c>
      <c r="L115" s="16">
        <f t="shared" si="26"/>
        <v>-3</v>
      </c>
      <c r="M115" s="16"/>
      <c r="N115" s="16"/>
      <c r="O115" s="16">
        <v>57.46829268292683</v>
      </c>
      <c r="P115" s="16"/>
      <c r="Q115" s="16"/>
      <c r="R115" s="16"/>
      <c r="S115" s="16">
        <v>48.931707317073183</v>
      </c>
      <c r="T115" s="16"/>
      <c r="U115" s="16"/>
      <c r="V115" s="16">
        <f t="shared" si="27"/>
        <v>5</v>
      </c>
      <c r="W115" s="4"/>
      <c r="X115" s="4">
        <f>W115</f>
        <v>0</v>
      </c>
      <c r="Y115" s="16"/>
      <c r="Z115" s="16">
        <f t="shared" si="28"/>
        <v>21.080000000000002</v>
      </c>
      <c r="AA115" s="16">
        <f t="shared" si="30"/>
        <v>21.080000000000002</v>
      </c>
      <c r="AB115" s="16">
        <v>9.4</v>
      </c>
      <c r="AC115" s="16">
        <v>9.8000000000000007</v>
      </c>
      <c r="AD115" s="16">
        <v>10</v>
      </c>
      <c r="AE115" s="16">
        <v>7.2</v>
      </c>
      <c r="AF115" s="16">
        <v>4</v>
      </c>
      <c r="AG115" s="16">
        <v>11</v>
      </c>
      <c r="AH115" s="16">
        <v>14.6</v>
      </c>
      <c r="AI115" s="16">
        <v>14.6</v>
      </c>
      <c r="AJ115" s="16">
        <v>14</v>
      </c>
      <c r="AK115" s="16">
        <v>9.1999999999999993</v>
      </c>
      <c r="AL115" s="16"/>
      <c r="AM115" s="16">
        <f t="shared" si="29"/>
        <v>0</v>
      </c>
      <c r="AN115" t="s">
        <v>282</v>
      </c>
      <c r="AO115" s="21" t="str">
        <f t="shared" si="23"/>
        <v>матрица</v>
      </c>
    </row>
    <row r="116" spans="1:41" x14ac:dyDescent="0.25">
      <c r="A116" s="16" t="s">
        <v>283</v>
      </c>
      <c r="B116" s="16" t="s">
        <v>43</v>
      </c>
      <c r="C116" s="16">
        <v>42.899000000000001</v>
      </c>
      <c r="D116" s="16">
        <v>50.837000000000003</v>
      </c>
      <c r="E116" s="16">
        <v>64.56</v>
      </c>
      <c r="F116" s="16">
        <v>20.943000000000001</v>
      </c>
      <c r="G116" s="6">
        <v>1</v>
      </c>
      <c r="H116" s="16">
        <v>60</v>
      </c>
      <c r="I116" s="16" t="s">
        <v>63</v>
      </c>
      <c r="J116" s="16"/>
      <c r="K116" s="16">
        <v>61.9</v>
      </c>
      <c r="L116" s="16">
        <f t="shared" si="26"/>
        <v>2.6600000000000037</v>
      </c>
      <c r="M116" s="16"/>
      <c r="N116" s="16"/>
      <c r="O116" s="16">
        <v>50.296173455809154</v>
      </c>
      <c r="P116" s="16"/>
      <c r="Q116" s="16"/>
      <c r="R116" s="16"/>
      <c r="S116" s="16">
        <v>50.464426544190857</v>
      </c>
      <c r="T116" s="16"/>
      <c r="U116" s="16"/>
      <c r="V116" s="16">
        <f t="shared" si="27"/>
        <v>12.912000000000001</v>
      </c>
      <c r="W116" s="4">
        <f>12*V116-U116-S116-R116-Q116-P116-O116-F116</f>
        <v>33.240400000000008</v>
      </c>
      <c r="X116" s="4">
        <f>W116+V116</f>
        <v>46.152400000000007</v>
      </c>
      <c r="Y116" s="16"/>
      <c r="Z116" s="16">
        <f t="shared" si="28"/>
        <v>13.000000000000002</v>
      </c>
      <c r="AA116" s="16">
        <f t="shared" si="30"/>
        <v>9.4256195786864936</v>
      </c>
      <c r="AB116" s="16">
        <v>12.9278</v>
      </c>
      <c r="AC116" s="16">
        <v>12.5936</v>
      </c>
      <c r="AD116" s="16">
        <v>15.5222</v>
      </c>
      <c r="AE116" s="16">
        <v>15.4832</v>
      </c>
      <c r="AF116" s="16">
        <v>12.798999999999999</v>
      </c>
      <c r="AG116" s="16">
        <v>18.248999999999999</v>
      </c>
      <c r="AH116" s="16">
        <v>21.303999999999998</v>
      </c>
      <c r="AI116" s="16">
        <v>16.989799999999999</v>
      </c>
      <c r="AJ116" s="16">
        <v>15.9558</v>
      </c>
      <c r="AK116" s="16">
        <v>9.9768000000000008</v>
      </c>
      <c r="AL116" s="16"/>
      <c r="AM116" s="16">
        <f t="shared" si="29"/>
        <v>46</v>
      </c>
      <c r="AN116" t="s">
        <v>284</v>
      </c>
      <c r="AO116" s="21" t="str">
        <f t="shared" si="23"/>
        <v>НЕДОГРУЗ / матрица</v>
      </c>
    </row>
    <row r="117" spans="1:41" x14ac:dyDescent="0.25">
      <c r="A117" s="16" t="s">
        <v>285</v>
      </c>
      <c r="B117" s="16" t="s">
        <v>43</v>
      </c>
      <c r="C117" s="16">
        <v>291.161</v>
      </c>
      <c r="D117" s="16">
        <v>1.371</v>
      </c>
      <c r="E117" s="16">
        <v>112.045</v>
      </c>
      <c r="F117" s="16">
        <v>150.30699999999999</v>
      </c>
      <c r="G117" s="6">
        <v>1</v>
      </c>
      <c r="H117" s="16">
        <v>60</v>
      </c>
      <c r="I117" s="16" t="s">
        <v>44</v>
      </c>
      <c r="J117" s="16"/>
      <c r="K117" s="16">
        <v>111.4</v>
      </c>
      <c r="L117" s="16">
        <f t="shared" si="26"/>
        <v>0.64499999999999602</v>
      </c>
      <c r="M117" s="16"/>
      <c r="N117" s="16"/>
      <c r="O117" s="16">
        <v>0</v>
      </c>
      <c r="P117" s="16"/>
      <c r="Q117" s="16"/>
      <c r="R117" s="16"/>
      <c r="S117" s="16">
        <v>0</v>
      </c>
      <c r="T117" s="16"/>
      <c r="U117" s="16"/>
      <c r="V117" s="16">
        <f t="shared" si="27"/>
        <v>22.408999999999999</v>
      </c>
      <c r="W117" s="4">
        <f>12*V117-U117-S117-R117-Q117-P117-O117-F117</f>
        <v>118.60100000000003</v>
      </c>
      <c r="X117" s="4">
        <f>W117+V117</f>
        <v>141.01000000000002</v>
      </c>
      <c r="Y117" s="16"/>
      <c r="Z117" s="16">
        <f t="shared" si="28"/>
        <v>13.000000000000002</v>
      </c>
      <c r="AA117" s="16">
        <f t="shared" si="30"/>
        <v>6.707438975411665</v>
      </c>
      <c r="AB117" s="16">
        <v>22.56</v>
      </c>
      <c r="AC117" s="16">
        <v>14.490399999999999</v>
      </c>
      <c r="AD117" s="16">
        <v>17.466999999999999</v>
      </c>
      <c r="AE117" s="16">
        <v>27.170999999999999</v>
      </c>
      <c r="AF117" s="16">
        <v>43.596200000000003</v>
      </c>
      <c r="AG117" s="16">
        <v>48.666800000000002</v>
      </c>
      <c r="AH117" s="16">
        <v>30.369199999999999</v>
      </c>
      <c r="AI117" s="16">
        <v>23.996400000000001</v>
      </c>
      <c r="AJ117" s="16">
        <v>29.323</v>
      </c>
      <c r="AK117" s="16">
        <v>27.450399999999998</v>
      </c>
      <c r="AL117" s="16"/>
      <c r="AM117" s="16">
        <f t="shared" si="29"/>
        <v>141</v>
      </c>
      <c r="AN117" t="s">
        <v>286</v>
      </c>
      <c r="AO117" s="21" t="str">
        <f t="shared" si="23"/>
        <v>матрица</v>
      </c>
    </row>
    <row r="118" spans="1:41" x14ac:dyDescent="0.25">
      <c r="A118" s="16" t="s">
        <v>287</v>
      </c>
      <c r="B118" s="16" t="s">
        <v>43</v>
      </c>
      <c r="C118" s="16">
        <v>79.361000000000004</v>
      </c>
      <c r="D118" s="16">
        <v>18.966000000000001</v>
      </c>
      <c r="E118" s="16">
        <v>27.527000000000001</v>
      </c>
      <c r="F118" s="16">
        <v>46.377000000000002</v>
      </c>
      <c r="G118" s="6">
        <v>1</v>
      </c>
      <c r="H118" s="16">
        <v>60</v>
      </c>
      <c r="I118" s="16" t="s">
        <v>44</v>
      </c>
      <c r="J118" s="16"/>
      <c r="K118" s="16">
        <v>27.6</v>
      </c>
      <c r="L118" s="16">
        <f t="shared" si="26"/>
        <v>-7.3000000000000398E-2</v>
      </c>
      <c r="M118" s="16"/>
      <c r="N118" s="16"/>
      <c r="O118" s="16">
        <v>0</v>
      </c>
      <c r="P118" s="16"/>
      <c r="Q118" s="16"/>
      <c r="R118" s="16"/>
      <c r="S118" s="16">
        <v>0</v>
      </c>
      <c r="T118" s="16"/>
      <c r="U118" s="16"/>
      <c r="V118" s="16">
        <f t="shared" si="27"/>
        <v>5.5053999999999998</v>
      </c>
      <c r="W118" s="4">
        <f>12*V118-U118-S118-R118-Q118-P118-O118-F118</f>
        <v>19.687799999999989</v>
      </c>
      <c r="X118" s="4">
        <f>W118+V118</f>
        <v>25.19319999999999</v>
      </c>
      <c r="Y118" s="16"/>
      <c r="Z118" s="16">
        <f t="shared" si="28"/>
        <v>13</v>
      </c>
      <c r="AA118" s="16">
        <f t="shared" si="30"/>
        <v>8.4239110691321262</v>
      </c>
      <c r="AB118" s="16">
        <v>4.6790000000000003</v>
      </c>
      <c r="AC118" s="16">
        <v>3.8368000000000002</v>
      </c>
      <c r="AD118" s="16">
        <v>2.1898</v>
      </c>
      <c r="AE118" s="16">
        <v>5.8907999999999996</v>
      </c>
      <c r="AF118" s="16">
        <v>10.9154</v>
      </c>
      <c r="AG118" s="16">
        <v>11.5212</v>
      </c>
      <c r="AH118" s="16">
        <v>7.3034000000000008</v>
      </c>
      <c r="AI118" s="16">
        <v>5.2080000000000002</v>
      </c>
      <c r="AJ118" s="16">
        <v>6.9459999999999997</v>
      </c>
      <c r="AK118" s="16">
        <v>7.2998000000000003</v>
      </c>
      <c r="AL118" s="16"/>
      <c r="AM118" s="16">
        <f t="shared" si="29"/>
        <v>25</v>
      </c>
      <c r="AN118" t="s">
        <v>288</v>
      </c>
      <c r="AO118" s="21" t="str">
        <f t="shared" si="23"/>
        <v>матрица</v>
      </c>
    </row>
    <row r="119" spans="1:41" x14ac:dyDescent="0.25">
      <c r="A119" s="16" t="s">
        <v>289</v>
      </c>
      <c r="B119" s="16" t="s">
        <v>43</v>
      </c>
      <c r="C119" s="16">
        <v>644.16099999999994</v>
      </c>
      <c r="D119" s="16">
        <v>514.22900000000004</v>
      </c>
      <c r="E119" s="16">
        <v>497.74299999999999</v>
      </c>
      <c r="F119" s="16">
        <v>11.24</v>
      </c>
      <c r="G119" s="6">
        <v>1</v>
      </c>
      <c r="H119" s="16">
        <v>60</v>
      </c>
      <c r="I119" s="16" t="s">
        <v>44</v>
      </c>
      <c r="J119" s="16"/>
      <c r="K119" s="16">
        <v>502.5</v>
      </c>
      <c r="L119" s="16">
        <f t="shared" si="26"/>
        <v>-4.757000000000005</v>
      </c>
      <c r="M119" s="16"/>
      <c r="N119" s="16"/>
      <c r="O119" s="16">
        <v>0</v>
      </c>
      <c r="P119" s="16"/>
      <c r="Q119" s="16">
        <v>150</v>
      </c>
      <c r="R119" s="16"/>
      <c r="S119" s="16">
        <v>1658.8091999999999</v>
      </c>
      <c r="T119" s="16"/>
      <c r="U119" s="16"/>
      <c r="V119" s="16">
        <f t="shared" si="27"/>
        <v>99.548599999999993</v>
      </c>
      <c r="W119" s="4"/>
      <c r="X119" s="4">
        <f t="shared" ref="X119:X125" si="31">W119</f>
        <v>0</v>
      </c>
      <c r="Y119" s="16"/>
      <c r="Z119" s="16">
        <f t="shared" si="28"/>
        <v>18.283021559318765</v>
      </c>
      <c r="AA119" s="16">
        <f t="shared" si="30"/>
        <v>18.283021559318765</v>
      </c>
      <c r="AB119" s="16">
        <v>135.04179999999999</v>
      </c>
      <c r="AC119" s="16">
        <v>171.96340000000001</v>
      </c>
      <c r="AD119" s="16">
        <v>121.3768</v>
      </c>
      <c r="AE119" s="16">
        <v>-0.12620000000000001</v>
      </c>
      <c r="AF119" s="16">
        <v>16.735600000000002</v>
      </c>
      <c r="AG119" s="16">
        <v>189.98179999999999</v>
      </c>
      <c r="AH119" s="16">
        <v>232.40639999999999</v>
      </c>
      <c r="AI119" s="16">
        <v>104.16679999999999</v>
      </c>
      <c r="AJ119" s="16">
        <v>38.833199999999998</v>
      </c>
      <c r="AK119" s="16">
        <v>101.4106</v>
      </c>
      <c r="AL119" s="16" t="s">
        <v>290</v>
      </c>
      <c r="AM119" s="16">
        <f t="shared" si="29"/>
        <v>0</v>
      </c>
      <c r="AN119" t="s">
        <v>291</v>
      </c>
      <c r="AO119" s="21" t="str">
        <f t="shared" si="23"/>
        <v>матрица</v>
      </c>
    </row>
    <row r="120" spans="1:41" x14ac:dyDescent="0.25">
      <c r="A120" s="16" t="s">
        <v>292</v>
      </c>
      <c r="B120" s="16" t="s">
        <v>51</v>
      </c>
      <c r="C120" s="16">
        <v>432</v>
      </c>
      <c r="D120" s="16"/>
      <c r="E120" s="16">
        <v>41</v>
      </c>
      <c r="F120" s="16">
        <v>391</v>
      </c>
      <c r="G120" s="6">
        <v>0.25</v>
      </c>
      <c r="H120" s="16">
        <v>1096</v>
      </c>
      <c r="I120" s="16" t="s">
        <v>44</v>
      </c>
      <c r="J120" s="16"/>
      <c r="K120" s="16">
        <v>40</v>
      </c>
      <c r="L120" s="16">
        <f t="shared" si="26"/>
        <v>1</v>
      </c>
      <c r="M120" s="16"/>
      <c r="N120" s="16"/>
      <c r="O120" s="16">
        <v>0</v>
      </c>
      <c r="P120" s="16"/>
      <c r="Q120" s="16"/>
      <c r="R120" s="16"/>
      <c r="S120" s="16">
        <v>0</v>
      </c>
      <c r="T120" s="16"/>
      <c r="U120" s="16"/>
      <c r="V120" s="16">
        <f t="shared" si="27"/>
        <v>8.1999999999999993</v>
      </c>
      <c r="W120" s="4"/>
      <c r="X120" s="4">
        <f t="shared" si="31"/>
        <v>0</v>
      </c>
      <c r="Y120" s="16"/>
      <c r="Z120" s="16">
        <f t="shared" si="28"/>
        <v>47.682926829268297</v>
      </c>
      <c r="AA120" s="16">
        <f t="shared" si="30"/>
        <v>47.682926829268297</v>
      </c>
      <c r="AB120" s="16">
        <v>14.6</v>
      </c>
      <c r="AC120" s="16">
        <v>13</v>
      </c>
      <c r="AD120" s="16">
        <v>12</v>
      </c>
      <c r="AE120" s="16">
        <v>8.1999999999999993</v>
      </c>
      <c r="AF120" s="16">
        <v>28.6</v>
      </c>
      <c r="AG120" s="16">
        <v>57.6</v>
      </c>
      <c r="AH120" s="16">
        <v>38</v>
      </c>
      <c r="AI120" s="16">
        <v>10.4</v>
      </c>
      <c r="AJ120" s="16">
        <v>4.8</v>
      </c>
      <c r="AK120" s="16">
        <v>28.2</v>
      </c>
      <c r="AL120" s="14" t="s">
        <v>72</v>
      </c>
      <c r="AM120" s="16">
        <f t="shared" si="29"/>
        <v>0</v>
      </c>
      <c r="AN120" t="s">
        <v>293</v>
      </c>
      <c r="AO120" s="21" t="str">
        <f t="shared" si="23"/>
        <v>матрица</v>
      </c>
    </row>
    <row r="121" spans="1:41" x14ac:dyDescent="0.25">
      <c r="A121" s="16" t="s">
        <v>294</v>
      </c>
      <c r="B121" s="16" t="s">
        <v>51</v>
      </c>
      <c r="C121" s="16">
        <v>226</v>
      </c>
      <c r="D121" s="16"/>
      <c r="E121" s="16">
        <v>3</v>
      </c>
      <c r="F121" s="16">
        <v>223</v>
      </c>
      <c r="G121" s="6">
        <v>0.32500000000000001</v>
      </c>
      <c r="H121" s="16">
        <v>1096</v>
      </c>
      <c r="I121" s="16" t="s">
        <v>44</v>
      </c>
      <c r="J121" s="16"/>
      <c r="K121" s="16">
        <v>6</v>
      </c>
      <c r="L121" s="16">
        <f t="shared" si="26"/>
        <v>-3</v>
      </c>
      <c r="M121" s="16"/>
      <c r="N121" s="16"/>
      <c r="O121" s="16">
        <v>0</v>
      </c>
      <c r="P121" s="16"/>
      <c r="Q121" s="16"/>
      <c r="R121" s="16"/>
      <c r="S121" s="16">
        <v>0</v>
      </c>
      <c r="T121" s="16"/>
      <c r="U121" s="16"/>
      <c r="V121" s="16">
        <f t="shared" si="27"/>
        <v>0.6</v>
      </c>
      <c r="W121" s="4"/>
      <c r="X121" s="4">
        <f t="shared" si="31"/>
        <v>0</v>
      </c>
      <c r="Y121" s="16"/>
      <c r="Z121" s="16">
        <f t="shared" si="28"/>
        <v>371.66666666666669</v>
      </c>
      <c r="AA121" s="16">
        <f t="shared" si="30"/>
        <v>371.66666666666669</v>
      </c>
      <c r="AB121" s="16">
        <v>1.4</v>
      </c>
      <c r="AC121" s="16">
        <v>3.4</v>
      </c>
      <c r="AD121" s="16">
        <v>10.199999999999999</v>
      </c>
      <c r="AE121" s="16">
        <v>14.2</v>
      </c>
      <c r="AF121" s="16">
        <v>26.4</v>
      </c>
      <c r="AG121" s="16">
        <v>35</v>
      </c>
      <c r="AH121" s="16">
        <v>17</v>
      </c>
      <c r="AI121" s="16">
        <v>11.2</v>
      </c>
      <c r="AJ121" s="16">
        <v>18</v>
      </c>
      <c r="AK121" s="16">
        <v>20</v>
      </c>
      <c r="AL121" s="14" t="s">
        <v>72</v>
      </c>
      <c r="AM121" s="16">
        <f t="shared" si="29"/>
        <v>0</v>
      </c>
      <c r="AN121" t="s">
        <v>295</v>
      </c>
      <c r="AO121" s="21" t="str">
        <f t="shared" si="23"/>
        <v>матрица</v>
      </c>
    </row>
    <row r="122" spans="1:41" x14ac:dyDescent="0.25">
      <c r="A122" s="16" t="s">
        <v>296</v>
      </c>
      <c r="B122" s="16" t="s">
        <v>51</v>
      </c>
      <c r="C122" s="16">
        <v>726</v>
      </c>
      <c r="D122" s="16"/>
      <c r="E122" s="16">
        <v>63</v>
      </c>
      <c r="F122" s="16">
        <v>651</v>
      </c>
      <c r="G122" s="6">
        <v>0.25</v>
      </c>
      <c r="H122" s="16">
        <v>1096</v>
      </c>
      <c r="I122" s="16" t="s">
        <v>63</v>
      </c>
      <c r="J122" s="16"/>
      <c r="K122" s="16">
        <v>61</v>
      </c>
      <c r="L122" s="16">
        <f t="shared" si="26"/>
        <v>2</v>
      </c>
      <c r="M122" s="16"/>
      <c r="N122" s="16"/>
      <c r="O122" s="16">
        <v>0</v>
      </c>
      <c r="P122" s="16"/>
      <c r="Q122" s="16"/>
      <c r="R122" s="16"/>
      <c r="S122" s="16">
        <v>0</v>
      </c>
      <c r="T122" s="16"/>
      <c r="U122" s="16"/>
      <c r="V122" s="16">
        <f t="shared" si="27"/>
        <v>12.6</v>
      </c>
      <c r="W122" s="4"/>
      <c r="X122" s="4">
        <f t="shared" si="31"/>
        <v>0</v>
      </c>
      <c r="Y122" s="16"/>
      <c r="Z122" s="16">
        <f t="shared" si="28"/>
        <v>51.666666666666671</v>
      </c>
      <c r="AA122" s="16">
        <f t="shared" si="30"/>
        <v>51.666666666666671</v>
      </c>
      <c r="AB122" s="16">
        <v>13.2</v>
      </c>
      <c r="AC122" s="16">
        <v>8</v>
      </c>
      <c r="AD122" s="16">
        <v>17.600000000000001</v>
      </c>
      <c r="AE122" s="16">
        <v>27.4</v>
      </c>
      <c r="AF122" s="16">
        <v>50.6</v>
      </c>
      <c r="AG122" s="16">
        <v>68.599999999999994</v>
      </c>
      <c r="AH122" s="16">
        <v>45</v>
      </c>
      <c r="AI122" s="16">
        <v>43.2</v>
      </c>
      <c r="AJ122" s="16">
        <v>44</v>
      </c>
      <c r="AK122" s="16">
        <v>62.8</v>
      </c>
      <c r="AL122" s="14" t="s">
        <v>72</v>
      </c>
      <c r="AM122" s="16">
        <f t="shared" si="29"/>
        <v>0</v>
      </c>
      <c r="AN122" t="s">
        <v>297</v>
      </c>
      <c r="AO122" s="21" t="str">
        <f t="shared" si="23"/>
        <v>НЕДОГРУЗ / матрица</v>
      </c>
    </row>
    <row r="123" spans="1:41" x14ac:dyDescent="0.25">
      <c r="A123" s="10" t="s">
        <v>298</v>
      </c>
      <c r="B123" s="10" t="s">
        <v>43</v>
      </c>
      <c r="C123" s="10"/>
      <c r="D123" s="10">
        <v>11.885</v>
      </c>
      <c r="E123" s="10"/>
      <c r="F123" s="13">
        <v>11.885</v>
      </c>
      <c r="G123" s="11">
        <v>0</v>
      </c>
      <c r="H123" s="10"/>
      <c r="I123" s="10" t="s">
        <v>386</v>
      </c>
      <c r="J123" s="10" t="s">
        <v>241</v>
      </c>
      <c r="K123" s="10"/>
      <c r="L123" s="10">
        <f t="shared" si="26"/>
        <v>0</v>
      </c>
      <c r="M123" s="10"/>
      <c r="N123" s="10"/>
      <c r="O123" s="10"/>
      <c r="P123" s="10"/>
      <c r="Q123" s="10"/>
      <c r="R123" s="10"/>
      <c r="S123" s="10"/>
      <c r="T123" s="10"/>
      <c r="U123" s="10"/>
      <c r="V123" s="10">
        <f t="shared" si="27"/>
        <v>0</v>
      </c>
      <c r="W123" s="12"/>
      <c r="X123" s="4">
        <f t="shared" si="31"/>
        <v>0</v>
      </c>
      <c r="Y123" s="16"/>
      <c r="Z123" s="16" t="e">
        <f t="shared" si="28"/>
        <v>#DIV/0!</v>
      </c>
      <c r="AA123" s="10"/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/>
      <c r="AM123" s="16">
        <f t="shared" si="29"/>
        <v>0</v>
      </c>
      <c r="AO123" s="21" t="str">
        <f t="shared" si="23"/>
        <v>дубль</v>
      </c>
    </row>
    <row r="124" spans="1:41" x14ac:dyDescent="0.25">
      <c r="A124" s="16" t="s">
        <v>299</v>
      </c>
      <c r="B124" s="16" t="s">
        <v>51</v>
      </c>
      <c r="C124" s="16"/>
      <c r="D124" s="16"/>
      <c r="E124" s="16">
        <v>-1</v>
      </c>
      <c r="F124" s="16"/>
      <c r="G124" s="6">
        <v>0.3</v>
      </c>
      <c r="H124" s="16">
        <v>40</v>
      </c>
      <c r="I124" s="9" t="s">
        <v>63</v>
      </c>
      <c r="J124" s="16"/>
      <c r="K124" s="16"/>
      <c r="L124" s="16">
        <f t="shared" si="26"/>
        <v>-1</v>
      </c>
      <c r="M124" s="16"/>
      <c r="N124" s="16"/>
      <c r="O124" s="16">
        <v>81.667774086378742</v>
      </c>
      <c r="P124" s="16">
        <v>-83.333333333333343</v>
      </c>
      <c r="Q124" s="16"/>
      <c r="R124" s="16"/>
      <c r="S124" s="16">
        <v>26</v>
      </c>
      <c r="T124" s="16">
        <v>-30</v>
      </c>
      <c r="U124" s="16"/>
      <c r="V124" s="16">
        <f t="shared" si="27"/>
        <v>-0.2</v>
      </c>
      <c r="W124" s="4">
        <v>20</v>
      </c>
      <c r="X124" s="4">
        <f t="shared" si="31"/>
        <v>20</v>
      </c>
      <c r="Y124" s="16"/>
      <c r="Z124" s="16">
        <f t="shared" si="28"/>
        <v>-221.67220376522698</v>
      </c>
      <c r="AA124" s="16">
        <f>(F124+O124+P124+Q124+R124+S124+U124)/V124</f>
        <v>-121.672203765227</v>
      </c>
      <c r="AB124" s="16">
        <v>-0.2</v>
      </c>
      <c r="AC124" s="16">
        <v>-0.6</v>
      </c>
      <c r="AD124" s="16">
        <v>-0.6</v>
      </c>
      <c r="AE124" s="16">
        <v>-0.8</v>
      </c>
      <c r="AF124" s="16">
        <v>-1</v>
      </c>
      <c r="AG124" s="16">
        <v>-0.4</v>
      </c>
      <c r="AH124" s="16">
        <v>-0.2</v>
      </c>
      <c r="AI124" s="16">
        <v>-0.2</v>
      </c>
      <c r="AJ124" s="16">
        <v>0</v>
      </c>
      <c r="AK124" s="16">
        <v>21.8</v>
      </c>
      <c r="AL124" s="16"/>
      <c r="AM124" s="16">
        <f t="shared" si="29"/>
        <v>6</v>
      </c>
      <c r="AN124" t="s">
        <v>300</v>
      </c>
      <c r="AO124" s="21" t="str">
        <f t="shared" si="23"/>
        <v>НЕДОГРУЗ / матрица</v>
      </c>
    </row>
    <row r="125" spans="1:41" x14ac:dyDescent="0.25">
      <c r="A125" s="16" t="s">
        <v>301</v>
      </c>
      <c r="B125" s="16" t="s">
        <v>51</v>
      </c>
      <c r="C125" s="16"/>
      <c r="D125" s="16"/>
      <c r="E125" s="16"/>
      <c r="F125" s="16"/>
      <c r="G125" s="6">
        <v>0.3</v>
      </c>
      <c r="H125" s="16">
        <v>40</v>
      </c>
      <c r="I125" s="9" t="s">
        <v>63</v>
      </c>
      <c r="J125" s="16"/>
      <c r="K125" s="16"/>
      <c r="L125" s="16">
        <f t="shared" si="26"/>
        <v>0</v>
      </c>
      <c r="M125" s="16"/>
      <c r="N125" s="16"/>
      <c r="O125" s="16">
        <v>66.827586206896541</v>
      </c>
      <c r="P125" s="16"/>
      <c r="Q125" s="16"/>
      <c r="R125" s="16"/>
      <c r="S125" s="16">
        <v>26</v>
      </c>
      <c r="T125" s="16"/>
      <c r="U125" s="16"/>
      <c r="V125" s="16">
        <f t="shared" si="27"/>
        <v>0</v>
      </c>
      <c r="W125" s="4">
        <v>20</v>
      </c>
      <c r="X125" s="4">
        <f t="shared" si="31"/>
        <v>20</v>
      </c>
      <c r="Y125" s="16"/>
      <c r="Z125" s="16" t="e">
        <f t="shared" si="28"/>
        <v>#DIV/0!</v>
      </c>
      <c r="AA125" s="16" t="e">
        <f>(F125+O125+P125+Q125+R125+S125+U125)/V125</f>
        <v>#DIV/0!</v>
      </c>
      <c r="AB125" s="16">
        <v>0</v>
      </c>
      <c r="AC125" s="16">
        <v>0</v>
      </c>
      <c r="AD125" s="16">
        <v>0</v>
      </c>
      <c r="AE125" s="16">
        <v>-0.6</v>
      </c>
      <c r="AF125" s="16">
        <v>-0.8</v>
      </c>
      <c r="AG125" s="16">
        <v>-1</v>
      </c>
      <c r="AH125" s="16">
        <v>-1.8</v>
      </c>
      <c r="AI125" s="16">
        <v>-2</v>
      </c>
      <c r="AJ125" s="16">
        <v>-1.8</v>
      </c>
      <c r="AK125" s="16">
        <v>-2</v>
      </c>
      <c r="AL125" s="16"/>
      <c r="AM125" s="16">
        <f t="shared" si="29"/>
        <v>6</v>
      </c>
      <c r="AN125" t="s">
        <v>302</v>
      </c>
      <c r="AO125" s="21" t="str">
        <f t="shared" si="23"/>
        <v>НЕДОГРУЗ / матрица</v>
      </c>
    </row>
    <row r="126" spans="1:41" x14ac:dyDescent="0.25">
      <c r="A126" s="16" t="s">
        <v>303</v>
      </c>
      <c r="B126" s="16" t="s">
        <v>43</v>
      </c>
      <c r="C126" s="16">
        <v>33.793999999999997</v>
      </c>
      <c r="D126" s="16">
        <v>10.95</v>
      </c>
      <c r="E126" s="16">
        <v>10.461</v>
      </c>
      <c r="F126" s="16">
        <v>20.350999999999999</v>
      </c>
      <c r="G126" s="6">
        <v>1</v>
      </c>
      <c r="H126" s="16">
        <v>50</v>
      </c>
      <c r="I126" s="16" t="s">
        <v>44</v>
      </c>
      <c r="J126" s="16"/>
      <c r="K126" s="16">
        <v>11.9</v>
      </c>
      <c r="L126" s="16">
        <f t="shared" si="26"/>
        <v>-1.4390000000000001</v>
      </c>
      <c r="M126" s="16"/>
      <c r="N126" s="16"/>
      <c r="O126" s="16">
        <v>0</v>
      </c>
      <c r="P126" s="16"/>
      <c r="Q126" s="16"/>
      <c r="R126" s="16"/>
      <c r="S126" s="16">
        <v>0</v>
      </c>
      <c r="T126" s="16"/>
      <c r="U126" s="16"/>
      <c r="V126" s="16">
        <f t="shared" si="27"/>
        <v>2.0922000000000001</v>
      </c>
      <c r="W126" s="4">
        <f>12*V126-U126-S126-R126-Q126-P126-O126-F126</f>
        <v>4.7554000000000016</v>
      </c>
      <c r="X126" s="4">
        <f>W126+V126</f>
        <v>6.8476000000000017</v>
      </c>
      <c r="Y126" s="16"/>
      <c r="Z126" s="16">
        <f t="shared" si="28"/>
        <v>13</v>
      </c>
      <c r="AA126" s="16">
        <f>(F126+O126+P126+Q126+R126+S126+U126)/V126</f>
        <v>9.7270815409616667</v>
      </c>
      <c r="AB126" s="16">
        <v>1.4174</v>
      </c>
      <c r="AC126" s="16">
        <v>0.68240000000000001</v>
      </c>
      <c r="AD126" s="16">
        <v>2.1141999999999999</v>
      </c>
      <c r="AE126" s="16">
        <v>3.4316</v>
      </c>
      <c r="AF126" s="16">
        <v>3.7071999999999998</v>
      </c>
      <c r="AG126" s="16">
        <v>4.2619999999999996</v>
      </c>
      <c r="AH126" s="16">
        <v>3.2035999999999998</v>
      </c>
      <c r="AI126" s="16">
        <v>1.8520000000000001</v>
      </c>
      <c r="AJ126" s="16">
        <v>0.26700000000000002</v>
      </c>
      <c r="AK126" s="16">
        <v>1.8872</v>
      </c>
      <c r="AL126" s="16"/>
      <c r="AM126" s="16">
        <f t="shared" si="29"/>
        <v>7</v>
      </c>
      <c r="AN126" t="s">
        <v>304</v>
      </c>
      <c r="AO126" s="21" t="str">
        <f t="shared" si="23"/>
        <v>матрица</v>
      </c>
    </row>
    <row r="127" spans="1:41" x14ac:dyDescent="0.25">
      <c r="A127" s="16" t="s">
        <v>305</v>
      </c>
      <c r="B127" s="16" t="s">
        <v>51</v>
      </c>
      <c r="C127" s="16"/>
      <c r="D127" s="16"/>
      <c r="E127" s="16"/>
      <c r="F127" s="16"/>
      <c r="G127" s="6">
        <v>0.3</v>
      </c>
      <c r="H127" s="16">
        <v>40</v>
      </c>
      <c r="I127" s="9" t="s">
        <v>63</v>
      </c>
      <c r="J127" s="16"/>
      <c r="K127" s="16"/>
      <c r="L127" s="16">
        <f t="shared" si="26"/>
        <v>0</v>
      </c>
      <c r="M127" s="16"/>
      <c r="N127" s="16"/>
      <c r="O127" s="16">
        <v>43</v>
      </c>
      <c r="P127" s="16">
        <v>-46.666666666666671</v>
      </c>
      <c r="Q127" s="16"/>
      <c r="R127" s="16"/>
      <c r="S127" s="16">
        <v>13</v>
      </c>
      <c r="T127" s="16">
        <v>-16.666666666666668</v>
      </c>
      <c r="U127" s="16"/>
      <c r="V127" s="16">
        <f t="shared" si="27"/>
        <v>0</v>
      </c>
      <c r="W127" s="4">
        <v>20</v>
      </c>
      <c r="X127" s="4">
        <f>W127</f>
        <v>20</v>
      </c>
      <c r="Y127" s="16"/>
      <c r="Z127" s="16" t="e">
        <f t="shared" si="28"/>
        <v>#DIV/0!</v>
      </c>
      <c r="AA127" s="16" t="e">
        <f>(F127+O127+P127+Q127+R127+S127+U127)/V127</f>
        <v>#DIV/0!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-0.2</v>
      </c>
      <c r="AH127" s="16">
        <v>-0.2</v>
      </c>
      <c r="AI127" s="16">
        <v>-0.4</v>
      </c>
      <c r="AJ127" s="16">
        <v>0.4</v>
      </c>
      <c r="AK127" s="16">
        <v>17.8</v>
      </c>
      <c r="AL127" s="16"/>
      <c r="AM127" s="16">
        <f t="shared" si="29"/>
        <v>6</v>
      </c>
      <c r="AN127" t="s">
        <v>306</v>
      </c>
      <c r="AO127" s="21" t="str">
        <f t="shared" si="23"/>
        <v>НЕДОГРУЗ / матрица</v>
      </c>
    </row>
    <row r="128" spans="1:41" x14ac:dyDescent="0.25">
      <c r="A128" s="16" t="s">
        <v>307</v>
      </c>
      <c r="B128" s="16" t="s">
        <v>51</v>
      </c>
      <c r="C128" s="16">
        <v>29</v>
      </c>
      <c r="D128" s="16">
        <v>46</v>
      </c>
      <c r="E128" s="16">
        <v>41</v>
      </c>
      <c r="F128" s="16">
        <v>2</v>
      </c>
      <c r="G128" s="6">
        <v>0.12</v>
      </c>
      <c r="H128" s="16">
        <v>45</v>
      </c>
      <c r="I128" s="9" t="s">
        <v>63</v>
      </c>
      <c r="J128" s="16"/>
      <c r="K128" s="16">
        <v>43</v>
      </c>
      <c r="L128" s="16">
        <f t="shared" si="26"/>
        <v>-2</v>
      </c>
      <c r="M128" s="16"/>
      <c r="N128" s="16"/>
      <c r="O128" s="16">
        <v>38.333333333333343</v>
      </c>
      <c r="P128" s="16"/>
      <c r="Q128" s="16"/>
      <c r="R128" s="16"/>
      <c r="S128" s="16">
        <v>57.286666666666648</v>
      </c>
      <c r="T128" s="16"/>
      <c r="U128" s="16"/>
      <c r="V128" s="16">
        <f t="shared" si="27"/>
        <v>8.1999999999999993</v>
      </c>
      <c r="W128" s="4">
        <v>8</v>
      </c>
      <c r="X128" s="4">
        <f>W128</f>
        <v>8</v>
      </c>
      <c r="Y128" s="16"/>
      <c r="Z128" s="16">
        <f t="shared" si="28"/>
        <v>12.880487804878049</v>
      </c>
      <c r="AA128" s="16">
        <f>(F128+O128+P128+Q128+R128+S128+U128)/V128</f>
        <v>11.904878048780487</v>
      </c>
      <c r="AB128" s="16">
        <v>10</v>
      </c>
      <c r="AC128" s="16">
        <v>9.1999999999999993</v>
      </c>
      <c r="AD128" s="16">
        <v>3.6</v>
      </c>
      <c r="AE128" s="16">
        <v>-0.2</v>
      </c>
      <c r="AF128" s="16">
        <v>2.6</v>
      </c>
      <c r="AG128" s="16">
        <v>8</v>
      </c>
      <c r="AH128" s="16">
        <v>6.2</v>
      </c>
      <c r="AI128" s="16">
        <v>7.8</v>
      </c>
      <c r="AJ128" s="16">
        <v>11.4</v>
      </c>
      <c r="AK128" s="16">
        <v>9.4</v>
      </c>
      <c r="AL128" s="16"/>
      <c r="AM128" s="16">
        <f t="shared" si="29"/>
        <v>1</v>
      </c>
      <c r="AN128" t="s">
        <v>308</v>
      </c>
      <c r="AO128" s="21" t="str">
        <f t="shared" si="23"/>
        <v>НЕДОГРУЗ / матрица</v>
      </c>
    </row>
    <row r="129" spans="1:39" x14ac:dyDescent="0.25">
      <c r="A129" s="10" t="s">
        <v>309</v>
      </c>
      <c r="B129" s="10" t="s">
        <v>51</v>
      </c>
      <c r="C129" s="10">
        <v>29</v>
      </c>
      <c r="D129" s="10">
        <v>20</v>
      </c>
      <c r="E129" s="13">
        <v>58</v>
      </c>
      <c r="F129" s="13">
        <v>-20</v>
      </c>
      <c r="G129" s="11">
        <v>0</v>
      </c>
      <c r="H129" s="10"/>
      <c r="I129" s="10" t="s">
        <v>310</v>
      </c>
      <c r="J129" s="10" t="s">
        <v>154</v>
      </c>
      <c r="K129" s="10">
        <v>58</v>
      </c>
      <c r="L129" s="10">
        <f t="shared" si="26"/>
        <v>0</v>
      </c>
      <c r="M129" s="10"/>
      <c r="N129" s="10"/>
      <c r="O129" s="10"/>
      <c r="P129" s="10"/>
      <c r="Q129" s="10"/>
      <c r="R129" s="10"/>
      <c r="S129" s="10">
        <v>0</v>
      </c>
      <c r="T129" s="10"/>
      <c r="U129" s="10"/>
      <c r="V129" s="10">
        <f t="shared" si="27"/>
        <v>11.6</v>
      </c>
      <c r="W129" s="12"/>
      <c r="X129" s="4">
        <f>W129</f>
        <v>0</v>
      </c>
      <c r="Y129" s="16"/>
      <c r="Z129" s="16">
        <f t="shared" si="28"/>
        <v>-1.7241379310344829</v>
      </c>
      <c r="AA129" s="10"/>
      <c r="AB129" s="10">
        <v>7.4</v>
      </c>
      <c r="AC129" s="10">
        <v>6.2</v>
      </c>
      <c r="AD129" s="10">
        <v>15.4</v>
      </c>
      <c r="AE129" s="10">
        <v>18.399999999999999</v>
      </c>
      <c r="AF129" s="10">
        <v>15.4</v>
      </c>
      <c r="AG129" s="10">
        <v>18</v>
      </c>
      <c r="AH129" s="10">
        <v>14.4</v>
      </c>
      <c r="AI129" s="10">
        <v>2.8</v>
      </c>
      <c r="AJ129" s="10">
        <v>0</v>
      </c>
      <c r="AK129" s="10">
        <v>0</v>
      </c>
      <c r="AL129" s="10"/>
      <c r="AM129" s="16">
        <f t="shared" si="29"/>
        <v>0</v>
      </c>
    </row>
    <row r="130" spans="1:39" x14ac:dyDescent="0.25">
      <c r="A130" s="16"/>
      <c r="B130" s="16"/>
      <c r="C130" s="16"/>
      <c r="D130" s="16"/>
      <c r="E130" s="16"/>
      <c r="F130" s="16"/>
      <c r="G130" s="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</row>
    <row r="131" spans="1:39" x14ac:dyDescent="0.25">
      <c r="A131" s="16"/>
      <c r="B131" s="16"/>
      <c r="C131" s="16"/>
      <c r="D131" s="16"/>
      <c r="E131" s="16"/>
      <c r="F131" s="16"/>
      <c r="G131" s="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</row>
    <row r="132" spans="1:39" x14ac:dyDescent="0.25">
      <c r="A132" s="16"/>
      <c r="B132" s="16"/>
      <c r="C132" s="16"/>
      <c r="D132" s="16"/>
      <c r="E132" s="16"/>
      <c r="F132" s="16"/>
      <c r="G132" s="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</row>
    <row r="133" spans="1:39" x14ac:dyDescent="0.25">
      <c r="A133" s="16"/>
      <c r="B133" s="16"/>
      <c r="C133" s="16"/>
      <c r="D133" s="16"/>
      <c r="E133" s="16"/>
      <c r="F133" s="16"/>
      <c r="G133" s="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</row>
    <row r="134" spans="1:39" x14ac:dyDescent="0.25">
      <c r="A134" s="16"/>
      <c r="B134" s="16"/>
      <c r="C134" s="16"/>
      <c r="D134" s="16"/>
      <c r="E134" s="16"/>
      <c r="F134" s="16"/>
      <c r="G134" s="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</row>
    <row r="135" spans="1:39" x14ac:dyDescent="0.25">
      <c r="A135" s="16"/>
      <c r="B135" s="16"/>
      <c r="C135" s="16"/>
      <c r="D135" s="16"/>
      <c r="E135" s="16"/>
      <c r="F135" s="16"/>
      <c r="G135" s="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</row>
    <row r="136" spans="1:39" x14ac:dyDescent="0.25">
      <c r="A136" s="16"/>
      <c r="B136" s="16"/>
      <c r="C136" s="16"/>
      <c r="D136" s="16"/>
      <c r="E136" s="16"/>
      <c r="F136" s="16"/>
      <c r="G136" s="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</row>
    <row r="137" spans="1:39" x14ac:dyDescent="0.25">
      <c r="A137" s="16"/>
      <c r="B137" s="16"/>
      <c r="C137" s="16"/>
      <c r="D137" s="16"/>
      <c r="E137" s="16"/>
      <c r="F137" s="16"/>
      <c r="G137" s="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</row>
    <row r="138" spans="1:39" x14ac:dyDescent="0.25">
      <c r="A138" s="16"/>
      <c r="B138" s="16"/>
      <c r="C138" s="16"/>
      <c r="D138" s="16"/>
      <c r="E138" s="16"/>
      <c r="F138" s="16"/>
      <c r="G138" s="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</row>
    <row r="139" spans="1:39" x14ac:dyDescent="0.25">
      <c r="A139" s="16"/>
      <c r="B139" s="16"/>
      <c r="C139" s="16"/>
      <c r="D139" s="16"/>
      <c r="E139" s="16"/>
      <c r="F139" s="16"/>
      <c r="G139" s="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</row>
    <row r="140" spans="1:39" x14ac:dyDescent="0.25">
      <c r="A140" s="16"/>
      <c r="B140" s="16"/>
      <c r="C140" s="16"/>
      <c r="D140" s="16"/>
      <c r="E140" s="16"/>
      <c r="F140" s="16"/>
      <c r="G140" s="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</row>
    <row r="141" spans="1:39" x14ac:dyDescent="0.25">
      <c r="A141" s="16"/>
      <c r="B141" s="16"/>
      <c r="C141" s="16"/>
      <c r="D141" s="16"/>
      <c r="E141" s="16"/>
      <c r="F141" s="16"/>
      <c r="G141" s="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</row>
    <row r="142" spans="1:39" x14ac:dyDescent="0.25">
      <c r="A142" s="16"/>
      <c r="B142" s="16"/>
      <c r="C142" s="16"/>
      <c r="D142" s="16"/>
      <c r="E142" s="16"/>
      <c r="F142" s="16"/>
      <c r="G142" s="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</row>
    <row r="143" spans="1:39" x14ac:dyDescent="0.25">
      <c r="A143" s="16"/>
      <c r="B143" s="16"/>
      <c r="C143" s="16"/>
      <c r="D143" s="16"/>
      <c r="E143" s="16"/>
      <c r="F143" s="16"/>
      <c r="G143" s="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</row>
    <row r="144" spans="1:39" x14ac:dyDescent="0.25">
      <c r="A144" s="16"/>
      <c r="B144" s="16"/>
      <c r="C144" s="16"/>
      <c r="D144" s="16"/>
      <c r="E144" s="16"/>
      <c r="F144" s="16"/>
      <c r="G144" s="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</row>
    <row r="145" spans="1:39" x14ac:dyDescent="0.25">
      <c r="A145" s="16"/>
      <c r="B145" s="16"/>
      <c r="C145" s="16"/>
      <c r="D145" s="16"/>
      <c r="E145" s="16"/>
      <c r="F145" s="16"/>
      <c r="G145" s="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</row>
    <row r="146" spans="1:39" x14ac:dyDescent="0.25">
      <c r="A146" s="16"/>
      <c r="B146" s="16"/>
      <c r="C146" s="16"/>
      <c r="D146" s="16"/>
      <c r="E146" s="16"/>
      <c r="F146" s="16"/>
      <c r="G146" s="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</row>
    <row r="147" spans="1:39" x14ac:dyDescent="0.25">
      <c r="A147" s="16"/>
      <c r="B147" s="16"/>
      <c r="C147" s="16"/>
      <c r="D147" s="16"/>
      <c r="E147" s="16"/>
      <c r="F147" s="16"/>
      <c r="G147" s="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</row>
    <row r="148" spans="1:39" x14ac:dyDescent="0.25">
      <c r="A148" s="16"/>
      <c r="B148" s="16"/>
      <c r="C148" s="16"/>
      <c r="D148" s="16"/>
      <c r="E148" s="16"/>
      <c r="F148" s="16"/>
      <c r="G148" s="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</row>
    <row r="149" spans="1:39" x14ac:dyDescent="0.25">
      <c r="A149" s="16"/>
      <c r="B149" s="16"/>
      <c r="C149" s="16"/>
      <c r="D149" s="16"/>
      <c r="E149" s="16"/>
      <c r="F149" s="16"/>
      <c r="G149" s="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</row>
    <row r="150" spans="1:39" x14ac:dyDescent="0.25">
      <c r="A150" s="16"/>
      <c r="B150" s="16"/>
      <c r="C150" s="16"/>
      <c r="D150" s="16"/>
      <c r="E150" s="16"/>
      <c r="F150" s="16"/>
      <c r="G150" s="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</row>
    <row r="151" spans="1:39" x14ac:dyDescent="0.25">
      <c r="A151" s="16"/>
      <c r="B151" s="16"/>
      <c r="C151" s="16"/>
      <c r="D151" s="16"/>
      <c r="E151" s="16"/>
      <c r="F151" s="16"/>
      <c r="G151" s="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</row>
    <row r="152" spans="1:39" x14ac:dyDescent="0.25">
      <c r="A152" s="16"/>
      <c r="B152" s="16"/>
      <c r="C152" s="16"/>
      <c r="D152" s="16"/>
      <c r="E152" s="16"/>
      <c r="F152" s="16"/>
      <c r="G152" s="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</row>
    <row r="153" spans="1:39" x14ac:dyDescent="0.25">
      <c r="A153" s="16"/>
      <c r="B153" s="16"/>
      <c r="C153" s="16"/>
      <c r="D153" s="16"/>
      <c r="E153" s="16"/>
      <c r="F153" s="16"/>
      <c r="G153" s="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</row>
    <row r="154" spans="1:39" x14ac:dyDescent="0.25">
      <c r="A154" s="16"/>
      <c r="B154" s="16"/>
      <c r="C154" s="16"/>
      <c r="D154" s="16"/>
      <c r="E154" s="16"/>
      <c r="F154" s="16"/>
      <c r="G154" s="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</row>
    <row r="155" spans="1:39" x14ac:dyDescent="0.25">
      <c r="A155" s="16"/>
      <c r="B155" s="16"/>
      <c r="C155" s="16"/>
      <c r="D155" s="16"/>
      <c r="E155" s="16"/>
      <c r="F155" s="16"/>
      <c r="G155" s="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</row>
    <row r="156" spans="1:39" x14ac:dyDescent="0.25">
      <c r="A156" s="16"/>
      <c r="B156" s="16"/>
      <c r="C156" s="16"/>
      <c r="D156" s="16"/>
      <c r="E156" s="16"/>
      <c r="F156" s="16"/>
      <c r="G156" s="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</row>
    <row r="157" spans="1:39" x14ac:dyDescent="0.25">
      <c r="A157" s="16"/>
      <c r="B157" s="16"/>
      <c r="C157" s="16"/>
      <c r="D157" s="16"/>
      <c r="E157" s="16"/>
      <c r="F157" s="16"/>
      <c r="G157" s="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</row>
    <row r="158" spans="1:39" x14ac:dyDescent="0.25">
      <c r="A158" s="16"/>
      <c r="B158" s="16"/>
      <c r="C158" s="16"/>
      <c r="D158" s="16"/>
      <c r="E158" s="16"/>
      <c r="F158" s="16"/>
      <c r="G158" s="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</row>
    <row r="159" spans="1:39" x14ac:dyDescent="0.25">
      <c r="A159" s="16"/>
      <c r="B159" s="16"/>
      <c r="C159" s="16"/>
      <c r="D159" s="16"/>
      <c r="E159" s="16"/>
      <c r="F159" s="16"/>
      <c r="G159" s="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</row>
    <row r="160" spans="1:39" x14ac:dyDescent="0.25">
      <c r="A160" s="16"/>
      <c r="B160" s="16"/>
      <c r="C160" s="16"/>
      <c r="D160" s="16"/>
      <c r="E160" s="16"/>
      <c r="F160" s="16"/>
      <c r="G160" s="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</row>
    <row r="161" spans="1:39" x14ac:dyDescent="0.25">
      <c r="A161" s="16"/>
      <c r="B161" s="16"/>
      <c r="C161" s="16"/>
      <c r="D161" s="16"/>
      <c r="E161" s="16"/>
      <c r="F161" s="16"/>
      <c r="G161" s="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</row>
    <row r="162" spans="1:39" x14ac:dyDescent="0.25">
      <c r="A162" s="16"/>
      <c r="B162" s="16"/>
      <c r="C162" s="16"/>
      <c r="D162" s="16"/>
      <c r="E162" s="16"/>
      <c r="F162" s="16"/>
      <c r="G162" s="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</row>
    <row r="163" spans="1:39" x14ac:dyDescent="0.25">
      <c r="A163" s="16"/>
      <c r="B163" s="16"/>
      <c r="C163" s="16"/>
      <c r="D163" s="16"/>
      <c r="E163" s="16"/>
      <c r="F163" s="16"/>
      <c r="G163" s="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</row>
    <row r="164" spans="1:39" x14ac:dyDescent="0.25">
      <c r="A164" s="16"/>
      <c r="B164" s="16"/>
      <c r="C164" s="16"/>
      <c r="D164" s="16"/>
      <c r="E164" s="16"/>
      <c r="F164" s="16"/>
      <c r="G164" s="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</row>
    <row r="165" spans="1:39" x14ac:dyDescent="0.25">
      <c r="A165" s="16"/>
      <c r="B165" s="16"/>
      <c r="C165" s="16"/>
      <c r="D165" s="16"/>
      <c r="E165" s="16"/>
      <c r="F165" s="16"/>
      <c r="G165" s="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</row>
    <row r="166" spans="1:39" x14ac:dyDescent="0.25">
      <c r="A166" s="16"/>
      <c r="B166" s="16"/>
      <c r="C166" s="16"/>
      <c r="D166" s="16"/>
      <c r="E166" s="16"/>
      <c r="F166" s="16"/>
      <c r="G166" s="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</row>
    <row r="167" spans="1:39" x14ac:dyDescent="0.25">
      <c r="A167" s="16"/>
      <c r="B167" s="16"/>
      <c r="C167" s="16"/>
      <c r="D167" s="16"/>
      <c r="E167" s="16"/>
      <c r="F167" s="16"/>
      <c r="G167" s="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</row>
    <row r="168" spans="1:39" x14ac:dyDescent="0.25">
      <c r="A168" s="16"/>
      <c r="B168" s="16"/>
      <c r="C168" s="16"/>
      <c r="D168" s="16"/>
      <c r="E168" s="16"/>
      <c r="F168" s="16"/>
      <c r="G168" s="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</row>
    <row r="169" spans="1:39" x14ac:dyDescent="0.25">
      <c r="A169" s="16"/>
      <c r="B169" s="16"/>
      <c r="C169" s="16"/>
      <c r="D169" s="16"/>
      <c r="E169" s="16"/>
      <c r="F169" s="16"/>
      <c r="G169" s="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</row>
    <row r="170" spans="1:39" x14ac:dyDescent="0.25">
      <c r="A170" s="16"/>
      <c r="B170" s="16"/>
      <c r="C170" s="16"/>
      <c r="D170" s="16"/>
      <c r="E170" s="16"/>
      <c r="F170" s="16"/>
      <c r="G170" s="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</row>
    <row r="171" spans="1:39" x14ac:dyDescent="0.25">
      <c r="A171" s="16"/>
      <c r="B171" s="16"/>
      <c r="C171" s="16"/>
      <c r="D171" s="16"/>
      <c r="E171" s="16"/>
      <c r="F171" s="16"/>
      <c r="G171" s="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</row>
    <row r="172" spans="1:39" x14ac:dyDescent="0.25">
      <c r="A172" s="16"/>
      <c r="B172" s="16"/>
      <c r="C172" s="16"/>
      <c r="D172" s="16"/>
      <c r="E172" s="16"/>
      <c r="F172" s="16"/>
      <c r="G172" s="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</row>
    <row r="173" spans="1:39" x14ac:dyDescent="0.25">
      <c r="A173" s="16"/>
      <c r="B173" s="16"/>
      <c r="C173" s="16"/>
      <c r="D173" s="16"/>
      <c r="E173" s="16"/>
      <c r="F173" s="16"/>
      <c r="G173" s="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</row>
    <row r="174" spans="1:39" x14ac:dyDescent="0.25">
      <c r="A174" s="16"/>
      <c r="B174" s="16"/>
      <c r="C174" s="16"/>
      <c r="D174" s="16"/>
      <c r="E174" s="16"/>
      <c r="F174" s="16"/>
      <c r="G174" s="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</row>
    <row r="175" spans="1:39" x14ac:dyDescent="0.25">
      <c r="A175" s="16"/>
      <c r="B175" s="16"/>
      <c r="C175" s="16"/>
      <c r="D175" s="16"/>
      <c r="E175" s="16"/>
      <c r="F175" s="16"/>
      <c r="G175" s="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</row>
    <row r="176" spans="1:39" x14ac:dyDescent="0.25">
      <c r="A176" s="16"/>
      <c r="B176" s="16"/>
      <c r="C176" s="16"/>
      <c r="D176" s="16"/>
      <c r="E176" s="16"/>
      <c r="F176" s="16"/>
      <c r="G176" s="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</row>
    <row r="177" spans="1:39" x14ac:dyDescent="0.25">
      <c r="A177" s="16"/>
      <c r="B177" s="16"/>
      <c r="C177" s="16"/>
      <c r="D177" s="16"/>
      <c r="E177" s="16"/>
      <c r="F177" s="16"/>
      <c r="G177" s="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</row>
    <row r="178" spans="1:39" x14ac:dyDescent="0.25">
      <c r="A178" s="16"/>
      <c r="B178" s="16"/>
      <c r="C178" s="16"/>
      <c r="D178" s="16"/>
      <c r="E178" s="16"/>
      <c r="F178" s="16"/>
      <c r="G178" s="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</row>
    <row r="179" spans="1:39" x14ac:dyDescent="0.25">
      <c r="A179" s="16"/>
      <c r="B179" s="16"/>
      <c r="C179" s="16"/>
      <c r="D179" s="16"/>
      <c r="E179" s="16"/>
      <c r="F179" s="16"/>
      <c r="G179" s="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</row>
    <row r="180" spans="1:39" x14ac:dyDescent="0.25">
      <c r="A180" s="16"/>
      <c r="B180" s="16"/>
      <c r="C180" s="16"/>
      <c r="D180" s="16"/>
      <c r="E180" s="16"/>
      <c r="F180" s="16"/>
      <c r="G180" s="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</row>
    <row r="181" spans="1:39" x14ac:dyDescent="0.25">
      <c r="A181" s="16"/>
      <c r="B181" s="16"/>
      <c r="C181" s="16"/>
      <c r="D181" s="16"/>
      <c r="E181" s="16"/>
      <c r="F181" s="16"/>
      <c r="G181" s="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</row>
    <row r="182" spans="1:39" x14ac:dyDescent="0.25">
      <c r="A182" s="16"/>
      <c r="B182" s="16"/>
      <c r="C182" s="16"/>
      <c r="D182" s="16"/>
      <c r="E182" s="16"/>
      <c r="F182" s="16"/>
      <c r="G182" s="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</row>
    <row r="183" spans="1:39" x14ac:dyDescent="0.25">
      <c r="A183" s="16"/>
      <c r="B183" s="16"/>
      <c r="C183" s="16"/>
      <c r="D183" s="16"/>
      <c r="E183" s="16"/>
      <c r="F183" s="16"/>
      <c r="G183" s="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</row>
    <row r="184" spans="1:39" x14ac:dyDescent="0.25">
      <c r="A184" s="16"/>
      <c r="B184" s="16"/>
      <c r="C184" s="16"/>
      <c r="D184" s="16"/>
      <c r="E184" s="16"/>
      <c r="F184" s="16"/>
      <c r="G184" s="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</row>
    <row r="185" spans="1:39" x14ac:dyDescent="0.25">
      <c r="A185" s="16"/>
      <c r="B185" s="16"/>
      <c r="C185" s="16"/>
      <c r="D185" s="16"/>
      <c r="E185" s="16"/>
      <c r="F185" s="16"/>
      <c r="G185" s="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</row>
    <row r="186" spans="1:39" x14ac:dyDescent="0.25">
      <c r="A186" s="16"/>
      <c r="B186" s="16"/>
      <c r="C186" s="16"/>
      <c r="D186" s="16"/>
      <c r="E186" s="16"/>
      <c r="F186" s="16"/>
      <c r="G186" s="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</row>
    <row r="187" spans="1:39" x14ac:dyDescent="0.25">
      <c r="A187" s="16"/>
      <c r="B187" s="16"/>
      <c r="C187" s="16"/>
      <c r="D187" s="16"/>
      <c r="E187" s="16"/>
      <c r="F187" s="16"/>
      <c r="G187" s="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</row>
    <row r="188" spans="1:39" x14ac:dyDescent="0.25">
      <c r="A188" s="16"/>
      <c r="B188" s="16"/>
      <c r="C188" s="16"/>
      <c r="D188" s="16"/>
      <c r="E188" s="16"/>
      <c r="F188" s="16"/>
      <c r="G188" s="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</row>
    <row r="189" spans="1:39" x14ac:dyDescent="0.25">
      <c r="A189" s="16"/>
      <c r="B189" s="16"/>
      <c r="C189" s="16"/>
      <c r="D189" s="16"/>
      <c r="E189" s="16"/>
      <c r="F189" s="16"/>
      <c r="G189" s="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</row>
    <row r="190" spans="1:39" x14ac:dyDescent="0.25">
      <c r="A190" s="16"/>
      <c r="B190" s="16"/>
      <c r="C190" s="16"/>
      <c r="D190" s="16"/>
      <c r="E190" s="16"/>
      <c r="F190" s="16"/>
      <c r="G190" s="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</row>
    <row r="191" spans="1:39" x14ac:dyDescent="0.25">
      <c r="A191" s="16"/>
      <c r="B191" s="16"/>
      <c r="C191" s="16"/>
      <c r="D191" s="16"/>
      <c r="E191" s="16"/>
      <c r="F191" s="16"/>
      <c r="G191" s="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</row>
    <row r="192" spans="1:39" x14ac:dyDescent="0.25">
      <c r="A192" s="16"/>
      <c r="B192" s="16"/>
      <c r="C192" s="16"/>
      <c r="D192" s="16"/>
      <c r="E192" s="16"/>
      <c r="F192" s="16"/>
      <c r="G192" s="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</row>
    <row r="193" spans="1:39" x14ac:dyDescent="0.25">
      <c r="A193" s="16"/>
      <c r="B193" s="16"/>
      <c r="C193" s="16"/>
      <c r="D193" s="16"/>
      <c r="E193" s="16"/>
      <c r="F193" s="16"/>
      <c r="G193" s="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</row>
    <row r="194" spans="1:39" x14ac:dyDescent="0.25">
      <c r="A194" s="16"/>
      <c r="B194" s="16"/>
      <c r="C194" s="16"/>
      <c r="D194" s="16"/>
      <c r="E194" s="16"/>
      <c r="F194" s="16"/>
      <c r="G194" s="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</row>
    <row r="195" spans="1:39" x14ac:dyDescent="0.25">
      <c r="A195" s="16"/>
      <c r="B195" s="16"/>
      <c r="C195" s="16"/>
      <c r="D195" s="16"/>
      <c r="E195" s="16"/>
      <c r="F195" s="16"/>
      <c r="G195" s="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</row>
    <row r="196" spans="1:39" x14ac:dyDescent="0.25">
      <c r="A196" s="16"/>
      <c r="B196" s="16"/>
      <c r="C196" s="16"/>
      <c r="D196" s="16"/>
      <c r="E196" s="16"/>
      <c r="F196" s="16"/>
      <c r="G196" s="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</row>
    <row r="197" spans="1:39" x14ac:dyDescent="0.25">
      <c r="A197" s="16"/>
      <c r="B197" s="16"/>
      <c r="C197" s="16"/>
      <c r="D197" s="16"/>
      <c r="E197" s="16"/>
      <c r="F197" s="16"/>
      <c r="G197" s="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</row>
    <row r="198" spans="1:39" x14ac:dyDescent="0.25">
      <c r="A198" s="16"/>
      <c r="B198" s="16"/>
      <c r="C198" s="16"/>
      <c r="D198" s="16"/>
      <c r="E198" s="16"/>
      <c r="F198" s="16"/>
      <c r="G198" s="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</row>
    <row r="199" spans="1:39" x14ac:dyDescent="0.25">
      <c r="A199" s="16"/>
      <c r="B199" s="16"/>
      <c r="C199" s="16"/>
      <c r="D199" s="16"/>
      <c r="E199" s="16"/>
      <c r="F199" s="16"/>
      <c r="G199" s="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</row>
    <row r="200" spans="1:39" x14ac:dyDescent="0.25">
      <c r="A200" s="16"/>
      <c r="B200" s="16"/>
      <c r="C200" s="16"/>
      <c r="D200" s="16"/>
      <c r="E200" s="16"/>
      <c r="F200" s="16"/>
      <c r="G200" s="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</row>
    <row r="201" spans="1:39" x14ac:dyDescent="0.25">
      <c r="A201" s="16"/>
      <c r="B201" s="16"/>
      <c r="C201" s="16"/>
      <c r="D201" s="16"/>
      <c r="E201" s="16"/>
      <c r="F201" s="16"/>
      <c r="G201" s="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</row>
    <row r="202" spans="1:39" x14ac:dyDescent="0.25">
      <c r="A202" s="16"/>
      <c r="B202" s="16"/>
      <c r="C202" s="16"/>
      <c r="D202" s="16"/>
      <c r="E202" s="16"/>
      <c r="F202" s="16"/>
      <c r="G202" s="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</row>
    <row r="203" spans="1:39" x14ac:dyDescent="0.25">
      <c r="A203" s="16"/>
      <c r="B203" s="16"/>
      <c r="C203" s="16"/>
      <c r="D203" s="16"/>
      <c r="E203" s="16"/>
      <c r="F203" s="16"/>
      <c r="G203" s="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</row>
    <row r="204" spans="1:39" x14ac:dyDescent="0.25">
      <c r="A204" s="16"/>
      <c r="B204" s="16"/>
      <c r="C204" s="16"/>
      <c r="D204" s="16"/>
      <c r="E204" s="16"/>
      <c r="F204" s="16"/>
      <c r="G204" s="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</row>
    <row r="205" spans="1:39" x14ac:dyDescent="0.25">
      <c r="A205" s="16"/>
      <c r="B205" s="16"/>
      <c r="C205" s="16"/>
      <c r="D205" s="16"/>
      <c r="E205" s="16"/>
      <c r="F205" s="16"/>
      <c r="G205" s="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</row>
    <row r="206" spans="1:39" x14ac:dyDescent="0.25">
      <c r="A206" s="16"/>
      <c r="B206" s="16"/>
      <c r="C206" s="16"/>
      <c r="D206" s="16"/>
      <c r="E206" s="16"/>
      <c r="F206" s="16"/>
      <c r="G206" s="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</row>
    <row r="207" spans="1:39" x14ac:dyDescent="0.25">
      <c r="A207" s="16"/>
      <c r="B207" s="16"/>
      <c r="C207" s="16"/>
      <c r="D207" s="16"/>
      <c r="E207" s="16"/>
      <c r="F207" s="16"/>
      <c r="G207" s="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</row>
    <row r="208" spans="1:39" x14ac:dyDescent="0.25">
      <c r="A208" s="16"/>
      <c r="B208" s="16"/>
      <c r="C208" s="16"/>
      <c r="D208" s="16"/>
      <c r="E208" s="16"/>
      <c r="F208" s="16"/>
      <c r="G208" s="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</row>
    <row r="209" spans="1:39" x14ac:dyDescent="0.25">
      <c r="A209" s="16"/>
      <c r="B209" s="16"/>
      <c r="C209" s="16"/>
      <c r="D209" s="16"/>
      <c r="E209" s="16"/>
      <c r="F209" s="16"/>
      <c r="G209" s="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</row>
    <row r="210" spans="1:39" x14ac:dyDescent="0.25">
      <c r="A210" s="16"/>
      <c r="B210" s="16"/>
      <c r="C210" s="16"/>
      <c r="D210" s="16"/>
      <c r="E210" s="16"/>
      <c r="F210" s="16"/>
      <c r="G210" s="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</row>
    <row r="211" spans="1:39" x14ac:dyDescent="0.25">
      <c r="A211" s="16"/>
      <c r="B211" s="16"/>
      <c r="C211" s="16"/>
      <c r="D211" s="16"/>
      <c r="E211" s="16"/>
      <c r="F211" s="16"/>
      <c r="G211" s="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</row>
    <row r="212" spans="1:39" x14ac:dyDescent="0.25">
      <c r="A212" s="16"/>
      <c r="B212" s="16"/>
      <c r="C212" s="16"/>
      <c r="D212" s="16"/>
      <c r="E212" s="16"/>
      <c r="F212" s="16"/>
      <c r="G212" s="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</row>
    <row r="213" spans="1:39" x14ac:dyDescent="0.25">
      <c r="A213" s="16"/>
      <c r="B213" s="16"/>
      <c r="C213" s="16"/>
      <c r="D213" s="16"/>
      <c r="E213" s="16"/>
      <c r="F213" s="16"/>
      <c r="G213" s="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</row>
    <row r="214" spans="1:39" x14ac:dyDescent="0.25">
      <c r="A214" s="16"/>
      <c r="B214" s="16"/>
      <c r="C214" s="16"/>
      <c r="D214" s="16"/>
      <c r="E214" s="16"/>
      <c r="F214" s="16"/>
      <c r="G214" s="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</row>
    <row r="215" spans="1:39" x14ac:dyDescent="0.25">
      <c r="A215" s="16"/>
      <c r="B215" s="16"/>
      <c r="C215" s="16"/>
      <c r="D215" s="16"/>
      <c r="E215" s="16"/>
      <c r="F215" s="16"/>
      <c r="G215" s="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</row>
    <row r="216" spans="1:39" x14ac:dyDescent="0.25">
      <c r="A216" s="16"/>
      <c r="B216" s="16"/>
      <c r="C216" s="16"/>
      <c r="D216" s="16"/>
      <c r="E216" s="16"/>
      <c r="F216" s="16"/>
      <c r="G216" s="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</row>
    <row r="217" spans="1:39" x14ac:dyDescent="0.25">
      <c r="A217" s="16"/>
      <c r="B217" s="16"/>
      <c r="C217" s="16"/>
      <c r="D217" s="16"/>
      <c r="E217" s="16"/>
      <c r="F217" s="16"/>
      <c r="G217" s="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</row>
    <row r="218" spans="1:39" x14ac:dyDescent="0.25">
      <c r="A218" s="16"/>
      <c r="B218" s="16"/>
      <c r="C218" s="16"/>
      <c r="D218" s="16"/>
      <c r="E218" s="16"/>
      <c r="F218" s="16"/>
      <c r="G218" s="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</row>
    <row r="219" spans="1:39" x14ac:dyDescent="0.25">
      <c r="A219" s="16"/>
      <c r="B219" s="16"/>
      <c r="C219" s="16"/>
      <c r="D219" s="16"/>
      <c r="E219" s="16"/>
      <c r="F219" s="16"/>
      <c r="G219" s="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</row>
    <row r="220" spans="1:39" x14ac:dyDescent="0.25">
      <c r="A220" s="16"/>
      <c r="B220" s="16"/>
      <c r="C220" s="16"/>
      <c r="D220" s="16"/>
      <c r="E220" s="16"/>
      <c r="F220" s="16"/>
      <c r="G220" s="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</row>
    <row r="221" spans="1:39" x14ac:dyDescent="0.25">
      <c r="A221" s="16"/>
      <c r="B221" s="16"/>
      <c r="C221" s="16"/>
      <c r="D221" s="16"/>
      <c r="E221" s="16"/>
      <c r="F221" s="16"/>
      <c r="G221" s="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</row>
    <row r="222" spans="1:39" x14ac:dyDescent="0.25">
      <c r="A222" s="16"/>
      <c r="B222" s="16"/>
      <c r="C222" s="16"/>
      <c r="D222" s="16"/>
      <c r="E222" s="16"/>
      <c r="F222" s="16"/>
      <c r="G222" s="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</row>
    <row r="223" spans="1:39" x14ac:dyDescent="0.25">
      <c r="A223" s="16"/>
      <c r="B223" s="16"/>
      <c r="C223" s="16"/>
      <c r="D223" s="16"/>
      <c r="E223" s="16"/>
      <c r="F223" s="16"/>
      <c r="G223" s="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</row>
    <row r="224" spans="1:39" x14ac:dyDescent="0.25">
      <c r="A224" s="16"/>
      <c r="B224" s="16"/>
      <c r="C224" s="16"/>
      <c r="D224" s="16"/>
      <c r="E224" s="16"/>
      <c r="F224" s="16"/>
      <c r="G224" s="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</row>
    <row r="225" spans="1:39" x14ac:dyDescent="0.25">
      <c r="A225" s="16"/>
      <c r="B225" s="16"/>
      <c r="C225" s="16"/>
      <c r="D225" s="16"/>
      <c r="E225" s="16"/>
      <c r="F225" s="16"/>
      <c r="G225" s="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</row>
    <row r="226" spans="1:39" x14ac:dyDescent="0.25">
      <c r="A226" s="16"/>
      <c r="B226" s="16"/>
      <c r="C226" s="16"/>
      <c r="D226" s="16"/>
      <c r="E226" s="16"/>
      <c r="F226" s="16"/>
      <c r="G226" s="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</row>
    <row r="227" spans="1:39" x14ac:dyDescent="0.25">
      <c r="A227" s="16"/>
      <c r="B227" s="16"/>
      <c r="C227" s="16"/>
      <c r="D227" s="16"/>
      <c r="E227" s="16"/>
      <c r="F227" s="16"/>
      <c r="G227" s="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</row>
    <row r="228" spans="1:39" x14ac:dyDescent="0.25">
      <c r="A228" s="16"/>
      <c r="B228" s="16"/>
      <c r="C228" s="16"/>
      <c r="D228" s="16"/>
      <c r="E228" s="16"/>
      <c r="F228" s="16"/>
      <c r="G228" s="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</row>
    <row r="229" spans="1:39" x14ac:dyDescent="0.25">
      <c r="A229" s="16"/>
      <c r="B229" s="16"/>
      <c r="C229" s="16"/>
      <c r="D229" s="16"/>
      <c r="E229" s="16"/>
      <c r="F229" s="16"/>
      <c r="G229" s="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</row>
    <row r="230" spans="1:39" x14ac:dyDescent="0.25">
      <c r="A230" s="16"/>
      <c r="B230" s="16"/>
      <c r="C230" s="16"/>
      <c r="D230" s="16"/>
      <c r="E230" s="16"/>
      <c r="F230" s="16"/>
      <c r="G230" s="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</row>
    <row r="231" spans="1:39" x14ac:dyDescent="0.25">
      <c r="A231" s="16"/>
      <c r="B231" s="16"/>
      <c r="C231" s="16"/>
      <c r="D231" s="16"/>
      <c r="E231" s="16"/>
      <c r="F231" s="16"/>
      <c r="G231" s="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</row>
    <row r="232" spans="1:39" x14ac:dyDescent="0.25">
      <c r="A232" s="16"/>
      <c r="B232" s="16"/>
      <c r="C232" s="16"/>
      <c r="D232" s="16"/>
      <c r="E232" s="16"/>
      <c r="F232" s="16"/>
      <c r="G232" s="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</row>
    <row r="233" spans="1:39" x14ac:dyDescent="0.25">
      <c r="A233" s="16"/>
      <c r="B233" s="16"/>
      <c r="C233" s="16"/>
      <c r="D233" s="16"/>
      <c r="E233" s="16"/>
      <c r="F233" s="16"/>
      <c r="G233" s="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</row>
    <row r="234" spans="1:39" x14ac:dyDescent="0.25">
      <c r="A234" s="16"/>
      <c r="B234" s="16"/>
      <c r="C234" s="16"/>
      <c r="D234" s="16"/>
      <c r="E234" s="16"/>
      <c r="F234" s="16"/>
      <c r="G234" s="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</row>
    <row r="235" spans="1:39" x14ac:dyDescent="0.25">
      <c r="A235" s="16"/>
      <c r="B235" s="16"/>
      <c r="C235" s="16"/>
      <c r="D235" s="16"/>
      <c r="E235" s="16"/>
      <c r="F235" s="16"/>
      <c r="G235" s="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</row>
    <row r="236" spans="1:39" x14ac:dyDescent="0.25">
      <c r="A236" s="16"/>
      <c r="B236" s="16"/>
      <c r="C236" s="16"/>
      <c r="D236" s="16"/>
      <c r="E236" s="16"/>
      <c r="F236" s="16"/>
      <c r="G236" s="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</row>
    <row r="237" spans="1:39" x14ac:dyDescent="0.25">
      <c r="A237" s="16"/>
      <c r="B237" s="16"/>
      <c r="C237" s="16"/>
      <c r="D237" s="16"/>
      <c r="E237" s="16"/>
      <c r="F237" s="16"/>
      <c r="G237" s="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</row>
    <row r="238" spans="1:39" x14ac:dyDescent="0.25">
      <c r="A238" s="16"/>
      <c r="B238" s="16"/>
      <c r="C238" s="16"/>
      <c r="D238" s="16"/>
      <c r="E238" s="16"/>
      <c r="F238" s="16"/>
      <c r="G238" s="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</row>
    <row r="239" spans="1:39" x14ac:dyDescent="0.25">
      <c r="A239" s="16"/>
      <c r="B239" s="16"/>
      <c r="C239" s="16"/>
      <c r="D239" s="16"/>
      <c r="E239" s="16"/>
      <c r="F239" s="16"/>
      <c r="G239" s="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</row>
    <row r="240" spans="1:39" x14ac:dyDescent="0.25">
      <c r="A240" s="16"/>
      <c r="B240" s="16"/>
      <c r="C240" s="16"/>
      <c r="D240" s="16"/>
      <c r="E240" s="16"/>
      <c r="F240" s="16"/>
      <c r="G240" s="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</row>
    <row r="241" spans="1:39" x14ac:dyDescent="0.25">
      <c r="A241" s="16"/>
      <c r="B241" s="16"/>
      <c r="C241" s="16"/>
      <c r="D241" s="16"/>
      <c r="E241" s="16"/>
      <c r="F241" s="16"/>
      <c r="G241" s="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</row>
    <row r="242" spans="1:39" x14ac:dyDescent="0.25">
      <c r="A242" s="16"/>
      <c r="B242" s="16"/>
      <c r="C242" s="16"/>
      <c r="D242" s="16"/>
      <c r="E242" s="16"/>
      <c r="F242" s="16"/>
      <c r="G242" s="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</row>
    <row r="243" spans="1:39" x14ac:dyDescent="0.25">
      <c r="A243" s="16"/>
      <c r="B243" s="16"/>
      <c r="C243" s="16"/>
      <c r="D243" s="16"/>
      <c r="E243" s="16"/>
      <c r="F243" s="16"/>
      <c r="G243" s="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</row>
    <row r="244" spans="1:39" x14ac:dyDescent="0.25">
      <c r="A244" s="16"/>
      <c r="B244" s="16"/>
      <c r="C244" s="16"/>
      <c r="D244" s="16"/>
      <c r="E244" s="16"/>
      <c r="F244" s="16"/>
      <c r="G244" s="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</row>
    <row r="245" spans="1:39" x14ac:dyDescent="0.25">
      <c r="A245" s="16"/>
      <c r="B245" s="16"/>
      <c r="C245" s="16"/>
      <c r="D245" s="16"/>
      <c r="E245" s="16"/>
      <c r="F245" s="16"/>
      <c r="G245" s="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</row>
    <row r="246" spans="1:39" x14ac:dyDescent="0.25">
      <c r="A246" s="16"/>
      <c r="B246" s="16"/>
      <c r="C246" s="16"/>
      <c r="D246" s="16"/>
      <c r="E246" s="16"/>
      <c r="F246" s="16"/>
      <c r="G246" s="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</row>
    <row r="247" spans="1:39" x14ac:dyDescent="0.25">
      <c r="A247" s="16"/>
      <c r="B247" s="16"/>
      <c r="C247" s="16"/>
      <c r="D247" s="16"/>
      <c r="E247" s="16"/>
      <c r="F247" s="16"/>
      <c r="G247" s="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</row>
    <row r="248" spans="1:39" x14ac:dyDescent="0.25">
      <c r="A248" s="16"/>
      <c r="B248" s="16"/>
      <c r="C248" s="16"/>
      <c r="D248" s="16"/>
      <c r="E248" s="16"/>
      <c r="F248" s="16"/>
      <c r="G248" s="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</row>
    <row r="249" spans="1:39" x14ac:dyDescent="0.25">
      <c r="A249" s="16"/>
      <c r="B249" s="16"/>
      <c r="C249" s="16"/>
      <c r="D249" s="16"/>
      <c r="E249" s="16"/>
      <c r="F249" s="16"/>
      <c r="G249" s="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</row>
    <row r="250" spans="1:39" x14ac:dyDescent="0.25">
      <c r="A250" s="16"/>
      <c r="B250" s="16"/>
      <c r="C250" s="16"/>
      <c r="D250" s="16"/>
      <c r="E250" s="16"/>
      <c r="F250" s="16"/>
      <c r="G250" s="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</row>
    <row r="251" spans="1:39" x14ac:dyDescent="0.25">
      <c r="A251" s="16"/>
      <c r="B251" s="16"/>
      <c r="C251" s="16"/>
      <c r="D251" s="16"/>
      <c r="E251" s="16"/>
      <c r="F251" s="16"/>
      <c r="G251" s="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</row>
    <row r="252" spans="1:39" x14ac:dyDescent="0.25">
      <c r="A252" s="16"/>
      <c r="B252" s="16"/>
      <c r="C252" s="16"/>
      <c r="D252" s="16"/>
      <c r="E252" s="16"/>
      <c r="F252" s="16"/>
      <c r="G252" s="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</row>
    <row r="253" spans="1:39" x14ac:dyDescent="0.25">
      <c r="A253" s="16"/>
      <c r="B253" s="16"/>
      <c r="C253" s="16"/>
      <c r="D253" s="16"/>
      <c r="E253" s="16"/>
      <c r="F253" s="16"/>
      <c r="G253" s="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</row>
    <row r="254" spans="1:39" x14ac:dyDescent="0.25">
      <c r="A254" s="16"/>
      <c r="B254" s="16"/>
      <c r="C254" s="16"/>
      <c r="D254" s="16"/>
      <c r="E254" s="16"/>
      <c r="F254" s="16"/>
      <c r="G254" s="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</row>
    <row r="255" spans="1:39" x14ac:dyDescent="0.25">
      <c r="A255" s="16"/>
      <c r="B255" s="16"/>
      <c r="C255" s="16"/>
      <c r="D255" s="16"/>
      <c r="E255" s="16"/>
      <c r="F255" s="16"/>
      <c r="G255" s="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</row>
    <row r="256" spans="1:39" x14ac:dyDescent="0.25">
      <c r="A256" s="16"/>
      <c r="B256" s="16"/>
      <c r="C256" s="16"/>
      <c r="D256" s="16"/>
      <c r="E256" s="16"/>
      <c r="F256" s="16"/>
      <c r="G256" s="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</row>
    <row r="257" spans="1:39" x14ac:dyDescent="0.25">
      <c r="A257" s="16"/>
      <c r="B257" s="16"/>
      <c r="C257" s="16"/>
      <c r="D257" s="16"/>
      <c r="E257" s="16"/>
      <c r="F257" s="16"/>
      <c r="G257" s="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</row>
    <row r="258" spans="1:39" x14ac:dyDescent="0.25">
      <c r="A258" s="16"/>
      <c r="B258" s="16"/>
      <c r="C258" s="16"/>
      <c r="D258" s="16"/>
      <c r="E258" s="16"/>
      <c r="F258" s="16"/>
      <c r="G258" s="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</row>
    <row r="259" spans="1:39" x14ac:dyDescent="0.25">
      <c r="A259" s="16"/>
      <c r="B259" s="16"/>
      <c r="C259" s="16"/>
      <c r="D259" s="16"/>
      <c r="E259" s="16"/>
      <c r="F259" s="16"/>
      <c r="G259" s="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</row>
    <row r="260" spans="1:39" x14ac:dyDescent="0.25">
      <c r="A260" s="16"/>
      <c r="B260" s="16"/>
      <c r="C260" s="16"/>
      <c r="D260" s="16"/>
      <c r="E260" s="16"/>
      <c r="F260" s="16"/>
      <c r="G260" s="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</row>
    <row r="261" spans="1:39" x14ac:dyDescent="0.25">
      <c r="A261" s="16"/>
      <c r="B261" s="16"/>
      <c r="C261" s="16"/>
      <c r="D261" s="16"/>
      <c r="E261" s="16"/>
      <c r="F261" s="16"/>
      <c r="G261" s="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</row>
    <row r="262" spans="1:39" x14ac:dyDescent="0.25">
      <c r="A262" s="16"/>
      <c r="B262" s="16"/>
      <c r="C262" s="16"/>
      <c r="D262" s="16"/>
      <c r="E262" s="16"/>
      <c r="F262" s="16"/>
      <c r="G262" s="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</row>
    <row r="263" spans="1:39" x14ac:dyDescent="0.25">
      <c r="A263" s="16"/>
      <c r="B263" s="16"/>
      <c r="C263" s="16"/>
      <c r="D263" s="16"/>
      <c r="E263" s="16"/>
      <c r="F263" s="16"/>
      <c r="G263" s="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</row>
    <row r="264" spans="1:39" x14ac:dyDescent="0.25">
      <c r="A264" s="16"/>
      <c r="B264" s="16"/>
      <c r="C264" s="16"/>
      <c r="D264" s="16"/>
      <c r="E264" s="16"/>
      <c r="F264" s="16"/>
      <c r="G264" s="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</row>
    <row r="265" spans="1:39" x14ac:dyDescent="0.25">
      <c r="A265" s="16"/>
      <c r="B265" s="16"/>
      <c r="C265" s="16"/>
      <c r="D265" s="16"/>
      <c r="E265" s="16"/>
      <c r="F265" s="16"/>
      <c r="G265" s="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</row>
    <row r="266" spans="1:39" x14ac:dyDescent="0.25">
      <c r="A266" s="16"/>
      <c r="B266" s="16"/>
      <c r="C266" s="16"/>
      <c r="D266" s="16"/>
      <c r="E266" s="16"/>
      <c r="F266" s="16"/>
      <c r="G266" s="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</row>
    <row r="267" spans="1:39" x14ac:dyDescent="0.25">
      <c r="A267" s="16"/>
      <c r="B267" s="16"/>
      <c r="C267" s="16"/>
      <c r="D267" s="16"/>
      <c r="E267" s="16"/>
      <c r="F267" s="16"/>
      <c r="G267" s="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</row>
    <row r="268" spans="1:39" x14ac:dyDescent="0.25">
      <c r="A268" s="16"/>
      <c r="B268" s="16"/>
      <c r="C268" s="16"/>
      <c r="D268" s="16"/>
      <c r="E268" s="16"/>
      <c r="F268" s="16"/>
      <c r="G268" s="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</row>
    <row r="269" spans="1:39" x14ac:dyDescent="0.25">
      <c r="A269" s="16"/>
      <c r="B269" s="16"/>
      <c r="C269" s="16"/>
      <c r="D269" s="16"/>
      <c r="E269" s="16"/>
      <c r="F269" s="16"/>
      <c r="G269" s="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</row>
    <row r="270" spans="1:39" x14ac:dyDescent="0.25">
      <c r="A270" s="16"/>
      <c r="B270" s="16"/>
      <c r="C270" s="16"/>
      <c r="D270" s="16"/>
      <c r="E270" s="16"/>
      <c r="F270" s="16"/>
      <c r="G270" s="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</row>
    <row r="271" spans="1:39" x14ac:dyDescent="0.25">
      <c r="A271" s="16"/>
      <c r="B271" s="16"/>
      <c r="C271" s="16"/>
      <c r="D271" s="16"/>
      <c r="E271" s="16"/>
      <c r="F271" s="16"/>
      <c r="G271" s="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</row>
    <row r="272" spans="1:39" x14ac:dyDescent="0.25">
      <c r="A272" s="16"/>
      <c r="B272" s="16"/>
      <c r="C272" s="16"/>
      <c r="D272" s="16"/>
      <c r="E272" s="16"/>
      <c r="F272" s="16"/>
      <c r="G272" s="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</row>
    <row r="273" spans="1:39" x14ac:dyDescent="0.25">
      <c r="A273" s="16"/>
      <c r="B273" s="16"/>
      <c r="C273" s="16"/>
      <c r="D273" s="16"/>
      <c r="E273" s="16"/>
      <c r="F273" s="16"/>
      <c r="G273" s="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</row>
    <row r="274" spans="1:39" x14ac:dyDescent="0.25">
      <c r="A274" s="16"/>
      <c r="B274" s="16"/>
      <c r="C274" s="16"/>
      <c r="D274" s="16"/>
      <c r="E274" s="16"/>
      <c r="F274" s="16"/>
      <c r="G274" s="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</row>
    <row r="275" spans="1:39" x14ac:dyDescent="0.25">
      <c r="A275" s="16"/>
      <c r="B275" s="16"/>
      <c r="C275" s="16"/>
      <c r="D275" s="16"/>
      <c r="E275" s="16"/>
      <c r="F275" s="16"/>
      <c r="G275" s="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</row>
    <row r="276" spans="1:39" x14ac:dyDescent="0.25">
      <c r="A276" s="16"/>
      <c r="B276" s="16"/>
      <c r="C276" s="16"/>
      <c r="D276" s="16"/>
      <c r="E276" s="16"/>
      <c r="F276" s="16"/>
      <c r="G276" s="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</row>
    <row r="277" spans="1:39" x14ac:dyDescent="0.25">
      <c r="A277" s="16"/>
      <c r="B277" s="16"/>
      <c r="C277" s="16"/>
      <c r="D277" s="16"/>
      <c r="E277" s="16"/>
      <c r="F277" s="16"/>
      <c r="G277" s="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</row>
    <row r="278" spans="1:39" x14ac:dyDescent="0.25">
      <c r="A278" s="16"/>
      <c r="B278" s="16"/>
      <c r="C278" s="16"/>
      <c r="D278" s="16"/>
      <c r="E278" s="16"/>
      <c r="F278" s="16"/>
      <c r="G278" s="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</row>
    <row r="279" spans="1:39" x14ac:dyDescent="0.25">
      <c r="A279" s="16"/>
      <c r="B279" s="16"/>
      <c r="C279" s="16"/>
      <c r="D279" s="16"/>
      <c r="E279" s="16"/>
      <c r="F279" s="16"/>
      <c r="G279" s="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</row>
    <row r="280" spans="1:39" x14ac:dyDescent="0.25">
      <c r="A280" s="16"/>
      <c r="B280" s="16"/>
      <c r="C280" s="16"/>
      <c r="D280" s="16"/>
      <c r="E280" s="16"/>
      <c r="F280" s="16"/>
      <c r="G280" s="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</row>
    <row r="281" spans="1:39" x14ac:dyDescent="0.25">
      <c r="A281" s="16"/>
      <c r="B281" s="16"/>
      <c r="C281" s="16"/>
      <c r="D281" s="16"/>
      <c r="E281" s="16"/>
      <c r="F281" s="16"/>
      <c r="G281" s="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</row>
    <row r="282" spans="1:39" x14ac:dyDescent="0.25">
      <c r="A282" s="16"/>
      <c r="B282" s="16"/>
      <c r="C282" s="16"/>
      <c r="D282" s="16"/>
      <c r="E282" s="16"/>
      <c r="F282" s="16"/>
      <c r="G282" s="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</row>
    <row r="283" spans="1:39" x14ac:dyDescent="0.25">
      <c r="A283" s="16"/>
      <c r="B283" s="16"/>
      <c r="C283" s="16"/>
      <c r="D283" s="16"/>
      <c r="E283" s="16"/>
      <c r="F283" s="16"/>
      <c r="G283" s="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</row>
    <row r="284" spans="1:39" x14ac:dyDescent="0.25">
      <c r="A284" s="16"/>
      <c r="B284" s="16"/>
      <c r="C284" s="16"/>
      <c r="D284" s="16"/>
      <c r="E284" s="16"/>
      <c r="F284" s="16"/>
      <c r="G284" s="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</row>
    <row r="285" spans="1:39" x14ac:dyDescent="0.25">
      <c r="A285" s="16"/>
      <c r="B285" s="16"/>
      <c r="C285" s="16"/>
      <c r="D285" s="16"/>
      <c r="E285" s="16"/>
      <c r="F285" s="16"/>
      <c r="G285" s="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</row>
    <row r="286" spans="1:39" x14ac:dyDescent="0.25">
      <c r="A286" s="16"/>
      <c r="B286" s="16"/>
      <c r="C286" s="16"/>
      <c r="D286" s="16"/>
      <c r="E286" s="16"/>
      <c r="F286" s="16"/>
      <c r="G286" s="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</row>
    <row r="287" spans="1:39" x14ac:dyDescent="0.25">
      <c r="A287" s="16"/>
      <c r="B287" s="16"/>
      <c r="C287" s="16"/>
      <c r="D287" s="16"/>
      <c r="E287" s="16"/>
      <c r="F287" s="16"/>
      <c r="G287" s="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</row>
    <row r="288" spans="1:39" x14ac:dyDescent="0.25">
      <c r="A288" s="16"/>
      <c r="B288" s="16"/>
      <c r="C288" s="16"/>
      <c r="D288" s="16"/>
      <c r="E288" s="16"/>
      <c r="F288" s="16"/>
      <c r="G288" s="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</row>
    <row r="289" spans="1:39" x14ac:dyDescent="0.25">
      <c r="A289" s="16"/>
      <c r="B289" s="16"/>
      <c r="C289" s="16"/>
      <c r="D289" s="16"/>
      <c r="E289" s="16"/>
      <c r="F289" s="16"/>
      <c r="G289" s="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</row>
    <row r="290" spans="1:39" x14ac:dyDescent="0.25">
      <c r="A290" s="16"/>
      <c r="B290" s="16"/>
      <c r="C290" s="16"/>
      <c r="D290" s="16"/>
      <c r="E290" s="16"/>
      <c r="F290" s="16"/>
      <c r="G290" s="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</row>
    <row r="291" spans="1:39" x14ac:dyDescent="0.25">
      <c r="A291" s="16"/>
      <c r="B291" s="16"/>
      <c r="C291" s="16"/>
      <c r="D291" s="16"/>
      <c r="E291" s="16"/>
      <c r="F291" s="16"/>
      <c r="G291" s="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</row>
    <row r="292" spans="1:39" x14ac:dyDescent="0.25">
      <c r="A292" s="16"/>
      <c r="B292" s="16"/>
      <c r="C292" s="16"/>
      <c r="D292" s="16"/>
      <c r="E292" s="16"/>
      <c r="F292" s="16"/>
      <c r="G292" s="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</row>
    <row r="293" spans="1:39" x14ac:dyDescent="0.25">
      <c r="A293" s="16"/>
      <c r="B293" s="16"/>
      <c r="C293" s="16"/>
      <c r="D293" s="16"/>
      <c r="E293" s="16"/>
      <c r="F293" s="16"/>
      <c r="G293" s="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</row>
    <row r="294" spans="1:39" x14ac:dyDescent="0.25">
      <c r="A294" s="16"/>
      <c r="B294" s="16"/>
      <c r="C294" s="16"/>
      <c r="D294" s="16"/>
      <c r="E294" s="16"/>
      <c r="F294" s="16"/>
      <c r="G294" s="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</row>
    <row r="295" spans="1:39" x14ac:dyDescent="0.25">
      <c r="A295" s="16"/>
      <c r="B295" s="16"/>
      <c r="C295" s="16"/>
      <c r="D295" s="16"/>
      <c r="E295" s="16"/>
      <c r="F295" s="16"/>
      <c r="G295" s="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</row>
    <row r="296" spans="1:39" x14ac:dyDescent="0.25">
      <c r="A296" s="16"/>
      <c r="B296" s="16"/>
      <c r="C296" s="16"/>
      <c r="D296" s="16"/>
      <c r="E296" s="16"/>
      <c r="F296" s="16"/>
      <c r="G296" s="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</row>
    <row r="297" spans="1:39" x14ac:dyDescent="0.25">
      <c r="A297" s="16"/>
      <c r="B297" s="16"/>
      <c r="C297" s="16"/>
      <c r="D297" s="16"/>
      <c r="E297" s="16"/>
      <c r="F297" s="16"/>
      <c r="G297" s="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</row>
    <row r="298" spans="1:39" x14ac:dyDescent="0.25">
      <c r="A298" s="16"/>
      <c r="B298" s="16"/>
      <c r="C298" s="16"/>
      <c r="D298" s="16"/>
      <c r="E298" s="16"/>
      <c r="F298" s="16"/>
      <c r="G298" s="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</row>
    <row r="299" spans="1:39" x14ac:dyDescent="0.25">
      <c r="A299" s="16"/>
      <c r="B299" s="16"/>
      <c r="C299" s="16"/>
      <c r="D299" s="16"/>
      <c r="E299" s="16"/>
      <c r="F299" s="16"/>
      <c r="G299" s="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</row>
    <row r="300" spans="1:39" x14ac:dyDescent="0.25">
      <c r="A300" s="16"/>
      <c r="B300" s="16"/>
      <c r="C300" s="16"/>
      <c r="D300" s="16"/>
      <c r="E300" s="16"/>
      <c r="F300" s="16"/>
      <c r="G300" s="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</row>
    <row r="301" spans="1:39" x14ac:dyDescent="0.25">
      <c r="A301" s="16"/>
      <c r="B301" s="16"/>
      <c r="C301" s="16"/>
      <c r="D301" s="16"/>
      <c r="E301" s="16"/>
      <c r="F301" s="16"/>
      <c r="G301" s="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</row>
    <row r="302" spans="1:39" x14ac:dyDescent="0.25">
      <c r="A302" s="16"/>
      <c r="B302" s="16"/>
      <c r="C302" s="16"/>
      <c r="D302" s="16"/>
      <c r="E302" s="16"/>
      <c r="F302" s="16"/>
      <c r="G302" s="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</row>
    <row r="303" spans="1:39" x14ac:dyDescent="0.25">
      <c r="A303" s="16"/>
      <c r="B303" s="16"/>
      <c r="C303" s="16"/>
      <c r="D303" s="16"/>
      <c r="E303" s="16"/>
      <c r="F303" s="16"/>
      <c r="G303" s="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</row>
    <row r="304" spans="1:39" x14ac:dyDescent="0.25">
      <c r="A304" s="16"/>
      <c r="B304" s="16"/>
      <c r="C304" s="16"/>
      <c r="D304" s="16"/>
      <c r="E304" s="16"/>
      <c r="F304" s="16"/>
      <c r="G304" s="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</row>
    <row r="305" spans="1:39" x14ac:dyDescent="0.25">
      <c r="A305" s="16"/>
      <c r="B305" s="16"/>
      <c r="C305" s="16"/>
      <c r="D305" s="16"/>
      <c r="E305" s="16"/>
      <c r="F305" s="16"/>
      <c r="G305" s="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</row>
    <row r="306" spans="1:39" x14ac:dyDescent="0.25">
      <c r="A306" s="16"/>
      <c r="B306" s="16"/>
      <c r="C306" s="16"/>
      <c r="D306" s="16"/>
      <c r="E306" s="16"/>
      <c r="F306" s="16"/>
      <c r="G306" s="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</row>
    <row r="307" spans="1:39" x14ac:dyDescent="0.25">
      <c r="A307" s="16"/>
      <c r="B307" s="16"/>
      <c r="C307" s="16"/>
      <c r="D307" s="16"/>
      <c r="E307" s="16"/>
      <c r="F307" s="16"/>
      <c r="G307" s="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</row>
    <row r="308" spans="1:39" x14ac:dyDescent="0.25">
      <c r="A308" s="16"/>
      <c r="B308" s="16"/>
      <c r="C308" s="16"/>
      <c r="D308" s="16"/>
      <c r="E308" s="16"/>
      <c r="F308" s="16"/>
      <c r="G308" s="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</row>
    <row r="309" spans="1:39" x14ac:dyDescent="0.25">
      <c r="A309" s="16"/>
      <c r="B309" s="16"/>
      <c r="C309" s="16"/>
      <c r="D309" s="16"/>
      <c r="E309" s="16"/>
      <c r="F309" s="16"/>
      <c r="G309" s="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</row>
    <row r="310" spans="1:39" x14ac:dyDescent="0.25">
      <c r="A310" s="16"/>
      <c r="B310" s="16"/>
      <c r="C310" s="16"/>
      <c r="D310" s="16"/>
      <c r="E310" s="16"/>
      <c r="F310" s="16"/>
      <c r="G310" s="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</row>
    <row r="311" spans="1:39" x14ac:dyDescent="0.25">
      <c r="A311" s="16"/>
      <c r="B311" s="16"/>
      <c r="C311" s="16"/>
      <c r="D311" s="16"/>
      <c r="E311" s="16"/>
      <c r="F311" s="16"/>
      <c r="G311" s="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</row>
    <row r="312" spans="1:39" x14ac:dyDescent="0.25">
      <c r="A312" s="16"/>
      <c r="B312" s="16"/>
      <c r="C312" s="16"/>
      <c r="D312" s="16"/>
      <c r="E312" s="16"/>
      <c r="F312" s="16"/>
      <c r="G312" s="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</row>
    <row r="313" spans="1:39" x14ac:dyDescent="0.25">
      <c r="A313" s="16"/>
      <c r="B313" s="16"/>
      <c r="C313" s="16"/>
      <c r="D313" s="16"/>
      <c r="E313" s="16"/>
      <c r="F313" s="16"/>
      <c r="G313" s="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</row>
    <row r="314" spans="1:39" x14ac:dyDescent="0.25">
      <c r="A314" s="16"/>
      <c r="B314" s="16"/>
      <c r="C314" s="16"/>
      <c r="D314" s="16"/>
      <c r="E314" s="16"/>
      <c r="F314" s="16"/>
      <c r="G314" s="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</row>
    <row r="315" spans="1:39" x14ac:dyDescent="0.25">
      <c r="A315" s="16"/>
      <c r="B315" s="16"/>
      <c r="C315" s="16"/>
      <c r="D315" s="16"/>
      <c r="E315" s="16"/>
      <c r="F315" s="16"/>
      <c r="G315" s="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</row>
    <row r="316" spans="1:39" x14ac:dyDescent="0.25">
      <c r="A316" s="16"/>
      <c r="B316" s="16"/>
      <c r="C316" s="16"/>
      <c r="D316" s="16"/>
      <c r="E316" s="16"/>
      <c r="F316" s="16"/>
      <c r="G316" s="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</row>
    <row r="317" spans="1:39" x14ac:dyDescent="0.25">
      <c r="A317" s="16"/>
      <c r="B317" s="16"/>
      <c r="C317" s="16"/>
      <c r="D317" s="16"/>
      <c r="E317" s="16"/>
      <c r="F317" s="16"/>
      <c r="G317" s="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</row>
    <row r="318" spans="1:39" x14ac:dyDescent="0.25">
      <c r="A318" s="16"/>
      <c r="B318" s="16"/>
      <c r="C318" s="16"/>
      <c r="D318" s="16"/>
      <c r="E318" s="16"/>
      <c r="F318" s="16"/>
      <c r="G318" s="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</row>
    <row r="319" spans="1:39" x14ac:dyDescent="0.25">
      <c r="A319" s="16"/>
      <c r="B319" s="16"/>
      <c r="C319" s="16"/>
      <c r="D319" s="16"/>
      <c r="E319" s="16"/>
      <c r="F319" s="16"/>
      <c r="G319" s="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</row>
    <row r="320" spans="1:39" x14ac:dyDescent="0.25">
      <c r="A320" s="16"/>
      <c r="B320" s="16"/>
      <c r="C320" s="16"/>
      <c r="D320" s="16"/>
      <c r="E320" s="16"/>
      <c r="F320" s="16"/>
      <c r="G320" s="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</row>
    <row r="321" spans="1:39" x14ac:dyDescent="0.25">
      <c r="A321" s="16"/>
      <c r="B321" s="16"/>
      <c r="C321" s="16"/>
      <c r="D321" s="16"/>
      <c r="E321" s="16"/>
      <c r="F321" s="16"/>
      <c r="G321" s="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</row>
    <row r="322" spans="1:39" x14ac:dyDescent="0.25">
      <c r="A322" s="16"/>
      <c r="B322" s="16"/>
      <c r="C322" s="16"/>
      <c r="D322" s="16"/>
      <c r="E322" s="16"/>
      <c r="F322" s="16"/>
      <c r="G322" s="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</row>
    <row r="323" spans="1:39" x14ac:dyDescent="0.25">
      <c r="A323" s="16"/>
      <c r="B323" s="16"/>
      <c r="C323" s="16"/>
      <c r="D323" s="16"/>
      <c r="E323" s="16"/>
      <c r="F323" s="16"/>
      <c r="G323" s="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</row>
    <row r="324" spans="1:39" x14ac:dyDescent="0.25">
      <c r="A324" s="16"/>
      <c r="B324" s="16"/>
      <c r="C324" s="16"/>
      <c r="D324" s="16"/>
      <c r="E324" s="16"/>
      <c r="F324" s="16"/>
      <c r="G324" s="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</row>
    <row r="325" spans="1:39" x14ac:dyDescent="0.25">
      <c r="A325" s="16"/>
      <c r="B325" s="16"/>
      <c r="C325" s="16"/>
      <c r="D325" s="16"/>
      <c r="E325" s="16"/>
      <c r="F325" s="16"/>
      <c r="G325" s="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</row>
    <row r="326" spans="1:39" x14ac:dyDescent="0.25">
      <c r="A326" s="16"/>
      <c r="B326" s="16"/>
      <c r="C326" s="16"/>
      <c r="D326" s="16"/>
      <c r="E326" s="16"/>
      <c r="F326" s="16"/>
      <c r="G326" s="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</row>
    <row r="327" spans="1:39" x14ac:dyDescent="0.25">
      <c r="A327" s="16"/>
      <c r="B327" s="16"/>
      <c r="C327" s="16"/>
      <c r="D327" s="16"/>
      <c r="E327" s="16"/>
      <c r="F327" s="16"/>
      <c r="G327" s="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</row>
    <row r="328" spans="1:39" x14ac:dyDescent="0.25">
      <c r="A328" s="16"/>
      <c r="B328" s="16"/>
      <c r="C328" s="16"/>
      <c r="D328" s="16"/>
      <c r="E328" s="16"/>
      <c r="F328" s="16"/>
      <c r="G328" s="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</row>
    <row r="329" spans="1:39" x14ac:dyDescent="0.25">
      <c r="A329" s="16"/>
      <c r="B329" s="16"/>
      <c r="C329" s="16"/>
      <c r="D329" s="16"/>
      <c r="E329" s="16"/>
      <c r="F329" s="16"/>
      <c r="G329" s="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</row>
    <row r="330" spans="1:39" x14ac:dyDescent="0.25">
      <c r="A330" s="16"/>
      <c r="B330" s="16"/>
      <c r="C330" s="16"/>
      <c r="D330" s="16"/>
      <c r="E330" s="16"/>
      <c r="F330" s="16"/>
      <c r="G330" s="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</row>
    <row r="331" spans="1:39" x14ac:dyDescent="0.25">
      <c r="A331" s="16"/>
      <c r="B331" s="16"/>
      <c r="C331" s="16"/>
      <c r="D331" s="16"/>
      <c r="E331" s="16"/>
      <c r="F331" s="16"/>
      <c r="G331" s="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</row>
    <row r="332" spans="1:39" x14ac:dyDescent="0.25">
      <c r="A332" s="16"/>
      <c r="B332" s="16"/>
      <c r="C332" s="16"/>
      <c r="D332" s="16"/>
      <c r="E332" s="16"/>
      <c r="F332" s="16"/>
      <c r="G332" s="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</row>
    <row r="333" spans="1:39" x14ac:dyDescent="0.25">
      <c r="A333" s="16"/>
      <c r="B333" s="16"/>
      <c r="C333" s="16"/>
      <c r="D333" s="16"/>
      <c r="E333" s="16"/>
      <c r="F333" s="16"/>
      <c r="G333" s="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</row>
    <row r="334" spans="1:39" x14ac:dyDescent="0.25">
      <c r="A334" s="16"/>
      <c r="B334" s="16"/>
      <c r="C334" s="16"/>
      <c r="D334" s="16"/>
      <c r="E334" s="16"/>
      <c r="F334" s="16"/>
      <c r="G334" s="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</row>
    <row r="335" spans="1:39" x14ac:dyDescent="0.25">
      <c r="A335" s="16"/>
      <c r="B335" s="16"/>
      <c r="C335" s="16"/>
      <c r="D335" s="16"/>
      <c r="E335" s="16"/>
      <c r="F335" s="16"/>
      <c r="G335" s="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</row>
    <row r="336" spans="1:39" x14ac:dyDescent="0.25">
      <c r="A336" s="16"/>
      <c r="B336" s="16"/>
      <c r="C336" s="16"/>
      <c r="D336" s="16"/>
      <c r="E336" s="16"/>
      <c r="F336" s="16"/>
      <c r="G336" s="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</row>
    <row r="337" spans="1:39" x14ac:dyDescent="0.25">
      <c r="A337" s="16"/>
      <c r="B337" s="16"/>
      <c r="C337" s="16"/>
      <c r="D337" s="16"/>
      <c r="E337" s="16"/>
      <c r="F337" s="16"/>
      <c r="G337" s="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</row>
    <row r="338" spans="1:39" x14ac:dyDescent="0.25">
      <c r="A338" s="16"/>
      <c r="B338" s="16"/>
      <c r="C338" s="16"/>
      <c r="D338" s="16"/>
      <c r="E338" s="16"/>
      <c r="F338" s="16"/>
      <c r="G338" s="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</row>
    <row r="339" spans="1:39" x14ac:dyDescent="0.25">
      <c r="A339" s="16"/>
      <c r="B339" s="16"/>
      <c r="C339" s="16"/>
      <c r="D339" s="16"/>
      <c r="E339" s="16"/>
      <c r="F339" s="16"/>
      <c r="G339" s="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</row>
    <row r="340" spans="1:39" x14ac:dyDescent="0.25">
      <c r="A340" s="16"/>
      <c r="B340" s="16"/>
      <c r="C340" s="16"/>
      <c r="D340" s="16"/>
      <c r="E340" s="16"/>
      <c r="F340" s="16"/>
      <c r="G340" s="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</row>
    <row r="341" spans="1:39" x14ac:dyDescent="0.25">
      <c r="A341" s="16"/>
      <c r="B341" s="16"/>
      <c r="C341" s="16"/>
      <c r="D341" s="16"/>
      <c r="E341" s="16"/>
      <c r="F341" s="16"/>
      <c r="G341" s="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</row>
    <row r="342" spans="1:39" x14ac:dyDescent="0.25">
      <c r="A342" s="16"/>
      <c r="B342" s="16"/>
      <c r="C342" s="16"/>
      <c r="D342" s="16"/>
      <c r="E342" s="16"/>
      <c r="F342" s="16"/>
      <c r="G342" s="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</row>
    <row r="343" spans="1:39" x14ac:dyDescent="0.25">
      <c r="A343" s="16"/>
      <c r="B343" s="16"/>
      <c r="C343" s="16"/>
      <c r="D343" s="16"/>
      <c r="E343" s="16"/>
      <c r="F343" s="16"/>
      <c r="G343" s="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</row>
    <row r="344" spans="1:39" x14ac:dyDescent="0.25">
      <c r="A344" s="16"/>
      <c r="B344" s="16"/>
      <c r="C344" s="16"/>
      <c r="D344" s="16"/>
      <c r="E344" s="16"/>
      <c r="F344" s="16"/>
      <c r="G344" s="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</row>
    <row r="345" spans="1:39" x14ac:dyDescent="0.25">
      <c r="A345" s="16"/>
      <c r="B345" s="16"/>
      <c r="C345" s="16"/>
      <c r="D345" s="16"/>
      <c r="E345" s="16"/>
      <c r="F345" s="16"/>
      <c r="G345" s="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</row>
    <row r="346" spans="1:39" x14ac:dyDescent="0.25">
      <c r="A346" s="16"/>
      <c r="B346" s="16"/>
      <c r="C346" s="16"/>
      <c r="D346" s="16"/>
      <c r="E346" s="16"/>
      <c r="F346" s="16"/>
      <c r="G346" s="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</row>
    <row r="347" spans="1:39" x14ac:dyDescent="0.25">
      <c r="A347" s="16"/>
      <c r="B347" s="16"/>
      <c r="C347" s="16"/>
      <c r="D347" s="16"/>
      <c r="E347" s="16"/>
      <c r="F347" s="16"/>
      <c r="G347" s="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</row>
    <row r="348" spans="1:39" x14ac:dyDescent="0.25">
      <c r="A348" s="16"/>
      <c r="B348" s="16"/>
      <c r="C348" s="16"/>
      <c r="D348" s="16"/>
      <c r="E348" s="16"/>
      <c r="F348" s="16"/>
      <c r="G348" s="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</row>
    <row r="349" spans="1:39" x14ac:dyDescent="0.25">
      <c r="A349" s="16"/>
      <c r="B349" s="16"/>
      <c r="C349" s="16"/>
      <c r="D349" s="16"/>
      <c r="E349" s="16"/>
      <c r="F349" s="16"/>
      <c r="G349" s="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</row>
    <row r="350" spans="1:39" x14ac:dyDescent="0.25">
      <c r="A350" s="16"/>
      <c r="B350" s="16"/>
      <c r="C350" s="16"/>
      <c r="D350" s="16"/>
      <c r="E350" s="16"/>
      <c r="F350" s="16"/>
      <c r="G350" s="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</row>
    <row r="351" spans="1:39" x14ac:dyDescent="0.25">
      <c r="A351" s="16"/>
      <c r="B351" s="16"/>
      <c r="C351" s="16"/>
      <c r="D351" s="16"/>
      <c r="E351" s="16"/>
      <c r="F351" s="16"/>
      <c r="G351" s="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</row>
    <row r="352" spans="1:39" x14ac:dyDescent="0.25">
      <c r="A352" s="16"/>
      <c r="B352" s="16"/>
      <c r="C352" s="16"/>
      <c r="D352" s="16"/>
      <c r="E352" s="16"/>
      <c r="F352" s="16"/>
      <c r="G352" s="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</row>
    <row r="353" spans="1:39" x14ac:dyDescent="0.25">
      <c r="A353" s="16"/>
      <c r="B353" s="16"/>
      <c r="C353" s="16"/>
      <c r="D353" s="16"/>
      <c r="E353" s="16"/>
      <c r="F353" s="16"/>
      <c r="G353" s="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</row>
    <row r="354" spans="1:39" x14ac:dyDescent="0.25">
      <c r="A354" s="16"/>
      <c r="B354" s="16"/>
      <c r="C354" s="16"/>
      <c r="D354" s="16"/>
      <c r="E354" s="16"/>
      <c r="F354" s="16"/>
      <c r="G354" s="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</row>
    <row r="355" spans="1:39" x14ac:dyDescent="0.25">
      <c r="A355" s="16"/>
      <c r="B355" s="16"/>
      <c r="C355" s="16"/>
      <c r="D355" s="16"/>
      <c r="E355" s="16"/>
      <c r="F355" s="16"/>
      <c r="G355" s="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</row>
    <row r="356" spans="1:39" x14ac:dyDescent="0.25">
      <c r="A356" s="16"/>
      <c r="B356" s="16"/>
      <c r="C356" s="16"/>
      <c r="D356" s="16"/>
      <c r="E356" s="16"/>
      <c r="F356" s="16"/>
      <c r="G356" s="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</row>
    <row r="357" spans="1:39" x14ac:dyDescent="0.25">
      <c r="A357" s="16"/>
      <c r="B357" s="16"/>
      <c r="C357" s="16"/>
      <c r="D357" s="16"/>
      <c r="E357" s="16"/>
      <c r="F357" s="16"/>
      <c r="G357" s="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</row>
    <row r="358" spans="1:39" x14ac:dyDescent="0.25">
      <c r="A358" s="16"/>
      <c r="B358" s="16"/>
      <c r="C358" s="16"/>
      <c r="D358" s="16"/>
      <c r="E358" s="16"/>
      <c r="F358" s="16"/>
      <c r="G358" s="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</row>
    <row r="359" spans="1:39" x14ac:dyDescent="0.25">
      <c r="A359" s="16"/>
      <c r="B359" s="16"/>
      <c r="C359" s="16"/>
      <c r="D359" s="16"/>
      <c r="E359" s="16"/>
      <c r="F359" s="16"/>
      <c r="G359" s="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</row>
    <row r="360" spans="1:39" x14ac:dyDescent="0.25">
      <c r="A360" s="16"/>
      <c r="B360" s="16"/>
      <c r="C360" s="16"/>
      <c r="D360" s="16"/>
      <c r="E360" s="16"/>
      <c r="F360" s="16"/>
      <c r="G360" s="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</row>
    <row r="361" spans="1:39" x14ac:dyDescent="0.25">
      <c r="A361" s="16"/>
      <c r="B361" s="16"/>
      <c r="C361" s="16"/>
      <c r="D361" s="16"/>
      <c r="E361" s="16"/>
      <c r="F361" s="16"/>
      <c r="G361" s="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</row>
    <row r="362" spans="1:39" x14ac:dyDescent="0.25">
      <c r="A362" s="16"/>
      <c r="B362" s="16"/>
      <c r="C362" s="16"/>
      <c r="D362" s="16"/>
      <c r="E362" s="16"/>
      <c r="F362" s="16"/>
      <c r="G362" s="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</row>
    <row r="363" spans="1:39" x14ac:dyDescent="0.25">
      <c r="A363" s="16"/>
      <c r="B363" s="16"/>
      <c r="C363" s="16"/>
      <c r="D363" s="16"/>
      <c r="E363" s="16"/>
      <c r="F363" s="16"/>
      <c r="G363" s="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</row>
    <row r="364" spans="1:39" x14ac:dyDescent="0.25">
      <c r="A364" s="16"/>
      <c r="B364" s="16"/>
      <c r="C364" s="16"/>
      <c r="D364" s="16"/>
      <c r="E364" s="16"/>
      <c r="F364" s="16"/>
      <c r="G364" s="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</row>
    <row r="365" spans="1:39" x14ac:dyDescent="0.25">
      <c r="A365" s="16"/>
      <c r="B365" s="16"/>
      <c r="C365" s="16"/>
      <c r="D365" s="16"/>
      <c r="E365" s="16"/>
      <c r="F365" s="16"/>
      <c r="G365" s="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</row>
    <row r="366" spans="1:39" x14ac:dyDescent="0.25">
      <c r="A366" s="16"/>
      <c r="B366" s="16"/>
      <c r="C366" s="16"/>
      <c r="D366" s="16"/>
      <c r="E366" s="16"/>
      <c r="F366" s="16"/>
      <c r="G366" s="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</row>
    <row r="367" spans="1:39" x14ac:dyDescent="0.25">
      <c r="A367" s="16"/>
      <c r="B367" s="16"/>
      <c r="C367" s="16"/>
      <c r="D367" s="16"/>
      <c r="E367" s="16"/>
      <c r="F367" s="16"/>
      <c r="G367" s="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</row>
    <row r="368" spans="1:39" x14ac:dyDescent="0.25">
      <c r="A368" s="16"/>
      <c r="B368" s="16"/>
      <c r="C368" s="16"/>
      <c r="D368" s="16"/>
      <c r="E368" s="16"/>
      <c r="F368" s="16"/>
      <c r="G368" s="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</row>
    <row r="369" spans="1:39" x14ac:dyDescent="0.25">
      <c r="A369" s="16"/>
      <c r="B369" s="16"/>
      <c r="C369" s="16"/>
      <c r="D369" s="16"/>
      <c r="E369" s="16"/>
      <c r="F369" s="16"/>
      <c r="G369" s="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</row>
    <row r="370" spans="1:39" x14ac:dyDescent="0.25">
      <c r="A370" s="16"/>
      <c r="B370" s="16"/>
      <c r="C370" s="16"/>
      <c r="D370" s="16"/>
      <c r="E370" s="16"/>
      <c r="F370" s="16"/>
      <c r="G370" s="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</row>
    <row r="371" spans="1:39" x14ac:dyDescent="0.25">
      <c r="A371" s="16"/>
      <c r="B371" s="16"/>
      <c r="C371" s="16"/>
      <c r="D371" s="16"/>
      <c r="E371" s="16"/>
      <c r="F371" s="16"/>
      <c r="G371" s="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</row>
    <row r="372" spans="1:39" x14ac:dyDescent="0.25">
      <c r="A372" s="16"/>
      <c r="B372" s="16"/>
      <c r="C372" s="16"/>
      <c r="D372" s="16"/>
      <c r="E372" s="16"/>
      <c r="F372" s="16"/>
      <c r="G372" s="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</row>
    <row r="373" spans="1:39" x14ac:dyDescent="0.25">
      <c r="A373" s="16"/>
      <c r="B373" s="16"/>
      <c r="C373" s="16"/>
      <c r="D373" s="16"/>
      <c r="E373" s="16"/>
      <c r="F373" s="16"/>
      <c r="G373" s="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</row>
    <row r="374" spans="1:39" x14ac:dyDescent="0.25">
      <c r="A374" s="16"/>
      <c r="B374" s="16"/>
      <c r="C374" s="16"/>
      <c r="D374" s="16"/>
      <c r="E374" s="16"/>
      <c r="F374" s="16"/>
      <c r="G374" s="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</row>
    <row r="375" spans="1:39" x14ac:dyDescent="0.25">
      <c r="A375" s="16"/>
      <c r="B375" s="16"/>
      <c r="C375" s="16"/>
      <c r="D375" s="16"/>
      <c r="E375" s="16"/>
      <c r="F375" s="16"/>
      <c r="G375" s="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</row>
    <row r="376" spans="1:39" x14ac:dyDescent="0.25">
      <c r="A376" s="16"/>
      <c r="B376" s="16"/>
      <c r="C376" s="16"/>
      <c r="D376" s="16"/>
      <c r="E376" s="16"/>
      <c r="F376" s="16"/>
      <c r="G376" s="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</row>
    <row r="377" spans="1:39" x14ac:dyDescent="0.25">
      <c r="A377" s="16"/>
      <c r="B377" s="16"/>
      <c r="C377" s="16"/>
      <c r="D377" s="16"/>
      <c r="E377" s="16"/>
      <c r="F377" s="16"/>
      <c r="G377" s="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</row>
    <row r="378" spans="1:39" x14ac:dyDescent="0.25">
      <c r="A378" s="16"/>
      <c r="B378" s="16"/>
      <c r="C378" s="16"/>
      <c r="D378" s="16"/>
      <c r="E378" s="16"/>
      <c r="F378" s="16"/>
      <c r="G378" s="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</row>
    <row r="379" spans="1:39" x14ac:dyDescent="0.25">
      <c r="A379" s="16"/>
      <c r="B379" s="16"/>
      <c r="C379" s="16"/>
      <c r="D379" s="16"/>
      <c r="E379" s="16"/>
      <c r="F379" s="16"/>
      <c r="G379" s="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</row>
    <row r="380" spans="1:39" x14ac:dyDescent="0.25">
      <c r="A380" s="16"/>
      <c r="B380" s="16"/>
      <c r="C380" s="16"/>
      <c r="D380" s="16"/>
      <c r="E380" s="16"/>
      <c r="F380" s="16"/>
      <c r="G380" s="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</row>
    <row r="381" spans="1:39" x14ac:dyDescent="0.25">
      <c r="A381" s="16"/>
      <c r="B381" s="16"/>
      <c r="C381" s="16"/>
      <c r="D381" s="16"/>
      <c r="E381" s="16"/>
      <c r="F381" s="16"/>
      <c r="G381" s="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</row>
    <row r="382" spans="1:39" x14ac:dyDescent="0.25">
      <c r="A382" s="16"/>
      <c r="B382" s="16"/>
      <c r="C382" s="16"/>
      <c r="D382" s="16"/>
      <c r="E382" s="16"/>
      <c r="F382" s="16"/>
      <c r="G382" s="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</row>
    <row r="383" spans="1:39" x14ac:dyDescent="0.25">
      <c r="A383" s="16"/>
      <c r="B383" s="16"/>
      <c r="C383" s="16"/>
      <c r="D383" s="16"/>
      <c r="E383" s="16"/>
      <c r="F383" s="16"/>
      <c r="G383" s="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</row>
    <row r="384" spans="1:39" x14ac:dyDescent="0.25">
      <c r="A384" s="16"/>
      <c r="B384" s="16"/>
      <c r="C384" s="16"/>
      <c r="D384" s="16"/>
      <c r="E384" s="16"/>
      <c r="F384" s="16"/>
      <c r="G384" s="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</row>
    <row r="385" spans="1:39" x14ac:dyDescent="0.25">
      <c r="A385" s="16"/>
      <c r="B385" s="16"/>
      <c r="C385" s="16"/>
      <c r="D385" s="16"/>
      <c r="E385" s="16"/>
      <c r="F385" s="16"/>
      <c r="G385" s="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</row>
    <row r="386" spans="1:39" x14ac:dyDescent="0.25">
      <c r="A386" s="16"/>
      <c r="B386" s="16"/>
      <c r="C386" s="16"/>
      <c r="D386" s="16"/>
      <c r="E386" s="16"/>
      <c r="F386" s="16"/>
      <c r="G386" s="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</row>
    <row r="387" spans="1:39" x14ac:dyDescent="0.25">
      <c r="A387" s="16"/>
      <c r="B387" s="16"/>
      <c r="C387" s="16"/>
      <c r="D387" s="16"/>
      <c r="E387" s="16"/>
      <c r="F387" s="16"/>
      <c r="G387" s="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</row>
    <row r="388" spans="1:39" x14ac:dyDescent="0.25">
      <c r="A388" s="16"/>
      <c r="B388" s="16"/>
      <c r="C388" s="16"/>
      <c r="D388" s="16"/>
      <c r="E388" s="16"/>
      <c r="F388" s="16"/>
      <c r="G388" s="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</row>
    <row r="389" spans="1:39" x14ac:dyDescent="0.25">
      <c r="A389" s="16"/>
      <c r="B389" s="16"/>
      <c r="C389" s="16"/>
      <c r="D389" s="16"/>
      <c r="E389" s="16"/>
      <c r="F389" s="16"/>
      <c r="G389" s="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</row>
    <row r="390" spans="1:39" x14ac:dyDescent="0.25">
      <c r="A390" s="16"/>
      <c r="B390" s="16"/>
      <c r="C390" s="16"/>
      <c r="D390" s="16"/>
      <c r="E390" s="16"/>
      <c r="F390" s="16"/>
      <c r="G390" s="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</row>
    <row r="391" spans="1:39" x14ac:dyDescent="0.25">
      <c r="A391" s="16"/>
      <c r="B391" s="16"/>
      <c r="C391" s="16"/>
      <c r="D391" s="16"/>
      <c r="E391" s="16"/>
      <c r="F391" s="16"/>
      <c r="G391" s="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</row>
    <row r="392" spans="1:39" x14ac:dyDescent="0.25">
      <c r="A392" s="16"/>
      <c r="B392" s="16"/>
      <c r="C392" s="16"/>
      <c r="D392" s="16"/>
      <c r="E392" s="16"/>
      <c r="F392" s="16"/>
      <c r="G392" s="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</row>
    <row r="393" spans="1:39" x14ac:dyDescent="0.25">
      <c r="A393" s="16"/>
      <c r="B393" s="16"/>
      <c r="C393" s="16"/>
      <c r="D393" s="16"/>
      <c r="E393" s="16"/>
      <c r="F393" s="16"/>
      <c r="G393" s="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</row>
    <row r="394" spans="1:39" x14ac:dyDescent="0.25">
      <c r="A394" s="16"/>
      <c r="B394" s="16"/>
      <c r="C394" s="16"/>
      <c r="D394" s="16"/>
      <c r="E394" s="16"/>
      <c r="F394" s="16"/>
      <c r="G394" s="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</row>
    <row r="395" spans="1:39" x14ac:dyDescent="0.25">
      <c r="A395" s="16"/>
      <c r="B395" s="16"/>
      <c r="C395" s="16"/>
      <c r="D395" s="16"/>
      <c r="E395" s="16"/>
      <c r="F395" s="16"/>
      <c r="G395" s="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</row>
    <row r="396" spans="1:39" x14ac:dyDescent="0.25">
      <c r="A396" s="16"/>
      <c r="B396" s="16"/>
      <c r="C396" s="16"/>
      <c r="D396" s="16"/>
      <c r="E396" s="16"/>
      <c r="F396" s="16"/>
      <c r="G396" s="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</row>
    <row r="397" spans="1:39" x14ac:dyDescent="0.25">
      <c r="A397" s="16"/>
      <c r="B397" s="16"/>
      <c r="C397" s="16"/>
      <c r="D397" s="16"/>
      <c r="E397" s="16"/>
      <c r="F397" s="16"/>
      <c r="G397" s="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</row>
    <row r="398" spans="1:39" x14ac:dyDescent="0.25">
      <c r="A398" s="16"/>
      <c r="B398" s="16"/>
      <c r="C398" s="16"/>
      <c r="D398" s="16"/>
      <c r="E398" s="16"/>
      <c r="F398" s="16"/>
      <c r="G398" s="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</row>
    <row r="399" spans="1:39" x14ac:dyDescent="0.25">
      <c r="A399" s="16"/>
      <c r="B399" s="16"/>
      <c r="C399" s="16"/>
      <c r="D399" s="16"/>
      <c r="E399" s="16"/>
      <c r="F399" s="16"/>
      <c r="G399" s="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</row>
    <row r="400" spans="1:39" x14ac:dyDescent="0.25">
      <c r="A400" s="16"/>
      <c r="B400" s="16"/>
      <c r="C400" s="16"/>
      <c r="D400" s="16"/>
      <c r="E400" s="16"/>
      <c r="F400" s="16"/>
      <c r="G400" s="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</row>
    <row r="401" spans="1:39" x14ac:dyDescent="0.25">
      <c r="A401" s="16"/>
      <c r="B401" s="16"/>
      <c r="C401" s="16"/>
      <c r="D401" s="16"/>
      <c r="E401" s="16"/>
      <c r="F401" s="16"/>
      <c r="G401" s="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</row>
    <row r="402" spans="1:39" x14ac:dyDescent="0.25">
      <c r="A402" s="16"/>
      <c r="B402" s="16"/>
      <c r="C402" s="16"/>
      <c r="D402" s="16"/>
      <c r="E402" s="16"/>
      <c r="F402" s="16"/>
      <c r="G402" s="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</row>
    <row r="403" spans="1:39" x14ac:dyDescent="0.25">
      <c r="A403" s="16"/>
      <c r="B403" s="16"/>
      <c r="C403" s="16"/>
      <c r="D403" s="16"/>
      <c r="E403" s="16"/>
      <c r="F403" s="16"/>
      <c r="G403" s="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</row>
    <row r="404" spans="1:39" x14ac:dyDescent="0.25">
      <c r="A404" s="16"/>
      <c r="B404" s="16"/>
      <c r="C404" s="16"/>
      <c r="D404" s="16"/>
      <c r="E404" s="16"/>
      <c r="F404" s="16"/>
      <c r="G404" s="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</row>
    <row r="405" spans="1:39" x14ac:dyDescent="0.25">
      <c r="A405" s="16"/>
      <c r="B405" s="16"/>
      <c r="C405" s="16"/>
      <c r="D405" s="16"/>
      <c r="E405" s="16"/>
      <c r="F405" s="16"/>
      <c r="G405" s="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</row>
    <row r="406" spans="1:39" x14ac:dyDescent="0.25">
      <c r="A406" s="16"/>
      <c r="B406" s="16"/>
      <c r="C406" s="16"/>
      <c r="D406" s="16"/>
      <c r="E406" s="16"/>
      <c r="F406" s="16"/>
      <c r="G406" s="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</row>
    <row r="407" spans="1:39" x14ac:dyDescent="0.25">
      <c r="A407" s="16"/>
      <c r="B407" s="16"/>
      <c r="C407" s="16"/>
      <c r="D407" s="16"/>
      <c r="E407" s="16"/>
      <c r="F407" s="16"/>
      <c r="G407" s="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</row>
    <row r="408" spans="1:39" x14ac:dyDescent="0.25">
      <c r="A408" s="16"/>
      <c r="B408" s="16"/>
      <c r="C408" s="16"/>
      <c r="D408" s="16"/>
      <c r="E408" s="16"/>
      <c r="F408" s="16"/>
      <c r="G408" s="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</row>
    <row r="409" spans="1:39" x14ac:dyDescent="0.25">
      <c r="A409" s="16"/>
      <c r="B409" s="16"/>
      <c r="C409" s="16"/>
      <c r="D409" s="16"/>
      <c r="E409" s="16"/>
      <c r="F409" s="16"/>
      <c r="G409" s="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</row>
    <row r="410" spans="1:39" x14ac:dyDescent="0.25">
      <c r="A410" s="16"/>
      <c r="B410" s="16"/>
      <c r="C410" s="16"/>
      <c r="D410" s="16"/>
      <c r="E410" s="16"/>
      <c r="F410" s="16"/>
      <c r="G410" s="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</row>
    <row r="411" spans="1:39" x14ac:dyDescent="0.25">
      <c r="A411" s="16"/>
      <c r="B411" s="16"/>
      <c r="C411" s="16"/>
      <c r="D411" s="16"/>
      <c r="E411" s="16"/>
      <c r="F411" s="16"/>
      <c r="G411" s="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</row>
    <row r="412" spans="1:39" x14ac:dyDescent="0.25">
      <c r="A412" s="16"/>
      <c r="B412" s="16"/>
      <c r="C412" s="16"/>
      <c r="D412" s="16"/>
      <c r="E412" s="16"/>
      <c r="F412" s="16"/>
      <c r="G412" s="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</row>
    <row r="413" spans="1:39" x14ac:dyDescent="0.25">
      <c r="A413" s="16"/>
      <c r="B413" s="16"/>
      <c r="C413" s="16"/>
      <c r="D413" s="16"/>
      <c r="E413" s="16"/>
      <c r="F413" s="16"/>
      <c r="G413" s="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</row>
    <row r="414" spans="1:39" x14ac:dyDescent="0.25">
      <c r="A414" s="16"/>
      <c r="B414" s="16"/>
      <c r="C414" s="16"/>
      <c r="D414" s="16"/>
      <c r="E414" s="16"/>
      <c r="F414" s="16"/>
      <c r="G414" s="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</row>
    <row r="415" spans="1:39" x14ac:dyDescent="0.25">
      <c r="A415" s="16"/>
      <c r="B415" s="16"/>
      <c r="C415" s="16"/>
      <c r="D415" s="16"/>
      <c r="E415" s="16"/>
      <c r="F415" s="16"/>
      <c r="G415" s="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</row>
    <row r="416" spans="1:39" x14ac:dyDescent="0.25">
      <c r="A416" s="16"/>
      <c r="B416" s="16"/>
      <c r="C416" s="16"/>
      <c r="D416" s="16"/>
      <c r="E416" s="16"/>
      <c r="F416" s="16"/>
      <c r="G416" s="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</row>
    <row r="417" spans="1:39" x14ac:dyDescent="0.25">
      <c r="A417" s="16"/>
      <c r="B417" s="16"/>
      <c r="C417" s="16"/>
      <c r="D417" s="16"/>
      <c r="E417" s="16"/>
      <c r="F417" s="16"/>
      <c r="G417" s="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</row>
    <row r="418" spans="1:39" x14ac:dyDescent="0.25">
      <c r="A418" s="16"/>
      <c r="B418" s="16"/>
      <c r="C418" s="16"/>
      <c r="D418" s="16"/>
      <c r="E418" s="16"/>
      <c r="F418" s="16"/>
      <c r="G418" s="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</row>
    <row r="419" spans="1:39" x14ac:dyDescent="0.25">
      <c r="A419" s="16"/>
      <c r="B419" s="16"/>
      <c r="C419" s="16"/>
      <c r="D419" s="16"/>
      <c r="E419" s="16"/>
      <c r="F419" s="16"/>
      <c r="G419" s="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</row>
    <row r="420" spans="1:39" x14ac:dyDescent="0.25">
      <c r="A420" s="16"/>
      <c r="B420" s="16"/>
      <c r="C420" s="16"/>
      <c r="D420" s="16"/>
      <c r="E420" s="16"/>
      <c r="F420" s="16"/>
      <c r="G420" s="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</row>
    <row r="421" spans="1:39" x14ac:dyDescent="0.25">
      <c r="A421" s="16"/>
      <c r="B421" s="16"/>
      <c r="C421" s="16"/>
      <c r="D421" s="16"/>
      <c r="E421" s="16"/>
      <c r="F421" s="16"/>
      <c r="G421" s="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</row>
    <row r="422" spans="1:39" x14ac:dyDescent="0.25">
      <c r="A422" s="16"/>
      <c r="B422" s="16"/>
      <c r="C422" s="16"/>
      <c r="D422" s="16"/>
      <c r="E422" s="16"/>
      <c r="F422" s="16"/>
      <c r="G422" s="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</row>
    <row r="423" spans="1:39" x14ac:dyDescent="0.25">
      <c r="A423" s="16"/>
      <c r="B423" s="16"/>
      <c r="C423" s="16"/>
      <c r="D423" s="16"/>
      <c r="E423" s="16"/>
      <c r="F423" s="16"/>
      <c r="G423" s="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</row>
    <row r="424" spans="1:39" x14ac:dyDescent="0.25">
      <c r="A424" s="16"/>
      <c r="B424" s="16"/>
      <c r="C424" s="16"/>
      <c r="D424" s="16"/>
      <c r="E424" s="16"/>
      <c r="F424" s="16"/>
      <c r="G424" s="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</row>
    <row r="425" spans="1:39" x14ac:dyDescent="0.25">
      <c r="A425" s="16"/>
      <c r="B425" s="16"/>
      <c r="C425" s="16"/>
      <c r="D425" s="16"/>
      <c r="E425" s="16"/>
      <c r="F425" s="16"/>
      <c r="G425" s="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</row>
    <row r="426" spans="1:39" x14ac:dyDescent="0.25">
      <c r="A426" s="16"/>
      <c r="B426" s="16"/>
      <c r="C426" s="16"/>
      <c r="D426" s="16"/>
      <c r="E426" s="16"/>
      <c r="F426" s="16"/>
      <c r="G426" s="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</row>
    <row r="427" spans="1:39" x14ac:dyDescent="0.25">
      <c r="A427" s="16"/>
      <c r="B427" s="16"/>
      <c r="C427" s="16"/>
      <c r="D427" s="16"/>
      <c r="E427" s="16"/>
      <c r="F427" s="16"/>
      <c r="G427" s="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</row>
    <row r="428" spans="1:39" x14ac:dyDescent="0.25">
      <c r="A428" s="16"/>
      <c r="B428" s="16"/>
      <c r="C428" s="16"/>
      <c r="D428" s="16"/>
      <c r="E428" s="16"/>
      <c r="F428" s="16"/>
      <c r="G428" s="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</row>
    <row r="429" spans="1:39" x14ac:dyDescent="0.25">
      <c r="A429" s="16"/>
      <c r="B429" s="16"/>
      <c r="C429" s="16"/>
      <c r="D429" s="16"/>
      <c r="E429" s="16"/>
      <c r="F429" s="16"/>
      <c r="G429" s="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</row>
    <row r="430" spans="1:39" x14ac:dyDescent="0.25">
      <c r="A430" s="16"/>
      <c r="B430" s="16"/>
      <c r="C430" s="16"/>
      <c r="D430" s="16"/>
      <c r="E430" s="16"/>
      <c r="F430" s="16"/>
      <c r="G430" s="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</row>
    <row r="431" spans="1:39" x14ac:dyDescent="0.25">
      <c r="A431" s="16"/>
      <c r="B431" s="16"/>
      <c r="C431" s="16"/>
      <c r="D431" s="16"/>
      <c r="E431" s="16"/>
      <c r="F431" s="16"/>
      <c r="G431" s="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</row>
    <row r="432" spans="1:39" x14ac:dyDescent="0.25">
      <c r="A432" s="16"/>
      <c r="B432" s="16"/>
      <c r="C432" s="16"/>
      <c r="D432" s="16"/>
      <c r="E432" s="16"/>
      <c r="F432" s="16"/>
      <c r="G432" s="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</row>
    <row r="433" spans="1:39" x14ac:dyDescent="0.25">
      <c r="A433" s="16"/>
      <c r="B433" s="16"/>
      <c r="C433" s="16"/>
      <c r="D433" s="16"/>
      <c r="E433" s="16"/>
      <c r="F433" s="16"/>
      <c r="G433" s="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</row>
    <row r="434" spans="1:39" x14ac:dyDescent="0.25">
      <c r="A434" s="16"/>
      <c r="B434" s="16"/>
      <c r="C434" s="16"/>
      <c r="D434" s="16"/>
      <c r="E434" s="16"/>
      <c r="F434" s="16"/>
      <c r="G434" s="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</row>
    <row r="435" spans="1:39" x14ac:dyDescent="0.25">
      <c r="A435" s="16"/>
      <c r="B435" s="16"/>
      <c r="C435" s="16"/>
      <c r="D435" s="16"/>
      <c r="E435" s="16"/>
      <c r="F435" s="16"/>
      <c r="G435" s="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</row>
    <row r="436" spans="1:39" x14ac:dyDescent="0.25">
      <c r="A436" s="16"/>
      <c r="B436" s="16"/>
      <c r="C436" s="16"/>
      <c r="D436" s="16"/>
      <c r="E436" s="16"/>
      <c r="F436" s="16"/>
      <c r="G436" s="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</row>
    <row r="437" spans="1:39" x14ac:dyDescent="0.25">
      <c r="A437" s="16"/>
      <c r="B437" s="16"/>
      <c r="C437" s="16"/>
      <c r="D437" s="16"/>
      <c r="E437" s="16"/>
      <c r="F437" s="16"/>
      <c r="G437" s="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</row>
    <row r="438" spans="1:39" x14ac:dyDescent="0.25">
      <c r="A438" s="16"/>
      <c r="B438" s="16"/>
      <c r="C438" s="16"/>
      <c r="D438" s="16"/>
      <c r="E438" s="16"/>
      <c r="F438" s="16"/>
      <c r="G438" s="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</row>
    <row r="439" spans="1:39" x14ac:dyDescent="0.25">
      <c r="A439" s="16"/>
      <c r="B439" s="16"/>
      <c r="C439" s="16"/>
      <c r="D439" s="16"/>
      <c r="E439" s="16"/>
      <c r="F439" s="16"/>
      <c r="G439" s="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</row>
    <row r="440" spans="1:39" x14ac:dyDescent="0.25">
      <c r="A440" s="16"/>
      <c r="B440" s="16"/>
      <c r="C440" s="16"/>
      <c r="D440" s="16"/>
      <c r="E440" s="16"/>
      <c r="F440" s="16"/>
      <c r="G440" s="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</row>
    <row r="441" spans="1:39" x14ac:dyDescent="0.25">
      <c r="A441" s="16"/>
      <c r="B441" s="16"/>
      <c r="C441" s="16"/>
      <c r="D441" s="16"/>
      <c r="E441" s="16"/>
      <c r="F441" s="16"/>
      <c r="G441" s="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</row>
    <row r="442" spans="1:39" x14ac:dyDescent="0.25">
      <c r="A442" s="16"/>
      <c r="B442" s="16"/>
      <c r="C442" s="16"/>
      <c r="D442" s="16"/>
      <c r="E442" s="16"/>
      <c r="F442" s="16"/>
      <c r="G442" s="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</row>
    <row r="443" spans="1:39" x14ac:dyDescent="0.25">
      <c r="A443" s="16"/>
      <c r="B443" s="16"/>
      <c r="C443" s="16"/>
      <c r="D443" s="16"/>
      <c r="E443" s="16"/>
      <c r="F443" s="16"/>
      <c r="G443" s="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</row>
    <row r="444" spans="1:39" x14ac:dyDescent="0.25">
      <c r="A444" s="16"/>
      <c r="B444" s="16"/>
      <c r="C444" s="16"/>
      <c r="D444" s="16"/>
      <c r="E444" s="16"/>
      <c r="F444" s="16"/>
      <c r="G444" s="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</row>
    <row r="445" spans="1:39" x14ac:dyDescent="0.25">
      <c r="A445" s="16"/>
      <c r="B445" s="16"/>
      <c r="C445" s="16"/>
      <c r="D445" s="16"/>
      <c r="E445" s="16"/>
      <c r="F445" s="16"/>
      <c r="G445" s="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</row>
    <row r="446" spans="1:39" x14ac:dyDescent="0.25">
      <c r="A446" s="16"/>
      <c r="B446" s="16"/>
      <c r="C446" s="16"/>
      <c r="D446" s="16"/>
      <c r="E446" s="16"/>
      <c r="F446" s="16"/>
      <c r="G446" s="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</row>
    <row r="447" spans="1:39" x14ac:dyDescent="0.25">
      <c r="A447" s="16"/>
      <c r="B447" s="16"/>
      <c r="C447" s="16"/>
      <c r="D447" s="16"/>
      <c r="E447" s="16"/>
      <c r="F447" s="16"/>
      <c r="G447" s="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</row>
    <row r="448" spans="1:39" x14ac:dyDescent="0.25">
      <c r="A448" s="16"/>
      <c r="B448" s="16"/>
      <c r="C448" s="16"/>
      <c r="D448" s="16"/>
      <c r="E448" s="16"/>
      <c r="F448" s="16"/>
      <c r="G448" s="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</row>
    <row r="449" spans="1:39" x14ac:dyDescent="0.25">
      <c r="A449" s="16"/>
      <c r="B449" s="16"/>
      <c r="C449" s="16"/>
      <c r="D449" s="16"/>
      <c r="E449" s="16"/>
      <c r="F449" s="16"/>
      <c r="G449" s="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</row>
    <row r="450" spans="1:39" x14ac:dyDescent="0.25">
      <c r="A450" s="16"/>
      <c r="B450" s="16"/>
      <c r="C450" s="16"/>
      <c r="D450" s="16"/>
      <c r="E450" s="16"/>
      <c r="F450" s="16"/>
      <c r="G450" s="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</row>
    <row r="451" spans="1:39" x14ac:dyDescent="0.25">
      <c r="A451" s="16"/>
      <c r="B451" s="16"/>
      <c r="C451" s="16"/>
      <c r="D451" s="16"/>
      <c r="E451" s="16"/>
      <c r="F451" s="16"/>
      <c r="G451" s="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</row>
    <row r="452" spans="1:39" x14ac:dyDescent="0.25">
      <c r="A452" s="16"/>
      <c r="B452" s="16"/>
      <c r="C452" s="16"/>
      <c r="D452" s="16"/>
      <c r="E452" s="16"/>
      <c r="F452" s="16"/>
      <c r="G452" s="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</row>
    <row r="453" spans="1:39" x14ac:dyDescent="0.25">
      <c r="A453" s="16"/>
      <c r="B453" s="16"/>
      <c r="C453" s="16"/>
      <c r="D453" s="16"/>
      <c r="E453" s="16"/>
      <c r="F453" s="16"/>
      <c r="G453" s="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</row>
    <row r="454" spans="1:39" x14ac:dyDescent="0.25">
      <c r="A454" s="16"/>
      <c r="B454" s="16"/>
      <c r="C454" s="16"/>
      <c r="D454" s="16"/>
      <c r="E454" s="16"/>
      <c r="F454" s="16"/>
      <c r="G454" s="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</row>
    <row r="455" spans="1:39" x14ac:dyDescent="0.25">
      <c r="A455" s="16"/>
      <c r="B455" s="16"/>
      <c r="C455" s="16"/>
      <c r="D455" s="16"/>
      <c r="E455" s="16"/>
      <c r="F455" s="16"/>
      <c r="G455" s="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</row>
    <row r="456" spans="1:39" x14ac:dyDescent="0.25">
      <c r="A456" s="16"/>
      <c r="B456" s="16"/>
      <c r="C456" s="16"/>
      <c r="D456" s="16"/>
      <c r="E456" s="16"/>
      <c r="F456" s="16"/>
      <c r="G456" s="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</row>
    <row r="457" spans="1:39" x14ac:dyDescent="0.25">
      <c r="A457" s="16"/>
      <c r="B457" s="16"/>
      <c r="C457" s="16"/>
      <c r="D457" s="16"/>
      <c r="E457" s="16"/>
      <c r="F457" s="16"/>
      <c r="G457" s="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</row>
    <row r="458" spans="1:39" x14ac:dyDescent="0.25">
      <c r="A458" s="16"/>
      <c r="B458" s="16"/>
      <c r="C458" s="16"/>
      <c r="D458" s="16"/>
      <c r="E458" s="16"/>
      <c r="F458" s="16"/>
      <c r="G458" s="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</row>
    <row r="459" spans="1:39" x14ac:dyDescent="0.25">
      <c r="A459" s="16"/>
      <c r="B459" s="16"/>
      <c r="C459" s="16"/>
      <c r="D459" s="16"/>
      <c r="E459" s="16"/>
      <c r="F459" s="16"/>
      <c r="G459" s="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</row>
    <row r="460" spans="1:39" x14ac:dyDescent="0.25">
      <c r="A460" s="16"/>
      <c r="B460" s="16"/>
      <c r="C460" s="16"/>
      <c r="D460" s="16"/>
      <c r="E460" s="16"/>
      <c r="F460" s="16"/>
      <c r="G460" s="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</row>
    <row r="461" spans="1:39" x14ac:dyDescent="0.25">
      <c r="A461" s="16"/>
      <c r="B461" s="16"/>
      <c r="C461" s="16"/>
      <c r="D461" s="16"/>
      <c r="E461" s="16"/>
      <c r="F461" s="16"/>
      <c r="G461" s="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</row>
    <row r="462" spans="1:39" x14ac:dyDescent="0.25">
      <c r="A462" s="16"/>
      <c r="B462" s="16"/>
      <c r="C462" s="16"/>
      <c r="D462" s="16"/>
      <c r="E462" s="16"/>
      <c r="F462" s="16"/>
      <c r="G462" s="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</row>
    <row r="463" spans="1:39" x14ac:dyDescent="0.25">
      <c r="A463" s="16"/>
      <c r="B463" s="16"/>
      <c r="C463" s="16"/>
      <c r="D463" s="16"/>
      <c r="E463" s="16"/>
      <c r="F463" s="16"/>
      <c r="G463" s="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</row>
    <row r="464" spans="1:39" x14ac:dyDescent="0.25">
      <c r="A464" s="16"/>
      <c r="B464" s="16"/>
      <c r="C464" s="16"/>
      <c r="D464" s="16"/>
      <c r="E464" s="16"/>
      <c r="F464" s="16"/>
      <c r="G464" s="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</row>
    <row r="465" spans="1:39" x14ac:dyDescent="0.25">
      <c r="A465" s="16"/>
      <c r="B465" s="16"/>
      <c r="C465" s="16"/>
      <c r="D465" s="16"/>
      <c r="E465" s="16"/>
      <c r="F465" s="16"/>
      <c r="G465" s="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</row>
    <row r="466" spans="1:39" x14ac:dyDescent="0.25">
      <c r="A466" s="16"/>
      <c r="B466" s="16"/>
      <c r="C466" s="16"/>
      <c r="D466" s="16"/>
      <c r="E466" s="16"/>
      <c r="F466" s="16"/>
      <c r="G466" s="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</row>
    <row r="467" spans="1:39" x14ac:dyDescent="0.25">
      <c r="A467" s="16"/>
      <c r="B467" s="16"/>
      <c r="C467" s="16"/>
      <c r="D467" s="16"/>
      <c r="E467" s="16"/>
      <c r="F467" s="16"/>
      <c r="G467" s="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</row>
    <row r="468" spans="1:39" x14ac:dyDescent="0.25">
      <c r="A468" s="16"/>
      <c r="B468" s="16"/>
      <c r="C468" s="16"/>
      <c r="D468" s="16"/>
      <c r="E468" s="16"/>
      <c r="F468" s="16"/>
      <c r="G468" s="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</row>
    <row r="469" spans="1:39" x14ac:dyDescent="0.25">
      <c r="A469" s="16"/>
      <c r="B469" s="16"/>
      <c r="C469" s="16"/>
      <c r="D469" s="16"/>
      <c r="E469" s="16"/>
      <c r="F469" s="16"/>
      <c r="G469" s="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</row>
    <row r="470" spans="1:39" x14ac:dyDescent="0.25">
      <c r="A470" s="16"/>
      <c r="B470" s="16"/>
      <c r="C470" s="16"/>
      <c r="D470" s="16"/>
      <c r="E470" s="16"/>
      <c r="F470" s="16"/>
      <c r="G470" s="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</row>
    <row r="471" spans="1:39" x14ac:dyDescent="0.25">
      <c r="A471" s="16"/>
      <c r="B471" s="16"/>
      <c r="C471" s="16"/>
      <c r="D471" s="16"/>
      <c r="E471" s="16"/>
      <c r="F471" s="16"/>
      <c r="G471" s="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</row>
    <row r="472" spans="1:39" x14ac:dyDescent="0.25">
      <c r="A472" s="16"/>
      <c r="B472" s="16"/>
      <c r="C472" s="16"/>
      <c r="D472" s="16"/>
      <c r="E472" s="16"/>
      <c r="F472" s="16"/>
      <c r="G472" s="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</row>
    <row r="473" spans="1:39" x14ac:dyDescent="0.25">
      <c r="A473" s="16"/>
      <c r="B473" s="16"/>
      <c r="C473" s="16"/>
      <c r="D473" s="16"/>
      <c r="E473" s="16"/>
      <c r="F473" s="16"/>
      <c r="G473" s="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</row>
    <row r="474" spans="1:39" x14ac:dyDescent="0.25">
      <c r="A474" s="16"/>
      <c r="B474" s="16"/>
      <c r="C474" s="16"/>
      <c r="D474" s="16"/>
      <c r="E474" s="16"/>
      <c r="F474" s="16"/>
      <c r="G474" s="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</row>
    <row r="475" spans="1:39" x14ac:dyDescent="0.25">
      <c r="A475" s="16"/>
      <c r="B475" s="16"/>
      <c r="C475" s="16"/>
      <c r="D475" s="16"/>
      <c r="E475" s="16"/>
      <c r="F475" s="16"/>
      <c r="G475" s="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</row>
    <row r="476" spans="1:39" x14ac:dyDescent="0.25">
      <c r="A476" s="16"/>
      <c r="B476" s="16"/>
      <c r="C476" s="16"/>
      <c r="D476" s="16"/>
      <c r="E476" s="16"/>
      <c r="F476" s="16"/>
      <c r="G476" s="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</row>
    <row r="477" spans="1:39" x14ac:dyDescent="0.25">
      <c r="A477" s="16"/>
      <c r="B477" s="16"/>
      <c r="C477" s="16"/>
      <c r="D477" s="16"/>
      <c r="E477" s="16"/>
      <c r="F477" s="16"/>
      <c r="G477" s="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</row>
    <row r="478" spans="1:39" x14ac:dyDescent="0.25">
      <c r="A478" s="16"/>
      <c r="B478" s="16"/>
      <c r="C478" s="16"/>
      <c r="D478" s="16"/>
      <c r="E478" s="16"/>
      <c r="F478" s="16"/>
      <c r="G478" s="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</row>
    <row r="479" spans="1:39" x14ac:dyDescent="0.25">
      <c r="A479" s="16"/>
      <c r="B479" s="16"/>
      <c r="C479" s="16"/>
      <c r="D479" s="16"/>
      <c r="E479" s="16"/>
      <c r="F479" s="16"/>
      <c r="G479" s="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</row>
    <row r="480" spans="1:39" x14ac:dyDescent="0.25">
      <c r="A480" s="16"/>
      <c r="B480" s="16"/>
      <c r="C480" s="16"/>
      <c r="D480" s="16"/>
      <c r="E480" s="16"/>
      <c r="F480" s="16"/>
      <c r="G480" s="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</row>
    <row r="481" spans="1:39" x14ac:dyDescent="0.25">
      <c r="A481" s="16"/>
      <c r="B481" s="16"/>
      <c r="C481" s="16"/>
      <c r="D481" s="16"/>
      <c r="E481" s="16"/>
      <c r="F481" s="16"/>
      <c r="G481" s="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</row>
    <row r="482" spans="1:39" x14ac:dyDescent="0.25">
      <c r="A482" s="16"/>
      <c r="B482" s="16"/>
      <c r="C482" s="16"/>
      <c r="D482" s="16"/>
      <c r="E482" s="16"/>
      <c r="F482" s="16"/>
      <c r="G482" s="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</row>
    <row r="483" spans="1:39" x14ac:dyDescent="0.25">
      <c r="A483" s="16"/>
      <c r="B483" s="16"/>
      <c r="C483" s="16"/>
      <c r="D483" s="16"/>
      <c r="E483" s="16"/>
      <c r="F483" s="16"/>
      <c r="G483" s="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</row>
    <row r="484" spans="1:39" x14ac:dyDescent="0.25">
      <c r="A484" s="16"/>
      <c r="B484" s="16"/>
      <c r="C484" s="16"/>
      <c r="D484" s="16"/>
      <c r="E484" s="16"/>
      <c r="F484" s="16"/>
      <c r="G484" s="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</row>
    <row r="485" spans="1:39" x14ac:dyDescent="0.25">
      <c r="A485" s="16"/>
      <c r="B485" s="16"/>
      <c r="C485" s="16"/>
      <c r="D485" s="16"/>
      <c r="E485" s="16"/>
      <c r="F485" s="16"/>
      <c r="G485" s="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</row>
    <row r="486" spans="1:39" x14ac:dyDescent="0.25">
      <c r="A486" s="16"/>
      <c r="B486" s="16"/>
      <c r="C486" s="16"/>
      <c r="D486" s="16"/>
      <c r="E486" s="16"/>
      <c r="F486" s="16"/>
      <c r="G486" s="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</row>
    <row r="487" spans="1:39" x14ac:dyDescent="0.25">
      <c r="A487" s="16"/>
      <c r="B487" s="16"/>
      <c r="C487" s="16"/>
      <c r="D487" s="16"/>
      <c r="E487" s="16"/>
      <c r="F487" s="16"/>
      <c r="G487" s="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</row>
    <row r="488" spans="1:39" x14ac:dyDescent="0.25">
      <c r="A488" s="16"/>
      <c r="B488" s="16"/>
      <c r="C488" s="16"/>
      <c r="D488" s="16"/>
      <c r="E488" s="16"/>
      <c r="F488" s="16"/>
      <c r="G488" s="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</row>
    <row r="489" spans="1:39" x14ac:dyDescent="0.25">
      <c r="A489" s="16"/>
      <c r="B489" s="16"/>
      <c r="C489" s="16"/>
      <c r="D489" s="16"/>
      <c r="E489" s="16"/>
      <c r="F489" s="16"/>
      <c r="G489" s="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</row>
    <row r="490" spans="1:39" x14ac:dyDescent="0.25">
      <c r="A490" s="16"/>
      <c r="B490" s="16"/>
      <c r="C490" s="16"/>
      <c r="D490" s="16"/>
      <c r="E490" s="16"/>
      <c r="F490" s="16"/>
      <c r="G490" s="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</row>
    <row r="491" spans="1:39" x14ac:dyDescent="0.25">
      <c r="A491" s="16"/>
      <c r="B491" s="16"/>
      <c r="C491" s="16"/>
      <c r="D491" s="16"/>
      <c r="E491" s="16"/>
      <c r="F491" s="16"/>
      <c r="G491" s="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</row>
    <row r="492" spans="1:39" x14ac:dyDescent="0.25">
      <c r="A492" s="16"/>
      <c r="B492" s="16"/>
      <c r="C492" s="16"/>
      <c r="D492" s="16"/>
      <c r="E492" s="16"/>
      <c r="F492" s="16"/>
      <c r="G492" s="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</row>
    <row r="493" spans="1:39" x14ac:dyDescent="0.25">
      <c r="A493" s="16"/>
      <c r="B493" s="16"/>
      <c r="C493" s="16"/>
      <c r="D493" s="16"/>
      <c r="E493" s="16"/>
      <c r="F493" s="16"/>
      <c r="G493" s="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</row>
    <row r="494" spans="1:39" x14ac:dyDescent="0.25">
      <c r="A494" s="16"/>
      <c r="B494" s="16"/>
      <c r="C494" s="16"/>
      <c r="D494" s="16"/>
      <c r="E494" s="16"/>
      <c r="F494" s="16"/>
      <c r="G494" s="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</row>
    <row r="495" spans="1:39" x14ac:dyDescent="0.25">
      <c r="A495" s="16"/>
      <c r="B495" s="16"/>
      <c r="C495" s="16"/>
      <c r="D495" s="16"/>
      <c r="E495" s="16"/>
      <c r="F495" s="16"/>
      <c r="G495" s="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</row>
    <row r="496" spans="1:39" x14ac:dyDescent="0.25">
      <c r="A496" s="16"/>
      <c r="B496" s="16"/>
      <c r="C496" s="16"/>
      <c r="D496" s="16"/>
      <c r="E496" s="16"/>
      <c r="F496" s="16"/>
      <c r="G496" s="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</row>
    <row r="497" spans="1:39" x14ac:dyDescent="0.25">
      <c r="A497" s="16"/>
      <c r="B497" s="16"/>
      <c r="C497" s="16"/>
      <c r="D497" s="16"/>
      <c r="E497" s="16"/>
      <c r="F497" s="16"/>
      <c r="G497" s="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</row>
    <row r="498" spans="1:39" x14ac:dyDescent="0.25">
      <c r="A498" s="16"/>
      <c r="B498" s="16"/>
      <c r="C498" s="16"/>
      <c r="D498" s="16"/>
      <c r="E498" s="16"/>
      <c r="F498" s="16"/>
      <c r="G498" s="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</row>
    <row r="499" spans="1:39" x14ac:dyDescent="0.25">
      <c r="A499" s="16"/>
      <c r="B499" s="16"/>
      <c r="C499" s="16"/>
      <c r="D499" s="16"/>
      <c r="E499" s="16"/>
      <c r="F499" s="16"/>
      <c r="G499" s="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</row>
  </sheetData>
  <autoFilter ref="A3:AM129" xr:uid="{00000000-0009-0000-0000-000000000000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activeCell="J7" sqref="J7"/>
    </sheetView>
  </sheetViews>
  <sheetFormatPr defaultRowHeight="15" x14ac:dyDescent="0.25"/>
  <cols>
    <col min="2" max="2" width="9.140625" style="17" customWidth="1"/>
    <col min="3" max="3" width="117.42578125" bestFit="1" customWidth="1"/>
  </cols>
  <sheetData>
    <row r="1" spans="1:8" x14ac:dyDescent="0.25">
      <c r="A1" t="s">
        <v>311</v>
      </c>
      <c r="B1" s="17" t="str">
        <f t="shared" ref="B1:B12" si="0">SUBSTITUTE(A1," ","")</f>
        <v>SU002660</v>
      </c>
      <c r="C1" t="s">
        <v>312</v>
      </c>
      <c r="D1" t="s">
        <v>313</v>
      </c>
      <c r="E1" t="s">
        <v>314</v>
      </c>
      <c r="F1" t="s">
        <v>314</v>
      </c>
      <c r="G1" t="s">
        <v>315</v>
      </c>
      <c r="H1">
        <f t="shared" ref="H1:H12" si="1">--SUBSTITUTE(G1," ","")</f>
        <v>-48</v>
      </c>
    </row>
    <row r="2" spans="1:8" x14ac:dyDescent="0.25">
      <c r="A2" t="s">
        <v>316</v>
      </c>
      <c r="B2" s="17" t="str">
        <f t="shared" si="0"/>
        <v>SU002848</v>
      </c>
      <c r="C2" t="s">
        <v>317</v>
      </c>
      <c r="D2" t="s">
        <v>318</v>
      </c>
      <c r="E2" t="s">
        <v>318</v>
      </c>
      <c r="F2" t="s">
        <v>314</v>
      </c>
      <c r="G2" t="s">
        <v>319</v>
      </c>
      <c r="H2">
        <f t="shared" si="1"/>
        <v>-44</v>
      </c>
    </row>
    <row r="3" spans="1:8" x14ac:dyDescent="0.25">
      <c r="A3" t="s">
        <v>320</v>
      </c>
      <c r="B3" s="17" t="str">
        <f t="shared" si="0"/>
        <v>SU002943</v>
      </c>
      <c r="C3" t="s">
        <v>321</v>
      </c>
      <c r="D3" t="s">
        <v>322</v>
      </c>
      <c r="E3" t="s">
        <v>322</v>
      </c>
      <c r="F3" t="s">
        <v>314</v>
      </c>
      <c r="G3" t="s">
        <v>323</v>
      </c>
      <c r="H3">
        <f t="shared" si="1"/>
        <v>-70</v>
      </c>
    </row>
    <row r="4" spans="1:8" x14ac:dyDescent="0.25">
      <c r="A4" t="s">
        <v>324</v>
      </c>
      <c r="B4" s="17" t="str">
        <f t="shared" si="0"/>
        <v>SU002944</v>
      </c>
      <c r="C4" t="s">
        <v>325</v>
      </c>
      <c r="D4" t="s">
        <v>326</v>
      </c>
      <c r="E4" t="s">
        <v>314</v>
      </c>
      <c r="F4" t="s">
        <v>314</v>
      </c>
      <c r="G4" t="s">
        <v>327</v>
      </c>
      <c r="H4">
        <f t="shared" si="1"/>
        <v>-25</v>
      </c>
    </row>
    <row r="5" spans="1:8" x14ac:dyDescent="0.25">
      <c r="A5" t="s">
        <v>328</v>
      </c>
      <c r="B5" s="17" t="str">
        <f t="shared" si="0"/>
        <v>SU002945</v>
      </c>
      <c r="C5" t="s">
        <v>329</v>
      </c>
      <c r="D5" t="s">
        <v>330</v>
      </c>
      <c r="E5" t="s">
        <v>330</v>
      </c>
      <c r="F5" t="s">
        <v>314</v>
      </c>
      <c r="G5" t="s">
        <v>331</v>
      </c>
      <c r="H5">
        <f t="shared" si="1"/>
        <v>-189</v>
      </c>
    </row>
    <row r="6" spans="1:8" x14ac:dyDescent="0.25">
      <c r="A6" t="s">
        <v>332</v>
      </c>
      <c r="B6" s="17" t="str">
        <f t="shared" si="0"/>
        <v>SU002947</v>
      </c>
      <c r="C6" t="s">
        <v>333</v>
      </c>
      <c r="D6" t="s">
        <v>334</v>
      </c>
      <c r="E6" t="s">
        <v>334</v>
      </c>
      <c r="F6" t="s">
        <v>314</v>
      </c>
      <c r="G6" t="s">
        <v>335</v>
      </c>
      <c r="H6">
        <f t="shared" si="1"/>
        <v>-97</v>
      </c>
    </row>
    <row r="7" spans="1:8" x14ac:dyDescent="0.25">
      <c r="A7" t="s">
        <v>336</v>
      </c>
      <c r="B7" s="17" t="str">
        <f t="shared" si="0"/>
        <v>SU002948</v>
      </c>
      <c r="C7" t="s">
        <v>337</v>
      </c>
      <c r="D7" t="s">
        <v>338</v>
      </c>
      <c r="E7" t="s">
        <v>314</v>
      </c>
      <c r="F7" t="s">
        <v>314</v>
      </c>
      <c r="G7" t="s">
        <v>339</v>
      </c>
      <c r="H7">
        <f t="shared" si="1"/>
        <v>-11</v>
      </c>
    </row>
    <row r="8" spans="1:8" x14ac:dyDescent="0.25">
      <c r="A8" t="s">
        <v>340</v>
      </c>
      <c r="B8" s="17" t="str">
        <f t="shared" si="0"/>
        <v>SU002984</v>
      </c>
      <c r="C8" t="s">
        <v>341</v>
      </c>
      <c r="D8" t="s">
        <v>342</v>
      </c>
      <c r="E8" t="s">
        <v>314</v>
      </c>
      <c r="F8" t="s">
        <v>314</v>
      </c>
      <c r="G8" t="s">
        <v>343</v>
      </c>
      <c r="H8">
        <f t="shared" si="1"/>
        <v>-24</v>
      </c>
    </row>
    <row r="9" spans="1:8" x14ac:dyDescent="0.25">
      <c r="A9" t="s">
        <v>344</v>
      </c>
      <c r="B9" s="17" t="str">
        <f t="shared" si="0"/>
        <v>SU003829</v>
      </c>
      <c r="C9" t="s">
        <v>345</v>
      </c>
      <c r="D9" t="s">
        <v>346</v>
      </c>
      <c r="E9" t="s">
        <v>314</v>
      </c>
      <c r="F9" t="s">
        <v>314</v>
      </c>
      <c r="G9" t="s">
        <v>347</v>
      </c>
      <c r="H9">
        <f t="shared" si="1"/>
        <v>-14</v>
      </c>
    </row>
    <row r="10" spans="1:8" x14ac:dyDescent="0.25">
      <c r="A10" t="s">
        <v>348</v>
      </c>
      <c r="B10" s="17" t="str">
        <f t="shared" si="0"/>
        <v>SU003893</v>
      </c>
      <c r="C10" t="s">
        <v>349</v>
      </c>
      <c r="D10" t="s">
        <v>350</v>
      </c>
      <c r="E10" t="s">
        <v>350</v>
      </c>
      <c r="F10" t="s">
        <v>314</v>
      </c>
      <c r="G10" t="s">
        <v>351</v>
      </c>
      <c r="H10">
        <f t="shared" si="1"/>
        <v>-5</v>
      </c>
    </row>
    <row r="11" spans="1:8" x14ac:dyDescent="0.25">
      <c r="A11" t="s">
        <v>352</v>
      </c>
      <c r="B11" s="17" t="str">
        <f t="shared" si="0"/>
        <v>SU003894</v>
      </c>
      <c r="C11" t="s">
        <v>353</v>
      </c>
      <c r="D11" t="s">
        <v>350</v>
      </c>
      <c r="E11" t="s">
        <v>314</v>
      </c>
      <c r="F11" t="s">
        <v>314</v>
      </c>
      <c r="G11" t="s">
        <v>351</v>
      </c>
      <c r="H11">
        <f t="shared" si="1"/>
        <v>-5</v>
      </c>
    </row>
    <row r="12" spans="1:8" x14ac:dyDescent="0.25">
      <c r="A12" t="s">
        <v>354</v>
      </c>
      <c r="B12" s="17" t="str">
        <f t="shared" si="0"/>
        <v>SU004042</v>
      </c>
      <c r="C12" t="s">
        <v>355</v>
      </c>
      <c r="D12" t="s">
        <v>356</v>
      </c>
      <c r="E12" t="s">
        <v>356</v>
      </c>
      <c r="F12" t="s">
        <v>314</v>
      </c>
      <c r="G12" t="s">
        <v>357</v>
      </c>
      <c r="H12">
        <f t="shared" si="1"/>
        <v>-10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E0D9-2EC4-4CE4-9B7E-0D6D48B67A36}">
  <dimension ref="A1:H12"/>
  <sheetViews>
    <sheetView workbookViewId="0">
      <selection activeCell="K11" sqref="K11"/>
    </sheetView>
  </sheetViews>
  <sheetFormatPr defaultRowHeight="15" x14ac:dyDescent="0.25"/>
  <cols>
    <col min="2" max="2" width="9.140625" style="20"/>
    <col min="3" max="3" width="100.5703125" bestFit="1" customWidth="1"/>
  </cols>
  <sheetData>
    <row r="1" spans="1:8" x14ac:dyDescent="0.25">
      <c r="A1" t="s">
        <v>358</v>
      </c>
      <c r="B1" s="20" t="str">
        <f>SUBSTITUTE(A1," ","")</f>
        <v>SU002801</v>
      </c>
      <c r="C1" t="s">
        <v>359</v>
      </c>
      <c r="D1" t="s">
        <v>360</v>
      </c>
      <c r="E1" t="s">
        <v>360</v>
      </c>
      <c r="F1" t="s">
        <v>314</v>
      </c>
      <c r="G1" t="s">
        <v>361</v>
      </c>
      <c r="H1">
        <f>--SUBSTITUTE(G1," ","")</f>
        <v>-53</v>
      </c>
    </row>
    <row r="2" spans="1:8" x14ac:dyDescent="0.25">
      <c r="A2" t="s">
        <v>324</v>
      </c>
      <c r="B2" s="20" t="str">
        <f t="shared" ref="B2:B12" si="0">SUBSTITUTE(A2," ","")</f>
        <v>SU002944</v>
      </c>
      <c r="C2" t="s">
        <v>325</v>
      </c>
      <c r="D2" t="s">
        <v>362</v>
      </c>
      <c r="E2" t="s">
        <v>314</v>
      </c>
      <c r="F2" t="s">
        <v>314</v>
      </c>
      <c r="G2" t="s">
        <v>363</v>
      </c>
      <c r="H2">
        <f t="shared" ref="H2:H12" si="1">--SUBSTITUTE(G2," ","")</f>
        <v>-9</v>
      </c>
    </row>
    <row r="3" spans="1:8" x14ac:dyDescent="0.25">
      <c r="A3" t="s">
        <v>328</v>
      </c>
      <c r="B3" s="20" t="str">
        <f t="shared" si="0"/>
        <v>SU002945</v>
      </c>
      <c r="C3" t="s">
        <v>329</v>
      </c>
      <c r="D3" t="s">
        <v>364</v>
      </c>
      <c r="E3" t="s">
        <v>365</v>
      </c>
      <c r="F3" t="s">
        <v>366</v>
      </c>
      <c r="G3" t="s">
        <v>367</v>
      </c>
      <c r="H3">
        <f t="shared" si="1"/>
        <v>-8</v>
      </c>
    </row>
    <row r="4" spans="1:8" x14ac:dyDescent="0.25">
      <c r="A4" t="s">
        <v>332</v>
      </c>
      <c r="B4" s="20" t="str">
        <f t="shared" si="0"/>
        <v>SU002947</v>
      </c>
      <c r="C4" t="s">
        <v>333</v>
      </c>
      <c r="D4" t="s">
        <v>368</v>
      </c>
      <c r="E4" t="s">
        <v>314</v>
      </c>
      <c r="F4" t="s">
        <v>314</v>
      </c>
      <c r="G4" t="s">
        <v>369</v>
      </c>
      <c r="H4">
        <f t="shared" si="1"/>
        <v>-27</v>
      </c>
    </row>
    <row r="5" spans="1:8" x14ac:dyDescent="0.25">
      <c r="A5" t="s">
        <v>336</v>
      </c>
      <c r="B5" s="20" t="str">
        <f t="shared" si="0"/>
        <v>SU002948</v>
      </c>
      <c r="C5" t="s">
        <v>337</v>
      </c>
      <c r="D5" t="s">
        <v>350</v>
      </c>
      <c r="E5" t="s">
        <v>350</v>
      </c>
      <c r="F5" t="s">
        <v>314</v>
      </c>
      <c r="G5" t="s">
        <v>351</v>
      </c>
      <c r="H5">
        <f t="shared" si="1"/>
        <v>-5</v>
      </c>
    </row>
    <row r="6" spans="1:8" x14ac:dyDescent="0.25">
      <c r="A6" t="s">
        <v>370</v>
      </c>
      <c r="B6" s="20" t="str">
        <f t="shared" si="0"/>
        <v>SU003753</v>
      </c>
      <c r="C6" t="s">
        <v>371</v>
      </c>
      <c r="D6" t="s">
        <v>372</v>
      </c>
      <c r="E6" t="s">
        <v>372</v>
      </c>
      <c r="F6" t="s">
        <v>314</v>
      </c>
      <c r="G6" t="s">
        <v>373</v>
      </c>
      <c r="H6">
        <f t="shared" si="1"/>
        <v>-2</v>
      </c>
    </row>
    <row r="7" spans="1:8" x14ac:dyDescent="0.25">
      <c r="A7" t="s">
        <v>344</v>
      </c>
      <c r="B7" s="20" t="str">
        <f t="shared" si="0"/>
        <v>SU003829</v>
      </c>
      <c r="C7" t="s">
        <v>345</v>
      </c>
      <c r="D7" t="s">
        <v>350</v>
      </c>
      <c r="E7" t="s">
        <v>314</v>
      </c>
      <c r="F7" t="s">
        <v>314</v>
      </c>
      <c r="G7" t="s">
        <v>351</v>
      </c>
      <c r="H7">
        <f t="shared" si="1"/>
        <v>-5</v>
      </c>
    </row>
    <row r="8" spans="1:8" x14ac:dyDescent="0.25">
      <c r="A8" t="s">
        <v>348</v>
      </c>
      <c r="B8" s="20" t="str">
        <f t="shared" si="0"/>
        <v>SU003893</v>
      </c>
      <c r="C8" t="s">
        <v>349</v>
      </c>
      <c r="D8" t="s">
        <v>374</v>
      </c>
      <c r="E8" t="s">
        <v>314</v>
      </c>
      <c r="F8" t="s">
        <v>314</v>
      </c>
      <c r="G8" t="s">
        <v>375</v>
      </c>
      <c r="H8">
        <f t="shared" si="1"/>
        <v>-13</v>
      </c>
    </row>
    <row r="9" spans="1:8" x14ac:dyDescent="0.25">
      <c r="A9" t="s">
        <v>352</v>
      </c>
      <c r="B9" s="20" t="str">
        <f t="shared" si="0"/>
        <v>SU003894</v>
      </c>
      <c r="C9" t="s">
        <v>353</v>
      </c>
      <c r="D9" t="s">
        <v>350</v>
      </c>
      <c r="E9" t="s">
        <v>314</v>
      </c>
      <c r="F9" t="s">
        <v>314</v>
      </c>
      <c r="G9" t="s">
        <v>351</v>
      </c>
      <c r="H9">
        <f t="shared" si="1"/>
        <v>-5</v>
      </c>
    </row>
    <row r="10" spans="1:8" x14ac:dyDescent="0.25">
      <c r="A10" t="s">
        <v>376</v>
      </c>
      <c r="B10" s="20" t="str">
        <f t="shared" si="0"/>
        <v>SU004039</v>
      </c>
      <c r="C10" t="s">
        <v>377</v>
      </c>
      <c r="D10" t="s">
        <v>378</v>
      </c>
      <c r="E10" t="s">
        <v>378</v>
      </c>
      <c r="F10" t="s">
        <v>314</v>
      </c>
      <c r="G10" t="s">
        <v>379</v>
      </c>
      <c r="H10">
        <f t="shared" si="1"/>
        <v>-30</v>
      </c>
    </row>
    <row r="11" spans="1:8" x14ac:dyDescent="0.25">
      <c r="A11" t="s">
        <v>354</v>
      </c>
      <c r="B11" s="20" t="str">
        <f t="shared" si="0"/>
        <v>SU004042</v>
      </c>
      <c r="C11" t="s">
        <v>355</v>
      </c>
      <c r="D11" t="s">
        <v>326</v>
      </c>
      <c r="E11" t="s">
        <v>314</v>
      </c>
      <c r="F11" t="s">
        <v>314</v>
      </c>
      <c r="G11" t="s">
        <v>327</v>
      </c>
      <c r="H11">
        <f t="shared" si="1"/>
        <v>-25</v>
      </c>
    </row>
    <row r="12" spans="1:8" x14ac:dyDescent="0.25">
      <c r="A12" t="s">
        <v>380</v>
      </c>
      <c r="B12" s="20" t="str">
        <f t="shared" si="0"/>
        <v>SU004045</v>
      </c>
      <c r="C12" t="s">
        <v>381</v>
      </c>
      <c r="D12" t="s">
        <v>382</v>
      </c>
      <c r="E12" t="s">
        <v>314</v>
      </c>
      <c r="F12" t="s">
        <v>314</v>
      </c>
      <c r="G12" t="s">
        <v>383</v>
      </c>
      <c r="H12">
        <f t="shared" si="1"/>
        <v>-148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дефицит 27,09</vt:lpstr>
      <vt:lpstr>дефицит 29,09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2026-10-01T15:59:46Z</dcterms:created>
  <dcterms:modified xsi:type="dcterms:W3CDTF">2026-10-06T07:38:40Z</dcterms:modified>
</cp:coreProperties>
</file>