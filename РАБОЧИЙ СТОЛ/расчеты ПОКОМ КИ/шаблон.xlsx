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3F82A683-85A0-446A-A5FB-1EDBA9D854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Sheet!$A$3:$AF$6</definedName>
  </definedNames>
  <calcPr calcId="191029"/>
</workbook>
</file>

<file path=xl/calcChain.xml><?xml version="1.0" encoding="utf-8"?>
<calcChain xmlns="http://schemas.openxmlformats.org/spreadsheetml/2006/main">
  <c r="Q6" i="1" l="1"/>
  <c r="U6" i="1" l="1"/>
  <c r="V6" i="1"/>
  <c r="L6" i="1"/>
  <c r="AD5" i="1"/>
  <c r="AC5" i="1"/>
  <c r="AB5" i="1"/>
  <c r="AA5" i="1"/>
  <c r="Z5" i="1"/>
  <c r="Y5" i="1"/>
  <c r="X5" i="1"/>
  <c r="W5" i="1"/>
  <c r="S5" i="1"/>
  <c r="Q5" i="1"/>
  <c r="P5" i="1"/>
  <c r="O5" i="1"/>
  <c r="N5" i="1"/>
  <c r="M5" i="1"/>
  <c r="K5" i="1"/>
  <c r="F5" i="1"/>
  <c r="E5" i="1"/>
  <c r="AF6" i="1" l="1"/>
  <c r="R5" i="1"/>
  <c r="L5" i="1"/>
  <c r="AF5" i="1" l="1"/>
</calcChain>
</file>

<file path=xl/sharedStrings.xml><?xml version="1.0" encoding="utf-8"?>
<sst xmlns="http://schemas.openxmlformats.org/spreadsheetml/2006/main" count="47" uniqueCount="39">
  <si>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</si>
  <si>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</si>
  <si>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</si>
  <si>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</si>
  <si>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</si>
  <si>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</si>
  <si>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</si>
  <si>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</si>
  <si>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</si>
  <si>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</si>
  <si>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</si>
  <si>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</si>
  <si>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</si>
  <si>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</si>
  <si>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</si>
  <si>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</si>
  <si>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</si>
  <si>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</si>
  <si>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</si>
  <si>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</si>
  <si>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</si>
  <si>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</si>
  <si>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</si>
  <si>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</si>
  <si>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24,01,</t>
  </si>
  <si>
    <t>31,01,</t>
  </si>
  <si>
    <t>29,01,</t>
  </si>
  <si>
    <t>27,01,</t>
  </si>
  <si>
    <t>22,01,</t>
  </si>
  <si>
    <t>20,01,</t>
  </si>
  <si>
    <t>15,01,</t>
  </si>
  <si>
    <t>13,01,</t>
  </si>
  <si>
    <t>08,01,</t>
  </si>
  <si>
    <t>06,01,</t>
  </si>
  <si>
    <t>25,12,</t>
  </si>
  <si>
    <t>матрица</t>
  </si>
  <si>
    <t>шт</t>
  </si>
  <si>
    <t xml:space="preserve"> 030  Сосиски Вязанка Молочные, Вязанка вискофан МГС, 0.45кг, ПОКОМ</t>
  </si>
  <si>
    <t>Мера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</si>
</sst>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0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16" sqref="V1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0" width="14" customWidth="1"/>
    <col min="21" max="22" width="5" customWidth="1"/>
    <col min="23" max="30" width="6" customWidth="1"/>
    <col min="31" max="31" width="49.42578125" customWidth="1"/>
    <col min="32" max="32" width="7" customWidth="1"/>
    <col min="33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6" t="s">
        <v>17</v>
      </c>
      <c r="T3" s="6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SUM(E6:E405)</f>
        <v>303</v>
      </c>
      <c r="F5" s="4">
        <f>SUM(F6:F405)</f>
        <v>526</v>
      </c>
      <c r="G5" s="7"/>
      <c r="H5" s="1"/>
      <c r="I5" s="1"/>
      <c r="J5" s="1"/>
      <c r="K5" s="4">
        <f>SUM(K6:K405)</f>
        <v>311</v>
      </c>
      <c r="L5" s="4">
        <f>SUM(L6:L405)</f>
        <v>-8</v>
      </c>
      <c r="M5" s="4">
        <f>SUM(M6:M405)</f>
        <v>0</v>
      </c>
      <c r="N5" s="4">
        <f>SUM(N6:N405)</f>
        <v>0</v>
      </c>
      <c r="O5" s="4">
        <f>SUM(O6:O405)</f>
        <v>154.40000000000009</v>
      </c>
      <c r="P5" s="4">
        <f>SUM(P6:P405)</f>
        <v>135.24</v>
      </c>
      <c r="Q5" s="4">
        <f>SUM(Q6:Q405)</f>
        <v>60.6</v>
      </c>
      <c r="R5" s="4">
        <f>SUM(R6:R405)</f>
        <v>0</v>
      </c>
      <c r="S5" s="4">
        <f>SUM(S6:S405)</f>
        <v>0</v>
      </c>
      <c r="T5" s="1"/>
      <c r="U5" s="1"/>
      <c r="V5" s="1"/>
      <c r="W5" s="4">
        <f>SUM(W6:W405)</f>
        <v>64.400000000000006</v>
      </c>
      <c r="X5" s="4">
        <f>SUM(X6:X405)</f>
        <v>80.599999999999994</v>
      </c>
      <c r="Y5" s="4">
        <f>SUM(Y6:Y405)</f>
        <v>65.400000000000006</v>
      </c>
      <c r="Z5" s="4">
        <f>SUM(Z6:Z405)</f>
        <v>60</v>
      </c>
      <c r="AA5" s="4">
        <f>SUM(AA6:AA405)</f>
        <v>54.6</v>
      </c>
      <c r="AB5" s="4">
        <f>SUM(AB6:AB405)</f>
        <v>56.833333333333343</v>
      </c>
      <c r="AC5" s="4">
        <f>SUM(AC6:AC405)</f>
        <v>50</v>
      </c>
      <c r="AD5" s="4">
        <f>SUM(AD6:AD405)</f>
        <v>23.4</v>
      </c>
      <c r="AE5" s="1"/>
      <c r="AF5" s="4">
        <f>SUM(AF6:AF405)</f>
        <v>0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9" t="s">
        <v>37</v>
      </c>
      <c r="B6" s="9" t="s">
        <v>36</v>
      </c>
      <c r="C6" s="9">
        <v>11</v>
      </c>
      <c r="D6" s="9">
        <v>817</v>
      </c>
      <c r="E6" s="9">
        <v>303</v>
      </c>
      <c r="F6" s="9">
        <v>526</v>
      </c>
      <c r="G6" s="10">
        <v>0.45</v>
      </c>
      <c r="H6" s="9">
        <v>45</v>
      </c>
      <c r="I6" s="9" t="s">
        <v>35</v>
      </c>
      <c r="J6" s="9"/>
      <c r="K6" s="9">
        <v>311</v>
      </c>
      <c r="L6" s="9">
        <f t="shared" ref="L6" si="0">E6-K6</f>
        <v>-8</v>
      </c>
      <c r="M6" s="9"/>
      <c r="N6" s="9"/>
      <c r="O6" s="9">
        <v>154.40000000000009</v>
      </c>
      <c r="P6" s="9">
        <v>135.24</v>
      </c>
      <c r="Q6" s="9">
        <f t="shared" ref="Q6" si="1">E6/5</f>
        <v>60.6</v>
      </c>
      <c r="R6" s="11"/>
      <c r="S6" s="11"/>
      <c r="T6" s="9"/>
      <c r="U6" s="9">
        <f t="shared" ref="U6" si="2">(F6+O6+P6+R6)/Q6</f>
        <v>13.459405940594062</v>
      </c>
      <c r="V6" s="9">
        <f t="shared" ref="V6" si="3">(F6+O6+P6)/Q6</f>
        <v>13.459405940594062</v>
      </c>
      <c r="W6" s="9">
        <v>64.400000000000006</v>
      </c>
      <c r="X6" s="9">
        <v>80.599999999999994</v>
      </c>
      <c r="Y6" s="9">
        <v>65.400000000000006</v>
      </c>
      <c r="Z6" s="9">
        <v>60</v>
      </c>
      <c r="AA6" s="9">
        <v>54.6</v>
      </c>
      <c r="AB6" s="9">
        <v>56.833333333333343</v>
      </c>
      <c r="AC6" s="9">
        <v>50</v>
      </c>
      <c r="AD6" s="9">
        <v>23.4</v>
      </c>
      <c r="AE6" s="9" t="s">
        <v>38</v>
      </c>
      <c r="AF6" s="9">
        <f t="shared" ref="AF6" si="4"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/>
      <c r="B7" s="1"/>
      <c r="C7" s="1"/>
      <c r="D7" s="1"/>
      <c r="E7" s="1"/>
      <c r="F7" s="1"/>
      <c r="G7" s="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/>
      <c r="B8" s="1"/>
      <c r="C8" s="1"/>
      <c r="D8" s="1"/>
      <c r="E8" s="1"/>
      <c r="F8" s="1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/>
      <c r="B9" s="1"/>
      <c r="C9" s="1"/>
      <c r="D9" s="1"/>
      <c r="E9" s="1"/>
      <c r="F9" s="1"/>
      <c r="G9" s="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/>
      <c r="B10" s="1"/>
      <c r="C10" s="1"/>
      <c r="D10" s="1"/>
      <c r="E10" s="1"/>
      <c r="F10" s="1"/>
      <c r="G10" s="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/>
      <c r="B11" s="1"/>
      <c r="C11" s="1"/>
      <c r="D11" s="1"/>
      <c r="E11" s="1"/>
      <c r="F11" s="1"/>
      <c r="G11" s="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/>
      <c r="B12" s="1"/>
      <c r="C12" s="1"/>
      <c r="D12" s="1"/>
      <c r="E12" s="1"/>
      <c r="F12" s="1"/>
      <c r="G12" s="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/>
      <c r="B13" s="1"/>
      <c r="C13" s="1"/>
      <c r="D13" s="1"/>
      <c r="E13" s="1"/>
      <c r="F13" s="1"/>
      <c r="G13" s="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/>
      <c r="B14" s="1"/>
      <c r="C14" s="1"/>
      <c r="D14" s="1"/>
      <c r="E14" s="1"/>
      <c r="F14" s="1"/>
      <c r="G14" s="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/>
      <c r="B15" s="1"/>
      <c r="C15" s="1"/>
      <c r="D15" s="1"/>
      <c r="E15" s="1"/>
      <c r="F15" s="1"/>
      <c r="G15" s="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/>
      <c r="B16" s="1"/>
      <c r="C16" s="1"/>
      <c r="D16" s="1"/>
      <c r="E16" s="1"/>
      <c r="F16" s="1"/>
      <c r="G16" s="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</sheetData>
  <autoFilter ref="A3:AF6" xr:uid="{4A32B068-571A-4098-AB62-37941F19D2E6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2026-01-29T10:41:03Z</dcterms:created>
  <dcterms:modified xsi:type="dcterms:W3CDTF">2026-06-25T08:20:59Z</dcterms:modified>
</cp:coreProperties>
</file>