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1D89A72A-726A-40CD-89E1-BB1B483591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Sheet!$A$3:$AG$138</definedName>
  </definedNames>
  <calcPr calcId="191029"/>
</workbook>
</file>

<file path=xl/calcChain.xml><?xml version="1.0" encoding="utf-8"?>
<calcChain xmlns="http://schemas.openxmlformats.org/spreadsheetml/2006/main">
  <c r="AG133" i="1" l="1"/>
  <c r="AG118" i="1"/>
  <c r="AG117" i="1"/>
  <c r="AG69" i="1"/>
  <c r="AG68" i="1"/>
  <c r="AG13" i="1"/>
  <c r="M138" i="1"/>
  <c r="T138" i="1" s="1"/>
  <c r="W138" i="1" s="1"/>
  <c r="L138" i="1"/>
  <c r="M137" i="1"/>
  <c r="T137" i="1" s="1"/>
  <c r="AG137" i="1" s="1"/>
  <c r="L137" i="1"/>
  <c r="M136" i="1"/>
  <c r="T136" i="1" s="1"/>
  <c r="AG136" i="1" s="1"/>
  <c r="L136" i="1"/>
  <c r="M135" i="1"/>
  <c r="T135" i="1" s="1"/>
  <c r="U135" i="1" s="1"/>
  <c r="AG135" i="1" s="1"/>
  <c r="L135" i="1"/>
  <c r="M134" i="1"/>
  <c r="T134" i="1" s="1"/>
  <c r="AG134" i="1" s="1"/>
  <c r="L134" i="1"/>
  <c r="M133" i="1"/>
  <c r="T133" i="1" s="1"/>
  <c r="L133" i="1"/>
  <c r="M132" i="1"/>
  <c r="T132" i="1" s="1"/>
  <c r="AG132" i="1" s="1"/>
  <c r="L132" i="1"/>
  <c r="F131" i="1"/>
  <c r="E131" i="1"/>
  <c r="L131" i="1" s="1"/>
  <c r="M130" i="1"/>
  <c r="T130" i="1" s="1"/>
  <c r="AG130" i="1" s="1"/>
  <c r="L130" i="1"/>
  <c r="F129" i="1"/>
  <c r="E129" i="1"/>
  <c r="L129" i="1" s="1"/>
  <c r="M128" i="1"/>
  <c r="T128" i="1" s="1"/>
  <c r="U128" i="1" s="1"/>
  <c r="AG128" i="1" s="1"/>
  <c r="L128" i="1"/>
  <c r="M127" i="1"/>
  <c r="T127" i="1" s="1"/>
  <c r="U127" i="1" s="1"/>
  <c r="AG127" i="1" s="1"/>
  <c r="L127" i="1"/>
  <c r="M126" i="1"/>
  <c r="T126" i="1" s="1"/>
  <c r="U126" i="1" s="1"/>
  <c r="AG126" i="1" s="1"/>
  <c r="L126" i="1"/>
  <c r="M125" i="1"/>
  <c r="T125" i="1" s="1"/>
  <c r="AG125" i="1" s="1"/>
  <c r="L125" i="1"/>
  <c r="M124" i="1"/>
  <c r="T124" i="1" s="1"/>
  <c r="AG124" i="1" s="1"/>
  <c r="L124" i="1"/>
  <c r="M123" i="1"/>
  <c r="T123" i="1" s="1"/>
  <c r="U123" i="1" s="1"/>
  <c r="AG123" i="1" s="1"/>
  <c r="L123" i="1"/>
  <c r="M122" i="1"/>
  <c r="T122" i="1" s="1"/>
  <c r="AG122" i="1" s="1"/>
  <c r="L122" i="1"/>
  <c r="M121" i="1"/>
  <c r="T121" i="1" s="1"/>
  <c r="L121" i="1"/>
  <c r="M120" i="1"/>
  <c r="T120" i="1" s="1"/>
  <c r="AG120" i="1" s="1"/>
  <c r="L120" i="1"/>
  <c r="M119" i="1"/>
  <c r="T119" i="1" s="1"/>
  <c r="L119" i="1"/>
  <c r="M118" i="1"/>
  <c r="T118" i="1" s="1"/>
  <c r="W118" i="1" s="1"/>
  <c r="L118" i="1"/>
  <c r="M117" i="1"/>
  <c r="T117" i="1" s="1"/>
  <c r="W117" i="1" s="1"/>
  <c r="L117" i="1"/>
  <c r="M116" i="1"/>
  <c r="T116" i="1" s="1"/>
  <c r="AG116" i="1" s="1"/>
  <c r="L116" i="1"/>
  <c r="M115" i="1"/>
  <c r="T115" i="1" s="1"/>
  <c r="AG115" i="1" s="1"/>
  <c r="L115" i="1"/>
  <c r="M114" i="1"/>
  <c r="T114" i="1" s="1"/>
  <c r="W114" i="1" s="1"/>
  <c r="L114" i="1"/>
  <c r="M113" i="1"/>
  <c r="T113" i="1" s="1"/>
  <c r="AG113" i="1" s="1"/>
  <c r="L113" i="1"/>
  <c r="AG112" i="1"/>
  <c r="M112" i="1"/>
  <c r="T112" i="1" s="1"/>
  <c r="L112" i="1"/>
  <c r="M111" i="1"/>
  <c r="T111" i="1" s="1"/>
  <c r="AG111" i="1" s="1"/>
  <c r="L111" i="1"/>
  <c r="M110" i="1"/>
  <c r="T110" i="1" s="1"/>
  <c r="AG110" i="1" s="1"/>
  <c r="L110" i="1"/>
  <c r="M109" i="1"/>
  <c r="T109" i="1" s="1"/>
  <c r="W109" i="1" s="1"/>
  <c r="L109" i="1"/>
  <c r="M108" i="1"/>
  <c r="T108" i="1" s="1"/>
  <c r="L108" i="1"/>
  <c r="M107" i="1"/>
  <c r="T107" i="1" s="1"/>
  <c r="AG107" i="1" s="1"/>
  <c r="L107" i="1"/>
  <c r="M106" i="1"/>
  <c r="T106" i="1" s="1"/>
  <c r="AG106" i="1" s="1"/>
  <c r="L106" i="1"/>
  <c r="M105" i="1"/>
  <c r="T105" i="1" s="1"/>
  <c r="AG105" i="1" s="1"/>
  <c r="L105" i="1"/>
  <c r="M104" i="1"/>
  <c r="T104" i="1" s="1"/>
  <c r="L104" i="1"/>
  <c r="M103" i="1"/>
  <c r="T103" i="1" s="1"/>
  <c r="AG103" i="1" s="1"/>
  <c r="L103" i="1"/>
  <c r="M102" i="1"/>
  <c r="T102" i="1" s="1"/>
  <c r="L102" i="1"/>
  <c r="M101" i="1"/>
  <c r="T101" i="1" s="1"/>
  <c r="W101" i="1" s="1"/>
  <c r="L101" i="1"/>
  <c r="M100" i="1"/>
  <c r="T100" i="1" s="1"/>
  <c r="AG100" i="1" s="1"/>
  <c r="L100" i="1"/>
  <c r="M99" i="1"/>
  <c r="T99" i="1" s="1"/>
  <c r="AG99" i="1" s="1"/>
  <c r="L99" i="1"/>
  <c r="M98" i="1"/>
  <c r="T98" i="1" s="1"/>
  <c r="L98" i="1"/>
  <c r="M97" i="1"/>
  <c r="T97" i="1" s="1"/>
  <c r="L97" i="1"/>
  <c r="M96" i="1"/>
  <c r="T96" i="1" s="1"/>
  <c r="U96" i="1" s="1"/>
  <c r="AG96" i="1" s="1"/>
  <c r="L96" i="1"/>
  <c r="M95" i="1"/>
  <c r="T95" i="1" s="1"/>
  <c r="L95" i="1"/>
  <c r="F95" i="1"/>
  <c r="M94" i="1"/>
  <c r="T94" i="1" s="1"/>
  <c r="AG94" i="1" s="1"/>
  <c r="L94" i="1"/>
  <c r="M93" i="1"/>
  <c r="T93" i="1" s="1"/>
  <c r="AG93" i="1" s="1"/>
  <c r="L93" i="1"/>
  <c r="M92" i="1"/>
  <c r="T92" i="1" s="1"/>
  <c r="AG92" i="1" s="1"/>
  <c r="L92" i="1"/>
  <c r="M91" i="1"/>
  <c r="T91" i="1" s="1"/>
  <c r="AG91" i="1" s="1"/>
  <c r="L91" i="1"/>
  <c r="M90" i="1"/>
  <c r="T90" i="1" s="1"/>
  <c r="W90" i="1" s="1"/>
  <c r="L90" i="1"/>
  <c r="M89" i="1"/>
  <c r="T89" i="1" s="1"/>
  <c r="AG89" i="1" s="1"/>
  <c r="L89" i="1"/>
  <c r="M88" i="1"/>
  <c r="T88" i="1" s="1"/>
  <c r="AG88" i="1" s="1"/>
  <c r="L88" i="1"/>
  <c r="M87" i="1"/>
  <c r="T87" i="1" s="1"/>
  <c r="L87" i="1"/>
  <c r="M86" i="1"/>
  <c r="T86" i="1" s="1"/>
  <c r="AG86" i="1" s="1"/>
  <c r="L86" i="1"/>
  <c r="AG85" i="1"/>
  <c r="M85" i="1"/>
  <c r="T85" i="1" s="1"/>
  <c r="L85" i="1"/>
  <c r="M84" i="1"/>
  <c r="T84" i="1" s="1"/>
  <c r="U84" i="1" s="1"/>
  <c r="AG84" i="1" s="1"/>
  <c r="L84" i="1"/>
  <c r="M83" i="1"/>
  <c r="T83" i="1" s="1"/>
  <c r="L83" i="1"/>
  <c r="M82" i="1"/>
  <c r="T82" i="1" s="1"/>
  <c r="L82" i="1"/>
  <c r="M81" i="1"/>
  <c r="T81" i="1" s="1"/>
  <c r="AG81" i="1" s="1"/>
  <c r="L81" i="1"/>
  <c r="M80" i="1"/>
  <c r="T80" i="1" s="1"/>
  <c r="L80" i="1"/>
  <c r="M79" i="1"/>
  <c r="T79" i="1" s="1"/>
  <c r="L79" i="1"/>
  <c r="M78" i="1"/>
  <c r="T78" i="1" s="1"/>
  <c r="W78" i="1" s="1"/>
  <c r="L78" i="1"/>
  <c r="M77" i="1"/>
  <c r="T77" i="1" s="1"/>
  <c r="W77" i="1" s="1"/>
  <c r="L77" i="1"/>
  <c r="M76" i="1"/>
  <c r="T76" i="1" s="1"/>
  <c r="L76" i="1"/>
  <c r="M75" i="1"/>
  <c r="T75" i="1" s="1"/>
  <c r="W75" i="1" s="1"/>
  <c r="L75" i="1"/>
  <c r="M74" i="1"/>
  <c r="T74" i="1" s="1"/>
  <c r="U74" i="1" s="1"/>
  <c r="AG74" i="1" s="1"/>
  <c r="L74" i="1"/>
  <c r="M73" i="1"/>
  <c r="T73" i="1" s="1"/>
  <c r="L73" i="1"/>
  <c r="AG72" i="1"/>
  <c r="M72" i="1"/>
  <c r="T72" i="1" s="1"/>
  <c r="L72" i="1"/>
  <c r="M71" i="1"/>
  <c r="T71" i="1" s="1"/>
  <c r="W71" i="1" s="1"/>
  <c r="L71" i="1"/>
  <c r="M70" i="1"/>
  <c r="T70" i="1" s="1"/>
  <c r="W70" i="1" s="1"/>
  <c r="L70" i="1"/>
  <c r="M69" i="1"/>
  <c r="T69" i="1" s="1"/>
  <c r="L69" i="1"/>
  <c r="M68" i="1"/>
  <c r="T68" i="1" s="1"/>
  <c r="L68" i="1"/>
  <c r="M67" i="1"/>
  <c r="T67" i="1" s="1"/>
  <c r="U67" i="1" s="1"/>
  <c r="AG67" i="1" s="1"/>
  <c r="L67" i="1"/>
  <c r="M66" i="1"/>
  <c r="T66" i="1" s="1"/>
  <c r="W66" i="1" s="1"/>
  <c r="L66" i="1"/>
  <c r="M65" i="1"/>
  <c r="T65" i="1" s="1"/>
  <c r="AG65" i="1" s="1"/>
  <c r="L65" i="1"/>
  <c r="M64" i="1"/>
  <c r="T64" i="1" s="1"/>
  <c r="AG64" i="1" s="1"/>
  <c r="L64" i="1"/>
  <c r="M63" i="1"/>
  <c r="T63" i="1" s="1"/>
  <c r="U63" i="1" s="1"/>
  <c r="AG63" i="1" s="1"/>
  <c r="L63" i="1"/>
  <c r="M62" i="1"/>
  <c r="T62" i="1" s="1"/>
  <c r="AG62" i="1" s="1"/>
  <c r="L62" i="1"/>
  <c r="M61" i="1"/>
  <c r="T61" i="1" s="1"/>
  <c r="L61" i="1"/>
  <c r="M60" i="1"/>
  <c r="T60" i="1" s="1"/>
  <c r="W60" i="1" s="1"/>
  <c r="L60" i="1"/>
  <c r="M59" i="1"/>
  <c r="T59" i="1" s="1"/>
  <c r="U59" i="1" s="1"/>
  <c r="AG59" i="1" s="1"/>
  <c r="L59" i="1"/>
  <c r="M58" i="1"/>
  <c r="T58" i="1" s="1"/>
  <c r="L58" i="1"/>
  <c r="M57" i="1"/>
  <c r="T57" i="1" s="1"/>
  <c r="L57" i="1"/>
  <c r="M56" i="1"/>
  <c r="T56" i="1" s="1"/>
  <c r="AG56" i="1" s="1"/>
  <c r="L56" i="1"/>
  <c r="M55" i="1"/>
  <c r="T55" i="1" s="1"/>
  <c r="AG55" i="1" s="1"/>
  <c r="L55" i="1"/>
  <c r="M54" i="1"/>
  <c r="T54" i="1" s="1"/>
  <c r="W54" i="1" s="1"/>
  <c r="L54" i="1"/>
  <c r="M53" i="1"/>
  <c r="T53" i="1" s="1"/>
  <c r="L53" i="1"/>
  <c r="M52" i="1"/>
  <c r="T52" i="1" s="1"/>
  <c r="L52" i="1"/>
  <c r="M51" i="1"/>
  <c r="T51" i="1" s="1"/>
  <c r="W51" i="1" s="1"/>
  <c r="L51" i="1"/>
  <c r="M50" i="1"/>
  <c r="T50" i="1" s="1"/>
  <c r="AG50" i="1" s="1"/>
  <c r="L50" i="1"/>
  <c r="M49" i="1"/>
  <c r="T49" i="1" s="1"/>
  <c r="W49" i="1" s="1"/>
  <c r="L49" i="1"/>
  <c r="M48" i="1"/>
  <c r="T48" i="1" s="1"/>
  <c r="AG48" i="1" s="1"/>
  <c r="L48" i="1"/>
  <c r="M47" i="1"/>
  <c r="T47" i="1" s="1"/>
  <c r="AG47" i="1" s="1"/>
  <c r="L47" i="1"/>
  <c r="M46" i="1"/>
  <c r="T46" i="1" s="1"/>
  <c r="AG46" i="1" s="1"/>
  <c r="L46" i="1"/>
  <c r="M45" i="1"/>
  <c r="T45" i="1" s="1"/>
  <c r="AG45" i="1" s="1"/>
  <c r="L45" i="1"/>
  <c r="M44" i="1"/>
  <c r="T44" i="1" s="1"/>
  <c r="W44" i="1" s="1"/>
  <c r="L44" i="1"/>
  <c r="M43" i="1"/>
  <c r="T43" i="1" s="1"/>
  <c r="W43" i="1" s="1"/>
  <c r="L43" i="1"/>
  <c r="M42" i="1"/>
  <c r="T42" i="1" s="1"/>
  <c r="AG42" i="1" s="1"/>
  <c r="L42" i="1"/>
  <c r="M41" i="1"/>
  <c r="T41" i="1" s="1"/>
  <c r="AG41" i="1" s="1"/>
  <c r="L41" i="1"/>
  <c r="M40" i="1"/>
  <c r="T40" i="1" s="1"/>
  <c r="U40" i="1" s="1"/>
  <c r="AG40" i="1" s="1"/>
  <c r="L40" i="1"/>
  <c r="M39" i="1"/>
  <c r="T39" i="1" s="1"/>
  <c r="W39" i="1" s="1"/>
  <c r="L39" i="1"/>
  <c r="M38" i="1"/>
  <c r="T38" i="1" s="1"/>
  <c r="L38" i="1"/>
  <c r="M37" i="1"/>
  <c r="T37" i="1" s="1"/>
  <c r="W37" i="1" s="1"/>
  <c r="L37" i="1"/>
  <c r="M36" i="1"/>
  <c r="T36" i="1" s="1"/>
  <c r="L36" i="1"/>
  <c r="M35" i="1"/>
  <c r="T35" i="1" s="1"/>
  <c r="W35" i="1" s="1"/>
  <c r="L35" i="1"/>
  <c r="M34" i="1"/>
  <c r="T34" i="1" s="1"/>
  <c r="AG34" i="1" s="1"/>
  <c r="L34" i="1"/>
  <c r="M33" i="1"/>
  <c r="T33" i="1" s="1"/>
  <c r="L33" i="1"/>
  <c r="M32" i="1"/>
  <c r="T32" i="1" s="1"/>
  <c r="AG32" i="1" s="1"/>
  <c r="L32" i="1"/>
  <c r="M31" i="1"/>
  <c r="T31" i="1" s="1"/>
  <c r="L31" i="1"/>
  <c r="M30" i="1"/>
  <c r="T30" i="1" s="1"/>
  <c r="W30" i="1" s="1"/>
  <c r="L30" i="1"/>
  <c r="M29" i="1"/>
  <c r="T29" i="1" s="1"/>
  <c r="L29" i="1"/>
  <c r="M28" i="1"/>
  <c r="T28" i="1" s="1"/>
  <c r="AG28" i="1" s="1"/>
  <c r="L28" i="1"/>
  <c r="M27" i="1"/>
  <c r="T27" i="1" s="1"/>
  <c r="U27" i="1" s="1"/>
  <c r="AG27" i="1" s="1"/>
  <c r="L27" i="1"/>
  <c r="M26" i="1"/>
  <c r="T26" i="1" s="1"/>
  <c r="L26" i="1"/>
  <c r="M25" i="1"/>
  <c r="T25" i="1" s="1"/>
  <c r="U25" i="1" s="1"/>
  <c r="AG25" i="1" s="1"/>
  <c r="L25" i="1"/>
  <c r="M24" i="1"/>
  <c r="T24" i="1" s="1"/>
  <c r="AG24" i="1" s="1"/>
  <c r="L24" i="1"/>
  <c r="M23" i="1"/>
  <c r="T23" i="1" s="1"/>
  <c r="L23" i="1"/>
  <c r="M22" i="1"/>
  <c r="T22" i="1" s="1"/>
  <c r="AG22" i="1" s="1"/>
  <c r="L22" i="1"/>
  <c r="M21" i="1"/>
  <c r="T21" i="1" s="1"/>
  <c r="AG21" i="1" s="1"/>
  <c r="L21" i="1"/>
  <c r="M20" i="1"/>
  <c r="T20" i="1" s="1"/>
  <c r="L20" i="1"/>
  <c r="M19" i="1"/>
  <c r="T19" i="1" s="1"/>
  <c r="L19" i="1"/>
  <c r="M18" i="1"/>
  <c r="T18" i="1" s="1"/>
  <c r="U18" i="1" s="1"/>
  <c r="AG18" i="1" s="1"/>
  <c r="L18" i="1"/>
  <c r="M17" i="1"/>
  <c r="T17" i="1" s="1"/>
  <c r="W17" i="1" s="1"/>
  <c r="L17" i="1"/>
  <c r="M16" i="1"/>
  <c r="T16" i="1" s="1"/>
  <c r="L16" i="1"/>
  <c r="M15" i="1"/>
  <c r="T15" i="1" s="1"/>
  <c r="L15" i="1"/>
  <c r="M14" i="1"/>
  <c r="T14" i="1" s="1"/>
  <c r="U14" i="1" s="1"/>
  <c r="AG14" i="1" s="1"/>
  <c r="L14" i="1"/>
  <c r="M13" i="1"/>
  <c r="T13" i="1" s="1"/>
  <c r="L13" i="1"/>
  <c r="M12" i="1"/>
  <c r="T12" i="1" s="1"/>
  <c r="AG12" i="1" s="1"/>
  <c r="L12" i="1"/>
  <c r="M11" i="1"/>
  <c r="T11" i="1" s="1"/>
  <c r="U11" i="1" s="1"/>
  <c r="AG11" i="1" s="1"/>
  <c r="L11" i="1"/>
  <c r="M10" i="1"/>
  <c r="T10" i="1" s="1"/>
  <c r="U10" i="1" s="1"/>
  <c r="AG10" i="1" s="1"/>
  <c r="L10" i="1"/>
  <c r="M9" i="1"/>
  <c r="T9" i="1" s="1"/>
  <c r="W9" i="1" s="1"/>
  <c r="L9" i="1"/>
  <c r="M8" i="1"/>
  <c r="T8" i="1" s="1"/>
  <c r="L8" i="1"/>
  <c r="F8" i="1"/>
  <c r="M7" i="1"/>
  <c r="T7" i="1" s="1"/>
  <c r="U7" i="1" s="1"/>
  <c r="L7" i="1"/>
  <c r="M6" i="1"/>
  <c r="T6" i="1" s="1"/>
  <c r="U6" i="1" s="1"/>
  <c r="AG6" i="1" s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E5" i="1"/>
  <c r="U80" i="1" l="1"/>
  <c r="AG80" i="1" s="1"/>
  <c r="U83" i="1"/>
  <c r="AG83" i="1" s="1"/>
  <c r="U52" i="1"/>
  <c r="AG52" i="1" s="1"/>
  <c r="U95" i="1"/>
  <c r="AG95" i="1" s="1"/>
  <c r="W7" i="1"/>
  <c r="AG7" i="1"/>
  <c r="U8" i="1"/>
  <c r="AG8" i="1" s="1"/>
  <c r="U16" i="1"/>
  <c r="AG16" i="1" s="1"/>
  <c r="W119" i="1"/>
  <c r="AG119" i="1"/>
  <c r="W76" i="1"/>
  <c r="U76" i="1"/>
  <c r="AG76" i="1" s="1"/>
  <c r="W58" i="1"/>
  <c r="AG51" i="1"/>
  <c r="V51" i="1"/>
  <c r="W61" i="1"/>
  <c r="U61" i="1"/>
  <c r="AG61" i="1" s="1"/>
  <c r="W102" i="1"/>
  <c r="AG102" i="1"/>
  <c r="W53" i="1"/>
  <c r="AG53" i="1"/>
  <c r="AG70" i="1"/>
  <c r="U17" i="1"/>
  <c r="AG17" i="1" s="1"/>
  <c r="AG49" i="1"/>
  <c r="AG71" i="1"/>
  <c r="W95" i="1"/>
  <c r="M129" i="1"/>
  <c r="T129" i="1" s="1"/>
  <c r="AG129" i="1" s="1"/>
  <c r="AG101" i="1"/>
  <c r="V123" i="1"/>
  <c r="U77" i="1"/>
  <c r="AG77" i="1" s="1"/>
  <c r="U78" i="1"/>
  <c r="AG78" i="1" s="1"/>
  <c r="U82" i="1"/>
  <c r="AG82" i="1" s="1"/>
  <c r="U60" i="1"/>
  <c r="AG60" i="1" s="1"/>
  <c r="U109" i="1"/>
  <c r="AG109" i="1" s="1"/>
  <c r="AG39" i="1"/>
  <c r="V106" i="1"/>
  <c r="AG9" i="1"/>
  <c r="AG43" i="1"/>
  <c r="AG114" i="1"/>
  <c r="U44" i="1"/>
  <c r="AG44" i="1" s="1"/>
  <c r="AG66" i="1"/>
  <c r="V117" i="1"/>
  <c r="V42" i="1"/>
  <c r="W42" i="1"/>
  <c r="V19" i="1"/>
  <c r="W19" i="1"/>
  <c r="W68" i="1"/>
  <c r="V68" i="1"/>
  <c r="V100" i="1"/>
  <c r="W100" i="1"/>
  <c r="V69" i="1"/>
  <c r="W69" i="1"/>
  <c r="W116" i="1"/>
  <c r="V116" i="1"/>
  <c r="W41" i="1"/>
  <c r="V41" i="1"/>
  <c r="W52" i="1"/>
  <c r="V31" i="1"/>
  <c r="W31" i="1"/>
  <c r="V59" i="1"/>
  <c r="W59" i="1"/>
  <c r="W99" i="1"/>
  <c r="V99" i="1"/>
  <c r="L5" i="1"/>
  <c r="M131" i="1"/>
  <c r="T131" i="1" s="1"/>
  <c r="AG131" i="1" s="1"/>
  <c r="W84" i="1"/>
  <c r="V84" i="1"/>
  <c r="W91" i="1"/>
  <c r="V91" i="1"/>
  <c r="V97" i="1"/>
  <c r="W97" i="1"/>
  <c r="W115" i="1"/>
  <c r="V115" i="1"/>
  <c r="W126" i="1"/>
  <c r="V126" i="1"/>
  <c r="W132" i="1"/>
  <c r="V132" i="1"/>
  <c r="W8" i="1"/>
  <c r="W72" i="1"/>
  <c r="V72" i="1"/>
  <c r="W14" i="1"/>
  <c r="V14" i="1"/>
  <c r="W20" i="1"/>
  <c r="V20" i="1"/>
  <c r="V46" i="1"/>
  <c r="W46" i="1"/>
  <c r="W57" i="1"/>
  <c r="V57" i="1"/>
  <c r="W98" i="1"/>
  <c r="V98" i="1"/>
  <c r="W120" i="1"/>
  <c r="V120" i="1"/>
  <c r="V28" i="1"/>
  <c r="W28" i="1"/>
  <c r="W62" i="1"/>
  <c r="V62" i="1"/>
  <c r="W85" i="1"/>
  <c r="V85" i="1"/>
  <c r="W92" i="1"/>
  <c r="V92" i="1"/>
  <c r="W103" i="1"/>
  <c r="V103" i="1"/>
  <c r="W127" i="1"/>
  <c r="V127" i="1"/>
  <c r="W133" i="1"/>
  <c r="V133" i="1"/>
  <c r="W110" i="1"/>
  <c r="V110" i="1"/>
  <c r="V47" i="1"/>
  <c r="W47" i="1"/>
  <c r="W121" i="1"/>
  <c r="V121" i="1"/>
  <c r="W50" i="1"/>
  <c r="V50" i="1"/>
  <c r="W21" i="1"/>
  <c r="V21" i="1"/>
  <c r="W15" i="1"/>
  <c r="V15" i="1"/>
  <c r="W79" i="1"/>
  <c r="V79" i="1"/>
  <c r="V29" i="1"/>
  <c r="W29" i="1"/>
  <c r="W36" i="1"/>
  <c r="V36" i="1"/>
  <c r="V63" i="1"/>
  <c r="W63" i="1"/>
  <c r="W74" i="1"/>
  <c r="V74" i="1"/>
  <c r="W86" i="1"/>
  <c r="V86" i="1"/>
  <c r="W93" i="1"/>
  <c r="V93" i="1"/>
  <c r="V104" i="1"/>
  <c r="W104" i="1"/>
  <c r="W128" i="1"/>
  <c r="V128" i="1"/>
  <c r="W134" i="1"/>
  <c r="V134" i="1"/>
  <c r="W6" i="1"/>
  <c r="V6" i="1"/>
  <c r="W122" i="1"/>
  <c r="V122" i="1"/>
  <c r="W73" i="1"/>
  <c r="V73" i="1"/>
  <c r="V64" i="1"/>
  <c r="W64" i="1"/>
  <c r="W87" i="1"/>
  <c r="V87" i="1"/>
  <c r="V94" i="1"/>
  <c r="W94" i="1"/>
  <c r="W135" i="1"/>
  <c r="V135" i="1"/>
  <c r="V111" i="1"/>
  <c r="W111" i="1"/>
  <c r="W105" i="1"/>
  <c r="V105" i="1"/>
  <c r="W10" i="1"/>
  <c r="V10" i="1"/>
  <c r="W23" i="1"/>
  <c r="V23" i="1"/>
  <c r="W81" i="1"/>
  <c r="V81" i="1"/>
  <c r="V112" i="1"/>
  <c r="W112" i="1"/>
  <c r="W34" i="1"/>
  <c r="V34" i="1"/>
  <c r="V88" i="1"/>
  <c r="W88" i="1"/>
  <c r="W80" i="1"/>
  <c r="V80" i="1"/>
  <c r="W24" i="1"/>
  <c r="V24" i="1"/>
  <c r="W65" i="1"/>
  <c r="V65" i="1"/>
  <c r="W136" i="1"/>
  <c r="V136" i="1"/>
  <c r="W27" i="1"/>
  <c r="V27" i="1"/>
  <c r="V22" i="1"/>
  <c r="W22" i="1"/>
  <c r="W48" i="1"/>
  <c r="V48" i="1"/>
  <c r="W11" i="1"/>
  <c r="V11" i="1"/>
  <c r="W113" i="1"/>
  <c r="V113" i="1"/>
  <c r="W130" i="1"/>
  <c r="V130" i="1"/>
  <c r="W16" i="1"/>
  <c r="V16" i="1"/>
  <c r="W38" i="1"/>
  <c r="V38" i="1"/>
  <c r="W18" i="1"/>
  <c r="V18" i="1"/>
  <c r="W89" i="1"/>
  <c r="V89" i="1"/>
  <c r="W124" i="1"/>
  <c r="V124" i="1"/>
  <c r="W32" i="1"/>
  <c r="V32" i="1"/>
  <c r="W107" i="1"/>
  <c r="V107" i="1"/>
  <c r="W137" i="1"/>
  <c r="V137" i="1"/>
  <c r="W55" i="1"/>
  <c r="V55" i="1"/>
  <c r="W25" i="1"/>
  <c r="V25" i="1"/>
  <c r="W12" i="1"/>
  <c r="V12" i="1"/>
  <c r="W40" i="1"/>
  <c r="V40" i="1"/>
  <c r="W83" i="1"/>
  <c r="V83" i="1"/>
  <c r="W96" i="1"/>
  <c r="V96" i="1"/>
  <c r="W125" i="1"/>
  <c r="V125" i="1"/>
  <c r="W108" i="1"/>
  <c r="V108" i="1"/>
  <c r="W26" i="1"/>
  <c r="V26" i="1"/>
  <c r="W33" i="1"/>
  <c r="V33" i="1"/>
  <c r="W13" i="1"/>
  <c r="V13" i="1"/>
  <c r="W45" i="1"/>
  <c r="V45" i="1"/>
  <c r="W56" i="1"/>
  <c r="V56" i="1"/>
  <c r="W67" i="1"/>
  <c r="V67" i="1"/>
  <c r="V118" i="1"/>
  <c r="V43" i="1"/>
  <c r="V60" i="1"/>
  <c r="V77" i="1"/>
  <c r="V101" i="1"/>
  <c r="F5" i="1"/>
  <c r="V37" i="1"/>
  <c r="V54" i="1"/>
  <c r="V102" i="1"/>
  <c r="V119" i="1"/>
  <c r="V9" i="1"/>
  <c r="V30" i="1"/>
  <c r="V75" i="1"/>
  <c r="W82" i="1"/>
  <c r="W106" i="1"/>
  <c r="W123" i="1"/>
  <c r="V7" i="1"/>
  <c r="V35" i="1"/>
  <c r="V39" i="1"/>
  <c r="V90" i="1"/>
  <c r="V114" i="1"/>
  <c r="V138" i="1"/>
  <c r="V8" i="1"/>
  <c r="V78" i="1" l="1"/>
  <c r="T5" i="1"/>
  <c r="V52" i="1"/>
  <c r="V109" i="1"/>
  <c r="V95" i="1"/>
  <c r="V61" i="1"/>
  <c r="M5" i="1"/>
  <c r="V129" i="1"/>
  <c r="W129" i="1"/>
  <c r="V131" i="1"/>
  <c r="W131" i="1"/>
  <c r="U5" i="1"/>
  <c r="V53" i="1"/>
  <c r="V17" i="1"/>
  <c r="V70" i="1"/>
  <c r="V71" i="1"/>
  <c r="AG58" i="1"/>
  <c r="AG5" i="1" s="1"/>
  <c r="V58" i="1"/>
  <c r="V66" i="1"/>
  <c r="V82" i="1"/>
  <c r="V49" i="1"/>
  <c r="V44" i="1"/>
  <c r="V76" i="1"/>
</calcChain>
</file>

<file path=xl/sharedStrings.xml><?xml version="1.0" encoding="utf-8"?>
<sst xmlns="http://schemas.openxmlformats.org/spreadsheetml/2006/main" count="499" uniqueCount="195">
  <si>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</si>
  <si>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</si>
  <si>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</si>
  <si>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</si>
  <si>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</si>
  <si>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</si>
  <si>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</si>
  <si>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</si>
  <si>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</si>
  <si>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</si>
  <si>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</si>
  <si>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</si>
  <si>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</si>
  <si>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</si>
  <si>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</si>
  <si>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</si>
  <si>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</si>
  <si>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</si>
  <si>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</si>
  <si>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</si>
  <si>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</si>
  <si>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</si>
  <si>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</si>
  <si>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</si>
  <si>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</si>
  <si>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29,08,</t>
  </si>
  <si>
    <t>30,08,</t>
  </si>
  <si>
    <t>27,08,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</si>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</sst>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8" borderId="1" xfId="1" applyNumberFormat="1" applyFont="1" applyFill="1"/>
    <xf numFmtId="164" fontId="1" fillId="5" borderId="1" xfId="1" applyNumberForma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7109375" customWidth="1"/>
    <col min="10" max="10" width="1" customWidth="1"/>
    <col min="11" max="21" width="7" customWidth="1"/>
    <col min="22" max="23" width="5" customWidth="1"/>
    <col min="24" max="31" width="6.7109375" customWidth="1"/>
    <col min="32" max="32" width="36.85546875" customWidth="1"/>
    <col min="33" max="33" width="7" customWidth="1"/>
    <col min="34" max="44" width="3" customWidth="1"/>
  </cols>
  <sheetData>
    <row r="1" spans="1:4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22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1"/>
      <c r="B5" s="1"/>
      <c r="C5" s="1"/>
      <c r="D5" s="1"/>
      <c r="E5" s="4">
        <f>SUM(E6:E500)</f>
        <v>55222.734999999993</v>
      </c>
      <c r="F5" s="4">
        <f>SUM(F6:F500)</f>
        <v>57455.780000000006</v>
      </c>
      <c r="G5" s="7"/>
      <c r="H5" s="1"/>
      <c r="I5" s="1"/>
      <c r="J5" s="1"/>
      <c r="K5" s="4">
        <f t="shared" ref="K5:U5" si="0">SUM(K6:K500)</f>
        <v>65778.763999999996</v>
      </c>
      <c r="L5" s="4">
        <f t="shared" si="0"/>
        <v>-10556.029000000004</v>
      </c>
      <c r="M5" s="4">
        <f t="shared" si="0"/>
        <v>50998.016000000003</v>
      </c>
      <c r="N5" s="4">
        <f t="shared" si="0"/>
        <v>4224.7190000000001</v>
      </c>
      <c r="O5" s="4">
        <f t="shared" si="0"/>
        <v>29236.898753377685</v>
      </c>
      <c r="P5" s="4">
        <f t="shared" si="0"/>
        <v>-4813.7142857142853</v>
      </c>
      <c r="Q5" s="4">
        <f t="shared" si="0"/>
        <v>400</v>
      </c>
      <c r="R5" s="4">
        <f t="shared" si="0"/>
        <v>21128.268745379395</v>
      </c>
      <c r="S5" s="4">
        <f t="shared" si="0"/>
        <v>4300</v>
      </c>
      <c r="T5" s="4">
        <f t="shared" si="0"/>
        <v>10199.603200000001</v>
      </c>
      <c r="U5" s="4">
        <f t="shared" si="0"/>
        <v>25582.921174081079</v>
      </c>
      <c r="V5" s="1"/>
      <c r="W5" s="1"/>
      <c r="X5" s="4">
        <f t="shared" ref="X5:AE5" si="1">SUM(X6:X500)</f>
        <v>11154.827400000004</v>
      </c>
      <c r="Y5" s="4">
        <f t="shared" si="1"/>
        <v>11727.539200000003</v>
      </c>
      <c r="Z5" s="4">
        <f t="shared" si="1"/>
        <v>13329.492600000001</v>
      </c>
      <c r="AA5" s="4">
        <f t="shared" si="1"/>
        <v>12669.461800000005</v>
      </c>
      <c r="AB5" s="4">
        <f t="shared" si="1"/>
        <v>10646.113600000001</v>
      </c>
      <c r="AC5" s="4">
        <f t="shared" si="1"/>
        <v>10433.826400000007</v>
      </c>
      <c r="AD5" s="4">
        <f t="shared" si="1"/>
        <v>11173.737200000001</v>
      </c>
      <c r="AE5" s="4">
        <f t="shared" si="1"/>
        <v>12763.749600000005</v>
      </c>
      <c r="AF5" s="1"/>
      <c r="AG5" s="4">
        <f>SUM(AG6:AG500)</f>
        <v>19304.185830081075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 s="1" t="s">
        <v>35</v>
      </c>
      <c r="B6" s="1" t="s">
        <v>36</v>
      </c>
      <c r="C6" s="1">
        <v>2846.1610000000001</v>
      </c>
      <c r="D6" s="1">
        <v>2099.3270000000002</v>
      </c>
      <c r="E6" s="1">
        <v>1532.6769999999999</v>
      </c>
      <c r="F6" s="1">
        <v>2545.52</v>
      </c>
      <c r="G6" s="7">
        <v>1</v>
      </c>
      <c r="H6" s="1">
        <v>50</v>
      </c>
      <c r="I6" s="1" t="s">
        <v>37</v>
      </c>
      <c r="J6" s="1"/>
      <c r="K6" s="1">
        <v>1620.35</v>
      </c>
      <c r="L6" s="1">
        <f t="shared" ref="L6:L37" si="2">E6-K6</f>
        <v>-87.673000000000002</v>
      </c>
      <c r="M6" s="1">
        <f t="shared" ref="M6:M37" si="3">E6-N6</f>
        <v>1532.6769999999999</v>
      </c>
      <c r="N6" s="1"/>
      <c r="O6" s="1">
        <v>0</v>
      </c>
      <c r="P6" s="1"/>
      <c r="Q6" s="1"/>
      <c r="R6" s="1">
        <v>728.96506976000001</v>
      </c>
      <c r="S6" s="1">
        <v>250</v>
      </c>
      <c r="T6" s="1">
        <f t="shared" ref="T6:T37" si="4">M6/5</f>
        <v>306.53539999999998</v>
      </c>
      <c r="U6" s="5">
        <f>12*T6-S6-R6-Q6-P6-O6-F6</f>
        <v>153.93973023999979</v>
      </c>
      <c r="V6" s="1">
        <f t="shared" ref="V6:V37" si="5">(F6+O6+P6+Q6+R6+S6+U6)/T6</f>
        <v>12</v>
      </c>
      <c r="W6" s="1">
        <f t="shared" ref="W6:W37" si="6">(F6+O6+P6+Q6+R6+S6)/T6</f>
        <v>11.497807658626051</v>
      </c>
      <c r="X6" s="1">
        <v>373.97739999999999</v>
      </c>
      <c r="Y6" s="1">
        <v>325.6216</v>
      </c>
      <c r="Z6" s="1">
        <v>402.60879999999997</v>
      </c>
      <c r="AA6" s="1">
        <v>419.20679999999999</v>
      </c>
      <c r="AB6" s="1">
        <v>402.01659999999998</v>
      </c>
      <c r="AC6" s="1">
        <v>337.73419999999999</v>
      </c>
      <c r="AD6" s="1">
        <v>348.79259999999999</v>
      </c>
      <c r="AE6" s="1">
        <v>383.91660000000002</v>
      </c>
      <c r="AF6" s="1"/>
      <c r="AG6" s="1">
        <f t="shared" ref="AG6:AG14" si="7">G6*U6</f>
        <v>153.93973023999979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1" t="s">
        <v>38</v>
      </c>
      <c r="B7" s="1" t="s">
        <v>36</v>
      </c>
      <c r="C7" s="1">
        <v>1282.308</v>
      </c>
      <c r="D7" s="1">
        <v>2244.7919999999999</v>
      </c>
      <c r="E7" s="1">
        <v>2062.1190000000001</v>
      </c>
      <c r="F7" s="1">
        <v>247.458</v>
      </c>
      <c r="G7" s="7">
        <v>1</v>
      </c>
      <c r="H7" s="1">
        <v>45</v>
      </c>
      <c r="I7" s="1" t="s">
        <v>37</v>
      </c>
      <c r="J7" s="1"/>
      <c r="K7" s="1">
        <v>2071.3090000000002</v>
      </c>
      <c r="L7" s="1">
        <f t="shared" si="2"/>
        <v>-9.1900000000000546</v>
      </c>
      <c r="M7" s="1">
        <f t="shared" si="3"/>
        <v>1339.6000000000001</v>
      </c>
      <c r="N7" s="1">
        <v>722.51900000000001</v>
      </c>
      <c r="O7" s="1">
        <v>399.90537200000028</v>
      </c>
      <c r="P7" s="1"/>
      <c r="Q7" s="1"/>
      <c r="R7" s="1">
        <v>530.32902800000011</v>
      </c>
      <c r="S7" s="1"/>
      <c r="T7" s="1">
        <f t="shared" si="4"/>
        <v>267.92</v>
      </c>
      <c r="U7" s="5">
        <f>11*T7-S7-R7-Q7-P7-O7-F7</f>
        <v>1769.4276</v>
      </c>
      <c r="V7" s="1">
        <f t="shared" si="5"/>
        <v>11</v>
      </c>
      <c r="W7" s="1">
        <f t="shared" si="6"/>
        <v>4.395686772170798</v>
      </c>
      <c r="X7" s="1">
        <v>195.1114</v>
      </c>
      <c r="Y7" s="1">
        <v>216.3058</v>
      </c>
      <c r="Z7" s="1">
        <v>223.072</v>
      </c>
      <c r="AA7" s="1">
        <v>285.97500000000002</v>
      </c>
      <c r="AB7" s="1">
        <v>246.8064</v>
      </c>
      <c r="AC7" s="1">
        <v>136.39259999999999</v>
      </c>
      <c r="AD7" s="1">
        <v>175.6748</v>
      </c>
      <c r="AE7" s="1">
        <v>232.39340000000001</v>
      </c>
      <c r="AF7" s="1"/>
      <c r="AG7" s="1">
        <f t="shared" si="7"/>
        <v>1769.4276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1" t="s">
        <v>39</v>
      </c>
      <c r="B8" s="1" t="s">
        <v>36</v>
      </c>
      <c r="C8" s="1">
        <v>2464.1559999999999</v>
      </c>
      <c r="D8" s="1">
        <v>5828.3620000000001</v>
      </c>
      <c r="E8" s="1">
        <v>4254.4949999999999</v>
      </c>
      <c r="F8" s="15">
        <f>1538.14+F87</f>
        <v>1532.6990000000001</v>
      </c>
      <c r="G8" s="7">
        <v>1</v>
      </c>
      <c r="H8" s="1">
        <v>45</v>
      </c>
      <c r="I8" s="1" t="s">
        <v>37</v>
      </c>
      <c r="J8" s="1"/>
      <c r="K8" s="1">
        <v>4259.2439999999997</v>
      </c>
      <c r="L8" s="1">
        <f t="shared" si="2"/>
        <v>-4.7489999999997963</v>
      </c>
      <c r="M8" s="1">
        <f t="shared" si="3"/>
        <v>3089.241</v>
      </c>
      <c r="N8" s="1">
        <v>1165.2539999999999</v>
      </c>
      <c r="O8" s="1">
        <v>857.64545965759953</v>
      </c>
      <c r="P8" s="1"/>
      <c r="Q8" s="1"/>
      <c r="R8" s="1">
        <v>2198.3843962638821</v>
      </c>
      <c r="S8" s="1"/>
      <c r="T8" s="1">
        <f t="shared" si="4"/>
        <v>617.84820000000002</v>
      </c>
      <c r="U8" s="5">
        <f t="shared" ref="U7:U14" si="8">12*T8-S8-R8-Q8-P8-O8-F8</f>
        <v>2825.449544078519</v>
      </c>
      <c r="V8" s="1">
        <f t="shared" si="5"/>
        <v>12</v>
      </c>
      <c r="W8" s="1">
        <f t="shared" si="6"/>
        <v>7.4269518887025665</v>
      </c>
      <c r="X8" s="1">
        <v>615.27340000000004</v>
      </c>
      <c r="Y8" s="1">
        <v>546.42439999999988</v>
      </c>
      <c r="Z8" s="1">
        <v>608.08999999999992</v>
      </c>
      <c r="AA8" s="1">
        <v>673.42660000000001</v>
      </c>
      <c r="AB8" s="1">
        <v>716.37299999999993</v>
      </c>
      <c r="AC8" s="1">
        <v>543.649</v>
      </c>
      <c r="AD8" s="1">
        <v>613.56360000000006</v>
      </c>
      <c r="AE8" s="1">
        <v>603.60799999999995</v>
      </c>
      <c r="AF8" s="1"/>
      <c r="AG8" s="1">
        <f t="shared" si="7"/>
        <v>2825.449544078519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1" t="s">
        <v>40</v>
      </c>
      <c r="B9" s="1" t="s">
        <v>41</v>
      </c>
      <c r="C9" s="1">
        <v>19</v>
      </c>
      <c r="D9" s="1"/>
      <c r="E9" s="1">
        <v>6</v>
      </c>
      <c r="F9" s="1">
        <v>12</v>
      </c>
      <c r="G9" s="7">
        <v>0.4</v>
      </c>
      <c r="H9" s="1">
        <v>50</v>
      </c>
      <c r="I9" s="1" t="s">
        <v>37</v>
      </c>
      <c r="J9" s="1"/>
      <c r="K9" s="1">
        <v>6</v>
      </c>
      <c r="L9" s="1">
        <f t="shared" si="2"/>
        <v>0</v>
      </c>
      <c r="M9" s="1">
        <f t="shared" si="3"/>
        <v>6</v>
      </c>
      <c r="N9" s="1"/>
      <c r="O9" s="1">
        <v>0</v>
      </c>
      <c r="P9" s="1"/>
      <c r="Q9" s="1"/>
      <c r="R9" s="1">
        <v>17.8</v>
      </c>
      <c r="S9" s="1"/>
      <c r="T9" s="1">
        <f t="shared" si="4"/>
        <v>1.2</v>
      </c>
      <c r="U9" s="5"/>
      <c r="V9" s="1">
        <f t="shared" si="5"/>
        <v>24.833333333333336</v>
      </c>
      <c r="W9" s="1">
        <f t="shared" si="6"/>
        <v>24.833333333333336</v>
      </c>
      <c r="X9" s="1">
        <v>2.8</v>
      </c>
      <c r="Y9" s="1">
        <v>1.4</v>
      </c>
      <c r="Z9" s="1">
        <v>1.4</v>
      </c>
      <c r="AA9" s="1">
        <v>1.8</v>
      </c>
      <c r="AB9" s="1">
        <v>2.4</v>
      </c>
      <c r="AC9" s="1">
        <v>1</v>
      </c>
      <c r="AD9" s="1">
        <v>1.2</v>
      </c>
      <c r="AE9" s="1">
        <v>2.6</v>
      </c>
      <c r="AF9" s="1" t="s">
        <v>42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1" t="s">
        <v>43</v>
      </c>
      <c r="B10" s="1" t="s">
        <v>41</v>
      </c>
      <c r="C10" s="1">
        <v>1158.376</v>
      </c>
      <c r="D10" s="1">
        <v>5023</v>
      </c>
      <c r="E10" s="1">
        <v>2025</v>
      </c>
      <c r="F10" s="1">
        <v>2831.3760000000002</v>
      </c>
      <c r="G10" s="7">
        <v>0.45</v>
      </c>
      <c r="H10" s="1">
        <v>45</v>
      </c>
      <c r="I10" s="13" t="s">
        <v>44</v>
      </c>
      <c r="J10" s="1"/>
      <c r="K10" s="1">
        <v>2532</v>
      </c>
      <c r="L10" s="1">
        <f t="shared" si="2"/>
        <v>-507</v>
      </c>
      <c r="M10" s="1">
        <f t="shared" si="3"/>
        <v>2025</v>
      </c>
      <c r="N10" s="1"/>
      <c r="O10" s="1">
        <v>700</v>
      </c>
      <c r="P10" s="1"/>
      <c r="Q10" s="1"/>
      <c r="R10" s="1">
        <v>0</v>
      </c>
      <c r="S10" s="1">
        <v>500</v>
      </c>
      <c r="T10" s="1">
        <f t="shared" si="4"/>
        <v>405</v>
      </c>
      <c r="U10" s="5">
        <f t="shared" si="8"/>
        <v>828.6239999999998</v>
      </c>
      <c r="V10" s="1">
        <f t="shared" si="5"/>
        <v>12</v>
      </c>
      <c r="W10" s="1">
        <f t="shared" si="6"/>
        <v>9.9540148148148155</v>
      </c>
      <c r="X10" s="1">
        <v>449</v>
      </c>
      <c r="Y10" s="1">
        <v>492.83479999999997</v>
      </c>
      <c r="Z10" s="1">
        <v>540.4348</v>
      </c>
      <c r="AA10" s="1">
        <v>426.41899999999998</v>
      </c>
      <c r="AB10" s="1">
        <v>373.01900000000001</v>
      </c>
      <c r="AC10" s="1">
        <v>298</v>
      </c>
      <c r="AD10" s="1">
        <v>339</v>
      </c>
      <c r="AE10" s="1">
        <v>705.87099999999998</v>
      </c>
      <c r="AF10" s="1" t="s">
        <v>45</v>
      </c>
      <c r="AG10" s="1">
        <f t="shared" si="7"/>
        <v>372.88079999999991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1" t="s">
        <v>46</v>
      </c>
      <c r="B11" s="1" t="s">
        <v>41</v>
      </c>
      <c r="C11" s="1">
        <v>2476.6550000000002</v>
      </c>
      <c r="D11" s="1">
        <v>5345</v>
      </c>
      <c r="E11" s="1">
        <v>3591</v>
      </c>
      <c r="F11" s="1">
        <v>1937.655</v>
      </c>
      <c r="G11" s="7">
        <v>0.45</v>
      </c>
      <c r="H11" s="1">
        <v>45</v>
      </c>
      <c r="I11" s="13" t="s">
        <v>44</v>
      </c>
      <c r="J11" s="1"/>
      <c r="K11" s="1">
        <v>4080</v>
      </c>
      <c r="L11" s="1">
        <f t="shared" si="2"/>
        <v>-489</v>
      </c>
      <c r="M11" s="1">
        <f t="shared" si="3"/>
        <v>3207</v>
      </c>
      <c r="N11" s="1">
        <v>384</v>
      </c>
      <c r="O11" s="1">
        <v>1826.9502</v>
      </c>
      <c r="P11" s="1"/>
      <c r="Q11" s="1"/>
      <c r="R11" s="1">
        <v>880.19479999999976</v>
      </c>
      <c r="S11" s="1">
        <v>500</v>
      </c>
      <c r="T11" s="1">
        <f t="shared" si="4"/>
        <v>641.4</v>
      </c>
      <c r="U11" s="5">
        <f t="shared" si="8"/>
        <v>2552</v>
      </c>
      <c r="V11" s="1">
        <f t="shared" si="5"/>
        <v>12</v>
      </c>
      <c r="W11" s="1">
        <f t="shared" si="6"/>
        <v>8.02120361708762</v>
      </c>
      <c r="X11" s="1">
        <v>650</v>
      </c>
      <c r="Y11" s="1">
        <v>684.8732</v>
      </c>
      <c r="Z11" s="1">
        <v>689.67319999999995</v>
      </c>
      <c r="AA11" s="1">
        <v>718.03</v>
      </c>
      <c r="AB11" s="1">
        <v>763.07439999999997</v>
      </c>
      <c r="AC11" s="1">
        <v>683.4</v>
      </c>
      <c r="AD11" s="1">
        <v>536.79999999999995</v>
      </c>
      <c r="AE11" s="1">
        <v>707.36580000000004</v>
      </c>
      <c r="AF11" s="1" t="s">
        <v>47</v>
      </c>
      <c r="AG11" s="1">
        <f t="shared" si="7"/>
        <v>1148.4000000000001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 t="s">
        <v>48</v>
      </c>
      <c r="B12" s="1" t="s">
        <v>41</v>
      </c>
      <c r="C12" s="1">
        <v>140</v>
      </c>
      <c r="D12" s="1">
        <v>5</v>
      </c>
      <c r="E12" s="1">
        <v>69</v>
      </c>
      <c r="F12" s="1">
        <v>69</v>
      </c>
      <c r="G12" s="7">
        <v>0.17</v>
      </c>
      <c r="H12" s="1">
        <v>180</v>
      </c>
      <c r="I12" s="1" t="s">
        <v>37</v>
      </c>
      <c r="J12" s="1"/>
      <c r="K12" s="1">
        <v>73</v>
      </c>
      <c r="L12" s="1">
        <f t="shared" si="2"/>
        <v>-4</v>
      </c>
      <c r="M12" s="1">
        <f t="shared" si="3"/>
        <v>69</v>
      </c>
      <c r="N12" s="1"/>
      <c r="O12" s="1">
        <v>87.600000000000023</v>
      </c>
      <c r="P12" s="1"/>
      <c r="Q12" s="1"/>
      <c r="R12" s="1">
        <v>27.399999999999981</v>
      </c>
      <c r="S12" s="1"/>
      <c r="T12" s="1">
        <f t="shared" si="4"/>
        <v>13.8</v>
      </c>
      <c r="U12" s="5"/>
      <c r="V12" s="1">
        <f t="shared" si="5"/>
        <v>13.333333333333332</v>
      </c>
      <c r="W12" s="1">
        <f t="shared" si="6"/>
        <v>13.333333333333332</v>
      </c>
      <c r="X12" s="1">
        <v>19</v>
      </c>
      <c r="Y12" s="1">
        <v>17.8</v>
      </c>
      <c r="Z12" s="1">
        <v>17.8</v>
      </c>
      <c r="AA12" s="1">
        <v>13.2</v>
      </c>
      <c r="AB12" s="1">
        <v>20</v>
      </c>
      <c r="AC12" s="1">
        <v>19.234000000000002</v>
      </c>
      <c r="AD12" s="1">
        <v>23.6</v>
      </c>
      <c r="AE12" s="1">
        <v>35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 t="s">
        <v>49</v>
      </c>
      <c r="B13" s="1" t="s">
        <v>41</v>
      </c>
      <c r="C13" s="1">
        <v>25</v>
      </c>
      <c r="D13" s="1">
        <v>7</v>
      </c>
      <c r="E13" s="1">
        <v>31</v>
      </c>
      <c r="F13" s="1">
        <v>-8</v>
      </c>
      <c r="G13" s="7">
        <v>0.3</v>
      </c>
      <c r="H13" s="1">
        <v>40</v>
      </c>
      <c r="I13" s="14" t="s">
        <v>50</v>
      </c>
      <c r="J13" s="1"/>
      <c r="K13" s="1">
        <v>48</v>
      </c>
      <c r="L13" s="1">
        <f t="shared" si="2"/>
        <v>-17</v>
      </c>
      <c r="M13" s="1">
        <f t="shared" si="3"/>
        <v>31</v>
      </c>
      <c r="N13" s="1"/>
      <c r="O13" s="1">
        <v>50</v>
      </c>
      <c r="P13" s="1">
        <v>-53.333333333333343</v>
      </c>
      <c r="Q13" s="1"/>
      <c r="R13" s="1">
        <v>74.599999999999994</v>
      </c>
      <c r="S13" s="1"/>
      <c r="T13" s="1">
        <f t="shared" si="4"/>
        <v>6.2</v>
      </c>
      <c r="U13" s="5">
        <v>20</v>
      </c>
      <c r="V13" s="1">
        <f t="shared" si="5"/>
        <v>13.430107526881718</v>
      </c>
      <c r="W13" s="1">
        <f t="shared" si="6"/>
        <v>10.204301075268814</v>
      </c>
      <c r="X13" s="1">
        <v>11.6</v>
      </c>
      <c r="Y13" s="1">
        <v>12</v>
      </c>
      <c r="Z13" s="1">
        <v>12.6</v>
      </c>
      <c r="AA13" s="1">
        <v>7.2</v>
      </c>
      <c r="AB13" s="1">
        <v>4.2</v>
      </c>
      <c r="AC13" s="1">
        <v>8.1999999999999993</v>
      </c>
      <c r="AD13" s="1">
        <v>11.8</v>
      </c>
      <c r="AE13" s="1">
        <v>8.4</v>
      </c>
      <c r="AF13" s="1"/>
      <c r="AG13" s="1">
        <f t="shared" si="7"/>
        <v>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 t="s">
        <v>51</v>
      </c>
      <c r="B14" s="1" t="s">
        <v>41</v>
      </c>
      <c r="C14" s="1">
        <v>30</v>
      </c>
      <c r="D14" s="1">
        <v>325</v>
      </c>
      <c r="E14" s="1">
        <v>93</v>
      </c>
      <c r="F14" s="1">
        <v>35</v>
      </c>
      <c r="G14" s="7">
        <v>0.17</v>
      </c>
      <c r="H14" s="1">
        <v>180</v>
      </c>
      <c r="I14" s="1" t="s">
        <v>37</v>
      </c>
      <c r="J14" s="1"/>
      <c r="K14" s="1">
        <v>127</v>
      </c>
      <c r="L14" s="1">
        <f t="shared" si="2"/>
        <v>-34</v>
      </c>
      <c r="M14" s="1">
        <f t="shared" si="3"/>
        <v>93</v>
      </c>
      <c r="N14" s="1"/>
      <c r="O14" s="1">
        <v>50.800000000000097</v>
      </c>
      <c r="P14" s="1"/>
      <c r="Q14" s="1"/>
      <c r="R14" s="1">
        <v>8</v>
      </c>
      <c r="S14" s="1"/>
      <c r="T14" s="1">
        <f t="shared" si="4"/>
        <v>18.600000000000001</v>
      </c>
      <c r="U14" s="5">
        <f t="shared" si="8"/>
        <v>129.39999999999992</v>
      </c>
      <c r="V14" s="1">
        <f t="shared" si="5"/>
        <v>12</v>
      </c>
      <c r="W14" s="1">
        <f t="shared" si="6"/>
        <v>5.0430107526881764</v>
      </c>
      <c r="X14" s="1">
        <v>19.600000000000001</v>
      </c>
      <c r="Y14" s="1">
        <v>17.399999999999999</v>
      </c>
      <c r="Z14" s="1">
        <v>35.4</v>
      </c>
      <c r="AA14" s="1">
        <v>34.200000000000003</v>
      </c>
      <c r="AB14" s="1">
        <v>26</v>
      </c>
      <c r="AC14" s="1">
        <v>27.634</v>
      </c>
      <c r="AD14" s="1">
        <v>36.799999999999997</v>
      </c>
      <c r="AE14" s="1">
        <v>60.2</v>
      </c>
      <c r="AF14" s="1"/>
      <c r="AG14" s="1">
        <f t="shared" si="7"/>
        <v>21.997999999999987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 s="9" t="s">
        <v>52</v>
      </c>
      <c r="B15" s="9" t="s">
        <v>41</v>
      </c>
      <c r="C15" s="9">
        <v>285</v>
      </c>
      <c r="D15" s="9">
        <v>10</v>
      </c>
      <c r="E15" s="9">
        <v>39</v>
      </c>
      <c r="F15" s="9">
        <v>251</v>
      </c>
      <c r="G15" s="10">
        <v>0</v>
      </c>
      <c r="H15" s="9"/>
      <c r="I15" s="9" t="s">
        <v>53</v>
      </c>
      <c r="J15" s="9"/>
      <c r="K15" s="9">
        <v>55</v>
      </c>
      <c r="L15" s="9">
        <f t="shared" si="2"/>
        <v>-16</v>
      </c>
      <c r="M15" s="9">
        <f t="shared" si="3"/>
        <v>39</v>
      </c>
      <c r="N15" s="9"/>
      <c r="O15" s="9">
        <v>0</v>
      </c>
      <c r="P15" s="9"/>
      <c r="Q15" s="9"/>
      <c r="R15" s="9">
        <v>0</v>
      </c>
      <c r="S15" s="9"/>
      <c r="T15" s="9">
        <f t="shared" si="4"/>
        <v>7.8</v>
      </c>
      <c r="U15" s="11"/>
      <c r="V15" s="9">
        <f t="shared" si="5"/>
        <v>32.179487179487182</v>
      </c>
      <c r="W15" s="9">
        <f t="shared" si="6"/>
        <v>32.179487179487182</v>
      </c>
      <c r="X15" s="9">
        <v>16</v>
      </c>
      <c r="Y15" s="9">
        <v>1</v>
      </c>
      <c r="Z15" s="9">
        <v>1</v>
      </c>
      <c r="AA15" s="9">
        <v>5.2</v>
      </c>
      <c r="AB15" s="9">
        <v>4.4000000000000004</v>
      </c>
      <c r="AC15" s="9">
        <v>0.2</v>
      </c>
      <c r="AD15" s="9">
        <v>4.4000000000000004</v>
      </c>
      <c r="AE15" s="9">
        <v>4.2</v>
      </c>
      <c r="AF15" s="12" t="s">
        <v>54</v>
      </c>
      <c r="AG15" s="9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 t="s">
        <v>55</v>
      </c>
      <c r="B16" s="1" t="s">
        <v>36</v>
      </c>
      <c r="C16" s="1">
        <v>3538.4580000000001</v>
      </c>
      <c r="D16" s="1">
        <v>4014.056</v>
      </c>
      <c r="E16" s="1">
        <v>2907.4470000000001</v>
      </c>
      <c r="F16" s="1">
        <v>3656.57</v>
      </c>
      <c r="G16" s="7">
        <v>1</v>
      </c>
      <c r="H16" s="1">
        <v>70</v>
      </c>
      <c r="I16" s="14" t="s">
        <v>50</v>
      </c>
      <c r="J16" s="1"/>
      <c r="K16" s="1">
        <v>2885.5819999999999</v>
      </c>
      <c r="L16" s="1">
        <f t="shared" si="2"/>
        <v>21.865000000000236</v>
      </c>
      <c r="M16" s="1">
        <f t="shared" si="3"/>
        <v>2865.145</v>
      </c>
      <c r="N16" s="1">
        <v>42.302</v>
      </c>
      <c r="O16" s="1">
        <v>1402.7204884812811</v>
      </c>
      <c r="P16" s="1">
        <v>-553</v>
      </c>
      <c r="Q16" s="1"/>
      <c r="R16" s="1">
        <v>0</v>
      </c>
      <c r="S16" s="1">
        <v>400</v>
      </c>
      <c r="T16" s="1">
        <f t="shared" si="4"/>
        <v>573.029</v>
      </c>
      <c r="U16" s="5">
        <f t="shared" ref="U16:U18" si="9">12*T16-S16-R16-Q16-P16-O16-F16</f>
        <v>1970.0575115187189</v>
      </c>
      <c r="V16" s="1">
        <f t="shared" si="5"/>
        <v>12</v>
      </c>
      <c r="W16" s="1">
        <f t="shared" si="6"/>
        <v>8.5620282542092667</v>
      </c>
      <c r="X16" s="1">
        <v>558.35879999999997</v>
      </c>
      <c r="Y16" s="1">
        <v>576.6604000000001</v>
      </c>
      <c r="Z16" s="1">
        <v>628.17099999999994</v>
      </c>
      <c r="AA16" s="1">
        <v>726.94060000000002</v>
      </c>
      <c r="AB16" s="1">
        <v>643.96600000000001</v>
      </c>
      <c r="AC16" s="1">
        <v>609.90919999999994</v>
      </c>
      <c r="AD16" s="1">
        <v>693.11580000000004</v>
      </c>
      <c r="AE16" s="1">
        <v>746.79539999999997</v>
      </c>
      <c r="AF16" s="1"/>
      <c r="AG16" s="1">
        <f>G16*U16</f>
        <v>1970.0575115187189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 t="s">
        <v>56</v>
      </c>
      <c r="B17" s="1" t="s">
        <v>36</v>
      </c>
      <c r="C17" s="1">
        <v>1497.499</v>
      </c>
      <c r="D17" s="1">
        <v>3814.424</v>
      </c>
      <c r="E17" s="1">
        <v>2499.5520000000001</v>
      </c>
      <c r="F17" s="1">
        <v>929.96900000000005</v>
      </c>
      <c r="G17" s="7">
        <v>1</v>
      </c>
      <c r="H17" s="1">
        <v>50</v>
      </c>
      <c r="I17" s="1" t="s">
        <v>37</v>
      </c>
      <c r="J17" s="1"/>
      <c r="K17" s="1">
        <v>2582.7629999999999</v>
      </c>
      <c r="L17" s="1">
        <f t="shared" si="2"/>
        <v>-83.210999999999785</v>
      </c>
      <c r="M17" s="1">
        <f t="shared" si="3"/>
        <v>2155.6890000000003</v>
      </c>
      <c r="N17" s="1">
        <v>343.863</v>
      </c>
      <c r="O17" s="1">
        <v>0</v>
      </c>
      <c r="P17" s="1"/>
      <c r="Q17" s="1"/>
      <c r="R17" s="1">
        <v>2200</v>
      </c>
      <c r="S17" s="1"/>
      <c r="T17" s="1">
        <f t="shared" si="4"/>
        <v>431.13780000000008</v>
      </c>
      <c r="U17" s="5">
        <f t="shared" si="9"/>
        <v>2043.6846000000014</v>
      </c>
      <c r="V17" s="1">
        <f t="shared" si="5"/>
        <v>12.000000000000002</v>
      </c>
      <c r="W17" s="1">
        <f t="shared" si="6"/>
        <v>7.2597879378704429</v>
      </c>
      <c r="X17" s="1">
        <v>436.02780000000001</v>
      </c>
      <c r="Y17" s="1">
        <v>283.60739999999998</v>
      </c>
      <c r="Z17" s="1">
        <v>445.85719999999998</v>
      </c>
      <c r="AA17" s="1">
        <v>436.47500000000002</v>
      </c>
      <c r="AB17" s="1">
        <v>435.79059999999993</v>
      </c>
      <c r="AC17" s="1">
        <v>509.04079999999999</v>
      </c>
      <c r="AD17" s="1">
        <v>530.1232</v>
      </c>
      <c r="AE17" s="1">
        <v>537.54300000000001</v>
      </c>
      <c r="AF17" s="1"/>
      <c r="AG17" s="1">
        <f>G17*U17</f>
        <v>2043.6846000000014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 t="s">
        <v>57</v>
      </c>
      <c r="B18" s="1" t="s">
        <v>36</v>
      </c>
      <c r="C18" s="1">
        <v>-8.9990000000000006</v>
      </c>
      <c r="D18" s="1">
        <v>219.756</v>
      </c>
      <c r="E18" s="1">
        <v>108.52800000000001</v>
      </c>
      <c r="F18" s="1">
        <v>35.185000000000002</v>
      </c>
      <c r="G18" s="7">
        <v>1</v>
      </c>
      <c r="H18" s="1">
        <v>60</v>
      </c>
      <c r="I18" s="1" t="s">
        <v>37</v>
      </c>
      <c r="J18" s="1"/>
      <c r="K18" s="1">
        <v>166.15</v>
      </c>
      <c r="L18" s="1">
        <f t="shared" si="2"/>
        <v>-57.622</v>
      </c>
      <c r="M18" s="1">
        <f t="shared" si="3"/>
        <v>108.52800000000001</v>
      </c>
      <c r="N18" s="1"/>
      <c r="O18" s="1">
        <v>149.69200000000001</v>
      </c>
      <c r="P18" s="1"/>
      <c r="Q18" s="1"/>
      <c r="R18" s="1">
        <v>0</v>
      </c>
      <c r="S18" s="1"/>
      <c r="T18" s="1">
        <f t="shared" si="4"/>
        <v>21.7056</v>
      </c>
      <c r="U18" s="5">
        <f t="shared" si="9"/>
        <v>75.590199999999982</v>
      </c>
      <c r="V18" s="1">
        <f t="shared" si="5"/>
        <v>12</v>
      </c>
      <c r="W18" s="1">
        <f t="shared" si="6"/>
        <v>8.5174793601651189</v>
      </c>
      <c r="X18" s="1">
        <v>0.70620000000000005</v>
      </c>
      <c r="Y18" s="1">
        <v>29.232199999999992</v>
      </c>
      <c r="Z18" s="1">
        <v>29.232199999999992</v>
      </c>
      <c r="AA18" s="1">
        <v>22.357199999999999</v>
      </c>
      <c r="AB18" s="1">
        <v>-0.251</v>
      </c>
      <c r="AC18" s="1">
        <v>23.059200000000001</v>
      </c>
      <c r="AD18" s="1">
        <v>27.917000000000002</v>
      </c>
      <c r="AE18" s="1">
        <v>18.902000000000001</v>
      </c>
      <c r="AF18" s="1"/>
      <c r="AG18" s="1">
        <f>G18*U18</f>
        <v>75.590199999999982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9" t="s">
        <v>58</v>
      </c>
      <c r="B19" s="9" t="s">
        <v>36</v>
      </c>
      <c r="C19" s="9">
        <v>-22.463000000000001</v>
      </c>
      <c r="D19" s="9"/>
      <c r="E19" s="15">
        <v>5.03</v>
      </c>
      <c r="F19" s="15">
        <v>-27.492999999999999</v>
      </c>
      <c r="G19" s="10">
        <v>0</v>
      </c>
      <c r="H19" s="9"/>
      <c r="I19" s="9" t="s">
        <v>53</v>
      </c>
      <c r="J19" s="9" t="s">
        <v>59</v>
      </c>
      <c r="K19" s="9">
        <v>5</v>
      </c>
      <c r="L19" s="9">
        <f t="shared" si="2"/>
        <v>3.0000000000000249E-2</v>
      </c>
      <c r="M19" s="9">
        <f t="shared" si="3"/>
        <v>5.03</v>
      </c>
      <c r="N19" s="9"/>
      <c r="O19" s="9">
        <v>0</v>
      </c>
      <c r="P19" s="9"/>
      <c r="Q19" s="9"/>
      <c r="R19" s="9">
        <v>0</v>
      </c>
      <c r="S19" s="9"/>
      <c r="T19" s="9">
        <f t="shared" si="4"/>
        <v>1.006</v>
      </c>
      <c r="U19" s="11"/>
      <c r="V19" s="9">
        <f t="shared" si="5"/>
        <v>-27.329025844930417</v>
      </c>
      <c r="W19" s="9">
        <f t="shared" si="6"/>
        <v>-27.329025844930417</v>
      </c>
      <c r="X19" s="9">
        <v>4.0027999999999997</v>
      </c>
      <c r="Y19" s="9">
        <v>0.35099999999999998</v>
      </c>
      <c r="Z19" s="9">
        <v>0.35099999999999998</v>
      </c>
      <c r="AA19" s="9">
        <v>-0.36499999999999999</v>
      </c>
      <c r="AB19" s="9">
        <v>-0.51300000000000001</v>
      </c>
      <c r="AC19" s="9">
        <v>-0.14799999999999999</v>
      </c>
      <c r="AD19" s="9">
        <v>0</v>
      </c>
      <c r="AE19" s="9">
        <v>0.49480000000000002</v>
      </c>
      <c r="AF19" s="9"/>
      <c r="AG19" s="9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9" t="s">
        <v>60</v>
      </c>
      <c r="B20" s="9" t="s">
        <v>36</v>
      </c>
      <c r="C20" s="9"/>
      <c r="D20" s="9"/>
      <c r="E20" s="9"/>
      <c r="F20" s="9"/>
      <c r="G20" s="10">
        <v>0</v>
      </c>
      <c r="H20" s="9"/>
      <c r="I20" s="9" t="s">
        <v>37</v>
      </c>
      <c r="J20" s="9"/>
      <c r="K20" s="9"/>
      <c r="L20" s="9">
        <f t="shared" si="2"/>
        <v>0</v>
      </c>
      <c r="M20" s="9">
        <f t="shared" si="3"/>
        <v>0</v>
      </c>
      <c r="N20" s="9"/>
      <c r="O20" s="9">
        <v>0</v>
      </c>
      <c r="P20" s="9"/>
      <c r="Q20" s="9"/>
      <c r="R20" s="9">
        <v>0</v>
      </c>
      <c r="S20" s="9"/>
      <c r="T20" s="9">
        <f t="shared" si="4"/>
        <v>0</v>
      </c>
      <c r="U20" s="11"/>
      <c r="V20" s="9" t="e">
        <f t="shared" si="5"/>
        <v>#DIV/0!</v>
      </c>
      <c r="W20" s="9" t="e">
        <f t="shared" si="6"/>
        <v>#DIV/0!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 t="s">
        <v>61</v>
      </c>
      <c r="AG20" s="9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 t="s">
        <v>62</v>
      </c>
      <c r="B21" s="1" t="s">
        <v>36</v>
      </c>
      <c r="C21" s="1">
        <v>21.475999999999999</v>
      </c>
      <c r="D21" s="1"/>
      <c r="E21" s="1">
        <v>3.774</v>
      </c>
      <c r="F21" s="1">
        <v>17.702000000000002</v>
      </c>
      <c r="G21" s="7">
        <v>1</v>
      </c>
      <c r="H21" s="1">
        <v>180</v>
      </c>
      <c r="I21" s="1" t="s">
        <v>37</v>
      </c>
      <c r="J21" s="1"/>
      <c r="K21" s="1">
        <v>3.92</v>
      </c>
      <c r="L21" s="1">
        <f t="shared" si="2"/>
        <v>-0.14599999999999991</v>
      </c>
      <c r="M21" s="1">
        <f t="shared" si="3"/>
        <v>3.774</v>
      </c>
      <c r="N21" s="1"/>
      <c r="O21" s="1">
        <v>0</v>
      </c>
      <c r="P21" s="1"/>
      <c r="Q21" s="1"/>
      <c r="R21" s="1">
        <v>0</v>
      </c>
      <c r="S21" s="1"/>
      <c r="T21" s="1">
        <f t="shared" si="4"/>
        <v>0.75480000000000003</v>
      </c>
      <c r="U21" s="5"/>
      <c r="V21" s="1">
        <f t="shared" si="5"/>
        <v>23.452570217276101</v>
      </c>
      <c r="W21" s="1">
        <f t="shared" si="6"/>
        <v>23.452570217276101</v>
      </c>
      <c r="X21" s="1">
        <v>0.4748</v>
      </c>
      <c r="Y21" s="1">
        <v>0.88339999999999996</v>
      </c>
      <c r="Z21" s="1">
        <v>0.88339999999999996</v>
      </c>
      <c r="AA21" s="1">
        <v>1.4618</v>
      </c>
      <c r="AB21" s="1">
        <v>1.1292</v>
      </c>
      <c r="AC21" s="1">
        <v>0.64200000000000002</v>
      </c>
      <c r="AD21" s="1">
        <v>0.42899999999999999</v>
      </c>
      <c r="AE21" s="1">
        <v>1.0448</v>
      </c>
      <c r="AF21" s="16" t="s">
        <v>63</v>
      </c>
      <c r="AG21" s="1">
        <f>G21*U21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 t="s">
        <v>64</v>
      </c>
      <c r="B22" s="1" t="s">
        <v>36</v>
      </c>
      <c r="C22" s="1">
        <v>6235.4340000000002</v>
      </c>
      <c r="D22" s="1">
        <v>7930.5820000000003</v>
      </c>
      <c r="E22" s="1">
        <v>3764.5569999999998</v>
      </c>
      <c r="F22" s="1">
        <v>9428.5820000000003</v>
      </c>
      <c r="G22" s="7">
        <v>1</v>
      </c>
      <c r="H22" s="1">
        <v>60</v>
      </c>
      <c r="I22" s="1" t="s">
        <v>37</v>
      </c>
      <c r="J22" s="1"/>
      <c r="K22" s="1">
        <v>3744.55</v>
      </c>
      <c r="L22" s="1">
        <f t="shared" si="2"/>
        <v>20.006999999999607</v>
      </c>
      <c r="M22" s="1">
        <f t="shared" si="3"/>
        <v>3764.5569999999998</v>
      </c>
      <c r="N22" s="1"/>
      <c r="O22" s="1">
        <v>0</v>
      </c>
      <c r="P22" s="1"/>
      <c r="Q22" s="1"/>
      <c r="R22" s="1">
        <v>0</v>
      </c>
      <c r="S22" s="1"/>
      <c r="T22" s="1">
        <f t="shared" si="4"/>
        <v>752.91139999999996</v>
      </c>
      <c r="U22" s="5"/>
      <c r="V22" s="1">
        <f t="shared" si="5"/>
        <v>12.522830707570639</v>
      </c>
      <c r="W22" s="1">
        <f t="shared" si="6"/>
        <v>12.522830707570639</v>
      </c>
      <c r="X22" s="1">
        <v>757.01940000000002</v>
      </c>
      <c r="Y22" s="1">
        <v>1194.5776000000001</v>
      </c>
      <c r="Z22" s="1">
        <v>1235.5082</v>
      </c>
      <c r="AA22" s="1">
        <v>1204.5540000000001</v>
      </c>
      <c r="AB22" s="1">
        <v>901.40879999999993</v>
      </c>
      <c r="AC22" s="1">
        <v>763.35619999999994</v>
      </c>
      <c r="AD22" s="1">
        <v>859.37340000000006</v>
      </c>
      <c r="AE22" s="1">
        <v>796.55060000000003</v>
      </c>
      <c r="AF22" s="1"/>
      <c r="AG22" s="1">
        <f>G22*U22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9" t="s">
        <v>65</v>
      </c>
      <c r="B23" s="9" t="s">
        <v>36</v>
      </c>
      <c r="C23" s="9">
        <v>-12.462999999999999</v>
      </c>
      <c r="D23" s="9"/>
      <c r="E23" s="9"/>
      <c r="F23" s="15">
        <v>-12.462999999999999</v>
      </c>
      <c r="G23" s="10">
        <v>0</v>
      </c>
      <c r="H23" s="9"/>
      <c r="I23" s="9" t="s">
        <v>53</v>
      </c>
      <c r="J23" s="9" t="s">
        <v>66</v>
      </c>
      <c r="K23" s="9"/>
      <c r="L23" s="9">
        <f t="shared" si="2"/>
        <v>0</v>
      </c>
      <c r="M23" s="9">
        <f t="shared" si="3"/>
        <v>0</v>
      </c>
      <c r="N23" s="9"/>
      <c r="O23" s="9">
        <v>0</v>
      </c>
      <c r="P23" s="9"/>
      <c r="Q23" s="9"/>
      <c r="R23" s="9">
        <v>0</v>
      </c>
      <c r="S23" s="9"/>
      <c r="T23" s="9">
        <f t="shared" si="4"/>
        <v>0</v>
      </c>
      <c r="U23" s="11"/>
      <c r="V23" s="9" t="e">
        <f t="shared" si="5"/>
        <v>#DIV/0!</v>
      </c>
      <c r="W23" s="9" t="e">
        <f t="shared" si="6"/>
        <v>#DIV/0!</v>
      </c>
      <c r="X23" s="9">
        <v>0</v>
      </c>
      <c r="Y23" s="9">
        <v>0.99399999999999999</v>
      </c>
      <c r="Z23" s="9">
        <v>0.99399999999999999</v>
      </c>
      <c r="AA23" s="9">
        <v>0</v>
      </c>
      <c r="AB23" s="9">
        <v>0</v>
      </c>
      <c r="AC23" s="9">
        <v>0</v>
      </c>
      <c r="AD23" s="9">
        <v>0</v>
      </c>
      <c r="AE23" s="9">
        <v>1.4985999999999999</v>
      </c>
      <c r="AF23" s="9"/>
      <c r="AG23" s="9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 t="s">
        <v>67</v>
      </c>
      <c r="B24" s="1" t="s">
        <v>36</v>
      </c>
      <c r="C24" s="1">
        <v>794.04700000000003</v>
      </c>
      <c r="D24" s="1">
        <v>127.502</v>
      </c>
      <c r="E24" s="1">
        <v>422.40899999999999</v>
      </c>
      <c r="F24" s="1">
        <v>341.32</v>
      </c>
      <c r="G24" s="7">
        <v>1</v>
      </c>
      <c r="H24" s="1">
        <v>70</v>
      </c>
      <c r="I24" s="1" t="s">
        <v>37</v>
      </c>
      <c r="J24" s="1"/>
      <c r="K24" s="1">
        <v>416.55</v>
      </c>
      <c r="L24" s="1">
        <f t="shared" si="2"/>
        <v>5.8589999999999804</v>
      </c>
      <c r="M24" s="1">
        <f t="shared" si="3"/>
        <v>422.40899999999999</v>
      </c>
      <c r="N24" s="1"/>
      <c r="O24" s="1">
        <v>0</v>
      </c>
      <c r="P24" s="1"/>
      <c r="Q24" s="1"/>
      <c r="R24" s="1">
        <v>795.76600000000008</v>
      </c>
      <c r="S24" s="1"/>
      <c r="T24" s="1">
        <f t="shared" si="4"/>
        <v>84.481799999999993</v>
      </c>
      <c r="U24" s="5"/>
      <c r="V24" s="1">
        <f t="shared" si="5"/>
        <v>13.459538030676431</v>
      </c>
      <c r="W24" s="1">
        <f t="shared" si="6"/>
        <v>13.459538030676431</v>
      </c>
      <c r="X24" s="1">
        <v>134.7364</v>
      </c>
      <c r="Y24" s="1">
        <v>21.680199999999999</v>
      </c>
      <c r="Z24" s="1">
        <v>72.813199999999995</v>
      </c>
      <c r="AA24" s="1">
        <v>77.070599999999999</v>
      </c>
      <c r="AB24" s="1">
        <v>121.82040000000001</v>
      </c>
      <c r="AC24" s="1">
        <v>64.7166</v>
      </c>
      <c r="AD24" s="1">
        <v>29.255199999999999</v>
      </c>
      <c r="AE24" s="1">
        <v>86.518400000000014</v>
      </c>
      <c r="AF24" s="1"/>
      <c r="AG24" s="1">
        <f>G24*U24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 t="s">
        <v>68</v>
      </c>
      <c r="B25" s="1" t="s">
        <v>36</v>
      </c>
      <c r="C25" s="1">
        <v>1137.079</v>
      </c>
      <c r="D25" s="1">
        <v>1673.461</v>
      </c>
      <c r="E25" s="1">
        <v>1345.518</v>
      </c>
      <c r="F25" s="1">
        <v>827.18700000000001</v>
      </c>
      <c r="G25" s="7">
        <v>1</v>
      </c>
      <c r="H25" s="1">
        <v>70</v>
      </c>
      <c r="I25" s="1" t="s">
        <v>37</v>
      </c>
      <c r="J25" s="1"/>
      <c r="K25" s="1">
        <v>1329.3</v>
      </c>
      <c r="L25" s="1">
        <f t="shared" si="2"/>
        <v>16.218000000000075</v>
      </c>
      <c r="M25" s="1">
        <f t="shared" si="3"/>
        <v>1029.9180000000001</v>
      </c>
      <c r="N25" s="1">
        <v>315.60000000000002</v>
      </c>
      <c r="O25" s="1">
        <v>589.0867887161595</v>
      </c>
      <c r="P25" s="1"/>
      <c r="Q25" s="1"/>
      <c r="R25" s="1">
        <v>0</v>
      </c>
      <c r="S25" s="1"/>
      <c r="T25" s="1">
        <f t="shared" si="4"/>
        <v>205.98360000000002</v>
      </c>
      <c r="U25" s="5">
        <f t="shared" ref="U24:U25" si="10">12*T25-S25-R25-Q25-P25-O25-F25</f>
        <v>1055.529411283841</v>
      </c>
      <c r="V25" s="1">
        <f t="shared" si="5"/>
        <v>12</v>
      </c>
      <c r="W25" s="1">
        <f t="shared" si="6"/>
        <v>6.8756628620732885</v>
      </c>
      <c r="X25" s="1">
        <v>205.86320000000001</v>
      </c>
      <c r="Y25" s="1">
        <v>212.68279999999999</v>
      </c>
      <c r="Z25" s="1">
        <v>230.36799999999999</v>
      </c>
      <c r="AA25" s="1">
        <v>244.7884</v>
      </c>
      <c r="AB25" s="1">
        <v>233.47839999999999</v>
      </c>
      <c r="AC25" s="1">
        <v>197.40940000000001</v>
      </c>
      <c r="AD25" s="1">
        <v>248.37119999999999</v>
      </c>
      <c r="AE25" s="1">
        <v>254.24639999999999</v>
      </c>
      <c r="AF25" s="1"/>
      <c r="AG25" s="1">
        <f>G25*U25</f>
        <v>1055.529411283841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9" t="s">
        <v>69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2"/>
        <v>0</v>
      </c>
      <c r="M26" s="9">
        <f t="shared" si="3"/>
        <v>0</v>
      </c>
      <c r="N26" s="9"/>
      <c r="O26" s="9">
        <v>0</v>
      </c>
      <c r="P26" s="9"/>
      <c r="Q26" s="9"/>
      <c r="R26" s="9">
        <v>0</v>
      </c>
      <c r="S26" s="9"/>
      <c r="T26" s="9">
        <f t="shared" si="4"/>
        <v>0</v>
      </c>
      <c r="U26" s="11"/>
      <c r="V26" s="9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 t="s">
        <v>61</v>
      </c>
      <c r="AG26" s="9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 t="s">
        <v>70</v>
      </c>
      <c r="B27" s="1" t="s">
        <v>36</v>
      </c>
      <c r="C27" s="1">
        <v>885.80100000000004</v>
      </c>
      <c r="D27" s="1">
        <v>3179.6709999999998</v>
      </c>
      <c r="E27" s="1">
        <v>1947.711</v>
      </c>
      <c r="F27" s="1">
        <v>1470.807</v>
      </c>
      <c r="G27" s="7">
        <v>1</v>
      </c>
      <c r="H27" s="1">
        <v>70</v>
      </c>
      <c r="I27" s="1" t="s">
        <v>37</v>
      </c>
      <c r="J27" s="1"/>
      <c r="K27" s="1">
        <v>1901.444</v>
      </c>
      <c r="L27" s="1">
        <f t="shared" si="2"/>
        <v>46.267000000000053</v>
      </c>
      <c r="M27" s="1">
        <f t="shared" si="3"/>
        <v>1905.567</v>
      </c>
      <c r="N27" s="1">
        <v>42.143999999999998</v>
      </c>
      <c r="O27" s="1">
        <v>1146.2202239999999</v>
      </c>
      <c r="P27" s="1"/>
      <c r="Q27" s="1"/>
      <c r="R27" s="1">
        <v>186.0196390399999</v>
      </c>
      <c r="S27" s="1"/>
      <c r="T27" s="1">
        <f t="shared" si="4"/>
        <v>381.11340000000001</v>
      </c>
      <c r="U27" s="5">
        <f t="shared" ref="U27:U28" si="11">12*T27-S27-R27-Q27-P27-O27-F27</f>
        <v>1770.313936960001</v>
      </c>
      <c r="V27" s="1">
        <f t="shared" si="5"/>
        <v>12.000000000000004</v>
      </c>
      <c r="W27" s="1">
        <f t="shared" si="6"/>
        <v>7.3548892876503427</v>
      </c>
      <c r="X27" s="1">
        <v>357.56240000000003</v>
      </c>
      <c r="Y27" s="1">
        <v>356.4468</v>
      </c>
      <c r="Z27" s="1">
        <v>377.3442</v>
      </c>
      <c r="AA27" s="1">
        <v>436.64600000000002</v>
      </c>
      <c r="AB27" s="1">
        <v>375.16520000000003</v>
      </c>
      <c r="AC27" s="1">
        <v>497.58879999999999</v>
      </c>
      <c r="AD27" s="1">
        <v>453.67960000000011</v>
      </c>
      <c r="AE27" s="1">
        <v>417.40320000000003</v>
      </c>
      <c r="AF27" s="1"/>
      <c r="AG27" s="1">
        <f>G27*U27</f>
        <v>1770.313936960001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 t="s">
        <v>71</v>
      </c>
      <c r="B28" s="1" t="s">
        <v>36</v>
      </c>
      <c r="C28" s="1">
        <v>69.930000000000007</v>
      </c>
      <c r="D28" s="1">
        <v>6.4850000000000003</v>
      </c>
      <c r="E28" s="1">
        <v>10.936999999999999</v>
      </c>
      <c r="F28" s="1">
        <v>64.004999999999995</v>
      </c>
      <c r="G28" s="7">
        <v>1</v>
      </c>
      <c r="H28" s="1">
        <v>40</v>
      </c>
      <c r="I28" s="1" t="s">
        <v>37</v>
      </c>
      <c r="J28" s="1"/>
      <c r="K28" s="1">
        <v>11.7</v>
      </c>
      <c r="L28" s="1">
        <f t="shared" si="2"/>
        <v>-0.7629999999999999</v>
      </c>
      <c r="M28" s="1">
        <f t="shared" si="3"/>
        <v>10.936999999999999</v>
      </c>
      <c r="N28" s="1"/>
      <c r="O28" s="1">
        <v>0</v>
      </c>
      <c r="P28" s="1"/>
      <c r="Q28" s="1"/>
      <c r="R28" s="1">
        <v>0</v>
      </c>
      <c r="S28" s="1"/>
      <c r="T28" s="1">
        <f t="shared" si="4"/>
        <v>2.1873999999999998</v>
      </c>
      <c r="U28" s="5"/>
      <c r="V28" s="1">
        <f t="shared" si="5"/>
        <v>29.260766206455152</v>
      </c>
      <c r="W28" s="1">
        <f t="shared" si="6"/>
        <v>29.260766206455152</v>
      </c>
      <c r="X28" s="1">
        <v>2.1844000000000001</v>
      </c>
      <c r="Y28" s="1">
        <v>1.3022</v>
      </c>
      <c r="Z28" s="1">
        <v>1.3022</v>
      </c>
      <c r="AA28" s="1">
        <v>1.9805999999999999</v>
      </c>
      <c r="AB28" s="1">
        <v>1.2582</v>
      </c>
      <c r="AC28" s="1">
        <v>0.73199999999999998</v>
      </c>
      <c r="AD28" s="1">
        <v>1.3146</v>
      </c>
      <c r="AE28" s="1">
        <v>7.8512000000000004</v>
      </c>
      <c r="AF28" s="12" t="s">
        <v>72</v>
      </c>
      <c r="AG28" s="1">
        <f>G28*U28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 s="9" t="s">
        <v>73</v>
      </c>
      <c r="B29" s="9" t="s">
        <v>36</v>
      </c>
      <c r="C29" s="9"/>
      <c r="D29" s="9"/>
      <c r="E29" s="9"/>
      <c r="F29" s="9">
        <v>-1.6950000000000001</v>
      </c>
      <c r="G29" s="10">
        <v>0</v>
      </c>
      <c r="H29" s="9"/>
      <c r="I29" s="9" t="s">
        <v>53</v>
      </c>
      <c r="J29" s="9"/>
      <c r="K29" s="9"/>
      <c r="L29" s="9">
        <f t="shared" si="2"/>
        <v>0</v>
      </c>
      <c r="M29" s="9">
        <f t="shared" si="3"/>
        <v>0</v>
      </c>
      <c r="N29" s="9"/>
      <c r="O29" s="9"/>
      <c r="P29" s="9"/>
      <c r="Q29" s="9"/>
      <c r="R29" s="9">
        <v>0</v>
      </c>
      <c r="S29" s="9"/>
      <c r="T29" s="9">
        <f t="shared" si="4"/>
        <v>0</v>
      </c>
      <c r="U29" s="11"/>
      <c r="V29" s="9" t="e">
        <f t="shared" si="5"/>
        <v>#DIV/0!</v>
      </c>
      <c r="W29" s="9" t="e">
        <f t="shared" si="6"/>
        <v>#DIV/0!</v>
      </c>
      <c r="X29" s="9">
        <v>0.33900000000000002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/>
      <c r="AG29" s="9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 s="9" t="s">
        <v>74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37</v>
      </c>
      <c r="J30" s="9"/>
      <c r="K30" s="9"/>
      <c r="L30" s="9">
        <f t="shared" si="2"/>
        <v>0</v>
      </c>
      <c r="M30" s="9">
        <f t="shared" si="3"/>
        <v>0</v>
      </c>
      <c r="N30" s="9"/>
      <c r="O30" s="9">
        <v>0</v>
      </c>
      <c r="P30" s="9"/>
      <c r="Q30" s="9"/>
      <c r="R30" s="9">
        <v>0</v>
      </c>
      <c r="S30" s="9"/>
      <c r="T30" s="9">
        <f t="shared" si="4"/>
        <v>0</v>
      </c>
      <c r="U30" s="11"/>
      <c r="V30" s="9" t="e">
        <f t="shared" si="5"/>
        <v>#DIV/0!</v>
      </c>
      <c r="W30" s="9" t="e">
        <f t="shared" si="6"/>
        <v>#DIV/0!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 t="s">
        <v>61</v>
      </c>
      <c r="AG30" s="9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 s="9" t="s">
        <v>75</v>
      </c>
      <c r="B31" s="9" t="s">
        <v>36</v>
      </c>
      <c r="C31" s="9"/>
      <c r="D31" s="9"/>
      <c r="E31" s="9"/>
      <c r="F31" s="9"/>
      <c r="G31" s="10">
        <v>0</v>
      </c>
      <c r="H31" s="9"/>
      <c r="I31" s="9" t="s">
        <v>37</v>
      </c>
      <c r="J31" s="9"/>
      <c r="K31" s="9"/>
      <c r="L31" s="9">
        <f t="shared" si="2"/>
        <v>0</v>
      </c>
      <c r="M31" s="9">
        <f t="shared" si="3"/>
        <v>0</v>
      </c>
      <c r="N31" s="9"/>
      <c r="O31" s="9">
        <v>0</v>
      </c>
      <c r="P31" s="9"/>
      <c r="Q31" s="9"/>
      <c r="R31" s="9">
        <v>0</v>
      </c>
      <c r="S31" s="9"/>
      <c r="T31" s="9">
        <f t="shared" si="4"/>
        <v>0</v>
      </c>
      <c r="U31" s="11"/>
      <c r="V31" s="9" t="e">
        <f t="shared" si="5"/>
        <v>#DIV/0!</v>
      </c>
      <c r="W31" s="9" t="e">
        <f t="shared" si="6"/>
        <v>#DIV/0!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 t="s">
        <v>61</v>
      </c>
      <c r="AG31" s="9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 s="1" t="s">
        <v>76</v>
      </c>
      <c r="B32" s="1" t="s">
        <v>36</v>
      </c>
      <c r="C32" s="1">
        <v>335.78500000000003</v>
      </c>
      <c r="D32" s="1">
        <v>3522.3429999999998</v>
      </c>
      <c r="E32" s="1">
        <v>2102.1689999999999</v>
      </c>
      <c r="F32" s="1">
        <v>787.02300000000002</v>
      </c>
      <c r="G32" s="7">
        <v>1</v>
      </c>
      <c r="H32" s="1">
        <v>30</v>
      </c>
      <c r="I32" s="14" t="s">
        <v>50</v>
      </c>
      <c r="J32" s="1"/>
      <c r="K32" s="1">
        <v>2150.489</v>
      </c>
      <c r="L32" s="1">
        <f t="shared" si="2"/>
        <v>-48.320000000000164</v>
      </c>
      <c r="M32" s="1">
        <f t="shared" si="3"/>
        <v>1454.4089999999999</v>
      </c>
      <c r="N32" s="1">
        <v>647.76</v>
      </c>
      <c r="O32" s="1">
        <v>2610</v>
      </c>
      <c r="P32" s="1"/>
      <c r="Q32" s="1"/>
      <c r="R32" s="1">
        <v>0</v>
      </c>
      <c r="S32" s="1"/>
      <c r="T32" s="1">
        <f t="shared" si="4"/>
        <v>290.8818</v>
      </c>
      <c r="U32" s="5">
        <v>400</v>
      </c>
      <c r="V32" s="1">
        <f t="shared" si="5"/>
        <v>13.053491143137865</v>
      </c>
      <c r="W32" s="1">
        <f t="shared" si="6"/>
        <v>11.678362138848151</v>
      </c>
      <c r="X32" s="1">
        <v>248.68559999999999</v>
      </c>
      <c r="Y32" s="1">
        <v>440.64760000000001</v>
      </c>
      <c r="Z32" s="1">
        <v>365.18979999999999</v>
      </c>
      <c r="AA32" s="1">
        <v>310.87279999999998</v>
      </c>
      <c r="AB32" s="1">
        <v>178.89779999999999</v>
      </c>
      <c r="AC32" s="1">
        <v>437.43319999999989</v>
      </c>
      <c r="AD32" s="1">
        <v>568.72439999999995</v>
      </c>
      <c r="AE32" s="1">
        <v>251.48259999999999</v>
      </c>
      <c r="AF32" s="1"/>
      <c r="AG32" s="1">
        <f>G32*U32</f>
        <v>400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 s="9" t="s">
        <v>77</v>
      </c>
      <c r="B33" s="9" t="s">
        <v>36</v>
      </c>
      <c r="C33" s="9">
        <v>-0.23</v>
      </c>
      <c r="D33" s="9"/>
      <c r="E33" s="9"/>
      <c r="F33" s="9">
        <v>-0.23</v>
      </c>
      <c r="G33" s="10">
        <v>0</v>
      </c>
      <c r="H33" s="9">
        <v>40</v>
      </c>
      <c r="I33" s="9" t="s">
        <v>53</v>
      </c>
      <c r="J33" s="9"/>
      <c r="K33" s="9">
        <v>24</v>
      </c>
      <c r="L33" s="9">
        <f t="shared" si="2"/>
        <v>-24</v>
      </c>
      <c r="M33" s="9">
        <f t="shared" si="3"/>
        <v>0</v>
      </c>
      <c r="N33" s="9"/>
      <c r="O33" s="9">
        <v>0</v>
      </c>
      <c r="P33" s="9"/>
      <c r="Q33" s="9"/>
      <c r="R33" s="9">
        <v>0</v>
      </c>
      <c r="S33" s="9"/>
      <c r="T33" s="9">
        <f t="shared" si="4"/>
        <v>0</v>
      </c>
      <c r="U33" s="11"/>
      <c r="V33" s="9" t="e">
        <f t="shared" si="5"/>
        <v>#DIV/0!</v>
      </c>
      <c r="W33" s="9" t="e">
        <f t="shared" si="6"/>
        <v>#DIV/0!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-9.8000000000000004E-2</v>
      </c>
      <c r="AE33" s="9">
        <v>12.5518</v>
      </c>
      <c r="AF33" s="9"/>
      <c r="AG33" s="9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5">
      <c r="A34" s="1" t="s">
        <v>78</v>
      </c>
      <c r="B34" s="1" t="s">
        <v>36</v>
      </c>
      <c r="C34" s="1">
        <v>-108.533</v>
      </c>
      <c r="D34" s="1">
        <v>2319.886</v>
      </c>
      <c r="E34" s="1">
        <v>1107.7460000000001</v>
      </c>
      <c r="F34" s="1">
        <v>-999.04399999999998</v>
      </c>
      <c r="G34" s="7">
        <v>1</v>
      </c>
      <c r="H34" s="1">
        <v>40</v>
      </c>
      <c r="I34" s="14" t="s">
        <v>50</v>
      </c>
      <c r="J34" s="1"/>
      <c r="K34" s="1">
        <v>2866.91</v>
      </c>
      <c r="L34" s="1">
        <f t="shared" si="2"/>
        <v>-1759.1639999999998</v>
      </c>
      <c r="M34" s="1">
        <f t="shared" si="3"/>
        <v>1107.7460000000001</v>
      </c>
      <c r="N34" s="1"/>
      <c r="O34" s="1">
        <v>2200</v>
      </c>
      <c r="P34" s="1"/>
      <c r="Q34" s="1"/>
      <c r="R34" s="1">
        <v>1500</v>
      </c>
      <c r="S34" s="1">
        <v>500</v>
      </c>
      <c r="T34" s="1">
        <f t="shared" si="4"/>
        <v>221.54920000000001</v>
      </c>
      <c r="U34" s="5">
        <v>500</v>
      </c>
      <c r="V34" s="1">
        <f t="shared" si="5"/>
        <v>16.704894443311012</v>
      </c>
      <c r="W34" s="1">
        <f t="shared" si="6"/>
        <v>14.44805939267666</v>
      </c>
      <c r="X34" s="1">
        <v>91.550399999999996</v>
      </c>
      <c r="Y34" s="1">
        <v>656.28039999999999</v>
      </c>
      <c r="Z34" s="1">
        <v>656.84399999999994</v>
      </c>
      <c r="AA34" s="1">
        <v>328.15300000000002</v>
      </c>
      <c r="AB34" s="1">
        <v>-0.84619999999999995</v>
      </c>
      <c r="AC34" s="1">
        <v>8.5924000000000014</v>
      </c>
      <c r="AD34" s="1">
        <v>9.855599999999999</v>
      </c>
      <c r="AE34" s="1">
        <v>688.04320000000007</v>
      </c>
      <c r="AF34" s="1"/>
      <c r="AG34" s="1">
        <f>G34*U34</f>
        <v>500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 s="9" t="s">
        <v>79</v>
      </c>
      <c r="B35" s="9" t="s">
        <v>36</v>
      </c>
      <c r="C35" s="9"/>
      <c r="D35" s="9"/>
      <c r="E35" s="9"/>
      <c r="F35" s="9"/>
      <c r="G35" s="10">
        <v>0</v>
      </c>
      <c r="H35" s="9"/>
      <c r="I35" s="9" t="s">
        <v>37</v>
      </c>
      <c r="J35" s="9"/>
      <c r="K35" s="9"/>
      <c r="L35" s="9">
        <f t="shared" si="2"/>
        <v>0</v>
      </c>
      <c r="M35" s="9">
        <f t="shared" si="3"/>
        <v>0</v>
      </c>
      <c r="N35" s="9"/>
      <c r="O35" s="9">
        <v>0</v>
      </c>
      <c r="P35" s="9"/>
      <c r="Q35" s="9"/>
      <c r="R35" s="9">
        <v>0</v>
      </c>
      <c r="S35" s="9"/>
      <c r="T35" s="9">
        <f t="shared" si="4"/>
        <v>0</v>
      </c>
      <c r="U35" s="11"/>
      <c r="V35" s="9" t="e">
        <f t="shared" si="5"/>
        <v>#DIV/0!</v>
      </c>
      <c r="W35" s="9" t="e">
        <f t="shared" si="6"/>
        <v>#DIV/0!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 t="s">
        <v>61</v>
      </c>
      <c r="AG35" s="9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 s="9" t="s">
        <v>80</v>
      </c>
      <c r="B36" s="9" t="s">
        <v>36</v>
      </c>
      <c r="C36" s="9"/>
      <c r="D36" s="9"/>
      <c r="E36" s="9"/>
      <c r="F36" s="9"/>
      <c r="G36" s="10">
        <v>0</v>
      </c>
      <c r="H36" s="9"/>
      <c r="I36" s="9" t="s">
        <v>37</v>
      </c>
      <c r="J36" s="9"/>
      <c r="K36" s="9"/>
      <c r="L36" s="9">
        <f t="shared" si="2"/>
        <v>0</v>
      </c>
      <c r="M36" s="9">
        <f t="shared" si="3"/>
        <v>0</v>
      </c>
      <c r="N36" s="9"/>
      <c r="O36" s="9">
        <v>0</v>
      </c>
      <c r="P36" s="9"/>
      <c r="Q36" s="9"/>
      <c r="R36" s="9">
        <v>0</v>
      </c>
      <c r="S36" s="9"/>
      <c r="T36" s="9">
        <f t="shared" si="4"/>
        <v>0</v>
      </c>
      <c r="U36" s="11"/>
      <c r="V36" s="9" t="e">
        <f t="shared" si="5"/>
        <v>#DIV/0!</v>
      </c>
      <c r="W36" s="9" t="e">
        <f t="shared" si="6"/>
        <v>#DIV/0!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 t="s">
        <v>61</v>
      </c>
      <c r="AG36" s="9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 s="9" t="s">
        <v>81</v>
      </c>
      <c r="B37" s="9" t="s">
        <v>36</v>
      </c>
      <c r="C37" s="9"/>
      <c r="D37" s="9"/>
      <c r="E37" s="9"/>
      <c r="F37" s="9"/>
      <c r="G37" s="10">
        <v>0</v>
      </c>
      <c r="H37" s="9"/>
      <c r="I37" s="9" t="s">
        <v>37</v>
      </c>
      <c r="J37" s="9"/>
      <c r="K37" s="9"/>
      <c r="L37" s="9">
        <f t="shared" si="2"/>
        <v>0</v>
      </c>
      <c r="M37" s="9">
        <f t="shared" si="3"/>
        <v>0</v>
      </c>
      <c r="N37" s="9"/>
      <c r="O37" s="9">
        <v>0</v>
      </c>
      <c r="P37" s="9"/>
      <c r="Q37" s="9"/>
      <c r="R37" s="9">
        <v>0</v>
      </c>
      <c r="S37" s="9"/>
      <c r="T37" s="9">
        <f t="shared" si="4"/>
        <v>0</v>
      </c>
      <c r="U37" s="11"/>
      <c r="V37" s="9" t="e">
        <f t="shared" si="5"/>
        <v>#DIV/0!</v>
      </c>
      <c r="W37" s="9" t="e">
        <f t="shared" si="6"/>
        <v>#DIV/0!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 t="s">
        <v>61</v>
      </c>
      <c r="AG37" s="9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 s="9" t="s">
        <v>82</v>
      </c>
      <c r="B38" s="9" t="s">
        <v>36</v>
      </c>
      <c r="C38" s="9"/>
      <c r="D38" s="9"/>
      <c r="E38" s="9"/>
      <c r="F38" s="9"/>
      <c r="G38" s="10">
        <v>0</v>
      </c>
      <c r="H38" s="9"/>
      <c r="I38" s="9" t="s">
        <v>37</v>
      </c>
      <c r="J38" s="9"/>
      <c r="K38" s="9"/>
      <c r="L38" s="9">
        <f t="shared" ref="L38:L69" si="12">E38-K38</f>
        <v>0</v>
      </c>
      <c r="M38" s="9">
        <f t="shared" ref="M38:M69" si="13">E38-N38</f>
        <v>0</v>
      </c>
      <c r="N38" s="9"/>
      <c r="O38" s="9">
        <v>0</v>
      </c>
      <c r="P38" s="9"/>
      <c r="Q38" s="9"/>
      <c r="R38" s="9">
        <v>0</v>
      </c>
      <c r="S38" s="9"/>
      <c r="T38" s="9">
        <f t="shared" ref="T38:T69" si="14">M38/5</f>
        <v>0</v>
      </c>
      <c r="U38" s="11"/>
      <c r="V38" s="9" t="e">
        <f t="shared" ref="V38:V69" si="15">(F38+O38+P38+Q38+R38+S38+U38)/T38</f>
        <v>#DIV/0!</v>
      </c>
      <c r="W38" s="9" t="e">
        <f t="shared" ref="W38:W69" si="16">(F38+O38+P38+Q38+R38+S38)/T38</f>
        <v>#DIV/0!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 t="s">
        <v>61</v>
      </c>
      <c r="AG38" s="9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 s="1" t="s">
        <v>83</v>
      </c>
      <c r="B39" s="1" t="s">
        <v>41</v>
      </c>
      <c r="C39" s="1">
        <v>-9</v>
      </c>
      <c r="D39" s="1">
        <v>7911</v>
      </c>
      <c r="E39" s="1">
        <v>3271</v>
      </c>
      <c r="F39" s="1">
        <v>88</v>
      </c>
      <c r="G39" s="7">
        <v>0.4</v>
      </c>
      <c r="H39" s="1">
        <v>45</v>
      </c>
      <c r="I39" s="14" t="s">
        <v>50</v>
      </c>
      <c r="J39" s="1"/>
      <c r="K39" s="1">
        <v>3620</v>
      </c>
      <c r="L39" s="1">
        <f t="shared" si="12"/>
        <v>-349</v>
      </c>
      <c r="M39" s="1">
        <f t="shared" si="13"/>
        <v>2899</v>
      </c>
      <c r="N39" s="1">
        <v>372</v>
      </c>
      <c r="O39" s="1">
        <v>3000</v>
      </c>
      <c r="P39" s="1"/>
      <c r="Q39" s="1"/>
      <c r="R39" s="1">
        <v>1000</v>
      </c>
      <c r="S39" s="1">
        <v>500</v>
      </c>
      <c r="T39" s="1">
        <f t="shared" si="14"/>
        <v>579.79999999999995</v>
      </c>
      <c r="U39" s="5">
        <v>2000</v>
      </c>
      <c r="V39" s="1">
        <f t="shared" si="15"/>
        <v>11.362538806484995</v>
      </c>
      <c r="W39" s="1">
        <f t="shared" si="16"/>
        <v>7.9130734736115906</v>
      </c>
      <c r="X39" s="1">
        <v>402.6</v>
      </c>
      <c r="Y39" s="1">
        <v>815</v>
      </c>
      <c r="Z39" s="1">
        <v>779</v>
      </c>
      <c r="AA39" s="1">
        <v>633.6</v>
      </c>
      <c r="AB39" s="1">
        <v>113.2</v>
      </c>
      <c r="AC39" s="1">
        <v>461.2</v>
      </c>
      <c r="AD39" s="1">
        <v>811.2</v>
      </c>
      <c r="AE39" s="1">
        <v>861.6</v>
      </c>
      <c r="AF39" s="1"/>
      <c r="AG39" s="1">
        <f t="shared" ref="AG39:AG53" si="17">G39*U39</f>
        <v>800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 s="1" t="s">
        <v>84</v>
      </c>
      <c r="B40" s="1" t="s">
        <v>41</v>
      </c>
      <c r="C40" s="1">
        <v>343.75</v>
      </c>
      <c r="D40" s="1">
        <v>1060</v>
      </c>
      <c r="E40" s="1">
        <v>470</v>
      </c>
      <c r="F40" s="1">
        <v>32.75</v>
      </c>
      <c r="G40" s="7">
        <v>0.45</v>
      </c>
      <c r="H40" s="1">
        <v>50</v>
      </c>
      <c r="I40" s="13" t="s">
        <v>44</v>
      </c>
      <c r="J40" s="1"/>
      <c r="K40" s="1">
        <v>645</v>
      </c>
      <c r="L40" s="1">
        <f t="shared" si="12"/>
        <v>-175</v>
      </c>
      <c r="M40" s="1">
        <f t="shared" si="13"/>
        <v>470</v>
      </c>
      <c r="N40" s="1"/>
      <c r="O40" s="1">
        <v>716.25</v>
      </c>
      <c r="P40" s="1"/>
      <c r="Q40" s="1"/>
      <c r="R40" s="1">
        <v>0</v>
      </c>
      <c r="S40" s="1"/>
      <c r="T40" s="1">
        <f t="shared" si="14"/>
        <v>94</v>
      </c>
      <c r="U40" s="5">
        <f t="shared" ref="U39:U53" si="18">12*T40-S40-R40-Q40-P40-O40-F40</f>
        <v>379</v>
      </c>
      <c r="V40" s="1">
        <f t="shared" si="15"/>
        <v>12</v>
      </c>
      <c r="W40" s="1">
        <f t="shared" si="16"/>
        <v>7.9680851063829783</v>
      </c>
      <c r="X40" s="1">
        <v>102.6</v>
      </c>
      <c r="Y40" s="1">
        <v>147</v>
      </c>
      <c r="Z40" s="1">
        <v>147.6</v>
      </c>
      <c r="AA40" s="1">
        <v>112.6</v>
      </c>
      <c r="AB40" s="1">
        <v>71</v>
      </c>
      <c r="AC40" s="1">
        <v>70.400000000000006</v>
      </c>
      <c r="AD40" s="1">
        <v>98.4</v>
      </c>
      <c r="AE40" s="1">
        <v>126.8</v>
      </c>
      <c r="AF40" s="1" t="s">
        <v>85</v>
      </c>
      <c r="AG40" s="1">
        <f t="shared" si="17"/>
        <v>170.55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 s="1" t="s">
        <v>86</v>
      </c>
      <c r="B41" s="1" t="s">
        <v>41</v>
      </c>
      <c r="C41" s="1">
        <v>43</v>
      </c>
      <c r="D41" s="1">
        <v>222</v>
      </c>
      <c r="E41" s="1">
        <v>231</v>
      </c>
      <c r="F41" s="1">
        <v>20</v>
      </c>
      <c r="G41" s="7">
        <v>0.4</v>
      </c>
      <c r="H41" s="1">
        <v>45</v>
      </c>
      <c r="I41" s="14" t="s">
        <v>50</v>
      </c>
      <c r="J41" s="1"/>
      <c r="K41" s="1">
        <v>1483</v>
      </c>
      <c r="L41" s="1">
        <f t="shared" si="12"/>
        <v>-1252</v>
      </c>
      <c r="M41" s="1">
        <f t="shared" si="13"/>
        <v>231</v>
      </c>
      <c r="N41" s="1"/>
      <c r="O41" s="1">
        <v>500</v>
      </c>
      <c r="P41" s="1">
        <v>-505</v>
      </c>
      <c r="Q41" s="1"/>
      <c r="R41" s="1">
        <v>300</v>
      </c>
      <c r="S41" s="1">
        <v>100</v>
      </c>
      <c r="T41" s="1">
        <f t="shared" si="14"/>
        <v>46.2</v>
      </c>
      <c r="U41" s="5">
        <v>250</v>
      </c>
      <c r="V41" s="1">
        <f t="shared" si="15"/>
        <v>14.393939393939393</v>
      </c>
      <c r="W41" s="1">
        <f t="shared" si="16"/>
        <v>8.9826839826839819</v>
      </c>
      <c r="X41" s="1">
        <v>45.4</v>
      </c>
      <c r="Y41" s="1">
        <v>148.4</v>
      </c>
      <c r="Z41" s="1">
        <v>148.4</v>
      </c>
      <c r="AA41" s="1">
        <v>122.2</v>
      </c>
      <c r="AB41" s="1">
        <v>91.8</v>
      </c>
      <c r="AC41" s="1">
        <v>163.6</v>
      </c>
      <c r="AD41" s="1">
        <v>166.8</v>
      </c>
      <c r="AE41" s="1">
        <v>188.8</v>
      </c>
      <c r="AF41" s="1"/>
      <c r="AG41" s="1">
        <f t="shared" si="17"/>
        <v>100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 s="1" t="s">
        <v>87</v>
      </c>
      <c r="B42" s="1" t="s">
        <v>41</v>
      </c>
      <c r="C42" s="1">
        <v>-13</v>
      </c>
      <c r="D42" s="1"/>
      <c r="E42" s="1"/>
      <c r="F42" s="1">
        <v>-13</v>
      </c>
      <c r="G42" s="7">
        <v>0.4</v>
      </c>
      <c r="H42" s="1">
        <v>40</v>
      </c>
      <c r="I42" s="14" t="s">
        <v>50</v>
      </c>
      <c r="J42" s="1"/>
      <c r="K42" s="1">
        <v>724</v>
      </c>
      <c r="L42" s="1">
        <f t="shared" si="12"/>
        <v>-724</v>
      </c>
      <c r="M42" s="1">
        <f t="shared" si="13"/>
        <v>0</v>
      </c>
      <c r="N42" s="1"/>
      <c r="O42" s="1">
        <v>200</v>
      </c>
      <c r="P42" s="1">
        <v>-205</v>
      </c>
      <c r="Q42" s="1"/>
      <c r="R42" s="1">
        <v>200</v>
      </c>
      <c r="S42" s="1">
        <v>100</v>
      </c>
      <c r="T42" s="1">
        <f t="shared" si="14"/>
        <v>0</v>
      </c>
      <c r="U42" s="5">
        <v>200</v>
      </c>
      <c r="V42" s="1" t="e">
        <f t="shared" si="15"/>
        <v>#DIV/0!</v>
      </c>
      <c r="W42" s="1" t="e">
        <f t="shared" si="16"/>
        <v>#DIV/0!</v>
      </c>
      <c r="X42" s="1">
        <v>-0.4</v>
      </c>
      <c r="Y42" s="1">
        <v>2.6</v>
      </c>
      <c r="Z42" s="1">
        <v>2.6</v>
      </c>
      <c r="AA42" s="1">
        <v>46</v>
      </c>
      <c r="AB42" s="1">
        <v>64.400000000000006</v>
      </c>
      <c r="AC42" s="1">
        <v>125</v>
      </c>
      <c r="AD42" s="1">
        <v>116.2</v>
      </c>
      <c r="AE42" s="1">
        <v>86.8</v>
      </c>
      <c r="AF42" s="1"/>
      <c r="AG42" s="1">
        <f t="shared" si="17"/>
        <v>80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 s="1" t="s">
        <v>88</v>
      </c>
      <c r="B43" s="1" t="s">
        <v>36</v>
      </c>
      <c r="C43" s="1">
        <v>49.567</v>
      </c>
      <c r="D43" s="1">
        <v>53.037999999999997</v>
      </c>
      <c r="E43" s="1">
        <v>71.804000000000002</v>
      </c>
      <c r="F43" s="1">
        <v>4.282</v>
      </c>
      <c r="G43" s="7">
        <v>1</v>
      </c>
      <c r="H43" s="1"/>
      <c r="I43" s="14" t="s">
        <v>50</v>
      </c>
      <c r="J43" s="1"/>
      <c r="K43" s="1">
        <v>106.119</v>
      </c>
      <c r="L43" s="1">
        <f t="shared" si="12"/>
        <v>-34.314999999999998</v>
      </c>
      <c r="M43" s="1">
        <f t="shared" si="13"/>
        <v>71.804000000000002</v>
      </c>
      <c r="N43" s="1"/>
      <c r="O43" s="1">
        <v>0</v>
      </c>
      <c r="P43" s="1"/>
      <c r="Q43" s="1"/>
      <c r="R43" s="1">
        <v>70.599400000000003</v>
      </c>
      <c r="S43" s="1">
        <v>50</v>
      </c>
      <c r="T43" s="1">
        <f t="shared" si="14"/>
        <v>14.360800000000001</v>
      </c>
      <c r="U43" s="5">
        <v>50</v>
      </c>
      <c r="V43" s="1">
        <f t="shared" si="15"/>
        <v>12.177692050582138</v>
      </c>
      <c r="W43" s="1">
        <f t="shared" si="16"/>
        <v>8.6959918667483702</v>
      </c>
      <c r="X43" s="1">
        <v>9.3544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 t="s">
        <v>89</v>
      </c>
      <c r="AG43" s="1">
        <f t="shared" si="17"/>
        <v>50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 s="1" t="s">
        <v>90</v>
      </c>
      <c r="B44" s="1" t="s">
        <v>41</v>
      </c>
      <c r="C44" s="1">
        <v>277</v>
      </c>
      <c r="D44" s="1">
        <v>117</v>
      </c>
      <c r="E44" s="1">
        <v>178</v>
      </c>
      <c r="F44" s="1">
        <v>170</v>
      </c>
      <c r="G44" s="7">
        <v>0.1</v>
      </c>
      <c r="H44" s="1">
        <v>731</v>
      </c>
      <c r="I44" s="1" t="s">
        <v>37</v>
      </c>
      <c r="J44" s="1"/>
      <c r="K44" s="1">
        <v>198</v>
      </c>
      <c r="L44" s="1">
        <f t="shared" si="12"/>
        <v>-20</v>
      </c>
      <c r="M44" s="1">
        <f t="shared" si="13"/>
        <v>178</v>
      </c>
      <c r="N44" s="1"/>
      <c r="O44" s="1">
        <v>130.1999999999999</v>
      </c>
      <c r="P44" s="1"/>
      <c r="Q44" s="1"/>
      <c r="R44" s="1">
        <v>62.200000000000053</v>
      </c>
      <c r="S44" s="1"/>
      <c r="T44" s="1">
        <f t="shared" si="14"/>
        <v>35.6</v>
      </c>
      <c r="U44" s="5">
        <f t="shared" si="18"/>
        <v>64.800000000000097</v>
      </c>
      <c r="V44" s="1">
        <f t="shared" si="15"/>
        <v>12</v>
      </c>
      <c r="W44" s="1">
        <f t="shared" si="16"/>
        <v>10.179775280898875</v>
      </c>
      <c r="X44" s="1">
        <v>42.4</v>
      </c>
      <c r="Y44" s="1">
        <v>42.4</v>
      </c>
      <c r="Z44" s="1">
        <v>42.4</v>
      </c>
      <c r="AA44" s="1">
        <v>41.4</v>
      </c>
      <c r="AB44" s="1">
        <v>35</v>
      </c>
      <c r="AC44" s="1">
        <v>35.4</v>
      </c>
      <c r="AD44" s="1">
        <v>37.4</v>
      </c>
      <c r="AE44" s="1">
        <v>57.4</v>
      </c>
      <c r="AF44" s="1"/>
      <c r="AG44" s="1">
        <f t="shared" si="17"/>
        <v>6.4800000000000102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 s="1" t="s">
        <v>91</v>
      </c>
      <c r="B45" s="1" t="s">
        <v>41</v>
      </c>
      <c r="C45" s="1">
        <v>-2</v>
      </c>
      <c r="D45" s="1"/>
      <c r="E45" s="1">
        <v>-12</v>
      </c>
      <c r="F45" s="1">
        <v>-2</v>
      </c>
      <c r="G45" s="7">
        <v>0.35</v>
      </c>
      <c r="H45" s="1">
        <v>40</v>
      </c>
      <c r="I45" s="14" t="s">
        <v>50</v>
      </c>
      <c r="J45" s="1"/>
      <c r="K45" s="1"/>
      <c r="L45" s="1">
        <f t="shared" si="12"/>
        <v>-12</v>
      </c>
      <c r="M45" s="1">
        <f t="shared" si="13"/>
        <v>-12</v>
      </c>
      <c r="N45" s="1"/>
      <c r="O45" s="1">
        <v>50</v>
      </c>
      <c r="P45" s="1">
        <v>-54.285714285714292</v>
      </c>
      <c r="Q45" s="1"/>
      <c r="R45" s="1">
        <v>40</v>
      </c>
      <c r="S45" s="1"/>
      <c r="T45" s="1">
        <f t="shared" si="14"/>
        <v>-2.4</v>
      </c>
      <c r="U45" s="5">
        <v>40</v>
      </c>
      <c r="V45" s="1">
        <f t="shared" si="15"/>
        <v>-30.714285714285712</v>
      </c>
      <c r="W45" s="1">
        <f t="shared" si="16"/>
        <v>-14.047619047619046</v>
      </c>
      <c r="X45" s="1">
        <v>-1.2</v>
      </c>
      <c r="Y45" s="1">
        <v>4.2</v>
      </c>
      <c r="Z45" s="1">
        <v>4.2</v>
      </c>
      <c r="AA45" s="1">
        <v>15.8</v>
      </c>
      <c r="AB45" s="1">
        <v>18.2</v>
      </c>
      <c r="AC45" s="1">
        <v>15.8</v>
      </c>
      <c r="AD45" s="1">
        <v>18.8</v>
      </c>
      <c r="AE45" s="1">
        <v>28.4</v>
      </c>
      <c r="AF45" s="1"/>
      <c r="AG45" s="1">
        <f t="shared" si="17"/>
        <v>14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 s="1" t="s">
        <v>92</v>
      </c>
      <c r="B46" s="1" t="s">
        <v>36</v>
      </c>
      <c r="C46" s="1">
        <v>25.071999999999999</v>
      </c>
      <c r="D46" s="1">
        <v>5.8369999999999997</v>
      </c>
      <c r="E46" s="1">
        <v>10.916</v>
      </c>
      <c r="F46" s="1">
        <v>14.705</v>
      </c>
      <c r="G46" s="7">
        <v>1</v>
      </c>
      <c r="H46" s="1">
        <v>40</v>
      </c>
      <c r="I46" s="1" t="s">
        <v>37</v>
      </c>
      <c r="J46" s="1"/>
      <c r="K46" s="1">
        <v>10.8</v>
      </c>
      <c r="L46" s="1">
        <f t="shared" si="12"/>
        <v>0.11599999999999966</v>
      </c>
      <c r="M46" s="1">
        <f t="shared" si="13"/>
        <v>10.916</v>
      </c>
      <c r="N46" s="1"/>
      <c r="O46" s="1">
        <v>7.5523999999999987</v>
      </c>
      <c r="P46" s="1"/>
      <c r="Q46" s="1"/>
      <c r="R46" s="1">
        <v>8</v>
      </c>
      <c r="S46" s="1"/>
      <c r="T46" s="1">
        <f t="shared" si="14"/>
        <v>2.1832000000000003</v>
      </c>
      <c r="U46" s="5"/>
      <c r="V46" s="1">
        <f t="shared" si="15"/>
        <v>13.859197508244776</v>
      </c>
      <c r="W46" s="1">
        <f t="shared" si="16"/>
        <v>13.859197508244776</v>
      </c>
      <c r="X46" s="1">
        <v>2.4698000000000002</v>
      </c>
      <c r="Y46" s="1">
        <v>2.9312</v>
      </c>
      <c r="Z46" s="1">
        <v>3.1116000000000001</v>
      </c>
      <c r="AA46" s="1">
        <v>2.6240000000000001</v>
      </c>
      <c r="AB46" s="1">
        <v>3.7808000000000002</v>
      </c>
      <c r="AC46" s="1">
        <v>4.3208000000000002</v>
      </c>
      <c r="AD46" s="1">
        <v>3.3064</v>
      </c>
      <c r="AE46" s="1">
        <v>1.6506000000000001</v>
      </c>
      <c r="AF46" s="1"/>
      <c r="AG46" s="1">
        <f t="shared" si="1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 s="1" t="s">
        <v>93</v>
      </c>
      <c r="B47" s="1" t="s">
        <v>41</v>
      </c>
      <c r="C47" s="1">
        <v>3</v>
      </c>
      <c r="D47" s="1">
        <v>184</v>
      </c>
      <c r="E47" s="1">
        <v>134</v>
      </c>
      <c r="F47" s="1">
        <v>-36</v>
      </c>
      <c r="G47" s="7">
        <v>0.4</v>
      </c>
      <c r="H47" s="1">
        <v>40</v>
      </c>
      <c r="I47" s="14" t="s">
        <v>50</v>
      </c>
      <c r="J47" s="1"/>
      <c r="K47" s="1">
        <v>240</v>
      </c>
      <c r="L47" s="1">
        <f t="shared" si="12"/>
        <v>-106</v>
      </c>
      <c r="M47" s="1">
        <f t="shared" si="13"/>
        <v>134</v>
      </c>
      <c r="N47" s="1"/>
      <c r="O47" s="1">
        <v>100</v>
      </c>
      <c r="P47" s="1"/>
      <c r="Q47" s="1"/>
      <c r="R47" s="1">
        <v>58.800000000000011</v>
      </c>
      <c r="S47" s="1"/>
      <c r="T47" s="1">
        <f t="shared" si="14"/>
        <v>26.8</v>
      </c>
      <c r="U47" s="5">
        <v>100</v>
      </c>
      <c r="V47" s="1">
        <f t="shared" si="15"/>
        <v>8.3134328358208958</v>
      </c>
      <c r="W47" s="1">
        <f t="shared" si="16"/>
        <v>4.5820895522388065</v>
      </c>
      <c r="X47" s="1">
        <v>24.8</v>
      </c>
      <c r="Y47" s="1">
        <v>30.8</v>
      </c>
      <c r="Z47" s="1">
        <v>31.8</v>
      </c>
      <c r="AA47" s="1">
        <v>4.8</v>
      </c>
      <c r="AB47" s="1">
        <v>0.4</v>
      </c>
      <c r="AC47" s="1">
        <v>-0.2</v>
      </c>
      <c r="AD47" s="1">
        <v>-0.8</v>
      </c>
      <c r="AE47" s="1">
        <v>0.6</v>
      </c>
      <c r="AF47" s="1"/>
      <c r="AG47" s="1">
        <f t="shared" si="17"/>
        <v>40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 s="1" t="s">
        <v>94</v>
      </c>
      <c r="B48" s="1" t="s">
        <v>41</v>
      </c>
      <c r="C48" s="1">
        <v>130</v>
      </c>
      <c r="D48" s="1">
        <v>117</v>
      </c>
      <c r="E48" s="1">
        <v>176</v>
      </c>
      <c r="F48" s="1">
        <v>17</v>
      </c>
      <c r="G48" s="7">
        <v>0.4</v>
      </c>
      <c r="H48" s="1">
        <v>45</v>
      </c>
      <c r="I48" s="14" t="s">
        <v>50</v>
      </c>
      <c r="J48" s="1"/>
      <c r="K48" s="1">
        <v>428</v>
      </c>
      <c r="L48" s="1">
        <f t="shared" si="12"/>
        <v>-252</v>
      </c>
      <c r="M48" s="1">
        <f t="shared" si="13"/>
        <v>176</v>
      </c>
      <c r="N48" s="1"/>
      <c r="O48" s="1">
        <v>100</v>
      </c>
      <c r="P48" s="1"/>
      <c r="Q48" s="1"/>
      <c r="R48" s="1">
        <v>150</v>
      </c>
      <c r="S48" s="1"/>
      <c r="T48" s="1">
        <f t="shared" si="14"/>
        <v>35.200000000000003</v>
      </c>
      <c r="U48" s="5">
        <v>150</v>
      </c>
      <c r="V48" s="1">
        <f t="shared" si="15"/>
        <v>11.846590909090908</v>
      </c>
      <c r="W48" s="1">
        <f t="shared" si="16"/>
        <v>7.5852272727272725</v>
      </c>
      <c r="X48" s="1">
        <v>45.6</v>
      </c>
      <c r="Y48" s="1">
        <v>29.2</v>
      </c>
      <c r="Z48" s="1">
        <v>29.2</v>
      </c>
      <c r="AA48" s="1">
        <v>8.8000000000000007</v>
      </c>
      <c r="AB48" s="1">
        <v>0</v>
      </c>
      <c r="AC48" s="1">
        <v>0.4</v>
      </c>
      <c r="AD48" s="1">
        <v>26</v>
      </c>
      <c r="AE48" s="1">
        <v>58.6</v>
      </c>
      <c r="AF48" s="1"/>
      <c r="AG48" s="1">
        <f t="shared" si="17"/>
        <v>60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 s="1" t="s">
        <v>95</v>
      </c>
      <c r="B49" s="1" t="s">
        <v>36</v>
      </c>
      <c r="C49" s="1">
        <v>24.257000000000001</v>
      </c>
      <c r="D49" s="1">
        <v>39.506</v>
      </c>
      <c r="E49" s="1">
        <v>4.3929999999999998</v>
      </c>
      <c r="F49" s="1">
        <v>46.176000000000002</v>
      </c>
      <c r="G49" s="7">
        <v>1</v>
      </c>
      <c r="H49" s="1">
        <v>40</v>
      </c>
      <c r="I49" s="14" t="s">
        <v>50</v>
      </c>
      <c r="J49" s="1"/>
      <c r="K49" s="1">
        <v>34.6</v>
      </c>
      <c r="L49" s="1">
        <f t="shared" si="12"/>
        <v>-30.207000000000001</v>
      </c>
      <c r="M49" s="1">
        <f t="shared" si="13"/>
        <v>4.3929999999999998</v>
      </c>
      <c r="N49" s="1"/>
      <c r="O49" s="1">
        <v>10.75139999999999</v>
      </c>
      <c r="P49" s="1"/>
      <c r="Q49" s="1"/>
      <c r="R49" s="1">
        <v>0</v>
      </c>
      <c r="S49" s="1"/>
      <c r="T49" s="1">
        <f t="shared" si="14"/>
        <v>0.87859999999999994</v>
      </c>
      <c r="U49" s="5"/>
      <c r="V49" s="1">
        <f t="shared" si="15"/>
        <v>64.793307534714316</v>
      </c>
      <c r="W49" s="1">
        <f t="shared" si="16"/>
        <v>64.793307534714316</v>
      </c>
      <c r="X49" s="1">
        <v>0</v>
      </c>
      <c r="Y49" s="1">
        <v>5.8158000000000003</v>
      </c>
      <c r="Z49" s="1">
        <v>5.8158000000000003</v>
      </c>
      <c r="AA49" s="1">
        <v>7.0093999999999994</v>
      </c>
      <c r="AB49" s="1">
        <v>6.5449999999999999</v>
      </c>
      <c r="AC49" s="1">
        <v>3.3479999999999999</v>
      </c>
      <c r="AD49" s="1">
        <v>1.8211999999999999</v>
      </c>
      <c r="AE49" s="1">
        <v>7.1238000000000001</v>
      </c>
      <c r="AF49" s="12" t="s">
        <v>72</v>
      </c>
      <c r="AG49" s="1">
        <f t="shared" si="1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 x14ac:dyDescent="0.25">
      <c r="A50" s="1" t="s">
        <v>96</v>
      </c>
      <c r="B50" s="1" t="s">
        <v>41</v>
      </c>
      <c r="C50" s="1">
        <v>-16</v>
      </c>
      <c r="D50" s="1">
        <v>69</v>
      </c>
      <c r="E50" s="1">
        <v>19</v>
      </c>
      <c r="F50" s="1">
        <v>-43</v>
      </c>
      <c r="G50" s="7">
        <v>0.35</v>
      </c>
      <c r="H50" s="1">
        <v>40</v>
      </c>
      <c r="I50" s="14" t="s">
        <v>50</v>
      </c>
      <c r="J50" s="1"/>
      <c r="K50" s="1">
        <v>40</v>
      </c>
      <c r="L50" s="1">
        <f t="shared" si="12"/>
        <v>-21</v>
      </c>
      <c r="M50" s="1">
        <f t="shared" si="13"/>
        <v>19</v>
      </c>
      <c r="N50" s="1"/>
      <c r="O50" s="1">
        <v>900</v>
      </c>
      <c r="P50" s="1">
        <v>-900.00000000000011</v>
      </c>
      <c r="Q50" s="1"/>
      <c r="R50" s="1">
        <v>250</v>
      </c>
      <c r="S50" s="1"/>
      <c r="T50" s="1">
        <f t="shared" si="14"/>
        <v>3.8</v>
      </c>
      <c r="U50" s="5">
        <v>250</v>
      </c>
      <c r="V50" s="1">
        <f t="shared" si="15"/>
        <v>120.26315789473682</v>
      </c>
      <c r="W50" s="1">
        <f t="shared" si="16"/>
        <v>54.473684210526287</v>
      </c>
      <c r="X50" s="1">
        <v>49.6</v>
      </c>
      <c r="Y50" s="1">
        <v>98.8</v>
      </c>
      <c r="Z50" s="1">
        <v>122.8</v>
      </c>
      <c r="AA50" s="1">
        <v>88.6</v>
      </c>
      <c r="AB50" s="1">
        <v>86.8</v>
      </c>
      <c r="AC50" s="1">
        <v>80.2</v>
      </c>
      <c r="AD50" s="1">
        <v>92.8</v>
      </c>
      <c r="AE50" s="1">
        <v>120.2</v>
      </c>
      <c r="AF50" s="1"/>
      <c r="AG50" s="1">
        <f t="shared" si="17"/>
        <v>87.5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 x14ac:dyDescent="0.25">
      <c r="A51" s="1" t="s">
        <v>97</v>
      </c>
      <c r="B51" s="1" t="s">
        <v>41</v>
      </c>
      <c r="C51" s="1">
        <v>245</v>
      </c>
      <c r="D51" s="1">
        <v>292</v>
      </c>
      <c r="E51" s="1">
        <v>401</v>
      </c>
      <c r="F51" s="1">
        <v>68</v>
      </c>
      <c r="G51" s="7">
        <v>0.4</v>
      </c>
      <c r="H51" s="1">
        <v>40</v>
      </c>
      <c r="I51" s="14" t="s">
        <v>50</v>
      </c>
      <c r="J51" s="1"/>
      <c r="K51" s="1">
        <v>495</v>
      </c>
      <c r="L51" s="1">
        <f t="shared" si="12"/>
        <v>-94</v>
      </c>
      <c r="M51" s="1">
        <f t="shared" si="13"/>
        <v>401</v>
      </c>
      <c r="N51" s="1"/>
      <c r="O51" s="1">
        <v>50</v>
      </c>
      <c r="P51" s="1"/>
      <c r="Q51" s="1"/>
      <c r="R51" s="1">
        <v>250</v>
      </c>
      <c r="S51" s="1"/>
      <c r="T51" s="1">
        <f t="shared" si="14"/>
        <v>80.2</v>
      </c>
      <c r="U51" s="5">
        <v>350</v>
      </c>
      <c r="V51" s="1">
        <f t="shared" si="15"/>
        <v>8.9526184538653357</v>
      </c>
      <c r="W51" s="1">
        <f t="shared" si="16"/>
        <v>4.5885286783042396</v>
      </c>
      <c r="X51" s="1">
        <v>84.2</v>
      </c>
      <c r="Y51" s="1">
        <v>30.8</v>
      </c>
      <c r="Z51" s="1">
        <v>31.2</v>
      </c>
      <c r="AA51" s="1">
        <v>27.8</v>
      </c>
      <c r="AB51" s="1">
        <v>53.4</v>
      </c>
      <c r="AC51" s="1">
        <v>47</v>
      </c>
      <c r="AD51" s="1">
        <v>48.6</v>
      </c>
      <c r="AE51" s="1">
        <v>78.8</v>
      </c>
      <c r="AF51" s="1"/>
      <c r="AG51" s="1">
        <f t="shared" si="17"/>
        <v>140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 s="1" t="s">
        <v>98</v>
      </c>
      <c r="B52" s="1" t="s">
        <v>36</v>
      </c>
      <c r="C52" s="1">
        <v>74.016000000000005</v>
      </c>
      <c r="D52" s="1">
        <v>127.64400000000001</v>
      </c>
      <c r="E52" s="1">
        <v>119.113</v>
      </c>
      <c r="F52" s="1">
        <v>10.16</v>
      </c>
      <c r="G52" s="7">
        <v>1</v>
      </c>
      <c r="H52" s="1">
        <v>50</v>
      </c>
      <c r="I52" s="1" t="s">
        <v>37</v>
      </c>
      <c r="J52" s="1"/>
      <c r="K52" s="1">
        <v>119.655</v>
      </c>
      <c r="L52" s="1">
        <f t="shared" si="12"/>
        <v>-0.54200000000000159</v>
      </c>
      <c r="M52" s="1">
        <f t="shared" si="13"/>
        <v>119.113</v>
      </c>
      <c r="N52" s="1"/>
      <c r="O52" s="1">
        <v>60</v>
      </c>
      <c r="P52" s="1"/>
      <c r="Q52" s="1"/>
      <c r="R52" s="1">
        <v>0</v>
      </c>
      <c r="S52" s="1"/>
      <c r="T52" s="1">
        <f t="shared" si="14"/>
        <v>23.822600000000001</v>
      </c>
      <c r="U52" s="5">
        <f>10*T52-S52-R52-Q52-P52-O52-F52</f>
        <v>168.066</v>
      </c>
      <c r="V52" s="1">
        <f t="shared" si="15"/>
        <v>10</v>
      </c>
      <c r="W52" s="1">
        <f t="shared" si="16"/>
        <v>2.9451025496797154</v>
      </c>
      <c r="X52" s="1">
        <v>13.5672</v>
      </c>
      <c r="Y52" s="1">
        <v>-10.742599999999999</v>
      </c>
      <c r="Z52" s="1">
        <v>17.911200000000001</v>
      </c>
      <c r="AA52" s="1">
        <v>18.7516</v>
      </c>
      <c r="AB52" s="1">
        <v>17.372199999999999</v>
      </c>
      <c r="AC52" s="1">
        <v>14.885999999999999</v>
      </c>
      <c r="AD52" s="1">
        <v>16.802199999999999</v>
      </c>
      <c r="AE52" s="1">
        <v>14.042400000000001</v>
      </c>
      <c r="AF52" s="1"/>
      <c r="AG52" s="1">
        <f t="shared" si="17"/>
        <v>168.066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 s="1" t="s">
        <v>99</v>
      </c>
      <c r="B53" s="1" t="s">
        <v>36</v>
      </c>
      <c r="C53" s="1">
        <v>528.10900000000004</v>
      </c>
      <c r="D53" s="1">
        <v>1336.92</v>
      </c>
      <c r="E53" s="1">
        <v>506.63400000000001</v>
      </c>
      <c r="F53" s="1">
        <v>928.71900000000005</v>
      </c>
      <c r="G53" s="7">
        <v>1</v>
      </c>
      <c r="H53" s="1">
        <v>50</v>
      </c>
      <c r="I53" s="1" t="s">
        <v>37</v>
      </c>
      <c r="J53" s="1"/>
      <c r="K53" s="1">
        <v>504.92099999999999</v>
      </c>
      <c r="L53" s="1">
        <f t="shared" si="12"/>
        <v>1.7130000000000223</v>
      </c>
      <c r="M53" s="1">
        <f t="shared" si="13"/>
        <v>506.63400000000001</v>
      </c>
      <c r="N53" s="1"/>
      <c r="O53" s="1">
        <v>0</v>
      </c>
      <c r="P53" s="1"/>
      <c r="Q53" s="1"/>
      <c r="R53" s="1">
        <v>631.55733487999998</v>
      </c>
      <c r="S53" s="1"/>
      <c r="T53" s="1">
        <f t="shared" si="14"/>
        <v>101.32680000000001</v>
      </c>
      <c r="U53" s="5"/>
      <c r="V53" s="1">
        <f t="shared" si="15"/>
        <v>15.398456626282483</v>
      </c>
      <c r="W53" s="1">
        <f t="shared" si="16"/>
        <v>15.398456626282483</v>
      </c>
      <c r="X53" s="1">
        <v>163.22460000000001</v>
      </c>
      <c r="Y53" s="1">
        <v>103.4038</v>
      </c>
      <c r="Z53" s="1">
        <v>157.8124</v>
      </c>
      <c r="AA53" s="1">
        <v>128.76320000000001</v>
      </c>
      <c r="AB53" s="1">
        <v>111.2424</v>
      </c>
      <c r="AC53" s="1">
        <v>138.00559999999999</v>
      </c>
      <c r="AD53" s="1">
        <v>108.6206</v>
      </c>
      <c r="AE53" s="1">
        <v>78.2346</v>
      </c>
      <c r="AF53" s="1"/>
      <c r="AG53" s="1">
        <f t="shared" si="1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 s="9" t="s">
        <v>100</v>
      </c>
      <c r="B54" s="9" t="s">
        <v>36</v>
      </c>
      <c r="C54" s="9"/>
      <c r="D54" s="9"/>
      <c r="E54" s="9"/>
      <c r="F54" s="9"/>
      <c r="G54" s="10">
        <v>0</v>
      </c>
      <c r="H54" s="9"/>
      <c r="I54" s="9" t="s">
        <v>37</v>
      </c>
      <c r="J54" s="9"/>
      <c r="K54" s="9"/>
      <c r="L54" s="9">
        <f t="shared" si="12"/>
        <v>0</v>
      </c>
      <c r="M54" s="9">
        <f t="shared" si="13"/>
        <v>0</v>
      </c>
      <c r="N54" s="9"/>
      <c r="O54" s="9">
        <v>0</v>
      </c>
      <c r="P54" s="9"/>
      <c r="Q54" s="9"/>
      <c r="R54" s="9">
        <v>0</v>
      </c>
      <c r="S54" s="9"/>
      <c r="T54" s="9">
        <f t="shared" si="14"/>
        <v>0</v>
      </c>
      <c r="U54" s="11"/>
      <c r="V54" s="9" t="e">
        <f t="shared" si="15"/>
        <v>#DIV/0!</v>
      </c>
      <c r="W54" s="9" t="e">
        <f t="shared" si="16"/>
        <v>#DIV/0!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 t="s">
        <v>61</v>
      </c>
      <c r="AG54" s="9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 s="1" t="s">
        <v>101</v>
      </c>
      <c r="B55" s="1" t="s">
        <v>41</v>
      </c>
      <c r="C55" s="1">
        <v>413</v>
      </c>
      <c r="D55" s="1">
        <v>1136</v>
      </c>
      <c r="E55" s="1">
        <v>246</v>
      </c>
      <c r="F55" s="1">
        <v>1225</v>
      </c>
      <c r="G55" s="7">
        <v>0.45</v>
      </c>
      <c r="H55" s="1">
        <v>50</v>
      </c>
      <c r="I55" s="1" t="s">
        <v>37</v>
      </c>
      <c r="J55" s="1"/>
      <c r="K55" s="1">
        <v>295</v>
      </c>
      <c r="L55" s="1">
        <f t="shared" si="12"/>
        <v>-49</v>
      </c>
      <c r="M55" s="1">
        <f t="shared" si="13"/>
        <v>246</v>
      </c>
      <c r="N55" s="1"/>
      <c r="O55" s="1">
        <v>0</v>
      </c>
      <c r="P55" s="1"/>
      <c r="Q55" s="1"/>
      <c r="R55" s="1">
        <v>0</v>
      </c>
      <c r="S55" s="1"/>
      <c r="T55" s="1">
        <f t="shared" si="14"/>
        <v>49.2</v>
      </c>
      <c r="U55" s="5"/>
      <c r="V55" s="1">
        <f t="shared" si="15"/>
        <v>24.898373983739837</v>
      </c>
      <c r="W55" s="1">
        <f t="shared" si="16"/>
        <v>24.898373983739837</v>
      </c>
      <c r="X55" s="1">
        <v>43.6</v>
      </c>
      <c r="Y55" s="1">
        <v>69.2</v>
      </c>
      <c r="Z55" s="1">
        <v>93.6</v>
      </c>
      <c r="AA55" s="1">
        <v>82</v>
      </c>
      <c r="AB55" s="1">
        <v>69.599999999999994</v>
      </c>
      <c r="AC55" s="1">
        <v>75.2</v>
      </c>
      <c r="AD55" s="1">
        <v>79.400000000000006</v>
      </c>
      <c r="AE55" s="1">
        <v>86.2</v>
      </c>
      <c r="AF55" s="16" t="s">
        <v>63</v>
      </c>
      <c r="AG55" s="1">
        <f>G55*U55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 s="1" t="s">
        <v>102</v>
      </c>
      <c r="B56" s="1" t="s">
        <v>41</v>
      </c>
      <c r="C56" s="1">
        <v>718</v>
      </c>
      <c r="D56" s="1">
        <v>877</v>
      </c>
      <c r="E56" s="1">
        <v>419</v>
      </c>
      <c r="F56" s="1">
        <v>1081</v>
      </c>
      <c r="G56" s="7">
        <v>0.45</v>
      </c>
      <c r="H56" s="1">
        <v>50</v>
      </c>
      <c r="I56" s="1" t="s">
        <v>37</v>
      </c>
      <c r="J56" s="1"/>
      <c r="K56" s="1">
        <v>472</v>
      </c>
      <c r="L56" s="1">
        <f t="shared" si="12"/>
        <v>-53</v>
      </c>
      <c r="M56" s="1">
        <f t="shared" si="13"/>
        <v>419</v>
      </c>
      <c r="N56" s="1"/>
      <c r="O56" s="1">
        <v>281.71133760000021</v>
      </c>
      <c r="P56" s="1"/>
      <c r="Q56" s="1"/>
      <c r="R56" s="1">
        <v>0</v>
      </c>
      <c r="S56" s="1"/>
      <c r="T56" s="1">
        <f t="shared" si="14"/>
        <v>83.8</v>
      </c>
      <c r="U56" s="5"/>
      <c r="V56" s="1">
        <f t="shared" si="15"/>
        <v>16.261471809069217</v>
      </c>
      <c r="W56" s="1">
        <f t="shared" si="16"/>
        <v>16.261471809069217</v>
      </c>
      <c r="X56" s="1">
        <v>97.4</v>
      </c>
      <c r="Y56" s="1">
        <v>138.80000000000001</v>
      </c>
      <c r="Z56" s="1">
        <v>140.19999999999999</v>
      </c>
      <c r="AA56" s="1">
        <v>121.6</v>
      </c>
      <c r="AB56" s="1">
        <v>115</v>
      </c>
      <c r="AC56" s="1">
        <v>109</v>
      </c>
      <c r="AD56" s="1">
        <v>86</v>
      </c>
      <c r="AE56" s="1">
        <v>112.8</v>
      </c>
      <c r="AF56" s="1"/>
      <c r="AG56" s="1">
        <f>G56*U56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 s="9" t="s">
        <v>103</v>
      </c>
      <c r="B57" s="9" t="s">
        <v>41</v>
      </c>
      <c r="C57" s="9"/>
      <c r="D57" s="9"/>
      <c r="E57" s="9"/>
      <c r="F57" s="9"/>
      <c r="G57" s="10">
        <v>0</v>
      </c>
      <c r="H57" s="9"/>
      <c r="I57" s="9" t="s">
        <v>37</v>
      </c>
      <c r="J57" s="9"/>
      <c r="K57" s="9"/>
      <c r="L57" s="9">
        <f t="shared" si="12"/>
        <v>0</v>
      </c>
      <c r="M57" s="9">
        <f t="shared" si="13"/>
        <v>0</v>
      </c>
      <c r="N57" s="9"/>
      <c r="O57" s="9">
        <v>0</v>
      </c>
      <c r="P57" s="9"/>
      <c r="Q57" s="9"/>
      <c r="R57" s="9">
        <v>0</v>
      </c>
      <c r="S57" s="9"/>
      <c r="T57" s="9">
        <f t="shared" si="14"/>
        <v>0</v>
      </c>
      <c r="U57" s="11"/>
      <c r="V57" s="9" t="e">
        <f t="shared" si="15"/>
        <v>#DIV/0!</v>
      </c>
      <c r="W57" s="9" t="e">
        <f t="shared" si="16"/>
        <v>#DIV/0!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 t="s">
        <v>61</v>
      </c>
      <c r="AG57" s="9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 s="1" t="s">
        <v>104</v>
      </c>
      <c r="B58" s="1" t="s">
        <v>41</v>
      </c>
      <c r="C58" s="1">
        <v>29</v>
      </c>
      <c r="D58" s="1">
        <v>12</v>
      </c>
      <c r="E58" s="1">
        <v>41</v>
      </c>
      <c r="F58" s="1"/>
      <c r="G58" s="7">
        <v>0.4</v>
      </c>
      <c r="H58" s="1">
        <v>40</v>
      </c>
      <c r="I58" s="14" t="s">
        <v>50</v>
      </c>
      <c r="J58" s="1"/>
      <c r="K58" s="1">
        <v>55</v>
      </c>
      <c r="L58" s="1">
        <f t="shared" si="12"/>
        <v>-14</v>
      </c>
      <c r="M58" s="1">
        <f t="shared" si="13"/>
        <v>41</v>
      </c>
      <c r="N58" s="1"/>
      <c r="O58" s="1">
        <v>10</v>
      </c>
      <c r="P58" s="1"/>
      <c r="Q58" s="1"/>
      <c r="R58" s="1">
        <v>48.599999999999987</v>
      </c>
      <c r="S58" s="1"/>
      <c r="T58" s="1">
        <f t="shared" si="14"/>
        <v>8.1999999999999993</v>
      </c>
      <c r="U58" s="5">
        <v>50</v>
      </c>
      <c r="V58" s="1">
        <f t="shared" si="15"/>
        <v>13.24390243902439</v>
      </c>
      <c r="W58" s="1">
        <f t="shared" si="16"/>
        <v>7.1463414634146334</v>
      </c>
      <c r="X58" s="1">
        <v>6.6</v>
      </c>
      <c r="Y58" s="1">
        <v>2.4</v>
      </c>
      <c r="Z58" s="1">
        <v>2.4</v>
      </c>
      <c r="AA58" s="1">
        <v>-0.4</v>
      </c>
      <c r="AB58" s="1">
        <v>0.2</v>
      </c>
      <c r="AC58" s="1">
        <v>2.4</v>
      </c>
      <c r="AD58" s="1">
        <v>2.8</v>
      </c>
      <c r="AE58" s="1">
        <v>4.8</v>
      </c>
      <c r="AF58" s="1"/>
      <c r="AG58" s="1">
        <f t="shared" ref="AG58:AG72" si="19">G58*U58</f>
        <v>20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 s="1" t="s">
        <v>105</v>
      </c>
      <c r="B59" s="1" t="s">
        <v>36</v>
      </c>
      <c r="C59" s="1">
        <v>352.69900000000001</v>
      </c>
      <c r="D59" s="1">
        <v>544.03499999999997</v>
      </c>
      <c r="E59" s="1">
        <v>529.75199999999995</v>
      </c>
      <c r="F59" s="1">
        <v>101.809</v>
      </c>
      <c r="G59" s="7">
        <v>1</v>
      </c>
      <c r="H59" s="1">
        <v>50</v>
      </c>
      <c r="I59" s="1" t="s">
        <v>37</v>
      </c>
      <c r="J59" s="1"/>
      <c r="K59" s="1">
        <v>540.61300000000006</v>
      </c>
      <c r="L59" s="1">
        <f t="shared" si="12"/>
        <v>-10.861000000000104</v>
      </c>
      <c r="M59" s="1">
        <f t="shared" si="13"/>
        <v>367.53899999999999</v>
      </c>
      <c r="N59" s="1">
        <v>162.21299999999999</v>
      </c>
      <c r="O59" s="1">
        <v>150.75186514207999</v>
      </c>
      <c r="P59" s="1"/>
      <c r="Q59" s="1"/>
      <c r="R59" s="1">
        <v>397.38573485792</v>
      </c>
      <c r="S59" s="1"/>
      <c r="T59" s="1">
        <f t="shared" si="14"/>
        <v>73.507800000000003</v>
      </c>
      <c r="U59" s="5">
        <f t="shared" ref="U58:U72" si="20">12*T59-S59-R59-Q59-P59-O59-F59</f>
        <v>232.14700000000002</v>
      </c>
      <c r="V59" s="1">
        <f t="shared" si="15"/>
        <v>12</v>
      </c>
      <c r="W59" s="1">
        <f t="shared" si="16"/>
        <v>8.8418725631837702</v>
      </c>
      <c r="X59" s="1">
        <v>80.846599999999995</v>
      </c>
      <c r="Y59" s="1">
        <v>58.027799999999999</v>
      </c>
      <c r="Z59" s="1">
        <v>74.771800000000013</v>
      </c>
      <c r="AA59" s="1">
        <v>94.477599999999981</v>
      </c>
      <c r="AB59" s="1">
        <v>78.927799999999991</v>
      </c>
      <c r="AC59" s="1">
        <v>65.617199999999997</v>
      </c>
      <c r="AD59" s="1">
        <v>68.840999999999994</v>
      </c>
      <c r="AE59" s="1">
        <v>74.638599999999997</v>
      </c>
      <c r="AF59" s="1"/>
      <c r="AG59" s="1">
        <f t="shared" si="19"/>
        <v>232.14700000000002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 s="1" t="s">
        <v>106</v>
      </c>
      <c r="B60" s="1" t="s">
        <v>41</v>
      </c>
      <c r="C60" s="1">
        <v>161</v>
      </c>
      <c r="D60" s="1">
        <v>104</v>
      </c>
      <c r="E60" s="1">
        <v>106</v>
      </c>
      <c r="F60" s="1">
        <v>115</v>
      </c>
      <c r="G60" s="7">
        <v>0.1</v>
      </c>
      <c r="H60" s="1">
        <v>731</v>
      </c>
      <c r="I60" s="1" t="s">
        <v>37</v>
      </c>
      <c r="J60" s="1"/>
      <c r="K60" s="1">
        <v>133</v>
      </c>
      <c r="L60" s="1">
        <f t="shared" si="12"/>
        <v>-27</v>
      </c>
      <c r="M60" s="1">
        <f t="shared" si="13"/>
        <v>106</v>
      </c>
      <c r="N60" s="1"/>
      <c r="O60" s="1">
        <v>88.799999999999955</v>
      </c>
      <c r="P60" s="1"/>
      <c r="Q60" s="1"/>
      <c r="R60" s="1">
        <v>29.800000000000072</v>
      </c>
      <c r="S60" s="1"/>
      <c r="T60" s="1">
        <f t="shared" si="14"/>
        <v>21.2</v>
      </c>
      <c r="U60" s="5">
        <f t="shared" si="20"/>
        <v>20.799999999999955</v>
      </c>
      <c r="V60" s="1">
        <f t="shared" si="15"/>
        <v>12</v>
      </c>
      <c r="W60" s="1">
        <f t="shared" si="16"/>
        <v>11.018867924528303</v>
      </c>
      <c r="X60" s="1">
        <v>26.6</v>
      </c>
      <c r="Y60" s="1">
        <v>27.2</v>
      </c>
      <c r="Z60" s="1">
        <v>27.2</v>
      </c>
      <c r="AA60" s="1">
        <v>26.2</v>
      </c>
      <c r="AB60" s="1">
        <v>26.8</v>
      </c>
      <c r="AC60" s="1">
        <v>27.6</v>
      </c>
      <c r="AD60" s="1">
        <v>24.4</v>
      </c>
      <c r="AE60" s="1">
        <v>26.4</v>
      </c>
      <c r="AF60" s="1"/>
      <c r="AG60" s="1">
        <f t="shared" si="19"/>
        <v>2.0799999999999956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 s="1" t="s">
        <v>107</v>
      </c>
      <c r="B61" s="1" t="s">
        <v>36</v>
      </c>
      <c r="C61" s="1">
        <v>469.11799999999999</v>
      </c>
      <c r="D61" s="1">
        <v>520.90700000000004</v>
      </c>
      <c r="E61" s="1">
        <v>613.62900000000002</v>
      </c>
      <c r="F61" s="1">
        <v>-5.5869999999999997</v>
      </c>
      <c r="G61" s="7">
        <v>1</v>
      </c>
      <c r="H61" s="1">
        <v>50</v>
      </c>
      <c r="I61" s="1" t="s">
        <v>37</v>
      </c>
      <c r="J61" s="1"/>
      <c r="K61" s="1">
        <v>629.63099999999997</v>
      </c>
      <c r="L61" s="1">
        <f t="shared" si="12"/>
        <v>-16.001999999999953</v>
      </c>
      <c r="M61" s="1">
        <f t="shared" si="13"/>
        <v>613.62900000000002</v>
      </c>
      <c r="N61" s="1"/>
      <c r="O61" s="1">
        <v>315.71891595200032</v>
      </c>
      <c r="P61" s="1"/>
      <c r="Q61" s="1"/>
      <c r="R61" s="1">
        <v>846.35548404799988</v>
      </c>
      <c r="S61" s="1">
        <v>100</v>
      </c>
      <c r="T61" s="1">
        <f t="shared" si="14"/>
        <v>122.72580000000001</v>
      </c>
      <c r="U61" s="5">
        <f t="shared" si="20"/>
        <v>216.22219999999993</v>
      </c>
      <c r="V61" s="1">
        <f t="shared" si="15"/>
        <v>12</v>
      </c>
      <c r="W61" s="1">
        <f t="shared" si="16"/>
        <v>10.238168339501557</v>
      </c>
      <c r="X61" s="1">
        <v>148.85560000000001</v>
      </c>
      <c r="Y61" s="1">
        <v>72.963200000000001</v>
      </c>
      <c r="Z61" s="1">
        <v>88.772199999999998</v>
      </c>
      <c r="AA61" s="1">
        <v>93.292600000000007</v>
      </c>
      <c r="AB61" s="1">
        <v>105.92659999999999</v>
      </c>
      <c r="AC61" s="1">
        <v>80.308399999999992</v>
      </c>
      <c r="AD61" s="1">
        <v>57.7956</v>
      </c>
      <c r="AE61" s="1">
        <v>86.590799999999987</v>
      </c>
      <c r="AF61" s="1"/>
      <c r="AG61" s="1">
        <f t="shared" si="19"/>
        <v>216.22219999999993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 s="1" t="s">
        <v>108</v>
      </c>
      <c r="B62" s="1" t="s">
        <v>36</v>
      </c>
      <c r="C62" s="1">
        <v>78.688999999999993</v>
      </c>
      <c r="D62" s="1">
        <v>1.379</v>
      </c>
      <c r="E62" s="1">
        <v>27.312999999999999</v>
      </c>
      <c r="F62" s="1">
        <v>44.63</v>
      </c>
      <c r="G62" s="7">
        <v>1</v>
      </c>
      <c r="H62" s="1">
        <v>55</v>
      </c>
      <c r="I62" s="1" t="s">
        <v>37</v>
      </c>
      <c r="J62" s="1"/>
      <c r="K62" s="1">
        <v>29.5</v>
      </c>
      <c r="L62" s="1">
        <f t="shared" si="12"/>
        <v>-2.1870000000000012</v>
      </c>
      <c r="M62" s="1">
        <f t="shared" si="13"/>
        <v>27.312999999999999</v>
      </c>
      <c r="N62" s="1"/>
      <c r="O62" s="1">
        <v>0</v>
      </c>
      <c r="P62" s="1"/>
      <c r="Q62" s="1"/>
      <c r="R62" s="1">
        <v>19.64299999999999</v>
      </c>
      <c r="S62" s="1"/>
      <c r="T62" s="1">
        <f t="shared" si="14"/>
        <v>5.4626000000000001</v>
      </c>
      <c r="U62" s="5"/>
      <c r="V62" s="1">
        <f t="shared" si="15"/>
        <v>11.766008860249697</v>
      </c>
      <c r="W62" s="1">
        <f t="shared" si="16"/>
        <v>11.766008860249697</v>
      </c>
      <c r="X62" s="1">
        <v>6.831999999999999</v>
      </c>
      <c r="Y62" s="1">
        <v>4.8714000000000004</v>
      </c>
      <c r="Z62" s="1">
        <v>4.8714000000000004</v>
      </c>
      <c r="AA62" s="1">
        <v>8.2176000000000009</v>
      </c>
      <c r="AB62" s="1">
        <v>6.5724</v>
      </c>
      <c r="AC62" s="1">
        <v>2.7147999999999999</v>
      </c>
      <c r="AD62" s="1">
        <v>3.7801999999999998</v>
      </c>
      <c r="AE62" s="1">
        <v>7.5739999999999998</v>
      </c>
      <c r="AF62" s="1"/>
      <c r="AG62" s="1">
        <f t="shared" si="1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 s="1" t="s">
        <v>109</v>
      </c>
      <c r="B63" s="1" t="s">
        <v>41</v>
      </c>
      <c r="C63" s="1">
        <v>120</v>
      </c>
      <c r="D63" s="1">
        <v>103</v>
      </c>
      <c r="E63" s="1">
        <v>86</v>
      </c>
      <c r="F63" s="1">
        <v>118</v>
      </c>
      <c r="G63" s="7">
        <v>0.1</v>
      </c>
      <c r="H63" s="1">
        <v>731</v>
      </c>
      <c r="I63" s="1" t="s">
        <v>37</v>
      </c>
      <c r="J63" s="1"/>
      <c r="K63" s="1">
        <v>89</v>
      </c>
      <c r="L63" s="1">
        <f t="shared" si="12"/>
        <v>-3</v>
      </c>
      <c r="M63" s="1">
        <f t="shared" si="13"/>
        <v>86</v>
      </c>
      <c r="N63" s="1"/>
      <c r="O63" s="1">
        <v>64.000000000000057</v>
      </c>
      <c r="P63" s="1"/>
      <c r="Q63" s="1"/>
      <c r="R63" s="1">
        <v>0</v>
      </c>
      <c r="S63" s="1"/>
      <c r="T63" s="1">
        <f t="shared" si="14"/>
        <v>17.2</v>
      </c>
      <c r="U63" s="5">
        <f t="shared" si="20"/>
        <v>24.39999999999992</v>
      </c>
      <c r="V63" s="1">
        <f t="shared" si="15"/>
        <v>12</v>
      </c>
      <c r="W63" s="1">
        <f t="shared" si="16"/>
        <v>10.581395348837214</v>
      </c>
      <c r="X63" s="1">
        <v>18.600000000000001</v>
      </c>
      <c r="Y63" s="1">
        <v>23.6</v>
      </c>
      <c r="Z63" s="1">
        <v>23.6</v>
      </c>
      <c r="AA63" s="1">
        <v>20.2</v>
      </c>
      <c r="AB63" s="1">
        <v>24</v>
      </c>
      <c r="AC63" s="1">
        <v>23</v>
      </c>
      <c r="AD63" s="1">
        <v>23.6</v>
      </c>
      <c r="AE63" s="1">
        <v>23</v>
      </c>
      <c r="AF63" s="1"/>
      <c r="AG63" s="1">
        <f t="shared" si="19"/>
        <v>2.4399999999999924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 s="1" t="s">
        <v>110</v>
      </c>
      <c r="B64" s="1" t="s">
        <v>41</v>
      </c>
      <c r="C64" s="1">
        <v>27</v>
      </c>
      <c r="D64" s="1"/>
      <c r="E64" s="1">
        <v>1</v>
      </c>
      <c r="F64" s="1">
        <v>26</v>
      </c>
      <c r="G64" s="7">
        <v>0.4</v>
      </c>
      <c r="H64" s="1">
        <v>50</v>
      </c>
      <c r="I64" s="1" t="s">
        <v>37</v>
      </c>
      <c r="J64" s="1"/>
      <c r="K64" s="1">
        <v>15</v>
      </c>
      <c r="L64" s="1">
        <f t="shared" si="12"/>
        <v>-14</v>
      </c>
      <c r="M64" s="1">
        <f t="shared" si="13"/>
        <v>1</v>
      </c>
      <c r="N64" s="1"/>
      <c r="O64" s="1">
        <v>0</v>
      </c>
      <c r="P64" s="1"/>
      <c r="Q64" s="1"/>
      <c r="R64" s="1">
        <v>0</v>
      </c>
      <c r="S64" s="1"/>
      <c r="T64" s="1">
        <f t="shared" si="14"/>
        <v>0.2</v>
      </c>
      <c r="U64" s="5"/>
      <c r="V64" s="1">
        <f t="shared" si="15"/>
        <v>130</v>
      </c>
      <c r="W64" s="1">
        <f t="shared" si="16"/>
        <v>130</v>
      </c>
      <c r="X64" s="1">
        <v>0</v>
      </c>
      <c r="Y64" s="1">
        <v>0.2</v>
      </c>
      <c r="Z64" s="1">
        <v>0.2</v>
      </c>
      <c r="AA64" s="1">
        <v>0.8</v>
      </c>
      <c r="AB64" s="1">
        <v>1.4</v>
      </c>
      <c r="AC64" s="1">
        <v>2.2000000000000002</v>
      </c>
      <c r="AD64" s="1">
        <v>2.2000000000000002</v>
      </c>
      <c r="AE64" s="1">
        <v>1</v>
      </c>
      <c r="AF64" s="12" t="s">
        <v>72</v>
      </c>
      <c r="AG64" s="1">
        <f t="shared" si="19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 s="1" t="s">
        <v>111</v>
      </c>
      <c r="B65" s="1" t="s">
        <v>36</v>
      </c>
      <c r="C65" s="1">
        <v>116.74</v>
      </c>
      <c r="D65" s="1">
        <v>40.253999999999998</v>
      </c>
      <c r="E65" s="1">
        <v>131.32499999999999</v>
      </c>
      <c r="F65" s="1">
        <v>-18.573</v>
      </c>
      <c r="G65" s="7">
        <v>1</v>
      </c>
      <c r="H65" s="1">
        <v>40</v>
      </c>
      <c r="I65" s="14" t="s">
        <v>50</v>
      </c>
      <c r="J65" s="1"/>
      <c r="K65" s="1">
        <v>167.1</v>
      </c>
      <c r="L65" s="1">
        <f t="shared" si="12"/>
        <v>-35.775000000000006</v>
      </c>
      <c r="M65" s="1">
        <f t="shared" si="13"/>
        <v>131.32499999999999</v>
      </c>
      <c r="N65" s="1"/>
      <c r="O65" s="1">
        <v>50</v>
      </c>
      <c r="P65" s="1"/>
      <c r="Q65" s="1"/>
      <c r="R65" s="1">
        <v>120</v>
      </c>
      <c r="S65" s="1"/>
      <c r="T65" s="1">
        <f t="shared" si="14"/>
        <v>26.264999999999997</v>
      </c>
      <c r="U65" s="5">
        <v>130</v>
      </c>
      <c r="V65" s="1">
        <f t="shared" si="15"/>
        <v>10.714905768132498</v>
      </c>
      <c r="W65" s="1">
        <f t="shared" si="16"/>
        <v>5.76535313154388</v>
      </c>
      <c r="X65" s="1">
        <v>55.605400000000003</v>
      </c>
      <c r="Y65" s="1">
        <v>1.9778</v>
      </c>
      <c r="Z65" s="1">
        <v>1.9778</v>
      </c>
      <c r="AA65" s="1">
        <v>35.930399999999999</v>
      </c>
      <c r="AB65" s="1">
        <v>33.767200000000003</v>
      </c>
      <c r="AC65" s="1">
        <v>5.1779999999999999</v>
      </c>
      <c r="AD65" s="1">
        <v>12.8698</v>
      </c>
      <c r="AE65" s="1">
        <v>11.319000000000001</v>
      </c>
      <c r="AF65" s="1" t="s">
        <v>112</v>
      </c>
      <c r="AG65" s="1">
        <f t="shared" si="19"/>
        <v>130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 s="1" t="s">
        <v>113</v>
      </c>
      <c r="B66" s="1" t="s">
        <v>36</v>
      </c>
      <c r="C66" s="1">
        <v>-42.972000000000001</v>
      </c>
      <c r="D66" s="1">
        <v>77.010999999999996</v>
      </c>
      <c r="E66" s="1">
        <v>64.293999999999997</v>
      </c>
      <c r="F66" s="1">
        <v>-75.352000000000004</v>
      </c>
      <c r="G66" s="7">
        <v>1</v>
      </c>
      <c r="H66" s="1">
        <v>40</v>
      </c>
      <c r="I66" s="14" t="s">
        <v>50</v>
      </c>
      <c r="J66" s="1"/>
      <c r="K66" s="1">
        <v>75.397000000000006</v>
      </c>
      <c r="L66" s="1">
        <f t="shared" si="12"/>
        <v>-11.103000000000009</v>
      </c>
      <c r="M66" s="1">
        <f t="shared" si="13"/>
        <v>64.293999999999997</v>
      </c>
      <c r="N66" s="1"/>
      <c r="O66" s="1">
        <v>60</v>
      </c>
      <c r="P66" s="1"/>
      <c r="Q66" s="1"/>
      <c r="R66" s="1">
        <v>100</v>
      </c>
      <c r="S66" s="1"/>
      <c r="T66" s="1">
        <f t="shared" si="14"/>
        <v>12.858799999999999</v>
      </c>
      <c r="U66" s="5">
        <v>70</v>
      </c>
      <c r="V66" s="1">
        <f t="shared" si="15"/>
        <v>12.026627679099139</v>
      </c>
      <c r="W66" s="1">
        <f t="shared" si="16"/>
        <v>6.5828848726164191</v>
      </c>
      <c r="X66" s="1">
        <v>32.803199999999997</v>
      </c>
      <c r="Y66" s="1">
        <v>19.798400000000001</v>
      </c>
      <c r="Z66" s="1">
        <v>10.039999999999999</v>
      </c>
      <c r="AA66" s="1">
        <v>35.883800000000001</v>
      </c>
      <c r="AB66" s="1">
        <v>36.3566</v>
      </c>
      <c r="AC66" s="1">
        <v>15.0884</v>
      </c>
      <c r="AD66" s="1">
        <v>0.26879999999999998</v>
      </c>
      <c r="AE66" s="1">
        <v>0.55599999999999994</v>
      </c>
      <c r="AF66" s="1" t="s">
        <v>112</v>
      </c>
      <c r="AG66" s="1">
        <f t="shared" si="19"/>
        <v>70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 s="1" t="s">
        <v>114</v>
      </c>
      <c r="B67" s="1" t="s">
        <v>41</v>
      </c>
      <c r="C67" s="1">
        <v>377</v>
      </c>
      <c r="D67" s="1">
        <v>1411</v>
      </c>
      <c r="E67" s="1">
        <v>787</v>
      </c>
      <c r="F67" s="1">
        <v>676</v>
      </c>
      <c r="G67" s="7">
        <v>0.4</v>
      </c>
      <c r="H67" s="1">
        <v>40</v>
      </c>
      <c r="I67" s="1" t="s">
        <v>37</v>
      </c>
      <c r="J67" s="1"/>
      <c r="K67" s="1">
        <v>1050</v>
      </c>
      <c r="L67" s="1">
        <f t="shared" si="12"/>
        <v>-263</v>
      </c>
      <c r="M67" s="1">
        <f t="shared" si="13"/>
        <v>787</v>
      </c>
      <c r="N67" s="1"/>
      <c r="O67" s="1">
        <v>769.16000000000008</v>
      </c>
      <c r="P67" s="1"/>
      <c r="Q67" s="1"/>
      <c r="R67" s="1">
        <v>232.7397599999999</v>
      </c>
      <c r="S67" s="1"/>
      <c r="T67" s="1">
        <f t="shared" si="14"/>
        <v>157.4</v>
      </c>
      <c r="U67" s="5">
        <f t="shared" si="20"/>
        <v>210.90024000000017</v>
      </c>
      <c r="V67" s="1">
        <f t="shared" si="15"/>
        <v>12</v>
      </c>
      <c r="W67" s="1">
        <f t="shared" si="16"/>
        <v>10.660100127064803</v>
      </c>
      <c r="X67" s="1">
        <v>200.4</v>
      </c>
      <c r="Y67" s="1">
        <v>164</v>
      </c>
      <c r="Z67" s="1">
        <v>188.8</v>
      </c>
      <c r="AA67" s="1">
        <v>96.2</v>
      </c>
      <c r="AB67" s="1">
        <v>124.2</v>
      </c>
      <c r="AC67" s="1">
        <v>168</v>
      </c>
      <c r="AD67" s="1">
        <v>89.6</v>
      </c>
      <c r="AE67" s="1">
        <v>26.4</v>
      </c>
      <c r="AF67" s="1"/>
      <c r="AG67" s="1">
        <f t="shared" si="19"/>
        <v>84.36009600000007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x14ac:dyDescent="0.25">
      <c r="A68" s="1" t="s">
        <v>115</v>
      </c>
      <c r="B68" s="1" t="s">
        <v>41</v>
      </c>
      <c r="C68" s="1">
        <v>6</v>
      </c>
      <c r="D68" s="1">
        <v>233</v>
      </c>
      <c r="E68" s="1">
        <v>78</v>
      </c>
      <c r="F68" s="1">
        <v>41</v>
      </c>
      <c r="G68" s="7">
        <v>0.4</v>
      </c>
      <c r="H68" s="1">
        <v>40</v>
      </c>
      <c r="I68" s="14" t="s">
        <v>50</v>
      </c>
      <c r="J68" s="1"/>
      <c r="K68" s="1">
        <v>293</v>
      </c>
      <c r="L68" s="1">
        <f t="shared" si="12"/>
        <v>-215</v>
      </c>
      <c r="M68" s="1">
        <f t="shared" si="13"/>
        <v>78</v>
      </c>
      <c r="N68" s="1"/>
      <c r="O68" s="1">
        <v>200</v>
      </c>
      <c r="P68" s="1"/>
      <c r="Q68" s="1"/>
      <c r="R68" s="1">
        <v>150</v>
      </c>
      <c r="S68" s="1"/>
      <c r="T68" s="1">
        <f t="shared" si="14"/>
        <v>15.6</v>
      </c>
      <c r="U68" s="5">
        <v>100</v>
      </c>
      <c r="V68" s="1">
        <f t="shared" si="15"/>
        <v>31.474358974358974</v>
      </c>
      <c r="W68" s="1">
        <f t="shared" si="16"/>
        <v>25.064102564102566</v>
      </c>
      <c r="X68" s="1">
        <v>37.799999999999997</v>
      </c>
      <c r="Y68" s="1">
        <v>26.6</v>
      </c>
      <c r="Z68" s="1">
        <v>38.4</v>
      </c>
      <c r="AA68" s="1">
        <v>0.6</v>
      </c>
      <c r="AB68" s="1">
        <v>0</v>
      </c>
      <c r="AC68" s="1">
        <v>0.4</v>
      </c>
      <c r="AD68" s="1">
        <v>0.8</v>
      </c>
      <c r="AE68" s="1">
        <v>45.6</v>
      </c>
      <c r="AF68" s="1"/>
      <c r="AG68" s="1">
        <f t="shared" si="19"/>
        <v>40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 s="1" t="s">
        <v>116</v>
      </c>
      <c r="B69" s="1" t="s">
        <v>36</v>
      </c>
      <c r="C69" s="1">
        <v>93.495999999999995</v>
      </c>
      <c r="D69" s="1">
        <v>36.293999999999997</v>
      </c>
      <c r="E69" s="1">
        <v>50.648000000000003</v>
      </c>
      <c r="F69" s="1">
        <v>35.621000000000002</v>
      </c>
      <c r="G69" s="7">
        <v>1</v>
      </c>
      <c r="H69" s="1">
        <v>40</v>
      </c>
      <c r="I69" s="14" t="s">
        <v>50</v>
      </c>
      <c r="J69" s="1"/>
      <c r="K69" s="1">
        <v>49.3</v>
      </c>
      <c r="L69" s="1">
        <f t="shared" si="12"/>
        <v>1.3480000000000061</v>
      </c>
      <c r="M69" s="1">
        <f t="shared" si="13"/>
        <v>50.648000000000003</v>
      </c>
      <c r="N69" s="1"/>
      <c r="O69" s="1">
        <v>42.963199999999958</v>
      </c>
      <c r="P69" s="1">
        <v>-43</v>
      </c>
      <c r="Q69" s="1"/>
      <c r="R69" s="1">
        <v>17.236000000000029</v>
      </c>
      <c r="S69" s="1"/>
      <c r="T69" s="1">
        <f t="shared" si="14"/>
        <v>10.1296</v>
      </c>
      <c r="U69" s="5">
        <v>30</v>
      </c>
      <c r="V69" s="1">
        <f t="shared" si="15"/>
        <v>8.1760582846311785</v>
      </c>
      <c r="W69" s="1">
        <f t="shared" si="16"/>
        <v>5.2144408466277037</v>
      </c>
      <c r="X69" s="1">
        <v>11.0182</v>
      </c>
      <c r="Y69" s="1">
        <v>11.1456</v>
      </c>
      <c r="Z69" s="1">
        <v>9.0595999999999979</v>
      </c>
      <c r="AA69" s="1">
        <v>17.7364</v>
      </c>
      <c r="AB69" s="1">
        <v>6.0776000000000003</v>
      </c>
      <c r="AC69" s="1">
        <v>4.7904</v>
      </c>
      <c r="AD69" s="1">
        <v>12.265599999999999</v>
      </c>
      <c r="AE69" s="1">
        <v>17.055599999999998</v>
      </c>
      <c r="AF69" s="1"/>
      <c r="AG69" s="1">
        <f t="shared" si="19"/>
        <v>30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 s="1" t="s">
        <v>117</v>
      </c>
      <c r="B70" s="1" t="s">
        <v>36</v>
      </c>
      <c r="C70" s="1">
        <v>255.90600000000001</v>
      </c>
      <c r="D70" s="1">
        <v>35.03</v>
      </c>
      <c r="E70" s="1">
        <v>71.679000000000002</v>
      </c>
      <c r="F70" s="1">
        <v>160.983</v>
      </c>
      <c r="G70" s="7">
        <v>1</v>
      </c>
      <c r="H70" s="1">
        <v>40</v>
      </c>
      <c r="I70" s="1" t="s">
        <v>37</v>
      </c>
      <c r="J70" s="1"/>
      <c r="K70" s="1">
        <v>77.8</v>
      </c>
      <c r="L70" s="1">
        <f t="shared" ref="L70:L101" si="21">E70-K70</f>
        <v>-6.1209999999999951</v>
      </c>
      <c r="M70" s="1">
        <f t="shared" ref="M70:M101" si="22">E70-N70</f>
        <v>71.679000000000002</v>
      </c>
      <c r="N70" s="1"/>
      <c r="O70" s="1">
        <v>0</v>
      </c>
      <c r="P70" s="1"/>
      <c r="Q70" s="1"/>
      <c r="R70" s="1">
        <v>157.68879999999999</v>
      </c>
      <c r="S70" s="1"/>
      <c r="T70" s="1">
        <f t="shared" ref="T70:T101" si="23">M70/5</f>
        <v>14.335800000000001</v>
      </c>
      <c r="U70" s="5"/>
      <c r="V70" s="1">
        <f t="shared" ref="V70:V101" si="24">(F70+O70+P70+Q70+R70+S70+U70)/T70</f>
        <v>22.229090807628452</v>
      </c>
      <c r="W70" s="1">
        <f t="shared" ref="W70:W101" si="25">(F70+O70+P70+Q70+R70+S70)/T70</f>
        <v>22.229090807628452</v>
      </c>
      <c r="X70" s="1">
        <v>32.4208</v>
      </c>
      <c r="Y70" s="1">
        <v>3.311199999999999</v>
      </c>
      <c r="Z70" s="1">
        <v>20.581600000000002</v>
      </c>
      <c r="AA70" s="1">
        <v>30.961200000000002</v>
      </c>
      <c r="AB70" s="1">
        <v>27.160799999999998</v>
      </c>
      <c r="AC70" s="1">
        <v>17.945</v>
      </c>
      <c r="AD70" s="1">
        <v>16.682200000000002</v>
      </c>
      <c r="AE70" s="1">
        <v>20.416399999999999</v>
      </c>
      <c r="AF70" s="16" t="s">
        <v>63</v>
      </c>
      <c r="AG70" s="1">
        <f t="shared" si="19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 s="1" t="s">
        <v>118</v>
      </c>
      <c r="B71" s="1" t="s">
        <v>36</v>
      </c>
      <c r="C71" s="1">
        <v>417.44900000000001</v>
      </c>
      <c r="D71" s="1">
        <v>72.203999999999994</v>
      </c>
      <c r="E71" s="1">
        <v>453.37900000000002</v>
      </c>
      <c r="F71" s="1">
        <v>-50.08</v>
      </c>
      <c r="G71" s="7">
        <v>1</v>
      </c>
      <c r="H71" s="1">
        <v>40</v>
      </c>
      <c r="I71" s="14" t="s">
        <v>50</v>
      </c>
      <c r="J71" s="1"/>
      <c r="K71" s="1">
        <v>472.964</v>
      </c>
      <c r="L71" s="1">
        <f t="shared" si="21"/>
        <v>-19.58499999999998</v>
      </c>
      <c r="M71" s="1">
        <f t="shared" si="22"/>
        <v>426.315</v>
      </c>
      <c r="N71" s="1">
        <v>27.064</v>
      </c>
      <c r="O71" s="1">
        <v>268.18980000000028</v>
      </c>
      <c r="P71" s="1">
        <v>-270</v>
      </c>
      <c r="Q71" s="1"/>
      <c r="R71" s="1">
        <v>644.33919999999989</v>
      </c>
      <c r="S71" s="1">
        <v>200</v>
      </c>
      <c r="T71" s="1">
        <f t="shared" si="23"/>
        <v>85.263000000000005</v>
      </c>
      <c r="U71" s="5">
        <v>200</v>
      </c>
      <c r="V71" s="1">
        <f t="shared" si="24"/>
        <v>11.63985550590526</v>
      </c>
      <c r="W71" s="1">
        <f t="shared" si="25"/>
        <v>9.2941721497015131</v>
      </c>
      <c r="X71" s="1">
        <v>100.748</v>
      </c>
      <c r="Y71" s="1">
        <v>83.455400000000012</v>
      </c>
      <c r="Z71" s="1">
        <v>94.111999999999995</v>
      </c>
      <c r="AA71" s="1">
        <v>81.416399999999996</v>
      </c>
      <c r="AB71" s="1">
        <v>61.898000000000003</v>
      </c>
      <c r="AC71" s="1">
        <v>89.253599999999992</v>
      </c>
      <c r="AD71" s="1">
        <v>110.14279999999999</v>
      </c>
      <c r="AE71" s="1">
        <v>106.628</v>
      </c>
      <c r="AF71" s="1"/>
      <c r="AG71" s="1">
        <f t="shared" si="19"/>
        <v>200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 s="1" t="s">
        <v>119</v>
      </c>
      <c r="B72" s="1" t="s">
        <v>36</v>
      </c>
      <c r="C72" s="1">
        <v>8.6519999999999992</v>
      </c>
      <c r="D72" s="1">
        <v>36.915999999999997</v>
      </c>
      <c r="E72" s="1">
        <v>19.942</v>
      </c>
      <c r="F72" s="1">
        <v>-8.6159999999999997</v>
      </c>
      <c r="G72" s="7">
        <v>1</v>
      </c>
      <c r="H72" s="1">
        <v>40</v>
      </c>
      <c r="I72" s="14" t="s">
        <v>50</v>
      </c>
      <c r="J72" s="1"/>
      <c r="K72" s="1">
        <v>28.69</v>
      </c>
      <c r="L72" s="1">
        <f t="shared" si="21"/>
        <v>-8.7480000000000011</v>
      </c>
      <c r="M72" s="1">
        <f t="shared" si="22"/>
        <v>19.942</v>
      </c>
      <c r="N72" s="1"/>
      <c r="O72" s="1">
        <v>47.286400000000008</v>
      </c>
      <c r="P72" s="1">
        <v>-49</v>
      </c>
      <c r="Q72" s="1"/>
      <c r="R72" s="1">
        <v>120.8062</v>
      </c>
      <c r="S72" s="1"/>
      <c r="T72" s="1">
        <f t="shared" si="23"/>
        <v>3.9883999999999999</v>
      </c>
      <c r="U72" s="5">
        <v>50</v>
      </c>
      <c r="V72" s="1">
        <f t="shared" si="24"/>
        <v>40.235833918363262</v>
      </c>
      <c r="W72" s="1">
        <f t="shared" si="25"/>
        <v>27.699478487614087</v>
      </c>
      <c r="X72" s="1">
        <v>20.392199999999999</v>
      </c>
      <c r="Y72" s="1">
        <v>17.112400000000001</v>
      </c>
      <c r="Z72" s="1">
        <v>30.803799999999999</v>
      </c>
      <c r="AA72" s="1">
        <v>13.1944</v>
      </c>
      <c r="AB72" s="1">
        <v>3.5874000000000001</v>
      </c>
      <c r="AC72" s="1">
        <v>14.342000000000001</v>
      </c>
      <c r="AD72" s="1">
        <v>18.890999999999998</v>
      </c>
      <c r="AE72" s="1">
        <v>10.531000000000001</v>
      </c>
      <c r="AF72" s="1"/>
      <c r="AG72" s="1">
        <f t="shared" si="19"/>
        <v>50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 s="9" t="s">
        <v>120</v>
      </c>
      <c r="B73" s="9" t="s">
        <v>41</v>
      </c>
      <c r="C73" s="9"/>
      <c r="D73" s="9"/>
      <c r="E73" s="9"/>
      <c r="F73" s="9"/>
      <c r="G73" s="10">
        <v>0</v>
      </c>
      <c r="H73" s="9"/>
      <c r="I73" s="9" t="s">
        <v>37</v>
      </c>
      <c r="J73" s="9"/>
      <c r="K73" s="9"/>
      <c r="L73" s="9">
        <f t="shared" si="21"/>
        <v>0</v>
      </c>
      <c r="M73" s="9">
        <f t="shared" si="22"/>
        <v>0</v>
      </c>
      <c r="N73" s="9"/>
      <c r="O73" s="9">
        <v>0</v>
      </c>
      <c r="P73" s="9"/>
      <c r="Q73" s="9"/>
      <c r="R73" s="9">
        <v>0</v>
      </c>
      <c r="S73" s="9"/>
      <c r="T73" s="9">
        <f t="shared" si="23"/>
        <v>0</v>
      </c>
      <c r="U73" s="11"/>
      <c r="V73" s="9" t="e">
        <f t="shared" si="24"/>
        <v>#DIV/0!</v>
      </c>
      <c r="W73" s="9" t="e">
        <f t="shared" si="25"/>
        <v>#DIV/0!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 t="s">
        <v>61</v>
      </c>
      <c r="AG73" s="9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 s="1" t="s">
        <v>121</v>
      </c>
      <c r="B74" s="1" t="s">
        <v>36</v>
      </c>
      <c r="C74" s="1">
        <v>533.97799999999995</v>
      </c>
      <c r="D74" s="1">
        <v>41.185000000000002</v>
      </c>
      <c r="E74" s="1">
        <v>400.53300000000002</v>
      </c>
      <c r="F74" s="1">
        <v>76.206999999999994</v>
      </c>
      <c r="G74" s="7">
        <v>1</v>
      </c>
      <c r="H74" s="1">
        <v>30</v>
      </c>
      <c r="I74" s="1" t="s">
        <v>37</v>
      </c>
      <c r="J74" s="1"/>
      <c r="K74" s="1">
        <v>527</v>
      </c>
      <c r="L74" s="1">
        <f t="shared" si="21"/>
        <v>-126.46699999999998</v>
      </c>
      <c r="M74" s="1">
        <f t="shared" si="22"/>
        <v>400.53300000000002</v>
      </c>
      <c r="N74" s="1"/>
      <c r="O74" s="1">
        <v>69.09639999999996</v>
      </c>
      <c r="P74" s="1"/>
      <c r="Q74" s="1"/>
      <c r="R74" s="1">
        <v>580.25020000000018</v>
      </c>
      <c r="S74" s="1"/>
      <c r="T74" s="1">
        <f t="shared" si="23"/>
        <v>80.1066</v>
      </c>
      <c r="U74" s="5">
        <f>12*T74-S74-R74-Q74-P74-O74-F74</f>
        <v>235.72559999999982</v>
      </c>
      <c r="V74" s="1">
        <f t="shared" si="24"/>
        <v>12</v>
      </c>
      <c r="W74" s="1">
        <f t="shared" si="25"/>
        <v>9.0573510796863204</v>
      </c>
      <c r="X74" s="1">
        <v>96.989400000000003</v>
      </c>
      <c r="Y74" s="1">
        <v>46.159199999999998</v>
      </c>
      <c r="Z74" s="1">
        <v>46.7592</v>
      </c>
      <c r="AA74" s="1">
        <v>74.270200000000003</v>
      </c>
      <c r="AB74" s="1">
        <v>73.813599999999994</v>
      </c>
      <c r="AC74" s="1">
        <v>59.351199999999992</v>
      </c>
      <c r="AD74" s="1">
        <v>99.834000000000003</v>
      </c>
      <c r="AE74" s="1">
        <v>113.3442</v>
      </c>
      <c r="AF74" s="1"/>
      <c r="AG74" s="1">
        <f>G74*U74</f>
        <v>235.72559999999982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 s="9" t="s">
        <v>122</v>
      </c>
      <c r="B75" s="9" t="s">
        <v>41</v>
      </c>
      <c r="C75" s="9">
        <v>-1</v>
      </c>
      <c r="D75" s="9"/>
      <c r="E75" s="9"/>
      <c r="F75" s="9">
        <v>-1</v>
      </c>
      <c r="G75" s="10">
        <v>0</v>
      </c>
      <c r="H75" s="9"/>
      <c r="I75" s="9" t="s">
        <v>53</v>
      </c>
      <c r="J75" s="9"/>
      <c r="K75" s="9"/>
      <c r="L75" s="9">
        <f t="shared" si="21"/>
        <v>0</v>
      </c>
      <c r="M75" s="9">
        <f t="shared" si="22"/>
        <v>0</v>
      </c>
      <c r="N75" s="9"/>
      <c r="O75" s="9">
        <v>0</v>
      </c>
      <c r="P75" s="9"/>
      <c r="Q75" s="9"/>
      <c r="R75" s="9">
        <v>0</v>
      </c>
      <c r="S75" s="9"/>
      <c r="T75" s="9">
        <f t="shared" si="23"/>
        <v>0</v>
      </c>
      <c r="U75" s="11"/>
      <c r="V75" s="9" t="e">
        <f t="shared" si="24"/>
        <v>#DIV/0!</v>
      </c>
      <c r="W75" s="9" t="e">
        <f t="shared" si="25"/>
        <v>#DIV/0!</v>
      </c>
      <c r="X75" s="9">
        <v>0</v>
      </c>
      <c r="Y75" s="9">
        <v>0.2</v>
      </c>
      <c r="Z75" s="9">
        <v>0.2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/>
      <c r="AG75" s="9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 s="1" t="s">
        <v>123</v>
      </c>
      <c r="B76" s="1" t="s">
        <v>41</v>
      </c>
      <c r="C76" s="1">
        <v>634</v>
      </c>
      <c r="D76" s="1">
        <v>850</v>
      </c>
      <c r="E76" s="1">
        <v>573</v>
      </c>
      <c r="F76" s="1">
        <v>555</v>
      </c>
      <c r="G76" s="7">
        <v>0.6</v>
      </c>
      <c r="H76" s="1">
        <v>60</v>
      </c>
      <c r="I76" s="1" t="s">
        <v>37</v>
      </c>
      <c r="J76" s="1"/>
      <c r="K76" s="1">
        <v>678</v>
      </c>
      <c r="L76" s="1">
        <f t="shared" si="21"/>
        <v>-105</v>
      </c>
      <c r="M76" s="1">
        <f t="shared" si="22"/>
        <v>573</v>
      </c>
      <c r="N76" s="1"/>
      <c r="O76" s="1">
        <v>465.8839999999999</v>
      </c>
      <c r="P76" s="1"/>
      <c r="Q76" s="1"/>
      <c r="R76" s="1">
        <v>0</v>
      </c>
      <c r="S76" s="1"/>
      <c r="T76" s="1">
        <f t="shared" si="23"/>
        <v>114.6</v>
      </c>
      <c r="U76" s="5">
        <f t="shared" ref="U76:U78" si="26">12*T76-S76-R76-Q76-P76-O76-F76</f>
        <v>354.31599999999992</v>
      </c>
      <c r="V76" s="1">
        <f t="shared" si="24"/>
        <v>11.999999999999998</v>
      </c>
      <c r="W76" s="1">
        <f t="shared" si="25"/>
        <v>8.9082373472949392</v>
      </c>
      <c r="X76" s="1">
        <v>82</v>
      </c>
      <c r="Y76" s="1">
        <v>127.8</v>
      </c>
      <c r="Z76" s="1">
        <v>127.8</v>
      </c>
      <c r="AA76" s="1">
        <v>101.6</v>
      </c>
      <c r="AB76" s="1">
        <v>91.8</v>
      </c>
      <c r="AC76" s="1">
        <v>71.400000000000006</v>
      </c>
      <c r="AD76" s="1">
        <v>79.400000000000006</v>
      </c>
      <c r="AE76" s="1">
        <v>144.80000000000001</v>
      </c>
      <c r="AF76" s="1"/>
      <c r="AG76" s="1">
        <f>G76*U76</f>
        <v>212.58959999999993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 s="1" t="s">
        <v>124</v>
      </c>
      <c r="B77" s="1" t="s">
        <v>41</v>
      </c>
      <c r="C77" s="1">
        <v>649</v>
      </c>
      <c r="D77" s="1">
        <v>796</v>
      </c>
      <c r="E77" s="1">
        <v>619</v>
      </c>
      <c r="F77" s="1">
        <v>538</v>
      </c>
      <c r="G77" s="7">
        <v>0.6</v>
      </c>
      <c r="H77" s="1">
        <v>60</v>
      </c>
      <c r="I77" s="1" t="s">
        <v>37</v>
      </c>
      <c r="J77" s="1"/>
      <c r="K77" s="1">
        <v>768</v>
      </c>
      <c r="L77" s="1">
        <f t="shared" si="21"/>
        <v>-149</v>
      </c>
      <c r="M77" s="1">
        <f t="shared" si="22"/>
        <v>619</v>
      </c>
      <c r="N77" s="1"/>
      <c r="O77" s="1">
        <v>471.89600000000007</v>
      </c>
      <c r="P77" s="1"/>
      <c r="Q77" s="1"/>
      <c r="R77" s="1">
        <v>0</v>
      </c>
      <c r="S77" s="1"/>
      <c r="T77" s="1">
        <f t="shared" si="23"/>
        <v>123.8</v>
      </c>
      <c r="U77" s="5">
        <f t="shared" si="26"/>
        <v>475.70399999999984</v>
      </c>
      <c r="V77" s="1">
        <f t="shared" si="24"/>
        <v>12</v>
      </c>
      <c r="W77" s="1">
        <f t="shared" si="25"/>
        <v>8.1574798061389338</v>
      </c>
      <c r="X77" s="1">
        <v>92.2</v>
      </c>
      <c r="Y77" s="1">
        <v>129.19999999999999</v>
      </c>
      <c r="Z77" s="1">
        <v>129.19999999999999</v>
      </c>
      <c r="AA77" s="1">
        <v>126</v>
      </c>
      <c r="AB77" s="1">
        <v>88.6</v>
      </c>
      <c r="AC77" s="1">
        <v>74.400000000000006</v>
      </c>
      <c r="AD77" s="1">
        <v>96.8</v>
      </c>
      <c r="AE77" s="1">
        <v>125.2</v>
      </c>
      <c r="AF77" s="1"/>
      <c r="AG77" s="1">
        <f>G77*U77</f>
        <v>285.42239999999987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 s="1" t="s">
        <v>125</v>
      </c>
      <c r="B78" s="1" t="s">
        <v>41</v>
      </c>
      <c r="C78" s="1">
        <v>40</v>
      </c>
      <c r="D78" s="1">
        <v>16</v>
      </c>
      <c r="E78" s="1">
        <v>20</v>
      </c>
      <c r="F78" s="1">
        <v>35</v>
      </c>
      <c r="G78" s="7">
        <v>0.4</v>
      </c>
      <c r="H78" s="1"/>
      <c r="I78" s="1" t="s">
        <v>37</v>
      </c>
      <c r="J78" s="1"/>
      <c r="K78" s="1">
        <v>24</v>
      </c>
      <c r="L78" s="1">
        <f t="shared" si="21"/>
        <v>-4</v>
      </c>
      <c r="M78" s="1">
        <f t="shared" si="22"/>
        <v>20</v>
      </c>
      <c r="N78" s="1"/>
      <c r="O78" s="1">
        <v>0</v>
      </c>
      <c r="P78" s="1"/>
      <c r="Q78" s="1"/>
      <c r="R78" s="1">
        <v>0</v>
      </c>
      <c r="S78" s="1"/>
      <c r="T78" s="1">
        <f t="shared" si="23"/>
        <v>4</v>
      </c>
      <c r="U78" s="5">
        <f t="shared" si="26"/>
        <v>13</v>
      </c>
      <c r="V78" s="1">
        <f t="shared" si="24"/>
        <v>12</v>
      </c>
      <c r="W78" s="1">
        <f t="shared" si="25"/>
        <v>8.75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 t="s">
        <v>126</v>
      </c>
      <c r="AG78" s="1">
        <f>G78*U78</f>
        <v>5.2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 s="9" t="s">
        <v>127</v>
      </c>
      <c r="B79" s="9" t="s">
        <v>41</v>
      </c>
      <c r="C79" s="9">
        <v>1</v>
      </c>
      <c r="D79" s="9"/>
      <c r="E79" s="9"/>
      <c r="F79" s="9">
        <v>1</v>
      </c>
      <c r="G79" s="10">
        <v>0</v>
      </c>
      <c r="H79" s="9"/>
      <c r="I79" s="9" t="s">
        <v>37</v>
      </c>
      <c r="J79" s="9"/>
      <c r="K79" s="9">
        <v>6</v>
      </c>
      <c r="L79" s="9">
        <f t="shared" si="21"/>
        <v>-6</v>
      </c>
      <c r="M79" s="9">
        <f t="shared" si="22"/>
        <v>0</v>
      </c>
      <c r="N79" s="9"/>
      <c r="O79" s="9">
        <v>0</v>
      </c>
      <c r="P79" s="9"/>
      <c r="Q79" s="9"/>
      <c r="R79" s="9">
        <v>0</v>
      </c>
      <c r="S79" s="9"/>
      <c r="T79" s="9">
        <f t="shared" si="23"/>
        <v>0</v>
      </c>
      <c r="U79" s="11"/>
      <c r="V79" s="9" t="e">
        <f t="shared" si="24"/>
        <v>#DIV/0!</v>
      </c>
      <c r="W79" s="9" t="e">
        <f t="shared" si="25"/>
        <v>#DIV/0!</v>
      </c>
      <c r="X79" s="9">
        <v>0</v>
      </c>
      <c r="Y79" s="9">
        <v>0</v>
      </c>
      <c r="Z79" s="9">
        <v>0</v>
      </c>
      <c r="AA79" s="9">
        <v>0.2</v>
      </c>
      <c r="AB79" s="9">
        <v>0.2</v>
      </c>
      <c r="AC79" s="9">
        <v>0</v>
      </c>
      <c r="AD79" s="9">
        <v>0</v>
      </c>
      <c r="AE79" s="9">
        <v>0</v>
      </c>
      <c r="AF79" s="9" t="s">
        <v>61</v>
      </c>
      <c r="AG79" s="9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 s="1" t="s">
        <v>128</v>
      </c>
      <c r="B80" s="1" t="s">
        <v>41</v>
      </c>
      <c r="C80" s="1">
        <v>64</v>
      </c>
      <c r="D80" s="1"/>
      <c r="E80" s="1">
        <v>36</v>
      </c>
      <c r="F80" s="1">
        <v>22</v>
      </c>
      <c r="G80" s="7">
        <v>0.35</v>
      </c>
      <c r="H80" s="1">
        <v>90</v>
      </c>
      <c r="I80" s="1" t="s">
        <v>37</v>
      </c>
      <c r="J80" s="1"/>
      <c r="K80" s="1">
        <v>36</v>
      </c>
      <c r="L80" s="1">
        <f t="shared" si="21"/>
        <v>0</v>
      </c>
      <c r="M80" s="1">
        <f t="shared" si="22"/>
        <v>36</v>
      </c>
      <c r="N80" s="1"/>
      <c r="O80" s="1">
        <v>0</v>
      </c>
      <c r="P80" s="1"/>
      <c r="Q80" s="1"/>
      <c r="R80" s="1">
        <v>6.2000000000000028</v>
      </c>
      <c r="S80" s="1"/>
      <c r="T80" s="1">
        <f t="shared" si="23"/>
        <v>7.2</v>
      </c>
      <c r="U80" s="5">
        <f>11*T80-S80-R80-Q80-P80-O80-F80</f>
        <v>51</v>
      </c>
      <c r="V80" s="1">
        <f t="shared" si="24"/>
        <v>11</v>
      </c>
      <c r="W80" s="1">
        <f t="shared" si="25"/>
        <v>3.916666666666667</v>
      </c>
      <c r="X80" s="1">
        <v>5.2</v>
      </c>
      <c r="Y80" s="1">
        <v>4</v>
      </c>
      <c r="Z80" s="1">
        <v>4</v>
      </c>
      <c r="AA80" s="1">
        <v>8.8000000000000007</v>
      </c>
      <c r="AB80" s="1">
        <v>7.2</v>
      </c>
      <c r="AC80" s="1">
        <v>9.4</v>
      </c>
      <c r="AD80" s="1">
        <v>10.4</v>
      </c>
      <c r="AE80" s="1">
        <v>6.2</v>
      </c>
      <c r="AF80" s="1"/>
      <c r="AG80" s="1">
        <f t="shared" ref="AG80:AG86" si="27">G80*U80</f>
        <v>17.849999999999998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 s="1" t="s">
        <v>129</v>
      </c>
      <c r="B81" s="1" t="s">
        <v>41</v>
      </c>
      <c r="C81" s="1">
        <v>205</v>
      </c>
      <c r="D81" s="1">
        <v>93</v>
      </c>
      <c r="E81" s="1">
        <v>91</v>
      </c>
      <c r="F81" s="1">
        <v>142</v>
      </c>
      <c r="G81" s="7">
        <v>0.37</v>
      </c>
      <c r="H81" s="1">
        <v>50</v>
      </c>
      <c r="I81" s="1" t="s">
        <v>37</v>
      </c>
      <c r="J81" s="1"/>
      <c r="K81" s="1">
        <v>98</v>
      </c>
      <c r="L81" s="1">
        <f t="shared" si="21"/>
        <v>-7</v>
      </c>
      <c r="M81" s="1">
        <f t="shared" si="22"/>
        <v>91</v>
      </c>
      <c r="N81" s="1"/>
      <c r="O81" s="1">
        <v>86.600000000000023</v>
      </c>
      <c r="P81" s="1"/>
      <c r="Q81" s="1"/>
      <c r="R81" s="1">
        <v>0</v>
      </c>
      <c r="S81" s="1"/>
      <c r="T81" s="1">
        <f t="shared" si="23"/>
        <v>18.2</v>
      </c>
      <c r="U81" s="5"/>
      <c r="V81" s="1">
        <f t="shared" si="24"/>
        <v>12.560439560439562</v>
      </c>
      <c r="W81" s="1">
        <f t="shared" si="25"/>
        <v>12.560439560439562</v>
      </c>
      <c r="X81" s="1">
        <v>21.2</v>
      </c>
      <c r="Y81" s="1">
        <v>30.6</v>
      </c>
      <c r="Z81" s="1">
        <v>30.6</v>
      </c>
      <c r="AA81" s="1">
        <v>27.4</v>
      </c>
      <c r="AB81" s="1">
        <v>35.4</v>
      </c>
      <c r="AC81" s="1">
        <v>29.4</v>
      </c>
      <c r="AD81" s="1">
        <v>16.2</v>
      </c>
      <c r="AE81" s="1">
        <v>28.8</v>
      </c>
      <c r="AF81" s="1"/>
      <c r="AG81" s="1">
        <f t="shared" si="27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 s="1" t="s">
        <v>130</v>
      </c>
      <c r="B82" s="1" t="s">
        <v>41</v>
      </c>
      <c r="C82" s="1">
        <v>404</v>
      </c>
      <c r="D82" s="1">
        <v>128</v>
      </c>
      <c r="E82" s="1">
        <v>209</v>
      </c>
      <c r="F82" s="1">
        <v>261</v>
      </c>
      <c r="G82" s="7">
        <v>0.6</v>
      </c>
      <c r="H82" s="1">
        <v>70</v>
      </c>
      <c r="I82" s="13" t="s">
        <v>44</v>
      </c>
      <c r="J82" s="1"/>
      <c r="K82" s="1">
        <v>248</v>
      </c>
      <c r="L82" s="1">
        <f t="shared" si="21"/>
        <v>-39</v>
      </c>
      <c r="M82" s="1">
        <f t="shared" si="22"/>
        <v>209</v>
      </c>
      <c r="N82" s="1"/>
      <c r="O82" s="1">
        <v>163.80000000000001</v>
      </c>
      <c r="P82" s="1"/>
      <c r="Q82" s="1"/>
      <c r="R82" s="1">
        <v>0</v>
      </c>
      <c r="S82" s="1"/>
      <c r="T82" s="1">
        <f t="shared" si="23"/>
        <v>41.8</v>
      </c>
      <c r="U82" s="5">
        <f t="shared" ref="U80:U86" si="28">12*T82-S82-R82-Q82-P82-O82-F82</f>
        <v>76.799999999999955</v>
      </c>
      <c r="V82" s="1">
        <f t="shared" si="24"/>
        <v>12</v>
      </c>
      <c r="W82" s="1">
        <f t="shared" si="25"/>
        <v>10.162679425837322</v>
      </c>
      <c r="X82" s="1">
        <v>40.799999999999997</v>
      </c>
      <c r="Y82" s="1">
        <v>61.8</v>
      </c>
      <c r="Z82" s="1">
        <v>61.8</v>
      </c>
      <c r="AA82" s="1">
        <v>34.200000000000003</v>
      </c>
      <c r="AB82" s="1">
        <v>32.6</v>
      </c>
      <c r="AC82" s="1">
        <v>19.600000000000001</v>
      </c>
      <c r="AD82" s="1">
        <v>83.6</v>
      </c>
      <c r="AE82" s="1">
        <v>196.6</v>
      </c>
      <c r="AF82" s="1" t="s">
        <v>131</v>
      </c>
      <c r="AG82" s="1">
        <f t="shared" si="27"/>
        <v>46.07999999999997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 s="1" t="s">
        <v>132</v>
      </c>
      <c r="B83" s="1" t="s">
        <v>41</v>
      </c>
      <c r="C83" s="1">
        <v>133</v>
      </c>
      <c r="D83" s="1">
        <v>362</v>
      </c>
      <c r="E83" s="1">
        <v>310</v>
      </c>
      <c r="F83" s="1">
        <v>36</v>
      </c>
      <c r="G83" s="7">
        <v>0.33</v>
      </c>
      <c r="H83" s="1">
        <v>40</v>
      </c>
      <c r="I83" s="1" t="s">
        <v>37</v>
      </c>
      <c r="J83" s="1"/>
      <c r="K83" s="1">
        <v>371</v>
      </c>
      <c r="L83" s="1">
        <f t="shared" si="21"/>
        <v>-61</v>
      </c>
      <c r="M83" s="1">
        <f t="shared" si="22"/>
        <v>310</v>
      </c>
      <c r="N83" s="1"/>
      <c r="O83" s="1">
        <v>138.7887999999999</v>
      </c>
      <c r="P83" s="1"/>
      <c r="Q83" s="1"/>
      <c r="R83" s="1">
        <v>59.011200000000031</v>
      </c>
      <c r="S83" s="1"/>
      <c r="T83" s="1">
        <f t="shared" si="23"/>
        <v>62</v>
      </c>
      <c r="U83" s="5">
        <f>11*T83-S83-R83-Q83-P83-O83-F83</f>
        <v>448.20000000000005</v>
      </c>
      <c r="V83" s="1">
        <f t="shared" si="24"/>
        <v>11</v>
      </c>
      <c r="W83" s="1">
        <f t="shared" si="25"/>
        <v>3.7709677419354826</v>
      </c>
      <c r="X83" s="1">
        <v>50.8</v>
      </c>
      <c r="Y83" s="1">
        <v>41.2</v>
      </c>
      <c r="Z83" s="1">
        <v>49.6</v>
      </c>
      <c r="AA83" s="1">
        <v>42</v>
      </c>
      <c r="AB83" s="1">
        <v>24.8</v>
      </c>
      <c r="AC83" s="1">
        <v>34.4</v>
      </c>
      <c r="AD83" s="1">
        <v>51</v>
      </c>
      <c r="AE83" s="1">
        <v>66.400000000000006</v>
      </c>
      <c r="AF83" s="1"/>
      <c r="AG83" s="1">
        <f t="shared" si="27"/>
        <v>147.90600000000003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 s="1" t="s">
        <v>133</v>
      </c>
      <c r="B84" s="1" t="s">
        <v>41</v>
      </c>
      <c r="C84" s="1">
        <v>118</v>
      </c>
      <c r="D84" s="1">
        <v>25</v>
      </c>
      <c r="E84" s="1">
        <v>56</v>
      </c>
      <c r="F84" s="1">
        <v>80</v>
      </c>
      <c r="G84" s="7">
        <v>0.4</v>
      </c>
      <c r="H84" s="1">
        <v>55</v>
      </c>
      <c r="I84" s="1" t="s">
        <v>37</v>
      </c>
      <c r="J84" s="1"/>
      <c r="K84" s="1">
        <v>67</v>
      </c>
      <c r="L84" s="1">
        <f t="shared" si="21"/>
        <v>-11</v>
      </c>
      <c r="M84" s="1">
        <f t="shared" si="22"/>
        <v>56</v>
      </c>
      <c r="N84" s="1"/>
      <c r="O84" s="1">
        <v>26.200000000000021</v>
      </c>
      <c r="P84" s="1"/>
      <c r="Q84" s="1"/>
      <c r="R84" s="1">
        <v>0</v>
      </c>
      <c r="S84" s="1"/>
      <c r="T84" s="1">
        <f t="shared" si="23"/>
        <v>11.2</v>
      </c>
      <c r="U84" s="5">
        <f t="shared" si="28"/>
        <v>28.19999999999996</v>
      </c>
      <c r="V84" s="1">
        <f t="shared" si="24"/>
        <v>11.999999999999998</v>
      </c>
      <c r="W84" s="1">
        <f t="shared" si="25"/>
        <v>9.4821428571428594</v>
      </c>
      <c r="X84" s="1">
        <v>5.8</v>
      </c>
      <c r="Y84" s="1">
        <v>13.2</v>
      </c>
      <c r="Z84" s="1">
        <v>13.2</v>
      </c>
      <c r="AA84" s="1">
        <v>12.8</v>
      </c>
      <c r="AB84" s="1">
        <v>9.6</v>
      </c>
      <c r="AC84" s="1">
        <v>8.6</v>
      </c>
      <c r="AD84" s="1">
        <v>10.8</v>
      </c>
      <c r="AE84" s="1">
        <v>12.2</v>
      </c>
      <c r="AF84" s="1"/>
      <c r="AG84" s="1">
        <f t="shared" si="27"/>
        <v>11.279999999999985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x14ac:dyDescent="0.25">
      <c r="A85" s="1" t="s">
        <v>134</v>
      </c>
      <c r="B85" s="1" t="s">
        <v>41</v>
      </c>
      <c r="C85" s="1">
        <v>298</v>
      </c>
      <c r="D85" s="1">
        <v>65</v>
      </c>
      <c r="E85" s="1">
        <v>286</v>
      </c>
      <c r="F85" s="1">
        <v>21</v>
      </c>
      <c r="G85" s="7">
        <v>0.35</v>
      </c>
      <c r="H85" s="1">
        <v>40</v>
      </c>
      <c r="I85" s="14" t="s">
        <v>50</v>
      </c>
      <c r="J85" s="1"/>
      <c r="K85" s="1">
        <v>300</v>
      </c>
      <c r="L85" s="1">
        <f t="shared" si="21"/>
        <v>-14</v>
      </c>
      <c r="M85" s="1">
        <f t="shared" si="22"/>
        <v>286</v>
      </c>
      <c r="N85" s="1"/>
      <c r="O85" s="1">
        <v>50</v>
      </c>
      <c r="P85" s="1">
        <v>-54.285714285714292</v>
      </c>
      <c r="Q85" s="1"/>
      <c r="R85" s="1">
        <v>150</v>
      </c>
      <c r="S85" s="1">
        <v>100</v>
      </c>
      <c r="T85" s="1">
        <f t="shared" si="23"/>
        <v>57.2</v>
      </c>
      <c r="U85" s="5">
        <v>100</v>
      </c>
      <c r="V85" s="1">
        <f t="shared" si="24"/>
        <v>6.4110889110889113</v>
      </c>
      <c r="W85" s="1">
        <f t="shared" si="25"/>
        <v>4.662837162837163</v>
      </c>
      <c r="X85" s="1">
        <v>52.2</v>
      </c>
      <c r="Y85" s="1">
        <v>19.600000000000001</v>
      </c>
      <c r="Z85" s="1">
        <v>19.600000000000001</v>
      </c>
      <c r="AA85" s="1">
        <v>50</v>
      </c>
      <c r="AB85" s="1">
        <v>40</v>
      </c>
      <c r="AC85" s="1">
        <v>12.4</v>
      </c>
      <c r="AD85" s="1">
        <v>-1</v>
      </c>
      <c r="AE85" s="1">
        <v>8.8000000000000007</v>
      </c>
      <c r="AF85" s="1"/>
      <c r="AG85" s="1">
        <f t="shared" si="27"/>
        <v>35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x14ac:dyDescent="0.25">
      <c r="A86" s="1" t="s">
        <v>135</v>
      </c>
      <c r="B86" s="1" t="s">
        <v>41</v>
      </c>
      <c r="C86" s="1">
        <v>51</v>
      </c>
      <c r="D86" s="1">
        <v>397</v>
      </c>
      <c r="E86" s="1">
        <v>246</v>
      </c>
      <c r="F86" s="1">
        <v>2</v>
      </c>
      <c r="G86" s="7">
        <v>0.35</v>
      </c>
      <c r="H86" s="1">
        <v>45</v>
      </c>
      <c r="I86" s="14" t="s">
        <v>50</v>
      </c>
      <c r="J86" s="1"/>
      <c r="K86" s="1">
        <v>430</v>
      </c>
      <c r="L86" s="1">
        <f t="shared" si="21"/>
        <v>-184</v>
      </c>
      <c r="M86" s="1">
        <f t="shared" si="22"/>
        <v>246</v>
      </c>
      <c r="N86" s="1"/>
      <c r="O86" s="1">
        <v>100</v>
      </c>
      <c r="P86" s="1"/>
      <c r="Q86" s="1"/>
      <c r="R86" s="1">
        <v>197</v>
      </c>
      <c r="S86" s="1">
        <v>100</v>
      </c>
      <c r="T86" s="1">
        <f t="shared" si="23"/>
        <v>49.2</v>
      </c>
      <c r="U86" s="5">
        <v>150</v>
      </c>
      <c r="V86" s="1">
        <f t="shared" si="24"/>
        <v>11.158536585365853</v>
      </c>
      <c r="W86" s="1">
        <f t="shared" si="25"/>
        <v>8.1097560975609753</v>
      </c>
      <c r="X86" s="1">
        <v>41</v>
      </c>
      <c r="Y86" s="1">
        <v>-30.6</v>
      </c>
      <c r="Z86" s="1">
        <v>-0.6</v>
      </c>
      <c r="AA86" s="1">
        <v>0</v>
      </c>
      <c r="AB86" s="1">
        <v>2.8</v>
      </c>
      <c r="AC86" s="1">
        <v>74.400000000000006</v>
      </c>
      <c r="AD86" s="1">
        <v>77.2</v>
      </c>
      <c r="AE86" s="1">
        <v>16.600000000000001</v>
      </c>
      <c r="AF86" s="1"/>
      <c r="AG86" s="1">
        <f t="shared" si="27"/>
        <v>52.5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x14ac:dyDescent="0.25">
      <c r="A87" s="9" t="s">
        <v>136</v>
      </c>
      <c r="B87" s="9" t="s">
        <v>36</v>
      </c>
      <c r="C87" s="9">
        <v>-5.4409999999999998</v>
      </c>
      <c r="D87" s="9"/>
      <c r="E87" s="9"/>
      <c r="F87" s="15">
        <v>-5.4409999999999998</v>
      </c>
      <c r="G87" s="10">
        <v>0</v>
      </c>
      <c r="H87" s="9"/>
      <c r="I87" s="9" t="s">
        <v>53</v>
      </c>
      <c r="J87" s="9" t="s">
        <v>39</v>
      </c>
      <c r="K87" s="9"/>
      <c r="L87" s="9">
        <f t="shared" si="21"/>
        <v>0</v>
      </c>
      <c r="M87" s="9">
        <f t="shared" si="22"/>
        <v>0</v>
      </c>
      <c r="N87" s="9"/>
      <c r="O87" s="9">
        <v>0</v>
      </c>
      <c r="P87" s="9"/>
      <c r="Q87" s="9"/>
      <c r="R87" s="9">
        <v>0</v>
      </c>
      <c r="S87" s="9"/>
      <c r="T87" s="9">
        <f t="shared" si="23"/>
        <v>0</v>
      </c>
      <c r="U87" s="11"/>
      <c r="V87" s="9" t="e">
        <f t="shared" si="24"/>
        <v>#DIV/0!</v>
      </c>
      <c r="W87" s="9" t="e">
        <f t="shared" si="25"/>
        <v>#DIV/0!</v>
      </c>
      <c r="X87" s="9">
        <v>0</v>
      </c>
      <c r="Y87" s="9">
        <v>0</v>
      </c>
      <c r="Z87" s="9">
        <v>0</v>
      </c>
      <c r="AA87" s="9">
        <v>0</v>
      </c>
      <c r="AB87" s="9">
        <v>1.0882000000000001</v>
      </c>
      <c r="AC87" s="9">
        <v>1.0882000000000001</v>
      </c>
      <c r="AD87" s="9">
        <v>0</v>
      </c>
      <c r="AE87" s="9">
        <v>0</v>
      </c>
      <c r="AF87" s="9"/>
      <c r="AG87" s="9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x14ac:dyDescent="0.25">
      <c r="A88" s="1" t="s">
        <v>137</v>
      </c>
      <c r="B88" s="1" t="s">
        <v>41</v>
      </c>
      <c r="C88" s="1">
        <v>103</v>
      </c>
      <c r="D88" s="1"/>
      <c r="E88" s="1"/>
      <c r="F88" s="1">
        <v>102</v>
      </c>
      <c r="G88" s="7">
        <v>0.4</v>
      </c>
      <c r="H88" s="1">
        <v>55</v>
      </c>
      <c r="I88" s="1" t="s">
        <v>37</v>
      </c>
      <c r="J88" s="1"/>
      <c r="K88" s="1"/>
      <c r="L88" s="1">
        <f t="shared" si="21"/>
        <v>0</v>
      </c>
      <c r="M88" s="1">
        <f t="shared" si="22"/>
        <v>0</v>
      </c>
      <c r="N88" s="1"/>
      <c r="O88" s="1">
        <v>0</v>
      </c>
      <c r="P88" s="1"/>
      <c r="Q88" s="1"/>
      <c r="R88" s="1">
        <v>0</v>
      </c>
      <c r="S88" s="1"/>
      <c r="T88" s="1">
        <f t="shared" si="23"/>
        <v>0</v>
      </c>
      <c r="U88" s="5"/>
      <c r="V88" s="1" t="e">
        <f t="shared" si="24"/>
        <v>#DIV/0!</v>
      </c>
      <c r="W88" s="1" t="e">
        <f t="shared" si="25"/>
        <v>#DIV/0!</v>
      </c>
      <c r="X88" s="1">
        <v>0</v>
      </c>
      <c r="Y88" s="1">
        <v>0.4</v>
      </c>
      <c r="Z88" s="1">
        <v>0.4</v>
      </c>
      <c r="AA88" s="1">
        <v>8.6</v>
      </c>
      <c r="AB88" s="1">
        <v>8.6</v>
      </c>
      <c r="AC88" s="1">
        <v>4.4000000000000004</v>
      </c>
      <c r="AD88" s="1">
        <v>7.6</v>
      </c>
      <c r="AE88" s="1">
        <v>4</v>
      </c>
      <c r="AF88" s="12" t="s">
        <v>72</v>
      </c>
      <c r="AG88" s="1">
        <f>G88*U88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x14ac:dyDescent="0.25">
      <c r="A89" s="1" t="s">
        <v>138</v>
      </c>
      <c r="B89" s="1" t="s">
        <v>36</v>
      </c>
      <c r="C89" s="1">
        <v>17.829999999999998</v>
      </c>
      <c r="D89" s="1">
        <v>11.706</v>
      </c>
      <c r="E89" s="1">
        <v>4.2750000000000004</v>
      </c>
      <c r="F89" s="1">
        <v>25.260999999999999</v>
      </c>
      <c r="G89" s="7">
        <v>1</v>
      </c>
      <c r="H89" s="1">
        <v>55</v>
      </c>
      <c r="I89" s="1" t="s">
        <v>37</v>
      </c>
      <c r="J89" s="1"/>
      <c r="K89" s="1">
        <v>3.5</v>
      </c>
      <c r="L89" s="1">
        <f t="shared" si="21"/>
        <v>0.77500000000000036</v>
      </c>
      <c r="M89" s="1">
        <f t="shared" si="22"/>
        <v>4.2750000000000004</v>
      </c>
      <c r="N89" s="1"/>
      <c r="O89" s="1">
        <v>0</v>
      </c>
      <c r="P89" s="1"/>
      <c r="Q89" s="1"/>
      <c r="R89" s="1">
        <v>0</v>
      </c>
      <c r="S89" s="1"/>
      <c r="T89" s="1">
        <f t="shared" si="23"/>
        <v>0.85500000000000009</v>
      </c>
      <c r="U89" s="5"/>
      <c r="V89" s="1">
        <f t="shared" si="24"/>
        <v>29.545029239766077</v>
      </c>
      <c r="W89" s="1">
        <f t="shared" si="25"/>
        <v>29.545029239766077</v>
      </c>
      <c r="X89" s="1">
        <v>0.5796</v>
      </c>
      <c r="Y89" s="1">
        <v>0.81820000000000004</v>
      </c>
      <c r="Z89" s="1">
        <v>0.81820000000000004</v>
      </c>
      <c r="AA89" s="1">
        <v>1.704</v>
      </c>
      <c r="AB89" s="1">
        <v>2.0099999999999998</v>
      </c>
      <c r="AC89" s="1">
        <v>1.7163999999999999</v>
      </c>
      <c r="AD89" s="1">
        <v>1.7183999999999999</v>
      </c>
      <c r="AE89" s="1">
        <v>0.57800000000000007</v>
      </c>
      <c r="AF89" s="12" t="s">
        <v>72</v>
      </c>
      <c r="AG89" s="1">
        <f>G89*U89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x14ac:dyDescent="0.25">
      <c r="A90" s="9" t="s">
        <v>139</v>
      </c>
      <c r="B90" s="9" t="s">
        <v>36</v>
      </c>
      <c r="C90" s="9"/>
      <c r="D90" s="9"/>
      <c r="E90" s="9"/>
      <c r="F90" s="9"/>
      <c r="G90" s="10">
        <v>0</v>
      </c>
      <c r="H90" s="9"/>
      <c r="I90" s="9" t="s">
        <v>37</v>
      </c>
      <c r="J90" s="9"/>
      <c r="K90" s="9"/>
      <c r="L90" s="9">
        <f t="shared" si="21"/>
        <v>0</v>
      </c>
      <c r="M90" s="9">
        <f t="shared" si="22"/>
        <v>0</v>
      </c>
      <c r="N90" s="9"/>
      <c r="O90" s="9">
        <v>0</v>
      </c>
      <c r="P90" s="9"/>
      <c r="Q90" s="9"/>
      <c r="R90" s="9">
        <v>0</v>
      </c>
      <c r="S90" s="9"/>
      <c r="T90" s="9">
        <f t="shared" si="23"/>
        <v>0</v>
      </c>
      <c r="U90" s="11"/>
      <c r="V90" s="9" t="e">
        <f t="shared" si="24"/>
        <v>#DIV/0!</v>
      </c>
      <c r="W90" s="9" t="e">
        <f t="shared" si="25"/>
        <v>#DIV/0!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61</v>
      </c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x14ac:dyDescent="0.25">
      <c r="A91" s="1" t="s">
        <v>140</v>
      </c>
      <c r="B91" s="1" t="s">
        <v>36</v>
      </c>
      <c r="C91" s="1">
        <v>3830.933</v>
      </c>
      <c r="D91" s="1">
        <v>6815.2870000000003</v>
      </c>
      <c r="E91" s="1">
        <v>2413.9920000000002</v>
      </c>
      <c r="F91" s="1">
        <v>7634.3429999999998</v>
      </c>
      <c r="G91" s="7">
        <v>1</v>
      </c>
      <c r="H91" s="1">
        <v>60</v>
      </c>
      <c r="I91" s="1" t="s">
        <v>37</v>
      </c>
      <c r="J91" s="1"/>
      <c r="K91" s="1">
        <v>2467.3200000000002</v>
      </c>
      <c r="L91" s="1">
        <f t="shared" si="21"/>
        <v>-53.327999999999975</v>
      </c>
      <c r="M91" s="1">
        <f t="shared" si="22"/>
        <v>2413.9920000000002</v>
      </c>
      <c r="N91" s="1"/>
      <c r="O91" s="1">
        <v>0</v>
      </c>
      <c r="P91" s="1"/>
      <c r="Q91" s="1"/>
      <c r="R91" s="1">
        <v>0</v>
      </c>
      <c r="S91" s="1"/>
      <c r="T91" s="1">
        <f t="shared" si="23"/>
        <v>482.79840000000002</v>
      </c>
      <c r="U91" s="5"/>
      <c r="V91" s="1">
        <f t="shared" si="24"/>
        <v>15.812693248362049</v>
      </c>
      <c r="W91" s="1">
        <f t="shared" si="25"/>
        <v>15.812693248362049</v>
      </c>
      <c r="X91" s="1">
        <v>547.7278</v>
      </c>
      <c r="Y91" s="1">
        <v>842.63180000000011</v>
      </c>
      <c r="Z91" s="1">
        <v>930.80480000000011</v>
      </c>
      <c r="AA91" s="1">
        <v>746.08699999999999</v>
      </c>
      <c r="AB91" s="1">
        <v>678.24040000000002</v>
      </c>
      <c r="AC91" s="1">
        <v>611.37299999999993</v>
      </c>
      <c r="AD91" s="1">
        <v>524.66000000000008</v>
      </c>
      <c r="AE91" s="1">
        <v>546.37159999999994</v>
      </c>
      <c r="AF91" s="1"/>
      <c r="AG91" s="1">
        <f t="shared" ref="AG91:AG96" si="29">G91*U91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x14ac:dyDescent="0.25">
      <c r="A92" s="1" t="s">
        <v>141</v>
      </c>
      <c r="B92" s="1" t="s">
        <v>41</v>
      </c>
      <c r="C92" s="1">
        <v>209</v>
      </c>
      <c r="D92" s="1">
        <v>237</v>
      </c>
      <c r="E92" s="1">
        <v>181</v>
      </c>
      <c r="F92" s="1">
        <v>159</v>
      </c>
      <c r="G92" s="7">
        <v>0.3</v>
      </c>
      <c r="H92" s="1">
        <v>40</v>
      </c>
      <c r="I92" s="1" t="s">
        <v>37</v>
      </c>
      <c r="J92" s="1"/>
      <c r="K92" s="1">
        <v>279</v>
      </c>
      <c r="L92" s="1">
        <f t="shared" si="21"/>
        <v>-98</v>
      </c>
      <c r="M92" s="1">
        <f t="shared" si="22"/>
        <v>181</v>
      </c>
      <c r="N92" s="1"/>
      <c r="O92" s="1">
        <v>182.78056000000001</v>
      </c>
      <c r="P92" s="1"/>
      <c r="Q92" s="1"/>
      <c r="R92" s="1">
        <v>100</v>
      </c>
      <c r="S92" s="1"/>
      <c r="T92" s="1">
        <f t="shared" si="23"/>
        <v>36.200000000000003</v>
      </c>
      <c r="U92" s="5"/>
      <c r="V92" s="1">
        <f t="shared" si="24"/>
        <v>12.203882872928176</v>
      </c>
      <c r="W92" s="1">
        <f t="shared" si="25"/>
        <v>12.203882872928176</v>
      </c>
      <c r="X92" s="1">
        <v>35.799999999999997</v>
      </c>
      <c r="Y92" s="1">
        <v>49</v>
      </c>
      <c r="Z92" s="1">
        <v>49</v>
      </c>
      <c r="AA92" s="1">
        <v>54.8</v>
      </c>
      <c r="AB92" s="1">
        <v>31.2</v>
      </c>
      <c r="AC92" s="1">
        <v>37.799999999999997</v>
      </c>
      <c r="AD92" s="1">
        <v>35.799999999999997</v>
      </c>
      <c r="AE92" s="1">
        <v>44</v>
      </c>
      <c r="AF92" s="1"/>
      <c r="AG92" s="1">
        <f t="shared" si="2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x14ac:dyDescent="0.25">
      <c r="A93" s="1" t="s">
        <v>142</v>
      </c>
      <c r="B93" s="1" t="s">
        <v>36</v>
      </c>
      <c r="C93" s="1">
        <v>1288.278</v>
      </c>
      <c r="D93" s="1">
        <v>4608.9369999999999</v>
      </c>
      <c r="E93" s="1">
        <v>1077</v>
      </c>
      <c r="F93" s="1">
        <v>4541.107</v>
      </c>
      <c r="G93" s="7">
        <v>1</v>
      </c>
      <c r="H93" s="1">
        <v>60</v>
      </c>
      <c r="I93" s="1" t="s">
        <v>37</v>
      </c>
      <c r="J93" s="1"/>
      <c r="K93" s="1">
        <v>1117.9010000000001</v>
      </c>
      <c r="L93" s="1">
        <f t="shared" si="21"/>
        <v>-40.901000000000067</v>
      </c>
      <c r="M93" s="1">
        <f t="shared" si="22"/>
        <v>1077</v>
      </c>
      <c r="N93" s="1"/>
      <c r="O93" s="1">
        <v>0</v>
      </c>
      <c r="P93" s="1"/>
      <c r="Q93" s="1"/>
      <c r="R93" s="1">
        <v>0</v>
      </c>
      <c r="S93" s="1"/>
      <c r="T93" s="1">
        <f t="shared" si="23"/>
        <v>215.4</v>
      </c>
      <c r="U93" s="5"/>
      <c r="V93" s="1">
        <f t="shared" si="24"/>
        <v>21.082205199628596</v>
      </c>
      <c r="W93" s="1">
        <f t="shared" si="25"/>
        <v>21.082205199628596</v>
      </c>
      <c r="X93" s="1">
        <v>379.45499999999998</v>
      </c>
      <c r="Y93" s="1">
        <v>357.23480000000001</v>
      </c>
      <c r="Z93" s="1">
        <v>505.72719999999998</v>
      </c>
      <c r="AA93" s="1">
        <v>276.84160000000003</v>
      </c>
      <c r="AB93" s="1">
        <v>190.1532</v>
      </c>
      <c r="AC93" s="1">
        <v>224.54220000000001</v>
      </c>
      <c r="AD93" s="1">
        <v>235.44120000000001</v>
      </c>
      <c r="AE93" s="1">
        <v>237.84280000000001</v>
      </c>
      <c r="AF93" s="1"/>
      <c r="AG93" s="1">
        <f t="shared" si="2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x14ac:dyDescent="0.25">
      <c r="A94" s="1" t="s">
        <v>143</v>
      </c>
      <c r="B94" s="1" t="s">
        <v>36</v>
      </c>
      <c r="C94" s="1">
        <v>3409.498</v>
      </c>
      <c r="D94" s="1">
        <v>4149.6710000000003</v>
      </c>
      <c r="E94" s="1">
        <v>2117.5949999999998</v>
      </c>
      <c r="F94" s="1">
        <v>3004.3429999999998</v>
      </c>
      <c r="G94" s="7">
        <v>1</v>
      </c>
      <c r="H94" s="1">
        <v>60</v>
      </c>
      <c r="I94" s="1" t="s">
        <v>37</v>
      </c>
      <c r="J94" s="1"/>
      <c r="K94" s="1">
        <v>2156.2220000000002</v>
      </c>
      <c r="L94" s="1">
        <f t="shared" si="21"/>
        <v>-38.627000000000407</v>
      </c>
      <c r="M94" s="1">
        <f t="shared" si="22"/>
        <v>2117.5949999999998</v>
      </c>
      <c r="N94" s="1"/>
      <c r="O94" s="1">
        <v>0</v>
      </c>
      <c r="P94" s="1"/>
      <c r="Q94" s="1"/>
      <c r="R94" s="1">
        <v>2376.0354985295912</v>
      </c>
      <c r="S94" s="1">
        <v>500</v>
      </c>
      <c r="T94" s="1">
        <f t="shared" si="23"/>
        <v>423.51899999999995</v>
      </c>
      <c r="U94" s="5"/>
      <c r="V94" s="1">
        <f t="shared" si="24"/>
        <v>13.884568339388769</v>
      </c>
      <c r="W94" s="1">
        <f t="shared" si="25"/>
        <v>13.884568339388769</v>
      </c>
      <c r="X94" s="1">
        <v>694.55039999999997</v>
      </c>
      <c r="Y94" s="1">
        <v>304.53539999999998</v>
      </c>
      <c r="Z94" s="1">
        <v>631.58000000000004</v>
      </c>
      <c r="AA94" s="1">
        <v>682.72479999999996</v>
      </c>
      <c r="AB94" s="1">
        <v>684.17160000000001</v>
      </c>
      <c r="AC94" s="1">
        <v>529.6386</v>
      </c>
      <c r="AD94" s="1">
        <v>447.9076</v>
      </c>
      <c r="AE94" s="1">
        <v>485.68380000000008</v>
      </c>
      <c r="AF94" s="1"/>
      <c r="AG94" s="1">
        <f t="shared" si="2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x14ac:dyDescent="0.25">
      <c r="A95" s="1" t="s">
        <v>66</v>
      </c>
      <c r="B95" s="1" t="s">
        <v>36</v>
      </c>
      <c r="C95" s="1">
        <v>6552.2209999999995</v>
      </c>
      <c r="D95" s="1">
        <v>3156.9839999999999</v>
      </c>
      <c r="E95" s="1">
        <v>2907.8069999999998</v>
      </c>
      <c r="F95" s="15">
        <f>4676.079+F23</f>
        <v>4663.616</v>
      </c>
      <c r="G95" s="7">
        <v>1</v>
      </c>
      <c r="H95" s="1">
        <v>60</v>
      </c>
      <c r="I95" s="1" t="s">
        <v>37</v>
      </c>
      <c r="J95" s="1"/>
      <c r="K95" s="1">
        <v>3042.2060000000001</v>
      </c>
      <c r="L95" s="1">
        <f t="shared" si="21"/>
        <v>-134.39900000000034</v>
      </c>
      <c r="M95" s="1">
        <f t="shared" si="22"/>
        <v>2907.8069999999998</v>
      </c>
      <c r="N95" s="1"/>
      <c r="O95" s="1">
        <v>0</v>
      </c>
      <c r="P95" s="1"/>
      <c r="Q95" s="1">
        <v>400</v>
      </c>
      <c r="R95" s="1">
        <v>1405.7008000000001</v>
      </c>
      <c r="S95" s="1">
        <v>400</v>
      </c>
      <c r="T95" s="1">
        <f t="shared" si="23"/>
        <v>581.56139999999994</v>
      </c>
      <c r="U95" s="5">
        <f t="shared" ref="U91:U96" si="30">12*T95-S95-R95-Q95-P95-O95-F95</f>
        <v>109.41999999999825</v>
      </c>
      <c r="V95" s="1">
        <f t="shared" si="24"/>
        <v>12</v>
      </c>
      <c r="W95" s="1">
        <f t="shared" si="25"/>
        <v>11.811851336763413</v>
      </c>
      <c r="X95" s="1">
        <v>903.69920000000002</v>
      </c>
      <c r="Y95" s="1">
        <v>397.85039999999998</v>
      </c>
      <c r="Z95" s="1">
        <v>698.25620000000004</v>
      </c>
      <c r="AA95" s="1">
        <v>848.86939999999993</v>
      </c>
      <c r="AB95" s="1">
        <v>803.57920000000001</v>
      </c>
      <c r="AC95" s="1">
        <v>649.25559999999996</v>
      </c>
      <c r="AD95" s="1">
        <v>717.88199999999995</v>
      </c>
      <c r="AE95" s="1">
        <v>624.51419999999996</v>
      </c>
      <c r="AF95" s="1"/>
      <c r="AG95" s="1">
        <f t="shared" si="29"/>
        <v>109.41999999999825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x14ac:dyDescent="0.25">
      <c r="A96" s="1" t="s">
        <v>144</v>
      </c>
      <c r="B96" s="1" t="s">
        <v>36</v>
      </c>
      <c r="C96" s="1">
        <v>54.01</v>
      </c>
      <c r="D96" s="1">
        <v>4.1219999999999999</v>
      </c>
      <c r="E96" s="1">
        <v>22.381</v>
      </c>
      <c r="F96" s="1">
        <v>29.616</v>
      </c>
      <c r="G96" s="7">
        <v>1</v>
      </c>
      <c r="H96" s="1">
        <v>55</v>
      </c>
      <c r="I96" s="1" t="s">
        <v>37</v>
      </c>
      <c r="J96" s="1"/>
      <c r="K96" s="1">
        <v>26.72</v>
      </c>
      <c r="L96" s="1">
        <f t="shared" si="21"/>
        <v>-4.3389999999999986</v>
      </c>
      <c r="M96" s="1">
        <f t="shared" si="22"/>
        <v>22.381</v>
      </c>
      <c r="N96" s="1"/>
      <c r="O96" s="1">
        <v>15.95160000000001</v>
      </c>
      <c r="P96" s="1"/>
      <c r="Q96" s="1"/>
      <c r="R96" s="1">
        <v>0</v>
      </c>
      <c r="S96" s="1"/>
      <c r="T96" s="1">
        <f t="shared" si="23"/>
        <v>4.4762000000000004</v>
      </c>
      <c r="U96" s="5">
        <f t="shared" si="30"/>
        <v>8.1467999999999989</v>
      </c>
      <c r="V96" s="1">
        <f t="shared" si="24"/>
        <v>12.000000000000002</v>
      </c>
      <c r="W96" s="1">
        <f t="shared" si="25"/>
        <v>10.179974085161524</v>
      </c>
      <c r="X96" s="1">
        <v>4.0706000000000007</v>
      </c>
      <c r="Y96" s="1">
        <v>5.3708</v>
      </c>
      <c r="Z96" s="1">
        <v>5.3708</v>
      </c>
      <c r="AA96" s="1">
        <v>3.2181999999999999</v>
      </c>
      <c r="AB96" s="1">
        <v>2.9496000000000002</v>
      </c>
      <c r="AC96" s="1">
        <v>2.4131999999999998</v>
      </c>
      <c r="AD96" s="1">
        <v>4.8087999999999997</v>
      </c>
      <c r="AE96" s="1">
        <v>2.9365999999999999</v>
      </c>
      <c r="AF96" s="1"/>
      <c r="AG96" s="1">
        <f t="shared" si="29"/>
        <v>8.1467999999999989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x14ac:dyDescent="0.25">
      <c r="A97" s="9" t="s">
        <v>145</v>
      </c>
      <c r="B97" s="9" t="s">
        <v>36</v>
      </c>
      <c r="C97" s="9">
        <v>-1.36</v>
      </c>
      <c r="D97" s="9"/>
      <c r="E97" s="9"/>
      <c r="F97" s="9">
        <v>-1.36</v>
      </c>
      <c r="G97" s="10">
        <v>0</v>
      </c>
      <c r="H97" s="9"/>
      <c r="I97" s="9" t="s">
        <v>53</v>
      </c>
      <c r="J97" s="9"/>
      <c r="K97" s="9"/>
      <c r="L97" s="9">
        <f t="shared" si="21"/>
        <v>0</v>
      </c>
      <c r="M97" s="9">
        <f t="shared" si="22"/>
        <v>0</v>
      </c>
      <c r="N97" s="9"/>
      <c r="O97" s="9">
        <v>0</v>
      </c>
      <c r="P97" s="9"/>
      <c r="Q97" s="9"/>
      <c r="R97" s="9">
        <v>0</v>
      </c>
      <c r="S97" s="9"/>
      <c r="T97" s="9">
        <f t="shared" si="23"/>
        <v>0</v>
      </c>
      <c r="U97" s="11"/>
      <c r="V97" s="9" t="e">
        <f t="shared" si="24"/>
        <v>#DIV/0!</v>
      </c>
      <c r="W97" s="9" t="e">
        <f t="shared" si="25"/>
        <v>#DIV/0!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/>
      <c r="AG97" s="9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x14ac:dyDescent="0.25">
      <c r="A98" s="9" t="s">
        <v>146</v>
      </c>
      <c r="B98" s="9" t="s">
        <v>36</v>
      </c>
      <c r="C98" s="9">
        <v>-2.5960000000000001</v>
      </c>
      <c r="D98" s="9"/>
      <c r="E98" s="9">
        <v>-2.3610000000000002</v>
      </c>
      <c r="F98" s="9">
        <v>-2.5960000000000001</v>
      </c>
      <c r="G98" s="10">
        <v>0</v>
      </c>
      <c r="H98" s="9"/>
      <c r="I98" s="9" t="s">
        <v>53</v>
      </c>
      <c r="J98" s="9"/>
      <c r="K98" s="9"/>
      <c r="L98" s="9">
        <f t="shared" si="21"/>
        <v>-2.3610000000000002</v>
      </c>
      <c r="M98" s="9">
        <f t="shared" si="22"/>
        <v>-2.3610000000000002</v>
      </c>
      <c r="N98" s="9"/>
      <c r="O98" s="9">
        <v>0</v>
      </c>
      <c r="P98" s="9"/>
      <c r="Q98" s="9"/>
      <c r="R98" s="9">
        <v>0</v>
      </c>
      <c r="S98" s="9"/>
      <c r="T98" s="9">
        <f t="shared" si="23"/>
        <v>-0.47220000000000006</v>
      </c>
      <c r="U98" s="11"/>
      <c r="V98" s="9">
        <f t="shared" si="24"/>
        <v>5.4976704786107575</v>
      </c>
      <c r="W98" s="9">
        <f t="shared" si="25"/>
        <v>5.4976704786107575</v>
      </c>
      <c r="X98" s="9">
        <v>-0.20319999999999999</v>
      </c>
      <c r="Y98" s="9">
        <v>0</v>
      </c>
      <c r="Z98" s="9">
        <v>0</v>
      </c>
      <c r="AA98" s="9">
        <v>0.5484</v>
      </c>
      <c r="AB98" s="9">
        <v>3.7995999999999999</v>
      </c>
      <c r="AC98" s="9">
        <v>5.4039999999999999</v>
      </c>
      <c r="AD98" s="9">
        <v>5.3784000000000001</v>
      </c>
      <c r="AE98" s="9">
        <v>6.8639999999999999</v>
      </c>
      <c r="AF98" s="9"/>
      <c r="AG98" s="9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x14ac:dyDescent="0.25">
      <c r="A99" s="1" t="s">
        <v>147</v>
      </c>
      <c r="B99" s="1" t="s">
        <v>41</v>
      </c>
      <c r="C99" s="1">
        <v>-3</v>
      </c>
      <c r="D99" s="1"/>
      <c r="E99" s="1">
        <v>-2</v>
      </c>
      <c r="F99" s="1">
        <v>-3</v>
      </c>
      <c r="G99" s="7">
        <v>0.3</v>
      </c>
      <c r="H99" s="1">
        <v>40</v>
      </c>
      <c r="I99" s="14" t="s">
        <v>50</v>
      </c>
      <c r="J99" s="1"/>
      <c r="K99" s="1">
        <v>21</v>
      </c>
      <c r="L99" s="1">
        <f t="shared" si="21"/>
        <v>-23</v>
      </c>
      <c r="M99" s="1">
        <f t="shared" si="22"/>
        <v>-2</v>
      </c>
      <c r="N99" s="1"/>
      <c r="O99" s="1">
        <v>50</v>
      </c>
      <c r="P99" s="1">
        <v>-53.333333333333343</v>
      </c>
      <c r="Q99" s="1"/>
      <c r="R99" s="1">
        <v>50</v>
      </c>
      <c r="S99" s="1"/>
      <c r="T99" s="1">
        <f t="shared" si="23"/>
        <v>-0.4</v>
      </c>
      <c r="U99" s="5">
        <v>40</v>
      </c>
      <c r="V99" s="1">
        <f t="shared" si="24"/>
        <v>-209.16666666666663</v>
      </c>
      <c r="W99" s="1">
        <f t="shared" si="25"/>
        <v>-109.16666666666664</v>
      </c>
      <c r="X99" s="1">
        <v>-0.8</v>
      </c>
      <c r="Y99" s="1">
        <v>0</v>
      </c>
      <c r="Z99" s="1">
        <v>0</v>
      </c>
      <c r="AA99" s="1">
        <v>8.4</v>
      </c>
      <c r="AB99" s="1">
        <v>9.6</v>
      </c>
      <c r="AC99" s="1">
        <v>9.1999999999999993</v>
      </c>
      <c r="AD99" s="1">
        <v>15.2</v>
      </c>
      <c r="AE99" s="1">
        <v>23.8</v>
      </c>
      <c r="AF99" s="1"/>
      <c r="AG99" s="1">
        <f>G99*U99</f>
        <v>12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x14ac:dyDescent="0.25">
      <c r="A100" s="1" t="s">
        <v>148</v>
      </c>
      <c r="B100" s="1" t="s">
        <v>41</v>
      </c>
      <c r="C100" s="1">
        <v>171</v>
      </c>
      <c r="D100" s="1">
        <v>4</v>
      </c>
      <c r="E100" s="1">
        <v>34</v>
      </c>
      <c r="F100" s="1">
        <v>135</v>
      </c>
      <c r="G100" s="7">
        <v>0.3</v>
      </c>
      <c r="H100" s="1">
        <v>40</v>
      </c>
      <c r="I100" s="1" t="s">
        <v>37</v>
      </c>
      <c r="J100" s="1"/>
      <c r="K100" s="1">
        <v>44</v>
      </c>
      <c r="L100" s="1">
        <f t="shared" si="21"/>
        <v>-10</v>
      </c>
      <c r="M100" s="1">
        <f t="shared" si="22"/>
        <v>34</v>
      </c>
      <c r="N100" s="1"/>
      <c r="O100" s="1">
        <v>0</v>
      </c>
      <c r="P100" s="1"/>
      <c r="Q100" s="1"/>
      <c r="R100" s="1">
        <v>0</v>
      </c>
      <c r="S100" s="1"/>
      <c r="T100" s="1">
        <f t="shared" si="23"/>
        <v>6.8</v>
      </c>
      <c r="U100" s="5"/>
      <c r="V100" s="1">
        <f t="shared" si="24"/>
        <v>19.852941176470587</v>
      </c>
      <c r="W100" s="1">
        <f t="shared" si="25"/>
        <v>19.852941176470587</v>
      </c>
      <c r="X100" s="1">
        <v>8.1999999999999993</v>
      </c>
      <c r="Y100" s="1">
        <v>7.8</v>
      </c>
      <c r="Z100" s="1">
        <v>7.8</v>
      </c>
      <c r="AA100" s="1">
        <v>17.2</v>
      </c>
      <c r="AB100" s="1">
        <v>16.2</v>
      </c>
      <c r="AC100" s="1">
        <v>4</v>
      </c>
      <c r="AD100" s="1">
        <v>9.6</v>
      </c>
      <c r="AE100" s="1">
        <v>11</v>
      </c>
      <c r="AF100" s="12" t="s">
        <v>72</v>
      </c>
      <c r="AG100" s="1">
        <f>G100*U100</f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x14ac:dyDescent="0.25">
      <c r="A101" s="1" t="s">
        <v>149</v>
      </c>
      <c r="B101" s="1" t="s">
        <v>41</v>
      </c>
      <c r="C101" s="1">
        <v>339</v>
      </c>
      <c r="D101" s="1">
        <v>26</v>
      </c>
      <c r="E101" s="1">
        <v>229</v>
      </c>
      <c r="F101" s="1">
        <v>80</v>
      </c>
      <c r="G101" s="7">
        <v>7.0000000000000007E-2</v>
      </c>
      <c r="H101" s="1">
        <v>90</v>
      </c>
      <c r="I101" s="14" t="s">
        <v>50</v>
      </c>
      <c r="J101" s="1"/>
      <c r="K101" s="1">
        <v>248</v>
      </c>
      <c r="L101" s="1">
        <f t="shared" si="21"/>
        <v>-19</v>
      </c>
      <c r="M101" s="1">
        <f t="shared" si="22"/>
        <v>229</v>
      </c>
      <c r="N101" s="1"/>
      <c r="O101" s="1">
        <v>400</v>
      </c>
      <c r="P101" s="1">
        <v>-414.28571428571422</v>
      </c>
      <c r="Q101" s="1"/>
      <c r="R101" s="1">
        <v>0</v>
      </c>
      <c r="S101" s="1"/>
      <c r="T101" s="1">
        <f t="shared" si="23"/>
        <v>45.8</v>
      </c>
      <c r="U101" s="5">
        <v>100</v>
      </c>
      <c r="V101" s="1">
        <f t="shared" si="24"/>
        <v>3.6182158452900826</v>
      </c>
      <c r="W101" s="1">
        <f t="shared" si="25"/>
        <v>1.4348097317529647</v>
      </c>
      <c r="X101" s="1">
        <v>47.2</v>
      </c>
      <c r="Y101" s="1">
        <v>25.4</v>
      </c>
      <c r="Z101" s="1">
        <v>25.4</v>
      </c>
      <c r="AA101" s="1">
        <v>27.8</v>
      </c>
      <c r="AB101" s="1">
        <v>21.6</v>
      </c>
      <c r="AC101" s="1">
        <v>29</v>
      </c>
      <c r="AD101" s="1">
        <v>32.4</v>
      </c>
      <c r="AE101" s="1">
        <v>33.4</v>
      </c>
      <c r="AF101" s="1" t="s">
        <v>150</v>
      </c>
      <c r="AG101" s="1">
        <f>G101*U101</f>
        <v>7.0000000000000009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x14ac:dyDescent="0.25">
      <c r="A102" s="1" t="s">
        <v>151</v>
      </c>
      <c r="B102" s="1" t="s">
        <v>41</v>
      </c>
      <c r="C102" s="1">
        <v>259</v>
      </c>
      <c r="D102" s="1">
        <v>22</v>
      </c>
      <c r="E102" s="1">
        <v>259</v>
      </c>
      <c r="F102" s="1">
        <v>-24</v>
      </c>
      <c r="G102" s="7">
        <v>7.0000000000000007E-2</v>
      </c>
      <c r="H102" s="1">
        <v>90</v>
      </c>
      <c r="I102" s="14" t="s">
        <v>50</v>
      </c>
      <c r="J102" s="1"/>
      <c r="K102" s="1">
        <v>293</v>
      </c>
      <c r="L102" s="1">
        <f t="shared" ref="L102:L133" si="31">E102-K102</f>
        <v>-34</v>
      </c>
      <c r="M102" s="1">
        <f t="shared" ref="M102:M133" si="32">E102-N102</f>
        <v>259</v>
      </c>
      <c r="N102" s="1"/>
      <c r="O102" s="1">
        <v>583.20000000000005</v>
      </c>
      <c r="P102" s="1">
        <v>-599.99999999999989</v>
      </c>
      <c r="Q102" s="1"/>
      <c r="R102" s="1">
        <v>0</v>
      </c>
      <c r="S102" s="1"/>
      <c r="T102" s="1">
        <f t="shared" ref="T102:T138" si="33">M102/5</f>
        <v>51.8</v>
      </c>
      <c r="U102" s="5">
        <v>100</v>
      </c>
      <c r="V102" s="1">
        <f t="shared" ref="V102:V133" si="34">(F102+O102+P102+Q102+R102+S102+U102)/T102</f>
        <v>1.1428571428571459</v>
      </c>
      <c r="W102" s="1">
        <f t="shared" ref="W102:W138" si="35">(F102+O102+P102+Q102+R102+S102)/T102</f>
        <v>-0.78764478764478463</v>
      </c>
      <c r="X102" s="1">
        <v>48</v>
      </c>
      <c r="Y102" s="1">
        <v>27.6</v>
      </c>
      <c r="Z102" s="1">
        <v>27.6</v>
      </c>
      <c r="AA102" s="1">
        <v>32.200000000000003</v>
      </c>
      <c r="AB102" s="1">
        <v>28.8</v>
      </c>
      <c r="AC102" s="1">
        <v>31.6</v>
      </c>
      <c r="AD102" s="1">
        <v>28.2</v>
      </c>
      <c r="AE102" s="1">
        <v>29.6</v>
      </c>
      <c r="AF102" s="1" t="s">
        <v>152</v>
      </c>
      <c r="AG102" s="1">
        <f>G102*U102</f>
        <v>7.0000000000000009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x14ac:dyDescent="0.25">
      <c r="A103" s="1" t="s">
        <v>153</v>
      </c>
      <c r="B103" s="1" t="s">
        <v>41</v>
      </c>
      <c r="C103" s="1">
        <v>311</v>
      </c>
      <c r="D103" s="1">
        <v>17</v>
      </c>
      <c r="E103" s="1">
        <v>210</v>
      </c>
      <c r="F103" s="1">
        <v>72</v>
      </c>
      <c r="G103" s="7">
        <v>7.0000000000000007E-2</v>
      </c>
      <c r="H103" s="1">
        <v>90</v>
      </c>
      <c r="I103" s="14" t="s">
        <v>50</v>
      </c>
      <c r="J103" s="1"/>
      <c r="K103" s="1">
        <v>220</v>
      </c>
      <c r="L103" s="1">
        <f t="shared" si="31"/>
        <v>-10</v>
      </c>
      <c r="M103" s="1">
        <f t="shared" si="32"/>
        <v>210</v>
      </c>
      <c r="N103" s="1"/>
      <c r="O103" s="1">
        <v>400</v>
      </c>
      <c r="P103" s="1">
        <v>-414.28571428571422</v>
      </c>
      <c r="Q103" s="1"/>
      <c r="R103" s="1">
        <v>0</v>
      </c>
      <c r="S103" s="1"/>
      <c r="T103" s="1">
        <f t="shared" si="33"/>
        <v>42</v>
      </c>
      <c r="U103" s="5">
        <v>50</v>
      </c>
      <c r="V103" s="1">
        <f t="shared" si="34"/>
        <v>2.5646258503401378</v>
      </c>
      <c r="W103" s="1">
        <f t="shared" si="35"/>
        <v>1.3741496598639471</v>
      </c>
      <c r="X103" s="1">
        <v>40.799999999999997</v>
      </c>
      <c r="Y103" s="1">
        <v>18.600000000000001</v>
      </c>
      <c r="Z103" s="1">
        <v>18.600000000000001</v>
      </c>
      <c r="AA103" s="1">
        <v>23.4</v>
      </c>
      <c r="AB103" s="1">
        <v>18.399999999999999</v>
      </c>
      <c r="AC103" s="1">
        <v>22.2</v>
      </c>
      <c r="AD103" s="1">
        <v>23.2</v>
      </c>
      <c r="AE103" s="1">
        <v>24.6</v>
      </c>
      <c r="AF103" s="1" t="s">
        <v>150</v>
      </c>
      <c r="AG103" s="1">
        <f>G103*U103</f>
        <v>3.5000000000000004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x14ac:dyDescent="0.25">
      <c r="A104" s="9" t="s">
        <v>154</v>
      </c>
      <c r="B104" s="9" t="s">
        <v>41</v>
      </c>
      <c r="C104" s="9">
        <v>-11</v>
      </c>
      <c r="D104" s="9">
        <v>25</v>
      </c>
      <c r="E104" s="9">
        <v>-1</v>
      </c>
      <c r="F104" s="9">
        <v>4</v>
      </c>
      <c r="G104" s="10">
        <v>0</v>
      </c>
      <c r="H104" s="9">
        <v>90</v>
      </c>
      <c r="I104" s="9" t="s">
        <v>53</v>
      </c>
      <c r="J104" s="9"/>
      <c r="K104" s="9">
        <v>127</v>
      </c>
      <c r="L104" s="9">
        <f t="shared" si="31"/>
        <v>-128</v>
      </c>
      <c r="M104" s="9">
        <f t="shared" si="32"/>
        <v>-1</v>
      </c>
      <c r="N104" s="9"/>
      <c r="O104" s="9">
        <v>0</v>
      </c>
      <c r="P104" s="9"/>
      <c r="Q104" s="9"/>
      <c r="R104" s="9">
        <v>0</v>
      </c>
      <c r="S104" s="9"/>
      <c r="T104" s="9">
        <f t="shared" si="33"/>
        <v>-0.2</v>
      </c>
      <c r="U104" s="11"/>
      <c r="V104" s="9">
        <f t="shared" si="34"/>
        <v>-20</v>
      </c>
      <c r="W104" s="9">
        <f t="shared" si="35"/>
        <v>-20</v>
      </c>
      <c r="X104" s="9">
        <v>0</v>
      </c>
      <c r="Y104" s="9">
        <v>-0.6</v>
      </c>
      <c r="Z104" s="9">
        <v>-0.6</v>
      </c>
      <c r="AA104" s="9">
        <v>-0.2</v>
      </c>
      <c r="AB104" s="9">
        <v>-0.4</v>
      </c>
      <c r="AC104" s="9">
        <v>9.1999999999999993</v>
      </c>
      <c r="AD104" s="9">
        <v>15.4</v>
      </c>
      <c r="AE104" s="9">
        <v>13.6</v>
      </c>
      <c r="AF104" s="9"/>
      <c r="AG104" s="9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x14ac:dyDescent="0.25">
      <c r="A105" s="1" t="s">
        <v>155</v>
      </c>
      <c r="B105" s="1" t="s">
        <v>41</v>
      </c>
      <c r="C105" s="1">
        <v>13</v>
      </c>
      <c r="D105" s="1">
        <v>43</v>
      </c>
      <c r="E105" s="1">
        <v>6</v>
      </c>
      <c r="F105" s="1">
        <v>22</v>
      </c>
      <c r="G105" s="7">
        <v>0.3</v>
      </c>
      <c r="H105" s="1">
        <v>40</v>
      </c>
      <c r="I105" s="1" t="s">
        <v>37</v>
      </c>
      <c r="J105" s="1"/>
      <c r="K105" s="1">
        <v>45</v>
      </c>
      <c r="L105" s="1">
        <f t="shared" si="31"/>
        <v>-39</v>
      </c>
      <c r="M105" s="1">
        <f t="shared" si="32"/>
        <v>6</v>
      </c>
      <c r="N105" s="1"/>
      <c r="O105" s="1">
        <v>11.599999999999991</v>
      </c>
      <c r="P105" s="1"/>
      <c r="Q105" s="1"/>
      <c r="R105" s="1">
        <v>6</v>
      </c>
      <c r="S105" s="1"/>
      <c r="T105" s="1">
        <f t="shared" si="33"/>
        <v>1.2</v>
      </c>
      <c r="U105" s="5"/>
      <c r="V105" s="1">
        <f t="shared" si="34"/>
        <v>33</v>
      </c>
      <c r="W105" s="1">
        <f t="shared" si="35"/>
        <v>33</v>
      </c>
      <c r="X105" s="1">
        <v>3.4</v>
      </c>
      <c r="Y105" s="1">
        <v>3.8</v>
      </c>
      <c r="Z105" s="1">
        <v>3.8</v>
      </c>
      <c r="AA105" s="1">
        <v>0.6</v>
      </c>
      <c r="AB105" s="1">
        <v>-0.4</v>
      </c>
      <c r="AC105" s="1">
        <v>0.6</v>
      </c>
      <c r="AD105" s="1">
        <v>4.4000000000000004</v>
      </c>
      <c r="AE105" s="1">
        <v>4.8</v>
      </c>
      <c r="AF105" s="1"/>
      <c r="AG105" s="1">
        <f>G105*U105</f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x14ac:dyDescent="0.25">
      <c r="A106" s="1" t="s">
        <v>156</v>
      </c>
      <c r="B106" s="1" t="s">
        <v>36</v>
      </c>
      <c r="C106" s="1">
        <v>21.556999999999999</v>
      </c>
      <c r="D106" s="1"/>
      <c r="E106" s="1">
        <v>17.523</v>
      </c>
      <c r="F106" s="1">
        <v>-0.76600000000000001</v>
      </c>
      <c r="G106" s="7">
        <v>1</v>
      </c>
      <c r="H106" s="1">
        <v>55</v>
      </c>
      <c r="I106" s="14" t="s">
        <v>50</v>
      </c>
      <c r="J106" s="1"/>
      <c r="K106" s="1">
        <v>14.5</v>
      </c>
      <c r="L106" s="1">
        <f t="shared" si="31"/>
        <v>3.0229999999999997</v>
      </c>
      <c r="M106" s="1">
        <f t="shared" si="32"/>
        <v>17.523</v>
      </c>
      <c r="N106" s="1"/>
      <c r="O106" s="1">
        <v>12.287599999999999</v>
      </c>
      <c r="P106" s="1">
        <v>-12</v>
      </c>
      <c r="Q106" s="1"/>
      <c r="R106" s="1">
        <v>0</v>
      </c>
      <c r="S106" s="1"/>
      <c r="T106" s="1">
        <f t="shared" si="33"/>
        <v>3.5045999999999999</v>
      </c>
      <c r="U106" s="5">
        <v>20</v>
      </c>
      <c r="V106" s="1">
        <f t="shared" si="34"/>
        <v>5.5702790618044853</v>
      </c>
      <c r="W106" s="1">
        <f t="shared" si="35"/>
        <v>-0.13650630599783159</v>
      </c>
      <c r="X106" s="1">
        <v>1.7738</v>
      </c>
      <c r="Y106" s="1">
        <v>2.5558000000000001</v>
      </c>
      <c r="Z106" s="1">
        <v>2.5558000000000001</v>
      </c>
      <c r="AA106" s="1">
        <v>1.869</v>
      </c>
      <c r="AB106" s="1">
        <v>0.8869999999999999</v>
      </c>
      <c r="AC106" s="1">
        <v>2.1185999999999998</v>
      </c>
      <c r="AD106" s="1">
        <v>2.1888000000000001</v>
      </c>
      <c r="AE106" s="1">
        <v>1.9019999999999999</v>
      </c>
      <c r="AF106" s="1"/>
      <c r="AG106" s="1">
        <f>G106*U106</f>
        <v>20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x14ac:dyDescent="0.25">
      <c r="A107" s="1" t="s">
        <v>157</v>
      </c>
      <c r="B107" s="1" t="s">
        <v>41</v>
      </c>
      <c r="C107" s="1">
        <v>122</v>
      </c>
      <c r="D107" s="1">
        <v>88</v>
      </c>
      <c r="E107" s="1">
        <v>58</v>
      </c>
      <c r="F107" s="1">
        <v>90</v>
      </c>
      <c r="G107" s="7">
        <v>0.11</v>
      </c>
      <c r="H107" s="1">
        <v>30</v>
      </c>
      <c r="I107" s="13" t="s">
        <v>44</v>
      </c>
      <c r="J107" s="1"/>
      <c r="K107" s="1">
        <v>181</v>
      </c>
      <c r="L107" s="1">
        <f t="shared" si="31"/>
        <v>-123</v>
      </c>
      <c r="M107" s="1">
        <f t="shared" si="32"/>
        <v>58</v>
      </c>
      <c r="N107" s="1"/>
      <c r="O107" s="1">
        <v>577.6</v>
      </c>
      <c r="P107" s="1"/>
      <c r="Q107" s="1"/>
      <c r="R107" s="1">
        <v>0</v>
      </c>
      <c r="S107" s="1"/>
      <c r="T107" s="1">
        <f t="shared" si="33"/>
        <v>11.6</v>
      </c>
      <c r="U107" s="5"/>
      <c r="V107" s="1">
        <f t="shared" si="34"/>
        <v>57.551724137931039</v>
      </c>
      <c r="W107" s="1">
        <f t="shared" si="35"/>
        <v>57.551724137931039</v>
      </c>
      <c r="X107" s="1">
        <v>20.399999999999999</v>
      </c>
      <c r="Y107" s="1">
        <v>18.600000000000001</v>
      </c>
      <c r="Z107" s="1">
        <v>20.6</v>
      </c>
      <c r="AA107" s="1">
        <v>12</v>
      </c>
      <c r="AB107" s="1">
        <v>0</v>
      </c>
      <c r="AC107" s="1">
        <v>0</v>
      </c>
      <c r="AD107" s="1">
        <v>0</v>
      </c>
      <c r="AE107" s="1">
        <v>0</v>
      </c>
      <c r="AF107" s="1" t="s">
        <v>152</v>
      </c>
      <c r="AG107" s="1">
        <f>G107*U107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x14ac:dyDescent="0.25">
      <c r="A108" s="9" t="s">
        <v>158</v>
      </c>
      <c r="B108" s="9" t="s">
        <v>41</v>
      </c>
      <c r="C108" s="9"/>
      <c r="D108" s="9"/>
      <c r="E108" s="9"/>
      <c r="F108" s="9"/>
      <c r="G108" s="10">
        <v>0</v>
      </c>
      <c r="H108" s="9"/>
      <c r="I108" s="9" t="s">
        <v>37</v>
      </c>
      <c r="J108" s="9"/>
      <c r="K108" s="9"/>
      <c r="L108" s="9">
        <f t="shared" si="31"/>
        <v>0</v>
      </c>
      <c r="M108" s="9">
        <f t="shared" si="32"/>
        <v>0</v>
      </c>
      <c r="N108" s="9"/>
      <c r="O108" s="9">
        <v>0</v>
      </c>
      <c r="P108" s="9"/>
      <c r="Q108" s="9"/>
      <c r="R108" s="9">
        <v>0</v>
      </c>
      <c r="S108" s="9"/>
      <c r="T108" s="9">
        <f t="shared" si="33"/>
        <v>0</v>
      </c>
      <c r="U108" s="11"/>
      <c r="V108" s="9" t="e">
        <f t="shared" si="34"/>
        <v>#DIV/0!</v>
      </c>
      <c r="W108" s="9" t="e">
        <f t="shared" si="35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 t="s">
        <v>61</v>
      </c>
      <c r="AG108" s="9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x14ac:dyDescent="0.25">
      <c r="A109" s="1" t="s">
        <v>159</v>
      </c>
      <c r="B109" s="1" t="s">
        <v>41</v>
      </c>
      <c r="C109" s="1">
        <v>588</v>
      </c>
      <c r="D109" s="1">
        <v>72</v>
      </c>
      <c r="E109" s="1">
        <v>276</v>
      </c>
      <c r="F109" s="1">
        <v>260</v>
      </c>
      <c r="G109" s="7">
        <v>0.08</v>
      </c>
      <c r="H109" s="1">
        <v>45</v>
      </c>
      <c r="I109" s="13" t="s">
        <v>44</v>
      </c>
      <c r="J109" s="1"/>
      <c r="K109" s="1">
        <v>324</v>
      </c>
      <c r="L109" s="1">
        <f t="shared" si="31"/>
        <v>-48</v>
      </c>
      <c r="M109" s="1">
        <f t="shared" si="32"/>
        <v>276</v>
      </c>
      <c r="N109" s="1"/>
      <c r="O109" s="1">
        <v>300</v>
      </c>
      <c r="P109" s="1"/>
      <c r="Q109" s="1"/>
      <c r="R109" s="1">
        <v>0</v>
      </c>
      <c r="S109" s="1"/>
      <c r="T109" s="1">
        <f t="shared" si="33"/>
        <v>55.2</v>
      </c>
      <c r="U109" s="5">
        <f t="shared" ref="U109:U120" si="36">12*T109-S109-R109-Q109-P109-O109-F109</f>
        <v>102.40000000000009</v>
      </c>
      <c r="V109" s="1">
        <f t="shared" si="34"/>
        <v>12.000000000000002</v>
      </c>
      <c r="W109" s="1">
        <f t="shared" si="35"/>
        <v>10.144927536231883</v>
      </c>
      <c r="X109" s="1">
        <v>52</v>
      </c>
      <c r="Y109" s="1">
        <v>41</v>
      </c>
      <c r="Z109" s="1">
        <v>41</v>
      </c>
      <c r="AA109" s="1">
        <v>42.2</v>
      </c>
      <c r="AB109" s="1">
        <v>49.2</v>
      </c>
      <c r="AC109" s="1">
        <v>54.2</v>
      </c>
      <c r="AD109" s="1">
        <v>46.4</v>
      </c>
      <c r="AE109" s="1">
        <v>59</v>
      </c>
      <c r="AF109" s="1" t="s">
        <v>160</v>
      </c>
      <c r="AG109" s="1">
        <f t="shared" ref="AG109:AG120" si="37">G109*U109</f>
        <v>8.1920000000000073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x14ac:dyDescent="0.25">
      <c r="A110" s="1" t="s">
        <v>161</v>
      </c>
      <c r="B110" s="1" t="s">
        <v>41</v>
      </c>
      <c r="C110" s="1">
        <v>201</v>
      </c>
      <c r="D110" s="1">
        <v>202</v>
      </c>
      <c r="E110" s="1">
        <v>210</v>
      </c>
      <c r="F110" s="1">
        <v>62</v>
      </c>
      <c r="G110" s="7">
        <v>0.08</v>
      </c>
      <c r="H110" s="1">
        <v>45</v>
      </c>
      <c r="I110" s="13" t="s">
        <v>44</v>
      </c>
      <c r="J110" s="1"/>
      <c r="K110" s="1">
        <v>262</v>
      </c>
      <c r="L110" s="1">
        <f t="shared" si="31"/>
        <v>-52</v>
      </c>
      <c r="M110" s="1">
        <f t="shared" si="32"/>
        <v>210</v>
      </c>
      <c r="N110" s="1"/>
      <c r="O110" s="1">
        <v>802.6</v>
      </c>
      <c r="P110" s="1"/>
      <c r="Q110" s="1"/>
      <c r="R110" s="1">
        <v>0</v>
      </c>
      <c r="S110" s="1"/>
      <c r="T110" s="1">
        <f t="shared" si="33"/>
        <v>42</v>
      </c>
      <c r="U110" s="5"/>
      <c r="V110" s="1">
        <f t="shared" si="34"/>
        <v>20.585714285714285</v>
      </c>
      <c r="W110" s="1">
        <f t="shared" si="35"/>
        <v>20.585714285714285</v>
      </c>
      <c r="X110" s="1">
        <v>44.6</v>
      </c>
      <c r="Y110" s="1">
        <v>41.6</v>
      </c>
      <c r="Z110" s="1">
        <v>41.6</v>
      </c>
      <c r="AA110" s="1">
        <v>22.6</v>
      </c>
      <c r="AB110" s="1">
        <v>9.6</v>
      </c>
      <c r="AC110" s="1">
        <v>4.4000000000000004</v>
      </c>
      <c r="AD110" s="1">
        <v>25.8</v>
      </c>
      <c r="AE110" s="1">
        <v>24.4</v>
      </c>
      <c r="AF110" s="1" t="s">
        <v>162</v>
      </c>
      <c r="AG110" s="1">
        <f t="shared" si="37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x14ac:dyDescent="0.25">
      <c r="A111" s="1" t="s">
        <v>163</v>
      </c>
      <c r="B111" s="1" t="s">
        <v>41</v>
      </c>
      <c r="C111" s="1">
        <v>166</v>
      </c>
      <c r="D111" s="1">
        <v>45</v>
      </c>
      <c r="E111" s="1">
        <v>96</v>
      </c>
      <c r="F111" s="1">
        <v>44</v>
      </c>
      <c r="G111" s="7">
        <v>0.17</v>
      </c>
      <c r="H111" s="1">
        <v>30</v>
      </c>
      <c r="I111" s="13" t="s">
        <v>44</v>
      </c>
      <c r="J111" s="1"/>
      <c r="K111" s="1">
        <v>175</v>
      </c>
      <c r="L111" s="1">
        <f t="shared" si="31"/>
        <v>-79</v>
      </c>
      <c r="M111" s="1">
        <f t="shared" si="32"/>
        <v>96</v>
      </c>
      <c r="N111" s="1"/>
      <c r="O111" s="1">
        <v>529.4</v>
      </c>
      <c r="P111" s="1"/>
      <c r="Q111" s="1"/>
      <c r="R111" s="1">
        <v>0</v>
      </c>
      <c r="S111" s="1"/>
      <c r="T111" s="1">
        <f t="shared" si="33"/>
        <v>19.2</v>
      </c>
      <c r="U111" s="5"/>
      <c r="V111" s="1">
        <f t="shared" si="34"/>
        <v>29.864583333333332</v>
      </c>
      <c r="W111" s="1">
        <f t="shared" si="35"/>
        <v>29.864583333333332</v>
      </c>
      <c r="X111" s="1">
        <v>25.8</v>
      </c>
      <c r="Y111" s="1">
        <v>16.2</v>
      </c>
      <c r="Z111" s="1">
        <v>16.2</v>
      </c>
      <c r="AA111" s="1">
        <v>20.6</v>
      </c>
      <c r="AB111" s="1">
        <v>16</v>
      </c>
      <c r="AC111" s="1">
        <v>14.6</v>
      </c>
      <c r="AD111" s="1">
        <v>10.8</v>
      </c>
      <c r="AE111" s="1">
        <v>15.6</v>
      </c>
      <c r="AF111" s="1" t="s">
        <v>152</v>
      </c>
      <c r="AG111" s="1">
        <f t="shared" si="37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x14ac:dyDescent="0.25">
      <c r="A112" s="1" t="s">
        <v>164</v>
      </c>
      <c r="B112" s="1" t="s">
        <v>36</v>
      </c>
      <c r="C112" s="1">
        <v>-14.106999999999999</v>
      </c>
      <c r="D112" s="1">
        <v>122.328</v>
      </c>
      <c r="E112" s="1">
        <v>113.964</v>
      </c>
      <c r="F112" s="1">
        <v>-15.88</v>
      </c>
      <c r="G112" s="7">
        <v>1</v>
      </c>
      <c r="H112" s="1">
        <v>40</v>
      </c>
      <c r="I112" s="14" t="s">
        <v>50</v>
      </c>
      <c r="J112" s="1"/>
      <c r="K112" s="1">
        <v>145.066</v>
      </c>
      <c r="L112" s="1">
        <f t="shared" si="31"/>
        <v>-31.102000000000004</v>
      </c>
      <c r="M112" s="1">
        <f t="shared" si="32"/>
        <v>113.964</v>
      </c>
      <c r="N112" s="1"/>
      <c r="O112" s="1">
        <v>180.22023999999999</v>
      </c>
      <c r="P112" s="1"/>
      <c r="Q112" s="1"/>
      <c r="R112" s="1">
        <v>120</v>
      </c>
      <c r="S112" s="1"/>
      <c r="T112" s="1">
        <f t="shared" si="33"/>
        <v>22.7928</v>
      </c>
      <c r="U112" s="5">
        <v>50</v>
      </c>
      <c r="V112" s="1">
        <f t="shared" si="34"/>
        <v>14.668677828086063</v>
      </c>
      <c r="W112" s="1">
        <f t="shared" si="35"/>
        <v>12.475002632410234</v>
      </c>
      <c r="X112" s="1">
        <v>34.8264</v>
      </c>
      <c r="Y112" s="1">
        <v>42.7742</v>
      </c>
      <c r="Z112" s="1">
        <v>42.7742</v>
      </c>
      <c r="AA112" s="1">
        <v>44.640799999999999</v>
      </c>
      <c r="AB112" s="1">
        <v>37.654600000000002</v>
      </c>
      <c r="AC112" s="1">
        <v>36.516399999999997</v>
      </c>
      <c r="AD112" s="1">
        <v>39.003799999999998</v>
      </c>
      <c r="AE112" s="1">
        <v>47.948999999999998</v>
      </c>
      <c r="AF112" s="1"/>
      <c r="AG112" s="1">
        <f t="shared" si="37"/>
        <v>50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x14ac:dyDescent="0.25">
      <c r="A113" s="1" t="s">
        <v>165</v>
      </c>
      <c r="B113" s="1" t="s">
        <v>36</v>
      </c>
      <c r="C113" s="1">
        <v>62.332000000000001</v>
      </c>
      <c r="D113" s="1">
        <v>145.571</v>
      </c>
      <c r="E113" s="1">
        <v>91.957999999999998</v>
      </c>
      <c r="F113" s="1">
        <v>53.215000000000003</v>
      </c>
      <c r="G113" s="7">
        <v>1</v>
      </c>
      <c r="H113" s="1">
        <v>40</v>
      </c>
      <c r="I113" s="14" t="s">
        <v>50</v>
      </c>
      <c r="J113" s="1"/>
      <c r="K113" s="1">
        <v>152.9</v>
      </c>
      <c r="L113" s="1">
        <f t="shared" si="31"/>
        <v>-60.942000000000007</v>
      </c>
      <c r="M113" s="1">
        <f t="shared" si="32"/>
        <v>91.957999999999998</v>
      </c>
      <c r="N113" s="1"/>
      <c r="O113" s="1">
        <v>50.815000000000019</v>
      </c>
      <c r="P113" s="1"/>
      <c r="Q113" s="1"/>
      <c r="R113" s="1">
        <v>0</v>
      </c>
      <c r="S113" s="1"/>
      <c r="T113" s="1">
        <f t="shared" si="33"/>
        <v>18.3916</v>
      </c>
      <c r="U113" s="5">
        <v>100</v>
      </c>
      <c r="V113" s="1">
        <f t="shared" si="34"/>
        <v>11.093651449574807</v>
      </c>
      <c r="W113" s="1">
        <f t="shared" si="35"/>
        <v>5.6563866112790633</v>
      </c>
      <c r="X113" s="1">
        <v>16.235600000000002</v>
      </c>
      <c r="Y113" s="1">
        <v>17.161000000000001</v>
      </c>
      <c r="Z113" s="1">
        <v>17.161000000000001</v>
      </c>
      <c r="AA113" s="1">
        <v>14.714</v>
      </c>
      <c r="AB113" s="1">
        <v>10.642200000000001</v>
      </c>
      <c r="AC113" s="1">
        <v>4.7026000000000003</v>
      </c>
      <c r="AD113" s="1">
        <v>14.215400000000001</v>
      </c>
      <c r="AE113" s="1">
        <v>21.378</v>
      </c>
      <c r="AF113" s="1"/>
      <c r="AG113" s="1">
        <f t="shared" si="37"/>
        <v>100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x14ac:dyDescent="0.25">
      <c r="A114" s="1" t="s">
        <v>166</v>
      </c>
      <c r="B114" s="1" t="s">
        <v>36</v>
      </c>
      <c r="C114" s="1">
        <v>21.577000000000002</v>
      </c>
      <c r="D114" s="1">
        <v>34.484999999999999</v>
      </c>
      <c r="E114" s="1">
        <v>31.628</v>
      </c>
      <c r="F114" s="1">
        <v>-7.9059999999999997</v>
      </c>
      <c r="G114" s="7">
        <v>1</v>
      </c>
      <c r="H114" s="1">
        <v>40</v>
      </c>
      <c r="I114" s="14" t="s">
        <v>50</v>
      </c>
      <c r="J114" s="1"/>
      <c r="K114" s="1">
        <v>89.936999999999998</v>
      </c>
      <c r="L114" s="1">
        <f t="shared" si="31"/>
        <v>-58.308999999999997</v>
      </c>
      <c r="M114" s="1">
        <f t="shared" si="32"/>
        <v>31.628</v>
      </c>
      <c r="N114" s="1"/>
      <c r="O114" s="1">
        <v>80</v>
      </c>
      <c r="P114" s="1">
        <v>-81</v>
      </c>
      <c r="Q114" s="1"/>
      <c r="R114" s="1">
        <v>120</v>
      </c>
      <c r="S114" s="1"/>
      <c r="T114" s="1">
        <f t="shared" si="33"/>
        <v>6.3255999999999997</v>
      </c>
      <c r="U114" s="5">
        <v>100</v>
      </c>
      <c r="V114" s="1">
        <f t="shared" si="34"/>
        <v>33.371379790059443</v>
      </c>
      <c r="W114" s="1">
        <f t="shared" si="35"/>
        <v>17.562602757050715</v>
      </c>
      <c r="X114" s="1">
        <v>28.129000000000001</v>
      </c>
      <c r="Y114" s="1">
        <v>43.2318</v>
      </c>
      <c r="Z114" s="1">
        <v>47.453200000000002</v>
      </c>
      <c r="AA114" s="1">
        <v>41.672199999999997</v>
      </c>
      <c r="AB114" s="1">
        <v>33.958799999999997</v>
      </c>
      <c r="AC114" s="1">
        <v>31.296800000000001</v>
      </c>
      <c r="AD114" s="1">
        <v>35.985399999999998</v>
      </c>
      <c r="AE114" s="1">
        <v>43.4876</v>
      </c>
      <c r="AF114" s="1"/>
      <c r="AG114" s="1">
        <f t="shared" si="37"/>
        <v>100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x14ac:dyDescent="0.25">
      <c r="A115" s="1" t="s">
        <v>167</v>
      </c>
      <c r="B115" s="1" t="s">
        <v>41</v>
      </c>
      <c r="C115" s="1">
        <v>11</v>
      </c>
      <c r="D115" s="1"/>
      <c r="E115" s="1">
        <v>6</v>
      </c>
      <c r="F115" s="1">
        <v>5</v>
      </c>
      <c r="G115" s="7">
        <v>0.3</v>
      </c>
      <c r="H115" s="1">
        <v>45</v>
      </c>
      <c r="I115" s="1" t="s">
        <v>37</v>
      </c>
      <c r="J115" s="1"/>
      <c r="K115" s="1">
        <v>84</v>
      </c>
      <c r="L115" s="1">
        <f t="shared" si="31"/>
        <v>-78</v>
      </c>
      <c r="M115" s="1">
        <f t="shared" si="32"/>
        <v>6</v>
      </c>
      <c r="N115" s="1"/>
      <c r="O115" s="1">
        <v>13</v>
      </c>
      <c r="P115" s="1"/>
      <c r="Q115" s="1"/>
      <c r="R115" s="1">
        <v>48.2</v>
      </c>
      <c r="S115" s="1"/>
      <c r="T115" s="1">
        <f t="shared" si="33"/>
        <v>1.2</v>
      </c>
      <c r="U115" s="5"/>
      <c r="V115" s="1">
        <f t="shared" si="34"/>
        <v>55.166666666666671</v>
      </c>
      <c r="W115" s="1">
        <f t="shared" si="35"/>
        <v>55.166666666666671</v>
      </c>
      <c r="X115" s="1">
        <v>8.4</v>
      </c>
      <c r="Y115" s="1">
        <v>2</v>
      </c>
      <c r="Z115" s="1">
        <v>2</v>
      </c>
      <c r="AA115" s="1">
        <v>3.2</v>
      </c>
      <c r="AB115" s="1">
        <v>4</v>
      </c>
      <c r="AC115" s="1">
        <v>3.8</v>
      </c>
      <c r="AD115" s="1">
        <v>7.4</v>
      </c>
      <c r="AE115" s="1">
        <v>15.4</v>
      </c>
      <c r="AF115" s="1"/>
      <c r="AG115" s="1">
        <f t="shared" si="37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x14ac:dyDescent="0.25">
      <c r="A116" s="1" t="s">
        <v>168</v>
      </c>
      <c r="B116" s="1" t="s">
        <v>36</v>
      </c>
      <c r="C116" s="1">
        <v>19.491</v>
      </c>
      <c r="D116" s="1">
        <v>2.7040000000000002</v>
      </c>
      <c r="E116" s="1">
        <v>1.3839999999999999</v>
      </c>
      <c r="F116" s="1">
        <v>16.677</v>
      </c>
      <c r="G116" s="7">
        <v>1</v>
      </c>
      <c r="H116" s="1">
        <v>55</v>
      </c>
      <c r="I116" s="1" t="s">
        <v>37</v>
      </c>
      <c r="J116" s="1"/>
      <c r="K116" s="1">
        <v>5.2</v>
      </c>
      <c r="L116" s="1">
        <f t="shared" si="31"/>
        <v>-3.8160000000000003</v>
      </c>
      <c r="M116" s="1">
        <f t="shared" si="32"/>
        <v>1.3839999999999999</v>
      </c>
      <c r="N116" s="1"/>
      <c r="O116" s="1">
        <v>0</v>
      </c>
      <c r="P116" s="1"/>
      <c r="Q116" s="1"/>
      <c r="R116" s="1">
        <v>0</v>
      </c>
      <c r="S116" s="1"/>
      <c r="T116" s="1">
        <f t="shared" si="33"/>
        <v>0.27679999999999999</v>
      </c>
      <c r="U116" s="5"/>
      <c r="V116" s="1">
        <f t="shared" si="34"/>
        <v>60.249277456647398</v>
      </c>
      <c r="W116" s="1">
        <f t="shared" si="35"/>
        <v>60.249277456647398</v>
      </c>
      <c r="X116" s="1">
        <v>0.27679999999999999</v>
      </c>
      <c r="Y116" s="1">
        <v>0.55199999999999994</v>
      </c>
      <c r="Z116" s="1">
        <v>0.55199999999999994</v>
      </c>
      <c r="AA116" s="1">
        <v>0</v>
      </c>
      <c r="AB116" s="1">
        <v>0</v>
      </c>
      <c r="AC116" s="1">
        <v>0</v>
      </c>
      <c r="AD116" s="1">
        <v>0.82919999999999994</v>
      </c>
      <c r="AE116" s="1">
        <v>1.1052</v>
      </c>
      <c r="AF116" s="12" t="s">
        <v>72</v>
      </c>
      <c r="AG116" s="1">
        <f t="shared" si="37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x14ac:dyDescent="0.25">
      <c r="A117" s="1" t="s">
        <v>169</v>
      </c>
      <c r="B117" s="1" t="s">
        <v>41</v>
      </c>
      <c r="C117" s="1">
        <v>223</v>
      </c>
      <c r="D117" s="1">
        <v>51</v>
      </c>
      <c r="E117" s="1">
        <v>138</v>
      </c>
      <c r="F117" s="1">
        <v>81</v>
      </c>
      <c r="G117" s="7">
        <v>0.28000000000000003</v>
      </c>
      <c r="H117" s="1">
        <v>40</v>
      </c>
      <c r="I117" s="14" t="s">
        <v>50</v>
      </c>
      <c r="J117" s="1"/>
      <c r="K117" s="1">
        <v>640</v>
      </c>
      <c r="L117" s="1">
        <f t="shared" si="31"/>
        <v>-502</v>
      </c>
      <c r="M117" s="1">
        <f t="shared" si="32"/>
        <v>138</v>
      </c>
      <c r="N117" s="1"/>
      <c r="O117" s="1">
        <v>308.60776342857127</v>
      </c>
      <c r="P117" s="1"/>
      <c r="Q117" s="1"/>
      <c r="R117" s="1">
        <v>200</v>
      </c>
      <c r="S117" s="1"/>
      <c r="T117" s="1">
        <f t="shared" si="33"/>
        <v>27.6</v>
      </c>
      <c r="U117" s="5">
        <v>150</v>
      </c>
      <c r="V117" s="1">
        <f t="shared" si="34"/>
        <v>26.797382732919246</v>
      </c>
      <c r="W117" s="1">
        <f t="shared" si="35"/>
        <v>21.362600124223597</v>
      </c>
      <c r="X117" s="1">
        <v>72.8</v>
      </c>
      <c r="Y117" s="1">
        <v>76.599999999999994</v>
      </c>
      <c r="Z117" s="1">
        <v>78.2</v>
      </c>
      <c r="AA117" s="1">
        <v>70.2</v>
      </c>
      <c r="AB117" s="1">
        <v>72</v>
      </c>
      <c r="AC117" s="1">
        <v>68.400000000000006</v>
      </c>
      <c r="AD117" s="1">
        <v>58.2</v>
      </c>
      <c r="AE117" s="1">
        <v>83.8</v>
      </c>
      <c r="AF117" s="1"/>
      <c r="AG117" s="1">
        <f t="shared" si="37"/>
        <v>42.000000000000007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x14ac:dyDescent="0.25">
      <c r="A118" s="1" t="s">
        <v>170</v>
      </c>
      <c r="B118" s="1" t="s">
        <v>41</v>
      </c>
      <c r="C118" s="1">
        <v>-3.274</v>
      </c>
      <c r="D118" s="1"/>
      <c r="E118" s="1"/>
      <c r="F118" s="1">
        <v>-11.273999999999999</v>
      </c>
      <c r="G118" s="7">
        <v>0.28000000000000003</v>
      </c>
      <c r="H118" s="1">
        <v>40</v>
      </c>
      <c r="I118" s="14" t="s">
        <v>50</v>
      </c>
      <c r="J118" s="1"/>
      <c r="K118" s="1">
        <v>192</v>
      </c>
      <c r="L118" s="1">
        <f t="shared" si="31"/>
        <v>-192</v>
      </c>
      <c r="M118" s="1">
        <f t="shared" si="32"/>
        <v>0</v>
      </c>
      <c r="N118" s="1"/>
      <c r="O118" s="1">
        <v>150</v>
      </c>
      <c r="P118" s="1">
        <v>-150</v>
      </c>
      <c r="Q118" s="1"/>
      <c r="R118" s="1">
        <v>150</v>
      </c>
      <c r="S118" s="1"/>
      <c r="T118" s="1">
        <f t="shared" si="33"/>
        <v>0</v>
      </c>
      <c r="U118" s="5">
        <v>120</v>
      </c>
      <c r="V118" s="1" t="e">
        <f t="shared" si="34"/>
        <v>#DIV/0!</v>
      </c>
      <c r="W118" s="1" t="e">
        <f t="shared" si="35"/>
        <v>#DIV/0!</v>
      </c>
      <c r="X118" s="1">
        <v>-0.8</v>
      </c>
      <c r="Y118" s="1">
        <v>22.8</v>
      </c>
      <c r="Z118" s="1">
        <v>22.8</v>
      </c>
      <c r="AA118" s="1">
        <v>68.2</v>
      </c>
      <c r="AB118" s="1">
        <v>81.8</v>
      </c>
      <c r="AC118" s="1">
        <v>56.2</v>
      </c>
      <c r="AD118" s="1">
        <v>63.6</v>
      </c>
      <c r="AE118" s="1">
        <v>109</v>
      </c>
      <c r="AF118" s="1"/>
      <c r="AG118" s="1">
        <f t="shared" si="37"/>
        <v>33.6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x14ac:dyDescent="0.25">
      <c r="A119" s="1" t="s">
        <v>171</v>
      </c>
      <c r="B119" s="1" t="s">
        <v>41</v>
      </c>
      <c r="C119" s="1">
        <v>118.5</v>
      </c>
      <c r="D119" s="1">
        <v>66</v>
      </c>
      <c r="E119" s="1">
        <v>130</v>
      </c>
      <c r="F119" s="1">
        <v>5.5</v>
      </c>
      <c r="G119" s="7">
        <v>0.28000000000000003</v>
      </c>
      <c r="H119" s="1">
        <v>40</v>
      </c>
      <c r="I119" s="14" t="s">
        <v>50</v>
      </c>
      <c r="J119" s="1"/>
      <c r="K119" s="1">
        <v>751</v>
      </c>
      <c r="L119" s="1">
        <f t="shared" si="31"/>
        <v>-621</v>
      </c>
      <c r="M119" s="1">
        <f t="shared" si="32"/>
        <v>130</v>
      </c>
      <c r="N119" s="1"/>
      <c r="O119" s="1">
        <v>250</v>
      </c>
      <c r="P119" s="1">
        <v>-253.57142857142861</v>
      </c>
      <c r="Q119" s="1"/>
      <c r="R119" s="1">
        <v>300</v>
      </c>
      <c r="S119" s="1"/>
      <c r="T119" s="1">
        <f t="shared" si="33"/>
        <v>26</v>
      </c>
      <c r="U119" s="5">
        <v>200</v>
      </c>
      <c r="V119" s="1">
        <f t="shared" si="34"/>
        <v>19.304945054945055</v>
      </c>
      <c r="W119" s="1">
        <f t="shared" si="35"/>
        <v>11.612637362637361</v>
      </c>
      <c r="X119" s="1">
        <v>100.4</v>
      </c>
      <c r="Y119" s="1">
        <v>109.2</v>
      </c>
      <c r="Z119" s="1">
        <v>110.4</v>
      </c>
      <c r="AA119" s="1">
        <v>107.2</v>
      </c>
      <c r="AB119" s="1">
        <v>111.6</v>
      </c>
      <c r="AC119" s="1">
        <v>111.6</v>
      </c>
      <c r="AD119" s="1">
        <v>95.6</v>
      </c>
      <c r="AE119" s="1">
        <v>123.2</v>
      </c>
      <c r="AF119" s="1"/>
      <c r="AG119" s="1">
        <f t="shared" si="37"/>
        <v>56.000000000000007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x14ac:dyDescent="0.25">
      <c r="A120" s="1" t="s">
        <v>172</v>
      </c>
      <c r="B120" s="1" t="s">
        <v>41</v>
      </c>
      <c r="C120" s="1">
        <v>67</v>
      </c>
      <c r="D120" s="1">
        <v>210</v>
      </c>
      <c r="E120" s="1">
        <v>163</v>
      </c>
      <c r="F120" s="1">
        <v>9</v>
      </c>
      <c r="G120" s="7">
        <v>0.09</v>
      </c>
      <c r="H120" s="1">
        <v>45</v>
      </c>
      <c r="I120" s="13" t="s">
        <v>44</v>
      </c>
      <c r="J120" s="1"/>
      <c r="K120" s="1">
        <v>291</v>
      </c>
      <c r="L120" s="1">
        <f t="shared" si="31"/>
        <v>-128</v>
      </c>
      <c r="M120" s="1">
        <f t="shared" si="32"/>
        <v>163</v>
      </c>
      <c r="N120" s="1"/>
      <c r="O120" s="1">
        <v>794.22</v>
      </c>
      <c r="P120" s="1"/>
      <c r="Q120" s="1"/>
      <c r="R120" s="1">
        <v>0</v>
      </c>
      <c r="S120" s="1"/>
      <c r="T120" s="1">
        <f t="shared" si="33"/>
        <v>32.6</v>
      </c>
      <c r="U120" s="5"/>
      <c r="V120" s="1">
        <f t="shared" si="34"/>
        <v>24.638650306748467</v>
      </c>
      <c r="W120" s="1">
        <f t="shared" si="35"/>
        <v>24.638650306748467</v>
      </c>
      <c r="X120" s="1">
        <v>32.799999999999997</v>
      </c>
      <c r="Y120" s="1">
        <v>20.2</v>
      </c>
      <c r="Z120" s="1">
        <v>22.8</v>
      </c>
      <c r="AA120" s="1">
        <v>17.399999999999999</v>
      </c>
      <c r="AB120" s="1">
        <v>12.2</v>
      </c>
      <c r="AC120" s="1">
        <v>15.6</v>
      </c>
      <c r="AD120" s="1">
        <v>14.2</v>
      </c>
      <c r="AE120" s="1">
        <v>12.2</v>
      </c>
      <c r="AF120" s="1" t="s">
        <v>173</v>
      </c>
      <c r="AG120" s="1">
        <f t="shared" si="37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x14ac:dyDescent="0.25">
      <c r="A121" s="9" t="s">
        <v>174</v>
      </c>
      <c r="B121" s="9" t="s">
        <v>36</v>
      </c>
      <c r="C121" s="9">
        <v>-0.09</v>
      </c>
      <c r="D121" s="9"/>
      <c r="E121" s="9"/>
      <c r="F121" s="9">
        <v>-0.09</v>
      </c>
      <c r="G121" s="10">
        <v>0</v>
      </c>
      <c r="H121" s="9">
        <v>55</v>
      </c>
      <c r="I121" s="9" t="s">
        <v>53</v>
      </c>
      <c r="J121" s="9"/>
      <c r="K121" s="9"/>
      <c r="L121" s="9">
        <f t="shared" si="31"/>
        <v>0</v>
      </c>
      <c r="M121" s="9">
        <f t="shared" si="32"/>
        <v>0</v>
      </c>
      <c r="N121" s="9"/>
      <c r="O121" s="9">
        <v>0</v>
      </c>
      <c r="P121" s="9"/>
      <c r="Q121" s="9"/>
      <c r="R121" s="9">
        <v>0</v>
      </c>
      <c r="S121" s="9"/>
      <c r="T121" s="9">
        <f t="shared" si="33"/>
        <v>0</v>
      </c>
      <c r="U121" s="11"/>
      <c r="V121" s="9" t="e">
        <f t="shared" si="34"/>
        <v>#DIV/0!</v>
      </c>
      <c r="W121" s="9" t="e">
        <f t="shared" si="35"/>
        <v>#DIV/0!</v>
      </c>
      <c r="X121" s="9">
        <v>0</v>
      </c>
      <c r="Y121" s="9">
        <v>0</v>
      </c>
      <c r="Z121" s="9">
        <v>0</v>
      </c>
      <c r="AA121" s="9">
        <v>0</v>
      </c>
      <c r="AB121" s="9">
        <v>2.1854</v>
      </c>
      <c r="AC121" s="9">
        <v>2.1854</v>
      </c>
      <c r="AD121" s="9">
        <v>1.3512</v>
      </c>
      <c r="AE121" s="9">
        <v>2.4342000000000001</v>
      </c>
      <c r="AF121" s="9"/>
      <c r="AG121" s="9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x14ac:dyDescent="0.25">
      <c r="A122" s="1" t="s">
        <v>175</v>
      </c>
      <c r="B122" s="1" t="s">
        <v>36</v>
      </c>
      <c r="C122" s="1">
        <v>83.322999999999993</v>
      </c>
      <c r="D122" s="1"/>
      <c r="E122" s="1">
        <v>30.452999999999999</v>
      </c>
      <c r="F122" s="1">
        <v>52.87</v>
      </c>
      <c r="G122" s="7">
        <v>1</v>
      </c>
      <c r="H122" s="1">
        <v>60</v>
      </c>
      <c r="I122" s="1" t="s">
        <v>37</v>
      </c>
      <c r="J122" s="1"/>
      <c r="K122" s="1">
        <v>30</v>
      </c>
      <c r="L122" s="1">
        <f t="shared" si="31"/>
        <v>0.4529999999999994</v>
      </c>
      <c r="M122" s="1">
        <f t="shared" si="32"/>
        <v>30.452999999999999</v>
      </c>
      <c r="N122" s="1"/>
      <c r="O122" s="1">
        <v>0</v>
      </c>
      <c r="P122" s="1"/>
      <c r="Q122" s="1"/>
      <c r="R122" s="1">
        <v>51.726599999999998</v>
      </c>
      <c r="S122" s="1"/>
      <c r="T122" s="1">
        <f t="shared" si="33"/>
        <v>6.0906000000000002</v>
      </c>
      <c r="U122" s="5"/>
      <c r="V122" s="1">
        <f t="shared" si="34"/>
        <v>17.173447607789051</v>
      </c>
      <c r="W122" s="1">
        <f t="shared" si="35"/>
        <v>17.173447607789051</v>
      </c>
      <c r="X122" s="1">
        <v>9.970600000000001</v>
      </c>
      <c r="Y122" s="1">
        <v>5.4567999999999994</v>
      </c>
      <c r="Z122" s="1">
        <v>5.4567999999999994</v>
      </c>
      <c r="AA122" s="1">
        <v>8.9201999999999995</v>
      </c>
      <c r="AB122" s="1">
        <v>6.9382000000000001</v>
      </c>
      <c r="AC122" s="1">
        <v>6.2747999999999999</v>
      </c>
      <c r="AD122" s="1">
        <v>10.271599999999999</v>
      </c>
      <c r="AE122" s="1">
        <v>16.718</v>
      </c>
      <c r="AF122" s="1"/>
      <c r="AG122" s="1">
        <f t="shared" ref="AG122:AG137" si="38">G122*U122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x14ac:dyDescent="0.25">
      <c r="A123" s="1" t="s">
        <v>176</v>
      </c>
      <c r="B123" s="1" t="s">
        <v>36</v>
      </c>
      <c r="C123" s="1">
        <v>38.676000000000002</v>
      </c>
      <c r="D123" s="1"/>
      <c r="E123" s="1">
        <v>19.943000000000001</v>
      </c>
      <c r="F123" s="1">
        <v>16.259</v>
      </c>
      <c r="G123" s="7">
        <v>1</v>
      </c>
      <c r="H123" s="1">
        <v>50</v>
      </c>
      <c r="I123" s="1" t="s">
        <v>37</v>
      </c>
      <c r="J123" s="1"/>
      <c r="K123" s="1">
        <v>20</v>
      </c>
      <c r="L123" s="1">
        <f t="shared" si="31"/>
        <v>-5.6999999999998607E-2</v>
      </c>
      <c r="M123" s="1">
        <f t="shared" si="32"/>
        <v>19.943000000000001</v>
      </c>
      <c r="N123" s="1"/>
      <c r="O123" s="1">
        <v>0</v>
      </c>
      <c r="P123" s="1"/>
      <c r="Q123" s="1"/>
      <c r="R123" s="1">
        <v>17.1416</v>
      </c>
      <c r="S123" s="1"/>
      <c r="T123" s="1">
        <f t="shared" si="33"/>
        <v>3.9886000000000004</v>
      </c>
      <c r="U123" s="5">
        <f t="shared" ref="U122:U137" si="39">12*T123-S123-R123-Q123-P123-O123-F123</f>
        <v>14.462600000000005</v>
      </c>
      <c r="V123" s="1">
        <f t="shared" si="34"/>
        <v>12</v>
      </c>
      <c r="W123" s="1">
        <f t="shared" si="35"/>
        <v>8.3740159454445156</v>
      </c>
      <c r="X123" s="1">
        <v>3.4885999999999999</v>
      </c>
      <c r="Y123" s="1">
        <v>2.4849999999999999</v>
      </c>
      <c r="Z123" s="1">
        <v>2.4849999999999999</v>
      </c>
      <c r="AA123" s="1">
        <v>3.984</v>
      </c>
      <c r="AB123" s="1">
        <v>3.3889999999999998</v>
      </c>
      <c r="AC123" s="1">
        <v>4.8133999999999997</v>
      </c>
      <c r="AD123" s="1">
        <v>2.9209999999999998</v>
      </c>
      <c r="AE123" s="1">
        <v>5.9039999999999999</v>
      </c>
      <c r="AF123" s="1"/>
      <c r="AG123" s="1">
        <f t="shared" si="38"/>
        <v>14.462600000000005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x14ac:dyDescent="0.25">
      <c r="A124" s="1" t="s">
        <v>177</v>
      </c>
      <c r="B124" s="1" t="s">
        <v>41</v>
      </c>
      <c r="C124" s="1">
        <v>258</v>
      </c>
      <c r="D124" s="1">
        <v>5</v>
      </c>
      <c r="E124" s="1">
        <v>212</v>
      </c>
      <c r="F124" s="1">
        <v>10</v>
      </c>
      <c r="G124" s="7">
        <v>0.09</v>
      </c>
      <c r="H124" s="1">
        <v>45</v>
      </c>
      <c r="I124" s="13" t="s">
        <v>44</v>
      </c>
      <c r="J124" s="1"/>
      <c r="K124" s="1">
        <v>218</v>
      </c>
      <c r="L124" s="1">
        <f t="shared" si="31"/>
        <v>-6</v>
      </c>
      <c r="M124" s="1">
        <f t="shared" si="32"/>
        <v>212</v>
      </c>
      <c r="N124" s="1"/>
      <c r="O124" s="1">
        <v>400</v>
      </c>
      <c r="P124" s="1"/>
      <c r="Q124" s="1"/>
      <c r="R124" s="1">
        <v>0</v>
      </c>
      <c r="S124" s="1"/>
      <c r="T124" s="1">
        <f t="shared" si="33"/>
        <v>42.4</v>
      </c>
      <c r="U124" s="5">
        <v>60</v>
      </c>
      <c r="V124" s="1">
        <f t="shared" si="34"/>
        <v>11.084905660377359</v>
      </c>
      <c r="W124" s="1">
        <f t="shared" si="35"/>
        <v>9.6698113207547181</v>
      </c>
      <c r="X124" s="1">
        <v>38.6</v>
      </c>
      <c r="Y124" s="1">
        <v>11</v>
      </c>
      <c r="Z124" s="1">
        <v>11</v>
      </c>
      <c r="AA124" s="1">
        <v>11.2</v>
      </c>
      <c r="AB124" s="1">
        <v>16.2</v>
      </c>
      <c r="AC124" s="1">
        <v>19.399999999999999</v>
      </c>
      <c r="AD124" s="1">
        <v>14.4</v>
      </c>
      <c r="AE124" s="1">
        <v>11.6</v>
      </c>
      <c r="AF124" s="17" t="s">
        <v>150</v>
      </c>
      <c r="AG124" s="1">
        <f t="shared" si="38"/>
        <v>5.3999999999999995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x14ac:dyDescent="0.25">
      <c r="A125" s="1" t="s">
        <v>178</v>
      </c>
      <c r="B125" s="1" t="s">
        <v>41</v>
      </c>
      <c r="C125" s="1">
        <v>247</v>
      </c>
      <c r="D125" s="1">
        <v>2</v>
      </c>
      <c r="E125" s="1">
        <v>199</v>
      </c>
      <c r="F125" s="1">
        <v>15</v>
      </c>
      <c r="G125" s="7">
        <v>0.09</v>
      </c>
      <c r="H125" s="1">
        <v>45</v>
      </c>
      <c r="I125" s="13" t="s">
        <v>44</v>
      </c>
      <c r="J125" s="1"/>
      <c r="K125" s="1">
        <v>202</v>
      </c>
      <c r="L125" s="1">
        <f t="shared" si="31"/>
        <v>-3</v>
      </c>
      <c r="M125" s="1">
        <f t="shared" si="32"/>
        <v>199</v>
      </c>
      <c r="N125" s="1"/>
      <c r="O125" s="1">
        <v>500</v>
      </c>
      <c r="P125" s="1"/>
      <c r="Q125" s="1"/>
      <c r="R125" s="1">
        <v>0</v>
      </c>
      <c r="S125" s="1"/>
      <c r="T125" s="1">
        <f t="shared" si="33"/>
        <v>39.799999999999997</v>
      </c>
      <c r="U125" s="5"/>
      <c r="V125" s="1">
        <f t="shared" si="34"/>
        <v>12.939698492462313</v>
      </c>
      <c r="W125" s="1">
        <f t="shared" si="35"/>
        <v>12.939698492462313</v>
      </c>
      <c r="X125" s="1">
        <v>38.200000000000003</v>
      </c>
      <c r="Y125" s="1">
        <v>16.399999999999999</v>
      </c>
      <c r="Z125" s="1">
        <v>16.399999999999999</v>
      </c>
      <c r="AA125" s="1">
        <v>18.8</v>
      </c>
      <c r="AB125" s="1">
        <v>15.4</v>
      </c>
      <c r="AC125" s="1">
        <v>16.2</v>
      </c>
      <c r="AD125" s="1">
        <v>9</v>
      </c>
      <c r="AE125" s="1">
        <v>10.199999999999999</v>
      </c>
      <c r="AF125" s="1" t="s">
        <v>152</v>
      </c>
      <c r="AG125" s="1">
        <f t="shared" si="38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x14ac:dyDescent="0.25">
      <c r="A126" s="1" t="s">
        <v>179</v>
      </c>
      <c r="B126" s="1" t="s">
        <v>36</v>
      </c>
      <c r="C126" s="1">
        <v>183.25299999999999</v>
      </c>
      <c r="D126" s="1">
        <v>168.37200000000001</v>
      </c>
      <c r="E126" s="1">
        <v>115.01900000000001</v>
      </c>
      <c r="F126" s="1">
        <v>186.339</v>
      </c>
      <c r="G126" s="7">
        <v>1</v>
      </c>
      <c r="H126" s="1">
        <v>60</v>
      </c>
      <c r="I126" s="1" t="s">
        <v>37</v>
      </c>
      <c r="J126" s="1"/>
      <c r="K126" s="1">
        <v>122.5</v>
      </c>
      <c r="L126" s="1">
        <f t="shared" si="31"/>
        <v>-7.4809999999999945</v>
      </c>
      <c r="M126" s="1">
        <f t="shared" si="32"/>
        <v>115.01900000000001</v>
      </c>
      <c r="N126" s="1"/>
      <c r="O126" s="1">
        <v>0</v>
      </c>
      <c r="P126" s="1"/>
      <c r="Q126" s="1"/>
      <c r="R126" s="1">
        <v>0</v>
      </c>
      <c r="S126" s="1"/>
      <c r="T126" s="1">
        <f t="shared" si="33"/>
        <v>23.003800000000002</v>
      </c>
      <c r="U126" s="5">
        <f t="shared" si="39"/>
        <v>89.706600000000037</v>
      </c>
      <c r="V126" s="1">
        <f t="shared" si="34"/>
        <v>12</v>
      </c>
      <c r="W126" s="1">
        <f t="shared" si="35"/>
        <v>8.1003573322668423</v>
      </c>
      <c r="X126" s="1">
        <v>24.015000000000001</v>
      </c>
      <c r="Y126" s="1">
        <v>15.4374</v>
      </c>
      <c r="Z126" s="1">
        <v>15.4374</v>
      </c>
      <c r="AA126" s="1">
        <v>20.627600000000001</v>
      </c>
      <c r="AB126" s="1">
        <v>16.761399999999998</v>
      </c>
      <c r="AC126" s="1">
        <v>9.4372000000000007</v>
      </c>
      <c r="AD126" s="1">
        <v>6.8977999999999993</v>
      </c>
      <c r="AE126" s="1">
        <v>9.4394000000000009</v>
      </c>
      <c r="AF126" s="1" t="s">
        <v>180</v>
      </c>
      <c r="AG126" s="1">
        <f t="shared" si="38"/>
        <v>89.706600000000037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x14ac:dyDescent="0.25">
      <c r="A127" s="1" t="s">
        <v>181</v>
      </c>
      <c r="B127" s="1" t="s">
        <v>36</v>
      </c>
      <c r="C127" s="1">
        <v>818.53700000000003</v>
      </c>
      <c r="D127" s="1">
        <v>830.11599999999999</v>
      </c>
      <c r="E127" s="1">
        <v>588.71199999999999</v>
      </c>
      <c r="F127" s="1">
        <v>907.375</v>
      </c>
      <c r="G127" s="7">
        <v>1</v>
      </c>
      <c r="H127" s="1">
        <v>60</v>
      </c>
      <c r="I127" s="1" t="s">
        <v>37</v>
      </c>
      <c r="J127" s="1"/>
      <c r="K127" s="1">
        <v>611.279</v>
      </c>
      <c r="L127" s="1">
        <f t="shared" si="31"/>
        <v>-22.567000000000007</v>
      </c>
      <c r="M127" s="1">
        <f t="shared" si="32"/>
        <v>588.71199999999999</v>
      </c>
      <c r="N127" s="1"/>
      <c r="O127" s="1">
        <v>0</v>
      </c>
      <c r="P127" s="1"/>
      <c r="Q127" s="1"/>
      <c r="R127" s="1">
        <v>0</v>
      </c>
      <c r="S127" s="1"/>
      <c r="T127" s="1">
        <f t="shared" si="33"/>
        <v>117.7424</v>
      </c>
      <c r="U127" s="5">
        <f t="shared" si="39"/>
        <v>505.53380000000016</v>
      </c>
      <c r="V127" s="1">
        <f t="shared" si="34"/>
        <v>12.000000000000002</v>
      </c>
      <c r="W127" s="1">
        <f t="shared" si="35"/>
        <v>7.7064421992417342</v>
      </c>
      <c r="X127" s="1">
        <v>113.4314</v>
      </c>
      <c r="Y127" s="1">
        <v>129.72380000000001</v>
      </c>
      <c r="Z127" s="1">
        <v>131.09280000000001</v>
      </c>
      <c r="AA127" s="1">
        <v>145.64699999999999</v>
      </c>
      <c r="AB127" s="1">
        <v>115.8732</v>
      </c>
      <c r="AC127" s="1">
        <v>76.514800000000008</v>
      </c>
      <c r="AD127" s="1">
        <v>92.683799999999991</v>
      </c>
      <c r="AE127" s="1">
        <v>121.5682</v>
      </c>
      <c r="AF127" s="1"/>
      <c r="AG127" s="1">
        <f t="shared" si="38"/>
        <v>505.53380000000016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x14ac:dyDescent="0.25">
      <c r="A128" s="1" t="s">
        <v>182</v>
      </c>
      <c r="B128" s="1" t="s">
        <v>36</v>
      </c>
      <c r="C128" s="1">
        <v>143.08799999999999</v>
      </c>
      <c r="D128" s="1">
        <v>6.82</v>
      </c>
      <c r="E128" s="1">
        <v>76.468000000000004</v>
      </c>
      <c r="F128" s="1">
        <v>50.316000000000003</v>
      </c>
      <c r="G128" s="7">
        <v>1</v>
      </c>
      <c r="H128" s="1">
        <v>60</v>
      </c>
      <c r="I128" s="1" t="s">
        <v>37</v>
      </c>
      <c r="J128" s="1"/>
      <c r="K128" s="1">
        <v>82.662000000000006</v>
      </c>
      <c r="L128" s="1">
        <f t="shared" si="31"/>
        <v>-6.1940000000000026</v>
      </c>
      <c r="M128" s="1">
        <f t="shared" si="32"/>
        <v>76.468000000000004</v>
      </c>
      <c r="N128" s="1"/>
      <c r="O128" s="1">
        <v>0</v>
      </c>
      <c r="P128" s="1"/>
      <c r="Q128" s="1"/>
      <c r="R128" s="1">
        <v>52.993000000000009</v>
      </c>
      <c r="S128" s="1"/>
      <c r="T128" s="1">
        <f t="shared" si="33"/>
        <v>15.293600000000001</v>
      </c>
      <c r="U128" s="5">
        <f t="shared" si="39"/>
        <v>80.214200000000034</v>
      </c>
      <c r="V128" s="1">
        <f t="shared" si="34"/>
        <v>12.000000000000002</v>
      </c>
      <c r="W128" s="1">
        <f t="shared" si="35"/>
        <v>6.7550478631584454</v>
      </c>
      <c r="X128" s="1">
        <v>14.958</v>
      </c>
      <c r="Y128" s="1">
        <v>9.2240000000000002</v>
      </c>
      <c r="Z128" s="1">
        <v>9.2240000000000002</v>
      </c>
      <c r="AA128" s="1">
        <v>16.507400000000001</v>
      </c>
      <c r="AB128" s="1">
        <v>16.0214</v>
      </c>
      <c r="AC128" s="1">
        <v>12.3848</v>
      </c>
      <c r="AD128" s="1">
        <v>9.4190000000000005</v>
      </c>
      <c r="AE128" s="1">
        <v>12.1662</v>
      </c>
      <c r="AF128" s="1" t="s">
        <v>183</v>
      </c>
      <c r="AG128" s="1">
        <f t="shared" si="38"/>
        <v>80.214200000000034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x14ac:dyDescent="0.25">
      <c r="A129" s="1" t="s">
        <v>59</v>
      </c>
      <c r="B129" s="1" t="s">
        <v>36</v>
      </c>
      <c r="C129" s="1">
        <v>1541.306</v>
      </c>
      <c r="D129" s="1">
        <v>1859.117</v>
      </c>
      <c r="E129" s="15">
        <f>916.064+E19</f>
        <v>921.09399999999994</v>
      </c>
      <c r="F129" s="15">
        <f>2284.67+F19</f>
        <v>2257.1770000000001</v>
      </c>
      <c r="G129" s="7">
        <v>1</v>
      </c>
      <c r="H129" s="1">
        <v>60</v>
      </c>
      <c r="I129" s="1" t="s">
        <v>37</v>
      </c>
      <c r="J129" s="1"/>
      <c r="K129" s="1">
        <v>969.5</v>
      </c>
      <c r="L129" s="1">
        <f t="shared" si="31"/>
        <v>-48.406000000000063</v>
      </c>
      <c r="M129" s="1">
        <f t="shared" si="32"/>
        <v>921.09399999999994</v>
      </c>
      <c r="N129" s="1"/>
      <c r="O129" s="1">
        <v>629.94173839999985</v>
      </c>
      <c r="P129" s="1"/>
      <c r="Q129" s="1"/>
      <c r="R129" s="1">
        <v>0</v>
      </c>
      <c r="S129" s="1"/>
      <c r="T129" s="1">
        <f t="shared" si="33"/>
        <v>184.21879999999999</v>
      </c>
      <c r="U129" s="5"/>
      <c r="V129" s="1">
        <f t="shared" si="34"/>
        <v>15.672226387317691</v>
      </c>
      <c r="W129" s="1">
        <f t="shared" si="35"/>
        <v>15.672226387317691</v>
      </c>
      <c r="X129" s="1">
        <v>182.80520000000001</v>
      </c>
      <c r="Y129" s="1">
        <v>261.65699999999998</v>
      </c>
      <c r="Z129" s="1">
        <v>263.20299999999997</v>
      </c>
      <c r="AA129" s="1">
        <v>260.8614</v>
      </c>
      <c r="AB129" s="1">
        <v>157.86420000000001</v>
      </c>
      <c r="AC129" s="1">
        <v>170.6746</v>
      </c>
      <c r="AD129" s="1">
        <v>196.4392</v>
      </c>
      <c r="AE129" s="1">
        <v>182.04040000000001</v>
      </c>
      <c r="AF129" s="1"/>
      <c r="AG129" s="1">
        <f t="shared" si="38"/>
        <v>0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x14ac:dyDescent="0.25">
      <c r="A130" s="1" t="s">
        <v>184</v>
      </c>
      <c r="B130" s="1" t="s">
        <v>41</v>
      </c>
      <c r="C130" s="1">
        <v>42</v>
      </c>
      <c r="D130" s="1">
        <v>50</v>
      </c>
      <c r="E130" s="1">
        <v>18</v>
      </c>
      <c r="F130" s="1">
        <v>69</v>
      </c>
      <c r="G130" s="7">
        <v>0.25</v>
      </c>
      <c r="H130" s="1"/>
      <c r="I130" s="14" t="s">
        <v>50</v>
      </c>
      <c r="J130" s="1"/>
      <c r="K130" s="1">
        <v>24</v>
      </c>
      <c r="L130" s="1">
        <f t="shared" si="31"/>
        <v>-6</v>
      </c>
      <c r="M130" s="1">
        <f t="shared" si="32"/>
        <v>18</v>
      </c>
      <c r="N130" s="1"/>
      <c r="O130" s="1">
        <v>20</v>
      </c>
      <c r="P130" s="1"/>
      <c r="Q130" s="1"/>
      <c r="R130" s="1">
        <v>0</v>
      </c>
      <c r="S130" s="1"/>
      <c r="T130" s="1">
        <f t="shared" si="33"/>
        <v>3.6</v>
      </c>
      <c r="U130" s="5"/>
      <c r="V130" s="1">
        <f t="shared" si="34"/>
        <v>24.722222222222221</v>
      </c>
      <c r="W130" s="1">
        <f t="shared" si="35"/>
        <v>24.722222222222221</v>
      </c>
      <c r="X130" s="1">
        <v>4.2</v>
      </c>
      <c r="Y130" s="1">
        <v>6.2</v>
      </c>
      <c r="Z130" s="1">
        <v>6.2</v>
      </c>
      <c r="AA130" s="1">
        <v>10.4</v>
      </c>
      <c r="AB130" s="1">
        <v>8.8000000000000007</v>
      </c>
      <c r="AC130" s="1">
        <v>18.600000000000001</v>
      </c>
      <c r="AD130" s="1">
        <v>16.2</v>
      </c>
      <c r="AE130" s="1">
        <v>0</v>
      </c>
      <c r="AF130" s="12" t="s">
        <v>72</v>
      </c>
      <c r="AG130" s="1">
        <f t="shared" si="38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x14ac:dyDescent="0.25">
      <c r="A131" s="1" t="s">
        <v>186</v>
      </c>
      <c r="B131" s="1" t="s">
        <v>41</v>
      </c>
      <c r="C131" s="1">
        <v>55</v>
      </c>
      <c r="D131" s="1"/>
      <c r="E131" s="15">
        <f>2+E138</f>
        <v>14</v>
      </c>
      <c r="F131" s="15">
        <f>50+F138</f>
        <v>80</v>
      </c>
      <c r="G131" s="7">
        <v>0.32500000000000001</v>
      </c>
      <c r="H131" s="1"/>
      <c r="I131" s="1" t="s">
        <v>37</v>
      </c>
      <c r="J131" s="1"/>
      <c r="K131" s="1">
        <v>6</v>
      </c>
      <c r="L131" s="1">
        <f t="shared" si="31"/>
        <v>8</v>
      </c>
      <c r="M131" s="1">
        <f t="shared" si="32"/>
        <v>14</v>
      </c>
      <c r="N131" s="1"/>
      <c r="O131" s="1">
        <v>0</v>
      </c>
      <c r="P131" s="1"/>
      <c r="Q131" s="1"/>
      <c r="R131" s="1">
        <v>0</v>
      </c>
      <c r="S131" s="1"/>
      <c r="T131" s="1">
        <f t="shared" si="33"/>
        <v>2.8</v>
      </c>
      <c r="U131" s="5"/>
      <c r="V131" s="1">
        <f t="shared" si="34"/>
        <v>28.571428571428573</v>
      </c>
      <c r="W131" s="1">
        <f t="shared" si="35"/>
        <v>28.571428571428573</v>
      </c>
      <c r="X131" s="1">
        <v>3.6</v>
      </c>
      <c r="Y131" s="1">
        <v>7.6</v>
      </c>
      <c r="Z131" s="1">
        <v>7.6</v>
      </c>
      <c r="AA131" s="1">
        <v>5.2</v>
      </c>
      <c r="AB131" s="1">
        <v>5.2</v>
      </c>
      <c r="AC131" s="1">
        <v>10.199999999999999</v>
      </c>
      <c r="AD131" s="1">
        <v>9.8000000000000007</v>
      </c>
      <c r="AE131" s="1">
        <v>0</v>
      </c>
      <c r="AF131" s="1" t="s">
        <v>185</v>
      </c>
      <c r="AG131" s="1">
        <f t="shared" si="38"/>
        <v>0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x14ac:dyDescent="0.25">
      <c r="A132" s="1" t="s">
        <v>187</v>
      </c>
      <c r="B132" s="1" t="s">
        <v>41</v>
      </c>
      <c r="C132" s="1">
        <v>111</v>
      </c>
      <c r="D132" s="1">
        <v>3</v>
      </c>
      <c r="E132" s="1">
        <v>40</v>
      </c>
      <c r="F132" s="1">
        <v>63</v>
      </c>
      <c r="G132" s="7">
        <v>0.25</v>
      </c>
      <c r="H132" s="1"/>
      <c r="I132" s="1" t="s">
        <v>37</v>
      </c>
      <c r="J132" s="1"/>
      <c r="K132" s="1">
        <v>47</v>
      </c>
      <c r="L132" s="1">
        <f t="shared" si="31"/>
        <v>-7</v>
      </c>
      <c r="M132" s="1">
        <f t="shared" si="32"/>
        <v>40</v>
      </c>
      <c r="N132" s="1"/>
      <c r="O132" s="1">
        <v>0</v>
      </c>
      <c r="P132" s="1"/>
      <c r="Q132" s="1"/>
      <c r="R132" s="1">
        <v>34.800000000000011</v>
      </c>
      <c r="S132" s="1"/>
      <c r="T132" s="1">
        <f t="shared" si="33"/>
        <v>8</v>
      </c>
      <c r="U132" s="5"/>
      <c r="V132" s="1">
        <f t="shared" si="34"/>
        <v>12.225000000000001</v>
      </c>
      <c r="W132" s="1">
        <f t="shared" si="35"/>
        <v>12.225000000000001</v>
      </c>
      <c r="X132" s="1">
        <v>9.8000000000000007</v>
      </c>
      <c r="Y132" s="1">
        <v>6.2</v>
      </c>
      <c r="Z132" s="1">
        <v>6.2</v>
      </c>
      <c r="AA132" s="1">
        <v>9.8000000000000007</v>
      </c>
      <c r="AB132" s="1">
        <v>6.6</v>
      </c>
      <c r="AC132" s="1">
        <v>14.4</v>
      </c>
      <c r="AD132" s="1">
        <v>13.2</v>
      </c>
      <c r="AE132" s="1">
        <v>0</v>
      </c>
      <c r="AF132" s="1" t="s">
        <v>185</v>
      </c>
      <c r="AG132" s="1">
        <f t="shared" si="38"/>
        <v>0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x14ac:dyDescent="0.25">
      <c r="A133" s="1" t="s">
        <v>188</v>
      </c>
      <c r="B133" s="1" t="s">
        <v>41</v>
      </c>
      <c r="C133" s="1">
        <v>36</v>
      </c>
      <c r="D133" s="1"/>
      <c r="E133" s="1">
        <v>-2</v>
      </c>
      <c r="F133" s="1">
        <v>35</v>
      </c>
      <c r="G133" s="7">
        <v>0.3</v>
      </c>
      <c r="H133" s="1">
        <v>40</v>
      </c>
      <c r="I133" s="14" t="s">
        <v>50</v>
      </c>
      <c r="J133" s="1"/>
      <c r="K133" s="1">
        <v>203</v>
      </c>
      <c r="L133" s="1">
        <f t="shared" si="31"/>
        <v>-205</v>
      </c>
      <c r="M133" s="1">
        <f t="shared" si="32"/>
        <v>-2</v>
      </c>
      <c r="N133" s="1"/>
      <c r="O133" s="1">
        <v>50</v>
      </c>
      <c r="P133" s="1">
        <v>-53.333333333333343</v>
      </c>
      <c r="Q133" s="1"/>
      <c r="R133" s="1">
        <v>0</v>
      </c>
      <c r="S133" s="1"/>
      <c r="T133" s="1">
        <f t="shared" si="33"/>
        <v>-0.4</v>
      </c>
      <c r="U133" s="5">
        <v>70</v>
      </c>
      <c r="V133" s="1">
        <f t="shared" si="34"/>
        <v>-254.16666666666663</v>
      </c>
      <c r="W133" s="1">
        <f t="shared" si="35"/>
        <v>-79.166666666666643</v>
      </c>
      <c r="X133" s="1">
        <v>-0.6</v>
      </c>
      <c r="Y133" s="1">
        <v>13.2</v>
      </c>
      <c r="Z133" s="1">
        <v>13.6</v>
      </c>
      <c r="AA133" s="1">
        <v>34</v>
      </c>
      <c r="AB133" s="1">
        <v>30.8</v>
      </c>
      <c r="AC133" s="1">
        <v>19.2</v>
      </c>
      <c r="AD133" s="1">
        <v>19</v>
      </c>
      <c r="AE133" s="1">
        <v>33.6</v>
      </c>
      <c r="AF133" s="1"/>
      <c r="AG133" s="1">
        <f t="shared" si="38"/>
        <v>21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x14ac:dyDescent="0.25">
      <c r="A134" s="1" t="s">
        <v>189</v>
      </c>
      <c r="B134" s="1" t="s">
        <v>41</v>
      </c>
      <c r="C134" s="1">
        <v>-11</v>
      </c>
      <c r="D134" s="1"/>
      <c r="E134" s="1">
        <v>-1</v>
      </c>
      <c r="F134" s="1">
        <v>-17</v>
      </c>
      <c r="G134" s="7">
        <v>0.3</v>
      </c>
      <c r="H134" s="1">
        <v>40</v>
      </c>
      <c r="I134" s="14" t="s">
        <v>50</v>
      </c>
      <c r="J134" s="1"/>
      <c r="K134" s="1">
        <v>14</v>
      </c>
      <c r="L134" s="1">
        <f t="shared" ref="L134:L165" si="40">E134-K134</f>
        <v>-15</v>
      </c>
      <c r="M134" s="1">
        <f t="shared" ref="M134:M165" si="41">E134-N134</f>
        <v>-1</v>
      </c>
      <c r="N134" s="1"/>
      <c r="O134" s="1">
        <v>50</v>
      </c>
      <c r="P134" s="1">
        <v>-53.333333333333343</v>
      </c>
      <c r="Q134" s="1"/>
      <c r="R134" s="1">
        <v>50</v>
      </c>
      <c r="S134" s="1"/>
      <c r="T134" s="1">
        <f t="shared" si="33"/>
        <v>-0.2</v>
      </c>
      <c r="U134" s="5">
        <v>50</v>
      </c>
      <c r="V134" s="1">
        <f t="shared" ref="V134:V165" si="42">(F134+O134+P134+Q134+R134+S134+U134)/T134</f>
        <v>-398.33333333333326</v>
      </c>
      <c r="W134" s="1">
        <f t="shared" si="35"/>
        <v>-148.33333333333329</v>
      </c>
      <c r="X134" s="1">
        <v>0</v>
      </c>
      <c r="Y134" s="1">
        <v>0.4</v>
      </c>
      <c r="Z134" s="1">
        <v>0.4</v>
      </c>
      <c r="AA134" s="1">
        <v>19.2</v>
      </c>
      <c r="AB134" s="1">
        <v>26.8</v>
      </c>
      <c r="AC134" s="1">
        <v>27.2</v>
      </c>
      <c r="AD134" s="1">
        <v>25.8</v>
      </c>
      <c r="AE134" s="1">
        <v>20.8</v>
      </c>
      <c r="AF134" s="1"/>
      <c r="AG134" s="1">
        <f t="shared" si="38"/>
        <v>15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x14ac:dyDescent="0.25">
      <c r="A135" s="1" t="s">
        <v>190</v>
      </c>
      <c r="B135" s="1" t="s">
        <v>36</v>
      </c>
      <c r="C135" s="1">
        <v>123.35299999999999</v>
      </c>
      <c r="D135" s="1">
        <v>1.345</v>
      </c>
      <c r="E135" s="1">
        <v>53.877000000000002</v>
      </c>
      <c r="F135" s="1">
        <v>64.111999999999995</v>
      </c>
      <c r="G135" s="7">
        <v>1</v>
      </c>
      <c r="H135" s="1">
        <v>50</v>
      </c>
      <c r="I135" s="1" t="s">
        <v>37</v>
      </c>
      <c r="J135" s="1"/>
      <c r="K135" s="1">
        <v>54</v>
      </c>
      <c r="L135" s="1">
        <f t="shared" si="40"/>
        <v>-0.12299999999999756</v>
      </c>
      <c r="M135" s="1">
        <f t="shared" si="41"/>
        <v>53.877000000000002</v>
      </c>
      <c r="N135" s="1"/>
      <c r="O135" s="1">
        <v>15.453199999999979</v>
      </c>
      <c r="P135" s="1"/>
      <c r="Q135" s="1"/>
      <c r="R135" s="1">
        <v>0</v>
      </c>
      <c r="S135" s="1"/>
      <c r="T135" s="1">
        <f t="shared" si="33"/>
        <v>10.775400000000001</v>
      </c>
      <c r="U135" s="5">
        <f t="shared" si="39"/>
        <v>49.739600000000024</v>
      </c>
      <c r="V135" s="1">
        <f t="shared" si="42"/>
        <v>11.999999999999998</v>
      </c>
      <c r="W135" s="1">
        <f t="shared" si="35"/>
        <v>7.3839671845128692</v>
      </c>
      <c r="X135" s="1">
        <v>8.8368000000000002</v>
      </c>
      <c r="Y135" s="1">
        <v>11.002599999999999</v>
      </c>
      <c r="Z135" s="1">
        <v>11.002599999999999</v>
      </c>
      <c r="AA135" s="1">
        <v>13.903600000000001</v>
      </c>
      <c r="AB135" s="1">
        <v>13.324199999999999</v>
      </c>
      <c r="AC135" s="1">
        <v>7.5507999999999997</v>
      </c>
      <c r="AD135" s="1">
        <v>9.7211999999999996</v>
      </c>
      <c r="AE135" s="1">
        <v>14.6806</v>
      </c>
      <c r="AF135" s="1"/>
      <c r="AG135" s="1">
        <f t="shared" si="38"/>
        <v>49.739600000000024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x14ac:dyDescent="0.25">
      <c r="A136" s="1" t="s">
        <v>191</v>
      </c>
      <c r="B136" s="1" t="s">
        <v>41</v>
      </c>
      <c r="C136" s="1">
        <v>3</v>
      </c>
      <c r="D136" s="1">
        <v>25</v>
      </c>
      <c r="E136" s="1">
        <v>13</v>
      </c>
      <c r="F136" s="1">
        <v>2</v>
      </c>
      <c r="G136" s="7">
        <v>0.3</v>
      </c>
      <c r="H136" s="1">
        <v>40</v>
      </c>
      <c r="I136" s="14" t="s">
        <v>50</v>
      </c>
      <c r="J136" s="1"/>
      <c r="K136" s="1">
        <v>74</v>
      </c>
      <c r="L136" s="1">
        <f t="shared" si="40"/>
        <v>-61</v>
      </c>
      <c r="M136" s="1">
        <f t="shared" si="41"/>
        <v>13</v>
      </c>
      <c r="N136" s="1"/>
      <c r="O136" s="1">
        <v>30</v>
      </c>
      <c r="P136" s="1"/>
      <c r="Q136" s="1"/>
      <c r="R136" s="1">
        <v>0</v>
      </c>
      <c r="S136" s="1"/>
      <c r="T136" s="1">
        <f t="shared" si="33"/>
        <v>2.6</v>
      </c>
      <c r="U136" s="5">
        <v>20</v>
      </c>
      <c r="V136" s="1">
        <f t="shared" si="42"/>
        <v>20</v>
      </c>
      <c r="W136" s="1">
        <f t="shared" si="35"/>
        <v>12.307692307692307</v>
      </c>
      <c r="X136" s="1">
        <v>0</v>
      </c>
      <c r="Y136" s="1">
        <v>9.8000000000000007</v>
      </c>
      <c r="Z136" s="1">
        <v>9.8000000000000007</v>
      </c>
      <c r="AA136" s="1">
        <v>4.5999999999999996</v>
      </c>
      <c r="AB136" s="1">
        <v>2.8</v>
      </c>
      <c r="AC136" s="1">
        <v>9.1999999999999993</v>
      </c>
      <c r="AD136" s="1">
        <v>12</v>
      </c>
      <c r="AE136" s="1">
        <v>10.6</v>
      </c>
      <c r="AF136" s="1"/>
      <c r="AG136" s="1">
        <f t="shared" si="38"/>
        <v>6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x14ac:dyDescent="0.25">
      <c r="A137" s="1" t="s">
        <v>192</v>
      </c>
      <c r="B137" s="1" t="s">
        <v>41</v>
      </c>
      <c r="C137" s="1">
        <v>104</v>
      </c>
      <c r="D137" s="1">
        <v>45</v>
      </c>
      <c r="E137" s="1">
        <v>40</v>
      </c>
      <c r="F137" s="1">
        <v>96</v>
      </c>
      <c r="G137" s="7">
        <v>0.12</v>
      </c>
      <c r="H137" s="1">
        <v>45</v>
      </c>
      <c r="I137" s="14" t="s">
        <v>50</v>
      </c>
      <c r="J137" s="1"/>
      <c r="K137" s="1">
        <v>51</v>
      </c>
      <c r="L137" s="1">
        <f t="shared" si="40"/>
        <v>-11</v>
      </c>
      <c r="M137" s="1">
        <f t="shared" si="41"/>
        <v>40</v>
      </c>
      <c r="N137" s="1"/>
      <c r="O137" s="1">
        <v>33.000000000000043</v>
      </c>
      <c r="P137" s="1">
        <v>-41.666666666666671</v>
      </c>
      <c r="Q137" s="1"/>
      <c r="R137" s="1">
        <v>0</v>
      </c>
      <c r="S137" s="1"/>
      <c r="T137" s="1">
        <f t="shared" si="33"/>
        <v>8</v>
      </c>
      <c r="U137" s="5">
        <v>30</v>
      </c>
      <c r="V137" s="1">
        <f t="shared" si="42"/>
        <v>14.666666666666673</v>
      </c>
      <c r="W137" s="1">
        <f t="shared" si="35"/>
        <v>10.916666666666673</v>
      </c>
      <c r="X137" s="1">
        <v>7</v>
      </c>
      <c r="Y137" s="1">
        <v>13.8</v>
      </c>
      <c r="Z137" s="1">
        <v>13.8</v>
      </c>
      <c r="AA137" s="1">
        <v>11.8</v>
      </c>
      <c r="AB137" s="1">
        <v>8.6</v>
      </c>
      <c r="AC137" s="1">
        <v>9.1999999999999993</v>
      </c>
      <c r="AD137" s="1">
        <v>6.6</v>
      </c>
      <c r="AE137" s="1">
        <v>6</v>
      </c>
      <c r="AF137" s="1"/>
      <c r="AG137" s="1">
        <f t="shared" si="38"/>
        <v>3.5999999999999996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x14ac:dyDescent="0.25">
      <c r="A138" s="9" t="s">
        <v>193</v>
      </c>
      <c r="B138" s="9" t="s">
        <v>41</v>
      </c>
      <c r="C138" s="9">
        <v>43</v>
      </c>
      <c r="D138" s="9">
        <v>1</v>
      </c>
      <c r="E138" s="15">
        <v>12</v>
      </c>
      <c r="F138" s="15">
        <v>30</v>
      </c>
      <c r="G138" s="10">
        <v>0</v>
      </c>
      <c r="H138" s="9"/>
      <c r="I138" s="9" t="s">
        <v>194</v>
      </c>
      <c r="J138" s="9" t="s">
        <v>186</v>
      </c>
      <c r="K138" s="9">
        <v>16</v>
      </c>
      <c r="L138" s="9">
        <f t="shared" si="40"/>
        <v>-4</v>
      </c>
      <c r="M138" s="9">
        <f t="shared" si="41"/>
        <v>12</v>
      </c>
      <c r="N138" s="9"/>
      <c r="O138" s="9">
        <v>0</v>
      </c>
      <c r="P138" s="9"/>
      <c r="Q138" s="9"/>
      <c r="R138" s="9">
        <v>0</v>
      </c>
      <c r="S138" s="9"/>
      <c r="T138" s="9">
        <f t="shared" si="33"/>
        <v>2.4</v>
      </c>
      <c r="U138" s="11"/>
      <c r="V138" s="9">
        <f t="shared" si="42"/>
        <v>12.5</v>
      </c>
      <c r="W138" s="9">
        <f t="shared" si="35"/>
        <v>12.5</v>
      </c>
      <c r="X138" s="9">
        <v>2.6</v>
      </c>
      <c r="Y138" s="9">
        <v>3.6</v>
      </c>
      <c r="Z138" s="9">
        <v>3.6</v>
      </c>
      <c r="AA138" s="9">
        <v>4.8</v>
      </c>
      <c r="AB138" s="9">
        <v>2.4</v>
      </c>
      <c r="AC138" s="9">
        <v>0</v>
      </c>
      <c r="AD138" s="9">
        <v>0</v>
      </c>
      <c r="AE138" s="9">
        <v>0</v>
      </c>
      <c r="AF138" s="9"/>
      <c r="AG138" s="9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</sheetData>
  <autoFilter ref="A3:AG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2026-08-27T18:23:18Z</dcterms:created>
  <dcterms:modified xsi:type="dcterms:W3CDTF">2026-08-27T18:45:19Z</dcterms:modified>
</cp:coreProperties>
</file>