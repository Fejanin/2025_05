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D1096037-DDFF-459E-895C-EAF19FE12CA7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Sheet!$A$3:$AD$132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71" i="1" l="1"/>
  <c r="T52" i="1"/>
  <c r="T31" i="1"/>
  <c r="AD31" i="1" s="1"/>
  <c r="T7" i="1"/>
  <c r="T8" i="1"/>
  <c r="T9" i="1"/>
  <c r="T13" i="1"/>
  <c r="AD13" i="1" s="1"/>
  <c r="T15" i="1"/>
  <c r="T17" i="1"/>
  <c r="AD17" i="1" s="1"/>
  <c r="T18" i="1"/>
  <c r="T19" i="1"/>
  <c r="T20" i="1"/>
  <c r="T21" i="1"/>
  <c r="AD21" i="1" s="1"/>
  <c r="T23" i="1"/>
  <c r="T25" i="1"/>
  <c r="AD25" i="1" s="1"/>
  <c r="T26" i="1"/>
  <c r="T28" i="1"/>
  <c r="T29" i="1"/>
  <c r="T30" i="1"/>
  <c r="T32" i="1"/>
  <c r="T33" i="1"/>
  <c r="AD33" i="1" s="1"/>
  <c r="T34" i="1"/>
  <c r="T35" i="1"/>
  <c r="AD35" i="1" s="1"/>
  <c r="T36" i="1"/>
  <c r="T37" i="1"/>
  <c r="AD37" i="1" s="1"/>
  <c r="T42" i="1"/>
  <c r="T43" i="1"/>
  <c r="AD43" i="1" s="1"/>
  <c r="T48" i="1"/>
  <c r="AD52" i="1"/>
  <c r="T53" i="1"/>
  <c r="T56" i="1"/>
  <c r="AD56" i="1" s="1"/>
  <c r="T57" i="1"/>
  <c r="T59" i="1"/>
  <c r="T61" i="1"/>
  <c r="AD61" i="1" s="1"/>
  <c r="T62" i="1"/>
  <c r="AD62" i="1" s="1"/>
  <c r="T63" i="1"/>
  <c r="AD63" i="1" s="1"/>
  <c r="T64" i="1"/>
  <c r="AD64" i="1" s="1"/>
  <c r="T65" i="1"/>
  <c r="AD65" i="1" s="1"/>
  <c r="T68" i="1"/>
  <c r="AD68" i="1" s="1"/>
  <c r="T69" i="1"/>
  <c r="AD69" i="1" s="1"/>
  <c r="T72" i="1"/>
  <c r="AD72" i="1" s="1"/>
  <c r="T73" i="1"/>
  <c r="T77" i="1"/>
  <c r="AD77" i="1" s="1"/>
  <c r="T79" i="1"/>
  <c r="AD79" i="1" s="1"/>
  <c r="T80" i="1"/>
  <c r="AD80" i="1" s="1"/>
  <c r="T82" i="1"/>
  <c r="AD82" i="1" s="1"/>
  <c r="T85" i="1"/>
  <c r="AD85" i="1" s="1"/>
  <c r="T86" i="1"/>
  <c r="AD86" i="1" s="1"/>
  <c r="T87" i="1"/>
  <c r="T89" i="1"/>
  <c r="AD89" i="1" s="1"/>
  <c r="T93" i="1"/>
  <c r="T95" i="1"/>
  <c r="AD95" i="1" s="1"/>
  <c r="T100" i="1"/>
  <c r="AD100" i="1" s="1"/>
  <c r="T101" i="1"/>
  <c r="AD101" i="1" s="1"/>
  <c r="T102" i="1"/>
  <c r="AD102" i="1" s="1"/>
  <c r="T103" i="1"/>
  <c r="AD103" i="1" s="1"/>
  <c r="T105" i="1"/>
  <c r="T109" i="1"/>
  <c r="AD109" i="1" s="1"/>
  <c r="T110" i="1"/>
  <c r="AD110" i="1" s="1"/>
  <c r="T112" i="1"/>
  <c r="AD112" i="1" s="1"/>
  <c r="T115" i="1"/>
  <c r="AD115" i="1" s="1"/>
  <c r="T116" i="1"/>
  <c r="AD116" i="1" s="1"/>
  <c r="T118" i="1"/>
  <c r="AD118" i="1" s="1"/>
  <c r="T119" i="1"/>
  <c r="T120" i="1"/>
  <c r="AD120" i="1" s="1"/>
  <c r="T122" i="1"/>
  <c r="AD122" i="1" s="1"/>
  <c r="T123" i="1"/>
  <c r="AD123" i="1" s="1"/>
  <c r="T124" i="1"/>
  <c r="AD124" i="1" s="1"/>
  <c r="T125" i="1"/>
  <c r="T126" i="1"/>
  <c r="AD126" i="1" s="1"/>
  <c r="T132" i="1"/>
  <c r="AD132" i="1" s="1"/>
  <c r="T6" i="1"/>
  <c r="AD6" i="1" s="1"/>
  <c r="AD7" i="1"/>
  <c r="AD9" i="1"/>
  <c r="AD15" i="1"/>
  <c r="AD19" i="1"/>
  <c r="AD23" i="1"/>
  <c r="AD29" i="1"/>
  <c r="AD53" i="1"/>
  <c r="AD57" i="1"/>
  <c r="AD59" i="1"/>
  <c r="AD73" i="1"/>
  <c r="AD87" i="1"/>
  <c r="AD93" i="1"/>
  <c r="AD105" i="1"/>
  <c r="AD119" i="1"/>
  <c r="AD125" i="1"/>
  <c r="V31" i="1"/>
  <c r="V44" i="1"/>
  <c r="V45" i="1"/>
  <c r="V49" i="1"/>
  <c r="V52" i="1"/>
  <c r="V55" i="1"/>
  <c r="V58" i="1"/>
  <c r="V70" i="1"/>
  <c r="V71" i="1"/>
  <c r="V94" i="1"/>
  <c r="V96" i="1"/>
  <c r="V97" i="1"/>
  <c r="V100" i="1"/>
  <c r="V106" i="1"/>
  <c r="V107" i="1"/>
  <c r="V108" i="1"/>
  <c r="V111" i="1"/>
  <c r="V113" i="1"/>
  <c r="V127" i="1"/>
  <c r="V128" i="1"/>
  <c r="V130" i="1"/>
  <c r="U31" i="1"/>
  <c r="U44" i="1"/>
  <c r="T44" i="1" s="1"/>
  <c r="U45" i="1"/>
  <c r="T45" i="1" s="1"/>
  <c r="AD45" i="1" s="1"/>
  <c r="U49" i="1"/>
  <c r="T49" i="1" s="1"/>
  <c r="AD49" i="1" s="1"/>
  <c r="U52" i="1"/>
  <c r="U55" i="1"/>
  <c r="T55" i="1" s="1"/>
  <c r="U58" i="1"/>
  <c r="T58" i="1" s="1"/>
  <c r="AD58" i="1" s="1"/>
  <c r="U70" i="1"/>
  <c r="T70" i="1" s="1"/>
  <c r="AD70" i="1" s="1"/>
  <c r="U71" i="1"/>
  <c r="U94" i="1"/>
  <c r="T94" i="1" s="1"/>
  <c r="AD94" i="1" s="1"/>
  <c r="U96" i="1"/>
  <c r="T96" i="1" s="1"/>
  <c r="AD96" i="1" s="1"/>
  <c r="U97" i="1"/>
  <c r="T97" i="1" s="1"/>
  <c r="AD97" i="1" s="1"/>
  <c r="U100" i="1"/>
  <c r="U106" i="1"/>
  <c r="AD106" i="1" s="1"/>
  <c r="U107" i="1"/>
  <c r="T107" i="1" s="1"/>
  <c r="AD107" i="1" s="1"/>
  <c r="U108" i="1"/>
  <c r="T108" i="1" s="1"/>
  <c r="AD108" i="1" s="1"/>
  <c r="U111" i="1"/>
  <c r="T111" i="1" s="1"/>
  <c r="AD111" i="1" s="1"/>
  <c r="U113" i="1"/>
  <c r="T113" i="1" s="1"/>
  <c r="AD113" i="1" s="1"/>
  <c r="U127" i="1"/>
  <c r="T127" i="1" s="1"/>
  <c r="AD127" i="1" s="1"/>
  <c r="U128" i="1"/>
  <c r="T128" i="1" s="1"/>
  <c r="AD128" i="1" s="1"/>
  <c r="U130" i="1"/>
  <c r="T130" i="1" s="1"/>
  <c r="AD130" i="1" s="1"/>
  <c r="AD48" i="1" l="1"/>
  <c r="AD44" i="1"/>
  <c r="AD42" i="1"/>
  <c r="AD36" i="1"/>
  <c r="AD34" i="1"/>
  <c r="AD32" i="1"/>
  <c r="AD30" i="1"/>
  <c r="AD28" i="1"/>
  <c r="AD26" i="1"/>
  <c r="AD20" i="1"/>
  <c r="AD18" i="1"/>
  <c r="AD8" i="1"/>
  <c r="U5" i="1"/>
  <c r="R68" i="1" l="1"/>
  <c r="R132" i="1"/>
  <c r="L132" i="1"/>
  <c r="R131" i="1"/>
  <c r="X131" i="1" s="1"/>
  <c r="L131" i="1"/>
  <c r="R130" i="1"/>
  <c r="L130" i="1"/>
  <c r="R129" i="1"/>
  <c r="X129" i="1" s="1"/>
  <c r="L129" i="1"/>
  <c r="R128" i="1"/>
  <c r="L128" i="1"/>
  <c r="R127" i="1"/>
  <c r="W127" i="1" s="1"/>
  <c r="L127" i="1"/>
  <c r="R126" i="1"/>
  <c r="L126" i="1"/>
  <c r="R125" i="1"/>
  <c r="L125" i="1"/>
  <c r="R124" i="1"/>
  <c r="L124" i="1"/>
  <c r="R123" i="1"/>
  <c r="L123" i="1"/>
  <c r="R122" i="1"/>
  <c r="L122" i="1"/>
  <c r="F122" i="1"/>
  <c r="W122" i="1" s="1"/>
  <c r="R121" i="1"/>
  <c r="X121" i="1" s="1"/>
  <c r="L121" i="1"/>
  <c r="R120" i="1"/>
  <c r="L120" i="1"/>
  <c r="R119" i="1"/>
  <c r="W119" i="1" s="1"/>
  <c r="L119" i="1"/>
  <c r="R118" i="1"/>
  <c r="L118" i="1"/>
  <c r="R117" i="1"/>
  <c r="S117" i="1" s="1"/>
  <c r="T117" i="1" s="1"/>
  <c r="L117" i="1"/>
  <c r="R116" i="1"/>
  <c r="L116" i="1"/>
  <c r="R115" i="1"/>
  <c r="W115" i="1" s="1"/>
  <c r="L115" i="1"/>
  <c r="R114" i="1"/>
  <c r="X114" i="1" s="1"/>
  <c r="L114" i="1"/>
  <c r="R113" i="1"/>
  <c r="L113" i="1"/>
  <c r="R112" i="1"/>
  <c r="L112" i="1"/>
  <c r="R111" i="1"/>
  <c r="W111" i="1" s="1"/>
  <c r="L111" i="1"/>
  <c r="R110" i="1"/>
  <c r="L110" i="1"/>
  <c r="R109" i="1"/>
  <c r="L109" i="1"/>
  <c r="R108" i="1"/>
  <c r="L108" i="1"/>
  <c r="R107" i="1"/>
  <c r="L107" i="1"/>
  <c r="R106" i="1"/>
  <c r="L106" i="1"/>
  <c r="R105" i="1"/>
  <c r="L105" i="1"/>
  <c r="R104" i="1"/>
  <c r="X104" i="1" s="1"/>
  <c r="L104" i="1"/>
  <c r="R103" i="1"/>
  <c r="L103" i="1"/>
  <c r="R102" i="1"/>
  <c r="L102" i="1"/>
  <c r="R101" i="1"/>
  <c r="L101" i="1"/>
  <c r="R100" i="1"/>
  <c r="L100" i="1"/>
  <c r="F100" i="1"/>
  <c r="W100" i="1" s="1"/>
  <c r="R99" i="1"/>
  <c r="X99" i="1" s="1"/>
  <c r="L99" i="1"/>
  <c r="R98" i="1"/>
  <c r="X98" i="1" s="1"/>
  <c r="L98" i="1"/>
  <c r="R97" i="1"/>
  <c r="L97" i="1"/>
  <c r="R96" i="1"/>
  <c r="L96" i="1"/>
  <c r="R95" i="1"/>
  <c r="L95" i="1"/>
  <c r="R94" i="1"/>
  <c r="L94" i="1"/>
  <c r="R93" i="1"/>
  <c r="W93" i="1" s="1"/>
  <c r="L93" i="1"/>
  <c r="R92" i="1"/>
  <c r="L92" i="1"/>
  <c r="F92" i="1"/>
  <c r="R91" i="1"/>
  <c r="X91" i="1" s="1"/>
  <c r="L91" i="1"/>
  <c r="R90" i="1"/>
  <c r="S90" i="1" s="1"/>
  <c r="T90" i="1" s="1"/>
  <c r="L90" i="1"/>
  <c r="R89" i="1"/>
  <c r="L89" i="1"/>
  <c r="R88" i="1"/>
  <c r="L88" i="1"/>
  <c r="R87" i="1"/>
  <c r="L87" i="1"/>
  <c r="R86" i="1"/>
  <c r="L86" i="1"/>
  <c r="R85" i="1"/>
  <c r="L85" i="1"/>
  <c r="R84" i="1"/>
  <c r="X84" i="1" s="1"/>
  <c r="L84" i="1"/>
  <c r="R83" i="1"/>
  <c r="X83" i="1" s="1"/>
  <c r="L83" i="1"/>
  <c r="R82" i="1"/>
  <c r="L82" i="1"/>
  <c r="R81" i="1"/>
  <c r="X81" i="1" s="1"/>
  <c r="L81" i="1"/>
  <c r="R80" i="1"/>
  <c r="L80" i="1"/>
  <c r="R79" i="1"/>
  <c r="L79" i="1"/>
  <c r="R78" i="1"/>
  <c r="X78" i="1" s="1"/>
  <c r="L78" i="1"/>
  <c r="R77" i="1"/>
  <c r="L77" i="1"/>
  <c r="R76" i="1"/>
  <c r="S76" i="1" s="1"/>
  <c r="T76" i="1" s="1"/>
  <c r="L76" i="1"/>
  <c r="R75" i="1"/>
  <c r="X75" i="1" s="1"/>
  <c r="L75" i="1"/>
  <c r="R74" i="1"/>
  <c r="X74" i="1" s="1"/>
  <c r="L74" i="1"/>
  <c r="R73" i="1"/>
  <c r="L73" i="1"/>
  <c r="R72" i="1"/>
  <c r="W72" i="1" s="1"/>
  <c r="L72" i="1"/>
  <c r="R71" i="1"/>
  <c r="X71" i="1" s="1"/>
  <c r="L71" i="1"/>
  <c r="R70" i="1"/>
  <c r="L70" i="1"/>
  <c r="R69" i="1"/>
  <c r="L69" i="1"/>
  <c r="L68" i="1"/>
  <c r="R67" i="1"/>
  <c r="X67" i="1" s="1"/>
  <c r="L67" i="1"/>
  <c r="R66" i="1"/>
  <c r="X66" i="1" s="1"/>
  <c r="L66" i="1"/>
  <c r="R65" i="1"/>
  <c r="L65" i="1"/>
  <c r="R64" i="1"/>
  <c r="L64" i="1"/>
  <c r="R63" i="1"/>
  <c r="W63" i="1" s="1"/>
  <c r="L63" i="1"/>
  <c r="R62" i="1"/>
  <c r="L62" i="1"/>
  <c r="R61" i="1"/>
  <c r="L61" i="1"/>
  <c r="R60" i="1"/>
  <c r="X60" i="1" s="1"/>
  <c r="L60" i="1"/>
  <c r="F59" i="1"/>
  <c r="E59" i="1"/>
  <c r="L59" i="1" s="1"/>
  <c r="R58" i="1"/>
  <c r="L58" i="1"/>
  <c r="R57" i="1"/>
  <c r="L57" i="1"/>
  <c r="R56" i="1"/>
  <c r="L56" i="1"/>
  <c r="R55" i="1"/>
  <c r="X55" i="1" s="1"/>
  <c r="L55" i="1"/>
  <c r="R54" i="1"/>
  <c r="X54" i="1" s="1"/>
  <c r="L54" i="1"/>
  <c r="R53" i="1"/>
  <c r="L53" i="1"/>
  <c r="R52" i="1"/>
  <c r="L52" i="1"/>
  <c r="R51" i="1"/>
  <c r="L51" i="1"/>
  <c r="R50" i="1"/>
  <c r="X50" i="1" s="1"/>
  <c r="L50" i="1"/>
  <c r="R49" i="1"/>
  <c r="L49" i="1"/>
  <c r="R48" i="1"/>
  <c r="W48" i="1" s="1"/>
  <c r="L48" i="1"/>
  <c r="R47" i="1"/>
  <c r="S47" i="1" s="1"/>
  <c r="T47" i="1" s="1"/>
  <c r="L47" i="1"/>
  <c r="R46" i="1"/>
  <c r="X46" i="1" s="1"/>
  <c r="L46" i="1"/>
  <c r="R45" i="1"/>
  <c r="L45" i="1"/>
  <c r="R44" i="1"/>
  <c r="W44" i="1" s="1"/>
  <c r="L44" i="1"/>
  <c r="R43" i="1"/>
  <c r="W43" i="1" s="1"/>
  <c r="L43" i="1"/>
  <c r="R42" i="1"/>
  <c r="L42" i="1"/>
  <c r="R41" i="1"/>
  <c r="X41" i="1" s="1"/>
  <c r="L41" i="1"/>
  <c r="R40" i="1"/>
  <c r="L40" i="1"/>
  <c r="R39" i="1"/>
  <c r="L39" i="1"/>
  <c r="R38" i="1"/>
  <c r="X38" i="1" s="1"/>
  <c r="L38" i="1"/>
  <c r="R37" i="1"/>
  <c r="L37" i="1"/>
  <c r="R36" i="1"/>
  <c r="L36" i="1"/>
  <c r="R35" i="1"/>
  <c r="L35" i="1"/>
  <c r="R34" i="1"/>
  <c r="L34" i="1"/>
  <c r="R33" i="1"/>
  <c r="L33" i="1"/>
  <c r="R32" i="1"/>
  <c r="L32" i="1"/>
  <c r="R31" i="1"/>
  <c r="L31" i="1"/>
  <c r="R30" i="1"/>
  <c r="L30" i="1"/>
  <c r="R29" i="1"/>
  <c r="L29" i="1"/>
  <c r="R28" i="1"/>
  <c r="L28" i="1"/>
  <c r="R27" i="1"/>
  <c r="X27" i="1" s="1"/>
  <c r="L27" i="1"/>
  <c r="R26" i="1"/>
  <c r="L26" i="1"/>
  <c r="R25" i="1"/>
  <c r="L25" i="1"/>
  <c r="R24" i="1"/>
  <c r="X24" i="1" s="1"/>
  <c r="L24" i="1"/>
  <c r="R23" i="1"/>
  <c r="W23" i="1" s="1"/>
  <c r="L23" i="1"/>
  <c r="R22" i="1"/>
  <c r="X22" i="1" s="1"/>
  <c r="L22" i="1"/>
  <c r="R21" i="1"/>
  <c r="L21" i="1"/>
  <c r="R20" i="1"/>
  <c r="W20" i="1" s="1"/>
  <c r="L20" i="1"/>
  <c r="R19" i="1"/>
  <c r="L19" i="1"/>
  <c r="R18" i="1"/>
  <c r="W18" i="1" s="1"/>
  <c r="L18" i="1"/>
  <c r="R17" i="1"/>
  <c r="L17" i="1"/>
  <c r="R16" i="1"/>
  <c r="X16" i="1" s="1"/>
  <c r="L16" i="1"/>
  <c r="R15" i="1"/>
  <c r="L15" i="1"/>
  <c r="R14" i="1"/>
  <c r="L14" i="1"/>
  <c r="R13" i="1"/>
  <c r="L13" i="1"/>
  <c r="R12" i="1"/>
  <c r="X12" i="1" s="1"/>
  <c r="L12" i="1"/>
  <c r="R11" i="1"/>
  <c r="S11" i="1" s="1"/>
  <c r="T11" i="1" s="1"/>
  <c r="L11" i="1"/>
  <c r="R10" i="1"/>
  <c r="L10" i="1"/>
  <c r="R9" i="1"/>
  <c r="L9" i="1"/>
  <c r="R8" i="1"/>
  <c r="W8" i="1" s="1"/>
  <c r="L8" i="1"/>
  <c r="R7" i="1"/>
  <c r="W7" i="1" s="1"/>
  <c r="L7" i="1"/>
  <c r="R6" i="1"/>
  <c r="W6" i="1" s="1"/>
  <c r="L6" i="1"/>
  <c r="AB5" i="1"/>
  <c r="AA5" i="1"/>
  <c r="Z5" i="1"/>
  <c r="Y5" i="1"/>
  <c r="Q5" i="1"/>
  <c r="P5" i="1"/>
  <c r="O5" i="1"/>
  <c r="N5" i="1"/>
  <c r="M5" i="1"/>
  <c r="K5" i="1"/>
  <c r="X9" i="1" l="1"/>
  <c r="W9" i="1"/>
  <c r="W11" i="1"/>
  <c r="AD11" i="1"/>
  <c r="X13" i="1"/>
  <c r="W13" i="1"/>
  <c r="X15" i="1"/>
  <c r="W15" i="1"/>
  <c r="X17" i="1"/>
  <c r="W17" i="1"/>
  <c r="X19" i="1"/>
  <c r="W19" i="1"/>
  <c r="X21" i="1"/>
  <c r="W21" i="1"/>
  <c r="X25" i="1"/>
  <c r="W25" i="1"/>
  <c r="X26" i="1"/>
  <c r="W26" i="1"/>
  <c r="X28" i="1"/>
  <c r="W28" i="1"/>
  <c r="X29" i="1"/>
  <c r="W29" i="1"/>
  <c r="X30" i="1"/>
  <c r="W30" i="1"/>
  <c r="X31" i="1"/>
  <c r="W31" i="1"/>
  <c r="X32" i="1"/>
  <c r="W32" i="1"/>
  <c r="X33" i="1"/>
  <c r="W33" i="1"/>
  <c r="X34" i="1"/>
  <c r="W34" i="1"/>
  <c r="X35" i="1"/>
  <c r="W35" i="1"/>
  <c r="X36" i="1"/>
  <c r="W36" i="1"/>
  <c r="X37" i="1"/>
  <c r="W37" i="1"/>
  <c r="X42" i="1"/>
  <c r="W42" i="1"/>
  <c r="X45" i="1"/>
  <c r="W45" i="1"/>
  <c r="W47" i="1"/>
  <c r="AD47" i="1"/>
  <c r="X49" i="1"/>
  <c r="W49" i="1"/>
  <c r="X52" i="1"/>
  <c r="W52" i="1"/>
  <c r="X53" i="1"/>
  <c r="W53" i="1"/>
  <c r="X56" i="1"/>
  <c r="W56" i="1"/>
  <c r="X57" i="1"/>
  <c r="W57" i="1"/>
  <c r="X58" i="1"/>
  <c r="W58" i="1"/>
  <c r="X61" i="1"/>
  <c r="W61" i="1"/>
  <c r="X62" i="1"/>
  <c r="W62" i="1"/>
  <c r="X64" i="1"/>
  <c r="W64" i="1"/>
  <c r="X65" i="1"/>
  <c r="W65" i="1"/>
  <c r="X94" i="1"/>
  <c r="W94" i="1"/>
  <c r="X95" i="1"/>
  <c r="W95" i="1"/>
  <c r="X96" i="1"/>
  <c r="W96" i="1"/>
  <c r="X97" i="1"/>
  <c r="W97" i="1"/>
  <c r="X123" i="1"/>
  <c r="W123" i="1"/>
  <c r="X124" i="1"/>
  <c r="W124" i="1"/>
  <c r="X125" i="1"/>
  <c r="W125" i="1"/>
  <c r="X126" i="1"/>
  <c r="W126" i="1"/>
  <c r="X128" i="1"/>
  <c r="W128" i="1"/>
  <c r="X130" i="1"/>
  <c r="W130" i="1"/>
  <c r="X132" i="1"/>
  <c r="W132" i="1"/>
  <c r="X69" i="1"/>
  <c r="W69" i="1"/>
  <c r="X70" i="1"/>
  <c r="W70" i="1"/>
  <c r="X73" i="1"/>
  <c r="W73" i="1"/>
  <c r="AD76" i="1"/>
  <c r="W76" i="1"/>
  <c r="X77" i="1"/>
  <c r="W77" i="1"/>
  <c r="X79" i="1"/>
  <c r="W79" i="1"/>
  <c r="X80" i="1"/>
  <c r="W80" i="1"/>
  <c r="X82" i="1"/>
  <c r="W82" i="1"/>
  <c r="X85" i="1"/>
  <c r="W85" i="1"/>
  <c r="X86" i="1"/>
  <c r="W86" i="1"/>
  <c r="X87" i="1"/>
  <c r="W87" i="1"/>
  <c r="X89" i="1"/>
  <c r="W89" i="1"/>
  <c r="AD90" i="1"/>
  <c r="W90" i="1"/>
  <c r="X101" i="1"/>
  <c r="W101" i="1"/>
  <c r="X102" i="1"/>
  <c r="W102" i="1"/>
  <c r="X103" i="1"/>
  <c r="W103" i="1"/>
  <c r="X105" i="1"/>
  <c r="W105" i="1"/>
  <c r="X106" i="1"/>
  <c r="W106" i="1"/>
  <c r="X107" i="1"/>
  <c r="W107" i="1"/>
  <c r="X108" i="1"/>
  <c r="W108" i="1"/>
  <c r="X109" i="1"/>
  <c r="W109" i="1"/>
  <c r="X110" i="1"/>
  <c r="W110" i="1"/>
  <c r="X112" i="1"/>
  <c r="W112" i="1"/>
  <c r="X113" i="1"/>
  <c r="W113" i="1"/>
  <c r="X116" i="1"/>
  <c r="W116" i="1"/>
  <c r="AD117" i="1"/>
  <c r="W117" i="1"/>
  <c r="X118" i="1"/>
  <c r="W118" i="1"/>
  <c r="X120" i="1"/>
  <c r="W120" i="1"/>
  <c r="X68" i="1"/>
  <c r="W68" i="1"/>
  <c r="S10" i="1"/>
  <c r="T10" i="1" s="1"/>
  <c r="S75" i="1"/>
  <c r="T75" i="1" s="1"/>
  <c r="E5" i="1"/>
  <c r="F5" i="1"/>
  <c r="X63" i="1"/>
  <c r="S92" i="1"/>
  <c r="T92" i="1" s="1"/>
  <c r="AD92" i="1" s="1"/>
  <c r="X90" i="1"/>
  <c r="R59" i="1"/>
  <c r="X59" i="1" s="1"/>
  <c r="S78" i="1"/>
  <c r="T78" i="1" s="1"/>
  <c r="S83" i="1"/>
  <c r="T83" i="1" s="1"/>
  <c r="S104" i="1"/>
  <c r="T104" i="1" s="1"/>
  <c r="S67" i="1"/>
  <c r="T67" i="1" s="1"/>
  <c r="S84" i="1"/>
  <c r="T84" i="1" s="1"/>
  <c r="S16" i="1"/>
  <c r="S41" i="1"/>
  <c r="T41" i="1" s="1"/>
  <c r="S88" i="1"/>
  <c r="T88" i="1" s="1"/>
  <c r="S114" i="1"/>
  <c r="T114" i="1" s="1"/>
  <c r="S22" i="1"/>
  <c r="T22" i="1" s="1"/>
  <c r="S24" i="1"/>
  <c r="T24" i="1" s="1"/>
  <c r="S46" i="1"/>
  <c r="T46" i="1" s="1"/>
  <c r="S66" i="1"/>
  <c r="T66" i="1" s="1"/>
  <c r="S91" i="1"/>
  <c r="T91" i="1" s="1"/>
  <c r="X8" i="1"/>
  <c r="S27" i="1"/>
  <c r="T27" i="1" s="1"/>
  <c r="S50" i="1"/>
  <c r="T50" i="1" s="1"/>
  <c r="S51" i="1"/>
  <c r="T51" i="1" s="1"/>
  <c r="S71" i="1"/>
  <c r="S98" i="1"/>
  <c r="T98" i="1" s="1"/>
  <c r="S121" i="1"/>
  <c r="T121" i="1" s="1"/>
  <c r="X51" i="1"/>
  <c r="S99" i="1"/>
  <c r="T99" i="1" s="1"/>
  <c r="S74" i="1"/>
  <c r="T74" i="1" s="1"/>
  <c r="X92" i="1"/>
  <c r="S54" i="1"/>
  <c r="T54" i="1" s="1"/>
  <c r="X10" i="1"/>
  <c r="S55" i="1"/>
  <c r="S12" i="1"/>
  <c r="T12" i="1" s="1"/>
  <c r="X100" i="1"/>
  <c r="S38" i="1"/>
  <c r="T38" i="1" s="1"/>
  <c r="S129" i="1"/>
  <c r="T129" i="1" s="1"/>
  <c r="X122" i="1"/>
  <c r="S14" i="1"/>
  <c r="T14" i="1" s="1"/>
  <c r="S39" i="1"/>
  <c r="T39" i="1" s="1"/>
  <c r="S40" i="1"/>
  <c r="T40" i="1" s="1"/>
  <c r="S60" i="1"/>
  <c r="T60" i="1" s="1"/>
  <c r="S81" i="1"/>
  <c r="T81" i="1" s="1"/>
  <c r="S131" i="1"/>
  <c r="T131" i="1" s="1"/>
  <c r="X14" i="1"/>
  <c r="X39" i="1"/>
  <c r="X43" i="1"/>
  <c r="X47" i="1"/>
  <c r="X6" i="1"/>
  <c r="X18" i="1"/>
  <c r="L5" i="1"/>
  <c r="X11" i="1"/>
  <c r="X44" i="1"/>
  <c r="X48" i="1"/>
  <c r="X7" i="1"/>
  <c r="X76" i="1"/>
  <c r="X20" i="1"/>
  <c r="X93" i="1"/>
  <c r="X23" i="1"/>
  <c r="X88" i="1"/>
  <c r="X117" i="1"/>
  <c r="X40" i="1"/>
  <c r="X72" i="1"/>
  <c r="X111" i="1"/>
  <c r="X115" i="1"/>
  <c r="X119" i="1"/>
  <c r="X127" i="1"/>
  <c r="W59" i="1" l="1"/>
  <c r="W131" i="1"/>
  <c r="AD131" i="1"/>
  <c r="AD60" i="1"/>
  <c r="W60" i="1"/>
  <c r="W39" i="1"/>
  <c r="AD39" i="1"/>
  <c r="AD38" i="1"/>
  <c r="W38" i="1"/>
  <c r="AD12" i="1"/>
  <c r="W12" i="1"/>
  <c r="W99" i="1"/>
  <c r="AD99" i="1"/>
  <c r="AD121" i="1"/>
  <c r="W121" i="1"/>
  <c r="W71" i="1"/>
  <c r="AD71" i="1"/>
  <c r="AD50" i="1"/>
  <c r="W50" i="1"/>
  <c r="AD66" i="1"/>
  <c r="W66" i="1"/>
  <c r="AD24" i="1"/>
  <c r="W24" i="1"/>
  <c r="AD114" i="1"/>
  <c r="W114" i="1"/>
  <c r="AD41" i="1"/>
  <c r="W41" i="1"/>
  <c r="AD84" i="1"/>
  <c r="W84" i="1"/>
  <c r="AD104" i="1"/>
  <c r="W104" i="1"/>
  <c r="AD78" i="1"/>
  <c r="W78" i="1"/>
  <c r="AD10" i="1"/>
  <c r="T5" i="1"/>
  <c r="W10" i="1"/>
  <c r="AD81" i="1"/>
  <c r="W81" i="1"/>
  <c r="AD40" i="1"/>
  <c r="W40" i="1"/>
  <c r="AD14" i="1"/>
  <c r="W14" i="1"/>
  <c r="AD129" i="1"/>
  <c r="W129" i="1"/>
  <c r="W55" i="1"/>
  <c r="AD55" i="1"/>
  <c r="AD54" i="1"/>
  <c r="W54" i="1"/>
  <c r="AD74" i="1"/>
  <c r="W74" i="1"/>
  <c r="AD98" i="1"/>
  <c r="W98" i="1"/>
  <c r="W51" i="1"/>
  <c r="AD51" i="1"/>
  <c r="W27" i="1"/>
  <c r="AD27" i="1"/>
  <c r="W91" i="1"/>
  <c r="AD91" i="1"/>
  <c r="AD46" i="1"/>
  <c r="W46" i="1"/>
  <c r="AD22" i="1"/>
  <c r="W22" i="1"/>
  <c r="AD88" i="1"/>
  <c r="W88" i="1"/>
  <c r="AD16" i="1"/>
  <c r="W16" i="1"/>
  <c r="W67" i="1"/>
  <c r="AD67" i="1"/>
  <c r="W83" i="1"/>
  <c r="AD83" i="1"/>
  <c r="W75" i="1"/>
  <c r="AD75" i="1"/>
  <c r="W92" i="1"/>
  <c r="R5" i="1"/>
  <c r="S5" i="1"/>
  <c r="AD5" i="1" l="1"/>
</calcChain>
</file>

<file path=xl/sharedStrings.xml><?xml version="1.0" encoding="utf-8"?>
<sst xmlns="http://schemas.openxmlformats.org/spreadsheetml/2006/main" count="456" uniqueCount="174">
  <si>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</si>
  <si>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</si>
  <si>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</si>
  <si>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</si>
  <si>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</si>
  <si>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</si>
  <si>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</si>
  <si>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</si>
  <si>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</si>
  <si>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</si>
  <si>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</si>
  <si>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</si>
  <si>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</si>
  <si>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</si>
  <si>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</si>
  <si>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</si>
  <si>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</si>
  <si>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</si>
  <si>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</si>
  <si>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</si>
  <si>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</si>
  <si>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</si>
  <si>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03,10,</t>
  </si>
  <si>
    <t>05,10,</t>
  </si>
  <si>
    <t>10,10,</t>
  </si>
  <si>
    <t>08,10,</t>
  </si>
  <si>
    <t>06,10,</t>
  </si>
  <si>
    <t>01,10,</t>
  </si>
  <si>
    <t>29,09,</t>
  </si>
  <si>
    <t>24,09,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</si>
  <si>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</si>
  <si>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</si>
  <si>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</si>
  <si>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</si>
  <si>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</si>
  <si>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>НЕДОГРУЗ / матрица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</si>
  <si>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</si>
  <si>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</si>
  <si>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</si>
  <si>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</si>
  <si>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</si>
  <si>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</si>
  <si>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</si>
  <si>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</si>
  <si>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</si>
  <si>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</si>
  <si>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</si>
  <si>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217  Колбаса Докторская Дугушка, ВЕС, НЕ ГОСТ, ТМ Стародворье ПОКОМ</t>
  </si>
  <si>
    <t>не в матрице</t>
  </si>
  <si>
    <t xml:space="preserve"> 219  Колбаса Докторская Особая ТМ Особый рецепт, ВЕС  ПОКОМ</t>
  </si>
  <si>
    <t xml:space="preserve"> 597  Колбаса Классическая ТМ Особый рецепт в оболочке полиамид ВЕС.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</si>
  <si>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</si>
  <si>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</si>
  <si>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>нужно увеличить продажи!!!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</si>
  <si>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</si>
  <si>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</si>
  <si>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457  Колбаса Молочная ТМ Особый рецепт ВЕС большой батон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</si>
  <si>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</si>
  <si>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</si>
  <si>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</si>
  <si>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</si>
  <si>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</si>
  <si>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</si>
  <si>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</si>
  <si>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</si>
  <si>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</si>
  <si>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</si>
  <si>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</si>
  <si>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</si>
  <si>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</si>
  <si>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</si>
  <si>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</si>
  <si>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</si>
  <si>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</si>
  <si>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</si>
  <si>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</si>
  <si>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</si>
  <si>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</si>
  <si>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</si>
  <si>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</si>
  <si>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</si>
  <si>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</si>
  <si>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</si>
  <si>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</si>
  <si>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</si>
  <si>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</si>
  <si>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</si>
  <si>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</si>
  <si>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>нужно увеличить продажи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</si>
  <si>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</si>
  <si>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</si>
  <si>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</si>
  <si>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</si>
  <si>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</si>
  <si>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</si>
  <si>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</si>
  <si>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</si>
  <si>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</si>
  <si>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</si>
  <si>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</si>
  <si>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</si>
  <si>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</si>
  <si>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</si>
  <si>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</si>
  <si>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</si>
  <si>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</si>
  <si>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</si>
  <si>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</si>
  <si>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</si>
  <si>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</si>
  <si>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</si>
  <si>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</si>
  <si>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</si>
  <si>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</si>
  <si>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</si>
  <si>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</si>
  <si>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</si>
  <si>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</si>
  <si>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</si>
  <si>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</si>
  <si>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</si>
  <si>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</si>
  <si>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</si>
  <si>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</si>
  <si>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</si>
  <si>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</si>
  <si>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</si>
  <si>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</si>
  <si>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</si>
  <si>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</si>
  <si>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</si>
  <si>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</si>
  <si>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</si>
  <si>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</si>
  <si>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</si>
  <si>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</si>
  <si>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>нет потребности / нет в бланке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</si>
  <si>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</si>
  <si>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</si>
  <si>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</si>
  <si>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</si>
  <si>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</si>
  <si>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</si>
  <si>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</si>
  <si>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</si>
  <si>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</si>
  <si>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</si>
  <si>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</si>
  <si>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</si>
  <si>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</si>
  <si>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</si>
  <si>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</si>
  <si>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</si>
  <si>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</si>
  <si>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</si>
  <si>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</si>
  <si>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</si>
  <si>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</si>
  <si>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</si>
  <si>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 xml:space="preserve"> 633  Колбаса Мясная Классическая ТМ Вязанка в оболочке полиамид УМВ.ВЕС.  ПОКОМ</t>
  </si>
  <si>
    <t>дубль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</si>
  <si>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</si>
  <si>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</si>
  <si>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</si>
  <si>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</si>
  <si>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</si>
  <si>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</si>
  <si>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</si>
  <si>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вывод</t>
  </si>
  <si>
    <t>ТК</t>
  </si>
  <si>
    <t>Боярко</t>
  </si>
  <si>
    <t>ТК ком</t>
  </si>
  <si>
    <t>заказ</t>
  </si>
  <si>
    <t>12,10,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</si>
</sst>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9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6" borderId="1" xfId="1" applyNumberFormat="1" applyFont="1" applyFill="1"/>
    <xf numFmtId="164" fontId="1" fillId="7" borderId="1" xfId="1" applyNumberFormat="1" applyFill="1"/>
    <xf numFmtId="164" fontId="5" fillId="7" borderId="1" xfId="1" applyNumberFormat="1" applyFont="1" applyFill="1"/>
    <xf numFmtId="164" fontId="1" fillId="0" borderId="1" xfId="1" applyNumberFormat="1" applyFill="1"/>
    <xf numFmtId="164" fontId="1" fillId="0" borderId="1" xfId="1" applyNumberFormat="1" applyBorder="1"/>
    <xf numFmtId="0" fontId="0" fillId="0" borderId="1" xfId="0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76;&#1074;%2008_10_26%20&#1084;&#1088;&#1088;&#1089;&#1095;%20&#1087;&#1086;&#1082;%20&#1082;&#1080;%20(&#1041;&#1086;&#1103;&#1088;&#1082;&#1086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заказ в пути</v>
          </cell>
          <cell r="R3" t="str">
            <v>ср нов</v>
          </cell>
          <cell r="S3" t="str">
            <v>расчет</v>
          </cell>
        </row>
        <row r="4">
          <cell r="O4" t="str">
            <v>03,10,</v>
          </cell>
          <cell r="P4" t="str">
            <v>05,10,</v>
          </cell>
          <cell r="Q4" t="str">
            <v>10,10,</v>
          </cell>
          <cell r="R4" t="str">
            <v>08,10,</v>
          </cell>
        </row>
        <row r="5">
          <cell r="E5">
            <v>9457.110000000006</v>
          </cell>
          <cell r="F5">
            <v>10616.445000000002</v>
          </cell>
          <cell r="K5">
            <v>12032.295</v>
          </cell>
          <cell r="L5">
            <v>-2575.1850000000004</v>
          </cell>
          <cell r="M5">
            <v>0</v>
          </cell>
          <cell r="N5">
            <v>0</v>
          </cell>
          <cell r="O5">
            <v>4295.6332802177858</v>
          </cell>
          <cell r="P5">
            <v>3516.1213999175316</v>
          </cell>
          <cell r="Q5">
            <v>5445.1202714208675</v>
          </cell>
          <cell r="R5">
            <v>1891.4219999999993</v>
          </cell>
          <cell r="S5">
            <v>5029.2055489673776</v>
          </cell>
          <cell r="T5">
            <v>1700</v>
          </cell>
        </row>
        <row r="6">
          <cell r="A6" t="str">
            <v xml:space="preserve"> 005  Колбаса Докторская ГОСТ, Вязанка вектор,ВЕС. ПОКОМ</v>
          </cell>
          <cell r="B6" t="str">
            <v>кг</v>
          </cell>
          <cell r="C6">
            <v>80.915000000000006</v>
          </cell>
          <cell r="D6">
            <v>233.92599999999999</v>
          </cell>
          <cell r="E6">
            <v>98.316999999999993</v>
          </cell>
          <cell r="F6">
            <v>206.28</v>
          </cell>
          <cell r="G6">
            <v>1</v>
          </cell>
          <cell r="H6">
            <v>50</v>
          </cell>
          <cell r="I6" t="str">
            <v>матрица</v>
          </cell>
          <cell r="K6">
            <v>161.1</v>
          </cell>
          <cell r="L6">
            <v>-62.783000000000001</v>
          </cell>
          <cell r="O6">
            <v>0</v>
          </cell>
          <cell r="Q6">
            <v>42.618400000000022</v>
          </cell>
          <cell r="R6">
            <v>19.663399999999999</v>
          </cell>
        </row>
        <row r="7">
          <cell r="A7" t="str">
            <v xml:space="preserve"> 016  Сосиски Вязанка Молочные, Вязанка вискофан  ВЕС.ПОКОМ</v>
          </cell>
          <cell r="B7" t="str">
            <v>кг</v>
          </cell>
          <cell r="C7">
            <v>438.69900000000001</v>
          </cell>
          <cell r="D7">
            <v>103.523</v>
          </cell>
          <cell r="E7">
            <v>114.65900000000001</v>
          </cell>
          <cell r="F7">
            <v>379.351</v>
          </cell>
          <cell r="G7">
            <v>1</v>
          </cell>
          <cell r="H7">
            <v>45</v>
          </cell>
          <cell r="I7" t="str">
            <v>матрица</v>
          </cell>
          <cell r="K7">
            <v>133.99</v>
          </cell>
          <cell r="L7">
            <v>-19.331000000000003</v>
          </cell>
          <cell r="O7">
            <v>0</v>
          </cell>
          <cell r="Q7">
            <v>0</v>
          </cell>
          <cell r="R7">
            <v>22.931800000000003</v>
          </cell>
        </row>
        <row r="8">
          <cell r="A8" t="str">
            <v xml:space="preserve"> 017  Сосиски Вязанка Сливочные, Вязанка амицел ВЕС.ПОКОМ</v>
          </cell>
          <cell r="B8" t="str">
            <v>кг</v>
          </cell>
          <cell r="C8">
            <v>93.65</v>
          </cell>
          <cell r="D8">
            <v>129.54</v>
          </cell>
          <cell r="E8">
            <v>134.196</v>
          </cell>
          <cell r="F8">
            <v>51.54</v>
          </cell>
          <cell r="G8">
            <v>1</v>
          </cell>
          <cell r="H8">
            <v>45</v>
          </cell>
          <cell r="I8" t="str">
            <v>НЕДОГРУЗ / матрица</v>
          </cell>
          <cell r="K8">
            <v>153.69999999999999</v>
          </cell>
          <cell r="L8">
            <v>-19.503999999999991</v>
          </cell>
          <cell r="O8">
            <v>99</v>
          </cell>
          <cell r="P8">
            <v>30</v>
          </cell>
          <cell r="Q8">
            <v>200</v>
          </cell>
          <cell r="R8">
            <v>26.839199999999998</v>
          </cell>
        </row>
        <row r="9">
          <cell r="A9" t="str">
            <v xml:space="preserve"> 023  Колбаса Докторская ГОСТ, Вязанка вектор, 0,4 кг, ПОКОМ</v>
          </cell>
          <cell r="B9" t="str">
            <v>шт</v>
          </cell>
          <cell r="G9">
            <v>0</v>
          </cell>
          <cell r="I9" t="str">
            <v>матрица</v>
          </cell>
          <cell r="L9">
            <v>0</v>
          </cell>
          <cell r="O9">
            <v>0</v>
          </cell>
          <cell r="Q9">
            <v>0</v>
          </cell>
          <cell r="R9">
            <v>0</v>
          </cell>
        </row>
        <row r="10">
          <cell r="A10" t="str">
            <v xml:space="preserve"> 030  Сосиски Вязанка Молочные, Вязанка вискофан МГС, 0.45кг, ПОКОМ</v>
          </cell>
          <cell r="B10" t="str">
            <v>шт</v>
          </cell>
          <cell r="C10">
            <v>-9</v>
          </cell>
          <cell r="D10">
            <v>522</v>
          </cell>
          <cell r="E10">
            <v>441</v>
          </cell>
          <cell r="F10">
            <v>49</v>
          </cell>
          <cell r="G10">
            <v>0.45</v>
          </cell>
          <cell r="H10">
            <v>45</v>
          </cell>
          <cell r="I10" t="str">
            <v>матрица</v>
          </cell>
          <cell r="K10">
            <v>449</v>
          </cell>
          <cell r="L10">
            <v>-8</v>
          </cell>
          <cell r="O10">
            <v>300</v>
          </cell>
          <cell r="Q10">
            <v>0</v>
          </cell>
          <cell r="R10">
            <v>88.2</v>
          </cell>
          <cell r="S10">
            <v>621.20000000000005</v>
          </cell>
        </row>
        <row r="11">
          <cell r="A11" t="str">
            <v xml:space="preserve"> 032  Сосиски Вязанка Сливочные, Вязанка амицел МГС, 0.45кг, ПОКОМ</v>
          </cell>
          <cell r="B11" t="str">
            <v>шт</v>
          </cell>
          <cell r="C11">
            <v>227.6</v>
          </cell>
          <cell r="D11">
            <v>607</v>
          </cell>
          <cell r="E11">
            <v>466</v>
          </cell>
          <cell r="F11">
            <v>227</v>
          </cell>
          <cell r="G11">
            <v>0.45</v>
          </cell>
          <cell r="H11">
            <v>45</v>
          </cell>
          <cell r="I11" t="str">
            <v>матрица</v>
          </cell>
          <cell r="K11">
            <v>567</v>
          </cell>
          <cell r="L11">
            <v>-101</v>
          </cell>
          <cell r="O11">
            <v>0</v>
          </cell>
          <cell r="P11">
            <v>342.29294306335203</v>
          </cell>
          <cell r="Q11">
            <v>200</v>
          </cell>
          <cell r="R11">
            <v>93.2</v>
          </cell>
          <cell r="S11">
            <v>349.10705693664806</v>
          </cell>
        </row>
        <row r="12">
          <cell r="A12" t="str">
            <v xml:space="preserve"> 047  Кол Баварская, белков.обол. в термоусад. пакете 0.17 кг, ТМ Стародворье  ПОКОМ</v>
          </cell>
          <cell r="B12" t="str">
            <v>шт</v>
          </cell>
          <cell r="C12">
            <v>32</v>
          </cell>
          <cell r="D12">
            <v>90</v>
          </cell>
          <cell r="E12">
            <v>60</v>
          </cell>
          <cell r="F12">
            <v>58</v>
          </cell>
          <cell r="G12">
            <v>0.17</v>
          </cell>
          <cell r="H12">
            <v>180</v>
          </cell>
          <cell r="I12" t="str">
            <v>матрица</v>
          </cell>
          <cell r="K12">
            <v>61</v>
          </cell>
          <cell r="L12">
            <v>-1</v>
          </cell>
          <cell r="O12">
            <v>0</v>
          </cell>
          <cell r="Q12">
            <v>0</v>
          </cell>
          <cell r="R12">
            <v>12</v>
          </cell>
          <cell r="S12">
            <v>86</v>
          </cell>
        </row>
        <row r="13">
          <cell r="A13" t="str">
            <v xml:space="preserve"> 062  Колбаса Кракушка пряная с сальцем, 0.3кг в/у п/к, БАВАРУШКА ПОКОМ</v>
          </cell>
          <cell r="B13" t="str">
            <v>шт</v>
          </cell>
          <cell r="C13">
            <v>35</v>
          </cell>
          <cell r="D13">
            <v>24</v>
          </cell>
          <cell r="E13">
            <v>32</v>
          </cell>
          <cell r="F13">
            <v>23</v>
          </cell>
          <cell r="G13">
            <v>0.3</v>
          </cell>
          <cell r="H13">
            <v>40</v>
          </cell>
          <cell r="I13" t="str">
            <v>матрица</v>
          </cell>
          <cell r="K13">
            <v>34</v>
          </cell>
          <cell r="L13">
            <v>-2</v>
          </cell>
          <cell r="O13">
            <v>0</v>
          </cell>
          <cell r="P13">
            <v>18.5089005235602</v>
          </cell>
          <cell r="Q13">
            <v>70</v>
          </cell>
          <cell r="R13">
            <v>6.4</v>
          </cell>
        </row>
        <row r="14">
          <cell r="A14" t="str">
            <v xml:space="preserve"> 083  Колбаса Швейцарская 0,17 кг., ШТ., сырокопченая   ПОКОМ</v>
          </cell>
          <cell r="B14" t="str">
            <v>шт</v>
          </cell>
          <cell r="C14">
            <v>232</v>
          </cell>
          <cell r="D14">
            <v>15</v>
          </cell>
          <cell r="E14">
            <v>106</v>
          </cell>
          <cell r="F14">
            <v>126</v>
          </cell>
          <cell r="G14">
            <v>0.17</v>
          </cell>
          <cell r="H14">
            <v>180</v>
          </cell>
          <cell r="I14" t="str">
            <v>матрица</v>
          </cell>
          <cell r="K14">
            <v>122</v>
          </cell>
          <cell r="L14">
            <v>-16</v>
          </cell>
          <cell r="O14">
            <v>0</v>
          </cell>
          <cell r="P14">
            <v>10.600000000000019</v>
          </cell>
          <cell r="Q14">
            <v>70</v>
          </cell>
          <cell r="R14">
            <v>21.2</v>
          </cell>
          <cell r="S14">
            <v>47.799999999999955</v>
          </cell>
        </row>
        <row r="15">
          <cell r="A15" t="str">
            <v xml:space="preserve"> 200  Ветчина Дугушка ТМ Стародворье, вектор в/у    ПОКОМ</v>
          </cell>
          <cell r="B15" t="str">
            <v>кг</v>
          </cell>
          <cell r="C15">
            <v>180.96799999999999</v>
          </cell>
          <cell r="D15">
            <v>425.447</v>
          </cell>
          <cell r="E15">
            <v>190.38900000000001</v>
          </cell>
          <cell r="F15">
            <v>385.95100000000002</v>
          </cell>
          <cell r="G15">
            <v>1</v>
          </cell>
          <cell r="H15">
            <v>70</v>
          </cell>
          <cell r="I15" t="str">
            <v>матрица</v>
          </cell>
          <cell r="K15">
            <v>380.18</v>
          </cell>
          <cell r="L15">
            <v>-189.791</v>
          </cell>
          <cell r="O15">
            <v>50</v>
          </cell>
          <cell r="Q15">
            <v>150</v>
          </cell>
          <cell r="R15">
            <v>38.077800000000003</v>
          </cell>
        </row>
        <row r="16">
          <cell r="A16" t="str">
            <v xml:space="preserve"> 201  Ветчина Нежная ТМ Особый рецепт, (2,5кг), ПОКОМ</v>
          </cell>
          <cell r="B16" t="str">
            <v>кг</v>
          </cell>
          <cell r="C16">
            <v>1505.62</v>
          </cell>
          <cell r="D16">
            <v>571.19500000000005</v>
          </cell>
          <cell r="E16">
            <v>768.37699999999995</v>
          </cell>
          <cell r="F16">
            <v>1188.232</v>
          </cell>
          <cell r="G16">
            <v>1</v>
          </cell>
          <cell r="H16">
            <v>50</v>
          </cell>
          <cell r="I16" t="str">
            <v>матрица</v>
          </cell>
          <cell r="K16">
            <v>860.3</v>
          </cell>
          <cell r="L16">
            <v>-91.923000000000002</v>
          </cell>
          <cell r="O16">
            <v>0</v>
          </cell>
          <cell r="P16">
            <v>348.0912000000003</v>
          </cell>
          <cell r="Q16">
            <v>0</v>
          </cell>
          <cell r="R16">
            <v>153.6754</v>
          </cell>
          <cell r="S16">
            <v>307.7815999999998</v>
          </cell>
        </row>
        <row r="17">
          <cell r="A17" t="str">
            <v xml:space="preserve"> 215  Колбаса Докторская ГОСТ Дугушка, ВЕС, ТМ Стародворье ПОКОМ</v>
          </cell>
          <cell r="B17" t="str">
            <v>кг</v>
          </cell>
          <cell r="C17">
            <v>11.536</v>
          </cell>
          <cell r="D17">
            <v>63.811</v>
          </cell>
          <cell r="E17">
            <v>17.690000000000001</v>
          </cell>
          <cell r="F17">
            <v>48.787999999999997</v>
          </cell>
          <cell r="G17">
            <v>1</v>
          </cell>
          <cell r="H17">
            <v>60</v>
          </cell>
          <cell r="I17" t="str">
            <v>матрица</v>
          </cell>
          <cell r="K17">
            <v>112.5</v>
          </cell>
          <cell r="L17">
            <v>-94.81</v>
          </cell>
          <cell r="O17">
            <v>85.312799999999982</v>
          </cell>
          <cell r="P17">
            <v>34.571599999999997</v>
          </cell>
          <cell r="Q17">
            <v>0</v>
          </cell>
          <cell r="R17">
            <v>3.5380000000000003</v>
          </cell>
        </row>
        <row r="18">
          <cell r="A18" t="str">
            <v xml:space="preserve"> 217  Колбаса Докторская Дугушка, ВЕС, НЕ ГОСТ, ТМ Стародворье ПОКОМ</v>
          </cell>
          <cell r="B18" t="str">
            <v>кг</v>
          </cell>
          <cell r="C18">
            <v>-0.86099999999999999</v>
          </cell>
          <cell r="F18">
            <v>-0.86099999999999999</v>
          </cell>
          <cell r="G18">
            <v>0</v>
          </cell>
          <cell r="I18" t="str">
            <v>не в матрице</v>
          </cell>
          <cell r="L18">
            <v>0</v>
          </cell>
          <cell r="O18">
            <v>0</v>
          </cell>
          <cell r="Q18">
            <v>0</v>
          </cell>
          <cell r="R18">
            <v>0</v>
          </cell>
        </row>
        <row r="19">
          <cell r="A19" t="str">
            <v xml:space="preserve"> 219  Колбаса Докторская Особая ТМ Особый рецепт, ВЕС  ПОКОМ</v>
          </cell>
          <cell r="B19" t="str">
            <v>кг</v>
          </cell>
          <cell r="C19">
            <v>-12.473000000000001</v>
          </cell>
          <cell r="F19">
            <v>-12.473000000000001</v>
          </cell>
          <cell r="G19">
            <v>0</v>
          </cell>
          <cell r="I19" t="str">
            <v>не в матрице</v>
          </cell>
          <cell r="J19" t="str">
            <v xml:space="preserve"> 597  Колбаса Классическая ТМ Особый рецепт в оболочке полиамид ВЕС. ПОКОМ</v>
          </cell>
          <cell r="L19">
            <v>0</v>
          </cell>
          <cell r="O19">
            <v>0</v>
          </cell>
          <cell r="Q19">
            <v>0</v>
          </cell>
          <cell r="R19">
            <v>0</v>
          </cell>
        </row>
        <row r="20">
          <cell r="A20" t="str">
            <v xml:space="preserve"> 225  Колбаса Дугушка со шпиком, ВЕС, ТМ Стародворье   ПОКОМ</v>
          </cell>
          <cell r="B20" t="str">
            <v>кг</v>
          </cell>
          <cell r="C20">
            <v>2.956</v>
          </cell>
          <cell r="D20">
            <v>58.262999999999998</v>
          </cell>
          <cell r="E20">
            <v>12.246</v>
          </cell>
          <cell r="F20">
            <v>40.494</v>
          </cell>
          <cell r="G20">
            <v>1</v>
          </cell>
          <cell r="H20">
            <v>60</v>
          </cell>
          <cell r="I20" t="str">
            <v>матрица</v>
          </cell>
          <cell r="K20">
            <v>43.6</v>
          </cell>
          <cell r="L20">
            <v>-31.353999999999999</v>
          </cell>
          <cell r="O20">
            <v>20.084199999999999</v>
          </cell>
          <cell r="Q20">
            <v>0</v>
          </cell>
          <cell r="R20">
            <v>2.4492000000000003</v>
          </cell>
        </row>
        <row r="21">
          <cell r="A21" t="str">
            <v xml:space="preserve"> 226  Колбаса Княжеская, с/к белков.обол в термоусад. пакете, ВЕС, ТМ Стародворье ПОКОМ</v>
          </cell>
          <cell r="B21" t="str">
            <v>кг</v>
          </cell>
          <cell r="C21">
            <v>68.56</v>
          </cell>
          <cell r="D21">
            <v>0.36899999999999999</v>
          </cell>
          <cell r="E21">
            <v>7.1740000000000004</v>
          </cell>
          <cell r="F21">
            <v>60.646000000000001</v>
          </cell>
          <cell r="G21">
            <v>1</v>
          </cell>
          <cell r="H21">
            <v>180</v>
          </cell>
          <cell r="I21" t="str">
            <v>матрица</v>
          </cell>
          <cell r="K21">
            <v>5.67</v>
          </cell>
          <cell r="L21">
            <v>1.5040000000000004</v>
          </cell>
          <cell r="O21">
            <v>0</v>
          </cell>
          <cell r="Q21">
            <v>0</v>
          </cell>
          <cell r="R21">
            <v>1.4348000000000001</v>
          </cell>
        </row>
        <row r="22">
          <cell r="A22" t="str">
            <v xml:space="preserve"> 229  Колбаса Молочная Дугушка, в/у, ВЕС, ТМ Стародворье   ПОКОМ</v>
          </cell>
          <cell r="B22" t="str">
            <v>кг</v>
          </cell>
          <cell r="C22">
            <v>-11.92</v>
          </cell>
          <cell r="D22">
            <v>718.80899999999997</v>
          </cell>
          <cell r="E22">
            <v>241.114</v>
          </cell>
          <cell r="F22">
            <v>430.65899999999999</v>
          </cell>
          <cell r="G22">
            <v>1</v>
          </cell>
          <cell r="H22">
            <v>60</v>
          </cell>
          <cell r="I22" t="str">
            <v>матрица</v>
          </cell>
          <cell r="K22">
            <v>246</v>
          </cell>
          <cell r="L22">
            <v>-4.8859999999999957</v>
          </cell>
          <cell r="O22">
            <v>0</v>
          </cell>
          <cell r="Q22">
            <v>100</v>
          </cell>
          <cell r="R22">
            <v>48.222799999999999</v>
          </cell>
          <cell r="S22">
            <v>48.014599999999973</v>
          </cell>
        </row>
        <row r="23">
          <cell r="A23" t="str">
            <v xml:space="preserve"> 230  Колбаса Молочная Особая ТМ Особый рецепт, п/а, ВЕС. ПОКОМ</v>
          </cell>
          <cell r="B23" t="str">
            <v>кг</v>
          </cell>
          <cell r="C23">
            <v>-24.832999999999998</v>
          </cell>
          <cell r="D23">
            <v>2.4820000000000002</v>
          </cell>
          <cell r="F23">
            <v>-22.350999999999999</v>
          </cell>
          <cell r="G23">
            <v>0</v>
          </cell>
          <cell r="I23" t="str">
            <v>не в матрице</v>
          </cell>
          <cell r="J23" t="str">
            <v xml:space="preserve"> 457  Колбаса Молочная ТМ Особый рецепт ВЕС большой батон  ПОКОМ</v>
          </cell>
          <cell r="L23">
            <v>0</v>
          </cell>
          <cell r="O23">
            <v>0</v>
          </cell>
          <cell r="Q23">
            <v>0</v>
          </cell>
          <cell r="R23">
            <v>0</v>
          </cell>
        </row>
        <row r="24">
          <cell r="A24" t="str">
            <v xml:space="preserve"> 236  Колбаса Рубленая ЗАПЕЧ. Дугушка ТМ Стародворье, вектор, в/к    ПОКОМ</v>
          </cell>
          <cell r="B24" t="str">
            <v>кг</v>
          </cell>
          <cell r="C24">
            <v>83.402000000000001</v>
          </cell>
          <cell r="D24">
            <v>37.784999999999997</v>
          </cell>
          <cell r="E24">
            <v>107.928</v>
          </cell>
          <cell r="F24">
            <v>0.95199999999999996</v>
          </cell>
          <cell r="G24">
            <v>1</v>
          </cell>
          <cell r="H24">
            <v>70</v>
          </cell>
          <cell r="I24" t="str">
            <v>матрица</v>
          </cell>
          <cell r="K24">
            <v>123.58</v>
          </cell>
          <cell r="L24">
            <v>-15.652000000000001</v>
          </cell>
          <cell r="O24">
            <v>0</v>
          </cell>
          <cell r="P24">
            <v>51.844200000000029</v>
          </cell>
          <cell r="Q24">
            <v>150</v>
          </cell>
          <cell r="R24">
            <v>21.585599999999999</v>
          </cell>
          <cell r="S24">
            <v>56.230999999999966</v>
          </cell>
        </row>
        <row r="25">
          <cell r="A25" t="str">
            <v xml:space="preserve"> 239  Колбаса Салями запеч Дугушка, оболочка вектор, ВЕС, ТМ Стародворье  ПОКОМ</v>
          </cell>
          <cell r="B25" t="str">
            <v>кг</v>
          </cell>
          <cell r="C25">
            <v>9.4009999999999998</v>
          </cell>
          <cell r="D25">
            <v>191.977</v>
          </cell>
          <cell r="E25">
            <v>49.19</v>
          </cell>
          <cell r="F25">
            <v>137.274</v>
          </cell>
          <cell r="G25">
            <v>1</v>
          </cell>
          <cell r="H25">
            <v>70</v>
          </cell>
          <cell r="I25" t="str">
            <v>матрица</v>
          </cell>
          <cell r="K25">
            <v>144.1</v>
          </cell>
          <cell r="L25">
            <v>-94.91</v>
          </cell>
          <cell r="O25">
            <v>80</v>
          </cell>
          <cell r="P25">
            <v>17.31960000000003</v>
          </cell>
          <cell r="Q25">
            <v>100</v>
          </cell>
          <cell r="R25">
            <v>9.8379999999999992</v>
          </cell>
        </row>
        <row r="26">
          <cell r="A26" t="str">
            <v xml:space="preserve"> 240  Колбаса Салями охотничья, ВЕС. ПОКОМ</v>
          </cell>
          <cell r="B26" t="str">
            <v>кг</v>
          </cell>
          <cell r="C26">
            <v>64.289000000000001</v>
          </cell>
          <cell r="D26">
            <v>1.06</v>
          </cell>
          <cell r="E26">
            <v>8.3059999999999992</v>
          </cell>
          <cell r="F26">
            <v>55.982999999999997</v>
          </cell>
          <cell r="G26">
            <v>1</v>
          </cell>
          <cell r="H26">
            <v>180</v>
          </cell>
          <cell r="I26" t="str">
            <v>матрица</v>
          </cell>
          <cell r="K26">
            <v>8.66</v>
          </cell>
          <cell r="L26">
            <v>-0.35400000000000098</v>
          </cell>
          <cell r="O26">
            <v>0</v>
          </cell>
          <cell r="Q26">
            <v>0</v>
          </cell>
          <cell r="R26">
            <v>1.6611999999999998</v>
          </cell>
        </row>
        <row r="27">
          <cell r="A27" t="str">
            <v xml:space="preserve"> 242  Колбаса Сервелат ЗАПЕЧ.Дугушка ТМ Стародворье, вектор, в/к     ПОКОМ</v>
          </cell>
          <cell r="B27" t="str">
            <v>кг</v>
          </cell>
          <cell r="C27">
            <v>188.51</v>
          </cell>
          <cell r="D27">
            <v>136.80799999999999</v>
          </cell>
          <cell r="E27">
            <v>178.16900000000001</v>
          </cell>
          <cell r="F27">
            <v>116.44499999999999</v>
          </cell>
          <cell r="G27">
            <v>1</v>
          </cell>
          <cell r="H27">
            <v>70</v>
          </cell>
          <cell r="I27" t="str">
            <v>матрица</v>
          </cell>
          <cell r="K27">
            <v>193.3</v>
          </cell>
          <cell r="L27">
            <v>-15.131</v>
          </cell>
          <cell r="O27">
            <v>0</v>
          </cell>
          <cell r="P27">
            <v>25</v>
          </cell>
          <cell r="Q27">
            <v>250</v>
          </cell>
          <cell r="R27">
            <v>35.633800000000001</v>
          </cell>
          <cell r="S27">
            <v>36.160599999999988</v>
          </cell>
        </row>
        <row r="28">
          <cell r="A28" t="str">
            <v xml:space="preserve"> 244  Колбаса Сервелат Кремлевский, ВЕС. ПОКОМ</v>
          </cell>
          <cell r="B28" t="str">
            <v>кг</v>
          </cell>
          <cell r="G28">
            <v>0</v>
          </cell>
          <cell r="I28" t="str">
            <v>матрица</v>
          </cell>
          <cell r="L28">
            <v>0</v>
          </cell>
          <cell r="O28">
            <v>0</v>
          </cell>
          <cell r="Q28">
            <v>0</v>
          </cell>
          <cell r="R28">
            <v>0</v>
          </cell>
        </row>
        <row r="29">
          <cell r="A29" t="str">
            <v xml:space="preserve"> 247  Сардельки Нежные, ВЕС.  ПОКОМ</v>
          </cell>
          <cell r="B29" t="str">
            <v>кг</v>
          </cell>
          <cell r="C29">
            <v>26.54</v>
          </cell>
          <cell r="D29">
            <v>33.21</v>
          </cell>
          <cell r="E29">
            <v>30.86</v>
          </cell>
          <cell r="F29">
            <v>24.34</v>
          </cell>
          <cell r="G29">
            <v>1</v>
          </cell>
          <cell r="I29" t="str">
            <v>матрица</v>
          </cell>
          <cell r="K29">
            <v>45.2</v>
          </cell>
          <cell r="L29">
            <v>-14.340000000000003</v>
          </cell>
          <cell r="O29">
            <v>0</v>
          </cell>
          <cell r="P29">
            <v>14.7133870310641</v>
          </cell>
          <cell r="Q29">
            <v>49.176412968935892</v>
          </cell>
          <cell r="R29">
            <v>6.1719999999999997</v>
          </cell>
        </row>
        <row r="30">
          <cell r="A30" t="str">
            <v xml:space="preserve"> 248  Сардельки Сочные ТМ Особый рецепт,   ПОКОМ</v>
          </cell>
          <cell r="B30" t="str">
            <v>кг</v>
          </cell>
          <cell r="D30">
            <v>27.571000000000002</v>
          </cell>
          <cell r="E30">
            <v>7.6449999999999996</v>
          </cell>
          <cell r="F30">
            <v>19.925999999999998</v>
          </cell>
          <cell r="G30">
            <v>1</v>
          </cell>
          <cell r="H30">
            <v>40</v>
          </cell>
          <cell r="I30" t="str">
            <v>НЕДОГРУЗ / матрица</v>
          </cell>
          <cell r="K30">
            <v>6.5</v>
          </cell>
          <cell r="L30">
            <v>1.1449999999999996</v>
          </cell>
          <cell r="O30">
            <v>0</v>
          </cell>
          <cell r="Q30">
            <v>30</v>
          </cell>
          <cell r="R30">
            <v>1.5289999999999999</v>
          </cell>
        </row>
        <row r="31">
          <cell r="A31" t="str">
            <v xml:space="preserve"> 250  Сардельки стародворские с говядиной в обол. NDX, ВЕС. ПОКОМ</v>
          </cell>
          <cell r="B31" t="str">
            <v>кг</v>
          </cell>
          <cell r="C31">
            <v>-1.38</v>
          </cell>
          <cell r="F31">
            <v>-1.38</v>
          </cell>
          <cell r="G31">
            <v>1</v>
          </cell>
          <cell r="H31">
            <v>30</v>
          </cell>
          <cell r="I31" t="str">
            <v>НЕДОГРУЗ / матрица</v>
          </cell>
          <cell r="K31">
            <v>10.4</v>
          </cell>
          <cell r="L31">
            <v>-10.4</v>
          </cell>
          <cell r="O31">
            <v>250</v>
          </cell>
          <cell r="Q31">
            <v>50</v>
          </cell>
          <cell r="R31">
            <v>0</v>
          </cell>
          <cell r="T31">
            <v>200</v>
          </cell>
          <cell r="U31" t="str">
            <v>Есть спрос</v>
          </cell>
        </row>
        <row r="32">
          <cell r="A32" t="str">
            <v xml:space="preserve"> 255  Сосиски Молочные для завтрака ТМ Особый рецепт, п/а МГС, ВЕС, ТМ Стародворье  ПОКОМ</v>
          </cell>
          <cell r="B32" t="str">
            <v>кг</v>
          </cell>
          <cell r="C32">
            <v>106.634</v>
          </cell>
          <cell r="D32">
            <v>430.27199999999999</v>
          </cell>
          <cell r="E32">
            <v>221.386</v>
          </cell>
          <cell r="F32">
            <v>293.12599999999998</v>
          </cell>
          <cell r="G32">
            <v>1</v>
          </cell>
          <cell r="H32">
            <v>40</v>
          </cell>
          <cell r="I32" t="str">
            <v>матрица</v>
          </cell>
          <cell r="K32">
            <v>300.2</v>
          </cell>
          <cell r="L32">
            <v>-78.813999999999993</v>
          </cell>
          <cell r="O32">
            <v>0</v>
          </cell>
          <cell r="P32">
            <v>357.00320000000011</v>
          </cell>
          <cell r="Q32">
            <v>0</v>
          </cell>
          <cell r="R32">
            <v>44.277200000000001</v>
          </cell>
        </row>
        <row r="33">
          <cell r="A33" t="str">
            <v xml:space="preserve"> 257  Сосиски Молочные оригинальные ТМ Особый рецепт, ВЕС.   ПОКОМ</v>
          </cell>
          <cell r="B33" t="str">
            <v>кг</v>
          </cell>
          <cell r="D33">
            <v>34.688000000000002</v>
          </cell>
          <cell r="E33">
            <v>1.42</v>
          </cell>
          <cell r="F33">
            <v>33.268000000000001</v>
          </cell>
          <cell r="G33">
            <v>1</v>
          </cell>
          <cell r="H33">
            <v>40</v>
          </cell>
          <cell r="I33" t="str">
            <v>матрица</v>
          </cell>
          <cell r="K33">
            <v>1.3</v>
          </cell>
          <cell r="L33">
            <v>0.11999999999999988</v>
          </cell>
          <cell r="O33">
            <v>0</v>
          </cell>
          <cell r="P33">
            <v>10</v>
          </cell>
          <cell r="Q33">
            <v>0</v>
          </cell>
          <cell r="R33">
            <v>0.28399999999999997</v>
          </cell>
        </row>
        <row r="34">
          <cell r="A34" t="str">
            <v xml:space="preserve"> 263  Шпикачки Стародворские, ВЕС.  ПОКОМ</v>
          </cell>
          <cell r="B34" t="str">
            <v>кг</v>
          </cell>
          <cell r="C34">
            <v>39.491</v>
          </cell>
          <cell r="F34">
            <v>39.491</v>
          </cell>
          <cell r="G34">
            <v>1</v>
          </cell>
          <cell r="H34">
            <v>30</v>
          </cell>
          <cell r="I34" t="str">
            <v>НЕДОГРУЗ / матрица</v>
          </cell>
          <cell r="L34">
            <v>0</v>
          </cell>
          <cell r="O34">
            <v>0</v>
          </cell>
          <cell r="Q34">
            <v>0</v>
          </cell>
          <cell r="R34">
            <v>0</v>
          </cell>
        </row>
        <row r="35">
          <cell r="A35" t="str">
            <v xml:space="preserve"> 265  Колбаса Балыкбургская, ВЕС, ТМ Баварушка  ПОКОМ</v>
          </cell>
          <cell r="B35" t="str">
            <v>кг</v>
          </cell>
          <cell r="C35">
            <v>198.56399999999999</v>
          </cell>
          <cell r="D35">
            <v>19.109000000000002</v>
          </cell>
          <cell r="E35">
            <v>13.694000000000001</v>
          </cell>
          <cell r="F35">
            <v>198.52099999999999</v>
          </cell>
          <cell r="G35">
            <v>1</v>
          </cell>
          <cell r="H35">
            <v>50</v>
          </cell>
          <cell r="I35" t="str">
            <v>матрица</v>
          </cell>
          <cell r="K35">
            <v>15.856999999999999</v>
          </cell>
          <cell r="L35">
            <v>-2.1629999999999985</v>
          </cell>
          <cell r="O35">
            <v>0</v>
          </cell>
          <cell r="Q35">
            <v>0</v>
          </cell>
          <cell r="R35">
            <v>2.7388000000000003</v>
          </cell>
        </row>
        <row r="36">
          <cell r="A36" t="str">
            <v xml:space="preserve"> 266  Колбаса Филейбургская с сочным окороком, ВЕС, ТМ Баварушка  ПОКОМ</v>
          </cell>
          <cell r="B36" t="str">
            <v>кг</v>
          </cell>
          <cell r="C36">
            <v>-8.093</v>
          </cell>
          <cell r="E36">
            <v>1.819</v>
          </cell>
          <cell r="F36">
            <v>-9.9120000000000008</v>
          </cell>
          <cell r="G36">
            <v>0</v>
          </cell>
          <cell r="I36" t="str">
            <v>не в матрице</v>
          </cell>
          <cell r="K36">
            <v>1.8</v>
          </cell>
          <cell r="L36">
            <v>1.8999999999999906E-2</v>
          </cell>
          <cell r="O36">
            <v>0</v>
          </cell>
          <cell r="Q36">
            <v>0</v>
          </cell>
          <cell r="R36">
            <v>0.36380000000000001</v>
          </cell>
        </row>
        <row r="37">
          <cell r="A37" t="str">
            <v xml:space="preserve"> 267  Колбаса Салями Филейбургская зернистая, оболочка фиброуз, ВЕС, ТМ Баварушка  ПОКОМ</v>
          </cell>
          <cell r="B37" t="str">
            <v>кг</v>
          </cell>
          <cell r="C37">
            <v>87.631</v>
          </cell>
          <cell r="D37">
            <v>12.682</v>
          </cell>
          <cell r="E37">
            <v>2.7240000000000002</v>
          </cell>
          <cell r="F37">
            <v>96.694999999999993</v>
          </cell>
          <cell r="G37">
            <v>1</v>
          </cell>
          <cell r="H37">
            <v>50</v>
          </cell>
          <cell r="I37" t="str">
            <v>матрица</v>
          </cell>
          <cell r="K37">
            <v>3.5</v>
          </cell>
          <cell r="L37">
            <v>-0.7759999999999998</v>
          </cell>
          <cell r="O37">
            <v>0</v>
          </cell>
          <cell r="Q37">
            <v>0</v>
          </cell>
          <cell r="R37">
            <v>0.54480000000000006</v>
          </cell>
        </row>
        <row r="38">
          <cell r="A38" t="str">
            <v xml:space="preserve"> 273  Сосиски Сочинки с сочной грудинкой, МГС 0.4кг,   ПОКОМ</v>
          </cell>
          <cell r="B38" t="str">
            <v>шт</v>
          </cell>
          <cell r="C38">
            <v>2</v>
          </cell>
          <cell r="D38">
            <v>530</v>
          </cell>
          <cell r="E38">
            <v>511</v>
          </cell>
          <cell r="F38">
            <v>4</v>
          </cell>
          <cell r="G38">
            <v>0.4</v>
          </cell>
          <cell r="H38">
            <v>45</v>
          </cell>
          <cell r="I38" t="str">
            <v>НЕДОГРУЗ / матрица</v>
          </cell>
          <cell r="K38">
            <v>658</v>
          </cell>
          <cell r="L38">
            <v>-147</v>
          </cell>
          <cell r="O38">
            <v>300</v>
          </cell>
          <cell r="P38">
            <v>200</v>
          </cell>
          <cell r="Q38">
            <v>300</v>
          </cell>
          <cell r="R38">
            <v>102.2</v>
          </cell>
          <cell r="S38">
            <v>422.40000000000009</v>
          </cell>
        </row>
        <row r="39">
          <cell r="A39" t="str">
            <v xml:space="preserve"> 276  Колбаса Сливушка ТМ Вязанка в оболочке полиамид 0,45 кг  ПОКОМ</v>
          </cell>
          <cell r="B39" t="str">
            <v>шт</v>
          </cell>
          <cell r="C39">
            <v>382</v>
          </cell>
          <cell r="D39">
            <v>11</v>
          </cell>
          <cell r="E39">
            <v>192</v>
          </cell>
          <cell r="F39">
            <v>182</v>
          </cell>
          <cell r="G39">
            <v>0.45</v>
          </cell>
          <cell r="H39">
            <v>50</v>
          </cell>
          <cell r="I39" t="str">
            <v>матрица</v>
          </cell>
          <cell r="K39">
            <v>211</v>
          </cell>
          <cell r="L39">
            <v>-19</v>
          </cell>
          <cell r="O39">
            <v>0</v>
          </cell>
          <cell r="P39">
            <v>127.4</v>
          </cell>
          <cell r="Q39">
            <v>0</v>
          </cell>
          <cell r="R39">
            <v>38.4</v>
          </cell>
          <cell r="S39">
            <v>151.39999999999998</v>
          </cell>
        </row>
        <row r="40">
          <cell r="A40" t="str">
            <v xml:space="preserve"> 278  Сосиски Сочинки с сочным окороком, МГС 0.4кг,   ПОКОМ</v>
          </cell>
          <cell r="B40" t="str">
            <v>шт</v>
          </cell>
          <cell r="C40">
            <v>-2</v>
          </cell>
          <cell r="D40">
            <v>299</v>
          </cell>
          <cell r="E40">
            <v>230</v>
          </cell>
          <cell r="F40">
            <v>-4</v>
          </cell>
          <cell r="G40">
            <v>0.4</v>
          </cell>
          <cell r="H40">
            <v>45</v>
          </cell>
          <cell r="I40" t="str">
            <v>матрица</v>
          </cell>
          <cell r="K40">
            <v>289</v>
          </cell>
          <cell r="L40">
            <v>-59</v>
          </cell>
          <cell r="O40">
            <v>250</v>
          </cell>
          <cell r="P40">
            <v>150</v>
          </cell>
          <cell r="Q40">
            <v>100</v>
          </cell>
          <cell r="R40">
            <v>46</v>
          </cell>
          <cell r="S40">
            <v>56</v>
          </cell>
        </row>
        <row r="41">
          <cell r="A41" t="str">
            <v xml:space="preserve"> 281  Сосиски Молочные для завтрака ТМ Особый рецепт, 0,4кг  ПОКОМ</v>
          </cell>
          <cell r="B41" t="str">
            <v>шт</v>
          </cell>
          <cell r="C41">
            <v>78</v>
          </cell>
          <cell r="D41">
            <v>90</v>
          </cell>
          <cell r="E41">
            <v>102</v>
          </cell>
          <cell r="F41">
            <v>59</v>
          </cell>
          <cell r="G41">
            <v>0.4</v>
          </cell>
          <cell r="H41">
            <v>40</v>
          </cell>
          <cell r="I41" t="str">
            <v>матрица</v>
          </cell>
          <cell r="K41">
            <v>101</v>
          </cell>
          <cell r="L41">
            <v>1</v>
          </cell>
          <cell r="O41">
            <v>60</v>
          </cell>
          <cell r="P41">
            <v>50</v>
          </cell>
          <cell r="Q41">
            <v>30</v>
          </cell>
          <cell r="R41">
            <v>20.399999999999999</v>
          </cell>
          <cell r="S41">
            <v>45.799999999999983</v>
          </cell>
        </row>
        <row r="42">
          <cell r="A42" t="str">
            <v xml:space="preserve"> 283  Сосиски Сочинки, ВЕС, ТМ Стародворье ПОКОМ</v>
          </cell>
          <cell r="B42" t="str">
            <v>кг</v>
          </cell>
          <cell r="C42">
            <v>49.460999999999999</v>
          </cell>
          <cell r="D42">
            <v>14.196999999999999</v>
          </cell>
          <cell r="F42">
            <v>58</v>
          </cell>
          <cell r="G42">
            <v>1</v>
          </cell>
          <cell r="H42">
            <v>45</v>
          </cell>
          <cell r="I42" t="str">
            <v>НЕДОГРУЗ / матрица</v>
          </cell>
          <cell r="K42">
            <v>6</v>
          </cell>
          <cell r="L42">
            <v>-6</v>
          </cell>
          <cell r="O42">
            <v>0</v>
          </cell>
          <cell r="Q42">
            <v>0</v>
          </cell>
          <cell r="R42">
            <v>0</v>
          </cell>
        </row>
        <row r="43">
          <cell r="A43" t="str">
            <v xml:space="preserve"> 285  Паштет печеночный со слив.маслом ТМ Стародворье ламистер 0,1 кг  ПОКОМ</v>
          </cell>
          <cell r="B43" t="str">
            <v>шт</v>
          </cell>
          <cell r="C43">
            <v>309</v>
          </cell>
          <cell r="D43">
            <v>66</v>
          </cell>
          <cell r="E43">
            <v>47</v>
          </cell>
          <cell r="F43">
            <v>317</v>
          </cell>
          <cell r="G43">
            <v>0.1</v>
          </cell>
          <cell r="H43">
            <v>731</v>
          </cell>
          <cell r="I43" t="str">
            <v>матрица</v>
          </cell>
          <cell r="K43">
            <v>53</v>
          </cell>
          <cell r="L43">
            <v>-6</v>
          </cell>
          <cell r="O43">
            <v>0</v>
          </cell>
          <cell r="Q43">
            <v>0</v>
          </cell>
          <cell r="R43">
            <v>9.4</v>
          </cell>
        </row>
        <row r="44">
          <cell r="A44" t="str">
            <v xml:space="preserve"> 296  Колбаса Мясорубская с рубленой грудинкой 0,35кг срез ТМ Стародворье  ПОКОМ</v>
          </cell>
          <cell r="B44" t="str">
            <v>шт</v>
          </cell>
          <cell r="D44">
            <v>6</v>
          </cell>
          <cell r="F44">
            <v>6</v>
          </cell>
          <cell r="G44">
            <v>0.35</v>
          </cell>
          <cell r="H44">
            <v>40</v>
          </cell>
          <cell r="I44" t="str">
            <v>НЕДОГРУЗ / матрица</v>
          </cell>
          <cell r="K44">
            <v>6</v>
          </cell>
          <cell r="L44">
            <v>-6</v>
          </cell>
          <cell r="O44">
            <v>60</v>
          </cell>
          <cell r="Q44">
            <v>130</v>
          </cell>
          <cell r="R44">
            <v>0</v>
          </cell>
          <cell r="T44">
            <v>100</v>
          </cell>
          <cell r="U44" t="str">
            <v>Есть спрос</v>
          </cell>
        </row>
        <row r="45">
          <cell r="A45" t="str">
            <v xml:space="preserve"> 297  Колбаса Мясорубская с рубленой грудинкой ВЕС ТМ Стародворье  ПОКОМ</v>
          </cell>
          <cell r="B45" t="str">
            <v>кг</v>
          </cell>
          <cell r="C45">
            <v>22.341999999999999</v>
          </cell>
          <cell r="D45">
            <v>70.588999999999999</v>
          </cell>
          <cell r="E45">
            <v>21.622</v>
          </cell>
          <cell r="F45">
            <v>70.585999999999999</v>
          </cell>
          <cell r="G45">
            <v>1</v>
          </cell>
          <cell r="H45">
            <v>40</v>
          </cell>
          <cell r="I45" t="str">
            <v>матрица</v>
          </cell>
          <cell r="K45">
            <v>23.3</v>
          </cell>
          <cell r="L45">
            <v>-1.6780000000000008</v>
          </cell>
          <cell r="O45">
            <v>0</v>
          </cell>
          <cell r="P45">
            <v>10</v>
          </cell>
          <cell r="Q45">
            <v>30</v>
          </cell>
          <cell r="R45">
            <v>4.3243999999999998</v>
          </cell>
          <cell r="T45">
            <v>50</v>
          </cell>
          <cell r="U45" t="str">
            <v>Есть спрос</v>
          </cell>
        </row>
        <row r="46">
          <cell r="A46" t="str">
            <v xml:space="preserve"> 301  Сосиски Сочинки по-баварски с сыром,  0.4кг, ТМ Стародворье  ПОКОМ</v>
          </cell>
          <cell r="B46" t="str">
            <v>шт</v>
          </cell>
          <cell r="C46">
            <v>-3</v>
          </cell>
          <cell r="D46">
            <v>90</v>
          </cell>
          <cell r="E46">
            <v>91</v>
          </cell>
          <cell r="F46">
            <v>-5</v>
          </cell>
          <cell r="G46">
            <v>0.4</v>
          </cell>
          <cell r="H46">
            <v>40</v>
          </cell>
          <cell r="I46" t="str">
            <v>НЕДОГРУЗ / матрица</v>
          </cell>
          <cell r="K46">
            <v>225</v>
          </cell>
          <cell r="L46">
            <v>-134</v>
          </cell>
          <cell r="O46">
            <v>150</v>
          </cell>
          <cell r="Q46">
            <v>0</v>
          </cell>
          <cell r="R46">
            <v>18.2</v>
          </cell>
          <cell r="S46">
            <v>73.399999999999977</v>
          </cell>
        </row>
        <row r="47">
          <cell r="A47" t="str">
            <v xml:space="preserve"> 302  Сосиски Сочинки по-баварски,  0.4кг, ТМ Стародворье  ПОКОМ</v>
          </cell>
          <cell r="B47" t="str">
            <v>шт</v>
          </cell>
          <cell r="C47">
            <v>-6</v>
          </cell>
          <cell r="D47">
            <v>210</v>
          </cell>
          <cell r="E47">
            <v>208</v>
          </cell>
          <cell r="F47">
            <v>-7</v>
          </cell>
          <cell r="G47">
            <v>0.4</v>
          </cell>
          <cell r="H47">
            <v>45</v>
          </cell>
          <cell r="I47" t="str">
            <v>НЕДОГРУЗ / матрица</v>
          </cell>
          <cell r="K47">
            <v>295</v>
          </cell>
          <cell r="L47">
            <v>-87</v>
          </cell>
          <cell r="O47">
            <v>0</v>
          </cell>
          <cell r="Q47">
            <v>20</v>
          </cell>
          <cell r="R47">
            <v>41.6</v>
          </cell>
          <cell r="S47">
            <v>319.8</v>
          </cell>
        </row>
        <row r="48">
          <cell r="A48" t="str">
            <v xml:space="preserve"> 305  Колбаса Сервелат Мясорубский с мелкорубленным окороком в/у  ТМ Стародворье ВЕС   ПОКОМ</v>
          </cell>
          <cell r="B48" t="str">
            <v>кг</v>
          </cell>
          <cell r="C48">
            <v>33.914999999999999</v>
          </cell>
          <cell r="D48">
            <v>66.222999999999999</v>
          </cell>
          <cell r="E48">
            <v>41.917999999999999</v>
          </cell>
          <cell r="F48">
            <v>53.103999999999999</v>
          </cell>
          <cell r="G48">
            <v>1</v>
          </cell>
          <cell r="H48">
            <v>40</v>
          </cell>
          <cell r="I48" t="str">
            <v>НЕДОГРУЗ / матрица</v>
          </cell>
          <cell r="K48">
            <v>43.737000000000002</v>
          </cell>
          <cell r="L48">
            <v>-1.8190000000000026</v>
          </cell>
          <cell r="O48">
            <v>20</v>
          </cell>
          <cell r="P48">
            <v>52.641200000000012</v>
          </cell>
          <cell r="Q48">
            <v>100</v>
          </cell>
          <cell r="R48">
            <v>8.3835999999999995</v>
          </cell>
        </row>
        <row r="49">
          <cell r="A49" t="str">
            <v xml:space="preserve"> 307  Колбаса Сервелат Мясорубский с мелкорубленным окороком 0,35 кг срез ТМ Стародворье   Поком</v>
          </cell>
          <cell r="B49" t="str">
            <v>шт</v>
          </cell>
          <cell r="G49">
            <v>0.35</v>
          </cell>
          <cell r="H49">
            <v>40</v>
          </cell>
          <cell r="I49" t="str">
            <v>НЕДОГРУЗ / матрица</v>
          </cell>
          <cell r="K49">
            <v>24</v>
          </cell>
          <cell r="L49">
            <v>-24</v>
          </cell>
          <cell r="O49">
            <v>250</v>
          </cell>
          <cell r="Q49">
            <v>0</v>
          </cell>
          <cell r="R49">
            <v>0</v>
          </cell>
          <cell r="S49">
            <v>50</v>
          </cell>
          <cell r="T49">
            <v>100</v>
          </cell>
          <cell r="U49" t="str">
            <v>Есть спрос</v>
          </cell>
        </row>
        <row r="50">
          <cell r="A50" t="str">
            <v xml:space="preserve"> 309  Сосиски Сочинки с сыром 0,4 кг ТМ Стародворье  ПОКОМ</v>
          </cell>
          <cell r="B50" t="str">
            <v>шт</v>
          </cell>
          <cell r="C50">
            <v>160</v>
          </cell>
          <cell r="D50">
            <v>17</v>
          </cell>
          <cell r="E50">
            <v>169</v>
          </cell>
          <cell r="F50">
            <v>-1</v>
          </cell>
          <cell r="G50">
            <v>0.4</v>
          </cell>
          <cell r="H50">
            <v>40</v>
          </cell>
          <cell r="I50" t="str">
            <v>матрица</v>
          </cell>
          <cell r="K50">
            <v>181</v>
          </cell>
          <cell r="L50">
            <v>-12</v>
          </cell>
          <cell r="O50">
            <v>141.19999999999999</v>
          </cell>
          <cell r="P50">
            <v>201.6</v>
          </cell>
          <cell r="Q50">
            <v>0</v>
          </cell>
          <cell r="R50">
            <v>33.799999999999997</v>
          </cell>
          <cell r="S50">
            <v>63.799999999999983</v>
          </cell>
        </row>
        <row r="51">
          <cell r="A51" t="str">
            <v xml:space="preserve"> 312  Ветчина Филейская ВЕС ТМ  Вязанка ТС Столичная  ПОКОМ</v>
          </cell>
          <cell r="B51" t="str">
            <v>кг</v>
          </cell>
          <cell r="C51">
            <v>-5.444</v>
          </cell>
          <cell r="D51">
            <v>155.25399999999999</v>
          </cell>
          <cell r="E51">
            <v>57.250999999999998</v>
          </cell>
          <cell r="F51">
            <v>80.393000000000001</v>
          </cell>
          <cell r="G51">
            <v>1</v>
          </cell>
          <cell r="H51">
            <v>50</v>
          </cell>
          <cell r="I51" t="str">
            <v>матрица</v>
          </cell>
          <cell r="K51">
            <v>98.3</v>
          </cell>
          <cell r="L51">
            <v>-41.048999999999999</v>
          </cell>
          <cell r="O51">
            <v>0</v>
          </cell>
          <cell r="Q51">
            <v>0</v>
          </cell>
          <cell r="R51">
            <v>11.450199999999999</v>
          </cell>
          <cell r="S51">
            <v>57.009399999999999</v>
          </cell>
        </row>
        <row r="52">
          <cell r="A52" t="str">
            <v xml:space="preserve"> 315  Колбаса вареная Молокуша ТМ Вязанка ВЕС, ПОКОМ</v>
          </cell>
          <cell r="B52" t="str">
            <v>кг</v>
          </cell>
          <cell r="C52">
            <v>55.29</v>
          </cell>
          <cell r="D52">
            <v>2.8220000000000001</v>
          </cell>
          <cell r="E52">
            <v>53.960999999999999</v>
          </cell>
          <cell r="F52">
            <v>-2.5999999999999999E-2</v>
          </cell>
          <cell r="G52">
            <v>1</v>
          </cell>
          <cell r="H52">
            <v>50</v>
          </cell>
          <cell r="I52" t="str">
            <v>матрица</v>
          </cell>
          <cell r="K52">
            <v>68.599999999999994</v>
          </cell>
          <cell r="L52">
            <v>-14.638999999999996</v>
          </cell>
          <cell r="O52">
            <v>54.752200000000023</v>
          </cell>
          <cell r="P52">
            <v>112.13199999999991</v>
          </cell>
          <cell r="Q52">
            <v>150</v>
          </cell>
          <cell r="R52">
            <v>10.792199999999999</v>
          </cell>
          <cell r="T52">
            <v>50</v>
          </cell>
          <cell r="U52" t="str">
            <v>Промо</v>
          </cell>
        </row>
        <row r="53">
          <cell r="A53" t="str">
            <v xml:space="preserve"> 318  Сосиски Датские ТМ Зареченские, ВЕС  ПОКОМ</v>
          </cell>
          <cell r="B53" t="str">
            <v>кг</v>
          </cell>
          <cell r="C53">
            <v>141.90199999999999</v>
          </cell>
          <cell r="E53">
            <v>13.888999999999999</v>
          </cell>
          <cell r="F53">
            <v>128.01300000000001</v>
          </cell>
          <cell r="G53">
            <v>1</v>
          </cell>
          <cell r="H53">
            <v>45</v>
          </cell>
          <cell r="I53" t="str">
            <v>НЕДОГРУЗ / матрица</v>
          </cell>
          <cell r="K53">
            <v>11.7</v>
          </cell>
          <cell r="L53">
            <v>2.1890000000000001</v>
          </cell>
          <cell r="O53">
            <v>0</v>
          </cell>
          <cell r="Q53">
            <v>0</v>
          </cell>
          <cell r="R53">
            <v>2.7778</v>
          </cell>
        </row>
        <row r="54">
          <cell r="A54" t="str">
            <v xml:space="preserve"> 319  Колбаса вареная Филейская ТМ Вязанка ТС Классическая, 0,45 кг. ПОКОМ</v>
          </cell>
          <cell r="B54" t="str">
            <v>шт</v>
          </cell>
          <cell r="C54">
            <v>211</v>
          </cell>
          <cell r="D54">
            <v>5</v>
          </cell>
          <cell r="E54">
            <v>72</v>
          </cell>
          <cell r="F54">
            <v>126</v>
          </cell>
          <cell r="G54">
            <v>0.45</v>
          </cell>
          <cell r="H54">
            <v>50</v>
          </cell>
          <cell r="I54" t="str">
            <v>матрица</v>
          </cell>
          <cell r="K54">
            <v>77</v>
          </cell>
          <cell r="L54">
            <v>-5</v>
          </cell>
          <cell r="O54">
            <v>0</v>
          </cell>
          <cell r="Q54">
            <v>0</v>
          </cell>
          <cell r="R54">
            <v>14.4</v>
          </cell>
          <cell r="S54">
            <v>46.800000000000011</v>
          </cell>
        </row>
        <row r="55">
          <cell r="A55" t="str">
            <v xml:space="preserve"> 322  Колбаса вареная Молокуша 0,45кг ТМ Вязанка  ПОКОМ</v>
          </cell>
          <cell r="B55" t="str">
            <v>шт</v>
          </cell>
          <cell r="C55">
            <v>110</v>
          </cell>
          <cell r="D55">
            <v>90</v>
          </cell>
          <cell r="E55">
            <v>158</v>
          </cell>
          <cell r="F55">
            <v>20</v>
          </cell>
          <cell r="G55">
            <v>0.45</v>
          </cell>
          <cell r="H55">
            <v>50</v>
          </cell>
          <cell r="I55" t="str">
            <v>матрица</v>
          </cell>
          <cell r="K55">
            <v>174</v>
          </cell>
          <cell r="L55">
            <v>-16</v>
          </cell>
          <cell r="O55">
            <v>47.111627906976743</v>
          </cell>
          <cell r="P55">
            <v>81.19999999999996</v>
          </cell>
          <cell r="Q55">
            <v>50</v>
          </cell>
          <cell r="R55">
            <v>31.6</v>
          </cell>
          <cell r="S55">
            <v>180.88837209302335</v>
          </cell>
          <cell r="T55">
            <v>200</v>
          </cell>
          <cell r="U55" t="str">
            <v>Есть спрос</v>
          </cell>
        </row>
        <row r="56">
          <cell r="A56" t="str">
            <v xml:space="preserve"> 328  Сардельки Сочинки Стародворье ТМ  0,4 кг ПОКОМ</v>
          </cell>
          <cell r="B56" t="str">
            <v>шт</v>
          </cell>
          <cell r="D56">
            <v>18</v>
          </cell>
          <cell r="F56">
            <v>18</v>
          </cell>
          <cell r="G56">
            <v>0.4</v>
          </cell>
          <cell r="H56">
            <v>40</v>
          </cell>
          <cell r="I56" t="str">
            <v>матрица</v>
          </cell>
          <cell r="K56">
            <v>5</v>
          </cell>
          <cell r="L56">
            <v>-5</v>
          </cell>
          <cell r="O56">
            <v>5</v>
          </cell>
          <cell r="Q56">
            <v>40</v>
          </cell>
          <cell r="R56">
            <v>0</v>
          </cell>
        </row>
        <row r="57">
          <cell r="A57" t="str">
            <v xml:space="preserve"> 329  Сардельки Сочинки с сыром Стародворье ТМ, 0,4 кг. ПОКОМ</v>
          </cell>
          <cell r="B57" t="str">
            <v>шт</v>
          </cell>
          <cell r="D57">
            <v>30</v>
          </cell>
          <cell r="E57">
            <v>1</v>
          </cell>
          <cell r="F57">
            <v>24</v>
          </cell>
          <cell r="G57">
            <v>0.4</v>
          </cell>
          <cell r="H57">
            <v>40</v>
          </cell>
          <cell r="I57" t="str">
            <v>матрица</v>
          </cell>
          <cell r="K57">
            <v>5</v>
          </cell>
          <cell r="L57">
            <v>-4</v>
          </cell>
          <cell r="O57">
            <v>5</v>
          </cell>
          <cell r="Q57">
            <v>40</v>
          </cell>
          <cell r="R57">
            <v>0.2</v>
          </cell>
        </row>
        <row r="58">
          <cell r="A58" t="str">
            <v xml:space="preserve"> 330  Колбаса вареная Филейская ТМ Вязанка ТС Классическая ВЕС  ПОКОМ</v>
          </cell>
          <cell r="B58" t="str">
            <v>кг</v>
          </cell>
          <cell r="C58">
            <v>110.602</v>
          </cell>
          <cell r="D58">
            <v>6.8019999999999996</v>
          </cell>
          <cell r="E58">
            <v>61.252000000000002</v>
          </cell>
          <cell r="F58">
            <v>42.543999999999997</v>
          </cell>
          <cell r="G58">
            <v>1</v>
          </cell>
          <cell r="H58">
            <v>50</v>
          </cell>
          <cell r="I58" t="str">
            <v>матрица</v>
          </cell>
          <cell r="K58">
            <v>67.5</v>
          </cell>
          <cell r="L58">
            <v>-6.2479999999999976</v>
          </cell>
          <cell r="O58">
            <v>0</v>
          </cell>
          <cell r="P58">
            <v>10</v>
          </cell>
          <cell r="Q58">
            <v>100</v>
          </cell>
          <cell r="R58">
            <v>12.250400000000001</v>
          </cell>
          <cell r="T58">
            <v>100</v>
          </cell>
          <cell r="U58" t="str">
            <v>Есть спрос</v>
          </cell>
        </row>
        <row r="59">
          <cell r="A59" t="str">
            <v xml:space="preserve"> 334  Паштет Любительский ТМ Стародворье ламистер 0,1 кг  ПОКОМ</v>
          </cell>
          <cell r="B59" t="str">
            <v>шт</v>
          </cell>
          <cell r="C59">
            <v>149</v>
          </cell>
          <cell r="D59">
            <v>61</v>
          </cell>
          <cell r="E59">
            <v>66</v>
          </cell>
          <cell r="F59">
            <v>105</v>
          </cell>
          <cell r="G59">
            <v>0.1</v>
          </cell>
          <cell r="H59">
            <v>731</v>
          </cell>
          <cell r="I59" t="str">
            <v>матрица</v>
          </cell>
          <cell r="K59">
            <v>42</v>
          </cell>
          <cell r="L59">
            <v>24</v>
          </cell>
          <cell r="O59">
            <v>0</v>
          </cell>
          <cell r="Q59">
            <v>200</v>
          </cell>
          <cell r="R59">
            <v>13.2</v>
          </cell>
        </row>
        <row r="60">
          <cell r="A60" t="str">
            <v xml:space="preserve"> 335  Колбаса Сливушка ТМ Вязанка. ВЕС.  ПОКОМ </v>
          </cell>
          <cell r="B60" t="str">
            <v>кг</v>
          </cell>
          <cell r="C60">
            <v>81.793999999999997</v>
          </cell>
          <cell r="D60">
            <v>109.75700000000001</v>
          </cell>
          <cell r="E60">
            <v>125.801</v>
          </cell>
          <cell r="F60">
            <v>52.156999999999996</v>
          </cell>
          <cell r="G60">
            <v>1</v>
          </cell>
          <cell r="H60">
            <v>50</v>
          </cell>
          <cell r="I60" t="str">
            <v>матрица</v>
          </cell>
          <cell r="K60">
            <v>162.4</v>
          </cell>
          <cell r="L60">
            <v>-36.599000000000004</v>
          </cell>
          <cell r="O60">
            <v>0</v>
          </cell>
          <cell r="Q60">
            <v>150</v>
          </cell>
          <cell r="R60">
            <v>25.1602</v>
          </cell>
          <cell r="S60">
            <v>99.765399999999985</v>
          </cell>
        </row>
        <row r="61">
          <cell r="A61" t="str">
            <v xml:space="preserve"> 336  Ветчина Сливушка с индейкой ТМ Вязанка. ВЕС  ПОКОМ</v>
          </cell>
          <cell r="B61" t="str">
            <v>кг</v>
          </cell>
          <cell r="D61">
            <v>32.386000000000003</v>
          </cell>
          <cell r="E61">
            <v>6.758</v>
          </cell>
          <cell r="F61">
            <v>25.628</v>
          </cell>
          <cell r="G61">
            <v>1</v>
          </cell>
          <cell r="H61">
            <v>55</v>
          </cell>
          <cell r="I61" t="str">
            <v>матрица</v>
          </cell>
          <cell r="K61">
            <v>9.1</v>
          </cell>
          <cell r="L61">
            <v>-2.3419999999999996</v>
          </cell>
          <cell r="O61">
            <v>10</v>
          </cell>
          <cell r="Q61">
            <v>10</v>
          </cell>
          <cell r="R61">
            <v>1.3515999999999999</v>
          </cell>
        </row>
        <row r="62">
          <cell r="A62" t="str">
            <v xml:space="preserve"> 338  Паштет печеночный с морковью ТМ Стародворье ламистер 0,1 кг.  ПОКОМ</v>
          </cell>
          <cell r="B62" t="str">
            <v>шт</v>
          </cell>
          <cell r="C62">
            <v>196</v>
          </cell>
          <cell r="D62">
            <v>28</v>
          </cell>
          <cell r="E62">
            <v>51</v>
          </cell>
          <cell r="F62">
            <v>163</v>
          </cell>
          <cell r="G62">
            <v>0.1</v>
          </cell>
          <cell r="H62">
            <v>731</v>
          </cell>
          <cell r="I62" t="str">
            <v>матрица</v>
          </cell>
          <cell r="K62">
            <v>59</v>
          </cell>
          <cell r="L62">
            <v>-8</v>
          </cell>
          <cell r="O62">
            <v>0</v>
          </cell>
          <cell r="Q62">
            <v>50</v>
          </cell>
          <cell r="R62">
            <v>10.199999999999999</v>
          </cell>
        </row>
        <row r="63">
          <cell r="A63" t="str">
            <v xml:space="preserve"> 339  Колбаса вареная Филейская ТМ Вязанка ТС Классическая, 0,40 кг.  ПОКОМ</v>
          </cell>
          <cell r="B63" t="str">
            <v>шт</v>
          </cell>
          <cell r="C63">
            <v>15</v>
          </cell>
          <cell r="D63">
            <v>3</v>
          </cell>
          <cell r="E63">
            <v>2</v>
          </cell>
          <cell r="F63">
            <v>13</v>
          </cell>
          <cell r="G63">
            <v>0.4</v>
          </cell>
          <cell r="H63">
            <v>50</v>
          </cell>
          <cell r="I63" t="str">
            <v>матрица</v>
          </cell>
          <cell r="K63">
            <v>5</v>
          </cell>
          <cell r="L63">
            <v>-3</v>
          </cell>
          <cell r="O63">
            <v>0</v>
          </cell>
          <cell r="P63">
            <v>6</v>
          </cell>
          <cell r="Q63">
            <v>0</v>
          </cell>
          <cell r="R63">
            <v>0.4</v>
          </cell>
        </row>
        <row r="64">
          <cell r="A64" t="str">
            <v xml:space="preserve"> 340  Сосиски Сочинки Молочные ТМ Стародворье, ВЕС ПОКОМ</v>
          </cell>
          <cell r="B64" t="str">
            <v>кг</v>
          </cell>
          <cell r="C64">
            <v>-54.831000000000003</v>
          </cell>
          <cell r="D64">
            <v>127.846</v>
          </cell>
          <cell r="E64">
            <v>23.702000000000002</v>
          </cell>
          <cell r="F64">
            <v>49.313000000000002</v>
          </cell>
          <cell r="G64">
            <v>1</v>
          </cell>
          <cell r="H64">
            <v>40</v>
          </cell>
          <cell r="I64" t="str">
            <v>НЕДОГРУЗ / матрица</v>
          </cell>
          <cell r="K64">
            <v>66</v>
          </cell>
          <cell r="L64">
            <v>-42.298000000000002</v>
          </cell>
          <cell r="O64">
            <v>50</v>
          </cell>
          <cell r="Q64">
            <v>40</v>
          </cell>
          <cell r="R64">
            <v>4.7404000000000002</v>
          </cell>
        </row>
        <row r="65">
          <cell r="A65" t="str">
            <v xml:space="preserve"> 341 Сосиски Сочинки Сливочные ТМ Стародворье ВЕС ПОКОМ</v>
          </cell>
          <cell r="B65" t="str">
            <v>кг</v>
          </cell>
          <cell r="D65">
            <v>24.858000000000001</v>
          </cell>
          <cell r="E65">
            <v>4.1639999999999997</v>
          </cell>
          <cell r="F65">
            <v>20.693999999999999</v>
          </cell>
          <cell r="G65">
            <v>1</v>
          </cell>
          <cell r="H65">
            <v>40</v>
          </cell>
          <cell r="I65" t="str">
            <v>матрица</v>
          </cell>
          <cell r="K65">
            <v>4</v>
          </cell>
          <cell r="L65">
            <v>0.1639999999999997</v>
          </cell>
          <cell r="O65">
            <v>50</v>
          </cell>
          <cell r="Q65">
            <v>0</v>
          </cell>
          <cell r="R65">
            <v>0.83279999999999998</v>
          </cell>
        </row>
        <row r="66">
          <cell r="A66" t="str">
            <v xml:space="preserve"> 342 Сосиски Сочинки Молочные ТМ Стародворье 0,4 кг ПОКОМ</v>
          </cell>
          <cell r="B66" t="str">
            <v>шт</v>
          </cell>
          <cell r="C66">
            <v>276</v>
          </cell>
          <cell r="D66">
            <v>61</v>
          </cell>
          <cell r="E66">
            <v>218</v>
          </cell>
          <cell r="F66">
            <v>104</v>
          </cell>
          <cell r="G66">
            <v>0.4</v>
          </cell>
          <cell r="H66">
            <v>40</v>
          </cell>
          <cell r="I66" t="str">
            <v>матрица</v>
          </cell>
          <cell r="K66">
            <v>312</v>
          </cell>
          <cell r="L66">
            <v>-94</v>
          </cell>
          <cell r="O66">
            <v>0</v>
          </cell>
          <cell r="P66">
            <v>115.0649199417758</v>
          </cell>
          <cell r="Q66">
            <v>181.1350800582243</v>
          </cell>
          <cell r="R66">
            <v>43.6</v>
          </cell>
          <cell r="S66">
            <v>122.99999999999997</v>
          </cell>
        </row>
        <row r="67">
          <cell r="A67" t="str">
            <v xml:space="preserve"> 343 Сосиски Сочинки Сливочные ТМ Стародворье  0,4 кг ПОКОМ</v>
          </cell>
          <cell r="B67" t="str">
            <v>шт</v>
          </cell>
          <cell r="C67">
            <v>-1</v>
          </cell>
          <cell r="D67">
            <v>103</v>
          </cell>
          <cell r="E67">
            <v>108</v>
          </cell>
          <cell r="F67">
            <v>-10</v>
          </cell>
          <cell r="G67">
            <v>0.4</v>
          </cell>
          <cell r="H67">
            <v>40</v>
          </cell>
          <cell r="I67" t="str">
            <v>НЕДОГРУЗ / матрица</v>
          </cell>
          <cell r="K67">
            <v>126</v>
          </cell>
          <cell r="L67">
            <v>-18</v>
          </cell>
          <cell r="O67">
            <v>100</v>
          </cell>
          <cell r="Q67">
            <v>0</v>
          </cell>
          <cell r="R67">
            <v>21.6</v>
          </cell>
          <cell r="S67">
            <v>147.60000000000002</v>
          </cell>
        </row>
        <row r="68">
          <cell r="A68" t="str">
            <v xml:space="preserve"> 344  Колбаса Сочинка по-европейски с сочной грудинкой ТМ Стародворье, ВЕС ПОКОМ</v>
          </cell>
          <cell r="B68" t="str">
            <v>кг</v>
          </cell>
          <cell r="C68">
            <v>11.06</v>
          </cell>
          <cell r="D68">
            <v>16.303999999999998</v>
          </cell>
          <cell r="E68">
            <v>17.204999999999998</v>
          </cell>
          <cell r="F68">
            <v>6.5359999999999996</v>
          </cell>
          <cell r="G68">
            <v>1</v>
          </cell>
          <cell r="H68">
            <v>40</v>
          </cell>
          <cell r="I68" t="str">
            <v>НЕДОГРУЗ / матрица</v>
          </cell>
          <cell r="K68">
            <v>57.9</v>
          </cell>
          <cell r="L68">
            <v>-40.695</v>
          </cell>
          <cell r="O68">
            <v>0</v>
          </cell>
          <cell r="P68">
            <v>100</v>
          </cell>
          <cell r="Q68">
            <v>10</v>
          </cell>
          <cell r="R68">
            <v>3.4409999999999998</v>
          </cell>
        </row>
        <row r="69">
          <cell r="A69" t="str">
            <v xml:space="preserve"> 345  Колбаса Сочинка по-фински с сочным окроком ТМ Стародворье ВЕС ПОКОМ</v>
          </cell>
          <cell r="B69" t="str">
            <v>кг</v>
          </cell>
          <cell r="C69">
            <v>30.463999999999999</v>
          </cell>
          <cell r="D69">
            <v>3.5960000000000001</v>
          </cell>
          <cell r="E69">
            <v>26.908000000000001</v>
          </cell>
          <cell r="F69">
            <v>3.5680000000000001</v>
          </cell>
          <cell r="G69">
            <v>1</v>
          </cell>
          <cell r="H69">
            <v>40</v>
          </cell>
          <cell r="I69" t="str">
            <v>НЕДОГРУЗ / матрица</v>
          </cell>
          <cell r="K69">
            <v>65.599999999999994</v>
          </cell>
          <cell r="L69">
            <v>-38.691999999999993</v>
          </cell>
          <cell r="O69">
            <v>0</v>
          </cell>
          <cell r="P69">
            <v>100</v>
          </cell>
          <cell r="Q69">
            <v>120</v>
          </cell>
          <cell r="R69">
            <v>5.3816000000000006</v>
          </cell>
        </row>
        <row r="70">
          <cell r="A70" t="str">
            <v xml:space="preserve"> 346  Колбаса Сочинка зернистая с сочной грудинкой ТМ Стародворье.ВЕС ПОКОМ</v>
          </cell>
          <cell r="B70" t="str">
            <v>кг</v>
          </cell>
          <cell r="C70">
            <v>-4.7640000000000002</v>
          </cell>
          <cell r="E70">
            <v>0.92600000000000005</v>
          </cell>
          <cell r="F70">
            <v>-5.69</v>
          </cell>
          <cell r="G70">
            <v>1</v>
          </cell>
          <cell r="H70">
            <v>40</v>
          </cell>
          <cell r="I70" t="str">
            <v>НЕДОГРУЗ / матрица</v>
          </cell>
          <cell r="K70">
            <v>50.4</v>
          </cell>
          <cell r="L70">
            <v>-49.473999999999997</v>
          </cell>
          <cell r="O70">
            <v>0</v>
          </cell>
          <cell r="P70">
            <v>50</v>
          </cell>
          <cell r="Q70">
            <v>30</v>
          </cell>
          <cell r="R70">
            <v>0.1852</v>
          </cell>
          <cell r="S70">
            <v>30</v>
          </cell>
          <cell r="T70">
            <v>100</v>
          </cell>
          <cell r="U70" t="str">
            <v>Промо</v>
          </cell>
        </row>
        <row r="71">
          <cell r="A71" t="str">
            <v xml:space="preserve"> 347  Колбаса Сочинка рубленая с сочным окороком ТМ Стародворье ВЕС ПОКОМ</v>
          </cell>
          <cell r="B71" t="str">
            <v>кг</v>
          </cell>
          <cell r="D71">
            <v>44.765000000000001</v>
          </cell>
          <cell r="E71">
            <v>37.46</v>
          </cell>
          <cell r="F71">
            <v>6.4020000000000001</v>
          </cell>
          <cell r="G71">
            <v>1</v>
          </cell>
          <cell r="H71">
            <v>40</v>
          </cell>
          <cell r="I71" t="str">
            <v>НЕДОГРУЗ / матрица</v>
          </cell>
          <cell r="K71">
            <v>38.984999999999999</v>
          </cell>
          <cell r="L71">
            <v>-1.5249999999999986</v>
          </cell>
          <cell r="O71">
            <v>0</v>
          </cell>
          <cell r="Q71">
            <v>40</v>
          </cell>
          <cell r="R71">
            <v>7.492</v>
          </cell>
          <cell r="S71">
            <v>43.501999999999995</v>
          </cell>
          <cell r="T71">
            <v>60</v>
          </cell>
          <cell r="U71" t="str">
            <v>Есть спрос</v>
          </cell>
        </row>
        <row r="72">
          <cell r="A72" t="str">
            <v xml:space="preserve"> 355  Колбаса Сервелат запеченный ТМ Стародворье ТС Дугушка. 0,6 кг. ПОКОМ</v>
          </cell>
          <cell r="B72" t="str">
            <v>шт</v>
          </cell>
          <cell r="G72">
            <v>0</v>
          </cell>
          <cell r="I72" t="str">
            <v>матрица</v>
          </cell>
          <cell r="L72">
            <v>0</v>
          </cell>
          <cell r="O72">
            <v>0</v>
          </cell>
          <cell r="Q72">
            <v>0</v>
          </cell>
          <cell r="R72">
            <v>0</v>
          </cell>
        </row>
        <row r="73">
          <cell r="A73" t="str">
            <v xml:space="preserve"> 364  Сардельки Филейские Вязанка ВЕС NDX ТМ Вязанка  ПОКОМ</v>
          </cell>
          <cell r="B73" t="str">
            <v>кг</v>
          </cell>
          <cell r="C73">
            <v>0.02</v>
          </cell>
          <cell r="D73">
            <v>62.033999999999999</v>
          </cell>
          <cell r="E73">
            <v>9.2040000000000006</v>
          </cell>
          <cell r="F73">
            <v>48.750999999999998</v>
          </cell>
          <cell r="G73">
            <v>1</v>
          </cell>
          <cell r="H73">
            <v>30</v>
          </cell>
          <cell r="I73" t="str">
            <v>матрица</v>
          </cell>
          <cell r="K73">
            <v>9.1</v>
          </cell>
          <cell r="L73">
            <v>0.10400000000000098</v>
          </cell>
          <cell r="O73">
            <v>120</v>
          </cell>
          <cell r="Q73">
            <v>0</v>
          </cell>
          <cell r="R73">
            <v>1.8408000000000002</v>
          </cell>
        </row>
        <row r="74">
          <cell r="A74" t="str">
            <v xml:space="preserve"> 376  Колбаса Докторская Дугушка 0,6кг ГОСТ ТМ Стародворье  ПОКОМ </v>
          </cell>
          <cell r="B74" t="str">
            <v>шт</v>
          </cell>
          <cell r="C74">
            <v>166</v>
          </cell>
          <cell r="D74">
            <v>154</v>
          </cell>
          <cell r="E74">
            <v>115</v>
          </cell>
          <cell r="F74">
            <v>203</v>
          </cell>
          <cell r="G74">
            <v>0.6</v>
          </cell>
          <cell r="H74">
            <v>60</v>
          </cell>
          <cell r="I74" t="str">
            <v>матрица</v>
          </cell>
          <cell r="K74">
            <v>120</v>
          </cell>
          <cell r="L74">
            <v>-5</v>
          </cell>
          <cell r="O74">
            <v>0</v>
          </cell>
          <cell r="Q74">
            <v>0</v>
          </cell>
          <cell r="R74">
            <v>23</v>
          </cell>
          <cell r="S74">
            <v>73</v>
          </cell>
        </row>
        <row r="75">
          <cell r="A75" t="str">
            <v xml:space="preserve"> 377  Колбаса Молочная Дугушка 0,6кг ТМ Стародворье  ПОКОМ</v>
          </cell>
          <cell r="B75" t="str">
            <v>шт</v>
          </cell>
          <cell r="C75">
            <v>94</v>
          </cell>
          <cell r="D75">
            <v>176</v>
          </cell>
          <cell r="E75">
            <v>149</v>
          </cell>
          <cell r="F75">
            <v>118</v>
          </cell>
          <cell r="G75">
            <v>0.6</v>
          </cell>
          <cell r="H75">
            <v>60</v>
          </cell>
          <cell r="I75" t="str">
            <v>матрица</v>
          </cell>
          <cell r="K75">
            <v>177</v>
          </cell>
          <cell r="L75">
            <v>-28</v>
          </cell>
          <cell r="O75">
            <v>0</v>
          </cell>
          <cell r="Q75">
            <v>0</v>
          </cell>
          <cell r="R75">
            <v>29.8</v>
          </cell>
          <cell r="S75">
            <v>209.8</v>
          </cell>
        </row>
        <row r="76">
          <cell r="A76" t="str">
            <v xml:space="preserve"> 387  Колбаса вареная Мусульманская Халяль ТМ Вязанка, 0,4 кг ПОКОМ</v>
          </cell>
          <cell r="B76" t="str">
            <v>шт</v>
          </cell>
          <cell r="C76">
            <v>123</v>
          </cell>
          <cell r="D76">
            <v>30</v>
          </cell>
          <cell r="E76">
            <v>42</v>
          </cell>
          <cell r="F76">
            <v>90</v>
          </cell>
          <cell r="G76">
            <v>0.4</v>
          </cell>
          <cell r="H76">
            <v>90</v>
          </cell>
          <cell r="I76" t="str">
            <v>матрица</v>
          </cell>
          <cell r="K76">
            <v>48</v>
          </cell>
          <cell r="L76">
            <v>-6</v>
          </cell>
          <cell r="O76">
            <v>0</v>
          </cell>
          <cell r="Q76">
            <v>0</v>
          </cell>
          <cell r="R76">
            <v>8.4</v>
          </cell>
          <cell r="S76">
            <v>10.800000000000011</v>
          </cell>
        </row>
        <row r="77">
          <cell r="A77" t="str">
            <v xml:space="preserve"> 388  Сосиски Восточные Халяль ТМ Вязанка 0,33 кг АК. ПОКОМ</v>
          </cell>
          <cell r="B77" t="str">
            <v>шт</v>
          </cell>
          <cell r="C77">
            <v>143</v>
          </cell>
          <cell r="D77">
            <v>57</v>
          </cell>
          <cell r="E77">
            <v>47</v>
          </cell>
          <cell r="F77">
            <v>135</v>
          </cell>
          <cell r="G77">
            <v>0.33</v>
          </cell>
          <cell r="H77">
            <v>60</v>
          </cell>
          <cell r="I77" t="str">
            <v>НЕДОГРУЗ / матрица</v>
          </cell>
          <cell r="K77">
            <v>64</v>
          </cell>
          <cell r="L77">
            <v>-17</v>
          </cell>
          <cell r="O77">
            <v>0</v>
          </cell>
          <cell r="Q77">
            <v>0</v>
          </cell>
          <cell r="R77">
            <v>9.4</v>
          </cell>
        </row>
        <row r="78">
          <cell r="A78" t="str">
            <v xml:space="preserve"> 394 Колбаса полукопченая Аль-Ислами халяль ТМ Вязанка оболочка фиброуз в в/у 0,35 кг  ПОКОМ</v>
          </cell>
          <cell r="B78" t="str">
            <v>шт</v>
          </cell>
          <cell r="C78">
            <v>180</v>
          </cell>
          <cell r="D78">
            <v>46</v>
          </cell>
          <cell r="E78">
            <v>67</v>
          </cell>
          <cell r="F78">
            <v>144</v>
          </cell>
          <cell r="G78">
            <v>0.35</v>
          </cell>
          <cell r="H78">
            <v>90</v>
          </cell>
          <cell r="I78" t="str">
            <v>матрица</v>
          </cell>
          <cell r="K78">
            <v>73</v>
          </cell>
          <cell r="L78">
            <v>-6</v>
          </cell>
          <cell r="O78">
            <v>0</v>
          </cell>
          <cell r="Q78">
            <v>0</v>
          </cell>
          <cell r="R78">
            <v>13.4</v>
          </cell>
          <cell r="S78">
            <v>16.800000000000011</v>
          </cell>
        </row>
        <row r="79">
          <cell r="A79" t="str">
            <v xml:space="preserve"> 395  Колбаса Докторская ГОСТ ТМ Вязанка в оболочке полиамид 0,37 кг. ПОКОМ</v>
          </cell>
          <cell r="B79" t="str">
            <v>шт</v>
          </cell>
          <cell r="C79">
            <v>29</v>
          </cell>
          <cell r="E79">
            <v>8</v>
          </cell>
          <cell r="F79">
            <v>21</v>
          </cell>
          <cell r="G79">
            <v>0.37</v>
          </cell>
          <cell r="I79" t="str">
            <v>матрица</v>
          </cell>
          <cell r="K79">
            <v>10</v>
          </cell>
          <cell r="L79">
            <v>-2</v>
          </cell>
          <cell r="O79">
            <v>0</v>
          </cell>
          <cell r="Q79">
            <v>0</v>
          </cell>
          <cell r="R79">
            <v>1.6</v>
          </cell>
        </row>
        <row r="80">
          <cell r="A80" t="str">
            <v xml:space="preserve"> 397  Ветчина Дугушка ТМ Стародворье ТС Дугушка в полиамидной оболочке 0,6 кг. ПОКОМ</v>
          </cell>
          <cell r="B80" t="str">
            <v>шт</v>
          </cell>
          <cell r="C80">
            <v>94.2</v>
          </cell>
          <cell r="D80">
            <v>163</v>
          </cell>
          <cell r="E80">
            <v>9</v>
          </cell>
          <cell r="F80">
            <v>236.2</v>
          </cell>
          <cell r="G80">
            <v>0.6</v>
          </cell>
          <cell r="H80">
            <v>70</v>
          </cell>
          <cell r="I80" t="str">
            <v>матрица</v>
          </cell>
          <cell r="K80">
            <v>114</v>
          </cell>
          <cell r="L80">
            <v>-105</v>
          </cell>
          <cell r="O80">
            <v>0</v>
          </cell>
          <cell r="Q80">
            <v>0</v>
          </cell>
          <cell r="R80">
            <v>1.8</v>
          </cell>
        </row>
        <row r="81">
          <cell r="A81" t="str">
            <v xml:space="preserve"> 405  Сардельки Сливушки ТМ Вязанка в оболочке айпил 0,33 кг. ПОКОМ</v>
          </cell>
          <cell r="B81" t="str">
            <v>шт</v>
          </cell>
          <cell r="C81">
            <v>12</v>
          </cell>
          <cell r="D81">
            <v>24</v>
          </cell>
          <cell r="E81">
            <v>42</v>
          </cell>
          <cell r="F81">
            <v>-6</v>
          </cell>
          <cell r="G81">
            <v>0.33</v>
          </cell>
          <cell r="H81">
            <v>40</v>
          </cell>
          <cell r="I81" t="str">
            <v>матрица</v>
          </cell>
          <cell r="K81">
            <v>69</v>
          </cell>
          <cell r="L81">
            <v>-27</v>
          </cell>
          <cell r="O81">
            <v>0</v>
          </cell>
          <cell r="P81">
            <v>10.981659388646291</v>
          </cell>
          <cell r="Q81">
            <v>71.418340611353699</v>
          </cell>
          <cell r="R81">
            <v>8.4</v>
          </cell>
          <cell r="S81">
            <v>24.40000000000002</v>
          </cell>
        </row>
        <row r="82">
          <cell r="A82" t="str">
            <v xml:space="preserve"> 408  Ветчина Сливушка с индейкой ТМ Вязанка, 0,4кг  ПОКОМ</v>
          </cell>
          <cell r="B82" t="str">
            <v>шт</v>
          </cell>
          <cell r="C82">
            <v>43</v>
          </cell>
          <cell r="E82">
            <v>4</v>
          </cell>
          <cell r="F82">
            <v>37</v>
          </cell>
          <cell r="G82">
            <v>0.4</v>
          </cell>
          <cell r="H82">
            <v>55</v>
          </cell>
          <cell r="I82" t="str">
            <v>НЕДОГРУЗ / матрица</v>
          </cell>
          <cell r="K82">
            <v>4</v>
          </cell>
          <cell r="L82">
            <v>0</v>
          </cell>
          <cell r="O82">
            <v>0</v>
          </cell>
          <cell r="Q82">
            <v>0</v>
          </cell>
          <cell r="R82">
            <v>0.8</v>
          </cell>
        </row>
        <row r="83">
          <cell r="A83" t="str">
            <v xml:space="preserve"> 410  Сосиски Баварские с сыром ТМ Стародворье 0,35 кг. ПОКОМ</v>
          </cell>
          <cell r="B83" t="str">
            <v>шт</v>
          </cell>
          <cell r="C83">
            <v>33</v>
          </cell>
          <cell r="E83">
            <v>14</v>
          </cell>
          <cell r="F83">
            <v>13</v>
          </cell>
          <cell r="G83">
            <v>0.35</v>
          </cell>
          <cell r="H83">
            <v>40</v>
          </cell>
          <cell r="I83" t="str">
            <v>НЕДОГРУЗ / матрица</v>
          </cell>
          <cell r="K83">
            <v>17</v>
          </cell>
          <cell r="L83">
            <v>-3</v>
          </cell>
          <cell r="O83">
            <v>0</v>
          </cell>
          <cell r="Q83">
            <v>0</v>
          </cell>
          <cell r="R83">
            <v>2.8</v>
          </cell>
          <cell r="S83">
            <v>20.599999999999994</v>
          </cell>
        </row>
        <row r="84">
          <cell r="A84" t="str">
            <v xml:space="preserve"> 412  Сосиски Баварские ТМ Стародворье 0,35 кг ПОКОМ</v>
          </cell>
          <cell r="B84" t="str">
            <v>шт</v>
          </cell>
          <cell r="C84">
            <v>7</v>
          </cell>
          <cell r="D84">
            <v>18</v>
          </cell>
          <cell r="E84">
            <v>13</v>
          </cell>
          <cell r="F84">
            <v>4</v>
          </cell>
          <cell r="G84">
            <v>0.35</v>
          </cell>
          <cell r="H84">
            <v>45</v>
          </cell>
          <cell r="I84" t="str">
            <v>НЕДОГРУЗ / матрица</v>
          </cell>
          <cell r="K84">
            <v>18</v>
          </cell>
          <cell r="L84">
            <v>-5</v>
          </cell>
          <cell r="O84">
            <v>0</v>
          </cell>
          <cell r="Q84">
            <v>0</v>
          </cell>
          <cell r="R84">
            <v>2.6</v>
          </cell>
          <cell r="S84">
            <v>19.400000000000002</v>
          </cell>
        </row>
        <row r="85">
          <cell r="A85" t="str">
            <v xml:space="preserve"> 430  Колбаса Стародворская с окороком 0,4 кг. ТМ Стародворье в оболочке полиамид  ПОКОМ</v>
          </cell>
          <cell r="B85" t="str">
            <v>шт</v>
          </cell>
          <cell r="G85">
            <v>0</v>
          </cell>
          <cell r="I85" t="str">
            <v>матрица</v>
          </cell>
          <cell r="L85">
            <v>0</v>
          </cell>
          <cell r="O85">
            <v>0</v>
          </cell>
          <cell r="Q85">
            <v>0</v>
          </cell>
          <cell r="R85">
            <v>0</v>
          </cell>
        </row>
        <row r="86">
          <cell r="A86" t="str">
            <v xml:space="preserve"> 433 Колбаса Стародворская со шпиком  в оболочке полиамид. ТМ Стародворье ВЕС ПОКОМ</v>
          </cell>
          <cell r="B86" t="str">
            <v>кг</v>
          </cell>
          <cell r="G86">
            <v>0</v>
          </cell>
          <cell r="I86" t="str">
            <v>матрица</v>
          </cell>
          <cell r="L86">
            <v>0</v>
          </cell>
          <cell r="O86">
            <v>0</v>
          </cell>
          <cell r="Q86">
            <v>0</v>
          </cell>
          <cell r="R86">
            <v>0</v>
          </cell>
        </row>
        <row r="87">
          <cell r="A87" t="str">
            <v xml:space="preserve"> 436  Колбаса Молочная стародворская с молоком, ВЕС, ТМ Стародворье  ПОКОМ</v>
          </cell>
          <cell r="B87" t="str">
            <v>кг</v>
          </cell>
          <cell r="G87">
            <v>0</v>
          </cell>
          <cell r="I87" t="str">
            <v>матрица</v>
          </cell>
          <cell r="L87">
            <v>0</v>
          </cell>
          <cell r="O87">
            <v>0</v>
          </cell>
          <cell r="Q87">
            <v>0</v>
          </cell>
          <cell r="R87">
            <v>0</v>
          </cell>
        </row>
        <row r="88">
          <cell r="A88" t="str">
            <v xml:space="preserve"> 449  Колбаса Дугушка Стародворская ВЕС ТС Дугушка ПОКОМ</v>
          </cell>
          <cell r="B88" t="str">
            <v>кг</v>
          </cell>
          <cell r="C88">
            <v>0.121</v>
          </cell>
          <cell r="D88">
            <v>285.08999999999997</v>
          </cell>
          <cell r="E88">
            <v>104.777</v>
          </cell>
          <cell r="F88">
            <v>152.185</v>
          </cell>
          <cell r="G88">
            <v>1</v>
          </cell>
          <cell r="H88">
            <v>60</v>
          </cell>
          <cell r="I88" t="str">
            <v>матрица</v>
          </cell>
          <cell r="K88">
            <v>144</v>
          </cell>
          <cell r="L88">
            <v>-39.222999999999999</v>
          </cell>
          <cell r="O88">
            <v>0</v>
          </cell>
          <cell r="Q88">
            <v>85</v>
          </cell>
          <cell r="R88">
            <v>20.955400000000001</v>
          </cell>
          <cell r="S88">
            <v>14.279800000000023</v>
          </cell>
        </row>
        <row r="89">
          <cell r="A89" t="str">
            <v xml:space="preserve"> 451 Сосиски Филейские ТМ Вязанка в оболочке целлофан 0,3 кг. ПОКОМ</v>
          </cell>
          <cell r="B89" t="str">
            <v>шт</v>
          </cell>
          <cell r="G89">
            <v>0</v>
          </cell>
          <cell r="I89" t="str">
            <v>матрица</v>
          </cell>
          <cell r="L89">
            <v>0</v>
          </cell>
          <cell r="O89">
            <v>0</v>
          </cell>
          <cell r="Q89">
            <v>0</v>
          </cell>
          <cell r="R89">
            <v>0</v>
          </cell>
        </row>
        <row r="90">
          <cell r="A90" t="str">
            <v xml:space="preserve"> 452  Колбаса Со шпиком ВЕС большой батон ТМ Особый рецепт  ПОКОМ</v>
          </cell>
          <cell r="B90" t="str">
            <v>кг</v>
          </cell>
          <cell r="C90">
            <v>1165.7339999999999</v>
          </cell>
          <cell r="D90">
            <v>204.613</v>
          </cell>
          <cell r="E90">
            <v>411.45600000000002</v>
          </cell>
          <cell r="F90">
            <v>903.63199999999995</v>
          </cell>
          <cell r="G90">
            <v>1</v>
          </cell>
          <cell r="H90">
            <v>60</v>
          </cell>
          <cell r="I90" t="str">
            <v>матрица</v>
          </cell>
          <cell r="K90">
            <v>469.5</v>
          </cell>
          <cell r="L90">
            <v>-58.043999999999983</v>
          </cell>
          <cell r="O90">
            <v>0</v>
          </cell>
          <cell r="P90">
            <v>27.225830600724521</v>
          </cell>
          <cell r="Q90">
            <v>0</v>
          </cell>
          <cell r="R90">
            <v>82.291200000000003</v>
          </cell>
          <cell r="S90">
            <v>56.636569399275572</v>
          </cell>
        </row>
        <row r="91">
          <cell r="A91" t="str">
            <v xml:space="preserve"> 456  Колбаса Филейная ТМ Особый рецепт ВЕС большой батон  ПОКОМ</v>
          </cell>
          <cell r="B91" t="str">
            <v>кг</v>
          </cell>
          <cell r="C91">
            <v>401.85599999999999</v>
          </cell>
          <cell r="D91">
            <v>354.05900000000003</v>
          </cell>
          <cell r="E91">
            <v>402.64699999999999</v>
          </cell>
          <cell r="F91">
            <v>318.48399999999998</v>
          </cell>
          <cell r="G91">
            <v>1</v>
          </cell>
          <cell r="H91">
            <v>60</v>
          </cell>
          <cell r="I91" t="str">
            <v>матрица</v>
          </cell>
          <cell r="K91">
            <v>437</v>
          </cell>
          <cell r="L91">
            <v>-34.353000000000009</v>
          </cell>
          <cell r="O91">
            <v>0</v>
          </cell>
          <cell r="P91">
            <v>479.92177665822271</v>
          </cell>
          <cell r="Q91">
            <v>0</v>
          </cell>
          <cell r="R91">
            <v>80.529399999999995</v>
          </cell>
          <cell r="S91">
            <v>167.9470233417772</v>
          </cell>
        </row>
        <row r="92">
          <cell r="A92" t="str">
            <v xml:space="preserve"> 457  Колбаса Молочная ТМ Особый рецепт ВЕС большой батон  ПОКОМ</v>
          </cell>
          <cell r="B92" t="str">
            <v>кг</v>
          </cell>
          <cell r="C92">
            <v>791.60900000000004</v>
          </cell>
          <cell r="D92">
            <v>519.55999999999995</v>
          </cell>
          <cell r="E92">
            <v>840.29</v>
          </cell>
          <cell r="F92">
            <v>286.74700000000001</v>
          </cell>
          <cell r="G92">
            <v>1</v>
          </cell>
          <cell r="H92">
            <v>60</v>
          </cell>
          <cell r="I92" t="str">
            <v>матрица</v>
          </cell>
          <cell r="K92">
            <v>907</v>
          </cell>
          <cell r="L92">
            <v>-66.710000000000036</v>
          </cell>
          <cell r="O92">
            <v>251.10125231080929</v>
          </cell>
          <cell r="P92">
            <v>234.9879999999996</v>
          </cell>
          <cell r="Q92">
            <v>588.9493476891912</v>
          </cell>
          <cell r="R92">
            <v>168.05799999999999</v>
          </cell>
          <cell r="S92">
            <v>654.91039999999975</v>
          </cell>
        </row>
        <row r="93">
          <cell r="A93" t="str">
            <v xml:space="preserve"> 460  Колбаса Стародворская Традиционная ВЕС ТМ Стародворье в оболочке полиамид. ПОКОМ</v>
          </cell>
          <cell r="B93" t="str">
            <v>кг</v>
          </cell>
          <cell r="G93">
            <v>0</v>
          </cell>
          <cell r="I93" t="str">
            <v>НЕДОГРУЗ / матрица</v>
          </cell>
          <cell r="L93">
            <v>0</v>
          </cell>
          <cell r="O93">
            <v>0</v>
          </cell>
          <cell r="Q93">
            <v>0</v>
          </cell>
          <cell r="R93">
            <v>0</v>
          </cell>
        </row>
        <row r="94">
          <cell r="A94" t="str">
            <v xml:space="preserve"> 498  Колбаса Сочинка рубленая с сочным окороком 0,3кг ТМ Стародворье  ПОКОМ</v>
          </cell>
          <cell r="B94" t="str">
            <v>шт</v>
          </cell>
          <cell r="G94">
            <v>0.3</v>
          </cell>
          <cell r="H94">
            <v>40</v>
          </cell>
          <cell r="I94" t="str">
            <v>НЕДОГРУЗ / матрица</v>
          </cell>
          <cell r="L94">
            <v>0</v>
          </cell>
          <cell r="O94">
            <v>100</v>
          </cell>
          <cell r="Q94">
            <v>50</v>
          </cell>
          <cell r="R94">
            <v>0</v>
          </cell>
          <cell r="T94">
            <v>50</v>
          </cell>
          <cell r="U94" t="str">
            <v>Есть спрос</v>
          </cell>
        </row>
        <row r="95">
          <cell r="A95" t="str">
            <v xml:space="preserve"> 517  Сосиски С сыром ТМ Ядрена копоть 0,3кг  ПОКОМ</v>
          </cell>
          <cell r="B95" t="str">
            <v>шт</v>
          </cell>
          <cell r="G95">
            <v>0</v>
          </cell>
          <cell r="I95" t="str">
            <v>НЕДОГРУЗ / матрица</v>
          </cell>
          <cell r="L95">
            <v>0</v>
          </cell>
          <cell r="O95">
            <v>0</v>
          </cell>
          <cell r="Q95">
            <v>0</v>
          </cell>
          <cell r="R95">
            <v>0</v>
          </cell>
        </row>
        <row r="96">
          <cell r="A96" t="str">
            <v xml:space="preserve"> 523  Колбаса Сальчичон нарезка 0,07кг ТМ Стародворье  ПОКОМ </v>
          </cell>
          <cell r="B96" t="str">
            <v>шт</v>
          </cell>
          <cell r="C96">
            <v>8</v>
          </cell>
          <cell r="D96">
            <v>18</v>
          </cell>
          <cell r="E96">
            <v>26</v>
          </cell>
          <cell r="G96">
            <v>7.0000000000000007E-2</v>
          </cell>
          <cell r="H96">
            <v>90</v>
          </cell>
          <cell r="I96" t="str">
            <v>НЕДОГРУЗ / матрица</v>
          </cell>
          <cell r="K96">
            <v>31</v>
          </cell>
          <cell r="L96">
            <v>-5</v>
          </cell>
          <cell r="O96">
            <v>50</v>
          </cell>
          <cell r="Q96">
            <v>50</v>
          </cell>
          <cell r="R96">
            <v>5.2</v>
          </cell>
          <cell r="T96">
            <v>50</v>
          </cell>
          <cell r="U96" t="str">
            <v>Фокус от завода</v>
          </cell>
        </row>
        <row r="97">
          <cell r="A97" t="str">
            <v xml:space="preserve"> 524  Колбаса Сервелат Ореховый нарезка 0,07кг ТМ Стародворье  ПОКОМ</v>
          </cell>
          <cell r="B97" t="str">
            <v>шт</v>
          </cell>
          <cell r="C97">
            <v>-3</v>
          </cell>
          <cell r="F97">
            <v>-3</v>
          </cell>
          <cell r="G97">
            <v>7.0000000000000007E-2</v>
          </cell>
          <cell r="H97">
            <v>90</v>
          </cell>
          <cell r="I97" t="str">
            <v>НЕДОГРУЗ / матрица</v>
          </cell>
          <cell r="L97">
            <v>0</v>
          </cell>
          <cell r="O97">
            <v>40</v>
          </cell>
          <cell r="P97">
            <v>10</v>
          </cell>
          <cell r="Q97">
            <v>30</v>
          </cell>
          <cell r="R97">
            <v>0</v>
          </cell>
          <cell r="T97">
            <v>50</v>
          </cell>
          <cell r="U97" t="str">
            <v>Фокус от завода</v>
          </cell>
        </row>
        <row r="98">
          <cell r="A98" t="str">
            <v xml:space="preserve"> 525  Колбаса Фуэт нарезка 0,07кг ТМ Стародворье  ПОКОМ</v>
          </cell>
          <cell r="B98" t="str">
            <v>шт</v>
          </cell>
          <cell r="C98">
            <v>53</v>
          </cell>
          <cell r="D98">
            <v>19</v>
          </cell>
          <cell r="E98">
            <v>55</v>
          </cell>
          <cell r="F98">
            <v>12</v>
          </cell>
          <cell r="G98">
            <v>7.0000000000000007E-2</v>
          </cell>
          <cell r="H98">
            <v>90</v>
          </cell>
          <cell r="I98" t="str">
            <v>матрица</v>
          </cell>
          <cell r="K98">
            <v>59</v>
          </cell>
          <cell r="L98">
            <v>-4</v>
          </cell>
          <cell r="O98">
            <v>0</v>
          </cell>
          <cell r="P98">
            <v>10</v>
          </cell>
          <cell r="Q98">
            <v>50</v>
          </cell>
          <cell r="R98">
            <v>11</v>
          </cell>
          <cell r="S98">
            <v>60</v>
          </cell>
        </row>
        <row r="99">
          <cell r="A99" t="str">
            <v xml:space="preserve"> 544  Сосиски Мясные для гриля ТС Ядрена копоть 0,3 кг  ПОКОМ</v>
          </cell>
          <cell r="B99" t="str">
            <v>шт</v>
          </cell>
          <cell r="C99">
            <v>29</v>
          </cell>
          <cell r="D99">
            <v>13</v>
          </cell>
          <cell r="E99">
            <v>29</v>
          </cell>
          <cell r="F99">
            <v>13</v>
          </cell>
          <cell r="G99">
            <v>0.3</v>
          </cell>
          <cell r="I99" t="str">
            <v>матрица</v>
          </cell>
          <cell r="K99">
            <v>29</v>
          </cell>
          <cell r="L99">
            <v>0</v>
          </cell>
          <cell r="O99">
            <v>20</v>
          </cell>
          <cell r="P99">
            <v>20</v>
          </cell>
          <cell r="Q99">
            <v>0</v>
          </cell>
          <cell r="R99">
            <v>5.8</v>
          </cell>
          <cell r="S99">
            <v>16.599999999999994</v>
          </cell>
        </row>
        <row r="100">
          <cell r="A100" t="str">
            <v xml:space="preserve"> 547  Колбаса Мясная Классическая ТМ Вязанка в оболочке полиамид. ВЕС  ПОКОМ</v>
          </cell>
          <cell r="B100" t="str">
            <v>кг</v>
          </cell>
          <cell r="C100">
            <v>8.75</v>
          </cell>
          <cell r="D100">
            <v>1.0109999999999999</v>
          </cell>
          <cell r="E100">
            <v>7.3879999999999999</v>
          </cell>
          <cell r="F100">
            <v>15.306999999999999</v>
          </cell>
          <cell r="G100">
            <v>1</v>
          </cell>
          <cell r="H100">
            <v>55</v>
          </cell>
          <cell r="I100" t="str">
            <v>матрица</v>
          </cell>
          <cell r="K100">
            <v>10.4</v>
          </cell>
          <cell r="L100">
            <v>-3.0120000000000005</v>
          </cell>
          <cell r="O100">
            <v>0</v>
          </cell>
          <cell r="P100">
            <v>20.95419999999999</v>
          </cell>
          <cell r="Q100">
            <v>0</v>
          </cell>
          <cell r="R100">
            <v>1.4776</v>
          </cell>
          <cell r="T100" t="str">
            <v>На вывод</v>
          </cell>
        </row>
        <row r="101">
          <cell r="A101" t="str">
            <v xml:space="preserve"> 551  Колбаса Сливушка ТМ Вязанка в модифицированной газовой среде 0,11 кг нарезка  ПОКОМ</v>
          </cell>
          <cell r="B101" t="str">
            <v>шт</v>
          </cell>
          <cell r="C101">
            <v>78</v>
          </cell>
          <cell r="E101">
            <v>1</v>
          </cell>
          <cell r="F101">
            <v>75</v>
          </cell>
          <cell r="G101">
            <v>0.11</v>
          </cell>
          <cell r="H101">
            <v>30</v>
          </cell>
          <cell r="I101" t="str">
            <v>матрица</v>
          </cell>
          <cell r="K101">
            <v>51</v>
          </cell>
          <cell r="L101">
            <v>-50</v>
          </cell>
          <cell r="O101">
            <v>0</v>
          </cell>
          <cell r="Q101">
            <v>0</v>
          </cell>
          <cell r="R101">
            <v>0.2</v>
          </cell>
        </row>
        <row r="102">
          <cell r="A102" t="str">
            <v xml:space="preserve"> 552  Ветчина Сливушка с индейкой ТМ Вязанка в модифицированной газовой среде 0,1 кг нарезка  ПОКОМ</v>
          </cell>
          <cell r="B102" t="str">
            <v>шт</v>
          </cell>
          <cell r="G102">
            <v>0</v>
          </cell>
          <cell r="I102" t="str">
            <v>матрица</v>
          </cell>
          <cell r="L102">
            <v>0</v>
          </cell>
          <cell r="O102">
            <v>0</v>
          </cell>
          <cell r="Q102">
            <v>0</v>
          </cell>
          <cell r="R102">
            <v>0</v>
          </cell>
        </row>
        <row r="103">
          <cell r="A103" t="str">
            <v xml:space="preserve"> 553  Ассорти колбас Мясорубская коллекция: Сервелат Делюкс, С балыком 0,08 кг нарезка  ПОКОМ</v>
          </cell>
          <cell r="B103" t="str">
            <v>шт</v>
          </cell>
          <cell r="D103">
            <v>87</v>
          </cell>
          <cell r="E103">
            <v>41</v>
          </cell>
          <cell r="F103">
            <v>34</v>
          </cell>
          <cell r="G103">
            <v>0.08</v>
          </cell>
          <cell r="H103">
            <v>45</v>
          </cell>
          <cell r="I103" t="str">
            <v>матрица</v>
          </cell>
          <cell r="K103">
            <v>58</v>
          </cell>
          <cell r="L103">
            <v>-17</v>
          </cell>
          <cell r="O103">
            <v>30</v>
          </cell>
          <cell r="Q103">
            <v>50</v>
          </cell>
          <cell r="R103">
            <v>8.1999999999999993</v>
          </cell>
        </row>
        <row r="104">
          <cell r="A104" t="str">
            <v xml:space="preserve"> 554  Колбаса Сервелат Мясорубский ТМ Стародворье в упаковке скин 0,08 кг нарезка  ПОКОМ</v>
          </cell>
          <cell r="B104" t="str">
            <v>шт</v>
          </cell>
          <cell r="C104">
            <v>52</v>
          </cell>
          <cell r="D104">
            <v>36</v>
          </cell>
          <cell r="E104">
            <v>67</v>
          </cell>
          <cell r="F104">
            <v>15</v>
          </cell>
          <cell r="G104">
            <v>0.08</v>
          </cell>
          <cell r="H104">
            <v>45</v>
          </cell>
          <cell r="I104" t="str">
            <v>матрица</v>
          </cell>
          <cell r="K104">
            <v>93</v>
          </cell>
          <cell r="L104">
            <v>-26</v>
          </cell>
          <cell r="O104">
            <v>0</v>
          </cell>
          <cell r="P104">
            <v>5.7756838905775041</v>
          </cell>
          <cell r="Q104">
            <v>61.624316109422487</v>
          </cell>
          <cell r="R104">
            <v>13.4</v>
          </cell>
          <cell r="S104">
            <v>78.400000000000006</v>
          </cell>
        </row>
        <row r="105">
          <cell r="A105" t="str">
            <v xml:space="preserve"> 555  Колбаса Молокуша ТМ Вязанка в модифицированной газовой среде 0,17 кг нарезка  ПОКОМ</v>
          </cell>
          <cell r="B105" t="str">
            <v>шт</v>
          </cell>
          <cell r="D105">
            <v>40</v>
          </cell>
          <cell r="E105">
            <v>10</v>
          </cell>
          <cell r="F105">
            <v>30</v>
          </cell>
          <cell r="G105">
            <v>0.17</v>
          </cell>
          <cell r="H105">
            <v>30</v>
          </cell>
          <cell r="I105" t="str">
            <v>НЕДОГРУЗ / матрица</v>
          </cell>
          <cell r="K105">
            <v>10</v>
          </cell>
          <cell r="L105">
            <v>0</v>
          </cell>
          <cell r="O105">
            <v>0</v>
          </cell>
          <cell r="Q105">
            <v>0</v>
          </cell>
          <cell r="R105">
            <v>2</v>
          </cell>
        </row>
        <row r="106">
          <cell r="A106" t="str">
            <v xml:space="preserve"> 556  Колбаса Сервелат Ореховый ТМ Вязанка в оболочке фиброуз в вакуумной упаковке, ВЕС  ПОКОМ</v>
          </cell>
          <cell r="B106" t="str">
            <v>кг</v>
          </cell>
          <cell r="D106">
            <v>48.344000000000001</v>
          </cell>
          <cell r="E106">
            <v>33.950000000000003</v>
          </cell>
          <cell r="F106">
            <v>12.952999999999999</v>
          </cell>
          <cell r="G106">
            <v>1</v>
          </cell>
          <cell r="H106">
            <v>40</v>
          </cell>
          <cell r="I106" t="str">
            <v>НЕДОГРУЗ / матрица</v>
          </cell>
          <cell r="K106">
            <v>38.299999999999997</v>
          </cell>
          <cell r="L106">
            <v>-4.3499999999999943</v>
          </cell>
          <cell r="O106">
            <v>200</v>
          </cell>
          <cell r="Q106">
            <v>20</v>
          </cell>
          <cell r="R106">
            <v>6.7900000000000009</v>
          </cell>
          <cell r="T106">
            <v>80</v>
          </cell>
          <cell r="U106" t="str">
            <v>Промо</v>
          </cell>
        </row>
        <row r="107">
          <cell r="A107" t="str">
            <v xml:space="preserve"> 557  Колбаса Сервелат Финский ТМ Вязанка в оболочке фиброуз в вакуумной упаковке, ВЕС  ПОКОМ</v>
          </cell>
          <cell r="B107" t="str">
            <v>кг</v>
          </cell>
          <cell r="C107">
            <v>213.465</v>
          </cell>
          <cell r="D107">
            <v>7.585</v>
          </cell>
          <cell r="E107">
            <v>59.902999999999999</v>
          </cell>
          <cell r="F107">
            <v>125.044</v>
          </cell>
          <cell r="G107">
            <v>1</v>
          </cell>
          <cell r="H107">
            <v>40</v>
          </cell>
          <cell r="I107" t="str">
            <v>НЕДОГРУЗ / матрица</v>
          </cell>
          <cell r="K107">
            <v>76.635999999999996</v>
          </cell>
          <cell r="L107">
            <v>-16.732999999999997</v>
          </cell>
          <cell r="O107">
            <v>0</v>
          </cell>
          <cell r="Q107">
            <v>70</v>
          </cell>
          <cell r="R107">
            <v>11.980599999999999</v>
          </cell>
          <cell r="T107">
            <v>60</v>
          </cell>
          <cell r="U107" t="str">
            <v>Промо</v>
          </cell>
        </row>
        <row r="108">
          <cell r="A108" t="str">
            <v xml:space="preserve"> 558  Колбаса Балыковая НОВАЯ ВЕС Вязанка фиброуз в/у ПОКОМ</v>
          </cell>
          <cell r="B108" t="str">
            <v>кг</v>
          </cell>
          <cell r="D108">
            <v>7.1050000000000004</v>
          </cell>
          <cell r="E108">
            <v>1.4139999999999999</v>
          </cell>
          <cell r="F108">
            <v>3.556</v>
          </cell>
          <cell r="G108">
            <v>1</v>
          </cell>
          <cell r="H108">
            <v>40</v>
          </cell>
          <cell r="I108" t="str">
            <v>НЕДОГРУЗ / матрица</v>
          </cell>
          <cell r="K108">
            <v>11.1</v>
          </cell>
          <cell r="L108">
            <v>-9.6859999999999999</v>
          </cell>
          <cell r="O108">
            <v>200</v>
          </cell>
          <cell r="Q108">
            <v>70</v>
          </cell>
          <cell r="R108">
            <v>0.2828</v>
          </cell>
          <cell r="T108">
            <v>80</v>
          </cell>
          <cell r="U108" t="str">
            <v>Промо</v>
          </cell>
        </row>
        <row r="109">
          <cell r="A109" t="str">
            <v xml:space="preserve"> 564  Сосиски Сочные 0,3 кг ТМ Вязанка  ПОКОМ</v>
          </cell>
          <cell r="B109" t="str">
            <v>шт</v>
          </cell>
          <cell r="G109">
            <v>0</v>
          </cell>
          <cell r="I109" t="str">
            <v>матрица</v>
          </cell>
          <cell r="L109">
            <v>0</v>
          </cell>
          <cell r="O109">
            <v>0</v>
          </cell>
          <cell r="Q109">
            <v>0</v>
          </cell>
          <cell r="R109">
            <v>0</v>
          </cell>
        </row>
        <row r="110">
          <cell r="A110" t="str">
            <v xml:space="preserve"> 567 Колбаса Со шпиком Стародворская ТМ Стародворье в оболочке полиамид ВЕС  ПОКОМ</v>
          </cell>
          <cell r="B110" t="str">
            <v>кг</v>
          </cell>
          <cell r="G110">
            <v>0</v>
          </cell>
          <cell r="I110" t="str">
            <v>НЕДОГРУЗ / матрица</v>
          </cell>
          <cell r="L110">
            <v>0</v>
          </cell>
          <cell r="O110">
            <v>0</v>
          </cell>
          <cell r="Q110">
            <v>0</v>
          </cell>
          <cell r="R110">
            <v>0</v>
          </cell>
        </row>
        <row r="111">
          <cell r="A111" t="str">
            <v xml:space="preserve"> 569  Колбаса Балыковая ТМ Вязанка в оболочке фиброуз в вакуумной упаковке 0,28 кг срез.  ПОКОМ</v>
          </cell>
          <cell r="B111" t="str">
            <v>шт</v>
          </cell>
          <cell r="D111">
            <v>80</v>
          </cell>
          <cell r="E111">
            <v>74</v>
          </cell>
          <cell r="F111">
            <v>3</v>
          </cell>
          <cell r="G111">
            <v>0.28000000000000003</v>
          </cell>
          <cell r="H111">
            <v>40</v>
          </cell>
          <cell r="I111" t="str">
            <v>НЕДОГРУЗ / матрица</v>
          </cell>
          <cell r="K111">
            <v>106</v>
          </cell>
          <cell r="L111">
            <v>-32</v>
          </cell>
          <cell r="O111">
            <v>150</v>
          </cell>
          <cell r="Q111">
            <v>30</v>
          </cell>
          <cell r="R111">
            <v>14.8</v>
          </cell>
          <cell r="T111">
            <v>80</v>
          </cell>
          <cell r="U111" t="str">
            <v>Есть спрос</v>
          </cell>
        </row>
        <row r="112">
          <cell r="A112" t="str">
            <v xml:space="preserve"> 570  Колбаса Сервелат Финский ТМ Вязанка в оболочке фиброуз в вак. упаковке 0,28 кг срез  ПОКОМ</v>
          </cell>
          <cell r="B112" t="str">
            <v>шт</v>
          </cell>
          <cell r="C112">
            <v>173</v>
          </cell>
          <cell r="D112">
            <v>14</v>
          </cell>
          <cell r="E112">
            <v>81</v>
          </cell>
          <cell r="F112">
            <v>95</v>
          </cell>
          <cell r="G112">
            <v>0.28000000000000003</v>
          </cell>
          <cell r="H112">
            <v>40</v>
          </cell>
          <cell r="I112" t="str">
            <v>НЕДОГРУЗ / матрица</v>
          </cell>
          <cell r="K112">
            <v>114</v>
          </cell>
          <cell r="L112">
            <v>-33</v>
          </cell>
          <cell r="O112">
            <v>0</v>
          </cell>
          <cell r="Q112">
            <v>150</v>
          </cell>
          <cell r="R112">
            <v>16.2</v>
          </cell>
        </row>
        <row r="113">
          <cell r="A113" t="str">
            <v xml:space="preserve"> 571  Колбаса Сервелат Ореховый ТМ Вязанка в оболочке фиброуз в вак. упаковке 0,28 кг срез  ПОКОМ</v>
          </cell>
          <cell r="B113" t="str">
            <v>шт</v>
          </cell>
          <cell r="G113">
            <v>0.28000000000000003</v>
          </cell>
          <cell r="H113">
            <v>40</v>
          </cell>
          <cell r="I113" t="str">
            <v>НЕДОГРУЗ / матрица</v>
          </cell>
          <cell r="K113">
            <v>81</v>
          </cell>
          <cell r="L113">
            <v>-81</v>
          </cell>
          <cell r="O113">
            <v>150</v>
          </cell>
          <cell r="Q113">
            <v>200</v>
          </cell>
          <cell r="R113">
            <v>0</v>
          </cell>
          <cell r="T113">
            <v>50</v>
          </cell>
          <cell r="U113" t="str">
            <v>Есть спрос</v>
          </cell>
        </row>
        <row r="114">
          <cell r="A114" t="str">
            <v xml:space="preserve"> 574  Колбаса Сервелат Финский ТМ Вязанка в упаковке скин 0,09 кг нарезка  ПОКОМ</v>
          </cell>
          <cell r="B114" t="str">
            <v>шт</v>
          </cell>
          <cell r="C114">
            <v>13</v>
          </cell>
          <cell r="D114">
            <v>20</v>
          </cell>
          <cell r="E114">
            <v>21</v>
          </cell>
          <cell r="F114">
            <v>12</v>
          </cell>
          <cell r="G114">
            <v>0.09</v>
          </cell>
          <cell r="H114">
            <v>45</v>
          </cell>
          <cell r="I114" t="str">
            <v>матрица</v>
          </cell>
          <cell r="K114">
            <v>21</v>
          </cell>
          <cell r="L114">
            <v>0</v>
          </cell>
          <cell r="O114">
            <v>0</v>
          </cell>
          <cell r="P114">
            <v>17.03347280334728</v>
          </cell>
          <cell r="Q114">
            <v>0</v>
          </cell>
          <cell r="R114">
            <v>4.2</v>
          </cell>
          <cell r="S114">
            <v>21.366527196652726</v>
          </cell>
        </row>
        <row r="115">
          <cell r="A115" t="str">
            <v xml:space="preserve"> 579  Колбаса Ветчинно-рубленая ТМ Особый рецепт в оболочке полиамид.ВЕС  ПОКОМ</v>
          </cell>
          <cell r="B115" t="str">
            <v>кг</v>
          </cell>
          <cell r="C115">
            <v>15.144</v>
          </cell>
          <cell r="E115">
            <v>15.144</v>
          </cell>
          <cell r="G115">
            <v>1</v>
          </cell>
          <cell r="H115">
            <v>60</v>
          </cell>
          <cell r="I115" t="str">
            <v>матрица</v>
          </cell>
          <cell r="K115">
            <v>30</v>
          </cell>
          <cell r="L115">
            <v>-14.856</v>
          </cell>
          <cell r="O115">
            <v>0</v>
          </cell>
          <cell r="P115">
            <v>20.856000000000002</v>
          </cell>
          <cell r="Q115">
            <v>50</v>
          </cell>
          <cell r="R115">
            <v>3.0287999999999999</v>
          </cell>
        </row>
        <row r="116">
          <cell r="A116" t="str">
            <v xml:space="preserve"> 580  Ветчина Нежная с индейкой ТМ Особый рецепт в оболочке полиамид.ВЕС  ПОКОМ</v>
          </cell>
          <cell r="B116" t="str">
            <v>кг</v>
          </cell>
          <cell r="C116">
            <v>47.350999999999999</v>
          </cell>
          <cell r="F116">
            <v>47.350999999999999</v>
          </cell>
          <cell r="G116">
            <v>1</v>
          </cell>
          <cell r="H116">
            <v>50</v>
          </cell>
          <cell r="I116" t="str">
            <v>матрица</v>
          </cell>
          <cell r="K116">
            <v>30</v>
          </cell>
          <cell r="L116">
            <v>-30</v>
          </cell>
          <cell r="O116">
            <v>0</v>
          </cell>
          <cell r="Q116">
            <v>0</v>
          </cell>
          <cell r="R116">
            <v>0</v>
          </cell>
        </row>
        <row r="117">
          <cell r="A117" t="str">
            <v xml:space="preserve"> 583  Колбаса Балыковая ТМ Вязанка в упаковке скин 0,09 кг нарезка  ПОКОМ</v>
          </cell>
          <cell r="B117" t="str">
            <v>шт</v>
          </cell>
          <cell r="D117">
            <v>20</v>
          </cell>
          <cell r="E117">
            <v>25</v>
          </cell>
          <cell r="F117">
            <v>-5</v>
          </cell>
          <cell r="G117">
            <v>0.09</v>
          </cell>
          <cell r="H117">
            <v>45</v>
          </cell>
          <cell r="I117" t="str">
            <v>НЕДОГРУЗ / матрица</v>
          </cell>
          <cell r="K117">
            <v>25</v>
          </cell>
          <cell r="L117">
            <v>0</v>
          </cell>
          <cell r="O117">
            <v>0</v>
          </cell>
          <cell r="P117">
            <v>10</v>
          </cell>
          <cell r="Q117">
            <v>0</v>
          </cell>
          <cell r="R117">
            <v>5</v>
          </cell>
          <cell r="S117">
            <v>35</v>
          </cell>
        </row>
        <row r="118">
          <cell r="A118" t="str">
            <v xml:space="preserve"> 584  Колбаса Сервелат Ореховый ТМ Вязанка в упаковке скин 0,09 кг нарезка  ПОКОМ</v>
          </cell>
          <cell r="B118" t="str">
            <v>шт</v>
          </cell>
          <cell r="C118">
            <v>15</v>
          </cell>
          <cell r="D118">
            <v>2</v>
          </cell>
          <cell r="E118">
            <v>16</v>
          </cell>
          <cell r="F118">
            <v>-1</v>
          </cell>
          <cell r="G118">
            <v>0.09</v>
          </cell>
          <cell r="H118">
            <v>45</v>
          </cell>
          <cell r="I118" t="str">
            <v>матрица</v>
          </cell>
          <cell r="K118">
            <v>19</v>
          </cell>
          <cell r="L118">
            <v>-3</v>
          </cell>
          <cell r="O118">
            <v>0</v>
          </cell>
          <cell r="P118">
            <v>13.06829268292682</v>
          </cell>
          <cell r="Q118">
            <v>24.93170731707318</v>
          </cell>
          <cell r="R118">
            <v>3.2</v>
          </cell>
          <cell r="S118">
            <v>8</v>
          </cell>
        </row>
        <row r="119">
          <cell r="A119" t="str">
            <v xml:space="preserve"> 585  Колбаса Молочная ТМ Стародворье в оболочке вектор НД ВЕС.  ПОКОМ</v>
          </cell>
          <cell r="B119" t="str">
            <v>кг</v>
          </cell>
          <cell r="C119">
            <v>16.544</v>
          </cell>
          <cell r="D119">
            <v>24.693999999999999</v>
          </cell>
          <cell r="E119">
            <v>21.957999999999998</v>
          </cell>
          <cell r="F119">
            <v>19.28</v>
          </cell>
          <cell r="G119">
            <v>1</v>
          </cell>
          <cell r="H119">
            <v>60</v>
          </cell>
          <cell r="I119" t="str">
            <v>НЕДОГРУЗ / матрица</v>
          </cell>
          <cell r="K119">
            <v>21.9</v>
          </cell>
          <cell r="L119">
            <v>5.7999999999999829E-2</v>
          </cell>
          <cell r="O119">
            <v>50</v>
          </cell>
          <cell r="R119">
            <v>4.3915999999999995</v>
          </cell>
        </row>
        <row r="120">
          <cell r="A120" t="str">
            <v xml:space="preserve"> 586  Колбаса Мясная ТМ Стародворье в оболочке вектор НД ВЕС.  ПОКОМ</v>
          </cell>
          <cell r="B120" t="str">
            <v>кг</v>
          </cell>
          <cell r="C120">
            <v>96.227999999999994</v>
          </cell>
          <cell r="D120">
            <v>66.171999999999997</v>
          </cell>
          <cell r="E120">
            <v>56.975000000000001</v>
          </cell>
          <cell r="F120">
            <v>92.751000000000005</v>
          </cell>
          <cell r="G120">
            <v>1</v>
          </cell>
          <cell r="H120">
            <v>60</v>
          </cell>
          <cell r="I120" t="str">
            <v>матрица</v>
          </cell>
          <cell r="K120">
            <v>63.8</v>
          </cell>
          <cell r="L120">
            <v>-6.8249999999999957</v>
          </cell>
          <cell r="O120">
            <v>70</v>
          </cell>
          <cell r="R120">
            <v>11.395</v>
          </cell>
        </row>
        <row r="121">
          <cell r="A121" t="str">
            <v xml:space="preserve"> 588 Колбаса Со шпиком ТМ Стародворье в оболочке вектор ВЕС  ПОКОМ</v>
          </cell>
          <cell r="B121" t="str">
            <v>кг</v>
          </cell>
          <cell r="C121">
            <v>14.916</v>
          </cell>
          <cell r="D121">
            <v>10.952999999999999</v>
          </cell>
          <cell r="E121">
            <v>14.861000000000001</v>
          </cell>
          <cell r="F121">
            <v>9.6679999999999993</v>
          </cell>
          <cell r="G121">
            <v>1</v>
          </cell>
          <cell r="H121">
            <v>60</v>
          </cell>
          <cell r="I121" t="str">
            <v>НЕДОГРУЗ / матрица</v>
          </cell>
          <cell r="K121">
            <v>15.5</v>
          </cell>
          <cell r="L121">
            <v>-0.63899999999999935</v>
          </cell>
          <cell r="O121">
            <v>0</v>
          </cell>
          <cell r="Q121">
            <v>20</v>
          </cell>
          <cell r="R121">
            <v>2.9722</v>
          </cell>
          <cell r="S121">
            <v>5.9983999999999966</v>
          </cell>
        </row>
        <row r="122">
          <cell r="A122" t="str">
            <v xml:space="preserve"> 597  Колбаса Классическая ТМ Особый рецепт в оболочке полиамид ВЕС. ПОКОМ</v>
          </cell>
          <cell r="B122" t="str">
            <v>кг</v>
          </cell>
          <cell r="C122">
            <v>306.82900000000001</v>
          </cell>
          <cell r="D122">
            <v>937.10500000000002</v>
          </cell>
          <cell r="E122">
            <v>350.32100000000003</v>
          </cell>
          <cell r="F122">
            <v>836.06900000000007</v>
          </cell>
          <cell r="G122">
            <v>1</v>
          </cell>
          <cell r="H122">
            <v>60</v>
          </cell>
          <cell r="I122" t="str">
            <v>матрица</v>
          </cell>
          <cell r="K122">
            <v>382.1</v>
          </cell>
          <cell r="L122">
            <v>-31.778999999999996</v>
          </cell>
          <cell r="O122">
            <v>187.0712</v>
          </cell>
          <cell r="Q122">
            <v>0</v>
          </cell>
          <cell r="R122">
            <v>70.0642</v>
          </cell>
        </row>
        <row r="123">
          <cell r="A123" t="str">
            <v xml:space="preserve"> 614  Буженина в пряном маринаде 0,25 кг консервы из мяса индейки ТМ Стародворье  ПОКОМ</v>
          </cell>
          <cell r="B123" t="str">
            <v>шт</v>
          </cell>
          <cell r="C123">
            <v>213</v>
          </cell>
          <cell r="D123">
            <v>63</v>
          </cell>
          <cell r="E123">
            <v>22</v>
          </cell>
          <cell r="F123">
            <v>251</v>
          </cell>
          <cell r="G123">
            <v>0.25</v>
          </cell>
          <cell r="H123">
            <v>1096</v>
          </cell>
          <cell r="I123" t="str">
            <v>матрица</v>
          </cell>
          <cell r="K123">
            <v>30</v>
          </cell>
          <cell r="L123">
            <v>-8</v>
          </cell>
          <cell r="O123">
            <v>0</v>
          </cell>
          <cell r="Q123">
            <v>0</v>
          </cell>
          <cell r="R123">
            <v>4.4000000000000004</v>
          </cell>
        </row>
        <row r="124">
          <cell r="A124" t="str">
            <v xml:space="preserve"> 615  Гречка по-купечески с говядиной и овощами 0,325кг ТМ Стародворье  ПОКОМ</v>
          </cell>
          <cell r="B124" t="str">
            <v>шт</v>
          </cell>
          <cell r="C124">
            <v>113</v>
          </cell>
          <cell r="D124">
            <v>3</v>
          </cell>
          <cell r="E124">
            <v>17</v>
          </cell>
          <cell r="F124">
            <v>96</v>
          </cell>
          <cell r="G124">
            <v>0.32500000000000001</v>
          </cell>
          <cell r="H124">
            <v>1096</v>
          </cell>
          <cell r="I124" t="str">
            <v>матрица</v>
          </cell>
          <cell r="K124">
            <v>25</v>
          </cell>
          <cell r="L124">
            <v>-8</v>
          </cell>
          <cell r="O124">
            <v>0</v>
          </cell>
          <cell r="Q124">
            <v>50</v>
          </cell>
          <cell r="R124">
            <v>3.4</v>
          </cell>
        </row>
        <row r="125">
          <cell r="A125" t="str">
            <v xml:space="preserve"> 616  Индейка томлёная в собственном соку 0,25кг ТМ Стародлворье Консервый из мяс.птицы  ПОКОМ</v>
          </cell>
          <cell r="B125" t="str">
            <v>шт</v>
          </cell>
          <cell r="C125">
            <v>113</v>
          </cell>
          <cell r="D125">
            <v>3</v>
          </cell>
          <cell r="E125">
            <v>20</v>
          </cell>
          <cell r="F125">
            <v>93</v>
          </cell>
          <cell r="G125">
            <v>0.25</v>
          </cell>
          <cell r="H125">
            <v>1096</v>
          </cell>
          <cell r="I125" t="str">
            <v>НЕДОГРУЗ / матрица</v>
          </cell>
          <cell r="K125">
            <v>28</v>
          </cell>
          <cell r="L125">
            <v>-8</v>
          </cell>
          <cell r="O125">
            <v>0</v>
          </cell>
          <cell r="Q125">
            <v>50</v>
          </cell>
          <cell r="R125">
            <v>4</v>
          </cell>
        </row>
        <row r="126">
          <cell r="A126" t="str">
            <v xml:space="preserve"> 633  Колбаса Мясная Классическая ТМ Вязанка в оболочке полиамид УМВ.ВЕС.  ПОКОМ</v>
          </cell>
          <cell r="B126" t="str">
            <v>кг</v>
          </cell>
          <cell r="D126">
            <v>19.998999999999999</v>
          </cell>
          <cell r="F126">
            <v>16.981999999999999</v>
          </cell>
          <cell r="G126">
            <v>0</v>
          </cell>
          <cell r="I126" t="str">
            <v>дубль</v>
          </cell>
          <cell r="J126" t="str">
            <v xml:space="preserve"> 547  Колбаса Мясная Классическая ТМ Вязанка в оболочке полиамид. ВЕС  ПОКОМ</v>
          </cell>
          <cell r="K126">
            <v>2</v>
          </cell>
          <cell r="L126">
            <v>-2</v>
          </cell>
          <cell r="Q126">
            <v>0</v>
          </cell>
          <cell r="R126">
            <v>0</v>
          </cell>
        </row>
        <row r="127">
          <cell r="A127" t="str">
            <v>495  Колбаса Сочинка по-европейски с сочной грудинкой 0,3кг ТМ Стародворье  ПОКОМ</v>
          </cell>
          <cell r="B127" t="str">
            <v>шт</v>
          </cell>
          <cell r="G127">
            <v>0.3</v>
          </cell>
          <cell r="H127">
            <v>40</v>
          </cell>
          <cell r="I127" t="str">
            <v>НЕДОГРУЗ / матрица</v>
          </cell>
          <cell r="L127">
            <v>0</v>
          </cell>
          <cell r="O127">
            <v>80</v>
          </cell>
          <cell r="Q127">
            <v>80</v>
          </cell>
          <cell r="R127">
            <v>0</v>
          </cell>
          <cell r="T127">
            <v>80</v>
          </cell>
          <cell r="U127" t="str">
            <v>Есть спрос</v>
          </cell>
        </row>
        <row r="128">
          <cell r="A128" t="str">
            <v>496  Колбаса Сочинка по-фински с сочным окроком 0,3кг ТМ Стародворье  ПОКОМ</v>
          </cell>
          <cell r="B128" t="str">
            <v>шт</v>
          </cell>
          <cell r="G128">
            <v>0.3</v>
          </cell>
          <cell r="H128">
            <v>40</v>
          </cell>
          <cell r="I128" t="str">
            <v>НЕДОГРУЗ / матрица</v>
          </cell>
          <cell r="L128">
            <v>0</v>
          </cell>
          <cell r="O128">
            <v>80</v>
          </cell>
          <cell r="Q128">
            <v>80</v>
          </cell>
          <cell r="R128">
            <v>0</v>
          </cell>
          <cell r="T128">
            <v>80</v>
          </cell>
          <cell r="U128" t="str">
            <v>Есть спрос</v>
          </cell>
        </row>
        <row r="129">
          <cell r="A129" t="str">
            <v>503 Колбаса Филейская со шпиком ТМ Вязанка в оболочке полиамид.ПОКОМ</v>
          </cell>
          <cell r="B129" t="str">
            <v>кг</v>
          </cell>
          <cell r="D129">
            <v>32.979999999999997</v>
          </cell>
          <cell r="E129">
            <v>13.702</v>
          </cell>
          <cell r="F129">
            <v>19.277999999999999</v>
          </cell>
          <cell r="G129">
            <v>1</v>
          </cell>
          <cell r="H129">
            <v>50</v>
          </cell>
          <cell r="I129" t="str">
            <v>матрица</v>
          </cell>
          <cell r="K129">
            <v>13</v>
          </cell>
          <cell r="L129">
            <v>0.70199999999999996</v>
          </cell>
          <cell r="O129">
            <v>0</v>
          </cell>
          <cell r="Q129">
            <v>0</v>
          </cell>
          <cell r="R129">
            <v>2.7404000000000002</v>
          </cell>
          <cell r="S129">
            <v>13.6068</v>
          </cell>
        </row>
        <row r="130">
          <cell r="A130" t="str">
            <v>515  Колбаса Сервелат Мясорубский Делюкс 0,3кг ТМ Стародворье  ПОКОМ</v>
          </cell>
          <cell r="B130" t="str">
            <v>шт</v>
          </cell>
          <cell r="G130">
            <v>0.3</v>
          </cell>
          <cell r="H130">
            <v>40</v>
          </cell>
          <cell r="I130" t="str">
            <v>НЕДОГРУЗ / матрица</v>
          </cell>
          <cell r="L130">
            <v>0</v>
          </cell>
          <cell r="O130">
            <v>80</v>
          </cell>
          <cell r="Q130">
            <v>100</v>
          </cell>
          <cell r="R130">
            <v>0</v>
          </cell>
          <cell r="T130">
            <v>80</v>
          </cell>
          <cell r="U130" t="str">
            <v>Есть спрос</v>
          </cell>
        </row>
        <row r="131">
          <cell r="A131" t="str">
            <v>519  Грудинка 0,12 кг нарезка ТМ Стародворье  ПОКОМ</v>
          </cell>
          <cell r="B131" t="str">
            <v>шт</v>
          </cell>
          <cell r="C131">
            <v>15</v>
          </cell>
          <cell r="D131">
            <v>30</v>
          </cell>
          <cell r="E131">
            <v>42</v>
          </cell>
          <cell r="F131">
            <v>3</v>
          </cell>
          <cell r="G131">
            <v>0.12</v>
          </cell>
          <cell r="H131">
            <v>45</v>
          </cell>
          <cell r="I131" t="str">
            <v>НЕДОГРУЗ / матрица</v>
          </cell>
          <cell r="K131">
            <v>43</v>
          </cell>
          <cell r="L131">
            <v>-1</v>
          </cell>
          <cell r="O131">
            <v>0</v>
          </cell>
          <cell r="P131">
            <v>9.3333333333333286</v>
          </cell>
          <cell r="Q131">
            <v>30.266666666666669</v>
          </cell>
          <cell r="R131">
            <v>8.4</v>
          </cell>
          <cell r="S131">
            <v>58.200000000000017</v>
          </cell>
        </row>
        <row r="132">
          <cell r="A132" t="str">
            <v>БОНУС_ 334  Паштет Любительский ТМ Стародворье ламистер 0,1 кг  ПОКОМ</v>
          </cell>
          <cell r="B132" t="str">
            <v>шт</v>
          </cell>
          <cell r="C132">
            <v>-32</v>
          </cell>
          <cell r="D132">
            <v>103</v>
          </cell>
          <cell r="E132">
            <v>25</v>
          </cell>
          <cell r="F132">
            <v>41</v>
          </cell>
          <cell r="G132">
            <v>0</v>
          </cell>
          <cell r="I132" t="str">
            <v>бонус</v>
          </cell>
          <cell r="J132" t="str">
            <v xml:space="preserve"> 334  Паштет Любительский ТМ Стародворье ламистер 0,1 кг  ПОКОМ</v>
          </cell>
          <cell r="K132">
            <v>28</v>
          </cell>
          <cell r="L132">
            <v>-3</v>
          </cell>
          <cell r="O132">
            <v>0</v>
          </cell>
          <cell r="Q132">
            <v>0</v>
          </cell>
          <cell r="R132">
            <v>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498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U16" sqref="U1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5703125" customWidth="1"/>
    <col min="15" max="20" width="7" customWidth="1"/>
    <col min="21" max="22" width="7" style="18" customWidth="1"/>
    <col min="23" max="24" width="5" customWidth="1"/>
    <col min="25" max="28" width="6" customWidth="1"/>
    <col min="29" max="29" width="42.140625" customWidth="1"/>
    <col min="30" max="30" width="7" customWidth="1"/>
    <col min="31" max="52" width="8" customWidth="1"/>
  </cols>
  <sheetData>
    <row r="1" spans="1:52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</row>
    <row r="3" spans="1:52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15</v>
      </c>
      <c r="S3" s="3" t="s">
        <v>16</v>
      </c>
      <c r="T3" s="3" t="s">
        <v>172</v>
      </c>
      <c r="U3" s="3" t="s">
        <v>169</v>
      </c>
      <c r="V3" s="3" t="s">
        <v>171</v>
      </c>
      <c r="W3" s="2" t="s">
        <v>17</v>
      </c>
      <c r="X3" s="2" t="s">
        <v>18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20</v>
      </c>
      <c r="AD3" s="2" t="s">
        <v>21</v>
      </c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</row>
    <row r="4" spans="1:52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/>
      <c r="T4" s="1" t="s">
        <v>173</v>
      </c>
      <c r="U4" s="1" t="s">
        <v>170</v>
      </c>
      <c r="V4" s="1"/>
      <c r="W4" s="1"/>
      <c r="X4" s="1"/>
      <c r="Y4" s="1" t="s">
        <v>26</v>
      </c>
      <c r="Z4" s="1" t="s">
        <v>27</v>
      </c>
      <c r="AA4" s="1" t="s">
        <v>28</v>
      </c>
      <c r="AB4" s="1" t="s">
        <v>29</v>
      </c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</row>
    <row r="5" spans="1:52" x14ac:dyDescent="0.25">
      <c r="A5" s="1"/>
      <c r="B5" s="1"/>
      <c r="C5" s="1"/>
      <c r="D5" s="1"/>
      <c r="E5" s="4">
        <f>SUM(E6:E498)</f>
        <v>9457.110000000006</v>
      </c>
      <c r="F5" s="4">
        <f>SUM(F6:F498)</f>
        <v>10616.445000000002</v>
      </c>
      <c r="G5" s="7"/>
      <c r="H5" s="1"/>
      <c r="I5" s="1"/>
      <c r="J5" s="1"/>
      <c r="K5" s="4">
        <f t="shared" ref="K5:U5" si="0">SUM(K6:K498)</f>
        <v>12032.295</v>
      </c>
      <c r="L5" s="4">
        <f t="shared" si="0"/>
        <v>-2575.1850000000004</v>
      </c>
      <c r="M5" s="4">
        <f t="shared" si="0"/>
        <v>0</v>
      </c>
      <c r="N5" s="4">
        <f t="shared" si="0"/>
        <v>0</v>
      </c>
      <c r="O5" s="4">
        <f t="shared" si="0"/>
        <v>4295.6332802177858</v>
      </c>
      <c r="P5" s="4">
        <f t="shared" si="0"/>
        <v>3516.1213999175316</v>
      </c>
      <c r="Q5" s="4">
        <f t="shared" si="0"/>
        <v>5445.1202714208675</v>
      </c>
      <c r="R5" s="4">
        <f t="shared" si="0"/>
        <v>1891.4219999999993</v>
      </c>
      <c r="S5" s="4">
        <f t="shared" si="0"/>
        <v>5029.2055489673776</v>
      </c>
      <c r="T5" s="4">
        <f t="shared" si="0"/>
        <v>6447.0335768743544</v>
      </c>
      <c r="U5" s="4">
        <f t="shared" si="0"/>
        <v>1700</v>
      </c>
      <c r="V5" s="4"/>
      <c r="W5" s="1"/>
      <c r="X5" s="1"/>
      <c r="Y5" s="4">
        <f>SUM(Y6:Y498)</f>
        <v>1619.0564000000002</v>
      </c>
      <c r="Z5" s="4">
        <f>SUM(Z6:Z498)</f>
        <v>1535.2779999999998</v>
      </c>
      <c r="AA5" s="4">
        <f>SUM(AA6:AA498)</f>
        <v>1488.0051999999996</v>
      </c>
      <c r="AB5" s="4">
        <f>SUM(AB6:AB498)</f>
        <v>1172.1378</v>
      </c>
      <c r="AC5" s="1"/>
      <c r="AD5" s="4">
        <f>SUM(AD6:AD498)</f>
        <v>3891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</row>
    <row r="6" spans="1:52" x14ac:dyDescent="0.25">
      <c r="A6" s="1" t="s">
        <v>30</v>
      </c>
      <c r="B6" s="1" t="s">
        <v>31</v>
      </c>
      <c r="C6" s="1">
        <v>80.915000000000006</v>
      </c>
      <c r="D6" s="1">
        <v>233.92599999999999</v>
      </c>
      <c r="E6" s="1">
        <v>98.316999999999993</v>
      </c>
      <c r="F6" s="1">
        <v>206.28</v>
      </c>
      <c r="G6" s="7">
        <v>1</v>
      </c>
      <c r="H6" s="1">
        <v>50</v>
      </c>
      <c r="I6" s="1" t="s">
        <v>32</v>
      </c>
      <c r="J6" s="1"/>
      <c r="K6" s="1">
        <v>161.1</v>
      </c>
      <c r="L6" s="1">
        <f t="shared" ref="L6:L37" si="1">E6-K6</f>
        <v>-62.783000000000001</v>
      </c>
      <c r="M6" s="1"/>
      <c r="N6" s="1"/>
      <c r="O6" s="1">
        <v>0</v>
      </c>
      <c r="P6" s="1"/>
      <c r="Q6" s="1">
        <v>42.618400000000022</v>
      </c>
      <c r="R6" s="1">
        <f t="shared" ref="R6:R37" si="2">E6/5</f>
        <v>19.663399999999999</v>
      </c>
      <c r="S6" s="5"/>
      <c r="T6" s="5">
        <f>S6</f>
        <v>0</v>
      </c>
      <c r="U6" s="17"/>
      <c r="V6" s="17"/>
      <c r="W6" s="1">
        <f>(F6+O6+P6+Q6+T6)/R6</f>
        <v>12.657953354964047</v>
      </c>
      <c r="X6" s="1">
        <f t="shared" ref="X6:X37" si="3">(F6+O6+P6+Q6)/R6</f>
        <v>12.657953354964047</v>
      </c>
      <c r="Y6" s="1">
        <v>24.488199999999999</v>
      </c>
      <c r="Z6" s="1">
        <v>15.6044</v>
      </c>
      <c r="AA6" s="1">
        <v>21.5792</v>
      </c>
      <c r="AB6" s="1">
        <v>26.789200000000001</v>
      </c>
      <c r="AC6" s="1"/>
      <c r="AD6" s="1">
        <f>ROUND(G6*T6,0)</f>
        <v>0</v>
      </c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</row>
    <row r="7" spans="1:52" x14ac:dyDescent="0.25">
      <c r="A7" s="1" t="s">
        <v>33</v>
      </c>
      <c r="B7" s="1" t="s">
        <v>31</v>
      </c>
      <c r="C7" s="1">
        <v>438.69900000000001</v>
      </c>
      <c r="D7" s="1">
        <v>103.523</v>
      </c>
      <c r="E7" s="1">
        <v>114.65900000000001</v>
      </c>
      <c r="F7" s="1">
        <v>379.351</v>
      </c>
      <c r="G7" s="7">
        <v>1</v>
      </c>
      <c r="H7" s="1">
        <v>45</v>
      </c>
      <c r="I7" s="1" t="s">
        <v>32</v>
      </c>
      <c r="J7" s="1"/>
      <c r="K7" s="1">
        <v>133.99</v>
      </c>
      <c r="L7" s="1">
        <f t="shared" si="1"/>
        <v>-19.331000000000003</v>
      </c>
      <c r="M7" s="1"/>
      <c r="N7" s="1"/>
      <c r="O7" s="1">
        <v>0</v>
      </c>
      <c r="P7" s="1"/>
      <c r="Q7" s="1">
        <v>0</v>
      </c>
      <c r="R7" s="1">
        <f t="shared" si="2"/>
        <v>22.931800000000003</v>
      </c>
      <c r="S7" s="5"/>
      <c r="T7" s="5">
        <f t="shared" ref="T7:T69" si="4">S7</f>
        <v>0</v>
      </c>
      <c r="U7" s="17"/>
      <c r="V7" s="17"/>
      <c r="W7" s="1">
        <f t="shared" ref="W7:W70" si="5">(F7+O7+P7+Q7+T7)/R7</f>
        <v>16.542574067452183</v>
      </c>
      <c r="X7" s="1">
        <f t="shared" si="3"/>
        <v>16.542574067452183</v>
      </c>
      <c r="Y7" s="1">
        <v>24.117799999999999</v>
      </c>
      <c r="Z7" s="1">
        <v>22.6374</v>
      </c>
      <c r="AA7" s="1">
        <v>20.7254</v>
      </c>
      <c r="AB7" s="1">
        <v>21.689</v>
      </c>
      <c r="AC7" s="14" t="s">
        <v>88</v>
      </c>
      <c r="AD7" s="1">
        <f t="shared" ref="AD7:AD70" si="6">ROUND(G7*T7,0)</f>
        <v>0</v>
      </c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</row>
    <row r="8" spans="1:52" x14ac:dyDescent="0.25">
      <c r="A8" s="1" t="s">
        <v>34</v>
      </c>
      <c r="B8" s="1" t="s">
        <v>31</v>
      </c>
      <c r="C8" s="1">
        <v>93.65</v>
      </c>
      <c r="D8" s="1">
        <v>129.54</v>
      </c>
      <c r="E8" s="1">
        <v>134.196</v>
      </c>
      <c r="F8" s="1">
        <v>51.54</v>
      </c>
      <c r="G8" s="7">
        <v>1</v>
      </c>
      <c r="H8" s="1">
        <v>45</v>
      </c>
      <c r="I8" s="9" t="s">
        <v>35</v>
      </c>
      <c r="J8" s="1"/>
      <c r="K8" s="1">
        <v>153.69999999999999</v>
      </c>
      <c r="L8" s="1">
        <f t="shared" si="1"/>
        <v>-19.503999999999991</v>
      </c>
      <c r="M8" s="1"/>
      <c r="N8" s="1"/>
      <c r="O8" s="1">
        <v>99</v>
      </c>
      <c r="P8" s="1">
        <v>30</v>
      </c>
      <c r="Q8" s="1">
        <v>200</v>
      </c>
      <c r="R8" s="1">
        <f t="shared" si="2"/>
        <v>26.839199999999998</v>
      </c>
      <c r="S8" s="5"/>
      <c r="T8" s="5">
        <f t="shared" si="4"/>
        <v>0</v>
      </c>
      <c r="U8" s="17"/>
      <c r="V8" s="17"/>
      <c r="W8" s="1">
        <f t="shared" si="5"/>
        <v>14.178515007898893</v>
      </c>
      <c r="X8" s="1">
        <f t="shared" si="3"/>
        <v>14.178515007898893</v>
      </c>
      <c r="Y8" s="1">
        <v>22.239000000000001</v>
      </c>
      <c r="Z8" s="1">
        <v>23.381799999999998</v>
      </c>
      <c r="AA8" s="1">
        <v>24.181999999999999</v>
      </c>
      <c r="AB8" s="1">
        <v>21.139399999999998</v>
      </c>
      <c r="AC8" s="1"/>
      <c r="AD8" s="1">
        <f t="shared" si="6"/>
        <v>0</v>
      </c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</row>
    <row r="9" spans="1:52" x14ac:dyDescent="0.25">
      <c r="A9" s="10" t="s">
        <v>36</v>
      </c>
      <c r="B9" s="10" t="s">
        <v>37</v>
      </c>
      <c r="C9" s="10"/>
      <c r="D9" s="10"/>
      <c r="E9" s="10"/>
      <c r="F9" s="10"/>
      <c r="G9" s="11">
        <v>0</v>
      </c>
      <c r="H9" s="10"/>
      <c r="I9" s="10" t="s">
        <v>32</v>
      </c>
      <c r="J9" s="10"/>
      <c r="K9" s="10"/>
      <c r="L9" s="10">
        <f t="shared" si="1"/>
        <v>0</v>
      </c>
      <c r="M9" s="10"/>
      <c r="N9" s="10"/>
      <c r="O9" s="10">
        <v>0</v>
      </c>
      <c r="P9" s="10"/>
      <c r="Q9" s="10">
        <v>0</v>
      </c>
      <c r="R9" s="10">
        <f t="shared" si="2"/>
        <v>0</v>
      </c>
      <c r="S9" s="12"/>
      <c r="T9" s="5">
        <f t="shared" si="4"/>
        <v>0</v>
      </c>
      <c r="U9" s="17"/>
      <c r="V9" s="17"/>
      <c r="W9" s="1" t="e">
        <f t="shared" si="5"/>
        <v>#DIV/0!</v>
      </c>
      <c r="X9" s="10" t="e">
        <f t="shared" si="3"/>
        <v>#DIV/0!</v>
      </c>
      <c r="Y9" s="10">
        <v>0</v>
      </c>
      <c r="Z9" s="10">
        <v>0</v>
      </c>
      <c r="AA9" s="10">
        <v>0</v>
      </c>
      <c r="AB9" s="10">
        <v>0</v>
      </c>
      <c r="AC9" s="10" t="s">
        <v>38</v>
      </c>
      <c r="AD9" s="1">
        <f t="shared" si="6"/>
        <v>0</v>
      </c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</row>
    <row r="10" spans="1:52" x14ac:dyDescent="0.25">
      <c r="A10" s="1" t="s">
        <v>39</v>
      </c>
      <c r="B10" s="1" t="s">
        <v>37</v>
      </c>
      <c r="C10" s="1">
        <v>-9</v>
      </c>
      <c r="D10" s="1">
        <v>522</v>
      </c>
      <c r="E10" s="1">
        <v>441</v>
      </c>
      <c r="F10" s="1">
        <v>49</v>
      </c>
      <c r="G10" s="7">
        <v>0.45</v>
      </c>
      <c r="H10" s="1">
        <v>45</v>
      </c>
      <c r="I10" s="1" t="s">
        <v>32</v>
      </c>
      <c r="J10" s="1"/>
      <c r="K10" s="1">
        <v>449</v>
      </c>
      <c r="L10" s="1">
        <f t="shared" si="1"/>
        <v>-8</v>
      </c>
      <c r="M10" s="1"/>
      <c r="N10" s="1"/>
      <c r="O10" s="1">
        <v>300</v>
      </c>
      <c r="P10" s="1"/>
      <c r="Q10" s="1">
        <v>0</v>
      </c>
      <c r="R10" s="1">
        <f t="shared" si="2"/>
        <v>88.2</v>
      </c>
      <c r="S10" s="5">
        <f>11*R10-Q10-P10-O10-F10</f>
        <v>621.20000000000005</v>
      </c>
      <c r="T10" s="5">
        <f t="shared" si="4"/>
        <v>621.20000000000005</v>
      </c>
      <c r="U10" s="17"/>
      <c r="V10" s="17"/>
      <c r="W10" s="1">
        <f t="shared" si="5"/>
        <v>11</v>
      </c>
      <c r="X10" s="1">
        <f t="shared" si="3"/>
        <v>3.9569160997732427</v>
      </c>
      <c r="Y10" s="1">
        <v>26.2</v>
      </c>
      <c r="Z10" s="1">
        <v>23.6</v>
      </c>
      <c r="AA10" s="1">
        <v>21.8</v>
      </c>
      <c r="AB10" s="1">
        <v>-0.6</v>
      </c>
      <c r="AC10" s="1"/>
      <c r="AD10" s="1">
        <f t="shared" si="6"/>
        <v>280</v>
      </c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</row>
    <row r="11" spans="1:52" x14ac:dyDescent="0.25">
      <c r="A11" s="1" t="s">
        <v>40</v>
      </c>
      <c r="B11" s="1" t="s">
        <v>37</v>
      </c>
      <c r="C11" s="1">
        <v>227.6</v>
      </c>
      <c r="D11" s="1">
        <v>607</v>
      </c>
      <c r="E11" s="1">
        <v>466</v>
      </c>
      <c r="F11" s="1">
        <v>227</v>
      </c>
      <c r="G11" s="7">
        <v>0.45</v>
      </c>
      <c r="H11" s="1">
        <v>45</v>
      </c>
      <c r="I11" s="1" t="s">
        <v>32</v>
      </c>
      <c r="J11" s="1"/>
      <c r="K11" s="1">
        <v>567</v>
      </c>
      <c r="L11" s="1">
        <f t="shared" si="1"/>
        <v>-101</v>
      </c>
      <c r="M11" s="1"/>
      <c r="N11" s="1"/>
      <c r="O11" s="1">
        <v>0</v>
      </c>
      <c r="P11" s="1">
        <v>342.29294306335203</v>
      </c>
      <c r="Q11" s="1">
        <v>200</v>
      </c>
      <c r="R11" s="1">
        <f t="shared" si="2"/>
        <v>93.2</v>
      </c>
      <c r="S11" s="5">
        <f t="shared" ref="S11:S16" si="7">12*R11-Q11-P11-O11-F11</f>
        <v>349.10705693664806</v>
      </c>
      <c r="T11" s="5">
        <f t="shared" si="4"/>
        <v>349.10705693664806</v>
      </c>
      <c r="U11" s="17"/>
      <c r="V11" s="17"/>
      <c r="W11" s="1">
        <f t="shared" si="5"/>
        <v>12</v>
      </c>
      <c r="X11" s="1">
        <f t="shared" si="3"/>
        <v>8.254216127289185</v>
      </c>
      <c r="Y11" s="1">
        <v>82</v>
      </c>
      <c r="Z11" s="1">
        <v>82.6</v>
      </c>
      <c r="AA11" s="1">
        <v>72.2</v>
      </c>
      <c r="AB11" s="1">
        <v>58.4</v>
      </c>
      <c r="AC11" s="1"/>
      <c r="AD11" s="1">
        <f t="shared" si="6"/>
        <v>157</v>
      </c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</row>
    <row r="12" spans="1:52" x14ac:dyDescent="0.25">
      <c r="A12" s="1" t="s">
        <v>41</v>
      </c>
      <c r="B12" s="1" t="s">
        <v>37</v>
      </c>
      <c r="C12" s="1">
        <v>32</v>
      </c>
      <c r="D12" s="1">
        <v>90</v>
      </c>
      <c r="E12" s="1">
        <v>60</v>
      </c>
      <c r="F12" s="1">
        <v>58</v>
      </c>
      <c r="G12" s="7">
        <v>0.17</v>
      </c>
      <c r="H12" s="1">
        <v>180</v>
      </c>
      <c r="I12" s="1" t="s">
        <v>32</v>
      </c>
      <c r="J12" s="1"/>
      <c r="K12" s="1">
        <v>61</v>
      </c>
      <c r="L12" s="1">
        <f t="shared" si="1"/>
        <v>-1</v>
      </c>
      <c r="M12" s="1"/>
      <c r="N12" s="1"/>
      <c r="O12" s="1">
        <v>0</v>
      </c>
      <c r="P12" s="1"/>
      <c r="Q12" s="1">
        <v>0</v>
      </c>
      <c r="R12" s="1">
        <f t="shared" si="2"/>
        <v>12</v>
      </c>
      <c r="S12" s="5">
        <f t="shared" si="7"/>
        <v>86</v>
      </c>
      <c r="T12" s="5">
        <f t="shared" si="4"/>
        <v>86</v>
      </c>
      <c r="U12" s="17"/>
      <c r="V12" s="17"/>
      <c r="W12" s="1">
        <f t="shared" si="5"/>
        <v>12</v>
      </c>
      <c r="X12" s="1">
        <f t="shared" si="3"/>
        <v>4.833333333333333</v>
      </c>
      <c r="Y12" s="1">
        <v>7</v>
      </c>
      <c r="Z12" s="1">
        <v>6</v>
      </c>
      <c r="AA12" s="1">
        <v>2.8</v>
      </c>
      <c r="AB12" s="1">
        <v>4.8</v>
      </c>
      <c r="AC12" s="1"/>
      <c r="AD12" s="1">
        <f t="shared" si="6"/>
        <v>15</v>
      </c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</row>
    <row r="13" spans="1:52" x14ac:dyDescent="0.25">
      <c r="A13" s="1" t="s">
        <v>42</v>
      </c>
      <c r="B13" s="1" t="s">
        <v>37</v>
      </c>
      <c r="C13" s="1">
        <v>35</v>
      </c>
      <c r="D13" s="1">
        <v>24</v>
      </c>
      <c r="E13" s="1">
        <v>32</v>
      </c>
      <c r="F13" s="1">
        <v>23</v>
      </c>
      <c r="G13" s="7">
        <v>0.3</v>
      </c>
      <c r="H13" s="1">
        <v>40</v>
      </c>
      <c r="I13" s="1" t="s">
        <v>32</v>
      </c>
      <c r="J13" s="1"/>
      <c r="K13" s="1">
        <v>34</v>
      </c>
      <c r="L13" s="1">
        <f t="shared" si="1"/>
        <v>-2</v>
      </c>
      <c r="M13" s="1"/>
      <c r="N13" s="1"/>
      <c r="O13" s="1">
        <v>0</v>
      </c>
      <c r="P13" s="1">
        <v>18.5089005235602</v>
      </c>
      <c r="Q13" s="1">
        <v>70</v>
      </c>
      <c r="R13" s="1">
        <f t="shared" si="2"/>
        <v>6.4</v>
      </c>
      <c r="S13" s="5"/>
      <c r="T13" s="5">
        <f t="shared" si="4"/>
        <v>0</v>
      </c>
      <c r="U13" s="17"/>
      <c r="V13" s="17"/>
      <c r="W13" s="1">
        <f t="shared" si="5"/>
        <v>17.42326570680628</v>
      </c>
      <c r="X13" s="1">
        <f t="shared" si="3"/>
        <v>17.42326570680628</v>
      </c>
      <c r="Y13" s="1">
        <v>6.8</v>
      </c>
      <c r="Z13" s="1">
        <v>5.6</v>
      </c>
      <c r="AA13" s="1">
        <v>3</v>
      </c>
      <c r="AB13" s="1">
        <v>0</v>
      </c>
      <c r="AC13" s="14" t="s">
        <v>88</v>
      </c>
      <c r="AD13" s="1">
        <f t="shared" si="6"/>
        <v>0</v>
      </c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</row>
    <row r="14" spans="1:52" x14ac:dyDescent="0.25">
      <c r="A14" s="1" t="s">
        <v>43</v>
      </c>
      <c r="B14" s="1" t="s">
        <v>37</v>
      </c>
      <c r="C14" s="1">
        <v>232</v>
      </c>
      <c r="D14" s="1">
        <v>15</v>
      </c>
      <c r="E14" s="1">
        <v>106</v>
      </c>
      <c r="F14" s="1">
        <v>126</v>
      </c>
      <c r="G14" s="7">
        <v>0.17</v>
      </c>
      <c r="H14" s="1">
        <v>180</v>
      </c>
      <c r="I14" s="1" t="s">
        <v>32</v>
      </c>
      <c r="J14" s="1"/>
      <c r="K14" s="1">
        <v>122</v>
      </c>
      <c r="L14" s="1">
        <f t="shared" si="1"/>
        <v>-16</v>
      </c>
      <c r="M14" s="1"/>
      <c r="N14" s="1"/>
      <c r="O14" s="1">
        <v>0</v>
      </c>
      <c r="P14" s="1">
        <v>10.600000000000019</v>
      </c>
      <c r="Q14" s="1">
        <v>70</v>
      </c>
      <c r="R14" s="1">
        <f t="shared" si="2"/>
        <v>21.2</v>
      </c>
      <c r="S14" s="5">
        <f t="shared" si="7"/>
        <v>47.799999999999955</v>
      </c>
      <c r="T14" s="5">
        <f t="shared" si="4"/>
        <v>47.799999999999955</v>
      </c>
      <c r="U14" s="17"/>
      <c r="V14" s="17"/>
      <c r="W14" s="1">
        <f t="shared" si="5"/>
        <v>12</v>
      </c>
      <c r="X14" s="1">
        <f t="shared" si="3"/>
        <v>9.7452830188679265</v>
      </c>
      <c r="Y14" s="1">
        <v>18.2</v>
      </c>
      <c r="Z14" s="1">
        <v>20.8</v>
      </c>
      <c r="AA14" s="1">
        <v>17.8</v>
      </c>
      <c r="AB14" s="1">
        <v>12.8</v>
      </c>
      <c r="AC14" s="1"/>
      <c r="AD14" s="1">
        <f t="shared" si="6"/>
        <v>8</v>
      </c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</row>
    <row r="15" spans="1:52" x14ac:dyDescent="0.25">
      <c r="A15" s="1" t="s">
        <v>44</v>
      </c>
      <c r="B15" s="1" t="s">
        <v>31</v>
      </c>
      <c r="C15" s="1">
        <v>180.96799999999999</v>
      </c>
      <c r="D15" s="1">
        <v>425.447</v>
      </c>
      <c r="E15" s="1">
        <v>190.38900000000001</v>
      </c>
      <c r="F15" s="1">
        <v>385.95100000000002</v>
      </c>
      <c r="G15" s="7">
        <v>1</v>
      </c>
      <c r="H15" s="1">
        <v>70</v>
      </c>
      <c r="I15" s="1" t="s">
        <v>32</v>
      </c>
      <c r="J15" s="1"/>
      <c r="K15" s="1">
        <v>380.18</v>
      </c>
      <c r="L15" s="1">
        <f t="shared" si="1"/>
        <v>-189.791</v>
      </c>
      <c r="M15" s="1"/>
      <c r="N15" s="1"/>
      <c r="O15" s="1">
        <v>50</v>
      </c>
      <c r="P15" s="1"/>
      <c r="Q15" s="1">
        <v>150</v>
      </c>
      <c r="R15" s="1">
        <f t="shared" si="2"/>
        <v>38.077800000000003</v>
      </c>
      <c r="S15" s="5"/>
      <c r="T15" s="5">
        <f t="shared" si="4"/>
        <v>0</v>
      </c>
      <c r="U15" s="17"/>
      <c r="V15" s="17"/>
      <c r="W15" s="1">
        <f t="shared" si="5"/>
        <v>15.388257724973606</v>
      </c>
      <c r="X15" s="1">
        <f t="shared" si="3"/>
        <v>15.388257724973606</v>
      </c>
      <c r="Y15" s="1">
        <v>38.4358</v>
      </c>
      <c r="Z15" s="1">
        <v>20.296600000000002</v>
      </c>
      <c r="AA15" s="1">
        <v>45.934399999999997</v>
      </c>
      <c r="AB15" s="1">
        <v>54.014000000000003</v>
      </c>
      <c r="AC15" s="1"/>
      <c r="AD15" s="1">
        <f t="shared" si="6"/>
        <v>0</v>
      </c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</row>
    <row r="16" spans="1:52" x14ac:dyDescent="0.25">
      <c r="A16" s="1" t="s">
        <v>45</v>
      </c>
      <c r="B16" s="1" t="s">
        <v>31</v>
      </c>
      <c r="C16" s="1">
        <v>1505.62</v>
      </c>
      <c r="D16" s="1">
        <v>571.19500000000005</v>
      </c>
      <c r="E16" s="1">
        <v>768.37699999999995</v>
      </c>
      <c r="F16" s="1">
        <v>1188.232</v>
      </c>
      <c r="G16" s="7">
        <v>1</v>
      </c>
      <c r="H16" s="1">
        <v>50</v>
      </c>
      <c r="I16" s="1" t="s">
        <v>32</v>
      </c>
      <c r="J16" s="1"/>
      <c r="K16" s="1">
        <v>860.3</v>
      </c>
      <c r="L16" s="1">
        <f t="shared" si="1"/>
        <v>-91.923000000000002</v>
      </c>
      <c r="M16" s="1"/>
      <c r="N16" s="1"/>
      <c r="O16" s="1">
        <v>0</v>
      </c>
      <c r="P16" s="1">
        <v>348.0912000000003</v>
      </c>
      <c r="Q16" s="1">
        <v>0</v>
      </c>
      <c r="R16" s="1">
        <f t="shared" si="2"/>
        <v>153.6754</v>
      </c>
      <c r="S16" s="5">
        <f t="shared" si="7"/>
        <v>307.7815999999998</v>
      </c>
      <c r="T16" s="5">
        <v>370</v>
      </c>
      <c r="U16" s="17"/>
      <c r="V16" s="17"/>
      <c r="W16" s="1">
        <f t="shared" si="5"/>
        <v>12.404868964063215</v>
      </c>
      <c r="X16" s="1">
        <f t="shared" si="3"/>
        <v>9.997196688604685</v>
      </c>
      <c r="Y16" s="1">
        <v>153.47040000000001</v>
      </c>
      <c r="Z16" s="1">
        <v>191.55760000000001</v>
      </c>
      <c r="AA16" s="1">
        <v>201.6146</v>
      </c>
      <c r="AB16" s="1">
        <v>130.29419999999999</v>
      </c>
      <c r="AC16" s="1"/>
      <c r="AD16" s="1">
        <f t="shared" si="6"/>
        <v>370</v>
      </c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</row>
    <row r="17" spans="1:52" x14ac:dyDescent="0.25">
      <c r="A17" s="1" t="s">
        <v>46</v>
      </c>
      <c r="B17" s="1" t="s">
        <v>31</v>
      </c>
      <c r="C17" s="1">
        <v>11.536</v>
      </c>
      <c r="D17" s="1">
        <v>63.811</v>
      </c>
      <c r="E17" s="1">
        <v>17.690000000000001</v>
      </c>
      <c r="F17" s="1">
        <v>48.787999999999997</v>
      </c>
      <c r="G17" s="7">
        <v>1</v>
      </c>
      <c r="H17" s="1">
        <v>60</v>
      </c>
      <c r="I17" s="1" t="s">
        <v>32</v>
      </c>
      <c r="J17" s="1"/>
      <c r="K17" s="1">
        <v>112.5</v>
      </c>
      <c r="L17" s="1">
        <f t="shared" si="1"/>
        <v>-94.81</v>
      </c>
      <c r="M17" s="1"/>
      <c r="N17" s="1"/>
      <c r="O17" s="1">
        <v>85.312799999999982</v>
      </c>
      <c r="P17" s="1">
        <v>34.571599999999997</v>
      </c>
      <c r="Q17" s="1">
        <v>0</v>
      </c>
      <c r="R17" s="1">
        <f t="shared" si="2"/>
        <v>3.5380000000000003</v>
      </c>
      <c r="S17" s="5"/>
      <c r="T17" s="5">
        <f t="shared" si="4"/>
        <v>0</v>
      </c>
      <c r="U17" s="17"/>
      <c r="V17" s="17"/>
      <c r="W17" s="1">
        <f t="shared" si="5"/>
        <v>47.674505370265678</v>
      </c>
      <c r="X17" s="1">
        <f t="shared" si="3"/>
        <v>47.674505370265678</v>
      </c>
      <c r="Y17" s="1">
        <v>4.5628000000000002</v>
      </c>
      <c r="Z17" s="1">
        <v>15.856400000000001</v>
      </c>
      <c r="AA17" s="1">
        <v>15.5992</v>
      </c>
      <c r="AB17" s="1">
        <v>9.6205999999999996</v>
      </c>
      <c r="AC17" s="1"/>
      <c r="AD17" s="1">
        <f t="shared" si="6"/>
        <v>0</v>
      </c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</row>
    <row r="18" spans="1:52" x14ac:dyDescent="0.25">
      <c r="A18" s="10" t="s">
        <v>47</v>
      </c>
      <c r="B18" s="10" t="s">
        <v>31</v>
      </c>
      <c r="C18" s="10">
        <v>-0.86099999999999999</v>
      </c>
      <c r="D18" s="10"/>
      <c r="E18" s="10"/>
      <c r="F18" s="10">
        <v>-0.86099999999999999</v>
      </c>
      <c r="G18" s="11">
        <v>0</v>
      </c>
      <c r="H18" s="10"/>
      <c r="I18" s="10" t="s">
        <v>48</v>
      </c>
      <c r="J18" s="10"/>
      <c r="K18" s="10"/>
      <c r="L18" s="10">
        <f t="shared" si="1"/>
        <v>0</v>
      </c>
      <c r="M18" s="10"/>
      <c r="N18" s="10"/>
      <c r="O18" s="10">
        <v>0</v>
      </c>
      <c r="P18" s="10"/>
      <c r="Q18" s="10">
        <v>0</v>
      </c>
      <c r="R18" s="10">
        <f t="shared" si="2"/>
        <v>0</v>
      </c>
      <c r="S18" s="12"/>
      <c r="T18" s="5">
        <f t="shared" si="4"/>
        <v>0</v>
      </c>
      <c r="U18" s="17"/>
      <c r="V18" s="17"/>
      <c r="W18" s="1" t="e">
        <f t="shared" si="5"/>
        <v>#DIV/0!</v>
      </c>
      <c r="X18" s="10" t="e">
        <f t="shared" si="3"/>
        <v>#DIV/0!</v>
      </c>
      <c r="Y18" s="10">
        <v>0.17219999999999999</v>
      </c>
      <c r="Z18" s="10">
        <v>0.17219999999999999</v>
      </c>
      <c r="AA18" s="10">
        <v>0</v>
      </c>
      <c r="AB18" s="10">
        <v>0</v>
      </c>
      <c r="AC18" s="10"/>
      <c r="AD18" s="1">
        <f t="shared" si="6"/>
        <v>0</v>
      </c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</row>
    <row r="19" spans="1:52" x14ac:dyDescent="0.25">
      <c r="A19" s="10" t="s">
        <v>49</v>
      </c>
      <c r="B19" s="10" t="s">
        <v>31</v>
      </c>
      <c r="C19" s="10">
        <v>-12.473000000000001</v>
      </c>
      <c r="D19" s="10"/>
      <c r="E19" s="10"/>
      <c r="F19" s="13">
        <v>-12.473000000000001</v>
      </c>
      <c r="G19" s="11">
        <v>0</v>
      </c>
      <c r="H19" s="10"/>
      <c r="I19" s="10" t="s">
        <v>48</v>
      </c>
      <c r="J19" s="10" t="s">
        <v>50</v>
      </c>
      <c r="K19" s="10"/>
      <c r="L19" s="10">
        <f t="shared" si="1"/>
        <v>0</v>
      </c>
      <c r="M19" s="10"/>
      <c r="N19" s="10"/>
      <c r="O19" s="10">
        <v>0</v>
      </c>
      <c r="P19" s="10"/>
      <c r="Q19" s="10">
        <v>0</v>
      </c>
      <c r="R19" s="10">
        <f t="shared" si="2"/>
        <v>0</v>
      </c>
      <c r="S19" s="12"/>
      <c r="T19" s="5">
        <f t="shared" si="4"/>
        <v>0</v>
      </c>
      <c r="U19" s="17"/>
      <c r="V19" s="17"/>
      <c r="W19" s="1" t="e">
        <f t="shared" si="5"/>
        <v>#DIV/0!</v>
      </c>
      <c r="X19" s="10" t="e">
        <f t="shared" si="3"/>
        <v>#DIV/0!</v>
      </c>
      <c r="Y19" s="10">
        <v>2.4946000000000002</v>
      </c>
      <c r="Z19" s="10">
        <v>2.4946000000000002</v>
      </c>
      <c r="AA19" s="10">
        <v>0</v>
      </c>
      <c r="AB19" s="10">
        <v>0</v>
      </c>
      <c r="AC19" s="10"/>
      <c r="AD19" s="1">
        <f t="shared" si="6"/>
        <v>0</v>
      </c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</row>
    <row r="20" spans="1:52" x14ac:dyDescent="0.25">
      <c r="A20" s="1" t="s">
        <v>51</v>
      </c>
      <c r="B20" s="1" t="s">
        <v>31</v>
      </c>
      <c r="C20" s="1">
        <v>2.956</v>
      </c>
      <c r="D20" s="1">
        <v>58.262999999999998</v>
      </c>
      <c r="E20" s="1">
        <v>12.246</v>
      </c>
      <c r="F20" s="1">
        <v>40.494</v>
      </c>
      <c r="G20" s="7">
        <v>1</v>
      </c>
      <c r="H20" s="1">
        <v>60</v>
      </c>
      <c r="I20" s="1" t="s">
        <v>32</v>
      </c>
      <c r="J20" s="1"/>
      <c r="K20" s="1">
        <v>43.6</v>
      </c>
      <c r="L20" s="1">
        <f t="shared" si="1"/>
        <v>-31.353999999999999</v>
      </c>
      <c r="M20" s="1"/>
      <c r="N20" s="1"/>
      <c r="O20" s="1">
        <v>20.084199999999999</v>
      </c>
      <c r="P20" s="1"/>
      <c r="Q20" s="1">
        <v>0</v>
      </c>
      <c r="R20" s="1">
        <f t="shared" si="2"/>
        <v>2.4492000000000003</v>
      </c>
      <c r="S20" s="5"/>
      <c r="T20" s="5">
        <f t="shared" si="4"/>
        <v>0</v>
      </c>
      <c r="U20" s="17"/>
      <c r="V20" s="17"/>
      <c r="W20" s="1">
        <f t="shared" si="5"/>
        <v>24.733872284827694</v>
      </c>
      <c r="X20" s="1">
        <f t="shared" si="3"/>
        <v>24.733872284827694</v>
      </c>
      <c r="Y20" s="1">
        <v>0.35659999999999997</v>
      </c>
      <c r="Z20" s="1">
        <v>3.3452000000000002</v>
      </c>
      <c r="AA20" s="1">
        <v>6.4581999999999997</v>
      </c>
      <c r="AB20" s="1">
        <v>6.0523999999999996</v>
      </c>
      <c r="AC20" s="1"/>
      <c r="AD20" s="1">
        <f t="shared" si="6"/>
        <v>0</v>
      </c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</row>
    <row r="21" spans="1:52" x14ac:dyDescent="0.25">
      <c r="A21" s="1" t="s">
        <v>52</v>
      </c>
      <c r="B21" s="1" t="s">
        <v>31</v>
      </c>
      <c r="C21" s="1">
        <v>68.56</v>
      </c>
      <c r="D21" s="1">
        <v>0.36899999999999999</v>
      </c>
      <c r="E21" s="1">
        <v>7.1740000000000004</v>
      </c>
      <c r="F21" s="1">
        <v>60.646000000000001</v>
      </c>
      <c r="G21" s="7">
        <v>1</v>
      </c>
      <c r="H21" s="1">
        <v>180</v>
      </c>
      <c r="I21" s="1" t="s">
        <v>32</v>
      </c>
      <c r="J21" s="1"/>
      <c r="K21" s="1">
        <v>5.67</v>
      </c>
      <c r="L21" s="1">
        <f t="shared" si="1"/>
        <v>1.5040000000000004</v>
      </c>
      <c r="M21" s="1"/>
      <c r="N21" s="1"/>
      <c r="O21" s="1">
        <v>0</v>
      </c>
      <c r="P21" s="1"/>
      <c r="Q21" s="1">
        <v>0</v>
      </c>
      <c r="R21" s="1">
        <f t="shared" si="2"/>
        <v>1.4348000000000001</v>
      </c>
      <c r="S21" s="5"/>
      <c r="T21" s="5">
        <f t="shared" si="4"/>
        <v>0</v>
      </c>
      <c r="U21" s="17"/>
      <c r="V21" s="17"/>
      <c r="W21" s="1">
        <f t="shared" si="5"/>
        <v>42.267911904098128</v>
      </c>
      <c r="X21" s="1">
        <f t="shared" si="3"/>
        <v>42.267911904098128</v>
      </c>
      <c r="Y21" s="1">
        <v>1.0733999999999999</v>
      </c>
      <c r="Z21" s="1">
        <v>0.58299999999999996</v>
      </c>
      <c r="AA21" s="1">
        <v>0.36120000000000002</v>
      </c>
      <c r="AB21" s="1">
        <v>0.43280000000000002</v>
      </c>
      <c r="AC21" s="15" t="s">
        <v>53</v>
      </c>
      <c r="AD21" s="1">
        <f t="shared" si="6"/>
        <v>0</v>
      </c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</row>
    <row r="22" spans="1:52" x14ac:dyDescent="0.25">
      <c r="A22" s="1" t="s">
        <v>54</v>
      </c>
      <c r="B22" s="1" t="s">
        <v>31</v>
      </c>
      <c r="C22" s="1">
        <v>-11.92</v>
      </c>
      <c r="D22" s="1">
        <v>718.80899999999997</v>
      </c>
      <c r="E22" s="1">
        <v>241.114</v>
      </c>
      <c r="F22" s="1">
        <v>430.65899999999999</v>
      </c>
      <c r="G22" s="7">
        <v>1</v>
      </c>
      <c r="H22" s="1">
        <v>60</v>
      </c>
      <c r="I22" s="1" t="s">
        <v>32</v>
      </c>
      <c r="J22" s="1"/>
      <c r="K22" s="1">
        <v>246</v>
      </c>
      <c r="L22" s="1">
        <f t="shared" si="1"/>
        <v>-4.8859999999999957</v>
      </c>
      <c r="M22" s="1"/>
      <c r="N22" s="1"/>
      <c r="O22" s="1">
        <v>0</v>
      </c>
      <c r="P22" s="1"/>
      <c r="Q22" s="1">
        <v>100</v>
      </c>
      <c r="R22" s="1">
        <f t="shared" si="2"/>
        <v>48.222799999999999</v>
      </c>
      <c r="S22" s="5">
        <f t="shared" ref="S22" si="8">12*R22-Q22-P22-O22-F22</f>
        <v>48.014599999999973</v>
      </c>
      <c r="T22" s="5">
        <f t="shared" si="4"/>
        <v>48.014599999999973</v>
      </c>
      <c r="U22" s="17"/>
      <c r="V22" s="17"/>
      <c r="W22" s="1">
        <f t="shared" si="5"/>
        <v>12</v>
      </c>
      <c r="X22" s="1">
        <f t="shared" si="3"/>
        <v>11.004317459790805</v>
      </c>
      <c r="Y22" s="1">
        <v>24.840199999999999</v>
      </c>
      <c r="Z22" s="1">
        <v>17.950800000000001</v>
      </c>
      <c r="AA22" s="1">
        <v>46.0608</v>
      </c>
      <c r="AB22" s="1">
        <v>52.321800000000003</v>
      </c>
      <c r="AC22" s="1"/>
      <c r="AD22" s="1">
        <f t="shared" si="6"/>
        <v>48</v>
      </c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</row>
    <row r="23" spans="1:52" x14ac:dyDescent="0.25">
      <c r="A23" s="10" t="s">
        <v>55</v>
      </c>
      <c r="B23" s="10" t="s">
        <v>31</v>
      </c>
      <c r="C23" s="10">
        <v>-24.832999999999998</v>
      </c>
      <c r="D23" s="10">
        <v>2.4820000000000002</v>
      </c>
      <c r="E23" s="10"/>
      <c r="F23" s="13">
        <v>-22.350999999999999</v>
      </c>
      <c r="G23" s="11">
        <v>0</v>
      </c>
      <c r="H23" s="10"/>
      <c r="I23" s="10" t="s">
        <v>48</v>
      </c>
      <c r="J23" s="10" t="s">
        <v>56</v>
      </c>
      <c r="K23" s="10"/>
      <c r="L23" s="10">
        <f t="shared" si="1"/>
        <v>0</v>
      </c>
      <c r="M23" s="10"/>
      <c r="N23" s="10"/>
      <c r="O23" s="10">
        <v>0</v>
      </c>
      <c r="P23" s="10"/>
      <c r="Q23" s="10">
        <v>0</v>
      </c>
      <c r="R23" s="10">
        <f t="shared" si="2"/>
        <v>0</v>
      </c>
      <c r="S23" s="12"/>
      <c r="T23" s="5">
        <f t="shared" si="4"/>
        <v>0</v>
      </c>
      <c r="U23" s="17"/>
      <c r="V23" s="17"/>
      <c r="W23" s="1" t="e">
        <f t="shared" si="5"/>
        <v>#DIV/0!</v>
      </c>
      <c r="X23" s="10" t="e">
        <f t="shared" si="3"/>
        <v>#DIV/0!</v>
      </c>
      <c r="Y23" s="10">
        <v>4.4702000000000002</v>
      </c>
      <c r="Z23" s="10">
        <v>4.4702000000000002</v>
      </c>
      <c r="AA23" s="10">
        <v>0</v>
      </c>
      <c r="AB23" s="10">
        <v>0</v>
      </c>
      <c r="AC23" s="10"/>
      <c r="AD23" s="1">
        <f t="shared" si="6"/>
        <v>0</v>
      </c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</row>
    <row r="24" spans="1:52" x14ac:dyDescent="0.25">
      <c r="A24" s="1" t="s">
        <v>57</v>
      </c>
      <c r="B24" s="1" t="s">
        <v>31</v>
      </c>
      <c r="C24" s="1">
        <v>83.402000000000001</v>
      </c>
      <c r="D24" s="1">
        <v>37.784999999999997</v>
      </c>
      <c r="E24" s="1">
        <v>107.928</v>
      </c>
      <c r="F24" s="1">
        <v>0.95199999999999996</v>
      </c>
      <c r="G24" s="7">
        <v>1</v>
      </c>
      <c r="H24" s="1">
        <v>70</v>
      </c>
      <c r="I24" s="1" t="s">
        <v>32</v>
      </c>
      <c r="J24" s="1"/>
      <c r="K24" s="1">
        <v>123.58</v>
      </c>
      <c r="L24" s="1">
        <f t="shared" si="1"/>
        <v>-15.652000000000001</v>
      </c>
      <c r="M24" s="1"/>
      <c r="N24" s="1"/>
      <c r="O24" s="1">
        <v>0</v>
      </c>
      <c r="P24" s="1">
        <v>51.844200000000029</v>
      </c>
      <c r="Q24" s="1">
        <v>150</v>
      </c>
      <c r="R24" s="1">
        <f t="shared" si="2"/>
        <v>21.585599999999999</v>
      </c>
      <c r="S24" s="5">
        <f t="shared" ref="S24:S27" si="9">12*R24-Q24-P24-O24-F24</f>
        <v>56.230999999999966</v>
      </c>
      <c r="T24" s="5">
        <f t="shared" si="4"/>
        <v>56.230999999999966</v>
      </c>
      <c r="U24" s="17"/>
      <c r="V24" s="17"/>
      <c r="W24" s="1">
        <f t="shared" si="5"/>
        <v>12</v>
      </c>
      <c r="X24" s="1">
        <f t="shared" si="3"/>
        <v>9.3949762804832861</v>
      </c>
      <c r="Y24" s="1">
        <v>18.66</v>
      </c>
      <c r="Z24" s="1">
        <v>13.150600000000001</v>
      </c>
      <c r="AA24" s="1">
        <v>8.1453999999999986</v>
      </c>
      <c r="AB24" s="1">
        <v>4.9426000000000014</v>
      </c>
      <c r="AC24" s="1"/>
      <c r="AD24" s="1">
        <f t="shared" si="6"/>
        <v>56</v>
      </c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</row>
    <row r="25" spans="1:52" x14ac:dyDescent="0.25">
      <c r="A25" s="1" t="s">
        <v>58</v>
      </c>
      <c r="B25" s="1" t="s">
        <v>31</v>
      </c>
      <c r="C25" s="1">
        <v>9.4009999999999998</v>
      </c>
      <c r="D25" s="1">
        <v>191.977</v>
      </c>
      <c r="E25" s="1">
        <v>49.19</v>
      </c>
      <c r="F25" s="1">
        <v>137.274</v>
      </c>
      <c r="G25" s="7">
        <v>1</v>
      </c>
      <c r="H25" s="1">
        <v>70</v>
      </c>
      <c r="I25" s="1" t="s">
        <v>32</v>
      </c>
      <c r="J25" s="1"/>
      <c r="K25" s="1">
        <v>144.1</v>
      </c>
      <c r="L25" s="1">
        <f t="shared" si="1"/>
        <v>-94.91</v>
      </c>
      <c r="M25" s="1"/>
      <c r="N25" s="1"/>
      <c r="O25" s="1">
        <v>80</v>
      </c>
      <c r="P25" s="1">
        <v>17.31960000000003</v>
      </c>
      <c r="Q25" s="1">
        <v>100</v>
      </c>
      <c r="R25" s="1">
        <f t="shared" si="2"/>
        <v>9.8379999999999992</v>
      </c>
      <c r="S25" s="5"/>
      <c r="T25" s="5">
        <f t="shared" si="4"/>
        <v>0</v>
      </c>
      <c r="U25" s="17"/>
      <c r="V25" s="17"/>
      <c r="W25" s="1">
        <f t="shared" si="5"/>
        <v>34.01032730229722</v>
      </c>
      <c r="X25" s="1">
        <f t="shared" si="3"/>
        <v>34.01032730229722</v>
      </c>
      <c r="Y25" s="1">
        <v>10.2186</v>
      </c>
      <c r="Z25" s="1">
        <v>23.747800000000002</v>
      </c>
      <c r="AA25" s="1">
        <v>26.411799999999999</v>
      </c>
      <c r="AB25" s="1">
        <v>22.914000000000001</v>
      </c>
      <c r="AC25" s="1"/>
      <c r="AD25" s="1">
        <f t="shared" si="6"/>
        <v>0</v>
      </c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</row>
    <row r="26" spans="1:52" x14ac:dyDescent="0.25">
      <c r="A26" s="1" t="s">
        <v>59</v>
      </c>
      <c r="B26" s="1" t="s">
        <v>31</v>
      </c>
      <c r="C26" s="1">
        <v>64.289000000000001</v>
      </c>
      <c r="D26" s="1">
        <v>1.06</v>
      </c>
      <c r="E26" s="1">
        <v>8.3059999999999992</v>
      </c>
      <c r="F26" s="1">
        <v>55.982999999999997</v>
      </c>
      <c r="G26" s="7">
        <v>1</v>
      </c>
      <c r="H26" s="1">
        <v>180</v>
      </c>
      <c r="I26" s="1" t="s">
        <v>32</v>
      </c>
      <c r="J26" s="1"/>
      <c r="K26" s="1">
        <v>8.66</v>
      </c>
      <c r="L26" s="1">
        <f t="shared" si="1"/>
        <v>-0.35400000000000098</v>
      </c>
      <c r="M26" s="1"/>
      <c r="N26" s="1"/>
      <c r="O26" s="1">
        <v>0</v>
      </c>
      <c r="P26" s="1"/>
      <c r="Q26" s="1">
        <v>0</v>
      </c>
      <c r="R26" s="1">
        <f t="shared" si="2"/>
        <v>1.6611999999999998</v>
      </c>
      <c r="S26" s="5"/>
      <c r="T26" s="5">
        <f t="shared" si="4"/>
        <v>0</v>
      </c>
      <c r="U26" s="17"/>
      <c r="V26" s="17"/>
      <c r="W26" s="1">
        <f t="shared" si="5"/>
        <v>33.700337105706723</v>
      </c>
      <c r="X26" s="1">
        <f t="shared" si="3"/>
        <v>33.700337105706723</v>
      </c>
      <c r="Y26" s="1">
        <v>1.1819999999999999</v>
      </c>
      <c r="Z26" s="1">
        <v>0.97240000000000004</v>
      </c>
      <c r="AA26" s="1">
        <v>0.84079999999999999</v>
      </c>
      <c r="AB26" s="1">
        <v>0.34420000000000001</v>
      </c>
      <c r="AC26" s="15" t="s">
        <v>53</v>
      </c>
      <c r="AD26" s="1">
        <f t="shared" si="6"/>
        <v>0</v>
      </c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</row>
    <row r="27" spans="1:52" x14ac:dyDescent="0.25">
      <c r="A27" s="1" t="s">
        <v>60</v>
      </c>
      <c r="B27" s="1" t="s">
        <v>31</v>
      </c>
      <c r="C27" s="1">
        <v>188.51</v>
      </c>
      <c r="D27" s="1">
        <v>136.80799999999999</v>
      </c>
      <c r="E27" s="1">
        <v>178.16900000000001</v>
      </c>
      <c r="F27" s="1">
        <v>116.44499999999999</v>
      </c>
      <c r="G27" s="7">
        <v>1</v>
      </c>
      <c r="H27" s="1">
        <v>70</v>
      </c>
      <c r="I27" s="1" t="s">
        <v>32</v>
      </c>
      <c r="J27" s="1"/>
      <c r="K27" s="1">
        <v>193.3</v>
      </c>
      <c r="L27" s="1">
        <f t="shared" si="1"/>
        <v>-15.131</v>
      </c>
      <c r="M27" s="1"/>
      <c r="N27" s="1"/>
      <c r="O27" s="1">
        <v>0</v>
      </c>
      <c r="P27" s="1">
        <v>25</v>
      </c>
      <c r="Q27" s="1">
        <v>250</v>
      </c>
      <c r="R27" s="1">
        <f t="shared" si="2"/>
        <v>35.633800000000001</v>
      </c>
      <c r="S27" s="5">
        <f t="shared" si="9"/>
        <v>36.160599999999988</v>
      </c>
      <c r="T27" s="5">
        <f t="shared" si="4"/>
        <v>36.160599999999988</v>
      </c>
      <c r="U27" s="17"/>
      <c r="V27" s="17"/>
      <c r="W27" s="1">
        <f t="shared" si="5"/>
        <v>12</v>
      </c>
      <c r="X27" s="1">
        <f t="shared" si="3"/>
        <v>10.985216283416307</v>
      </c>
      <c r="Y27" s="1">
        <v>34.274799999999999</v>
      </c>
      <c r="Z27" s="1">
        <v>25.488199999999999</v>
      </c>
      <c r="AA27" s="1">
        <v>14.996600000000001</v>
      </c>
      <c r="AB27" s="1">
        <v>18.1692</v>
      </c>
      <c r="AC27" s="1"/>
      <c r="AD27" s="1">
        <f t="shared" si="6"/>
        <v>36</v>
      </c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</row>
    <row r="28" spans="1:52" x14ac:dyDescent="0.25">
      <c r="A28" s="10" t="s">
        <v>61</v>
      </c>
      <c r="B28" s="10" t="s">
        <v>31</v>
      </c>
      <c r="C28" s="10"/>
      <c r="D28" s="10"/>
      <c r="E28" s="10"/>
      <c r="F28" s="10"/>
      <c r="G28" s="11">
        <v>0</v>
      </c>
      <c r="H28" s="10"/>
      <c r="I28" s="10" t="s">
        <v>32</v>
      </c>
      <c r="J28" s="10"/>
      <c r="K28" s="10"/>
      <c r="L28" s="10">
        <f t="shared" si="1"/>
        <v>0</v>
      </c>
      <c r="M28" s="10"/>
      <c r="N28" s="10"/>
      <c r="O28" s="10">
        <v>0</v>
      </c>
      <c r="P28" s="10"/>
      <c r="Q28" s="10">
        <v>0</v>
      </c>
      <c r="R28" s="10">
        <f t="shared" si="2"/>
        <v>0</v>
      </c>
      <c r="S28" s="12"/>
      <c r="T28" s="5">
        <f t="shared" si="4"/>
        <v>0</v>
      </c>
      <c r="U28" s="17"/>
      <c r="V28" s="17"/>
      <c r="W28" s="1" t="e">
        <f t="shared" si="5"/>
        <v>#DIV/0!</v>
      </c>
      <c r="X28" s="10" t="e">
        <f t="shared" si="3"/>
        <v>#DIV/0!</v>
      </c>
      <c r="Y28" s="10">
        <v>0</v>
      </c>
      <c r="Z28" s="10">
        <v>0</v>
      </c>
      <c r="AA28" s="10">
        <v>0</v>
      </c>
      <c r="AB28" s="10">
        <v>0</v>
      </c>
      <c r="AC28" s="10" t="s">
        <v>38</v>
      </c>
      <c r="AD28" s="1">
        <f t="shared" si="6"/>
        <v>0</v>
      </c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</row>
    <row r="29" spans="1:52" x14ac:dyDescent="0.25">
      <c r="A29" s="1" t="s">
        <v>62</v>
      </c>
      <c r="B29" s="1" t="s">
        <v>31</v>
      </c>
      <c r="C29" s="1">
        <v>26.54</v>
      </c>
      <c r="D29" s="1">
        <v>33.21</v>
      </c>
      <c r="E29" s="1">
        <v>30.86</v>
      </c>
      <c r="F29" s="1">
        <v>24.34</v>
      </c>
      <c r="G29" s="7">
        <v>1</v>
      </c>
      <c r="H29" s="1"/>
      <c r="I29" s="1" t="s">
        <v>32</v>
      </c>
      <c r="J29" s="1"/>
      <c r="K29" s="1">
        <v>45.2</v>
      </c>
      <c r="L29" s="1">
        <f t="shared" si="1"/>
        <v>-14.340000000000003</v>
      </c>
      <c r="M29" s="1"/>
      <c r="N29" s="1"/>
      <c r="O29" s="1">
        <v>0</v>
      </c>
      <c r="P29" s="1">
        <v>14.7133870310641</v>
      </c>
      <c r="Q29" s="1">
        <v>49.176412968935892</v>
      </c>
      <c r="R29" s="1">
        <f t="shared" si="2"/>
        <v>6.1719999999999997</v>
      </c>
      <c r="S29" s="5"/>
      <c r="T29" s="5">
        <f t="shared" si="4"/>
        <v>0</v>
      </c>
      <c r="U29" s="17"/>
      <c r="V29" s="17"/>
      <c r="W29" s="1">
        <f t="shared" si="5"/>
        <v>14.295171743357095</v>
      </c>
      <c r="X29" s="1">
        <f t="shared" si="3"/>
        <v>14.295171743357095</v>
      </c>
      <c r="Y29" s="1">
        <v>8.7397999999999989</v>
      </c>
      <c r="Z29" s="1">
        <v>4.5697999999999999</v>
      </c>
      <c r="AA29" s="1">
        <v>0.8044</v>
      </c>
      <c r="AB29" s="1">
        <v>1.3652</v>
      </c>
      <c r="AC29" s="1"/>
      <c r="AD29" s="1">
        <f t="shared" si="6"/>
        <v>0</v>
      </c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</row>
    <row r="30" spans="1:52" x14ac:dyDescent="0.25">
      <c r="A30" s="1" t="s">
        <v>63</v>
      </c>
      <c r="B30" s="1" t="s">
        <v>31</v>
      </c>
      <c r="C30" s="1"/>
      <c r="D30" s="1">
        <v>27.571000000000002</v>
      </c>
      <c r="E30" s="1">
        <v>7.6449999999999996</v>
      </c>
      <c r="F30" s="1">
        <v>19.925999999999998</v>
      </c>
      <c r="G30" s="7">
        <v>1</v>
      </c>
      <c r="H30" s="1">
        <v>40</v>
      </c>
      <c r="I30" s="9" t="s">
        <v>35</v>
      </c>
      <c r="J30" s="1"/>
      <c r="K30" s="1">
        <v>6.5</v>
      </c>
      <c r="L30" s="1">
        <f t="shared" si="1"/>
        <v>1.1449999999999996</v>
      </c>
      <c r="M30" s="1"/>
      <c r="N30" s="1"/>
      <c r="O30" s="1">
        <v>0</v>
      </c>
      <c r="P30" s="1"/>
      <c r="Q30" s="1">
        <v>30</v>
      </c>
      <c r="R30" s="1">
        <f t="shared" si="2"/>
        <v>1.5289999999999999</v>
      </c>
      <c r="S30" s="5"/>
      <c r="T30" s="5">
        <f t="shared" si="4"/>
        <v>0</v>
      </c>
      <c r="U30" s="17"/>
      <c r="V30" s="17"/>
      <c r="W30" s="1">
        <f t="shared" si="5"/>
        <v>32.652714192282538</v>
      </c>
      <c r="X30" s="1">
        <f t="shared" si="3"/>
        <v>32.652714192282538</v>
      </c>
      <c r="Y30" s="1">
        <v>1.5289999999999999</v>
      </c>
      <c r="Z30" s="1">
        <v>0</v>
      </c>
      <c r="AA30" s="1">
        <v>0</v>
      </c>
      <c r="AB30" s="1">
        <v>0</v>
      </c>
      <c r="AC30" s="1"/>
      <c r="AD30" s="1">
        <f t="shared" si="6"/>
        <v>0</v>
      </c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</row>
    <row r="31" spans="1:52" x14ac:dyDescent="0.25">
      <c r="A31" s="1" t="s">
        <v>64</v>
      </c>
      <c r="B31" s="1" t="s">
        <v>31</v>
      </c>
      <c r="C31" s="1">
        <v>-1.38</v>
      </c>
      <c r="D31" s="1"/>
      <c r="E31" s="1"/>
      <c r="F31" s="1">
        <v>-1.38</v>
      </c>
      <c r="G31" s="7">
        <v>1</v>
      </c>
      <c r="H31" s="1">
        <v>30</v>
      </c>
      <c r="I31" s="9" t="s">
        <v>35</v>
      </c>
      <c r="J31" s="1"/>
      <c r="K31" s="1">
        <v>10.4</v>
      </c>
      <c r="L31" s="1">
        <f t="shared" si="1"/>
        <v>-10.4</v>
      </c>
      <c r="M31" s="1"/>
      <c r="N31" s="1"/>
      <c r="O31" s="1">
        <v>250</v>
      </c>
      <c r="P31" s="1"/>
      <c r="Q31" s="1">
        <v>50</v>
      </c>
      <c r="R31" s="1">
        <f t="shared" si="2"/>
        <v>0</v>
      </c>
      <c r="S31" s="5"/>
      <c r="T31" s="5">
        <f>U31</f>
        <v>200</v>
      </c>
      <c r="U31" s="17">
        <f>VLOOKUP(A31,[1]Sheet!$A:$U,20,0)</f>
        <v>200</v>
      </c>
      <c r="V31" s="17" t="str">
        <f>VLOOKUP(A31,[1]Sheet!$A:$U,21,0)</f>
        <v>Есть спрос</v>
      </c>
      <c r="W31" s="1" t="e">
        <f t="shared" si="5"/>
        <v>#DIV/0!</v>
      </c>
      <c r="X31" s="1" t="e">
        <f t="shared" si="3"/>
        <v>#DIV/0!</v>
      </c>
      <c r="Y31" s="1">
        <v>1.0782</v>
      </c>
      <c r="Z31" s="1">
        <v>10.61</v>
      </c>
      <c r="AA31" s="1">
        <v>10.623799999999999</v>
      </c>
      <c r="AB31" s="1">
        <v>1.38</v>
      </c>
      <c r="AC31" s="1"/>
      <c r="AD31" s="1">
        <f t="shared" si="6"/>
        <v>200</v>
      </c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</row>
    <row r="32" spans="1:52" x14ac:dyDescent="0.25">
      <c r="A32" s="1" t="s">
        <v>65</v>
      </c>
      <c r="B32" s="1" t="s">
        <v>31</v>
      </c>
      <c r="C32" s="1">
        <v>106.634</v>
      </c>
      <c r="D32" s="1">
        <v>430.27199999999999</v>
      </c>
      <c r="E32" s="1">
        <v>221.386</v>
      </c>
      <c r="F32" s="1">
        <v>293.12599999999998</v>
      </c>
      <c r="G32" s="7">
        <v>1</v>
      </c>
      <c r="H32" s="1">
        <v>40</v>
      </c>
      <c r="I32" s="1" t="s">
        <v>32</v>
      </c>
      <c r="J32" s="1"/>
      <c r="K32" s="1">
        <v>300.2</v>
      </c>
      <c r="L32" s="1">
        <f t="shared" si="1"/>
        <v>-78.813999999999993</v>
      </c>
      <c r="M32" s="1"/>
      <c r="N32" s="1"/>
      <c r="O32" s="1">
        <v>0</v>
      </c>
      <c r="P32" s="1">
        <v>357.00320000000011</v>
      </c>
      <c r="Q32" s="1">
        <v>0</v>
      </c>
      <c r="R32" s="1">
        <f t="shared" si="2"/>
        <v>44.277200000000001</v>
      </c>
      <c r="S32" s="5"/>
      <c r="T32" s="5">
        <f t="shared" si="4"/>
        <v>0</v>
      </c>
      <c r="U32" s="17"/>
      <c r="V32" s="17"/>
      <c r="W32" s="1">
        <f t="shared" si="5"/>
        <v>14.683159730064233</v>
      </c>
      <c r="X32" s="1">
        <f t="shared" si="3"/>
        <v>14.683159730064233</v>
      </c>
      <c r="Y32" s="1">
        <v>55.958399999999997</v>
      </c>
      <c r="Z32" s="1">
        <v>72.36760000000001</v>
      </c>
      <c r="AA32" s="1">
        <v>47.904000000000003</v>
      </c>
      <c r="AB32" s="1">
        <v>60.401599999999988</v>
      </c>
      <c r="AC32" s="1"/>
      <c r="AD32" s="1">
        <f t="shared" si="6"/>
        <v>0</v>
      </c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</row>
    <row r="33" spans="1:52" x14ac:dyDescent="0.25">
      <c r="A33" s="1" t="s">
        <v>66</v>
      </c>
      <c r="B33" s="1" t="s">
        <v>31</v>
      </c>
      <c r="C33" s="1"/>
      <c r="D33" s="1">
        <v>34.688000000000002</v>
      </c>
      <c r="E33" s="1">
        <v>1.42</v>
      </c>
      <c r="F33" s="1">
        <v>33.268000000000001</v>
      </c>
      <c r="G33" s="7">
        <v>1</v>
      </c>
      <c r="H33" s="1">
        <v>40</v>
      </c>
      <c r="I33" s="1" t="s">
        <v>32</v>
      </c>
      <c r="J33" s="1"/>
      <c r="K33" s="1">
        <v>1.3</v>
      </c>
      <c r="L33" s="1">
        <f t="shared" si="1"/>
        <v>0.11999999999999988</v>
      </c>
      <c r="M33" s="1"/>
      <c r="N33" s="1"/>
      <c r="O33" s="1">
        <v>0</v>
      </c>
      <c r="P33" s="1">
        <v>10</v>
      </c>
      <c r="Q33" s="1">
        <v>0</v>
      </c>
      <c r="R33" s="1">
        <f t="shared" si="2"/>
        <v>0.28399999999999997</v>
      </c>
      <c r="S33" s="5"/>
      <c r="T33" s="5">
        <f t="shared" si="4"/>
        <v>0</v>
      </c>
      <c r="U33" s="17"/>
      <c r="V33" s="17"/>
      <c r="W33" s="1">
        <f t="shared" si="5"/>
        <v>152.35211267605635</v>
      </c>
      <c r="X33" s="1">
        <f t="shared" si="3"/>
        <v>152.35211267605635</v>
      </c>
      <c r="Y33" s="1">
        <v>0</v>
      </c>
      <c r="Z33" s="1">
        <v>0</v>
      </c>
      <c r="AA33" s="1">
        <v>0</v>
      </c>
      <c r="AB33" s="1">
        <v>0</v>
      </c>
      <c r="AC33" s="1"/>
      <c r="AD33" s="1">
        <f t="shared" si="6"/>
        <v>0</v>
      </c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</row>
    <row r="34" spans="1:52" x14ac:dyDescent="0.25">
      <c r="A34" s="1" t="s">
        <v>67</v>
      </c>
      <c r="B34" s="1" t="s">
        <v>31</v>
      </c>
      <c r="C34" s="1">
        <v>39.491</v>
      </c>
      <c r="D34" s="1"/>
      <c r="E34" s="1"/>
      <c r="F34" s="1">
        <v>39.491</v>
      </c>
      <c r="G34" s="7">
        <v>1</v>
      </c>
      <c r="H34" s="1">
        <v>30</v>
      </c>
      <c r="I34" s="9" t="s">
        <v>35</v>
      </c>
      <c r="J34" s="1"/>
      <c r="K34" s="1"/>
      <c r="L34" s="1">
        <f t="shared" si="1"/>
        <v>0</v>
      </c>
      <c r="M34" s="1"/>
      <c r="N34" s="1"/>
      <c r="O34" s="1">
        <v>0</v>
      </c>
      <c r="P34" s="1"/>
      <c r="Q34" s="1">
        <v>0</v>
      </c>
      <c r="R34" s="1">
        <f t="shared" si="2"/>
        <v>0</v>
      </c>
      <c r="S34" s="5"/>
      <c r="T34" s="5">
        <f t="shared" si="4"/>
        <v>0</v>
      </c>
      <c r="U34" s="17"/>
      <c r="V34" s="17"/>
      <c r="W34" s="1" t="e">
        <f t="shared" si="5"/>
        <v>#DIV/0!</v>
      </c>
      <c r="X34" s="1" t="e">
        <f t="shared" si="3"/>
        <v>#DIV/0!</v>
      </c>
      <c r="Y34" s="1">
        <v>0.26960000000000001</v>
      </c>
      <c r="Z34" s="1">
        <v>0.26960000000000001</v>
      </c>
      <c r="AA34" s="1">
        <v>0</v>
      </c>
      <c r="AB34" s="1">
        <v>0</v>
      </c>
      <c r="AC34" s="15" t="s">
        <v>53</v>
      </c>
      <c r="AD34" s="1">
        <f t="shared" si="6"/>
        <v>0</v>
      </c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</row>
    <row r="35" spans="1:52" x14ac:dyDescent="0.25">
      <c r="A35" s="1" t="s">
        <v>68</v>
      </c>
      <c r="B35" s="1" t="s">
        <v>31</v>
      </c>
      <c r="C35" s="1">
        <v>198.56399999999999</v>
      </c>
      <c r="D35" s="1">
        <v>19.109000000000002</v>
      </c>
      <c r="E35" s="1">
        <v>13.694000000000001</v>
      </c>
      <c r="F35" s="1">
        <v>198.52099999999999</v>
      </c>
      <c r="G35" s="7">
        <v>1</v>
      </c>
      <c r="H35" s="1">
        <v>50</v>
      </c>
      <c r="I35" s="1" t="s">
        <v>32</v>
      </c>
      <c r="J35" s="1"/>
      <c r="K35" s="1">
        <v>15.856999999999999</v>
      </c>
      <c r="L35" s="1">
        <f t="shared" si="1"/>
        <v>-2.1629999999999985</v>
      </c>
      <c r="M35" s="1"/>
      <c r="N35" s="1"/>
      <c r="O35" s="1">
        <v>0</v>
      </c>
      <c r="P35" s="1"/>
      <c r="Q35" s="1">
        <v>0</v>
      </c>
      <c r="R35" s="1">
        <f t="shared" si="2"/>
        <v>2.7388000000000003</v>
      </c>
      <c r="S35" s="5"/>
      <c r="T35" s="5">
        <f t="shared" si="4"/>
        <v>0</v>
      </c>
      <c r="U35" s="17"/>
      <c r="V35" s="17"/>
      <c r="W35" s="1">
        <f t="shared" si="5"/>
        <v>72.484664816708033</v>
      </c>
      <c r="X35" s="1">
        <f t="shared" si="3"/>
        <v>72.484664816708033</v>
      </c>
      <c r="Y35" s="1">
        <v>2.1768000000000001</v>
      </c>
      <c r="Z35" s="1">
        <v>2.9064000000000001</v>
      </c>
      <c r="AA35" s="1">
        <v>1.2767999999999999</v>
      </c>
      <c r="AB35" s="1">
        <v>-0.1764</v>
      </c>
      <c r="AC35" s="15" t="s">
        <v>53</v>
      </c>
      <c r="AD35" s="1">
        <f t="shared" si="6"/>
        <v>0</v>
      </c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</row>
    <row r="36" spans="1:52" x14ac:dyDescent="0.25">
      <c r="A36" s="10" t="s">
        <v>69</v>
      </c>
      <c r="B36" s="10" t="s">
        <v>31</v>
      </c>
      <c r="C36" s="10">
        <v>-8.093</v>
      </c>
      <c r="D36" s="10"/>
      <c r="E36" s="10">
        <v>1.819</v>
      </c>
      <c r="F36" s="10">
        <v>-9.9120000000000008</v>
      </c>
      <c r="G36" s="11">
        <v>0</v>
      </c>
      <c r="H36" s="10"/>
      <c r="I36" s="10" t="s">
        <v>48</v>
      </c>
      <c r="J36" s="10"/>
      <c r="K36" s="10">
        <v>1.8</v>
      </c>
      <c r="L36" s="10">
        <f t="shared" si="1"/>
        <v>1.8999999999999906E-2</v>
      </c>
      <c r="M36" s="10"/>
      <c r="N36" s="10"/>
      <c r="O36" s="10">
        <v>0</v>
      </c>
      <c r="P36" s="10"/>
      <c r="Q36" s="10">
        <v>0</v>
      </c>
      <c r="R36" s="10">
        <f t="shared" si="2"/>
        <v>0.36380000000000001</v>
      </c>
      <c r="S36" s="12"/>
      <c r="T36" s="5">
        <f t="shared" si="4"/>
        <v>0</v>
      </c>
      <c r="U36" s="17"/>
      <c r="V36" s="17"/>
      <c r="W36" s="1">
        <f t="shared" si="5"/>
        <v>-27.245739417262232</v>
      </c>
      <c r="X36" s="10">
        <f t="shared" si="3"/>
        <v>-27.245739417262232</v>
      </c>
      <c r="Y36" s="10">
        <v>0.71340000000000003</v>
      </c>
      <c r="Z36" s="10">
        <v>1.6186</v>
      </c>
      <c r="AA36" s="10">
        <v>1.2689999999999999</v>
      </c>
      <c r="AB36" s="10">
        <v>0</v>
      </c>
      <c r="AC36" s="10"/>
      <c r="AD36" s="1">
        <f t="shared" si="6"/>
        <v>0</v>
      </c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</row>
    <row r="37" spans="1:52" x14ac:dyDescent="0.25">
      <c r="A37" s="1" t="s">
        <v>70</v>
      </c>
      <c r="B37" s="1" t="s">
        <v>31</v>
      </c>
      <c r="C37" s="1">
        <v>87.631</v>
      </c>
      <c r="D37" s="1">
        <v>12.682</v>
      </c>
      <c r="E37" s="1">
        <v>2.7240000000000002</v>
      </c>
      <c r="F37" s="1">
        <v>96.694999999999993</v>
      </c>
      <c r="G37" s="7">
        <v>1</v>
      </c>
      <c r="H37" s="1">
        <v>50</v>
      </c>
      <c r="I37" s="1" t="s">
        <v>32</v>
      </c>
      <c r="J37" s="1"/>
      <c r="K37" s="1">
        <v>3.5</v>
      </c>
      <c r="L37" s="1">
        <f t="shared" si="1"/>
        <v>-0.7759999999999998</v>
      </c>
      <c r="M37" s="1"/>
      <c r="N37" s="1"/>
      <c r="O37" s="1">
        <v>0</v>
      </c>
      <c r="P37" s="1"/>
      <c r="Q37" s="1">
        <v>0</v>
      </c>
      <c r="R37" s="1">
        <f t="shared" si="2"/>
        <v>0.54480000000000006</v>
      </c>
      <c r="S37" s="5"/>
      <c r="T37" s="5">
        <f t="shared" si="4"/>
        <v>0</v>
      </c>
      <c r="U37" s="17"/>
      <c r="V37" s="17"/>
      <c r="W37" s="1">
        <f t="shared" si="5"/>
        <v>177.48715124816442</v>
      </c>
      <c r="X37" s="1">
        <f t="shared" si="3"/>
        <v>177.48715124816442</v>
      </c>
      <c r="Y37" s="1">
        <v>1.0824</v>
      </c>
      <c r="Z37" s="1">
        <v>0.90259999999999996</v>
      </c>
      <c r="AA37" s="1">
        <v>0</v>
      </c>
      <c r="AB37" s="1">
        <v>0.36520000000000002</v>
      </c>
      <c r="AC37" s="15" t="s">
        <v>53</v>
      </c>
      <c r="AD37" s="1">
        <f t="shared" si="6"/>
        <v>0</v>
      </c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</row>
    <row r="38" spans="1:52" x14ac:dyDescent="0.25">
      <c r="A38" s="1" t="s">
        <v>71</v>
      </c>
      <c r="B38" s="1" t="s">
        <v>37</v>
      </c>
      <c r="C38" s="1">
        <v>2</v>
      </c>
      <c r="D38" s="1">
        <v>530</v>
      </c>
      <c r="E38" s="1">
        <v>511</v>
      </c>
      <c r="F38" s="1">
        <v>4</v>
      </c>
      <c r="G38" s="7">
        <v>0.4</v>
      </c>
      <c r="H38" s="1">
        <v>45</v>
      </c>
      <c r="I38" s="9" t="s">
        <v>35</v>
      </c>
      <c r="J38" s="1"/>
      <c r="K38" s="1">
        <v>658</v>
      </c>
      <c r="L38" s="1">
        <f t="shared" ref="L38:L69" si="10">E38-K38</f>
        <v>-147</v>
      </c>
      <c r="M38" s="1"/>
      <c r="N38" s="1"/>
      <c r="O38" s="1">
        <v>300</v>
      </c>
      <c r="P38" s="1">
        <v>200</v>
      </c>
      <c r="Q38" s="1">
        <v>300</v>
      </c>
      <c r="R38" s="1">
        <f t="shared" ref="R38:R69" si="11">E38/5</f>
        <v>102.2</v>
      </c>
      <c r="S38" s="5">
        <f t="shared" ref="S38:S71" si="12">12*R38-Q38-P38-O38-F38</f>
        <v>422.40000000000009</v>
      </c>
      <c r="T38" s="5">
        <f t="shared" si="4"/>
        <v>422.40000000000009</v>
      </c>
      <c r="U38" s="17"/>
      <c r="V38" s="17"/>
      <c r="W38" s="1">
        <f t="shared" si="5"/>
        <v>12</v>
      </c>
      <c r="X38" s="1">
        <f t="shared" ref="X38:X69" si="13">(F38+O38+P38+Q38)/R38</f>
        <v>7.8669275929549896</v>
      </c>
      <c r="Y38" s="1">
        <v>53.4</v>
      </c>
      <c r="Z38" s="1">
        <v>26.6</v>
      </c>
      <c r="AA38" s="1">
        <v>28.2</v>
      </c>
      <c r="AB38" s="1">
        <v>39</v>
      </c>
      <c r="AC38" s="1"/>
      <c r="AD38" s="1">
        <f t="shared" si="6"/>
        <v>169</v>
      </c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</row>
    <row r="39" spans="1:52" x14ac:dyDescent="0.25">
      <c r="A39" s="1" t="s">
        <v>72</v>
      </c>
      <c r="B39" s="1" t="s">
        <v>37</v>
      </c>
      <c r="C39" s="1">
        <v>382</v>
      </c>
      <c r="D39" s="1">
        <v>11</v>
      </c>
      <c r="E39" s="1">
        <v>192</v>
      </c>
      <c r="F39" s="1">
        <v>182</v>
      </c>
      <c r="G39" s="7">
        <v>0.45</v>
      </c>
      <c r="H39" s="1">
        <v>50</v>
      </c>
      <c r="I39" s="1" t="s">
        <v>32</v>
      </c>
      <c r="J39" s="1"/>
      <c r="K39" s="1">
        <v>211</v>
      </c>
      <c r="L39" s="1">
        <f t="shared" si="10"/>
        <v>-19</v>
      </c>
      <c r="M39" s="1"/>
      <c r="N39" s="1"/>
      <c r="O39" s="1">
        <v>0</v>
      </c>
      <c r="P39" s="1">
        <v>127.4</v>
      </c>
      <c r="Q39" s="1">
        <v>0</v>
      </c>
      <c r="R39" s="1">
        <f t="shared" si="11"/>
        <v>38.4</v>
      </c>
      <c r="S39" s="5">
        <f t="shared" si="12"/>
        <v>151.39999999999998</v>
      </c>
      <c r="T39" s="5">
        <f t="shared" si="4"/>
        <v>151.39999999999998</v>
      </c>
      <c r="U39" s="17"/>
      <c r="V39" s="17"/>
      <c r="W39" s="1">
        <f t="shared" si="5"/>
        <v>12</v>
      </c>
      <c r="X39" s="1">
        <f t="shared" si="13"/>
        <v>8.0572916666666661</v>
      </c>
      <c r="Y39" s="1">
        <v>39.4</v>
      </c>
      <c r="Z39" s="1">
        <v>42.2</v>
      </c>
      <c r="AA39" s="1">
        <v>30.8</v>
      </c>
      <c r="AB39" s="1">
        <v>24.6</v>
      </c>
      <c r="AC39" s="1"/>
      <c r="AD39" s="1">
        <f t="shared" si="6"/>
        <v>68</v>
      </c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</row>
    <row r="40" spans="1:52" x14ac:dyDescent="0.25">
      <c r="A40" s="1" t="s">
        <v>73</v>
      </c>
      <c r="B40" s="1" t="s">
        <v>37</v>
      </c>
      <c r="C40" s="1">
        <v>-2</v>
      </c>
      <c r="D40" s="1">
        <v>299</v>
      </c>
      <c r="E40" s="1">
        <v>230</v>
      </c>
      <c r="F40" s="1">
        <v>-4</v>
      </c>
      <c r="G40" s="7">
        <v>0.4</v>
      </c>
      <c r="H40" s="1">
        <v>45</v>
      </c>
      <c r="I40" s="1" t="s">
        <v>32</v>
      </c>
      <c r="J40" s="1"/>
      <c r="K40" s="1">
        <v>289</v>
      </c>
      <c r="L40" s="1">
        <f t="shared" si="10"/>
        <v>-59</v>
      </c>
      <c r="M40" s="1"/>
      <c r="N40" s="1"/>
      <c r="O40" s="1">
        <v>250</v>
      </c>
      <c r="P40" s="1">
        <v>150</v>
      </c>
      <c r="Q40" s="1">
        <v>100</v>
      </c>
      <c r="R40" s="1">
        <f t="shared" si="11"/>
        <v>46</v>
      </c>
      <c r="S40" s="5">
        <f t="shared" si="12"/>
        <v>56</v>
      </c>
      <c r="T40" s="5">
        <f t="shared" si="4"/>
        <v>56</v>
      </c>
      <c r="U40" s="17"/>
      <c r="V40" s="17"/>
      <c r="W40" s="1">
        <f t="shared" si="5"/>
        <v>12</v>
      </c>
      <c r="X40" s="1">
        <f t="shared" si="13"/>
        <v>10.782608695652174</v>
      </c>
      <c r="Y40" s="1">
        <v>28</v>
      </c>
      <c r="Z40" s="1">
        <v>30.6</v>
      </c>
      <c r="AA40" s="1">
        <v>40.799999999999997</v>
      </c>
      <c r="AB40" s="1">
        <v>33</v>
      </c>
      <c r="AC40" s="1"/>
      <c r="AD40" s="1">
        <f t="shared" si="6"/>
        <v>22</v>
      </c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</row>
    <row r="41" spans="1:52" x14ac:dyDescent="0.25">
      <c r="A41" s="1" t="s">
        <v>74</v>
      </c>
      <c r="B41" s="1" t="s">
        <v>37</v>
      </c>
      <c r="C41" s="1">
        <v>78</v>
      </c>
      <c r="D41" s="1">
        <v>90</v>
      </c>
      <c r="E41" s="1">
        <v>102</v>
      </c>
      <c r="F41" s="1">
        <v>59</v>
      </c>
      <c r="G41" s="7">
        <v>0.4</v>
      </c>
      <c r="H41" s="1">
        <v>40</v>
      </c>
      <c r="I41" s="1" t="s">
        <v>32</v>
      </c>
      <c r="J41" s="1"/>
      <c r="K41" s="1">
        <v>101</v>
      </c>
      <c r="L41" s="1">
        <f t="shared" si="10"/>
        <v>1</v>
      </c>
      <c r="M41" s="1"/>
      <c r="N41" s="1"/>
      <c r="O41" s="1">
        <v>60</v>
      </c>
      <c r="P41" s="1">
        <v>50</v>
      </c>
      <c r="Q41" s="1">
        <v>30</v>
      </c>
      <c r="R41" s="1">
        <f t="shared" si="11"/>
        <v>20.399999999999999</v>
      </c>
      <c r="S41" s="5">
        <f t="shared" si="12"/>
        <v>45.799999999999983</v>
      </c>
      <c r="T41" s="5">
        <f t="shared" si="4"/>
        <v>45.799999999999983</v>
      </c>
      <c r="U41" s="17"/>
      <c r="V41" s="17"/>
      <c r="W41" s="1">
        <f t="shared" si="5"/>
        <v>12</v>
      </c>
      <c r="X41" s="1">
        <f t="shared" si="13"/>
        <v>9.7549019607843146</v>
      </c>
      <c r="Y41" s="1">
        <v>16.8</v>
      </c>
      <c r="Z41" s="1">
        <v>14.4</v>
      </c>
      <c r="AA41" s="1">
        <v>0.8</v>
      </c>
      <c r="AB41" s="1">
        <v>0</v>
      </c>
      <c r="AC41" s="1"/>
      <c r="AD41" s="1">
        <f t="shared" si="6"/>
        <v>18</v>
      </c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</row>
    <row r="42" spans="1:52" x14ac:dyDescent="0.25">
      <c r="A42" s="1" t="s">
        <v>75</v>
      </c>
      <c r="B42" s="1" t="s">
        <v>31</v>
      </c>
      <c r="C42" s="1">
        <v>49.460999999999999</v>
      </c>
      <c r="D42" s="1">
        <v>14.196999999999999</v>
      </c>
      <c r="E42" s="1"/>
      <c r="F42" s="1">
        <v>58</v>
      </c>
      <c r="G42" s="7">
        <v>1</v>
      </c>
      <c r="H42" s="1">
        <v>45</v>
      </c>
      <c r="I42" s="9" t="s">
        <v>35</v>
      </c>
      <c r="J42" s="1"/>
      <c r="K42" s="1">
        <v>6</v>
      </c>
      <c r="L42" s="1">
        <f t="shared" si="10"/>
        <v>-6</v>
      </c>
      <c r="M42" s="1"/>
      <c r="N42" s="1"/>
      <c r="O42" s="1">
        <v>0</v>
      </c>
      <c r="P42" s="1"/>
      <c r="Q42" s="1">
        <v>0</v>
      </c>
      <c r="R42" s="1">
        <f t="shared" si="11"/>
        <v>0</v>
      </c>
      <c r="S42" s="5"/>
      <c r="T42" s="5">
        <f t="shared" si="4"/>
        <v>0</v>
      </c>
      <c r="U42" s="17"/>
      <c r="V42" s="17"/>
      <c r="W42" s="1" t="e">
        <f t="shared" si="5"/>
        <v>#DIV/0!</v>
      </c>
      <c r="X42" s="1" t="e">
        <f t="shared" si="13"/>
        <v>#DIV/0!</v>
      </c>
      <c r="Y42" s="1">
        <v>0</v>
      </c>
      <c r="Z42" s="1">
        <v>0.28079999999999999</v>
      </c>
      <c r="AA42" s="1">
        <v>0.28079999999999999</v>
      </c>
      <c r="AB42" s="1">
        <v>0.86159999999999992</v>
      </c>
      <c r="AC42" s="15" t="s">
        <v>53</v>
      </c>
      <c r="AD42" s="1">
        <f t="shared" si="6"/>
        <v>0</v>
      </c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</row>
    <row r="43" spans="1:52" x14ac:dyDescent="0.25">
      <c r="A43" s="1" t="s">
        <v>76</v>
      </c>
      <c r="B43" s="1" t="s">
        <v>37</v>
      </c>
      <c r="C43" s="1">
        <v>309</v>
      </c>
      <c r="D43" s="1">
        <v>66</v>
      </c>
      <c r="E43" s="1">
        <v>47</v>
      </c>
      <c r="F43" s="1">
        <v>317</v>
      </c>
      <c r="G43" s="7">
        <v>0.1</v>
      </c>
      <c r="H43" s="1">
        <v>731</v>
      </c>
      <c r="I43" s="1" t="s">
        <v>32</v>
      </c>
      <c r="J43" s="1"/>
      <c r="K43" s="1">
        <v>53</v>
      </c>
      <c r="L43" s="1">
        <f t="shared" si="10"/>
        <v>-6</v>
      </c>
      <c r="M43" s="1"/>
      <c r="N43" s="1"/>
      <c r="O43" s="1">
        <v>0</v>
      </c>
      <c r="P43" s="1"/>
      <c r="Q43" s="1">
        <v>0</v>
      </c>
      <c r="R43" s="1">
        <f t="shared" si="11"/>
        <v>9.4</v>
      </c>
      <c r="S43" s="5"/>
      <c r="T43" s="5">
        <f t="shared" si="4"/>
        <v>0</v>
      </c>
      <c r="U43" s="17"/>
      <c r="V43" s="17"/>
      <c r="W43" s="1">
        <f t="shared" si="5"/>
        <v>33.723404255319146</v>
      </c>
      <c r="X43" s="1">
        <f t="shared" si="13"/>
        <v>33.723404255319146</v>
      </c>
      <c r="Y43" s="1">
        <v>10</v>
      </c>
      <c r="Z43" s="1">
        <v>7.4</v>
      </c>
      <c r="AA43" s="1">
        <v>3.4</v>
      </c>
      <c r="AB43" s="1">
        <v>6.6</v>
      </c>
      <c r="AC43" s="15" t="s">
        <v>53</v>
      </c>
      <c r="AD43" s="1">
        <f t="shared" si="6"/>
        <v>0</v>
      </c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</row>
    <row r="44" spans="1:52" x14ac:dyDescent="0.25">
      <c r="A44" s="1" t="s">
        <v>77</v>
      </c>
      <c r="B44" s="1" t="s">
        <v>37</v>
      </c>
      <c r="C44" s="1"/>
      <c r="D44" s="1">
        <v>6</v>
      </c>
      <c r="E44" s="1"/>
      <c r="F44" s="1">
        <v>6</v>
      </c>
      <c r="G44" s="7">
        <v>0.35</v>
      </c>
      <c r="H44" s="1">
        <v>40</v>
      </c>
      <c r="I44" s="9" t="s">
        <v>35</v>
      </c>
      <c r="J44" s="1"/>
      <c r="K44" s="1">
        <v>6</v>
      </c>
      <c r="L44" s="1">
        <f t="shared" si="10"/>
        <v>-6</v>
      </c>
      <c r="M44" s="1"/>
      <c r="N44" s="1"/>
      <c r="O44" s="1">
        <v>60</v>
      </c>
      <c r="P44" s="1"/>
      <c r="Q44" s="1">
        <v>130</v>
      </c>
      <c r="R44" s="1">
        <f t="shared" si="11"/>
        <v>0</v>
      </c>
      <c r="S44" s="5"/>
      <c r="T44" s="5">
        <f t="shared" ref="T44:T45" si="14">U44</f>
        <v>100</v>
      </c>
      <c r="U44" s="17">
        <f>VLOOKUP(A44,[1]Sheet!$A:$U,20,0)</f>
        <v>100</v>
      </c>
      <c r="V44" s="17" t="str">
        <f>VLOOKUP(A44,[1]Sheet!$A:$U,21,0)</f>
        <v>Есть спрос</v>
      </c>
      <c r="W44" s="1" t="e">
        <f t="shared" si="5"/>
        <v>#DIV/0!</v>
      </c>
      <c r="X44" s="1" t="e">
        <f t="shared" si="13"/>
        <v>#DIV/0!</v>
      </c>
      <c r="Y44" s="1">
        <v>0</v>
      </c>
      <c r="Z44" s="1">
        <v>0</v>
      </c>
      <c r="AA44" s="1">
        <v>0</v>
      </c>
      <c r="AB44" s="1">
        <v>0.2</v>
      </c>
      <c r="AC44" s="1"/>
      <c r="AD44" s="1">
        <f t="shared" si="6"/>
        <v>35</v>
      </c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</row>
    <row r="45" spans="1:52" x14ac:dyDescent="0.25">
      <c r="A45" s="1" t="s">
        <v>78</v>
      </c>
      <c r="B45" s="1" t="s">
        <v>31</v>
      </c>
      <c r="C45" s="1">
        <v>22.341999999999999</v>
      </c>
      <c r="D45" s="1">
        <v>70.588999999999999</v>
      </c>
      <c r="E45" s="1">
        <v>21.622</v>
      </c>
      <c r="F45" s="1">
        <v>70.585999999999999</v>
      </c>
      <c r="G45" s="7">
        <v>1</v>
      </c>
      <c r="H45" s="1">
        <v>40</v>
      </c>
      <c r="I45" s="1" t="s">
        <v>32</v>
      </c>
      <c r="J45" s="1"/>
      <c r="K45" s="1">
        <v>23.3</v>
      </c>
      <c r="L45" s="1">
        <f t="shared" si="10"/>
        <v>-1.6780000000000008</v>
      </c>
      <c r="M45" s="1"/>
      <c r="N45" s="1"/>
      <c r="O45" s="1">
        <v>0</v>
      </c>
      <c r="P45" s="1">
        <v>10</v>
      </c>
      <c r="Q45" s="1">
        <v>30</v>
      </c>
      <c r="R45" s="1">
        <f t="shared" si="11"/>
        <v>4.3243999999999998</v>
      </c>
      <c r="S45" s="5"/>
      <c r="T45" s="5">
        <f t="shared" si="14"/>
        <v>50</v>
      </c>
      <c r="U45" s="17">
        <f>VLOOKUP(A45,[1]Sheet!$A:$U,20,0)</f>
        <v>50</v>
      </c>
      <c r="V45" s="17" t="str">
        <f>VLOOKUP(A45,[1]Sheet!$A:$U,21,0)</f>
        <v>Есть спрос</v>
      </c>
      <c r="W45" s="1">
        <f t="shared" si="5"/>
        <v>37.134862639903808</v>
      </c>
      <c r="X45" s="1">
        <f t="shared" si="13"/>
        <v>25.572564980112848</v>
      </c>
      <c r="Y45" s="1">
        <v>5.9077999999999999</v>
      </c>
      <c r="Z45" s="1">
        <v>5.9042000000000003</v>
      </c>
      <c r="AA45" s="1">
        <v>1.0089999999999999</v>
      </c>
      <c r="AB45" s="1">
        <v>0</v>
      </c>
      <c r="AC45" s="1"/>
      <c r="AD45" s="1">
        <f t="shared" si="6"/>
        <v>50</v>
      </c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</row>
    <row r="46" spans="1:52" x14ac:dyDescent="0.25">
      <c r="A46" s="1" t="s">
        <v>79</v>
      </c>
      <c r="B46" s="1" t="s">
        <v>37</v>
      </c>
      <c r="C46" s="1">
        <v>-3</v>
      </c>
      <c r="D46" s="1">
        <v>90</v>
      </c>
      <c r="E46" s="1">
        <v>91</v>
      </c>
      <c r="F46" s="1">
        <v>-5</v>
      </c>
      <c r="G46" s="7">
        <v>0.4</v>
      </c>
      <c r="H46" s="1">
        <v>40</v>
      </c>
      <c r="I46" s="9" t="s">
        <v>35</v>
      </c>
      <c r="J46" s="1"/>
      <c r="K46" s="1">
        <v>225</v>
      </c>
      <c r="L46" s="1">
        <f t="shared" si="10"/>
        <v>-134</v>
      </c>
      <c r="M46" s="1"/>
      <c r="N46" s="1"/>
      <c r="O46" s="1">
        <v>150</v>
      </c>
      <c r="P46" s="1"/>
      <c r="Q46" s="1">
        <v>0</v>
      </c>
      <c r="R46" s="1">
        <f t="shared" si="11"/>
        <v>18.2</v>
      </c>
      <c r="S46" s="5">
        <f t="shared" si="12"/>
        <v>73.399999999999977</v>
      </c>
      <c r="T46" s="5">
        <f t="shared" si="4"/>
        <v>73.399999999999977</v>
      </c>
      <c r="U46" s="17"/>
      <c r="V46" s="17"/>
      <c r="W46" s="1">
        <f t="shared" si="5"/>
        <v>12</v>
      </c>
      <c r="X46" s="1">
        <f t="shared" si="13"/>
        <v>7.9670329670329672</v>
      </c>
      <c r="Y46" s="1">
        <v>13.4</v>
      </c>
      <c r="Z46" s="1">
        <v>1</v>
      </c>
      <c r="AA46" s="1">
        <v>6.4</v>
      </c>
      <c r="AB46" s="1">
        <v>11.2</v>
      </c>
      <c r="AC46" s="1"/>
      <c r="AD46" s="1">
        <f t="shared" si="6"/>
        <v>29</v>
      </c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</row>
    <row r="47" spans="1:52" x14ac:dyDescent="0.25">
      <c r="A47" s="1" t="s">
        <v>80</v>
      </c>
      <c r="B47" s="1" t="s">
        <v>37</v>
      </c>
      <c r="C47" s="1">
        <v>-6</v>
      </c>
      <c r="D47" s="1">
        <v>210</v>
      </c>
      <c r="E47" s="1">
        <v>208</v>
      </c>
      <c r="F47" s="1">
        <v>-7</v>
      </c>
      <c r="G47" s="7">
        <v>0.4</v>
      </c>
      <c r="H47" s="1">
        <v>45</v>
      </c>
      <c r="I47" s="9" t="s">
        <v>35</v>
      </c>
      <c r="J47" s="1"/>
      <c r="K47" s="1">
        <v>295</v>
      </c>
      <c r="L47" s="1">
        <f t="shared" si="10"/>
        <v>-87</v>
      </c>
      <c r="M47" s="1"/>
      <c r="N47" s="1"/>
      <c r="O47" s="1">
        <v>0</v>
      </c>
      <c r="P47" s="1"/>
      <c r="Q47" s="1">
        <v>20</v>
      </c>
      <c r="R47" s="1">
        <f t="shared" si="11"/>
        <v>41.6</v>
      </c>
      <c r="S47" s="5">
        <f>8*R47-Q47-P47-O47-F47</f>
        <v>319.8</v>
      </c>
      <c r="T47" s="5">
        <f t="shared" si="4"/>
        <v>319.8</v>
      </c>
      <c r="U47" s="17"/>
      <c r="V47" s="17"/>
      <c r="W47" s="1">
        <f t="shared" si="5"/>
        <v>8</v>
      </c>
      <c r="X47" s="1">
        <f t="shared" si="13"/>
        <v>0.3125</v>
      </c>
      <c r="Y47" s="1">
        <v>10.199999999999999</v>
      </c>
      <c r="Z47" s="1">
        <v>2.8</v>
      </c>
      <c r="AA47" s="1">
        <v>16.8</v>
      </c>
      <c r="AB47" s="1">
        <v>13.6</v>
      </c>
      <c r="AC47" s="1"/>
      <c r="AD47" s="1">
        <f t="shared" si="6"/>
        <v>128</v>
      </c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</row>
    <row r="48" spans="1:52" x14ac:dyDescent="0.25">
      <c r="A48" s="1" t="s">
        <v>81</v>
      </c>
      <c r="B48" s="1" t="s">
        <v>31</v>
      </c>
      <c r="C48" s="1">
        <v>33.914999999999999</v>
      </c>
      <c r="D48" s="1">
        <v>66.222999999999999</v>
      </c>
      <c r="E48" s="1">
        <v>41.917999999999999</v>
      </c>
      <c r="F48" s="1">
        <v>53.103999999999999</v>
      </c>
      <c r="G48" s="7">
        <v>1</v>
      </c>
      <c r="H48" s="1">
        <v>40</v>
      </c>
      <c r="I48" s="9" t="s">
        <v>35</v>
      </c>
      <c r="J48" s="1"/>
      <c r="K48" s="1">
        <v>43.737000000000002</v>
      </c>
      <c r="L48" s="1">
        <f t="shared" si="10"/>
        <v>-1.8190000000000026</v>
      </c>
      <c r="M48" s="1"/>
      <c r="N48" s="1"/>
      <c r="O48" s="1">
        <v>20</v>
      </c>
      <c r="P48" s="1">
        <v>52.641200000000012</v>
      </c>
      <c r="Q48" s="1">
        <v>100</v>
      </c>
      <c r="R48" s="1">
        <f t="shared" si="11"/>
        <v>8.3835999999999995</v>
      </c>
      <c r="S48" s="5"/>
      <c r="T48" s="5">
        <f t="shared" si="4"/>
        <v>0</v>
      </c>
      <c r="U48" s="17"/>
      <c r="V48" s="17"/>
      <c r="W48" s="1">
        <f t="shared" si="5"/>
        <v>26.927000333985404</v>
      </c>
      <c r="X48" s="1">
        <f t="shared" si="13"/>
        <v>26.927000333985404</v>
      </c>
      <c r="Y48" s="1">
        <v>14.5374</v>
      </c>
      <c r="Z48" s="1">
        <v>13.6366</v>
      </c>
      <c r="AA48" s="1">
        <v>1.7524</v>
      </c>
      <c r="AB48" s="1">
        <v>0</v>
      </c>
      <c r="AC48" s="1"/>
      <c r="AD48" s="1">
        <f t="shared" si="6"/>
        <v>0</v>
      </c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</row>
    <row r="49" spans="1:52" x14ac:dyDescent="0.25">
      <c r="A49" s="16" t="s">
        <v>82</v>
      </c>
      <c r="B49" s="1" t="s">
        <v>37</v>
      </c>
      <c r="C49" s="1"/>
      <c r="D49" s="1"/>
      <c r="E49" s="1"/>
      <c r="F49" s="1"/>
      <c r="G49" s="7">
        <v>0.35</v>
      </c>
      <c r="H49" s="1">
        <v>40</v>
      </c>
      <c r="I49" s="9" t="s">
        <v>35</v>
      </c>
      <c r="J49" s="1"/>
      <c r="K49" s="1">
        <v>24</v>
      </c>
      <c r="L49" s="1">
        <f t="shared" si="10"/>
        <v>-24</v>
      </c>
      <c r="M49" s="1"/>
      <c r="N49" s="1"/>
      <c r="O49" s="1">
        <v>250</v>
      </c>
      <c r="P49" s="1"/>
      <c r="Q49" s="1">
        <v>0</v>
      </c>
      <c r="R49" s="1">
        <f t="shared" si="11"/>
        <v>0</v>
      </c>
      <c r="S49" s="5">
        <v>50</v>
      </c>
      <c r="T49" s="5">
        <f>U49</f>
        <v>100</v>
      </c>
      <c r="U49" s="17">
        <f>VLOOKUP(A49,[1]Sheet!$A:$U,20,0)</f>
        <v>100</v>
      </c>
      <c r="V49" s="17" t="str">
        <f>VLOOKUP(A49,[1]Sheet!$A:$U,21,0)</f>
        <v>Есть спрос</v>
      </c>
      <c r="W49" s="1" t="e">
        <f t="shared" si="5"/>
        <v>#DIV/0!</v>
      </c>
      <c r="X49" s="1" t="e">
        <f t="shared" si="13"/>
        <v>#DIV/0!</v>
      </c>
      <c r="Y49" s="1">
        <v>0</v>
      </c>
      <c r="Z49" s="1">
        <v>0</v>
      </c>
      <c r="AA49" s="1">
        <v>0</v>
      </c>
      <c r="AB49" s="1">
        <v>0.2</v>
      </c>
      <c r="AC49" s="1"/>
      <c r="AD49" s="1">
        <f t="shared" si="6"/>
        <v>35</v>
      </c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</row>
    <row r="50" spans="1:52" x14ac:dyDescent="0.25">
      <c r="A50" s="1" t="s">
        <v>83</v>
      </c>
      <c r="B50" s="1" t="s">
        <v>37</v>
      </c>
      <c r="C50" s="1">
        <v>160</v>
      </c>
      <c r="D50" s="1">
        <v>17</v>
      </c>
      <c r="E50" s="1">
        <v>169</v>
      </c>
      <c r="F50" s="1">
        <v>-1</v>
      </c>
      <c r="G50" s="7">
        <v>0.4</v>
      </c>
      <c r="H50" s="1">
        <v>40</v>
      </c>
      <c r="I50" s="1" t="s">
        <v>32</v>
      </c>
      <c r="J50" s="1"/>
      <c r="K50" s="1">
        <v>181</v>
      </c>
      <c r="L50" s="1">
        <f t="shared" si="10"/>
        <v>-12</v>
      </c>
      <c r="M50" s="1"/>
      <c r="N50" s="1"/>
      <c r="O50" s="1">
        <v>141.19999999999999</v>
      </c>
      <c r="P50" s="1">
        <v>201.6</v>
      </c>
      <c r="Q50" s="1">
        <v>0</v>
      </c>
      <c r="R50" s="1">
        <f t="shared" si="11"/>
        <v>33.799999999999997</v>
      </c>
      <c r="S50" s="5">
        <f t="shared" si="12"/>
        <v>63.799999999999983</v>
      </c>
      <c r="T50" s="5">
        <f t="shared" si="4"/>
        <v>63.799999999999983</v>
      </c>
      <c r="U50" s="17"/>
      <c r="V50" s="17"/>
      <c r="W50" s="1">
        <f t="shared" si="5"/>
        <v>11.999999999999998</v>
      </c>
      <c r="X50" s="1">
        <f t="shared" si="13"/>
        <v>10.112426035502958</v>
      </c>
      <c r="Y50" s="1">
        <v>31.8</v>
      </c>
      <c r="Z50" s="1">
        <v>42.4</v>
      </c>
      <c r="AA50" s="1">
        <v>36.200000000000003</v>
      </c>
      <c r="AB50" s="1">
        <v>21.6</v>
      </c>
      <c r="AC50" s="1"/>
      <c r="AD50" s="1">
        <f t="shared" si="6"/>
        <v>26</v>
      </c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</row>
    <row r="51" spans="1:52" x14ac:dyDescent="0.25">
      <c r="A51" s="1" t="s">
        <v>84</v>
      </c>
      <c r="B51" s="1" t="s">
        <v>31</v>
      </c>
      <c r="C51" s="1">
        <v>-5.444</v>
      </c>
      <c r="D51" s="1">
        <v>155.25399999999999</v>
      </c>
      <c r="E51" s="1">
        <v>57.250999999999998</v>
      </c>
      <c r="F51" s="1">
        <v>80.393000000000001</v>
      </c>
      <c r="G51" s="7">
        <v>1</v>
      </c>
      <c r="H51" s="1">
        <v>50</v>
      </c>
      <c r="I51" s="1" t="s">
        <v>32</v>
      </c>
      <c r="J51" s="1"/>
      <c r="K51" s="1">
        <v>98.3</v>
      </c>
      <c r="L51" s="1">
        <f t="shared" si="10"/>
        <v>-41.048999999999999</v>
      </c>
      <c r="M51" s="1"/>
      <c r="N51" s="1"/>
      <c r="O51" s="1">
        <v>0</v>
      </c>
      <c r="P51" s="1"/>
      <c r="Q51" s="1">
        <v>0</v>
      </c>
      <c r="R51" s="1">
        <f t="shared" si="11"/>
        <v>11.450199999999999</v>
      </c>
      <c r="S51" s="5">
        <f t="shared" si="12"/>
        <v>57.009399999999999</v>
      </c>
      <c r="T51" s="5">
        <f t="shared" si="4"/>
        <v>57.009399999999999</v>
      </c>
      <c r="U51" s="17"/>
      <c r="V51" s="17"/>
      <c r="W51" s="1">
        <f t="shared" si="5"/>
        <v>12.000000000000002</v>
      </c>
      <c r="X51" s="1">
        <f t="shared" si="13"/>
        <v>7.0211000681210818</v>
      </c>
      <c r="Y51" s="1">
        <v>3.2991999999999999</v>
      </c>
      <c r="Z51" s="1">
        <v>0.27300000000000002</v>
      </c>
      <c r="AA51" s="1">
        <v>4.8428000000000004</v>
      </c>
      <c r="AB51" s="1">
        <v>10.234400000000001</v>
      </c>
      <c r="AC51" s="1"/>
      <c r="AD51" s="1">
        <f t="shared" si="6"/>
        <v>57</v>
      </c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</row>
    <row r="52" spans="1:52" x14ac:dyDescent="0.25">
      <c r="A52" s="1" t="s">
        <v>85</v>
      </c>
      <c r="B52" s="1" t="s">
        <v>31</v>
      </c>
      <c r="C52" s="1">
        <v>55.29</v>
      </c>
      <c r="D52" s="1">
        <v>2.8220000000000001</v>
      </c>
      <c r="E52" s="1">
        <v>53.960999999999999</v>
      </c>
      <c r="F52" s="1">
        <v>-2.5999999999999999E-2</v>
      </c>
      <c r="G52" s="7">
        <v>1</v>
      </c>
      <c r="H52" s="1">
        <v>50</v>
      </c>
      <c r="I52" s="1" t="s">
        <v>32</v>
      </c>
      <c r="J52" s="1"/>
      <c r="K52" s="1">
        <v>68.599999999999994</v>
      </c>
      <c r="L52" s="1">
        <f t="shared" si="10"/>
        <v>-14.638999999999996</v>
      </c>
      <c r="M52" s="1"/>
      <c r="N52" s="1"/>
      <c r="O52" s="1">
        <v>54.752200000000023</v>
      </c>
      <c r="P52" s="1">
        <v>112.13199999999991</v>
      </c>
      <c r="Q52" s="1">
        <v>150</v>
      </c>
      <c r="R52" s="1">
        <f t="shared" si="11"/>
        <v>10.792199999999999</v>
      </c>
      <c r="S52" s="5"/>
      <c r="T52" s="5">
        <f>U52</f>
        <v>50</v>
      </c>
      <c r="U52" s="17">
        <f>VLOOKUP(A52,[1]Sheet!$A:$U,20,0)</f>
        <v>50</v>
      </c>
      <c r="V52" s="17" t="str">
        <f>VLOOKUP(A52,[1]Sheet!$A:$U,21,0)</f>
        <v>Промо</v>
      </c>
      <c r="W52" s="1">
        <f t="shared" si="5"/>
        <v>33.99290228127721</v>
      </c>
      <c r="X52" s="1">
        <f t="shared" si="13"/>
        <v>29.359926613665419</v>
      </c>
      <c r="Y52" s="1">
        <v>20.430599999999998</v>
      </c>
      <c r="Z52" s="1">
        <v>18.401599999999998</v>
      </c>
      <c r="AA52" s="1">
        <v>12.501200000000001</v>
      </c>
      <c r="AB52" s="1">
        <v>3.7355999999999998</v>
      </c>
      <c r="AC52" s="1"/>
      <c r="AD52" s="1">
        <f t="shared" si="6"/>
        <v>50</v>
      </c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</row>
    <row r="53" spans="1:52" x14ac:dyDescent="0.25">
      <c r="A53" s="1" t="s">
        <v>86</v>
      </c>
      <c r="B53" s="1" t="s">
        <v>31</v>
      </c>
      <c r="C53" s="1">
        <v>141.90199999999999</v>
      </c>
      <c r="D53" s="1"/>
      <c r="E53" s="1">
        <v>13.888999999999999</v>
      </c>
      <c r="F53" s="1">
        <v>128.01300000000001</v>
      </c>
      <c r="G53" s="7">
        <v>1</v>
      </c>
      <c r="H53" s="1">
        <v>45</v>
      </c>
      <c r="I53" s="9" t="s">
        <v>35</v>
      </c>
      <c r="J53" s="1"/>
      <c r="K53" s="1">
        <v>11.7</v>
      </c>
      <c r="L53" s="1">
        <f t="shared" si="10"/>
        <v>2.1890000000000001</v>
      </c>
      <c r="M53" s="1"/>
      <c r="N53" s="1"/>
      <c r="O53" s="1">
        <v>0</v>
      </c>
      <c r="P53" s="1"/>
      <c r="Q53" s="1">
        <v>0</v>
      </c>
      <c r="R53" s="1">
        <f t="shared" si="11"/>
        <v>2.7778</v>
      </c>
      <c r="S53" s="5"/>
      <c r="T53" s="5">
        <f t="shared" si="4"/>
        <v>0</v>
      </c>
      <c r="U53" s="17"/>
      <c r="V53" s="17"/>
      <c r="W53" s="1">
        <f t="shared" si="5"/>
        <v>46.084311325509397</v>
      </c>
      <c r="X53" s="1">
        <f t="shared" si="13"/>
        <v>46.084311325509397</v>
      </c>
      <c r="Y53" s="1">
        <v>4.9185999999999996</v>
      </c>
      <c r="Z53" s="1">
        <v>2.7618</v>
      </c>
      <c r="AA53" s="1">
        <v>0</v>
      </c>
      <c r="AB53" s="1">
        <v>0</v>
      </c>
      <c r="AC53" s="15" t="s">
        <v>53</v>
      </c>
      <c r="AD53" s="1">
        <f t="shared" si="6"/>
        <v>0</v>
      </c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</row>
    <row r="54" spans="1:52" x14ac:dyDescent="0.25">
      <c r="A54" s="1" t="s">
        <v>87</v>
      </c>
      <c r="B54" s="1" t="s">
        <v>37</v>
      </c>
      <c r="C54" s="1">
        <v>211</v>
      </c>
      <c r="D54" s="1">
        <v>5</v>
      </c>
      <c r="E54" s="1">
        <v>72</v>
      </c>
      <c r="F54" s="1">
        <v>126</v>
      </c>
      <c r="G54" s="7">
        <v>0.45</v>
      </c>
      <c r="H54" s="1">
        <v>50</v>
      </c>
      <c r="I54" s="1" t="s">
        <v>32</v>
      </c>
      <c r="J54" s="1"/>
      <c r="K54" s="1">
        <v>77</v>
      </c>
      <c r="L54" s="1">
        <f t="shared" si="10"/>
        <v>-5</v>
      </c>
      <c r="M54" s="1"/>
      <c r="N54" s="1"/>
      <c r="O54" s="1">
        <v>0</v>
      </c>
      <c r="P54" s="1"/>
      <c r="Q54" s="1">
        <v>0</v>
      </c>
      <c r="R54" s="1">
        <f t="shared" si="11"/>
        <v>14.4</v>
      </c>
      <c r="S54" s="5">
        <f t="shared" si="12"/>
        <v>46.800000000000011</v>
      </c>
      <c r="T54" s="5">
        <f t="shared" si="4"/>
        <v>46.800000000000011</v>
      </c>
      <c r="U54" s="17"/>
      <c r="V54" s="17"/>
      <c r="W54" s="1">
        <f t="shared" si="5"/>
        <v>12</v>
      </c>
      <c r="X54" s="1">
        <f t="shared" si="13"/>
        <v>8.75</v>
      </c>
      <c r="Y54" s="1">
        <v>9.1999999999999993</v>
      </c>
      <c r="Z54" s="1">
        <v>16</v>
      </c>
      <c r="AA54" s="1">
        <v>15.4</v>
      </c>
      <c r="AB54" s="1">
        <v>9.6</v>
      </c>
      <c r="AC54" s="1"/>
      <c r="AD54" s="1">
        <f t="shared" si="6"/>
        <v>21</v>
      </c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</row>
    <row r="55" spans="1:52" x14ac:dyDescent="0.25">
      <c r="A55" s="1" t="s">
        <v>89</v>
      </c>
      <c r="B55" s="1" t="s">
        <v>37</v>
      </c>
      <c r="C55" s="1">
        <v>110</v>
      </c>
      <c r="D55" s="1">
        <v>90</v>
      </c>
      <c r="E55" s="1">
        <v>158</v>
      </c>
      <c r="F55" s="1">
        <v>20</v>
      </c>
      <c r="G55" s="7">
        <v>0.45</v>
      </c>
      <c r="H55" s="1">
        <v>50</v>
      </c>
      <c r="I55" s="1" t="s">
        <v>32</v>
      </c>
      <c r="J55" s="1"/>
      <c r="K55" s="1">
        <v>174</v>
      </c>
      <c r="L55" s="1">
        <f t="shared" si="10"/>
        <v>-16</v>
      </c>
      <c r="M55" s="1"/>
      <c r="N55" s="1"/>
      <c r="O55" s="1">
        <v>47.111627906976743</v>
      </c>
      <c r="P55" s="1">
        <v>81.19999999999996</v>
      </c>
      <c r="Q55" s="1">
        <v>50</v>
      </c>
      <c r="R55" s="1">
        <f t="shared" si="11"/>
        <v>31.6</v>
      </c>
      <c r="S55" s="5">
        <f t="shared" si="12"/>
        <v>180.88837209302335</v>
      </c>
      <c r="T55" s="5">
        <f>U55</f>
        <v>200</v>
      </c>
      <c r="U55" s="17">
        <f>VLOOKUP(A55,[1]Sheet!$A:$U,20,0)</f>
        <v>200</v>
      </c>
      <c r="V55" s="17" t="str">
        <f>VLOOKUP(A55,[1]Sheet!$A:$U,21,0)</f>
        <v>Есть спрос</v>
      </c>
      <c r="W55" s="1">
        <f t="shared" si="5"/>
        <v>12.604798351486604</v>
      </c>
      <c r="X55" s="1">
        <f t="shared" si="13"/>
        <v>6.2756844274359711</v>
      </c>
      <c r="Y55" s="1">
        <v>24.4</v>
      </c>
      <c r="Z55" s="1">
        <v>26</v>
      </c>
      <c r="AA55" s="1">
        <v>25.8</v>
      </c>
      <c r="AB55" s="1">
        <v>21.2</v>
      </c>
      <c r="AC55" s="1"/>
      <c r="AD55" s="1">
        <f t="shared" si="6"/>
        <v>90</v>
      </c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</row>
    <row r="56" spans="1:52" x14ac:dyDescent="0.25">
      <c r="A56" s="1" t="s">
        <v>90</v>
      </c>
      <c r="B56" s="1" t="s">
        <v>37</v>
      </c>
      <c r="C56" s="1"/>
      <c r="D56" s="1">
        <v>18</v>
      </c>
      <c r="E56" s="1"/>
      <c r="F56" s="1">
        <v>18</v>
      </c>
      <c r="G56" s="7">
        <v>0.4</v>
      </c>
      <c r="H56" s="1">
        <v>40</v>
      </c>
      <c r="I56" s="1" t="s">
        <v>32</v>
      </c>
      <c r="J56" s="1"/>
      <c r="K56" s="1">
        <v>5</v>
      </c>
      <c r="L56" s="1">
        <f t="shared" si="10"/>
        <v>-5</v>
      </c>
      <c r="M56" s="1"/>
      <c r="N56" s="1"/>
      <c r="O56" s="1">
        <v>5</v>
      </c>
      <c r="P56" s="1"/>
      <c r="Q56" s="1">
        <v>40</v>
      </c>
      <c r="R56" s="1">
        <f t="shared" si="11"/>
        <v>0</v>
      </c>
      <c r="S56" s="5"/>
      <c r="T56" s="5">
        <f t="shared" si="4"/>
        <v>0</v>
      </c>
      <c r="U56" s="17"/>
      <c r="V56" s="17"/>
      <c r="W56" s="1" t="e">
        <f t="shared" si="5"/>
        <v>#DIV/0!</v>
      </c>
      <c r="X56" s="1" t="e">
        <f t="shared" si="13"/>
        <v>#DIV/0!</v>
      </c>
      <c r="Y56" s="1">
        <v>0</v>
      </c>
      <c r="Z56" s="1">
        <v>0</v>
      </c>
      <c r="AA56" s="1">
        <v>0</v>
      </c>
      <c r="AB56" s="1">
        <v>0</v>
      </c>
      <c r="AC56" s="1"/>
      <c r="AD56" s="1">
        <f t="shared" si="6"/>
        <v>0</v>
      </c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</row>
    <row r="57" spans="1:52" x14ac:dyDescent="0.25">
      <c r="A57" s="1" t="s">
        <v>91</v>
      </c>
      <c r="B57" s="1" t="s">
        <v>37</v>
      </c>
      <c r="C57" s="1"/>
      <c r="D57" s="1">
        <v>30</v>
      </c>
      <c r="E57" s="1">
        <v>1</v>
      </c>
      <c r="F57" s="1">
        <v>24</v>
      </c>
      <c r="G57" s="7">
        <v>0.4</v>
      </c>
      <c r="H57" s="1">
        <v>40</v>
      </c>
      <c r="I57" s="1" t="s">
        <v>32</v>
      </c>
      <c r="J57" s="1"/>
      <c r="K57" s="1">
        <v>5</v>
      </c>
      <c r="L57" s="1">
        <f t="shared" si="10"/>
        <v>-4</v>
      </c>
      <c r="M57" s="1"/>
      <c r="N57" s="1"/>
      <c r="O57" s="1">
        <v>5</v>
      </c>
      <c r="P57" s="1"/>
      <c r="Q57" s="1">
        <v>40</v>
      </c>
      <c r="R57" s="1">
        <f t="shared" si="11"/>
        <v>0.2</v>
      </c>
      <c r="S57" s="5"/>
      <c r="T57" s="5">
        <f t="shared" si="4"/>
        <v>0</v>
      </c>
      <c r="U57" s="17"/>
      <c r="V57" s="17"/>
      <c r="W57" s="1">
        <f t="shared" si="5"/>
        <v>345</v>
      </c>
      <c r="X57" s="1">
        <f t="shared" si="13"/>
        <v>345</v>
      </c>
      <c r="Y57" s="1">
        <v>0</v>
      </c>
      <c r="Z57" s="1">
        <v>0</v>
      </c>
      <c r="AA57" s="1">
        <v>0</v>
      </c>
      <c r="AB57" s="1">
        <v>0</v>
      </c>
      <c r="AC57" s="1"/>
      <c r="AD57" s="1">
        <f t="shared" si="6"/>
        <v>0</v>
      </c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</row>
    <row r="58" spans="1:52" x14ac:dyDescent="0.25">
      <c r="A58" s="1" t="s">
        <v>92</v>
      </c>
      <c r="B58" s="1" t="s">
        <v>31</v>
      </c>
      <c r="C58" s="1">
        <v>110.602</v>
      </c>
      <c r="D58" s="1">
        <v>6.8019999999999996</v>
      </c>
      <c r="E58" s="1">
        <v>61.252000000000002</v>
      </c>
      <c r="F58" s="1">
        <v>42.543999999999997</v>
      </c>
      <c r="G58" s="7">
        <v>1</v>
      </c>
      <c r="H58" s="1">
        <v>50</v>
      </c>
      <c r="I58" s="1" t="s">
        <v>32</v>
      </c>
      <c r="J58" s="1"/>
      <c r="K58" s="1">
        <v>67.5</v>
      </c>
      <c r="L58" s="1">
        <f t="shared" si="10"/>
        <v>-6.2479999999999976</v>
      </c>
      <c r="M58" s="1"/>
      <c r="N58" s="1"/>
      <c r="O58" s="1">
        <v>0</v>
      </c>
      <c r="P58" s="1">
        <v>10</v>
      </c>
      <c r="Q58" s="1">
        <v>100</v>
      </c>
      <c r="R58" s="1">
        <f t="shared" si="11"/>
        <v>12.250400000000001</v>
      </c>
      <c r="S58" s="5"/>
      <c r="T58" s="5">
        <f>U58</f>
        <v>100</v>
      </c>
      <c r="U58" s="17">
        <f>VLOOKUP(A58,[1]Sheet!$A:$U,20,0)</f>
        <v>100</v>
      </c>
      <c r="V58" s="17" t="str">
        <f>VLOOKUP(A58,[1]Sheet!$A:$U,21,0)</f>
        <v>Есть спрос</v>
      </c>
      <c r="W58" s="1">
        <f t="shared" si="5"/>
        <v>20.615163586495132</v>
      </c>
      <c r="X58" s="1">
        <f t="shared" si="13"/>
        <v>12.452164827270945</v>
      </c>
      <c r="Y58" s="1">
        <v>12.776199999999999</v>
      </c>
      <c r="Z58" s="1">
        <v>9.5141999999999989</v>
      </c>
      <c r="AA58" s="1">
        <v>3.2652000000000001</v>
      </c>
      <c r="AB58" s="1">
        <v>7.0168000000000008</v>
      </c>
      <c r="AC58" s="1"/>
      <c r="AD58" s="1">
        <f t="shared" si="6"/>
        <v>100</v>
      </c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</row>
    <row r="59" spans="1:52" x14ac:dyDescent="0.25">
      <c r="A59" s="1" t="s">
        <v>93</v>
      </c>
      <c r="B59" s="1" t="s">
        <v>37</v>
      </c>
      <c r="C59" s="1">
        <v>149</v>
      </c>
      <c r="D59" s="1">
        <v>61</v>
      </c>
      <c r="E59" s="13">
        <f>41+E132</f>
        <v>66</v>
      </c>
      <c r="F59" s="13">
        <f>64+F132</f>
        <v>105</v>
      </c>
      <c r="G59" s="7">
        <v>0.1</v>
      </c>
      <c r="H59" s="1">
        <v>731</v>
      </c>
      <c r="I59" s="1" t="s">
        <v>32</v>
      </c>
      <c r="J59" s="1"/>
      <c r="K59" s="1">
        <v>42</v>
      </c>
      <c r="L59" s="1">
        <f t="shared" si="10"/>
        <v>24</v>
      </c>
      <c r="M59" s="1"/>
      <c r="N59" s="1"/>
      <c r="O59" s="1">
        <v>0</v>
      </c>
      <c r="P59" s="1"/>
      <c r="Q59" s="1">
        <v>200</v>
      </c>
      <c r="R59" s="1">
        <f t="shared" si="11"/>
        <v>13.2</v>
      </c>
      <c r="S59" s="5"/>
      <c r="T59" s="5">
        <f t="shared" si="4"/>
        <v>0</v>
      </c>
      <c r="U59" s="17"/>
      <c r="V59" s="17"/>
      <c r="W59" s="1">
        <f t="shared" si="5"/>
        <v>23.106060606060609</v>
      </c>
      <c r="X59" s="1">
        <f t="shared" si="13"/>
        <v>23.106060606060609</v>
      </c>
      <c r="Y59" s="1">
        <v>17</v>
      </c>
      <c r="Z59" s="1">
        <v>12.2</v>
      </c>
      <c r="AA59" s="1">
        <v>6.2</v>
      </c>
      <c r="AB59" s="1">
        <v>5.8</v>
      </c>
      <c r="AC59" s="1"/>
      <c r="AD59" s="1">
        <f t="shared" si="6"/>
        <v>0</v>
      </c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</row>
    <row r="60" spans="1:52" x14ac:dyDescent="0.25">
      <c r="A60" s="1" t="s">
        <v>94</v>
      </c>
      <c r="B60" s="1" t="s">
        <v>31</v>
      </c>
      <c r="C60" s="1">
        <v>81.793999999999997</v>
      </c>
      <c r="D60" s="1">
        <v>109.75700000000001</v>
      </c>
      <c r="E60" s="1">
        <v>125.801</v>
      </c>
      <c r="F60" s="1">
        <v>52.156999999999996</v>
      </c>
      <c r="G60" s="7">
        <v>1</v>
      </c>
      <c r="H60" s="1">
        <v>50</v>
      </c>
      <c r="I60" s="1" t="s">
        <v>32</v>
      </c>
      <c r="J60" s="1"/>
      <c r="K60" s="1">
        <v>162.4</v>
      </c>
      <c r="L60" s="1">
        <f t="shared" si="10"/>
        <v>-36.599000000000004</v>
      </c>
      <c r="M60" s="1"/>
      <c r="N60" s="1"/>
      <c r="O60" s="1">
        <v>0</v>
      </c>
      <c r="P60" s="1"/>
      <c r="Q60" s="1">
        <v>150</v>
      </c>
      <c r="R60" s="1">
        <f t="shared" si="11"/>
        <v>25.1602</v>
      </c>
      <c r="S60" s="5">
        <f t="shared" si="12"/>
        <v>99.765399999999985</v>
      </c>
      <c r="T60" s="5">
        <f t="shared" si="4"/>
        <v>99.765399999999985</v>
      </c>
      <c r="U60" s="17"/>
      <c r="V60" s="17"/>
      <c r="W60" s="1">
        <f t="shared" si="5"/>
        <v>12</v>
      </c>
      <c r="X60" s="1">
        <f t="shared" si="13"/>
        <v>8.0347930461602051</v>
      </c>
      <c r="Y60" s="1">
        <v>21.5242</v>
      </c>
      <c r="Z60" s="1">
        <v>11.835599999999999</v>
      </c>
      <c r="AA60" s="1">
        <v>11.785399999999999</v>
      </c>
      <c r="AB60" s="1">
        <v>12.861000000000001</v>
      </c>
      <c r="AC60" s="1"/>
      <c r="AD60" s="1">
        <f t="shared" si="6"/>
        <v>100</v>
      </c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</row>
    <row r="61" spans="1:52" x14ac:dyDescent="0.25">
      <c r="A61" s="1" t="s">
        <v>95</v>
      </c>
      <c r="B61" s="1" t="s">
        <v>31</v>
      </c>
      <c r="C61" s="1"/>
      <c r="D61" s="1">
        <v>32.386000000000003</v>
      </c>
      <c r="E61" s="1">
        <v>6.758</v>
      </c>
      <c r="F61" s="1">
        <v>25.628</v>
      </c>
      <c r="G61" s="7">
        <v>1</v>
      </c>
      <c r="H61" s="1">
        <v>55</v>
      </c>
      <c r="I61" s="1" t="s">
        <v>32</v>
      </c>
      <c r="J61" s="1"/>
      <c r="K61" s="1">
        <v>9.1</v>
      </c>
      <c r="L61" s="1">
        <f t="shared" si="10"/>
        <v>-2.3419999999999996</v>
      </c>
      <c r="M61" s="1"/>
      <c r="N61" s="1"/>
      <c r="O61" s="1">
        <v>10</v>
      </c>
      <c r="P61" s="1"/>
      <c r="Q61" s="1">
        <v>10</v>
      </c>
      <c r="R61" s="1">
        <f t="shared" si="11"/>
        <v>1.3515999999999999</v>
      </c>
      <c r="S61" s="5"/>
      <c r="T61" s="5">
        <f t="shared" si="4"/>
        <v>0</v>
      </c>
      <c r="U61" s="17"/>
      <c r="V61" s="17"/>
      <c r="W61" s="1">
        <f t="shared" si="5"/>
        <v>33.758508434448061</v>
      </c>
      <c r="X61" s="1">
        <f t="shared" si="13"/>
        <v>33.758508434448061</v>
      </c>
      <c r="Y61" s="1">
        <v>0.27039999999999997</v>
      </c>
      <c r="Z61" s="1">
        <v>0</v>
      </c>
      <c r="AA61" s="1">
        <v>0</v>
      </c>
      <c r="AB61" s="1">
        <v>0.54339999999999999</v>
      </c>
      <c r="AC61" s="1"/>
      <c r="AD61" s="1">
        <f t="shared" si="6"/>
        <v>0</v>
      </c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</row>
    <row r="62" spans="1:52" x14ac:dyDescent="0.25">
      <c r="A62" s="1" t="s">
        <v>96</v>
      </c>
      <c r="B62" s="1" t="s">
        <v>37</v>
      </c>
      <c r="C62" s="1">
        <v>196</v>
      </c>
      <c r="D62" s="1">
        <v>28</v>
      </c>
      <c r="E62" s="1">
        <v>51</v>
      </c>
      <c r="F62" s="1">
        <v>163</v>
      </c>
      <c r="G62" s="7">
        <v>0.1</v>
      </c>
      <c r="H62" s="1">
        <v>731</v>
      </c>
      <c r="I62" s="1" t="s">
        <v>32</v>
      </c>
      <c r="J62" s="1"/>
      <c r="K62" s="1">
        <v>59</v>
      </c>
      <c r="L62" s="1">
        <f t="shared" si="10"/>
        <v>-8</v>
      </c>
      <c r="M62" s="1"/>
      <c r="N62" s="1"/>
      <c r="O62" s="1">
        <v>0</v>
      </c>
      <c r="P62" s="1"/>
      <c r="Q62" s="1">
        <v>50</v>
      </c>
      <c r="R62" s="1">
        <f t="shared" si="11"/>
        <v>10.199999999999999</v>
      </c>
      <c r="S62" s="5"/>
      <c r="T62" s="5">
        <f t="shared" si="4"/>
        <v>0</v>
      </c>
      <c r="U62" s="17"/>
      <c r="V62" s="17"/>
      <c r="W62" s="1">
        <f t="shared" si="5"/>
        <v>20.882352941176471</v>
      </c>
      <c r="X62" s="1">
        <f t="shared" si="13"/>
        <v>20.882352941176471</v>
      </c>
      <c r="Y62" s="1">
        <v>9.4</v>
      </c>
      <c r="Z62" s="1">
        <v>6.6</v>
      </c>
      <c r="AA62" s="1">
        <v>3.8</v>
      </c>
      <c r="AB62" s="1">
        <v>3.2</v>
      </c>
      <c r="AC62" s="14" t="s">
        <v>88</v>
      </c>
      <c r="AD62" s="1">
        <f t="shared" si="6"/>
        <v>0</v>
      </c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</row>
    <row r="63" spans="1:52" x14ac:dyDescent="0.25">
      <c r="A63" s="1" t="s">
        <v>97</v>
      </c>
      <c r="B63" s="1" t="s">
        <v>37</v>
      </c>
      <c r="C63" s="1">
        <v>15</v>
      </c>
      <c r="D63" s="1">
        <v>3</v>
      </c>
      <c r="E63" s="1">
        <v>2</v>
      </c>
      <c r="F63" s="1">
        <v>13</v>
      </c>
      <c r="G63" s="7">
        <v>0.4</v>
      </c>
      <c r="H63" s="1">
        <v>50</v>
      </c>
      <c r="I63" s="1" t="s">
        <v>32</v>
      </c>
      <c r="J63" s="1"/>
      <c r="K63" s="1">
        <v>5</v>
      </c>
      <c r="L63" s="1">
        <f t="shared" si="10"/>
        <v>-3</v>
      </c>
      <c r="M63" s="1"/>
      <c r="N63" s="1"/>
      <c r="O63" s="1">
        <v>0</v>
      </c>
      <c r="P63" s="1">
        <v>6</v>
      </c>
      <c r="Q63" s="1">
        <v>0</v>
      </c>
      <c r="R63" s="1">
        <f t="shared" si="11"/>
        <v>0.4</v>
      </c>
      <c r="S63" s="5"/>
      <c r="T63" s="5">
        <f t="shared" si="4"/>
        <v>0</v>
      </c>
      <c r="U63" s="17"/>
      <c r="V63" s="17"/>
      <c r="W63" s="1">
        <f t="shared" si="5"/>
        <v>47.5</v>
      </c>
      <c r="X63" s="1">
        <f t="shared" si="13"/>
        <v>47.5</v>
      </c>
      <c r="Y63" s="1">
        <v>0.8</v>
      </c>
      <c r="Z63" s="1">
        <v>1</v>
      </c>
      <c r="AA63" s="1">
        <v>0.4</v>
      </c>
      <c r="AB63" s="1">
        <v>0</v>
      </c>
      <c r="AC63" s="15" t="s">
        <v>53</v>
      </c>
      <c r="AD63" s="1">
        <f t="shared" si="6"/>
        <v>0</v>
      </c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</row>
    <row r="64" spans="1:52" x14ac:dyDescent="0.25">
      <c r="A64" s="1" t="s">
        <v>98</v>
      </c>
      <c r="B64" s="1" t="s">
        <v>31</v>
      </c>
      <c r="C64" s="1">
        <v>-54.831000000000003</v>
      </c>
      <c r="D64" s="1">
        <v>127.846</v>
      </c>
      <c r="E64" s="1">
        <v>23.702000000000002</v>
      </c>
      <c r="F64" s="1">
        <v>49.313000000000002</v>
      </c>
      <c r="G64" s="7">
        <v>1</v>
      </c>
      <c r="H64" s="1">
        <v>40</v>
      </c>
      <c r="I64" s="9" t="s">
        <v>35</v>
      </c>
      <c r="J64" s="1"/>
      <c r="K64" s="1">
        <v>66</v>
      </c>
      <c r="L64" s="1">
        <f t="shared" si="10"/>
        <v>-42.298000000000002</v>
      </c>
      <c r="M64" s="1"/>
      <c r="N64" s="1"/>
      <c r="O64" s="1">
        <v>50</v>
      </c>
      <c r="P64" s="1"/>
      <c r="Q64" s="1">
        <v>40</v>
      </c>
      <c r="R64" s="1">
        <f t="shared" si="11"/>
        <v>4.7404000000000002</v>
      </c>
      <c r="S64" s="5"/>
      <c r="T64" s="5">
        <f t="shared" si="4"/>
        <v>0</v>
      </c>
      <c r="U64" s="17"/>
      <c r="V64" s="17"/>
      <c r="W64" s="1">
        <f t="shared" si="5"/>
        <v>29.388448232216685</v>
      </c>
      <c r="X64" s="1">
        <f t="shared" si="13"/>
        <v>29.388448232216685</v>
      </c>
      <c r="Y64" s="1">
        <v>4.7404000000000002</v>
      </c>
      <c r="Z64" s="1">
        <v>0</v>
      </c>
      <c r="AA64" s="1">
        <v>7.9903999999999993</v>
      </c>
      <c r="AB64" s="1">
        <v>7.9903999999999993</v>
      </c>
      <c r="AC64" s="1"/>
      <c r="AD64" s="1">
        <f t="shared" si="6"/>
        <v>0</v>
      </c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</row>
    <row r="65" spans="1:52" x14ac:dyDescent="0.25">
      <c r="A65" s="1" t="s">
        <v>99</v>
      </c>
      <c r="B65" s="1" t="s">
        <v>31</v>
      </c>
      <c r="C65" s="1"/>
      <c r="D65" s="1">
        <v>24.858000000000001</v>
      </c>
      <c r="E65" s="1">
        <v>4.1639999999999997</v>
      </c>
      <c r="F65" s="1">
        <v>20.693999999999999</v>
      </c>
      <c r="G65" s="7">
        <v>1</v>
      </c>
      <c r="H65" s="1">
        <v>40</v>
      </c>
      <c r="I65" s="1" t="s">
        <v>32</v>
      </c>
      <c r="J65" s="1"/>
      <c r="K65" s="1">
        <v>4</v>
      </c>
      <c r="L65" s="1">
        <f t="shared" si="10"/>
        <v>0.1639999999999997</v>
      </c>
      <c r="M65" s="1"/>
      <c r="N65" s="1"/>
      <c r="O65" s="1">
        <v>50</v>
      </c>
      <c r="P65" s="1"/>
      <c r="Q65" s="1">
        <v>0</v>
      </c>
      <c r="R65" s="1">
        <f t="shared" si="11"/>
        <v>0.83279999999999998</v>
      </c>
      <c r="S65" s="5"/>
      <c r="T65" s="5">
        <f t="shared" si="4"/>
        <v>0</v>
      </c>
      <c r="U65" s="17"/>
      <c r="V65" s="17"/>
      <c r="W65" s="1">
        <f t="shared" si="5"/>
        <v>84.88712776176753</v>
      </c>
      <c r="X65" s="1">
        <f t="shared" si="13"/>
        <v>84.88712776176753</v>
      </c>
      <c r="Y65" s="1">
        <v>0</v>
      </c>
      <c r="Z65" s="1">
        <v>0</v>
      </c>
      <c r="AA65" s="1">
        <v>0</v>
      </c>
      <c r="AB65" s="1">
        <v>0.26440000000000002</v>
      </c>
      <c r="AC65" s="1"/>
      <c r="AD65" s="1">
        <f t="shared" si="6"/>
        <v>0</v>
      </c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</row>
    <row r="66" spans="1:52" x14ac:dyDescent="0.25">
      <c r="A66" s="1" t="s">
        <v>100</v>
      </c>
      <c r="B66" s="1" t="s">
        <v>37</v>
      </c>
      <c r="C66" s="1">
        <v>276</v>
      </c>
      <c r="D66" s="1">
        <v>61</v>
      </c>
      <c r="E66" s="1">
        <v>218</v>
      </c>
      <c r="F66" s="1">
        <v>104</v>
      </c>
      <c r="G66" s="7">
        <v>0.4</v>
      </c>
      <c r="H66" s="1">
        <v>40</v>
      </c>
      <c r="I66" s="1" t="s">
        <v>32</v>
      </c>
      <c r="J66" s="1"/>
      <c r="K66" s="1">
        <v>312</v>
      </c>
      <c r="L66" s="1">
        <f t="shared" si="10"/>
        <v>-94</v>
      </c>
      <c r="M66" s="1"/>
      <c r="N66" s="1"/>
      <c r="O66" s="1">
        <v>0</v>
      </c>
      <c r="P66" s="1">
        <v>115.0649199417758</v>
      </c>
      <c r="Q66" s="1">
        <v>181.1350800582243</v>
      </c>
      <c r="R66" s="1">
        <f t="shared" si="11"/>
        <v>43.6</v>
      </c>
      <c r="S66" s="5">
        <f t="shared" si="12"/>
        <v>122.99999999999997</v>
      </c>
      <c r="T66" s="5">
        <f t="shared" si="4"/>
        <v>122.99999999999997</v>
      </c>
      <c r="U66" s="17"/>
      <c r="V66" s="17"/>
      <c r="W66" s="1">
        <f t="shared" si="5"/>
        <v>12</v>
      </c>
      <c r="X66" s="1">
        <f t="shared" si="13"/>
        <v>9.1788990825688099</v>
      </c>
      <c r="Y66" s="1">
        <v>46.2</v>
      </c>
      <c r="Z66" s="1">
        <v>34.4</v>
      </c>
      <c r="AA66" s="1">
        <v>15.4</v>
      </c>
      <c r="AB66" s="1">
        <v>15.8</v>
      </c>
      <c r="AC66" s="1"/>
      <c r="AD66" s="1">
        <f t="shared" si="6"/>
        <v>49</v>
      </c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</row>
    <row r="67" spans="1:52" x14ac:dyDescent="0.25">
      <c r="A67" s="1" t="s">
        <v>101</v>
      </c>
      <c r="B67" s="1" t="s">
        <v>37</v>
      </c>
      <c r="C67" s="1">
        <v>-1</v>
      </c>
      <c r="D67" s="1">
        <v>103</v>
      </c>
      <c r="E67" s="1">
        <v>108</v>
      </c>
      <c r="F67" s="1">
        <v>-10</v>
      </c>
      <c r="G67" s="7">
        <v>0.4</v>
      </c>
      <c r="H67" s="1">
        <v>40</v>
      </c>
      <c r="I67" s="9" t="s">
        <v>35</v>
      </c>
      <c r="J67" s="1"/>
      <c r="K67" s="1">
        <v>126</v>
      </c>
      <c r="L67" s="1">
        <f t="shared" si="10"/>
        <v>-18</v>
      </c>
      <c r="M67" s="1"/>
      <c r="N67" s="1"/>
      <c r="O67" s="1">
        <v>100</v>
      </c>
      <c r="P67" s="1"/>
      <c r="Q67" s="1">
        <v>0</v>
      </c>
      <c r="R67" s="1">
        <f t="shared" si="11"/>
        <v>21.6</v>
      </c>
      <c r="S67" s="5">
        <f>11*R67-Q67-P67-O67-F67</f>
        <v>147.60000000000002</v>
      </c>
      <c r="T67" s="5">
        <f t="shared" si="4"/>
        <v>147.60000000000002</v>
      </c>
      <c r="U67" s="17"/>
      <c r="V67" s="17"/>
      <c r="W67" s="1">
        <f t="shared" si="5"/>
        <v>11</v>
      </c>
      <c r="X67" s="1">
        <f t="shared" si="13"/>
        <v>4.1666666666666661</v>
      </c>
      <c r="Y67" s="1">
        <v>6</v>
      </c>
      <c r="Z67" s="1">
        <v>0</v>
      </c>
      <c r="AA67" s="1">
        <v>0</v>
      </c>
      <c r="AB67" s="1">
        <v>0</v>
      </c>
      <c r="AC67" s="1"/>
      <c r="AD67" s="1">
        <f t="shared" si="6"/>
        <v>59</v>
      </c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</row>
    <row r="68" spans="1:52" x14ac:dyDescent="0.25">
      <c r="A68" s="1" t="s">
        <v>102</v>
      </c>
      <c r="B68" s="1" t="s">
        <v>31</v>
      </c>
      <c r="C68" s="1">
        <v>11.06</v>
      </c>
      <c r="D68" s="1">
        <v>16.303999999999998</v>
      </c>
      <c r="E68" s="1">
        <v>17.204999999999998</v>
      </c>
      <c r="F68" s="1">
        <v>6.5359999999999996</v>
      </c>
      <c r="G68" s="7">
        <v>1</v>
      </c>
      <c r="H68" s="1">
        <v>40</v>
      </c>
      <c r="I68" s="9" t="s">
        <v>35</v>
      </c>
      <c r="J68" s="1"/>
      <c r="K68" s="1">
        <v>57.9</v>
      </c>
      <c r="L68" s="1">
        <f t="shared" si="10"/>
        <v>-40.695</v>
      </c>
      <c r="M68" s="1"/>
      <c r="N68" s="1"/>
      <c r="O68" s="1">
        <v>0</v>
      </c>
      <c r="P68" s="1">
        <v>100</v>
      </c>
      <c r="Q68" s="1">
        <v>10</v>
      </c>
      <c r="R68" s="1">
        <f t="shared" si="11"/>
        <v>3.4409999999999998</v>
      </c>
      <c r="S68" s="5"/>
      <c r="T68" s="5">
        <f t="shared" si="4"/>
        <v>0</v>
      </c>
      <c r="U68" s="17"/>
      <c r="V68" s="17"/>
      <c r="W68" s="1">
        <f t="shared" si="5"/>
        <v>33.866899157221738</v>
      </c>
      <c r="X68" s="1">
        <f t="shared" si="13"/>
        <v>33.866899157221738</v>
      </c>
      <c r="Y68" s="1">
        <v>11.0456</v>
      </c>
      <c r="Z68" s="1">
        <v>15.014200000000001</v>
      </c>
      <c r="AA68" s="1">
        <v>4.5118</v>
      </c>
      <c r="AB68" s="1">
        <v>5.2612000000000014</v>
      </c>
      <c r="AC68" s="1"/>
      <c r="AD68" s="1">
        <f t="shared" si="6"/>
        <v>0</v>
      </c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</row>
    <row r="69" spans="1:52" x14ac:dyDescent="0.25">
      <c r="A69" s="1" t="s">
        <v>103</v>
      </c>
      <c r="B69" s="1" t="s">
        <v>31</v>
      </c>
      <c r="C69" s="1">
        <v>30.463999999999999</v>
      </c>
      <c r="D69" s="1">
        <v>3.5960000000000001</v>
      </c>
      <c r="E69" s="1">
        <v>26.908000000000001</v>
      </c>
      <c r="F69" s="1">
        <v>3.5680000000000001</v>
      </c>
      <c r="G69" s="7">
        <v>1</v>
      </c>
      <c r="H69" s="1">
        <v>40</v>
      </c>
      <c r="I69" s="9" t="s">
        <v>35</v>
      </c>
      <c r="J69" s="1"/>
      <c r="K69" s="1">
        <v>65.599999999999994</v>
      </c>
      <c r="L69" s="1">
        <f t="shared" si="10"/>
        <v>-38.691999999999993</v>
      </c>
      <c r="M69" s="1"/>
      <c r="N69" s="1"/>
      <c r="O69" s="1">
        <v>0</v>
      </c>
      <c r="P69" s="1">
        <v>100</v>
      </c>
      <c r="Q69" s="1">
        <v>120</v>
      </c>
      <c r="R69" s="1">
        <f t="shared" si="11"/>
        <v>5.3816000000000006</v>
      </c>
      <c r="S69" s="5"/>
      <c r="T69" s="5">
        <f t="shared" si="4"/>
        <v>0</v>
      </c>
      <c r="U69" s="17"/>
      <c r="V69" s="17"/>
      <c r="W69" s="1">
        <f t="shared" si="5"/>
        <v>41.543035528467364</v>
      </c>
      <c r="X69" s="1">
        <f t="shared" si="13"/>
        <v>41.543035528467364</v>
      </c>
      <c r="Y69" s="1">
        <v>16.513000000000002</v>
      </c>
      <c r="Z69" s="1">
        <v>15.0838</v>
      </c>
      <c r="AA69" s="1">
        <v>4.3112000000000004</v>
      </c>
      <c r="AB69" s="1">
        <v>0</v>
      </c>
      <c r="AC69" s="1"/>
      <c r="AD69" s="1">
        <f t="shared" si="6"/>
        <v>0</v>
      </c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</row>
    <row r="70" spans="1:52" x14ac:dyDescent="0.25">
      <c r="A70" s="1" t="s">
        <v>104</v>
      </c>
      <c r="B70" s="1" t="s">
        <v>31</v>
      </c>
      <c r="C70" s="1">
        <v>-4.7640000000000002</v>
      </c>
      <c r="D70" s="1"/>
      <c r="E70" s="1">
        <v>0.92600000000000005</v>
      </c>
      <c r="F70" s="1">
        <v>-5.69</v>
      </c>
      <c r="G70" s="7">
        <v>1</v>
      </c>
      <c r="H70" s="1">
        <v>40</v>
      </c>
      <c r="I70" s="9" t="s">
        <v>35</v>
      </c>
      <c r="J70" s="1"/>
      <c r="K70" s="1">
        <v>50.4</v>
      </c>
      <c r="L70" s="1">
        <f t="shared" ref="L70:L101" si="15">E70-K70</f>
        <v>-49.473999999999997</v>
      </c>
      <c r="M70" s="1"/>
      <c r="N70" s="1"/>
      <c r="O70" s="1">
        <v>0</v>
      </c>
      <c r="P70" s="1">
        <v>50</v>
      </c>
      <c r="Q70" s="1">
        <v>30</v>
      </c>
      <c r="R70" s="1">
        <f t="shared" ref="R70:R101" si="16">E70/5</f>
        <v>0.1852</v>
      </c>
      <c r="S70" s="5">
        <v>30</v>
      </c>
      <c r="T70" s="5">
        <f t="shared" ref="T70:T71" si="17">U70</f>
        <v>100</v>
      </c>
      <c r="U70" s="17">
        <f>VLOOKUP(A70,[1]Sheet!$A:$U,20,0)</f>
        <v>100</v>
      </c>
      <c r="V70" s="17" t="str">
        <f>VLOOKUP(A70,[1]Sheet!$A:$U,21,0)</f>
        <v>Промо</v>
      </c>
      <c r="W70" s="1">
        <f t="shared" si="5"/>
        <v>941.19870410367173</v>
      </c>
      <c r="X70" s="1">
        <f t="shared" ref="X70:X101" si="18">(F70+O70+P70+Q70)/R70</f>
        <v>401.24190064794817</v>
      </c>
      <c r="Y70" s="1">
        <v>0.73</v>
      </c>
      <c r="Z70" s="1">
        <v>4.1936</v>
      </c>
      <c r="AA70" s="1">
        <v>18.5868</v>
      </c>
      <c r="AB70" s="1">
        <v>23.832799999999999</v>
      </c>
      <c r="AC70" s="1"/>
      <c r="AD70" s="1">
        <f t="shared" si="6"/>
        <v>100</v>
      </c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</row>
    <row r="71" spans="1:52" x14ac:dyDescent="0.25">
      <c r="A71" s="1" t="s">
        <v>105</v>
      </c>
      <c r="B71" s="1" t="s">
        <v>31</v>
      </c>
      <c r="C71" s="1"/>
      <c r="D71" s="1">
        <v>44.765000000000001</v>
      </c>
      <c r="E71" s="1">
        <v>37.46</v>
      </c>
      <c r="F71" s="1">
        <v>6.4020000000000001</v>
      </c>
      <c r="G71" s="7">
        <v>1</v>
      </c>
      <c r="H71" s="1">
        <v>40</v>
      </c>
      <c r="I71" s="9" t="s">
        <v>35</v>
      </c>
      <c r="J71" s="1"/>
      <c r="K71" s="1">
        <v>38.984999999999999</v>
      </c>
      <c r="L71" s="1">
        <f t="shared" si="15"/>
        <v>-1.5249999999999986</v>
      </c>
      <c r="M71" s="1"/>
      <c r="N71" s="1"/>
      <c r="O71" s="1">
        <v>0</v>
      </c>
      <c r="P71" s="1"/>
      <c r="Q71" s="1">
        <v>40</v>
      </c>
      <c r="R71" s="1">
        <f t="shared" si="16"/>
        <v>7.492</v>
      </c>
      <c r="S71" s="5">
        <f t="shared" si="12"/>
        <v>43.501999999999995</v>
      </c>
      <c r="T71" s="5">
        <f t="shared" si="17"/>
        <v>60</v>
      </c>
      <c r="U71" s="17">
        <f>VLOOKUP(A71,[1]Sheet!$A:$U,20,0)</f>
        <v>60</v>
      </c>
      <c r="V71" s="17" t="str">
        <f>VLOOKUP(A71,[1]Sheet!$A:$U,21,0)</f>
        <v>Есть спрос</v>
      </c>
      <c r="W71" s="1">
        <f t="shared" ref="W71:W132" si="19">(F71+O71+P71+Q71+T71)/R71</f>
        <v>14.202082221035772</v>
      </c>
      <c r="X71" s="1">
        <f t="shared" si="18"/>
        <v>6.1935397757608115</v>
      </c>
      <c r="Y71" s="1">
        <v>2.5602</v>
      </c>
      <c r="Z71" s="1">
        <v>0</v>
      </c>
      <c r="AA71" s="1">
        <v>0</v>
      </c>
      <c r="AB71" s="1">
        <v>0</v>
      </c>
      <c r="AC71" s="1"/>
      <c r="AD71" s="1">
        <f t="shared" ref="AD71:AD132" si="20">ROUND(G71*T71,0)</f>
        <v>60</v>
      </c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</row>
    <row r="72" spans="1:52" x14ac:dyDescent="0.25">
      <c r="A72" s="10" t="s">
        <v>106</v>
      </c>
      <c r="B72" s="10" t="s">
        <v>37</v>
      </c>
      <c r="C72" s="10"/>
      <c r="D72" s="10"/>
      <c r="E72" s="10"/>
      <c r="F72" s="10"/>
      <c r="G72" s="11">
        <v>0</v>
      </c>
      <c r="H72" s="10"/>
      <c r="I72" s="10" t="s">
        <v>32</v>
      </c>
      <c r="J72" s="10"/>
      <c r="K72" s="10"/>
      <c r="L72" s="10">
        <f t="shared" si="15"/>
        <v>0</v>
      </c>
      <c r="M72" s="10"/>
      <c r="N72" s="10"/>
      <c r="O72" s="10">
        <v>0</v>
      </c>
      <c r="P72" s="10"/>
      <c r="Q72" s="10">
        <v>0</v>
      </c>
      <c r="R72" s="10">
        <f t="shared" si="16"/>
        <v>0</v>
      </c>
      <c r="S72" s="12"/>
      <c r="T72" s="5">
        <f t="shared" ref="T72:T132" si="21">S72</f>
        <v>0</v>
      </c>
      <c r="U72" s="17"/>
      <c r="V72" s="17"/>
      <c r="W72" s="1" t="e">
        <f t="shared" si="19"/>
        <v>#DIV/0!</v>
      </c>
      <c r="X72" s="10" t="e">
        <f t="shared" si="18"/>
        <v>#DIV/0!</v>
      </c>
      <c r="Y72" s="10">
        <v>0</v>
      </c>
      <c r="Z72" s="10">
        <v>0</v>
      </c>
      <c r="AA72" s="10">
        <v>0</v>
      </c>
      <c r="AB72" s="10">
        <v>0</v>
      </c>
      <c r="AC72" s="10" t="s">
        <v>38</v>
      </c>
      <c r="AD72" s="1">
        <f t="shared" si="20"/>
        <v>0</v>
      </c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</row>
    <row r="73" spans="1:52" x14ac:dyDescent="0.25">
      <c r="A73" s="1" t="s">
        <v>107</v>
      </c>
      <c r="B73" s="1" t="s">
        <v>31</v>
      </c>
      <c r="C73" s="1">
        <v>0.02</v>
      </c>
      <c r="D73" s="1">
        <v>62.033999999999999</v>
      </c>
      <c r="E73" s="1">
        <v>9.2040000000000006</v>
      </c>
      <c r="F73" s="1">
        <v>48.750999999999998</v>
      </c>
      <c r="G73" s="7">
        <v>1</v>
      </c>
      <c r="H73" s="1">
        <v>30</v>
      </c>
      <c r="I73" s="1" t="s">
        <v>32</v>
      </c>
      <c r="J73" s="1"/>
      <c r="K73" s="1">
        <v>9.1</v>
      </c>
      <c r="L73" s="1">
        <f t="shared" si="15"/>
        <v>0.10400000000000098</v>
      </c>
      <c r="M73" s="1"/>
      <c r="N73" s="1"/>
      <c r="O73" s="1">
        <v>120</v>
      </c>
      <c r="P73" s="1"/>
      <c r="Q73" s="1">
        <v>0</v>
      </c>
      <c r="R73" s="1">
        <f t="shared" si="16"/>
        <v>1.8408000000000002</v>
      </c>
      <c r="S73" s="5"/>
      <c r="T73" s="5">
        <f t="shared" si="21"/>
        <v>0</v>
      </c>
      <c r="U73" s="17"/>
      <c r="V73" s="17"/>
      <c r="W73" s="1">
        <f t="shared" si="19"/>
        <v>91.672642329421976</v>
      </c>
      <c r="X73" s="1">
        <f t="shared" si="18"/>
        <v>91.672642329421976</v>
      </c>
      <c r="Y73" s="1">
        <v>0.5272</v>
      </c>
      <c r="Z73" s="1">
        <v>0</v>
      </c>
      <c r="AA73" s="1">
        <v>0</v>
      </c>
      <c r="AB73" s="1">
        <v>4.5743999999999998</v>
      </c>
      <c r="AC73" s="1"/>
      <c r="AD73" s="1">
        <f t="shared" si="20"/>
        <v>0</v>
      </c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</row>
    <row r="74" spans="1:52" x14ac:dyDescent="0.25">
      <c r="A74" s="1" t="s">
        <v>108</v>
      </c>
      <c r="B74" s="1" t="s">
        <v>37</v>
      </c>
      <c r="C74" s="1">
        <v>166</v>
      </c>
      <c r="D74" s="1">
        <v>154</v>
      </c>
      <c r="E74" s="1">
        <v>115</v>
      </c>
      <c r="F74" s="1">
        <v>203</v>
      </c>
      <c r="G74" s="7">
        <v>0.6</v>
      </c>
      <c r="H74" s="1">
        <v>60</v>
      </c>
      <c r="I74" s="1" t="s">
        <v>32</v>
      </c>
      <c r="J74" s="1"/>
      <c r="K74" s="1">
        <v>120</v>
      </c>
      <c r="L74" s="1">
        <f t="shared" si="15"/>
        <v>-5</v>
      </c>
      <c r="M74" s="1"/>
      <c r="N74" s="1"/>
      <c r="O74" s="1">
        <v>0</v>
      </c>
      <c r="P74" s="1"/>
      <c r="Q74" s="1">
        <v>0</v>
      </c>
      <c r="R74" s="1">
        <f t="shared" si="16"/>
        <v>23</v>
      </c>
      <c r="S74" s="5">
        <f t="shared" ref="S74:S83" si="22">12*R74-Q74-P74-O74-F74</f>
        <v>73</v>
      </c>
      <c r="T74" s="5">
        <f t="shared" si="21"/>
        <v>73</v>
      </c>
      <c r="U74" s="17"/>
      <c r="V74" s="17"/>
      <c r="W74" s="1">
        <f t="shared" si="19"/>
        <v>12</v>
      </c>
      <c r="X74" s="1">
        <f t="shared" si="18"/>
        <v>8.8260869565217384</v>
      </c>
      <c r="Y74" s="1">
        <v>3.8</v>
      </c>
      <c r="Z74" s="1">
        <v>3.6</v>
      </c>
      <c r="AA74" s="1">
        <v>5.9474</v>
      </c>
      <c r="AB74" s="1">
        <v>7</v>
      </c>
      <c r="AC74" s="1"/>
      <c r="AD74" s="1">
        <f t="shared" si="20"/>
        <v>44</v>
      </c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</row>
    <row r="75" spans="1:52" x14ac:dyDescent="0.25">
      <c r="A75" s="1" t="s">
        <v>109</v>
      </c>
      <c r="B75" s="1" t="s">
        <v>37</v>
      </c>
      <c r="C75" s="1">
        <v>94</v>
      </c>
      <c r="D75" s="1">
        <v>176</v>
      </c>
      <c r="E75" s="1">
        <v>149</v>
      </c>
      <c r="F75" s="1">
        <v>118</v>
      </c>
      <c r="G75" s="7">
        <v>0.6</v>
      </c>
      <c r="H75" s="1">
        <v>60</v>
      </c>
      <c r="I75" s="1" t="s">
        <v>32</v>
      </c>
      <c r="J75" s="1"/>
      <c r="K75" s="1">
        <v>177</v>
      </c>
      <c r="L75" s="1">
        <f t="shared" si="15"/>
        <v>-28</v>
      </c>
      <c r="M75" s="1"/>
      <c r="N75" s="1"/>
      <c r="O75" s="1">
        <v>0</v>
      </c>
      <c r="P75" s="1"/>
      <c r="Q75" s="1">
        <v>0</v>
      </c>
      <c r="R75" s="1">
        <f t="shared" si="16"/>
        <v>29.8</v>
      </c>
      <c r="S75" s="5">
        <f>11*R75-Q75-P75-O75-F75</f>
        <v>209.8</v>
      </c>
      <c r="T75" s="5">
        <f t="shared" si="21"/>
        <v>209.8</v>
      </c>
      <c r="U75" s="17"/>
      <c r="V75" s="17"/>
      <c r="W75" s="1">
        <f t="shared" si="19"/>
        <v>11</v>
      </c>
      <c r="X75" s="1">
        <f t="shared" si="18"/>
        <v>3.9597315436241609</v>
      </c>
      <c r="Y75" s="1">
        <v>6</v>
      </c>
      <c r="Z75" s="1">
        <v>3.6</v>
      </c>
      <c r="AA75" s="1">
        <v>9.4</v>
      </c>
      <c r="AB75" s="1">
        <v>10.6</v>
      </c>
      <c r="AC75" s="1"/>
      <c r="AD75" s="1">
        <f t="shared" si="20"/>
        <v>126</v>
      </c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</row>
    <row r="76" spans="1:52" x14ac:dyDescent="0.25">
      <c r="A76" s="1" t="s">
        <v>110</v>
      </c>
      <c r="B76" s="1" t="s">
        <v>37</v>
      </c>
      <c r="C76" s="1">
        <v>123</v>
      </c>
      <c r="D76" s="1">
        <v>30</v>
      </c>
      <c r="E76" s="1">
        <v>42</v>
      </c>
      <c r="F76" s="1">
        <v>90</v>
      </c>
      <c r="G76" s="7">
        <v>0.4</v>
      </c>
      <c r="H76" s="1">
        <v>90</v>
      </c>
      <c r="I76" s="1" t="s">
        <v>32</v>
      </c>
      <c r="J76" s="1"/>
      <c r="K76" s="1">
        <v>48</v>
      </c>
      <c r="L76" s="1">
        <f t="shared" si="15"/>
        <v>-6</v>
      </c>
      <c r="M76" s="1"/>
      <c r="N76" s="1"/>
      <c r="O76" s="1">
        <v>0</v>
      </c>
      <c r="P76" s="1"/>
      <c r="Q76" s="1">
        <v>0</v>
      </c>
      <c r="R76" s="1">
        <f t="shared" si="16"/>
        <v>8.4</v>
      </c>
      <c r="S76" s="5">
        <f t="shared" si="22"/>
        <v>10.800000000000011</v>
      </c>
      <c r="T76" s="5">
        <f t="shared" si="21"/>
        <v>10.800000000000011</v>
      </c>
      <c r="U76" s="17"/>
      <c r="V76" s="17"/>
      <c r="W76" s="1">
        <f t="shared" si="19"/>
        <v>12</v>
      </c>
      <c r="X76" s="1">
        <f t="shared" si="18"/>
        <v>10.714285714285714</v>
      </c>
      <c r="Y76" s="1">
        <v>9.6</v>
      </c>
      <c r="Z76" s="1">
        <v>6.2</v>
      </c>
      <c r="AA76" s="1">
        <v>1.8</v>
      </c>
      <c r="AB76" s="1">
        <v>5.4</v>
      </c>
      <c r="AC76" s="1"/>
      <c r="AD76" s="1">
        <f t="shared" si="20"/>
        <v>4</v>
      </c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</row>
    <row r="77" spans="1:52" x14ac:dyDescent="0.25">
      <c r="A77" s="1" t="s">
        <v>111</v>
      </c>
      <c r="B77" s="1" t="s">
        <v>37</v>
      </c>
      <c r="C77" s="1">
        <v>143</v>
      </c>
      <c r="D77" s="1">
        <v>57</v>
      </c>
      <c r="E77" s="1">
        <v>47</v>
      </c>
      <c r="F77" s="1">
        <v>135</v>
      </c>
      <c r="G77" s="7">
        <v>0.33</v>
      </c>
      <c r="H77" s="1">
        <v>60</v>
      </c>
      <c r="I77" s="9" t="s">
        <v>35</v>
      </c>
      <c r="J77" s="1"/>
      <c r="K77" s="1">
        <v>64</v>
      </c>
      <c r="L77" s="1">
        <f t="shared" si="15"/>
        <v>-17</v>
      </c>
      <c r="M77" s="1"/>
      <c r="N77" s="1"/>
      <c r="O77" s="1">
        <v>0</v>
      </c>
      <c r="P77" s="1"/>
      <c r="Q77" s="1">
        <v>0</v>
      </c>
      <c r="R77" s="1">
        <f t="shared" si="16"/>
        <v>9.4</v>
      </c>
      <c r="S77" s="5"/>
      <c r="T77" s="5">
        <f t="shared" si="21"/>
        <v>0</v>
      </c>
      <c r="U77" s="17"/>
      <c r="V77" s="17"/>
      <c r="W77" s="1">
        <f t="shared" si="19"/>
        <v>14.361702127659575</v>
      </c>
      <c r="X77" s="1">
        <f t="shared" si="18"/>
        <v>14.361702127659575</v>
      </c>
      <c r="Y77" s="1">
        <v>13.2</v>
      </c>
      <c r="Z77" s="1">
        <v>10</v>
      </c>
      <c r="AA77" s="1">
        <v>9.4</v>
      </c>
      <c r="AB77" s="1">
        <v>7.2</v>
      </c>
      <c r="AC77" s="1"/>
      <c r="AD77" s="1">
        <f t="shared" si="20"/>
        <v>0</v>
      </c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</row>
    <row r="78" spans="1:52" x14ac:dyDescent="0.25">
      <c r="A78" s="1" t="s">
        <v>112</v>
      </c>
      <c r="B78" s="1" t="s">
        <v>37</v>
      </c>
      <c r="C78" s="1">
        <v>180</v>
      </c>
      <c r="D78" s="1">
        <v>46</v>
      </c>
      <c r="E78" s="1">
        <v>67</v>
      </c>
      <c r="F78" s="1">
        <v>144</v>
      </c>
      <c r="G78" s="7">
        <v>0.35</v>
      </c>
      <c r="H78" s="1">
        <v>90</v>
      </c>
      <c r="I78" s="1" t="s">
        <v>32</v>
      </c>
      <c r="J78" s="1"/>
      <c r="K78" s="1">
        <v>73</v>
      </c>
      <c r="L78" s="1">
        <f t="shared" si="15"/>
        <v>-6</v>
      </c>
      <c r="M78" s="1"/>
      <c r="N78" s="1"/>
      <c r="O78" s="1">
        <v>0</v>
      </c>
      <c r="P78" s="1"/>
      <c r="Q78" s="1">
        <v>0</v>
      </c>
      <c r="R78" s="1">
        <f t="shared" si="16"/>
        <v>13.4</v>
      </c>
      <c r="S78" s="5">
        <f t="shared" si="22"/>
        <v>16.800000000000011</v>
      </c>
      <c r="T78" s="5">
        <f t="shared" si="21"/>
        <v>16.800000000000011</v>
      </c>
      <c r="U78" s="17"/>
      <c r="V78" s="17"/>
      <c r="W78" s="1">
        <f t="shared" si="19"/>
        <v>12</v>
      </c>
      <c r="X78" s="1">
        <f t="shared" si="18"/>
        <v>10.746268656716417</v>
      </c>
      <c r="Y78" s="1">
        <v>13</v>
      </c>
      <c r="Z78" s="1">
        <v>9.1999999999999993</v>
      </c>
      <c r="AA78" s="1">
        <v>2</v>
      </c>
      <c r="AB78" s="1">
        <v>5.8</v>
      </c>
      <c r="AC78" s="1"/>
      <c r="AD78" s="1">
        <f t="shared" si="20"/>
        <v>6</v>
      </c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</row>
    <row r="79" spans="1:52" x14ac:dyDescent="0.25">
      <c r="A79" s="1" t="s">
        <v>113</v>
      </c>
      <c r="B79" s="1" t="s">
        <v>37</v>
      </c>
      <c r="C79" s="1">
        <v>29</v>
      </c>
      <c r="D79" s="1"/>
      <c r="E79" s="1">
        <v>8</v>
      </c>
      <c r="F79" s="1">
        <v>21</v>
      </c>
      <c r="G79" s="7">
        <v>0.37</v>
      </c>
      <c r="H79" s="1"/>
      <c r="I79" s="1" t="s">
        <v>32</v>
      </c>
      <c r="J79" s="1"/>
      <c r="K79" s="1">
        <v>10</v>
      </c>
      <c r="L79" s="1">
        <f t="shared" si="15"/>
        <v>-2</v>
      </c>
      <c r="M79" s="1"/>
      <c r="N79" s="1"/>
      <c r="O79" s="1">
        <v>0</v>
      </c>
      <c r="P79" s="1"/>
      <c r="Q79" s="1">
        <v>0</v>
      </c>
      <c r="R79" s="1">
        <f t="shared" si="16"/>
        <v>1.6</v>
      </c>
      <c r="S79" s="5"/>
      <c r="T79" s="5">
        <f t="shared" si="21"/>
        <v>0</v>
      </c>
      <c r="U79" s="17"/>
      <c r="V79" s="17"/>
      <c r="W79" s="1">
        <f t="shared" si="19"/>
        <v>13.125</v>
      </c>
      <c r="X79" s="1">
        <f t="shared" si="18"/>
        <v>13.125</v>
      </c>
      <c r="Y79" s="1">
        <v>0.4</v>
      </c>
      <c r="Z79" s="1">
        <v>0.2</v>
      </c>
      <c r="AA79" s="1">
        <v>0.4</v>
      </c>
      <c r="AB79" s="1">
        <v>0</v>
      </c>
      <c r="AC79" s="1"/>
      <c r="AD79" s="1">
        <f t="shared" si="20"/>
        <v>0</v>
      </c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</row>
    <row r="80" spans="1:52" x14ac:dyDescent="0.25">
      <c r="A80" s="1" t="s">
        <v>114</v>
      </c>
      <c r="B80" s="1" t="s">
        <v>37</v>
      </c>
      <c r="C80" s="1">
        <v>94.2</v>
      </c>
      <c r="D80" s="1">
        <v>163</v>
      </c>
      <c r="E80" s="1">
        <v>9</v>
      </c>
      <c r="F80" s="1">
        <v>236.2</v>
      </c>
      <c r="G80" s="7">
        <v>0.6</v>
      </c>
      <c r="H80" s="1">
        <v>70</v>
      </c>
      <c r="I80" s="1" t="s">
        <v>32</v>
      </c>
      <c r="J80" s="1"/>
      <c r="K80" s="1">
        <v>114</v>
      </c>
      <c r="L80" s="1">
        <f t="shared" si="15"/>
        <v>-105</v>
      </c>
      <c r="M80" s="1"/>
      <c r="N80" s="1"/>
      <c r="O80" s="1">
        <v>0</v>
      </c>
      <c r="P80" s="1"/>
      <c r="Q80" s="1">
        <v>0</v>
      </c>
      <c r="R80" s="1">
        <f t="shared" si="16"/>
        <v>1.8</v>
      </c>
      <c r="S80" s="5"/>
      <c r="T80" s="5">
        <f t="shared" si="21"/>
        <v>0</v>
      </c>
      <c r="U80" s="17"/>
      <c r="V80" s="17"/>
      <c r="W80" s="1">
        <f t="shared" si="19"/>
        <v>131.2222222222222</v>
      </c>
      <c r="X80" s="1">
        <f t="shared" si="18"/>
        <v>131.2222222222222</v>
      </c>
      <c r="Y80" s="1">
        <v>1.2</v>
      </c>
      <c r="Z80" s="1">
        <v>4.2</v>
      </c>
      <c r="AA80" s="1">
        <v>7</v>
      </c>
      <c r="AB80" s="1">
        <v>7.6</v>
      </c>
      <c r="AC80" s="15" t="s">
        <v>53</v>
      </c>
      <c r="AD80" s="1">
        <f t="shared" si="20"/>
        <v>0</v>
      </c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</row>
    <row r="81" spans="1:52" x14ac:dyDescent="0.25">
      <c r="A81" s="1" t="s">
        <v>115</v>
      </c>
      <c r="B81" s="1" t="s">
        <v>37</v>
      </c>
      <c r="C81" s="1">
        <v>12</v>
      </c>
      <c r="D81" s="1">
        <v>24</v>
      </c>
      <c r="E81" s="1">
        <v>42</v>
      </c>
      <c r="F81" s="1">
        <v>-6</v>
      </c>
      <c r="G81" s="7">
        <v>0.33</v>
      </c>
      <c r="H81" s="1">
        <v>40</v>
      </c>
      <c r="I81" s="1" t="s">
        <v>32</v>
      </c>
      <c r="J81" s="1"/>
      <c r="K81" s="1">
        <v>69</v>
      </c>
      <c r="L81" s="1">
        <f t="shared" si="15"/>
        <v>-27</v>
      </c>
      <c r="M81" s="1"/>
      <c r="N81" s="1"/>
      <c r="O81" s="1">
        <v>0</v>
      </c>
      <c r="P81" s="1">
        <v>10.981659388646291</v>
      </c>
      <c r="Q81" s="1">
        <v>71.418340611353699</v>
      </c>
      <c r="R81" s="1">
        <f t="shared" si="16"/>
        <v>8.4</v>
      </c>
      <c r="S81" s="5">
        <f t="shared" si="22"/>
        <v>24.40000000000002</v>
      </c>
      <c r="T81" s="5">
        <f t="shared" si="21"/>
        <v>24.40000000000002</v>
      </c>
      <c r="U81" s="17"/>
      <c r="V81" s="17"/>
      <c r="W81" s="1">
        <f t="shared" si="19"/>
        <v>12</v>
      </c>
      <c r="X81" s="1">
        <f t="shared" si="18"/>
        <v>9.0952380952380931</v>
      </c>
      <c r="Y81" s="1">
        <v>9.6</v>
      </c>
      <c r="Z81" s="1">
        <v>3.6</v>
      </c>
      <c r="AA81" s="1">
        <v>0</v>
      </c>
      <c r="AB81" s="1">
        <v>-0.6</v>
      </c>
      <c r="AC81" s="1"/>
      <c r="AD81" s="1">
        <f t="shared" si="20"/>
        <v>8</v>
      </c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</row>
    <row r="82" spans="1:52" x14ac:dyDescent="0.25">
      <c r="A82" s="16" t="s">
        <v>116</v>
      </c>
      <c r="B82" s="1" t="s">
        <v>37</v>
      </c>
      <c r="C82" s="1">
        <v>43</v>
      </c>
      <c r="D82" s="1"/>
      <c r="E82" s="1">
        <v>4</v>
      </c>
      <c r="F82" s="1">
        <v>37</v>
      </c>
      <c r="G82" s="7">
        <v>0.4</v>
      </c>
      <c r="H82" s="1">
        <v>55</v>
      </c>
      <c r="I82" s="9" t="s">
        <v>35</v>
      </c>
      <c r="J82" s="1"/>
      <c r="K82" s="1">
        <v>4</v>
      </c>
      <c r="L82" s="1">
        <f t="shared" si="15"/>
        <v>0</v>
      </c>
      <c r="M82" s="1"/>
      <c r="N82" s="1"/>
      <c r="O82" s="1">
        <v>0</v>
      </c>
      <c r="P82" s="1"/>
      <c r="Q82" s="1">
        <v>0</v>
      </c>
      <c r="R82" s="1">
        <f t="shared" si="16"/>
        <v>0.8</v>
      </c>
      <c r="S82" s="5"/>
      <c r="T82" s="5">
        <f t="shared" si="21"/>
        <v>0</v>
      </c>
      <c r="U82" s="17"/>
      <c r="V82" s="17"/>
      <c r="W82" s="1">
        <f t="shared" si="19"/>
        <v>46.25</v>
      </c>
      <c r="X82" s="1">
        <f t="shared" si="18"/>
        <v>46.25</v>
      </c>
      <c r="Y82" s="1">
        <v>0.2</v>
      </c>
      <c r="Z82" s="1">
        <v>2</v>
      </c>
      <c r="AA82" s="1">
        <v>2.2000000000000002</v>
      </c>
      <c r="AB82" s="1">
        <v>0.6</v>
      </c>
      <c r="AC82" s="15" t="s">
        <v>53</v>
      </c>
      <c r="AD82" s="1">
        <f t="shared" si="20"/>
        <v>0</v>
      </c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</row>
    <row r="83" spans="1:52" x14ac:dyDescent="0.25">
      <c r="A83" s="16" t="s">
        <v>117</v>
      </c>
      <c r="B83" s="1" t="s">
        <v>37</v>
      </c>
      <c r="C83" s="1">
        <v>33</v>
      </c>
      <c r="D83" s="1"/>
      <c r="E83" s="1">
        <v>14</v>
      </c>
      <c r="F83" s="1">
        <v>13</v>
      </c>
      <c r="G83" s="7">
        <v>0.35</v>
      </c>
      <c r="H83" s="1">
        <v>40</v>
      </c>
      <c r="I83" s="9" t="s">
        <v>35</v>
      </c>
      <c r="J83" s="1"/>
      <c r="K83" s="1">
        <v>17</v>
      </c>
      <c r="L83" s="1">
        <f t="shared" si="15"/>
        <v>-3</v>
      </c>
      <c r="M83" s="1"/>
      <c r="N83" s="1"/>
      <c r="O83" s="1">
        <v>0</v>
      </c>
      <c r="P83" s="1"/>
      <c r="Q83" s="1">
        <v>0</v>
      </c>
      <c r="R83" s="1">
        <f t="shared" si="16"/>
        <v>2.8</v>
      </c>
      <c r="S83" s="5">
        <f t="shared" si="22"/>
        <v>20.599999999999994</v>
      </c>
      <c r="T83" s="5">
        <f t="shared" si="21"/>
        <v>20.599999999999994</v>
      </c>
      <c r="U83" s="17"/>
      <c r="V83" s="17"/>
      <c r="W83" s="1">
        <f t="shared" si="19"/>
        <v>11.999999999999998</v>
      </c>
      <c r="X83" s="1">
        <f t="shared" si="18"/>
        <v>4.6428571428571432</v>
      </c>
      <c r="Y83" s="1">
        <v>0.4</v>
      </c>
      <c r="Z83" s="1">
        <v>0.2</v>
      </c>
      <c r="AA83" s="1">
        <v>0.4</v>
      </c>
      <c r="AB83" s="1">
        <v>0.4</v>
      </c>
      <c r="AC83" s="1"/>
      <c r="AD83" s="1">
        <f t="shared" si="20"/>
        <v>7</v>
      </c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</row>
    <row r="84" spans="1:52" x14ac:dyDescent="0.25">
      <c r="A84" s="16" t="s">
        <v>118</v>
      </c>
      <c r="B84" s="1" t="s">
        <v>37</v>
      </c>
      <c r="C84" s="1">
        <v>7</v>
      </c>
      <c r="D84" s="1">
        <v>18</v>
      </c>
      <c r="E84" s="1">
        <v>13</v>
      </c>
      <c r="F84" s="1">
        <v>4</v>
      </c>
      <c r="G84" s="7">
        <v>0.35</v>
      </c>
      <c r="H84" s="1">
        <v>45</v>
      </c>
      <c r="I84" s="9" t="s">
        <v>35</v>
      </c>
      <c r="J84" s="1"/>
      <c r="K84" s="1">
        <v>18</v>
      </c>
      <c r="L84" s="1">
        <f t="shared" si="15"/>
        <v>-5</v>
      </c>
      <c r="M84" s="1"/>
      <c r="N84" s="1"/>
      <c r="O84" s="1">
        <v>0</v>
      </c>
      <c r="P84" s="1"/>
      <c r="Q84" s="1">
        <v>0</v>
      </c>
      <c r="R84" s="1">
        <f t="shared" si="16"/>
        <v>2.6</v>
      </c>
      <c r="S84" s="5">
        <f>9*R84-Q84-P84-O84-F84</f>
        <v>19.400000000000002</v>
      </c>
      <c r="T84" s="5">
        <f t="shared" si="21"/>
        <v>19.400000000000002</v>
      </c>
      <c r="U84" s="17"/>
      <c r="V84" s="17"/>
      <c r="W84" s="1">
        <f t="shared" si="19"/>
        <v>9</v>
      </c>
      <c r="X84" s="1">
        <f t="shared" si="18"/>
        <v>1.5384615384615383</v>
      </c>
      <c r="Y84" s="1">
        <v>2.8</v>
      </c>
      <c r="Z84" s="1">
        <v>2.2000000000000002</v>
      </c>
      <c r="AA84" s="1">
        <v>0</v>
      </c>
      <c r="AB84" s="1">
        <v>-0.4</v>
      </c>
      <c r="AC84" s="1"/>
      <c r="AD84" s="1">
        <f t="shared" si="20"/>
        <v>7</v>
      </c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</row>
    <row r="85" spans="1:52" x14ac:dyDescent="0.25">
      <c r="A85" s="10" t="s">
        <v>119</v>
      </c>
      <c r="B85" s="10" t="s">
        <v>37</v>
      </c>
      <c r="C85" s="10"/>
      <c r="D85" s="10"/>
      <c r="E85" s="10"/>
      <c r="F85" s="10"/>
      <c r="G85" s="11">
        <v>0</v>
      </c>
      <c r="H85" s="10"/>
      <c r="I85" s="10" t="s">
        <v>32</v>
      </c>
      <c r="J85" s="10"/>
      <c r="K85" s="10"/>
      <c r="L85" s="10">
        <f t="shared" si="15"/>
        <v>0</v>
      </c>
      <c r="M85" s="10"/>
      <c r="N85" s="10"/>
      <c r="O85" s="10">
        <v>0</v>
      </c>
      <c r="P85" s="10"/>
      <c r="Q85" s="10">
        <v>0</v>
      </c>
      <c r="R85" s="10">
        <f t="shared" si="16"/>
        <v>0</v>
      </c>
      <c r="S85" s="12"/>
      <c r="T85" s="5">
        <f t="shared" si="21"/>
        <v>0</v>
      </c>
      <c r="U85" s="17"/>
      <c r="V85" s="17"/>
      <c r="W85" s="1" t="e">
        <f t="shared" si="19"/>
        <v>#DIV/0!</v>
      </c>
      <c r="X85" s="10" t="e">
        <f t="shared" si="18"/>
        <v>#DIV/0!</v>
      </c>
      <c r="Y85" s="10">
        <v>0</v>
      </c>
      <c r="Z85" s="10">
        <v>0</v>
      </c>
      <c r="AA85" s="10">
        <v>0</v>
      </c>
      <c r="AB85" s="10">
        <v>0</v>
      </c>
      <c r="AC85" s="10" t="s">
        <v>38</v>
      </c>
      <c r="AD85" s="1">
        <f t="shared" si="20"/>
        <v>0</v>
      </c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</row>
    <row r="86" spans="1:52" x14ac:dyDescent="0.25">
      <c r="A86" s="10" t="s">
        <v>120</v>
      </c>
      <c r="B86" s="10" t="s">
        <v>31</v>
      </c>
      <c r="C86" s="10"/>
      <c r="D86" s="10"/>
      <c r="E86" s="10"/>
      <c r="F86" s="10"/>
      <c r="G86" s="11">
        <v>0</v>
      </c>
      <c r="H86" s="10"/>
      <c r="I86" s="10" t="s">
        <v>32</v>
      </c>
      <c r="J86" s="10"/>
      <c r="K86" s="10"/>
      <c r="L86" s="10">
        <f t="shared" si="15"/>
        <v>0</v>
      </c>
      <c r="M86" s="10"/>
      <c r="N86" s="10"/>
      <c r="O86" s="10">
        <v>0</v>
      </c>
      <c r="P86" s="10"/>
      <c r="Q86" s="10">
        <v>0</v>
      </c>
      <c r="R86" s="10">
        <f t="shared" si="16"/>
        <v>0</v>
      </c>
      <c r="S86" s="12"/>
      <c r="T86" s="5">
        <f t="shared" si="21"/>
        <v>0</v>
      </c>
      <c r="U86" s="17"/>
      <c r="V86" s="17"/>
      <c r="W86" s="1" t="e">
        <f t="shared" si="19"/>
        <v>#DIV/0!</v>
      </c>
      <c r="X86" s="10" t="e">
        <f t="shared" si="18"/>
        <v>#DIV/0!</v>
      </c>
      <c r="Y86" s="10">
        <v>0</v>
      </c>
      <c r="Z86" s="10">
        <v>0</v>
      </c>
      <c r="AA86" s="10">
        <v>0</v>
      </c>
      <c r="AB86" s="10">
        <v>0</v>
      </c>
      <c r="AC86" s="10" t="s">
        <v>38</v>
      </c>
      <c r="AD86" s="1">
        <f t="shared" si="20"/>
        <v>0</v>
      </c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</row>
    <row r="87" spans="1:52" x14ac:dyDescent="0.25">
      <c r="A87" s="10" t="s">
        <v>121</v>
      </c>
      <c r="B87" s="10" t="s">
        <v>31</v>
      </c>
      <c r="C87" s="10"/>
      <c r="D87" s="10"/>
      <c r="E87" s="10"/>
      <c r="F87" s="10"/>
      <c r="G87" s="11">
        <v>0</v>
      </c>
      <c r="H87" s="10"/>
      <c r="I87" s="10" t="s">
        <v>32</v>
      </c>
      <c r="J87" s="10"/>
      <c r="K87" s="10"/>
      <c r="L87" s="10">
        <f t="shared" si="15"/>
        <v>0</v>
      </c>
      <c r="M87" s="10"/>
      <c r="N87" s="10"/>
      <c r="O87" s="10">
        <v>0</v>
      </c>
      <c r="P87" s="10"/>
      <c r="Q87" s="10">
        <v>0</v>
      </c>
      <c r="R87" s="10">
        <f t="shared" si="16"/>
        <v>0</v>
      </c>
      <c r="S87" s="12"/>
      <c r="T87" s="5">
        <f t="shared" si="21"/>
        <v>0</v>
      </c>
      <c r="U87" s="17"/>
      <c r="V87" s="17"/>
      <c r="W87" s="1" t="e">
        <f t="shared" si="19"/>
        <v>#DIV/0!</v>
      </c>
      <c r="X87" s="10" t="e">
        <f t="shared" si="18"/>
        <v>#DIV/0!</v>
      </c>
      <c r="Y87" s="10">
        <v>0</v>
      </c>
      <c r="Z87" s="10">
        <v>0</v>
      </c>
      <c r="AA87" s="10">
        <v>0</v>
      </c>
      <c r="AB87" s="10">
        <v>0</v>
      </c>
      <c r="AC87" s="10" t="s">
        <v>38</v>
      </c>
      <c r="AD87" s="1">
        <f t="shared" si="20"/>
        <v>0</v>
      </c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</row>
    <row r="88" spans="1:52" x14ac:dyDescent="0.25">
      <c r="A88" s="1" t="s">
        <v>122</v>
      </c>
      <c r="B88" s="1" t="s">
        <v>31</v>
      </c>
      <c r="C88" s="1">
        <v>0.121</v>
      </c>
      <c r="D88" s="1">
        <v>285.08999999999997</v>
      </c>
      <c r="E88" s="1">
        <v>104.777</v>
      </c>
      <c r="F88" s="1">
        <v>152.185</v>
      </c>
      <c r="G88" s="7">
        <v>1</v>
      </c>
      <c r="H88" s="1">
        <v>60</v>
      </c>
      <c r="I88" s="1" t="s">
        <v>32</v>
      </c>
      <c r="J88" s="1"/>
      <c r="K88" s="1">
        <v>144</v>
      </c>
      <c r="L88" s="1">
        <f t="shared" si="15"/>
        <v>-39.222999999999999</v>
      </c>
      <c r="M88" s="1"/>
      <c r="N88" s="1"/>
      <c r="O88" s="1">
        <v>0</v>
      </c>
      <c r="P88" s="1"/>
      <c r="Q88" s="1">
        <v>85</v>
      </c>
      <c r="R88" s="1">
        <f t="shared" si="16"/>
        <v>20.955400000000001</v>
      </c>
      <c r="S88" s="5">
        <f>12*R88-Q88-P88-O88-F88</f>
        <v>14.279800000000023</v>
      </c>
      <c r="T88" s="5">
        <f t="shared" si="21"/>
        <v>14.279800000000023</v>
      </c>
      <c r="U88" s="17"/>
      <c r="V88" s="17"/>
      <c r="W88" s="1">
        <f t="shared" si="19"/>
        <v>12</v>
      </c>
      <c r="X88" s="1">
        <f t="shared" si="18"/>
        <v>11.318562279889671</v>
      </c>
      <c r="Y88" s="1">
        <v>14.3246</v>
      </c>
      <c r="Z88" s="1">
        <v>2.42</v>
      </c>
      <c r="AA88" s="1">
        <v>12.898199999999999</v>
      </c>
      <c r="AB88" s="1">
        <v>19.516999999999999</v>
      </c>
      <c r="AC88" s="1"/>
      <c r="AD88" s="1">
        <f t="shared" si="20"/>
        <v>14</v>
      </c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</row>
    <row r="89" spans="1:52" x14ac:dyDescent="0.25">
      <c r="A89" s="10" t="s">
        <v>123</v>
      </c>
      <c r="B89" s="10" t="s">
        <v>37</v>
      </c>
      <c r="C89" s="10"/>
      <c r="D89" s="10"/>
      <c r="E89" s="10"/>
      <c r="F89" s="10"/>
      <c r="G89" s="11">
        <v>0</v>
      </c>
      <c r="H89" s="10"/>
      <c r="I89" s="10" t="s">
        <v>32</v>
      </c>
      <c r="J89" s="10"/>
      <c r="K89" s="10"/>
      <c r="L89" s="10">
        <f t="shared" si="15"/>
        <v>0</v>
      </c>
      <c r="M89" s="10"/>
      <c r="N89" s="10"/>
      <c r="O89" s="10">
        <v>0</v>
      </c>
      <c r="P89" s="10"/>
      <c r="Q89" s="10">
        <v>0</v>
      </c>
      <c r="R89" s="10">
        <f t="shared" si="16"/>
        <v>0</v>
      </c>
      <c r="S89" s="12"/>
      <c r="T89" s="5">
        <f t="shared" si="21"/>
        <v>0</v>
      </c>
      <c r="U89" s="17"/>
      <c r="V89" s="17"/>
      <c r="W89" s="1" t="e">
        <f t="shared" si="19"/>
        <v>#DIV/0!</v>
      </c>
      <c r="X89" s="10" t="e">
        <f t="shared" si="18"/>
        <v>#DIV/0!</v>
      </c>
      <c r="Y89" s="10">
        <v>0</v>
      </c>
      <c r="Z89" s="10">
        <v>0</v>
      </c>
      <c r="AA89" s="10">
        <v>0</v>
      </c>
      <c r="AB89" s="10">
        <v>0</v>
      </c>
      <c r="AC89" s="10" t="s">
        <v>38</v>
      </c>
      <c r="AD89" s="1">
        <f t="shared" si="20"/>
        <v>0</v>
      </c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</row>
    <row r="90" spans="1:52" x14ac:dyDescent="0.25">
      <c r="A90" s="1" t="s">
        <v>124</v>
      </c>
      <c r="B90" s="1" t="s">
        <v>31</v>
      </c>
      <c r="C90" s="1">
        <v>1165.7339999999999</v>
      </c>
      <c r="D90" s="1">
        <v>204.613</v>
      </c>
      <c r="E90" s="1">
        <v>411.45600000000002</v>
      </c>
      <c r="F90" s="1">
        <v>903.63199999999995</v>
      </c>
      <c r="G90" s="7">
        <v>1</v>
      </c>
      <c r="H90" s="1">
        <v>60</v>
      </c>
      <c r="I90" s="1" t="s">
        <v>32</v>
      </c>
      <c r="J90" s="1"/>
      <c r="K90" s="1">
        <v>469.5</v>
      </c>
      <c r="L90" s="1">
        <f t="shared" si="15"/>
        <v>-58.043999999999983</v>
      </c>
      <c r="M90" s="1"/>
      <c r="N90" s="1"/>
      <c r="O90" s="1">
        <v>0</v>
      </c>
      <c r="P90" s="1">
        <v>27.225830600724521</v>
      </c>
      <c r="Q90" s="1">
        <v>0</v>
      </c>
      <c r="R90" s="1">
        <f t="shared" si="16"/>
        <v>82.291200000000003</v>
      </c>
      <c r="S90" s="5">
        <f t="shared" ref="S90:S92" si="23">12*R90-Q90-P90-O90-F90</f>
        <v>56.636569399275572</v>
      </c>
      <c r="T90" s="5">
        <f t="shared" si="21"/>
        <v>56.636569399275572</v>
      </c>
      <c r="U90" s="17"/>
      <c r="V90" s="17"/>
      <c r="W90" s="1">
        <f t="shared" si="19"/>
        <v>12</v>
      </c>
      <c r="X90" s="1">
        <f t="shared" si="18"/>
        <v>11.311754241045511</v>
      </c>
      <c r="Y90" s="1">
        <v>76.831199999999995</v>
      </c>
      <c r="Z90" s="1">
        <v>111.5638</v>
      </c>
      <c r="AA90" s="1">
        <v>119.0112</v>
      </c>
      <c r="AB90" s="1">
        <v>67.967799999999997</v>
      </c>
      <c r="AC90" s="1"/>
      <c r="AD90" s="1">
        <f t="shared" si="20"/>
        <v>57</v>
      </c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</row>
    <row r="91" spans="1:52" x14ac:dyDescent="0.25">
      <c r="A91" s="1" t="s">
        <v>125</v>
      </c>
      <c r="B91" s="1" t="s">
        <v>31</v>
      </c>
      <c r="C91" s="1">
        <v>401.85599999999999</v>
      </c>
      <c r="D91" s="1">
        <v>354.05900000000003</v>
      </c>
      <c r="E91" s="1">
        <v>402.64699999999999</v>
      </c>
      <c r="F91" s="1">
        <v>318.48399999999998</v>
      </c>
      <c r="G91" s="7">
        <v>1</v>
      </c>
      <c r="H91" s="1">
        <v>60</v>
      </c>
      <c r="I91" s="1" t="s">
        <v>32</v>
      </c>
      <c r="J91" s="1"/>
      <c r="K91" s="1">
        <v>437</v>
      </c>
      <c r="L91" s="1">
        <f t="shared" si="15"/>
        <v>-34.353000000000009</v>
      </c>
      <c r="M91" s="1"/>
      <c r="N91" s="1"/>
      <c r="O91" s="1">
        <v>0</v>
      </c>
      <c r="P91" s="1">
        <v>479.92177665822271</v>
      </c>
      <c r="Q91" s="1">
        <v>0</v>
      </c>
      <c r="R91" s="1">
        <f t="shared" si="16"/>
        <v>80.529399999999995</v>
      </c>
      <c r="S91" s="5">
        <f t="shared" si="23"/>
        <v>167.9470233417772</v>
      </c>
      <c r="T91" s="5">
        <f t="shared" si="21"/>
        <v>167.9470233417772</v>
      </c>
      <c r="U91" s="17"/>
      <c r="V91" s="17"/>
      <c r="W91" s="1">
        <f t="shared" si="19"/>
        <v>12</v>
      </c>
      <c r="X91" s="1">
        <f t="shared" si="18"/>
        <v>9.9144632476862213</v>
      </c>
      <c r="Y91" s="1">
        <v>76.1738</v>
      </c>
      <c r="Z91" s="1">
        <v>98.932400000000001</v>
      </c>
      <c r="AA91" s="1">
        <v>67.966399999999993</v>
      </c>
      <c r="AB91" s="1">
        <v>26.086600000000001</v>
      </c>
      <c r="AC91" s="1"/>
      <c r="AD91" s="1">
        <f t="shared" si="20"/>
        <v>168</v>
      </c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</row>
    <row r="92" spans="1:52" x14ac:dyDescent="0.25">
      <c r="A92" s="1" t="s">
        <v>56</v>
      </c>
      <c r="B92" s="1" t="s">
        <v>31</v>
      </c>
      <c r="C92" s="1">
        <v>791.60900000000004</v>
      </c>
      <c r="D92" s="1">
        <v>519.55999999999995</v>
      </c>
      <c r="E92" s="1">
        <v>840.29</v>
      </c>
      <c r="F92" s="13">
        <f>309.098+F23</f>
        <v>286.74700000000001</v>
      </c>
      <c r="G92" s="7">
        <v>1</v>
      </c>
      <c r="H92" s="1">
        <v>60</v>
      </c>
      <c r="I92" s="1" t="s">
        <v>32</v>
      </c>
      <c r="J92" s="1"/>
      <c r="K92" s="1">
        <v>907</v>
      </c>
      <c r="L92" s="1">
        <f t="shared" si="15"/>
        <v>-66.710000000000036</v>
      </c>
      <c r="M92" s="1"/>
      <c r="N92" s="1"/>
      <c r="O92" s="1">
        <v>251.10125231080929</v>
      </c>
      <c r="P92" s="1">
        <v>234.9879999999996</v>
      </c>
      <c r="Q92" s="1">
        <v>588.9493476891912</v>
      </c>
      <c r="R92" s="1">
        <f t="shared" si="16"/>
        <v>168.05799999999999</v>
      </c>
      <c r="S92" s="5">
        <f t="shared" si="23"/>
        <v>654.91039999999975</v>
      </c>
      <c r="T92" s="5">
        <f t="shared" si="21"/>
        <v>654.91039999999975</v>
      </c>
      <c r="U92" s="17"/>
      <c r="V92" s="17"/>
      <c r="W92" s="1">
        <f t="shared" si="19"/>
        <v>12</v>
      </c>
      <c r="X92" s="1">
        <f t="shared" si="18"/>
        <v>8.1030691784979005</v>
      </c>
      <c r="Y92" s="1">
        <v>164.81059999999999</v>
      </c>
      <c r="Z92" s="1">
        <v>136.1634</v>
      </c>
      <c r="AA92" s="1">
        <v>154.62280000000001</v>
      </c>
      <c r="AB92" s="1">
        <v>109.41240000000001</v>
      </c>
      <c r="AC92" s="1"/>
      <c r="AD92" s="1">
        <f t="shared" si="20"/>
        <v>655</v>
      </c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</row>
    <row r="93" spans="1:52" x14ac:dyDescent="0.25">
      <c r="A93" s="10" t="s">
        <v>126</v>
      </c>
      <c r="B93" s="10" t="s">
        <v>31</v>
      </c>
      <c r="C93" s="10"/>
      <c r="D93" s="10"/>
      <c r="E93" s="10"/>
      <c r="F93" s="10"/>
      <c r="G93" s="11">
        <v>0</v>
      </c>
      <c r="H93" s="10"/>
      <c r="I93" s="10" t="s">
        <v>35</v>
      </c>
      <c r="J93" s="10"/>
      <c r="K93" s="10"/>
      <c r="L93" s="10">
        <f t="shared" si="15"/>
        <v>0</v>
      </c>
      <c r="M93" s="10"/>
      <c r="N93" s="10"/>
      <c r="O93" s="10">
        <v>0</v>
      </c>
      <c r="P93" s="10"/>
      <c r="Q93" s="10">
        <v>0</v>
      </c>
      <c r="R93" s="10">
        <f t="shared" si="16"/>
        <v>0</v>
      </c>
      <c r="S93" s="12"/>
      <c r="T93" s="5">
        <f t="shared" si="21"/>
        <v>0</v>
      </c>
      <c r="U93" s="17"/>
      <c r="V93" s="17"/>
      <c r="W93" s="1" t="e">
        <f t="shared" si="19"/>
        <v>#DIV/0!</v>
      </c>
      <c r="X93" s="10" t="e">
        <f t="shared" si="18"/>
        <v>#DIV/0!</v>
      </c>
      <c r="Y93" s="10">
        <v>0</v>
      </c>
      <c r="Z93" s="10">
        <v>0</v>
      </c>
      <c r="AA93" s="10">
        <v>0</v>
      </c>
      <c r="AB93" s="10">
        <v>0</v>
      </c>
      <c r="AC93" s="10" t="s">
        <v>38</v>
      </c>
      <c r="AD93" s="1">
        <f t="shared" si="20"/>
        <v>0</v>
      </c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</row>
    <row r="94" spans="1:52" x14ac:dyDescent="0.25">
      <c r="A94" s="16" t="s">
        <v>127</v>
      </c>
      <c r="B94" s="1" t="s">
        <v>37</v>
      </c>
      <c r="C94" s="1"/>
      <c r="D94" s="1"/>
      <c r="E94" s="1"/>
      <c r="F94" s="1"/>
      <c r="G94" s="7">
        <v>0.3</v>
      </c>
      <c r="H94" s="1">
        <v>40</v>
      </c>
      <c r="I94" s="9" t="s">
        <v>35</v>
      </c>
      <c r="J94" s="1"/>
      <c r="K94" s="1"/>
      <c r="L94" s="1">
        <f t="shared" si="15"/>
        <v>0</v>
      </c>
      <c r="M94" s="1"/>
      <c r="N94" s="1"/>
      <c r="O94" s="1">
        <v>100</v>
      </c>
      <c r="P94" s="1"/>
      <c r="Q94" s="1">
        <v>50</v>
      </c>
      <c r="R94" s="1">
        <f t="shared" si="16"/>
        <v>0</v>
      </c>
      <c r="S94" s="5"/>
      <c r="T94" s="5">
        <f>U94</f>
        <v>50</v>
      </c>
      <c r="U94" s="17">
        <f>VLOOKUP(A94,[1]Sheet!$A:$U,20,0)</f>
        <v>50</v>
      </c>
      <c r="V94" s="17" t="str">
        <f>VLOOKUP(A94,[1]Sheet!$A:$U,21,0)</f>
        <v>Есть спрос</v>
      </c>
      <c r="W94" s="1" t="e">
        <f t="shared" si="19"/>
        <v>#DIV/0!</v>
      </c>
      <c r="X94" s="1" t="e">
        <f t="shared" si="18"/>
        <v>#DIV/0!</v>
      </c>
      <c r="Y94" s="1">
        <v>0</v>
      </c>
      <c r="Z94" s="1">
        <v>0</v>
      </c>
      <c r="AA94" s="1">
        <v>0</v>
      </c>
      <c r="AB94" s="1">
        <v>0</v>
      </c>
      <c r="AC94" s="1"/>
      <c r="AD94" s="1">
        <f t="shared" si="20"/>
        <v>15</v>
      </c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</row>
    <row r="95" spans="1:52" x14ac:dyDescent="0.25">
      <c r="A95" s="10" t="s">
        <v>128</v>
      </c>
      <c r="B95" s="10" t="s">
        <v>37</v>
      </c>
      <c r="C95" s="10"/>
      <c r="D95" s="10"/>
      <c r="E95" s="10"/>
      <c r="F95" s="10"/>
      <c r="G95" s="11">
        <v>0</v>
      </c>
      <c r="H95" s="10"/>
      <c r="I95" s="10" t="s">
        <v>35</v>
      </c>
      <c r="J95" s="10"/>
      <c r="K95" s="10"/>
      <c r="L95" s="10">
        <f t="shared" si="15"/>
        <v>0</v>
      </c>
      <c r="M95" s="10"/>
      <c r="N95" s="10"/>
      <c r="O95" s="10">
        <v>0</v>
      </c>
      <c r="P95" s="10"/>
      <c r="Q95" s="10">
        <v>0</v>
      </c>
      <c r="R95" s="10">
        <f t="shared" si="16"/>
        <v>0</v>
      </c>
      <c r="S95" s="12"/>
      <c r="T95" s="5">
        <f t="shared" si="21"/>
        <v>0</v>
      </c>
      <c r="U95" s="17"/>
      <c r="V95" s="17"/>
      <c r="W95" s="1" t="e">
        <f t="shared" si="19"/>
        <v>#DIV/0!</v>
      </c>
      <c r="X95" s="10" t="e">
        <f t="shared" si="18"/>
        <v>#DIV/0!</v>
      </c>
      <c r="Y95" s="10">
        <v>0</v>
      </c>
      <c r="Z95" s="10">
        <v>0</v>
      </c>
      <c r="AA95" s="10">
        <v>0</v>
      </c>
      <c r="AB95" s="10">
        <v>0</v>
      </c>
      <c r="AC95" s="10" t="s">
        <v>38</v>
      </c>
      <c r="AD95" s="1">
        <f t="shared" si="20"/>
        <v>0</v>
      </c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</row>
    <row r="96" spans="1:52" x14ac:dyDescent="0.25">
      <c r="A96" s="16" t="s">
        <v>129</v>
      </c>
      <c r="B96" s="1" t="s">
        <v>37</v>
      </c>
      <c r="C96" s="1">
        <v>8</v>
      </c>
      <c r="D96" s="1">
        <v>18</v>
      </c>
      <c r="E96" s="1">
        <v>26</v>
      </c>
      <c r="F96" s="1"/>
      <c r="G96" s="7">
        <v>7.0000000000000007E-2</v>
      </c>
      <c r="H96" s="1">
        <v>90</v>
      </c>
      <c r="I96" s="9" t="s">
        <v>35</v>
      </c>
      <c r="J96" s="1"/>
      <c r="K96" s="1">
        <v>31</v>
      </c>
      <c r="L96" s="1">
        <f t="shared" si="15"/>
        <v>-5</v>
      </c>
      <c r="M96" s="1"/>
      <c r="N96" s="1"/>
      <c r="O96" s="1">
        <v>50</v>
      </c>
      <c r="P96" s="1"/>
      <c r="Q96" s="1">
        <v>50</v>
      </c>
      <c r="R96" s="1">
        <f t="shared" si="16"/>
        <v>5.2</v>
      </c>
      <c r="S96" s="5"/>
      <c r="T96" s="5">
        <f t="shared" ref="T96:T97" si="24">U96</f>
        <v>50</v>
      </c>
      <c r="U96" s="17">
        <f>VLOOKUP(A96,[1]Sheet!$A:$U,20,0)</f>
        <v>50</v>
      </c>
      <c r="V96" s="17" t="str">
        <f>VLOOKUP(A96,[1]Sheet!$A:$U,21,0)</f>
        <v>Фокус от завода</v>
      </c>
      <c r="W96" s="1">
        <f t="shared" si="19"/>
        <v>28.846153846153847</v>
      </c>
      <c r="X96" s="1">
        <f t="shared" si="18"/>
        <v>19.23076923076923</v>
      </c>
      <c r="Y96" s="1">
        <v>6</v>
      </c>
      <c r="Z96" s="1">
        <v>2</v>
      </c>
      <c r="AA96" s="1">
        <v>0.6</v>
      </c>
      <c r="AB96" s="1">
        <v>0</v>
      </c>
      <c r="AC96" s="1"/>
      <c r="AD96" s="1">
        <f t="shared" si="20"/>
        <v>4</v>
      </c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</row>
    <row r="97" spans="1:52" x14ac:dyDescent="0.25">
      <c r="A97" s="16" t="s">
        <v>130</v>
      </c>
      <c r="B97" s="1" t="s">
        <v>37</v>
      </c>
      <c r="C97" s="1">
        <v>-3</v>
      </c>
      <c r="D97" s="1"/>
      <c r="E97" s="1"/>
      <c r="F97" s="1">
        <v>-3</v>
      </c>
      <c r="G97" s="7">
        <v>7.0000000000000007E-2</v>
      </c>
      <c r="H97" s="1">
        <v>90</v>
      </c>
      <c r="I97" s="9" t="s">
        <v>35</v>
      </c>
      <c r="J97" s="1"/>
      <c r="K97" s="1"/>
      <c r="L97" s="1">
        <f t="shared" si="15"/>
        <v>0</v>
      </c>
      <c r="M97" s="1"/>
      <c r="N97" s="1"/>
      <c r="O97" s="1">
        <v>40</v>
      </c>
      <c r="P97" s="1">
        <v>10</v>
      </c>
      <c r="Q97" s="1">
        <v>30</v>
      </c>
      <c r="R97" s="1">
        <f t="shared" si="16"/>
        <v>0</v>
      </c>
      <c r="S97" s="5"/>
      <c r="T97" s="5">
        <f t="shared" si="24"/>
        <v>50</v>
      </c>
      <c r="U97" s="17">
        <f>VLOOKUP(A97,[1]Sheet!$A:$U,20,0)</f>
        <v>50</v>
      </c>
      <c r="V97" s="17" t="str">
        <f>VLOOKUP(A97,[1]Sheet!$A:$U,21,0)</f>
        <v>Фокус от завода</v>
      </c>
      <c r="W97" s="1" t="e">
        <f t="shared" si="19"/>
        <v>#DIV/0!</v>
      </c>
      <c r="X97" s="1" t="e">
        <f t="shared" si="18"/>
        <v>#DIV/0!</v>
      </c>
      <c r="Y97" s="1">
        <v>0</v>
      </c>
      <c r="Z97" s="1">
        <v>0.6</v>
      </c>
      <c r="AA97" s="1">
        <v>0.6</v>
      </c>
      <c r="AB97" s="1">
        <v>0</v>
      </c>
      <c r="AC97" s="1"/>
      <c r="AD97" s="1">
        <f t="shared" si="20"/>
        <v>4</v>
      </c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</row>
    <row r="98" spans="1:52" x14ac:dyDescent="0.25">
      <c r="A98" s="1" t="s">
        <v>131</v>
      </c>
      <c r="B98" s="1" t="s">
        <v>37</v>
      </c>
      <c r="C98" s="1">
        <v>53</v>
      </c>
      <c r="D98" s="1">
        <v>19</v>
      </c>
      <c r="E98" s="1">
        <v>55</v>
      </c>
      <c r="F98" s="1">
        <v>12</v>
      </c>
      <c r="G98" s="7">
        <v>7.0000000000000007E-2</v>
      </c>
      <c r="H98" s="1">
        <v>90</v>
      </c>
      <c r="I98" s="1" t="s">
        <v>32</v>
      </c>
      <c r="J98" s="1"/>
      <c r="K98" s="1">
        <v>59</v>
      </c>
      <c r="L98" s="1">
        <f t="shared" si="15"/>
        <v>-4</v>
      </c>
      <c r="M98" s="1"/>
      <c r="N98" s="1"/>
      <c r="O98" s="1">
        <v>0</v>
      </c>
      <c r="P98" s="1">
        <v>10</v>
      </c>
      <c r="Q98" s="1">
        <v>50</v>
      </c>
      <c r="R98" s="1">
        <f t="shared" si="16"/>
        <v>11</v>
      </c>
      <c r="S98" s="5">
        <f t="shared" ref="S98:S99" si="25">12*R98-Q98-P98-O98-F98</f>
        <v>60</v>
      </c>
      <c r="T98" s="5">
        <f t="shared" si="21"/>
        <v>60</v>
      </c>
      <c r="U98" s="17"/>
      <c r="V98" s="17"/>
      <c r="W98" s="1">
        <f t="shared" si="19"/>
        <v>12</v>
      </c>
      <c r="X98" s="1">
        <f t="shared" si="18"/>
        <v>6.5454545454545459</v>
      </c>
      <c r="Y98" s="1">
        <v>5.6</v>
      </c>
      <c r="Z98" s="1">
        <v>3.8</v>
      </c>
      <c r="AA98" s="1">
        <v>2.6</v>
      </c>
      <c r="AB98" s="1">
        <v>0.8</v>
      </c>
      <c r="AC98" s="1"/>
      <c r="AD98" s="1">
        <f t="shared" si="20"/>
        <v>4</v>
      </c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</row>
    <row r="99" spans="1:52" x14ac:dyDescent="0.25">
      <c r="A99" s="1" t="s">
        <v>132</v>
      </c>
      <c r="B99" s="1" t="s">
        <v>37</v>
      </c>
      <c r="C99" s="1">
        <v>29</v>
      </c>
      <c r="D99" s="1">
        <v>13</v>
      </c>
      <c r="E99" s="1">
        <v>29</v>
      </c>
      <c r="F99" s="1">
        <v>13</v>
      </c>
      <c r="G99" s="7">
        <v>0.3</v>
      </c>
      <c r="H99" s="1"/>
      <c r="I99" s="1" t="s">
        <v>32</v>
      </c>
      <c r="J99" s="1"/>
      <c r="K99" s="1">
        <v>29</v>
      </c>
      <c r="L99" s="1">
        <f t="shared" si="15"/>
        <v>0</v>
      </c>
      <c r="M99" s="1"/>
      <c r="N99" s="1"/>
      <c r="O99" s="1">
        <v>20</v>
      </c>
      <c r="P99" s="1">
        <v>20</v>
      </c>
      <c r="Q99" s="1">
        <v>0</v>
      </c>
      <c r="R99" s="1">
        <f t="shared" si="16"/>
        <v>5.8</v>
      </c>
      <c r="S99" s="5">
        <f t="shared" si="25"/>
        <v>16.599999999999994</v>
      </c>
      <c r="T99" s="5">
        <f t="shared" si="21"/>
        <v>16.599999999999994</v>
      </c>
      <c r="U99" s="17"/>
      <c r="V99" s="17"/>
      <c r="W99" s="1">
        <f t="shared" si="19"/>
        <v>12</v>
      </c>
      <c r="X99" s="1">
        <f t="shared" si="18"/>
        <v>9.1379310344827598</v>
      </c>
      <c r="Y99" s="1">
        <v>4.8</v>
      </c>
      <c r="Z99" s="1">
        <v>6</v>
      </c>
      <c r="AA99" s="1">
        <v>4</v>
      </c>
      <c r="AB99" s="1">
        <v>0</v>
      </c>
      <c r="AC99" s="1"/>
      <c r="AD99" s="1">
        <f t="shared" si="20"/>
        <v>5</v>
      </c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</row>
    <row r="100" spans="1:52" x14ac:dyDescent="0.25">
      <c r="A100" s="1" t="s">
        <v>133</v>
      </c>
      <c r="B100" s="1" t="s">
        <v>31</v>
      </c>
      <c r="C100" s="1">
        <v>8.75</v>
      </c>
      <c r="D100" s="1">
        <v>1.0109999999999999</v>
      </c>
      <c r="E100" s="1">
        <v>7.3879999999999999</v>
      </c>
      <c r="F100" s="13">
        <f>-1.675+F126</f>
        <v>15.306999999999999</v>
      </c>
      <c r="G100" s="7">
        <v>0</v>
      </c>
      <c r="H100" s="1">
        <v>55</v>
      </c>
      <c r="I100" s="1" t="s">
        <v>168</v>
      </c>
      <c r="J100" s="1"/>
      <c r="K100" s="1">
        <v>10.4</v>
      </c>
      <c r="L100" s="1">
        <f t="shared" si="15"/>
        <v>-3.0120000000000005</v>
      </c>
      <c r="M100" s="1"/>
      <c r="N100" s="1"/>
      <c r="O100" s="1">
        <v>0</v>
      </c>
      <c r="P100" s="1">
        <v>20.95419999999999</v>
      </c>
      <c r="Q100" s="1">
        <v>0</v>
      </c>
      <c r="R100" s="1">
        <f t="shared" si="16"/>
        <v>1.4776</v>
      </c>
      <c r="S100" s="5"/>
      <c r="T100" s="5">
        <f t="shared" si="21"/>
        <v>0</v>
      </c>
      <c r="U100" s="17" t="str">
        <f>VLOOKUP(A100,[1]Sheet!$A:$U,20,0)</f>
        <v>На вывод</v>
      </c>
      <c r="V100" s="17">
        <f>VLOOKUP(A100,[1]Sheet!$A:$U,21,0)</f>
        <v>0</v>
      </c>
      <c r="W100" s="1">
        <f t="shared" si="19"/>
        <v>24.540606388738485</v>
      </c>
      <c r="X100" s="1">
        <f t="shared" si="18"/>
        <v>24.540606388738485</v>
      </c>
      <c r="Y100" s="1">
        <v>3.1019999999999999</v>
      </c>
      <c r="Z100" s="1">
        <v>3.3056000000000001</v>
      </c>
      <c r="AA100" s="1">
        <v>1.2108000000000001</v>
      </c>
      <c r="AB100" s="1">
        <v>0.40079999999999999</v>
      </c>
      <c r="AC100" s="14" t="s">
        <v>88</v>
      </c>
      <c r="AD100" s="1">
        <f t="shared" si="20"/>
        <v>0</v>
      </c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</row>
    <row r="101" spans="1:52" x14ac:dyDescent="0.25">
      <c r="A101" s="1" t="s">
        <v>134</v>
      </c>
      <c r="B101" s="1" t="s">
        <v>37</v>
      </c>
      <c r="C101" s="1">
        <v>78</v>
      </c>
      <c r="D101" s="1"/>
      <c r="E101" s="1">
        <v>1</v>
      </c>
      <c r="F101" s="1">
        <v>75</v>
      </c>
      <c r="G101" s="7">
        <v>0.11</v>
      </c>
      <c r="H101" s="1">
        <v>30</v>
      </c>
      <c r="I101" s="1" t="s">
        <v>32</v>
      </c>
      <c r="J101" s="1"/>
      <c r="K101" s="1">
        <v>51</v>
      </c>
      <c r="L101" s="1">
        <f t="shared" si="15"/>
        <v>-50</v>
      </c>
      <c r="M101" s="1"/>
      <c r="N101" s="1"/>
      <c r="O101" s="1">
        <v>0</v>
      </c>
      <c r="P101" s="1"/>
      <c r="Q101" s="1">
        <v>0</v>
      </c>
      <c r="R101" s="1">
        <f t="shared" si="16"/>
        <v>0.2</v>
      </c>
      <c r="S101" s="5"/>
      <c r="T101" s="5">
        <f t="shared" si="21"/>
        <v>0</v>
      </c>
      <c r="U101" s="17"/>
      <c r="V101" s="17"/>
      <c r="W101" s="1">
        <f t="shared" si="19"/>
        <v>375</v>
      </c>
      <c r="X101" s="1">
        <f t="shared" si="18"/>
        <v>375</v>
      </c>
      <c r="Y101" s="1">
        <v>4.2</v>
      </c>
      <c r="Z101" s="1">
        <v>4</v>
      </c>
      <c r="AA101" s="1">
        <v>2</v>
      </c>
      <c r="AB101" s="1">
        <v>2</v>
      </c>
      <c r="AC101" s="15" t="s">
        <v>53</v>
      </c>
      <c r="AD101" s="1">
        <f t="shared" si="20"/>
        <v>0</v>
      </c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</row>
    <row r="102" spans="1:52" x14ac:dyDescent="0.25">
      <c r="A102" s="10" t="s">
        <v>135</v>
      </c>
      <c r="B102" s="10" t="s">
        <v>37</v>
      </c>
      <c r="C102" s="10"/>
      <c r="D102" s="10"/>
      <c r="E102" s="10"/>
      <c r="F102" s="10"/>
      <c r="G102" s="11">
        <v>0</v>
      </c>
      <c r="H102" s="10"/>
      <c r="I102" s="10" t="s">
        <v>32</v>
      </c>
      <c r="J102" s="10"/>
      <c r="K102" s="10"/>
      <c r="L102" s="10">
        <f t="shared" ref="L102:L132" si="26">E102-K102</f>
        <v>0</v>
      </c>
      <c r="M102" s="10"/>
      <c r="N102" s="10"/>
      <c r="O102" s="10">
        <v>0</v>
      </c>
      <c r="P102" s="10"/>
      <c r="Q102" s="10">
        <v>0</v>
      </c>
      <c r="R102" s="10">
        <f t="shared" ref="R102:R132" si="27">E102/5</f>
        <v>0</v>
      </c>
      <c r="S102" s="12"/>
      <c r="T102" s="5">
        <f t="shared" si="21"/>
        <v>0</v>
      </c>
      <c r="U102" s="17"/>
      <c r="V102" s="17"/>
      <c r="W102" s="1" t="e">
        <f t="shared" si="19"/>
        <v>#DIV/0!</v>
      </c>
      <c r="X102" s="10" t="e">
        <f t="shared" ref="X102:X132" si="28">(F102+O102+P102+Q102)/R102</f>
        <v>#DIV/0!</v>
      </c>
      <c r="Y102" s="10">
        <v>0</v>
      </c>
      <c r="Z102" s="10">
        <v>0</v>
      </c>
      <c r="AA102" s="10">
        <v>0</v>
      </c>
      <c r="AB102" s="10">
        <v>0</v>
      </c>
      <c r="AC102" s="10" t="s">
        <v>136</v>
      </c>
      <c r="AD102" s="1">
        <f t="shared" si="20"/>
        <v>0</v>
      </c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</row>
    <row r="103" spans="1:52" x14ac:dyDescent="0.25">
      <c r="A103" s="1" t="s">
        <v>137</v>
      </c>
      <c r="B103" s="1" t="s">
        <v>37</v>
      </c>
      <c r="C103" s="1"/>
      <c r="D103" s="1">
        <v>87</v>
      </c>
      <c r="E103" s="1">
        <v>41</v>
      </c>
      <c r="F103" s="1">
        <v>34</v>
      </c>
      <c r="G103" s="7">
        <v>0.08</v>
      </c>
      <c r="H103" s="1">
        <v>45</v>
      </c>
      <c r="I103" s="1" t="s">
        <v>32</v>
      </c>
      <c r="J103" s="1"/>
      <c r="K103" s="1">
        <v>58</v>
      </c>
      <c r="L103" s="1">
        <f t="shared" si="26"/>
        <v>-17</v>
      </c>
      <c r="M103" s="1"/>
      <c r="N103" s="1"/>
      <c r="O103" s="1">
        <v>30</v>
      </c>
      <c r="P103" s="1"/>
      <c r="Q103" s="1">
        <v>50</v>
      </c>
      <c r="R103" s="1">
        <f t="shared" si="27"/>
        <v>8.1999999999999993</v>
      </c>
      <c r="S103" s="5"/>
      <c r="T103" s="5">
        <f t="shared" si="21"/>
        <v>0</v>
      </c>
      <c r="U103" s="17"/>
      <c r="V103" s="17"/>
      <c r="W103" s="1">
        <f t="shared" si="19"/>
        <v>13.902439024390246</v>
      </c>
      <c r="X103" s="1">
        <f t="shared" si="28"/>
        <v>13.902439024390246</v>
      </c>
      <c r="Y103" s="1">
        <v>3.4</v>
      </c>
      <c r="Z103" s="1">
        <v>0</v>
      </c>
      <c r="AA103" s="1">
        <v>0</v>
      </c>
      <c r="AB103" s="1">
        <v>-0.2</v>
      </c>
      <c r="AC103" s="1"/>
      <c r="AD103" s="1">
        <f t="shared" si="20"/>
        <v>0</v>
      </c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</row>
    <row r="104" spans="1:52" x14ac:dyDescent="0.25">
      <c r="A104" s="1" t="s">
        <v>138</v>
      </c>
      <c r="B104" s="1" t="s">
        <v>37</v>
      </c>
      <c r="C104" s="1">
        <v>52</v>
      </c>
      <c r="D104" s="1">
        <v>36</v>
      </c>
      <c r="E104" s="1">
        <v>67</v>
      </c>
      <c r="F104" s="1">
        <v>15</v>
      </c>
      <c r="G104" s="7">
        <v>0.08</v>
      </c>
      <c r="H104" s="1">
        <v>45</v>
      </c>
      <c r="I104" s="1" t="s">
        <v>32</v>
      </c>
      <c r="J104" s="1"/>
      <c r="K104" s="1">
        <v>93</v>
      </c>
      <c r="L104" s="1">
        <f t="shared" si="26"/>
        <v>-26</v>
      </c>
      <c r="M104" s="1"/>
      <c r="N104" s="1"/>
      <c r="O104" s="1">
        <v>0</v>
      </c>
      <c r="P104" s="1">
        <v>5.7756838905775041</v>
      </c>
      <c r="Q104" s="1">
        <v>61.624316109422487</v>
      </c>
      <c r="R104" s="1">
        <f t="shared" si="27"/>
        <v>13.4</v>
      </c>
      <c r="S104" s="5">
        <f t="shared" ref="S104" si="29">12*R104-Q104-P104-O104-F104</f>
        <v>78.400000000000006</v>
      </c>
      <c r="T104" s="5">
        <f t="shared" si="21"/>
        <v>78.400000000000006</v>
      </c>
      <c r="U104" s="17"/>
      <c r="V104" s="17"/>
      <c r="W104" s="1">
        <f t="shared" si="19"/>
        <v>12</v>
      </c>
      <c r="X104" s="1">
        <f t="shared" si="28"/>
        <v>6.1492537313432827</v>
      </c>
      <c r="Y104" s="1">
        <v>9.4</v>
      </c>
      <c r="Z104" s="1">
        <v>6.8</v>
      </c>
      <c r="AA104" s="1">
        <v>4</v>
      </c>
      <c r="AB104" s="1">
        <v>1</v>
      </c>
      <c r="AC104" s="1"/>
      <c r="AD104" s="1">
        <f t="shared" si="20"/>
        <v>6</v>
      </c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</row>
    <row r="105" spans="1:52" x14ac:dyDescent="0.25">
      <c r="A105" s="16" t="s">
        <v>139</v>
      </c>
      <c r="B105" s="1" t="s">
        <v>37</v>
      </c>
      <c r="C105" s="1"/>
      <c r="D105" s="1">
        <v>40</v>
      </c>
      <c r="E105" s="1">
        <v>10</v>
      </c>
      <c r="F105" s="1">
        <v>30</v>
      </c>
      <c r="G105" s="7">
        <v>0.17</v>
      </c>
      <c r="H105" s="1">
        <v>30</v>
      </c>
      <c r="I105" s="9" t="s">
        <v>35</v>
      </c>
      <c r="J105" s="1"/>
      <c r="K105" s="1">
        <v>10</v>
      </c>
      <c r="L105" s="1">
        <f t="shared" si="26"/>
        <v>0</v>
      </c>
      <c r="M105" s="1"/>
      <c r="N105" s="1"/>
      <c r="O105" s="1">
        <v>0</v>
      </c>
      <c r="P105" s="1"/>
      <c r="Q105" s="1">
        <v>0</v>
      </c>
      <c r="R105" s="1">
        <f t="shared" si="27"/>
        <v>2</v>
      </c>
      <c r="S105" s="5"/>
      <c r="T105" s="5">
        <f t="shared" si="21"/>
        <v>0</v>
      </c>
      <c r="U105" s="17"/>
      <c r="V105" s="17"/>
      <c r="W105" s="1">
        <f t="shared" si="19"/>
        <v>15</v>
      </c>
      <c r="X105" s="1">
        <f t="shared" si="28"/>
        <v>15</v>
      </c>
      <c r="Y105" s="1">
        <v>0</v>
      </c>
      <c r="Z105" s="1">
        <v>0</v>
      </c>
      <c r="AA105" s="1">
        <v>0</v>
      </c>
      <c r="AB105" s="1">
        <v>0</v>
      </c>
      <c r="AC105" s="1"/>
      <c r="AD105" s="1">
        <f t="shared" si="20"/>
        <v>0</v>
      </c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</row>
    <row r="106" spans="1:52" x14ac:dyDescent="0.25">
      <c r="A106" s="16" t="s">
        <v>140</v>
      </c>
      <c r="B106" s="1" t="s">
        <v>31</v>
      </c>
      <c r="C106" s="1"/>
      <c r="D106" s="1">
        <v>48.344000000000001</v>
      </c>
      <c r="E106" s="1">
        <v>33.950000000000003</v>
      </c>
      <c r="F106" s="1">
        <v>12.952999999999999</v>
      </c>
      <c r="G106" s="7">
        <v>1</v>
      </c>
      <c r="H106" s="1">
        <v>40</v>
      </c>
      <c r="I106" s="9" t="s">
        <v>35</v>
      </c>
      <c r="J106" s="1"/>
      <c r="K106" s="1">
        <v>38.299999999999997</v>
      </c>
      <c r="L106" s="1">
        <f t="shared" si="26"/>
        <v>-4.3499999999999943</v>
      </c>
      <c r="M106" s="1"/>
      <c r="N106" s="1"/>
      <c r="O106" s="1">
        <v>200</v>
      </c>
      <c r="P106" s="1"/>
      <c r="Q106" s="1">
        <v>20</v>
      </c>
      <c r="R106" s="1">
        <f t="shared" si="27"/>
        <v>6.7900000000000009</v>
      </c>
      <c r="S106" s="5"/>
      <c r="T106" s="5">
        <v>40</v>
      </c>
      <c r="U106" s="17">
        <f>VLOOKUP(A106,[1]Sheet!$A:$U,20,0)</f>
        <v>80</v>
      </c>
      <c r="V106" s="17" t="str">
        <f>VLOOKUP(A106,[1]Sheet!$A:$U,21,0)</f>
        <v>Промо</v>
      </c>
      <c r="W106" s="1">
        <f t="shared" si="19"/>
        <v>40.199263622974954</v>
      </c>
      <c r="X106" s="1">
        <f t="shared" si="28"/>
        <v>34.308247422680409</v>
      </c>
      <c r="Y106" s="1">
        <v>2.7458</v>
      </c>
      <c r="Z106" s="1">
        <v>0</v>
      </c>
      <c r="AA106" s="1">
        <v>0</v>
      </c>
      <c r="AB106" s="1">
        <v>0</v>
      </c>
      <c r="AC106" s="1"/>
      <c r="AD106" s="1">
        <f t="shared" si="20"/>
        <v>40</v>
      </c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</row>
    <row r="107" spans="1:52" x14ac:dyDescent="0.25">
      <c r="A107" s="16" t="s">
        <v>141</v>
      </c>
      <c r="B107" s="1" t="s">
        <v>31</v>
      </c>
      <c r="C107" s="1">
        <v>213.465</v>
      </c>
      <c r="D107" s="1">
        <v>7.585</v>
      </c>
      <c r="E107" s="1">
        <v>59.902999999999999</v>
      </c>
      <c r="F107" s="1">
        <v>125.044</v>
      </c>
      <c r="G107" s="7">
        <v>1</v>
      </c>
      <c r="H107" s="1">
        <v>40</v>
      </c>
      <c r="I107" s="9" t="s">
        <v>35</v>
      </c>
      <c r="J107" s="1"/>
      <c r="K107" s="1">
        <v>76.635999999999996</v>
      </c>
      <c r="L107" s="1">
        <f t="shared" si="26"/>
        <v>-16.732999999999997</v>
      </c>
      <c r="M107" s="1"/>
      <c r="N107" s="1"/>
      <c r="O107" s="1">
        <v>0</v>
      </c>
      <c r="P107" s="1"/>
      <c r="Q107" s="1">
        <v>70</v>
      </c>
      <c r="R107" s="1">
        <f t="shared" si="27"/>
        <v>11.980599999999999</v>
      </c>
      <c r="S107" s="5"/>
      <c r="T107" s="5">
        <f t="shared" ref="T107:T108" si="30">U107</f>
        <v>60</v>
      </c>
      <c r="U107" s="17">
        <f>VLOOKUP(A107,[1]Sheet!$A:$U,20,0)</f>
        <v>60</v>
      </c>
      <c r="V107" s="17" t="str">
        <f>VLOOKUP(A107,[1]Sheet!$A:$U,21,0)</f>
        <v>Промо</v>
      </c>
      <c r="W107" s="1">
        <f t="shared" si="19"/>
        <v>21.288082399879805</v>
      </c>
      <c r="X107" s="1">
        <f t="shared" si="28"/>
        <v>16.279985977330018</v>
      </c>
      <c r="Y107" s="1">
        <v>12.179600000000001</v>
      </c>
      <c r="Z107" s="1">
        <v>7.9207999999999998</v>
      </c>
      <c r="AA107" s="1">
        <v>2.3073999999999999</v>
      </c>
      <c r="AB107" s="1">
        <v>0</v>
      </c>
      <c r="AC107" s="1"/>
      <c r="AD107" s="1">
        <f t="shared" si="20"/>
        <v>60</v>
      </c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</row>
    <row r="108" spans="1:52" x14ac:dyDescent="0.25">
      <c r="A108" s="16" t="s">
        <v>142</v>
      </c>
      <c r="B108" s="1" t="s">
        <v>31</v>
      </c>
      <c r="C108" s="1"/>
      <c r="D108" s="1">
        <v>7.1050000000000004</v>
      </c>
      <c r="E108" s="1">
        <v>1.4139999999999999</v>
      </c>
      <c r="F108" s="1">
        <v>3.556</v>
      </c>
      <c r="G108" s="7">
        <v>1</v>
      </c>
      <c r="H108" s="1">
        <v>40</v>
      </c>
      <c r="I108" s="9" t="s">
        <v>35</v>
      </c>
      <c r="J108" s="1"/>
      <c r="K108" s="1">
        <v>11.1</v>
      </c>
      <c r="L108" s="1">
        <f t="shared" si="26"/>
        <v>-9.6859999999999999</v>
      </c>
      <c r="M108" s="1"/>
      <c r="N108" s="1"/>
      <c r="O108" s="1">
        <v>200</v>
      </c>
      <c r="P108" s="1"/>
      <c r="Q108" s="1">
        <v>70</v>
      </c>
      <c r="R108" s="1">
        <f t="shared" si="27"/>
        <v>0.2828</v>
      </c>
      <c r="S108" s="5"/>
      <c r="T108" s="5">
        <f t="shared" si="30"/>
        <v>80</v>
      </c>
      <c r="U108" s="17">
        <f>VLOOKUP(A108,[1]Sheet!$A:$U,20,0)</f>
        <v>80</v>
      </c>
      <c r="V108" s="17" t="str">
        <f>VLOOKUP(A108,[1]Sheet!$A:$U,21,0)</f>
        <v>Промо</v>
      </c>
      <c r="W108" s="1">
        <f t="shared" si="19"/>
        <v>1250.1980198019803</v>
      </c>
      <c r="X108" s="1">
        <f t="shared" si="28"/>
        <v>967.31258840169744</v>
      </c>
      <c r="Y108" s="1">
        <v>0</v>
      </c>
      <c r="Z108" s="1">
        <v>0</v>
      </c>
      <c r="AA108" s="1">
        <v>0</v>
      </c>
      <c r="AB108" s="1">
        <v>-0.14399999999999999</v>
      </c>
      <c r="AC108" s="1"/>
      <c r="AD108" s="1">
        <f t="shared" si="20"/>
        <v>80</v>
      </c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</row>
    <row r="109" spans="1:52" x14ac:dyDescent="0.25">
      <c r="A109" s="10" t="s">
        <v>143</v>
      </c>
      <c r="B109" s="10" t="s">
        <v>37</v>
      </c>
      <c r="C109" s="10"/>
      <c r="D109" s="10"/>
      <c r="E109" s="10"/>
      <c r="F109" s="10"/>
      <c r="G109" s="11">
        <v>0</v>
      </c>
      <c r="H109" s="10"/>
      <c r="I109" s="10" t="s">
        <v>32</v>
      </c>
      <c r="J109" s="10"/>
      <c r="K109" s="10"/>
      <c r="L109" s="10">
        <f t="shared" si="26"/>
        <v>0</v>
      </c>
      <c r="M109" s="10"/>
      <c r="N109" s="10"/>
      <c r="O109" s="10">
        <v>0</v>
      </c>
      <c r="P109" s="10"/>
      <c r="Q109" s="10">
        <v>0</v>
      </c>
      <c r="R109" s="10">
        <f t="shared" si="27"/>
        <v>0</v>
      </c>
      <c r="S109" s="12"/>
      <c r="T109" s="5">
        <f t="shared" si="21"/>
        <v>0</v>
      </c>
      <c r="U109" s="17"/>
      <c r="V109" s="17"/>
      <c r="W109" s="1" t="e">
        <f t="shared" si="19"/>
        <v>#DIV/0!</v>
      </c>
      <c r="X109" s="10" t="e">
        <f t="shared" si="28"/>
        <v>#DIV/0!</v>
      </c>
      <c r="Y109" s="10">
        <v>0</v>
      </c>
      <c r="Z109" s="10">
        <v>0</v>
      </c>
      <c r="AA109" s="10">
        <v>0</v>
      </c>
      <c r="AB109" s="10">
        <v>0</v>
      </c>
      <c r="AC109" s="10" t="s">
        <v>136</v>
      </c>
      <c r="AD109" s="1">
        <f t="shared" si="20"/>
        <v>0</v>
      </c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</row>
    <row r="110" spans="1:52" x14ac:dyDescent="0.25">
      <c r="A110" s="10" t="s">
        <v>144</v>
      </c>
      <c r="B110" s="10" t="s">
        <v>31</v>
      </c>
      <c r="C110" s="10"/>
      <c r="D110" s="10"/>
      <c r="E110" s="10"/>
      <c r="F110" s="10"/>
      <c r="G110" s="11">
        <v>0</v>
      </c>
      <c r="H110" s="10"/>
      <c r="I110" s="10" t="s">
        <v>35</v>
      </c>
      <c r="J110" s="10"/>
      <c r="K110" s="10"/>
      <c r="L110" s="10">
        <f t="shared" si="26"/>
        <v>0</v>
      </c>
      <c r="M110" s="10"/>
      <c r="N110" s="10"/>
      <c r="O110" s="10">
        <v>0</v>
      </c>
      <c r="P110" s="10"/>
      <c r="Q110" s="10">
        <v>0</v>
      </c>
      <c r="R110" s="10">
        <f t="shared" si="27"/>
        <v>0</v>
      </c>
      <c r="S110" s="12"/>
      <c r="T110" s="5">
        <f t="shared" si="21"/>
        <v>0</v>
      </c>
      <c r="U110" s="17"/>
      <c r="V110" s="17"/>
      <c r="W110" s="1" t="e">
        <f t="shared" si="19"/>
        <v>#DIV/0!</v>
      </c>
      <c r="X110" s="10" t="e">
        <f t="shared" si="28"/>
        <v>#DIV/0!</v>
      </c>
      <c r="Y110" s="10">
        <v>0</v>
      </c>
      <c r="Z110" s="10">
        <v>0</v>
      </c>
      <c r="AA110" s="10">
        <v>0</v>
      </c>
      <c r="AB110" s="10">
        <v>0</v>
      </c>
      <c r="AC110" s="10" t="s">
        <v>38</v>
      </c>
      <c r="AD110" s="1">
        <f t="shared" si="20"/>
        <v>0</v>
      </c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</row>
    <row r="111" spans="1:52" x14ac:dyDescent="0.25">
      <c r="A111" s="16" t="s">
        <v>145</v>
      </c>
      <c r="B111" s="1" t="s">
        <v>37</v>
      </c>
      <c r="C111" s="1"/>
      <c r="D111" s="1">
        <v>80</v>
      </c>
      <c r="E111" s="1">
        <v>74</v>
      </c>
      <c r="F111" s="1">
        <v>3</v>
      </c>
      <c r="G111" s="7">
        <v>0.28000000000000003</v>
      </c>
      <c r="H111" s="1">
        <v>40</v>
      </c>
      <c r="I111" s="9" t="s">
        <v>35</v>
      </c>
      <c r="J111" s="1"/>
      <c r="K111" s="1">
        <v>106</v>
      </c>
      <c r="L111" s="1">
        <f t="shared" si="26"/>
        <v>-32</v>
      </c>
      <c r="M111" s="1"/>
      <c r="N111" s="1"/>
      <c r="O111" s="1">
        <v>150</v>
      </c>
      <c r="P111" s="1"/>
      <c r="Q111" s="1">
        <v>30</v>
      </c>
      <c r="R111" s="1">
        <f t="shared" si="27"/>
        <v>14.8</v>
      </c>
      <c r="S111" s="5"/>
      <c r="T111" s="5">
        <f t="shared" ref="T111" si="31">U111</f>
        <v>80</v>
      </c>
      <c r="U111" s="17">
        <f>VLOOKUP(A111,[1]Sheet!$A:$U,20,0)</f>
        <v>80</v>
      </c>
      <c r="V111" s="17" t="str">
        <f>VLOOKUP(A111,[1]Sheet!$A:$U,21,0)</f>
        <v>Есть спрос</v>
      </c>
      <c r="W111" s="1">
        <f t="shared" si="19"/>
        <v>17.77027027027027</v>
      </c>
      <c r="X111" s="1">
        <f t="shared" si="28"/>
        <v>12.364864864864865</v>
      </c>
      <c r="Y111" s="1">
        <v>1.4</v>
      </c>
      <c r="Z111" s="1">
        <v>0</v>
      </c>
      <c r="AA111" s="1">
        <v>0</v>
      </c>
      <c r="AB111" s="1">
        <v>-0.4</v>
      </c>
      <c r="AC111" s="1"/>
      <c r="AD111" s="1">
        <f t="shared" si="20"/>
        <v>22</v>
      </c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</row>
    <row r="112" spans="1:52" x14ac:dyDescent="0.25">
      <c r="A112" s="16" t="s">
        <v>146</v>
      </c>
      <c r="B112" s="1" t="s">
        <v>37</v>
      </c>
      <c r="C112" s="1">
        <v>173</v>
      </c>
      <c r="D112" s="1">
        <v>14</v>
      </c>
      <c r="E112" s="1">
        <v>81</v>
      </c>
      <c r="F112" s="1">
        <v>95</v>
      </c>
      <c r="G112" s="7">
        <v>0.28000000000000003</v>
      </c>
      <c r="H112" s="1">
        <v>40</v>
      </c>
      <c r="I112" s="9" t="s">
        <v>35</v>
      </c>
      <c r="J112" s="1"/>
      <c r="K112" s="1">
        <v>114</v>
      </c>
      <c r="L112" s="1">
        <f t="shared" si="26"/>
        <v>-33</v>
      </c>
      <c r="M112" s="1"/>
      <c r="N112" s="1"/>
      <c r="O112" s="1">
        <v>0</v>
      </c>
      <c r="P112" s="1"/>
      <c r="Q112" s="1">
        <v>150</v>
      </c>
      <c r="R112" s="1">
        <f t="shared" si="27"/>
        <v>16.2</v>
      </c>
      <c r="S112" s="5"/>
      <c r="T112" s="5">
        <f t="shared" si="21"/>
        <v>0</v>
      </c>
      <c r="U112" s="17"/>
      <c r="V112" s="17"/>
      <c r="W112" s="1">
        <f t="shared" si="19"/>
        <v>15.123456790123457</v>
      </c>
      <c r="X112" s="1">
        <f t="shared" si="28"/>
        <v>15.123456790123457</v>
      </c>
      <c r="Y112" s="1">
        <v>26</v>
      </c>
      <c r="Z112" s="1">
        <v>15.2</v>
      </c>
      <c r="AA112" s="1">
        <v>1.2</v>
      </c>
      <c r="AB112" s="1">
        <v>0</v>
      </c>
      <c r="AC112" s="1"/>
      <c r="AD112" s="1">
        <f t="shared" si="20"/>
        <v>0</v>
      </c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</row>
    <row r="113" spans="1:52" x14ac:dyDescent="0.25">
      <c r="A113" s="16" t="s">
        <v>147</v>
      </c>
      <c r="B113" s="1" t="s">
        <v>37</v>
      </c>
      <c r="C113" s="1"/>
      <c r="D113" s="1"/>
      <c r="E113" s="1"/>
      <c r="F113" s="1"/>
      <c r="G113" s="7">
        <v>0.28000000000000003</v>
      </c>
      <c r="H113" s="1">
        <v>40</v>
      </c>
      <c r="I113" s="9" t="s">
        <v>35</v>
      </c>
      <c r="J113" s="1"/>
      <c r="K113" s="1">
        <v>81</v>
      </c>
      <c r="L113" s="1">
        <f t="shared" si="26"/>
        <v>-81</v>
      </c>
      <c r="M113" s="1"/>
      <c r="N113" s="1"/>
      <c r="O113" s="1">
        <v>150</v>
      </c>
      <c r="P113" s="1"/>
      <c r="Q113" s="1">
        <v>200</v>
      </c>
      <c r="R113" s="1">
        <f t="shared" si="27"/>
        <v>0</v>
      </c>
      <c r="S113" s="5"/>
      <c r="T113" s="5">
        <f t="shared" ref="T113" si="32">U113</f>
        <v>50</v>
      </c>
      <c r="U113" s="17">
        <f>VLOOKUP(A113,[1]Sheet!$A:$U,20,0)</f>
        <v>50</v>
      </c>
      <c r="V113" s="17" t="str">
        <f>VLOOKUP(A113,[1]Sheet!$A:$U,21,0)</f>
        <v>Есть спрос</v>
      </c>
      <c r="W113" s="1" t="e">
        <f t="shared" si="19"/>
        <v>#DIV/0!</v>
      </c>
      <c r="X113" s="1" t="e">
        <f t="shared" si="28"/>
        <v>#DIV/0!</v>
      </c>
      <c r="Y113" s="1">
        <v>0</v>
      </c>
      <c r="Z113" s="1">
        <v>0</v>
      </c>
      <c r="AA113" s="1">
        <v>0</v>
      </c>
      <c r="AB113" s="1">
        <v>0</v>
      </c>
      <c r="AC113" s="1"/>
      <c r="AD113" s="1">
        <f t="shared" si="20"/>
        <v>14</v>
      </c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</row>
    <row r="114" spans="1:52" x14ac:dyDescent="0.25">
      <c r="A114" s="1" t="s">
        <v>148</v>
      </c>
      <c r="B114" s="1" t="s">
        <v>37</v>
      </c>
      <c r="C114" s="1">
        <v>13</v>
      </c>
      <c r="D114" s="1">
        <v>20</v>
      </c>
      <c r="E114" s="1">
        <v>21</v>
      </c>
      <c r="F114" s="1">
        <v>12</v>
      </c>
      <c r="G114" s="7">
        <v>0.09</v>
      </c>
      <c r="H114" s="1">
        <v>45</v>
      </c>
      <c r="I114" s="1" t="s">
        <v>32</v>
      </c>
      <c r="J114" s="1"/>
      <c r="K114" s="1">
        <v>21</v>
      </c>
      <c r="L114" s="1">
        <f t="shared" si="26"/>
        <v>0</v>
      </c>
      <c r="M114" s="1"/>
      <c r="N114" s="1"/>
      <c r="O114" s="1">
        <v>0</v>
      </c>
      <c r="P114" s="1">
        <v>17.03347280334728</v>
      </c>
      <c r="Q114" s="1">
        <v>0</v>
      </c>
      <c r="R114" s="1">
        <f t="shared" si="27"/>
        <v>4.2</v>
      </c>
      <c r="S114" s="5">
        <f t="shared" ref="S114:S121" si="33">12*R114-Q114-P114-O114-F114</f>
        <v>21.366527196652726</v>
      </c>
      <c r="T114" s="5">
        <f t="shared" si="21"/>
        <v>21.366527196652726</v>
      </c>
      <c r="U114" s="17"/>
      <c r="V114" s="17"/>
      <c r="W114" s="1">
        <f t="shared" si="19"/>
        <v>12</v>
      </c>
      <c r="X114" s="1">
        <f t="shared" si="28"/>
        <v>6.9127316198445898</v>
      </c>
      <c r="Y114" s="1">
        <v>3.8</v>
      </c>
      <c r="Z114" s="1">
        <v>3</v>
      </c>
      <c r="AA114" s="1">
        <v>0.8</v>
      </c>
      <c r="AB114" s="1">
        <v>0.8</v>
      </c>
      <c r="AC114" s="1"/>
      <c r="AD114" s="1">
        <f t="shared" si="20"/>
        <v>2</v>
      </c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</row>
    <row r="115" spans="1:52" x14ac:dyDescent="0.25">
      <c r="A115" s="1" t="s">
        <v>149</v>
      </c>
      <c r="B115" s="1" t="s">
        <v>31</v>
      </c>
      <c r="C115" s="1">
        <v>15.144</v>
      </c>
      <c r="D115" s="1"/>
      <c r="E115" s="1">
        <v>15.144</v>
      </c>
      <c r="F115" s="1"/>
      <c r="G115" s="7">
        <v>1</v>
      </c>
      <c r="H115" s="1">
        <v>60</v>
      </c>
      <c r="I115" s="1" t="s">
        <v>32</v>
      </c>
      <c r="J115" s="1"/>
      <c r="K115" s="1">
        <v>30</v>
      </c>
      <c r="L115" s="1">
        <f t="shared" si="26"/>
        <v>-14.856</v>
      </c>
      <c r="M115" s="1"/>
      <c r="N115" s="1"/>
      <c r="O115" s="1">
        <v>0</v>
      </c>
      <c r="P115" s="1">
        <v>20.856000000000002</v>
      </c>
      <c r="Q115" s="1">
        <v>50</v>
      </c>
      <c r="R115" s="1">
        <f t="shared" si="27"/>
        <v>3.0287999999999999</v>
      </c>
      <c r="S115" s="5"/>
      <c r="T115" s="5">
        <f t="shared" si="21"/>
        <v>0</v>
      </c>
      <c r="U115" s="17"/>
      <c r="V115" s="17"/>
      <c r="W115" s="1">
        <f t="shared" si="19"/>
        <v>23.394083465398836</v>
      </c>
      <c r="X115" s="1">
        <f t="shared" si="28"/>
        <v>23.394083465398836</v>
      </c>
      <c r="Y115" s="1">
        <v>5.5287999999999986</v>
      </c>
      <c r="Z115" s="1">
        <v>3</v>
      </c>
      <c r="AA115" s="1">
        <v>0.5</v>
      </c>
      <c r="AB115" s="1">
        <v>0</v>
      </c>
      <c r="AC115" s="1"/>
      <c r="AD115" s="1">
        <f t="shared" si="20"/>
        <v>0</v>
      </c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</row>
    <row r="116" spans="1:52" x14ac:dyDescent="0.25">
      <c r="A116" s="1" t="s">
        <v>150</v>
      </c>
      <c r="B116" s="1" t="s">
        <v>31</v>
      </c>
      <c r="C116" s="1">
        <v>47.350999999999999</v>
      </c>
      <c r="D116" s="1"/>
      <c r="E116" s="1"/>
      <c r="F116" s="1">
        <v>47.350999999999999</v>
      </c>
      <c r="G116" s="7">
        <v>1</v>
      </c>
      <c r="H116" s="1">
        <v>50</v>
      </c>
      <c r="I116" s="1" t="s">
        <v>32</v>
      </c>
      <c r="J116" s="1"/>
      <c r="K116" s="1">
        <v>30</v>
      </c>
      <c r="L116" s="1">
        <f t="shared" si="26"/>
        <v>-30</v>
      </c>
      <c r="M116" s="1"/>
      <c r="N116" s="1"/>
      <c r="O116" s="1">
        <v>0</v>
      </c>
      <c r="P116" s="1"/>
      <c r="Q116" s="1">
        <v>0</v>
      </c>
      <c r="R116" s="1">
        <f t="shared" si="27"/>
        <v>0</v>
      </c>
      <c r="S116" s="5"/>
      <c r="T116" s="5">
        <f t="shared" si="21"/>
        <v>0</v>
      </c>
      <c r="U116" s="17"/>
      <c r="V116" s="17"/>
      <c r="W116" s="1" t="e">
        <f t="shared" si="19"/>
        <v>#DIV/0!</v>
      </c>
      <c r="X116" s="1" t="e">
        <f t="shared" si="28"/>
        <v>#DIV/0!</v>
      </c>
      <c r="Y116" s="1">
        <v>2.0022000000000002</v>
      </c>
      <c r="Z116" s="1">
        <v>2.5017999999999998</v>
      </c>
      <c r="AA116" s="1">
        <v>0.49959999999999999</v>
      </c>
      <c r="AB116" s="1">
        <v>0</v>
      </c>
      <c r="AC116" s="15" t="s">
        <v>53</v>
      </c>
      <c r="AD116" s="1">
        <f t="shared" si="20"/>
        <v>0</v>
      </c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</row>
    <row r="117" spans="1:52" x14ac:dyDescent="0.25">
      <c r="A117" s="16" t="s">
        <v>151</v>
      </c>
      <c r="B117" s="1" t="s">
        <v>37</v>
      </c>
      <c r="C117" s="1"/>
      <c r="D117" s="1">
        <v>20</v>
      </c>
      <c r="E117" s="1">
        <v>25</v>
      </c>
      <c r="F117" s="1">
        <v>-5</v>
      </c>
      <c r="G117" s="7">
        <v>0.09</v>
      </c>
      <c r="H117" s="1">
        <v>45</v>
      </c>
      <c r="I117" s="9" t="s">
        <v>35</v>
      </c>
      <c r="J117" s="1"/>
      <c r="K117" s="1">
        <v>25</v>
      </c>
      <c r="L117" s="1">
        <f t="shared" si="26"/>
        <v>0</v>
      </c>
      <c r="M117" s="1"/>
      <c r="N117" s="1"/>
      <c r="O117" s="1">
        <v>0</v>
      </c>
      <c r="P117" s="1">
        <v>10</v>
      </c>
      <c r="Q117" s="1">
        <v>0</v>
      </c>
      <c r="R117" s="1">
        <f t="shared" si="27"/>
        <v>5</v>
      </c>
      <c r="S117" s="5">
        <f>8*R117-Q117-P117-O117-F117</f>
        <v>35</v>
      </c>
      <c r="T117" s="5">
        <f t="shared" si="21"/>
        <v>35</v>
      </c>
      <c r="U117" s="17"/>
      <c r="V117" s="17"/>
      <c r="W117" s="1">
        <f t="shared" si="19"/>
        <v>8</v>
      </c>
      <c r="X117" s="1">
        <f t="shared" si="28"/>
        <v>1</v>
      </c>
      <c r="Y117" s="1">
        <v>2.2000000000000002</v>
      </c>
      <c r="Z117" s="1">
        <v>1.8</v>
      </c>
      <c r="AA117" s="1">
        <v>4.2</v>
      </c>
      <c r="AB117" s="1">
        <v>4.5999999999999996</v>
      </c>
      <c r="AC117" s="1"/>
      <c r="AD117" s="1">
        <f t="shared" si="20"/>
        <v>3</v>
      </c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</row>
    <row r="118" spans="1:52" x14ac:dyDescent="0.25">
      <c r="A118" s="1" t="s">
        <v>152</v>
      </c>
      <c r="B118" s="1" t="s">
        <v>37</v>
      </c>
      <c r="C118" s="1">
        <v>15</v>
      </c>
      <c r="D118" s="1">
        <v>2</v>
      </c>
      <c r="E118" s="1">
        <v>16</v>
      </c>
      <c r="F118" s="1">
        <v>-1</v>
      </c>
      <c r="G118" s="7">
        <v>0.09</v>
      </c>
      <c r="H118" s="1">
        <v>45</v>
      </c>
      <c r="I118" s="1" t="s">
        <v>32</v>
      </c>
      <c r="J118" s="1"/>
      <c r="K118" s="1">
        <v>19</v>
      </c>
      <c r="L118" s="1">
        <f t="shared" si="26"/>
        <v>-3</v>
      </c>
      <c r="M118" s="1"/>
      <c r="N118" s="1"/>
      <c r="O118" s="1">
        <v>0</v>
      </c>
      <c r="P118" s="1">
        <v>13.06829268292682</v>
      </c>
      <c r="Q118" s="1">
        <v>24.93170731707318</v>
      </c>
      <c r="R118" s="1">
        <f t="shared" si="27"/>
        <v>3.2</v>
      </c>
      <c r="S118" s="5">
        <v>8</v>
      </c>
      <c r="T118" s="5">
        <f t="shared" si="21"/>
        <v>8</v>
      </c>
      <c r="U118" s="17"/>
      <c r="V118" s="17"/>
      <c r="W118" s="1">
        <f t="shared" si="19"/>
        <v>14.0625</v>
      </c>
      <c r="X118" s="1">
        <f t="shared" si="28"/>
        <v>11.5625</v>
      </c>
      <c r="Y118" s="1">
        <v>4</v>
      </c>
      <c r="Z118" s="1">
        <v>2.8</v>
      </c>
      <c r="AA118" s="1">
        <v>0.2</v>
      </c>
      <c r="AB118" s="1">
        <v>0.6</v>
      </c>
      <c r="AC118" s="1"/>
      <c r="AD118" s="1">
        <f t="shared" si="20"/>
        <v>1</v>
      </c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</row>
    <row r="119" spans="1:52" x14ac:dyDescent="0.25">
      <c r="A119" s="16" t="s">
        <v>153</v>
      </c>
      <c r="B119" s="1" t="s">
        <v>31</v>
      </c>
      <c r="C119" s="1">
        <v>16.544</v>
      </c>
      <c r="D119" s="1">
        <v>24.693999999999999</v>
      </c>
      <c r="E119" s="1">
        <v>21.957999999999998</v>
      </c>
      <c r="F119" s="1">
        <v>19.28</v>
      </c>
      <c r="G119" s="7">
        <v>1</v>
      </c>
      <c r="H119" s="1">
        <v>60</v>
      </c>
      <c r="I119" s="9" t="s">
        <v>35</v>
      </c>
      <c r="J119" s="1"/>
      <c r="K119" s="1">
        <v>21.9</v>
      </c>
      <c r="L119" s="1">
        <f t="shared" si="26"/>
        <v>5.7999999999999829E-2</v>
      </c>
      <c r="M119" s="1"/>
      <c r="N119" s="1"/>
      <c r="O119" s="1">
        <v>50</v>
      </c>
      <c r="P119" s="1"/>
      <c r="Q119" s="1"/>
      <c r="R119" s="1">
        <f t="shared" si="27"/>
        <v>4.3915999999999995</v>
      </c>
      <c r="S119" s="5"/>
      <c r="T119" s="5">
        <f t="shared" si="21"/>
        <v>0</v>
      </c>
      <c r="U119" s="17"/>
      <c r="V119" s="17"/>
      <c r="W119" s="1">
        <f t="shared" si="19"/>
        <v>15.775571545678115</v>
      </c>
      <c r="X119" s="1">
        <f t="shared" si="28"/>
        <v>15.775571545678115</v>
      </c>
      <c r="Y119" s="1">
        <v>2.4704000000000002</v>
      </c>
      <c r="Z119" s="1">
        <v>2.1956000000000002</v>
      </c>
      <c r="AA119" s="1">
        <v>2.9826000000000001</v>
      </c>
      <c r="AB119" s="1">
        <v>2.9758</v>
      </c>
      <c r="AC119" s="1"/>
      <c r="AD119" s="1">
        <f t="shared" si="20"/>
        <v>0</v>
      </c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</row>
    <row r="120" spans="1:52" x14ac:dyDescent="0.25">
      <c r="A120" s="1" t="s">
        <v>154</v>
      </c>
      <c r="B120" s="1" t="s">
        <v>31</v>
      </c>
      <c r="C120" s="1">
        <v>96.227999999999994</v>
      </c>
      <c r="D120" s="1">
        <v>66.171999999999997</v>
      </c>
      <c r="E120" s="1">
        <v>56.975000000000001</v>
      </c>
      <c r="F120" s="1">
        <v>92.751000000000005</v>
      </c>
      <c r="G120" s="7">
        <v>1</v>
      </c>
      <c r="H120" s="1">
        <v>60</v>
      </c>
      <c r="I120" s="1" t="s">
        <v>32</v>
      </c>
      <c r="J120" s="1"/>
      <c r="K120" s="1">
        <v>63.8</v>
      </c>
      <c r="L120" s="1">
        <f t="shared" si="26"/>
        <v>-6.8249999999999957</v>
      </c>
      <c r="M120" s="1"/>
      <c r="N120" s="1"/>
      <c r="O120" s="1">
        <v>70</v>
      </c>
      <c r="P120" s="1"/>
      <c r="Q120" s="1"/>
      <c r="R120" s="1">
        <f t="shared" si="27"/>
        <v>11.395</v>
      </c>
      <c r="S120" s="5"/>
      <c r="T120" s="5">
        <f t="shared" si="21"/>
        <v>0</v>
      </c>
      <c r="U120" s="17"/>
      <c r="V120" s="17"/>
      <c r="W120" s="1">
        <f t="shared" si="19"/>
        <v>14.282667836770514</v>
      </c>
      <c r="X120" s="1">
        <f t="shared" si="28"/>
        <v>14.282667836770514</v>
      </c>
      <c r="Y120" s="1">
        <v>10.089399999999999</v>
      </c>
      <c r="Z120" s="1">
        <v>12.381</v>
      </c>
      <c r="AA120" s="1">
        <v>7.4349999999999996</v>
      </c>
      <c r="AB120" s="1">
        <v>1.6252</v>
      </c>
      <c r="AC120" s="1"/>
      <c r="AD120" s="1">
        <f t="shared" si="20"/>
        <v>0</v>
      </c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</row>
    <row r="121" spans="1:52" x14ac:dyDescent="0.25">
      <c r="A121" s="16" t="s">
        <v>155</v>
      </c>
      <c r="B121" s="1" t="s">
        <v>31</v>
      </c>
      <c r="C121" s="1">
        <v>14.916</v>
      </c>
      <c r="D121" s="1">
        <v>10.952999999999999</v>
      </c>
      <c r="E121" s="1">
        <v>14.861000000000001</v>
      </c>
      <c r="F121" s="1">
        <v>9.6679999999999993</v>
      </c>
      <c r="G121" s="7">
        <v>1</v>
      </c>
      <c r="H121" s="1">
        <v>60</v>
      </c>
      <c r="I121" s="9" t="s">
        <v>35</v>
      </c>
      <c r="J121" s="1"/>
      <c r="K121" s="1">
        <v>15.5</v>
      </c>
      <c r="L121" s="1">
        <f t="shared" si="26"/>
        <v>-0.63899999999999935</v>
      </c>
      <c r="M121" s="1"/>
      <c r="N121" s="1"/>
      <c r="O121" s="1">
        <v>0</v>
      </c>
      <c r="P121" s="1"/>
      <c r="Q121" s="1">
        <v>20</v>
      </c>
      <c r="R121" s="1">
        <f t="shared" si="27"/>
        <v>2.9722</v>
      </c>
      <c r="S121" s="5">
        <f t="shared" si="33"/>
        <v>5.9983999999999966</v>
      </c>
      <c r="T121" s="5">
        <f t="shared" si="21"/>
        <v>5.9983999999999966</v>
      </c>
      <c r="U121" s="17"/>
      <c r="V121" s="17"/>
      <c r="W121" s="1">
        <f t="shared" si="19"/>
        <v>11.999999999999998</v>
      </c>
      <c r="X121" s="1">
        <f t="shared" si="28"/>
        <v>9.9818316398627278</v>
      </c>
      <c r="Y121" s="1">
        <v>1.8866000000000001</v>
      </c>
      <c r="Z121" s="1">
        <v>1.3388</v>
      </c>
      <c r="AA121" s="1">
        <v>2.1850000000000001</v>
      </c>
      <c r="AB121" s="1">
        <v>1.911</v>
      </c>
      <c r="AC121" s="1"/>
      <c r="AD121" s="1">
        <f t="shared" si="20"/>
        <v>6</v>
      </c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</row>
    <row r="122" spans="1:52" x14ac:dyDescent="0.25">
      <c r="A122" s="1" t="s">
        <v>50</v>
      </c>
      <c r="B122" s="1" t="s">
        <v>31</v>
      </c>
      <c r="C122" s="1">
        <v>306.82900000000001</v>
      </c>
      <c r="D122" s="1">
        <v>937.10500000000002</v>
      </c>
      <c r="E122" s="1">
        <v>350.32100000000003</v>
      </c>
      <c r="F122" s="13">
        <f>848.542+F19</f>
        <v>836.06900000000007</v>
      </c>
      <c r="G122" s="7">
        <v>1</v>
      </c>
      <c r="H122" s="1">
        <v>60</v>
      </c>
      <c r="I122" s="1" t="s">
        <v>32</v>
      </c>
      <c r="J122" s="1"/>
      <c r="K122" s="1">
        <v>382.1</v>
      </c>
      <c r="L122" s="1">
        <f t="shared" si="26"/>
        <v>-31.778999999999996</v>
      </c>
      <c r="M122" s="1"/>
      <c r="N122" s="1"/>
      <c r="O122" s="1">
        <v>187.0712</v>
      </c>
      <c r="P122" s="1"/>
      <c r="Q122" s="1">
        <v>0</v>
      </c>
      <c r="R122" s="1">
        <f t="shared" si="27"/>
        <v>70.0642</v>
      </c>
      <c r="S122" s="5"/>
      <c r="T122" s="5">
        <f t="shared" si="21"/>
        <v>0</v>
      </c>
      <c r="U122" s="17"/>
      <c r="V122" s="17"/>
      <c r="W122" s="1">
        <f t="shared" si="19"/>
        <v>14.602895630007907</v>
      </c>
      <c r="X122" s="1">
        <f t="shared" si="28"/>
        <v>14.602895630007907</v>
      </c>
      <c r="Y122" s="1">
        <v>68.50160000000001</v>
      </c>
      <c r="Z122" s="1">
        <v>70.50160000000001</v>
      </c>
      <c r="AA122" s="1">
        <v>132.61420000000001</v>
      </c>
      <c r="AB122" s="1">
        <v>90.657399999999996</v>
      </c>
      <c r="AC122" s="1"/>
      <c r="AD122" s="1">
        <f t="shared" si="20"/>
        <v>0</v>
      </c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</row>
    <row r="123" spans="1:52" x14ac:dyDescent="0.25">
      <c r="A123" s="1" t="s">
        <v>156</v>
      </c>
      <c r="B123" s="1" t="s">
        <v>37</v>
      </c>
      <c r="C123" s="1">
        <v>213</v>
      </c>
      <c r="D123" s="1">
        <v>63</v>
      </c>
      <c r="E123" s="1">
        <v>22</v>
      </c>
      <c r="F123" s="1">
        <v>251</v>
      </c>
      <c r="G123" s="7">
        <v>0.25</v>
      </c>
      <c r="H123" s="1">
        <v>1096</v>
      </c>
      <c r="I123" s="1" t="s">
        <v>32</v>
      </c>
      <c r="J123" s="1"/>
      <c r="K123" s="1">
        <v>30</v>
      </c>
      <c r="L123" s="1">
        <f t="shared" si="26"/>
        <v>-8</v>
      </c>
      <c r="M123" s="1"/>
      <c r="N123" s="1"/>
      <c r="O123" s="1">
        <v>0</v>
      </c>
      <c r="P123" s="1"/>
      <c r="Q123" s="1">
        <v>0</v>
      </c>
      <c r="R123" s="1">
        <f t="shared" si="27"/>
        <v>4.4000000000000004</v>
      </c>
      <c r="S123" s="5"/>
      <c r="T123" s="5">
        <f t="shared" si="21"/>
        <v>0</v>
      </c>
      <c r="U123" s="17"/>
      <c r="V123" s="17"/>
      <c r="W123" s="1">
        <f t="shared" si="19"/>
        <v>57.04545454545454</v>
      </c>
      <c r="X123" s="1">
        <f t="shared" si="28"/>
        <v>57.04545454545454</v>
      </c>
      <c r="Y123" s="1">
        <v>6.4</v>
      </c>
      <c r="Z123" s="1">
        <v>3</v>
      </c>
      <c r="AA123" s="1">
        <v>1</v>
      </c>
      <c r="AB123" s="1">
        <v>0.6</v>
      </c>
      <c r="AC123" s="15" t="s">
        <v>53</v>
      </c>
      <c r="AD123" s="1">
        <f t="shared" si="20"/>
        <v>0</v>
      </c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</row>
    <row r="124" spans="1:52" x14ac:dyDescent="0.25">
      <c r="A124" s="1" t="s">
        <v>157</v>
      </c>
      <c r="B124" s="1" t="s">
        <v>37</v>
      </c>
      <c r="C124" s="1">
        <v>113</v>
      </c>
      <c r="D124" s="1">
        <v>3</v>
      </c>
      <c r="E124" s="1">
        <v>17</v>
      </c>
      <c r="F124" s="1">
        <v>96</v>
      </c>
      <c r="G124" s="7">
        <v>0.32500000000000001</v>
      </c>
      <c r="H124" s="1">
        <v>1096</v>
      </c>
      <c r="I124" s="1" t="s">
        <v>32</v>
      </c>
      <c r="J124" s="1"/>
      <c r="K124" s="1">
        <v>25</v>
      </c>
      <c r="L124" s="1">
        <f t="shared" si="26"/>
        <v>-8</v>
      </c>
      <c r="M124" s="1"/>
      <c r="N124" s="1"/>
      <c r="O124" s="1">
        <v>0</v>
      </c>
      <c r="P124" s="1"/>
      <c r="Q124" s="1">
        <v>50</v>
      </c>
      <c r="R124" s="1">
        <f t="shared" si="27"/>
        <v>3.4</v>
      </c>
      <c r="S124" s="5"/>
      <c r="T124" s="5">
        <f t="shared" si="21"/>
        <v>0</v>
      </c>
      <c r="U124" s="17"/>
      <c r="V124" s="17"/>
      <c r="W124" s="1">
        <f t="shared" si="19"/>
        <v>42.941176470588239</v>
      </c>
      <c r="X124" s="1">
        <f t="shared" si="28"/>
        <v>42.941176470588239</v>
      </c>
      <c r="Y124" s="1">
        <v>7.2</v>
      </c>
      <c r="Z124" s="1">
        <v>3.2</v>
      </c>
      <c r="AA124" s="1">
        <v>3</v>
      </c>
      <c r="AB124" s="1">
        <v>3.4</v>
      </c>
      <c r="AC124" s="15" t="s">
        <v>53</v>
      </c>
      <c r="AD124" s="1">
        <f t="shared" si="20"/>
        <v>0</v>
      </c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</row>
    <row r="125" spans="1:52" x14ac:dyDescent="0.25">
      <c r="A125" s="16" t="s">
        <v>158</v>
      </c>
      <c r="B125" s="1" t="s">
        <v>37</v>
      </c>
      <c r="C125" s="1">
        <v>113</v>
      </c>
      <c r="D125" s="1">
        <v>3</v>
      </c>
      <c r="E125" s="1">
        <v>20</v>
      </c>
      <c r="F125" s="1">
        <v>93</v>
      </c>
      <c r="G125" s="7">
        <v>0.25</v>
      </c>
      <c r="H125" s="1">
        <v>1096</v>
      </c>
      <c r="I125" s="9" t="s">
        <v>35</v>
      </c>
      <c r="J125" s="1"/>
      <c r="K125" s="1">
        <v>28</v>
      </c>
      <c r="L125" s="1">
        <f t="shared" si="26"/>
        <v>-8</v>
      </c>
      <c r="M125" s="1"/>
      <c r="N125" s="1"/>
      <c r="O125" s="1">
        <v>0</v>
      </c>
      <c r="P125" s="1"/>
      <c r="Q125" s="1">
        <v>50</v>
      </c>
      <c r="R125" s="1">
        <f t="shared" si="27"/>
        <v>4</v>
      </c>
      <c r="S125" s="5"/>
      <c r="T125" s="5">
        <f t="shared" si="21"/>
        <v>0</v>
      </c>
      <c r="U125" s="17"/>
      <c r="V125" s="17"/>
      <c r="W125" s="1">
        <f t="shared" si="19"/>
        <v>35.75</v>
      </c>
      <c r="X125" s="1">
        <f t="shared" si="28"/>
        <v>35.75</v>
      </c>
      <c r="Y125" s="1">
        <v>7.8</v>
      </c>
      <c r="Z125" s="1">
        <v>4.2</v>
      </c>
      <c r="AA125" s="1">
        <v>3</v>
      </c>
      <c r="AB125" s="1">
        <v>2.4</v>
      </c>
      <c r="AC125" s="1"/>
      <c r="AD125" s="1">
        <f t="shared" si="20"/>
        <v>0</v>
      </c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</row>
    <row r="126" spans="1:52" x14ac:dyDescent="0.25">
      <c r="A126" s="10" t="s">
        <v>159</v>
      </c>
      <c r="B126" s="10" t="s">
        <v>31</v>
      </c>
      <c r="C126" s="10"/>
      <c r="D126" s="10">
        <v>19.998999999999999</v>
      </c>
      <c r="E126" s="10"/>
      <c r="F126" s="13">
        <v>16.981999999999999</v>
      </c>
      <c r="G126" s="11">
        <v>0</v>
      </c>
      <c r="H126" s="10"/>
      <c r="I126" s="10" t="s">
        <v>160</v>
      </c>
      <c r="J126" s="10" t="s">
        <v>133</v>
      </c>
      <c r="K126" s="10">
        <v>2</v>
      </c>
      <c r="L126" s="10">
        <f t="shared" si="26"/>
        <v>-2</v>
      </c>
      <c r="M126" s="10"/>
      <c r="N126" s="10"/>
      <c r="O126" s="10"/>
      <c r="P126" s="10"/>
      <c r="Q126" s="10">
        <v>0</v>
      </c>
      <c r="R126" s="10">
        <f t="shared" si="27"/>
        <v>0</v>
      </c>
      <c r="S126" s="12"/>
      <c r="T126" s="5">
        <f t="shared" si="21"/>
        <v>0</v>
      </c>
      <c r="U126" s="17"/>
      <c r="V126" s="17"/>
      <c r="W126" s="1" t="e">
        <f t="shared" si="19"/>
        <v>#DIV/0!</v>
      </c>
      <c r="X126" s="10" t="e">
        <f t="shared" si="28"/>
        <v>#DIV/0!</v>
      </c>
      <c r="Y126" s="10">
        <v>0</v>
      </c>
      <c r="Z126" s="10">
        <v>0</v>
      </c>
      <c r="AA126" s="10">
        <v>0</v>
      </c>
      <c r="AB126" s="10">
        <v>0</v>
      </c>
      <c r="AC126" s="10"/>
      <c r="AD126" s="1">
        <f t="shared" si="20"/>
        <v>0</v>
      </c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</row>
    <row r="127" spans="1:52" x14ac:dyDescent="0.25">
      <c r="A127" s="16" t="s">
        <v>161</v>
      </c>
      <c r="B127" s="1" t="s">
        <v>37</v>
      </c>
      <c r="C127" s="1"/>
      <c r="D127" s="1"/>
      <c r="E127" s="1"/>
      <c r="F127" s="1"/>
      <c r="G127" s="7">
        <v>0.3</v>
      </c>
      <c r="H127" s="1">
        <v>40</v>
      </c>
      <c r="I127" s="9" t="s">
        <v>35</v>
      </c>
      <c r="J127" s="1"/>
      <c r="K127" s="1"/>
      <c r="L127" s="1">
        <f t="shared" si="26"/>
        <v>0</v>
      </c>
      <c r="M127" s="1"/>
      <c r="N127" s="1"/>
      <c r="O127" s="1">
        <v>80</v>
      </c>
      <c r="P127" s="1"/>
      <c r="Q127" s="1">
        <v>80</v>
      </c>
      <c r="R127" s="1">
        <f t="shared" si="27"/>
        <v>0</v>
      </c>
      <c r="S127" s="5"/>
      <c r="T127" s="5">
        <f t="shared" ref="T127:T128" si="34">U127</f>
        <v>80</v>
      </c>
      <c r="U127" s="17">
        <f>VLOOKUP(A127,[1]Sheet!$A:$U,20,0)</f>
        <v>80</v>
      </c>
      <c r="V127" s="17" t="str">
        <f>VLOOKUP(A127,[1]Sheet!$A:$U,21,0)</f>
        <v>Есть спрос</v>
      </c>
      <c r="W127" s="1" t="e">
        <f t="shared" si="19"/>
        <v>#DIV/0!</v>
      </c>
      <c r="X127" s="1" t="e">
        <f t="shared" si="28"/>
        <v>#DIV/0!</v>
      </c>
      <c r="Y127" s="1">
        <v>0</v>
      </c>
      <c r="Z127" s="1">
        <v>0</v>
      </c>
      <c r="AA127" s="1">
        <v>0</v>
      </c>
      <c r="AB127" s="1">
        <v>-0.2</v>
      </c>
      <c r="AC127" s="1"/>
      <c r="AD127" s="1">
        <f t="shared" si="20"/>
        <v>24</v>
      </c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</row>
    <row r="128" spans="1:52" x14ac:dyDescent="0.25">
      <c r="A128" s="16" t="s">
        <v>162</v>
      </c>
      <c r="B128" s="1" t="s">
        <v>37</v>
      </c>
      <c r="C128" s="1"/>
      <c r="D128" s="1"/>
      <c r="E128" s="1"/>
      <c r="F128" s="1"/>
      <c r="G128" s="7">
        <v>0.3</v>
      </c>
      <c r="H128" s="1">
        <v>40</v>
      </c>
      <c r="I128" s="9" t="s">
        <v>35</v>
      </c>
      <c r="J128" s="1"/>
      <c r="K128" s="1"/>
      <c r="L128" s="1">
        <f t="shared" si="26"/>
        <v>0</v>
      </c>
      <c r="M128" s="1"/>
      <c r="N128" s="1"/>
      <c r="O128" s="1">
        <v>80</v>
      </c>
      <c r="P128" s="1"/>
      <c r="Q128" s="1">
        <v>80</v>
      </c>
      <c r="R128" s="1">
        <f t="shared" si="27"/>
        <v>0</v>
      </c>
      <c r="S128" s="5"/>
      <c r="T128" s="5">
        <f t="shared" si="34"/>
        <v>80</v>
      </c>
      <c r="U128" s="17">
        <f>VLOOKUP(A128,[1]Sheet!$A:$U,20,0)</f>
        <v>80</v>
      </c>
      <c r="V128" s="17" t="str">
        <f>VLOOKUP(A128,[1]Sheet!$A:$U,21,0)</f>
        <v>Есть спрос</v>
      </c>
      <c r="W128" s="1" t="e">
        <f t="shared" si="19"/>
        <v>#DIV/0!</v>
      </c>
      <c r="X128" s="1" t="e">
        <f t="shared" si="28"/>
        <v>#DIV/0!</v>
      </c>
      <c r="Y128" s="1">
        <v>0</v>
      </c>
      <c r="Z128" s="1">
        <v>0</v>
      </c>
      <c r="AA128" s="1">
        <v>0</v>
      </c>
      <c r="AB128" s="1">
        <v>0</v>
      </c>
      <c r="AC128" s="1"/>
      <c r="AD128" s="1">
        <f t="shared" si="20"/>
        <v>24</v>
      </c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</row>
    <row r="129" spans="1:52" x14ac:dyDescent="0.25">
      <c r="A129" s="1" t="s">
        <v>163</v>
      </c>
      <c r="B129" s="1" t="s">
        <v>31</v>
      </c>
      <c r="C129" s="1"/>
      <c r="D129" s="1">
        <v>32.979999999999997</v>
      </c>
      <c r="E129" s="1">
        <v>13.702</v>
      </c>
      <c r="F129" s="1">
        <v>19.277999999999999</v>
      </c>
      <c r="G129" s="7">
        <v>1</v>
      </c>
      <c r="H129" s="1">
        <v>50</v>
      </c>
      <c r="I129" s="1" t="s">
        <v>32</v>
      </c>
      <c r="J129" s="1"/>
      <c r="K129" s="1">
        <v>13</v>
      </c>
      <c r="L129" s="1">
        <f t="shared" si="26"/>
        <v>0.70199999999999996</v>
      </c>
      <c r="M129" s="1"/>
      <c r="N129" s="1"/>
      <c r="O129" s="1">
        <v>0</v>
      </c>
      <c r="P129" s="1"/>
      <c r="Q129" s="1">
        <v>0</v>
      </c>
      <c r="R129" s="1">
        <f t="shared" si="27"/>
        <v>2.7404000000000002</v>
      </c>
      <c r="S129" s="5">
        <f t="shared" ref="S129:S131" si="35">12*R129-Q129-P129-O129-F129</f>
        <v>13.6068</v>
      </c>
      <c r="T129" s="5">
        <f t="shared" si="21"/>
        <v>13.6068</v>
      </c>
      <c r="U129" s="17"/>
      <c r="V129" s="17"/>
      <c r="W129" s="1">
        <f t="shared" si="19"/>
        <v>11.999999999999998</v>
      </c>
      <c r="X129" s="1">
        <f t="shared" si="28"/>
        <v>7.034739454094292</v>
      </c>
      <c r="Y129" s="1">
        <v>0.82479999999999998</v>
      </c>
      <c r="Z129" s="1">
        <v>0</v>
      </c>
      <c r="AA129" s="1">
        <v>0</v>
      </c>
      <c r="AB129" s="1">
        <v>-0.1072</v>
      </c>
      <c r="AC129" s="1"/>
      <c r="AD129" s="1">
        <f t="shared" si="20"/>
        <v>14</v>
      </c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</row>
    <row r="130" spans="1:52" x14ac:dyDescent="0.25">
      <c r="A130" s="16" t="s">
        <v>164</v>
      </c>
      <c r="B130" s="1" t="s">
        <v>37</v>
      </c>
      <c r="C130" s="1"/>
      <c r="D130" s="1"/>
      <c r="E130" s="1"/>
      <c r="F130" s="1"/>
      <c r="G130" s="7">
        <v>0.3</v>
      </c>
      <c r="H130" s="1">
        <v>40</v>
      </c>
      <c r="I130" s="9" t="s">
        <v>35</v>
      </c>
      <c r="J130" s="1"/>
      <c r="K130" s="1"/>
      <c r="L130" s="1">
        <f t="shared" si="26"/>
        <v>0</v>
      </c>
      <c r="M130" s="1"/>
      <c r="N130" s="1"/>
      <c r="O130" s="1">
        <v>80</v>
      </c>
      <c r="P130" s="1"/>
      <c r="Q130" s="1">
        <v>100</v>
      </c>
      <c r="R130" s="1">
        <f t="shared" si="27"/>
        <v>0</v>
      </c>
      <c r="S130" s="5"/>
      <c r="T130" s="5">
        <f t="shared" ref="T130" si="36">U130</f>
        <v>80</v>
      </c>
      <c r="U130" s="17">
        <f>VLOOKUP(A130,[1]Sheet!$A:$U,20,0)</f>
        <v>80</v>
      </c>
      <c r="V130" s="17" t="str">
        <f>VLOOKUP(A130,[1]Sheet!$A:$U,21,0)</f>
        <v>Есть спрос</v>
      </c>
      <c r="W130" s="1" t="e">
        <f t="shared" si="19"/>
        <v>#DIV/0!</v>
      </c>
      <c r="X130" s="1" t="e">
        <f t="shared" si="28"/>
        <v>#DIV/0!</v>
      </c>
      <c r="Y130" s="1">
        <v>0</v>
      </c>
      <c r="Z130" s="1">
        <v>0</v>
      </c>
      <c r="AA130" s="1">
        <v>0</v>
      </c>
      <c r="AB130" s="1">
        <v>0</v>
      </c>
      <c r="AC130" s="1"/>
      <c r="AD130" s="1">
        <f t="shared" si="20"/>
        <v>24</v>
      </c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</row>
    <row r="131" spans="1:52" x14ac:dyDescent="0.25">
      <c r="A131" s="1" t="s">
        <v>165</v>
      </c>
      <c r="B131" s="1" t="s">
        <v>37</v>
      </c>
      <c r="C131" s="1">
        <v>15</v>
      </c>
      <c r="D131" s="1">
        <v>30</v>
      </c>
      <c r="E131" s="1">
        <v>42</v>
      </c>
      <c r="F131" s="1">
        <v>3</v>
      </c>
      <c r="G131" s="7">
        <v>0.12</v>
      </c>
      <c r="H131" s="1">
        <v>45</v>
      </c>
      <c r="I131" s="9" t="s">
        <v>35</v>
      </c>
      <c r="J131" s="1"/>
      <c r="K131" s="1">
        <v>43</v>
      </c>
      <c r="L131" s="1">
        <f t="shared" si="26"/>
        <v>-1</v>
      </c>
      <c r="M131" s="1"/>
      <c r="N131" s="1"/>
      <c r="O131" s="1">
        <v>0</v>
      </c>
      <c r="P131" s="1">
        <v>9.3333333333333286</v>
      </c>
      <c r="Q131" s="1">
        <v>30.266666666666669</v>
      </c>
      <c r="R131" s="1">
        <f t="shared" si="27"/>
        <v>8.4</v>
      </c>
      <c r="S131" s="5">
        <f t="shared" si="35"/>
        <v>58.200000000000017</v>
      </c>
      <c r="T131" s="5">
        <f t="shared" si="21"/>
        <v>58.200000000000017</v>
      </c>
      <c r="U131" s="17"/>
      <c r="V131" s="17"/>
      <c r="W131" s="1">
        <f t="shared" si="19"/>
        <v>12</v>
      </c>
      <c r="X131" s="1">
        <f t="shared" si="28"/>
        <v>5.0714285714285703</v>
      </c>
      <c r="Y131" s="1">
        <v>5.6</v>
      </c>
      <c r="Z131" s="1">
        <v>3</v>
      </c>
      <c r="AA131" s="1">
        <v>1.4</v>
      </c>
      <c r="AB131" s="1">
        <v>0</v>
      </c>
      <c r="AC131" s="1"/>
      <c r="AD131" s="1">
        <f t="shared" si="20"/>
        <v>7</v>
      </c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</row>
    <row r="132" spans="1:52" x14ac:dyDescent="0.25">
      <c r="A132" s="10" t="s">
        <v>166</v>
      </c>
      <c r="B132" s="10" t="s">
        <v>37</v>
      </c>
      <c r="C132" s="10">
        <v>-32</v>
      </c>
      <c r="D132" s="10">
        <v>103</v>
      </c>
      <c r="E132" s="13">
        <v>25</v>
      </c>
      <c r="F132" s="13">
        <v>41</v>
      </c>
      <c r="G132" s="11">
        <v>0</v>
      </c>
      <c r="H132" s="10"/>
      <c r="I132" s="10" t="s">
        <v>167</v>
      </c>
      <c r="J132" s="10" t="s">
        <v>93</v>
      </c>
      <c r="K132" s="10">
        <v>28</v>
      </c>
      <c r="L132" s="10">
        <f t="shared" si="26"/>
        <v>-3</v>
      </c>
      <c r="M132" s="10"/>
      <c r="N132" s="10"/>
      <c r="O132" s="10">
        <v>0</v>
      </c>
      <c r="P132" s="10"/>
      <c r="Q132" s="10">
        <v>0</v>
      </c>
      <c r="R132" s="10">
        <f t="shared" si="27"/>
        <v>5</v>
      </c>
      <c r="S132" s="12"/>
      <c r="T132" s="5">
        <f t="shared" si="21"/>
        <v>0</v>
      </c>
      <c r="U132" s="17"/>
      <c r="V132" s="17"/>
      <c r="W132" s="1">
        <f t="shared" si="19"/>
        <v>8.1999999999999993</v>
      </c>
      <c r="X132" s="10">
        <f t="shared" si="28"/>
        <v>8.1999999999999993</v>
      </c>
      <c r="Y132" s="10">
        <v>7</v>
      </c>
      <c r="Z132" s="10">
        <v>4.5999999999999996</v>
      </c>
      <c r="AA132" s="10">
        <v>3</v>
      </c>
      <c r="AB132" s="10">
        <v>2.6</v>
      </c>
      <c r="AC132" s="10"/>
      <c r="AD132" s="1">
        <f t="shared" si="20"/>
        <v>0</v>
      </c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</row>
    <row r="133" spans="1:52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</row>
    <row r="134" spans="1:52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</row>
    <row r="135" spans="1:52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</row>
    <row r="136" spans="1:52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</row>
    <row r="137" spans="1:52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</row>
    <row r="138" spans="1:52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</row>
    <row r="139" spans="1:52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</row>
    <row r="140" spans="1:52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</row>
    <row r="141" spans="1:52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</row>
    <row r="142" spans="1:52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</row>
    <row r="143" spans="1:52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</row>
    <row r="144" spans="1:52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</row>
    <row r="145" spans="1:52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</row>
    <row r="146" spans="1:52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</row>
    <row r="147" spans="1:52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</row>
    <row r="148" spans="1:52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</row>
    <row r="149" spans="1:52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</row>
    <row r="150" spans="1:52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</row>
    <row r="151" spans="1:52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</row>
    <row r="152" spans="1:52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</row>
    <row r="153" spans="1:52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</row>
    <row r="154" spans="1:52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</row>
    <row r="155" spans="1:52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</row>
    <row r="156" spans="1:52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</row>
    <row r="157" spans="1:52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</row>
    <row r="158" spans="1:52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</row>
    <row r="159" spans="1:52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</row>
    <row r="160" spans="1:52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</row>
    <row r="161" spans="1:52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</row>
    <row r="162" spans="1:52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</row>
    <row r="163" spans="1:52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</row>
    <row r="164" spans="1:52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</row>
    <row r="165" spans="1:52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</row>
    <row r="166" spans="1:52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</row>
    <row r="167" spans="1:52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</row>
    <row r="168" spans="1:52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</row>
    <row r="169" spans="1:52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</row>
    <row r="170" spans="1:52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</row>
    <row r="171" spans="1:52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</row>
    <row r="172" spans="1:52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</row>
    <row r="173" spans="1:52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</row>
    <row r="174" spans="1:52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</row>
    <row r="175" spans="1:52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</row>
    <row r="176" spans="1:52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</row>
    <row r="177" spans="1:52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</row>
    <row r="178" spans="1:52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</row>
    <row r="179" spans="1:52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</row>
    <row r="180" spans="1:52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</row>
    <row r="181" spans="1:52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</row>
    <row r="182" spans="1:52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</row>
    <row r="183" spans="1:52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</row>
    <row r="184" spans="1:52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</row>
    <row r="185" spans="1:52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</row>
    <row r="186" spans="1:52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</row>
    <row r="187" spans="1:52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</row>
    <row r="188" spans="1:52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</row>
    <row r="189" spans="1:52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</row>
    <row r="190" spans="1:52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</row>
    <row r="191" spans="1:52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</row>
    <row r="192" spans="1:52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</row>
    <row r="193" spans="1:52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</row>
    <row r="194" spans="1:52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</row>
    <row r="195" spans="1:52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</row>
    <row r="196" spans="1:52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</row>
    <row r="197" spans="1:52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</row>
    <row r="198" spans="1:52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</row>
    <row r="199" spans="1:52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</row>
    <row r="200" spans="1:52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</row>
    <row r="201" spans="1:52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</row>
    <row r="202" spans="1:52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</row>
    <row r="203" spans="1:52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</row>
    <row r="204" spans="1:52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</row>
    <row r="205" spans="1:52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</row>
    <row r="206" spans="1:52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</row>
    <row r="207" spans="1:52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</row>
    <row r="208" spans="1:52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</row>
    <row r="209" spans="1:52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</row>
    <row r="210" spans="1:52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</row>
    <row r="211" spans="1:52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</row>
    <row r="212" spans="1:52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</row>
    <row r="213" spans="1:52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</row>
    <row r="214" spans="1:52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</row>
    <row r="215" spans="1:52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</row>
    <row r="216" spans="1:52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</row>
    <row r="217" spans="1:52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</row>
    <row r="218" spans="1:52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</row>
    <row r="219" spans="1:52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</row>
    <row r="220" spans="1:52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</row>
    <row r="221" spans="1:52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</row>
    <row r="222" spans="1:52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</row>
    <row r="223" spans="1:52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</row>
    <row r="224" spans="1:52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</row>
    <row r="225" spans="1:52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</row>
    <row r="226" spans="1:52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</row>
    <row r="227" spans="1:52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</row>
    <row r="228" spans="1:52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</row>
    <row r="229" spans="1:52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</row>
    <row r="230" spans="1:52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</row>
    <row r="231" spans="1:52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</row>
    <row r="232" spans="1:52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</row>
    <row r="233" spans="1:52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</row>
    <row r="234" spans="1:52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</row>
    <row r="235" spans="1:52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</row>
    <row r="236" spans="1:52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</row>
    <row r="237" spans="1:52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</row>
    <row r="238" spans="1:52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</row>
    <row r="239" spans="1:52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</row>
    <row r="240" spans="1:52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</row>
    <row r="241" spans="1:52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</row>
    <row r="242" spans="1:52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</row>
    <row r="243" spans="1:52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</row>
    <row r="244" spans="1:52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</row>
    <row r="245" spans="1:52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</row>
    <row r="246" spans="1:52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</row>
    <row r="247" spans="1:52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</row>
    <row r="248" spans="1:52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</row>
    <row r="249" spans="1:52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</row>
    <row r="250" spans="1:52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</row>
    <row r="251" spans="1:52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</row>
    <row r="252" spans="1:52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</row>
    <row r="253" spans="1:52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</row>
    <row r="254" spans="1:52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</row>
    <row r="255" spans="1:52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</row>
    <row r="256" spans="1:52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</row>
    <row r="257" spans="1:52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</row>
    <row r="258" spans="1:52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</row>
    <row r="259" spans="1:52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</row>
    <row r="260" spans="1:52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</row>
    <row r="261" spans="1:52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</row>
    <row r="262" spans="1:52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</row>
    <row r="263" spans="1:52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</row>
    <row r="264" spans="1:52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</row>
    <row r="265" spans="1:52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</row>
    <row r="266" spans="1:52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</row>
    <row r="267" spans="1:52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</row>
    <row r="268" spans="1:52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</row>
    <row r="269" spans="1:52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</row>
    <row r="270" spans="1:52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</row>
    <row r="271" spans="1:52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</row>
    <row r="272" spans="1:52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</row>
    <row r="273" spans="1:52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</row>
    <row r="274" spans="1:52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</row>
    <row r="275" spans="1:52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</row>
    <row r="276" spans="1:52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</row>
    <row r="277" spans="1:52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</row>
    <row r="278" spans="1:52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</row>
    <row r="279" spans="1:52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</row>
    <row r="280" spans="1:52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</row>
    <row r="281" spans="1:52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</row>
    <row r="282" spans="1:52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</row>
    <row r="283" spans="1:52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</row>
    <row r="284" spans="1:52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</row>
    <row r="285" spans="1:52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</row>
    <row r="286" spans="1:52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</row>
    <row r="287" spans="1:52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</row>
    <row r="288" spans="1:52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</row>
    <row r="289" spans="1:52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</row>
    <row r="290" spans="1:52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</row>
    <row r="291" spans="1:52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</row>
    <row r="292" spans="1:52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</row>
    <row r="293" spans="1:52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</row>
    <row r="294" spans="1:52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</row>
    <row r="295" spans="1:52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</row>
    <row r="296" spans="1:52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</row>
    <row r="297" spans="1:52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</row>
    <row r="298" spans="1:52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</row>
    <row r="299" spans="1:52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</row>
    <row r="300" spans="1:52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</row>
    <row r="301" spans="1:52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</row>
    <row r="302" spans="1:52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</row>
    <row r="303" spans="1:52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</row>
    <row r="304" spans="1:52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</row>
    <row r="305" spans="1:52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</row>
    <row r="306" spans="1:52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</row>
    <row r="307" spans="1:52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</row>
    <row r="308" spans="1:52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</row>
    <row r="309" spans="1:52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</row>
    <row r="310" spans="1:52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</row>
    <row r="311" spans="1:52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</row>
    <row r="312" spans="1:52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</row>
    <row r="313" spans="1:52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</row>
    <row r="314" spans="1:52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</row>
    <row r="315" spans="1:52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</row>
    <row r="316" spans="1:52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</row>
    <row r="317" spans="1:52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</row>
    <row r="318" spans="1:52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</row>
    <row r="319" spans="1:52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</row>
    <row r="320" spans="1:52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</row>
    <row r="321" spans="1:52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</row>
    <row r="322" spans="1:52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</row>
    <row r="323" spans="1:52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</row>
    <row r="324" spans="1:52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</row>
    <row r="325" spans="1:52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</row>
    <row r="326" spans="1:52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</row>
    <row r="327" spans="1:52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</row>
    <row r="328" spans="1:52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</row>
    <row r="329" spans="1:52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</row>
    <row r="330" spans="1:52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</row>
    <row r="331" spans="1:52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</row>
    <row r="332" spans="1:52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</row>
    <row r="333" spans="1:52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</row>
    <row r="334" spans="1:52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</row>
    <row r="335" spans="1:52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</row>
    <row r="336" spans="1:52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</row>
    <row r="337" spans="1:52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</row>
    <row r="338" spans="1:52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</row>
    <row r="339" spans="1:52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</row>
    <row r="340" spans="1:52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</row>
    <row r="341" spans="1:52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</row>
    <row r="342" spans="1:52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</row>
    <row r="343" spans="1:52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</row>
    <row r="344" spans="1:52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</row>
    <row r="345" spans="1:52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</row>
    <row r="346" spans="1:52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</row>
    <row r="347" spans="1:52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</row>
    <row r="348" spans="1:52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</row>
    <row r="349" spans="1:52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</row>
    <row r="350" spans="1:52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</row>
    <row r="351" spans="1:52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</row>
    <row r="352" spans="1:52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</row>
    <row r="353" spans="1:52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</row>
    <row r="354" spans="1:52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</row>
    <row r="355" spans="1:52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</row>
    <row r="356" spans="1:52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</row>
    <row r="357" spans="1:52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</row>
    <row r="358" spans="1:52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</row>
    <row r="359" spans="1:52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</row>
    <row r="360" spans="1:52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</row>
    <row r="361" spans="1:52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</row>
    <row r="362" spans="1:52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</row>
    <row r="363" spans="1:52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</row>
    <row r="364" spans="1:52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</row>
    <row r="365" spans="1:52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</row>
    <row r="366" spans="1:52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</row>
    <row r="367" spans="1:52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</row>
    <row r="368" spans="1:52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</row>
    <row r="369" spans="1:52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</row>
    <row r="370" spans="1:52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</row>
    <row r="371" spans="1:52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</row>
    <row r="372" spans="1:52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</row>
    <row r="373" spans="1:52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</row>
    <row r="374" spans="1:52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</row>
    <row r="375" spans="1:52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</row>
    <row r="376" spans="1:52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</row>
    <row r="377" spans="1:52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</row>
    <row r="378" spans="1:52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</row>
    <row r="379" spans="1:52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</row>
    <row r="380" spans="1:52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</row>
    <row r="381" spans="1:52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</row>
    <row r="382" spans="1:52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</row>
    <row r="383" spans="1:52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</row>
    <row r="384" spans="1:52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</row>
    <row r="385" spans="1:52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</row>
    <row r="386" spans="1:52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</row>
    <row r="387" spans="1:52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</row>
    <row r="388" spans="1:52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</row>
    <row r="389" spans="1:52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</row>
    <row r="390" spans="1:52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</row>
    <row r="391" spans="1:52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</row>
    <row r="392" spans="1:52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</row>
    <row r="393" spans="1:52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</row>
    <row r="394" spans="1:52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</row>
    <row r="395" spans="1:52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</row>
    <row r="396" spans="1:52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</row>
    <row r="397" spans="1:52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</row>
    <row r="398" spans="1:52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</row>
    <row r="399" spans="1:52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</row>
    <row r="400" spans="1:52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</row>
    <row r="401" spans="1:52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</row>
    <row r="402" spans="1:52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</row>
    <row r="403" spans="1:52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</row>
    <row r="404" spans="1:52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</row>
    <row r="405" spans="1:52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</row>
    <row r="406" spans="1:52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</row>
    <row r="407" spans="1:52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</row>
    <row r="408" spans="1:52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</row>
    <row r="409" spans="1:52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</row>
    <row r="410" spans="1:52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</row>
    <row r="411" spans="1:52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</row>
    <row r="412" spans="1:52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</row>
    <row r="413" spans="1:52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</row>
    <row r="414" spans="1:52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</row>
    <row r="415" spans="1:52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</row>
    <row r="416" spans="1:52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</row>
    <row r="417" spans="1:52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</row>
    <row r="418" spans="1:52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</row>
    <row r="419" spans="1:52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</row>
    <row r="420" spans="1:52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</row>
    <row r="421" spans="1:52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</row>
    <row r="422" spans="1:52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</row>
    <row r="423" spans="1:52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</row>
    <row r="424" spans="1:52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</row>
    <row r="425" spans="1:52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</row>
    <row r="426" spans="1:52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</row>
    <row r="427" spans="1:52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</row>
    <row r="428" spans="1:52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</row>
    <row r="429" spans="1:52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</row>
    <row r="430" spans="1:52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</row>
    <row r="431" spans="1:52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</row>
    <row r="432" spans="1:52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</row>
    <row r="433" spans="1:52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</row>
    <row r="434" spans="1:52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</row>
    <row r="435" spans="1:52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</row>
    <row r="436" spans="1:52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</row>
    <row r="437" spans="1:52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</row>
    <row r="438" spans="1:52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</row>
    <row r="439" spans="1:52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</row>
    <row r="440" spans="1:52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</row>
    <row r="441" spans="1:52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</row>
    <row r="442" spans="1:52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</row>
    <row r="443" spans="1:52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</row>
    <row r="444" spans="1:52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</row>
    <row r="445" spans="1:52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</row>
    <row r="446" spans="1:52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</row>
    <row r="447" spans="1:52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</row>
    <row r="448" spans="1:52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</row>
    <row r="449" spans="1:52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</row>
    <row r="450" spans="1:52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</row>
    <row r="451" spans="1:52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</row>
    <row r="452" spans="1:52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</row>
    <row r="453" spans="1:52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</row>
    <row r="454" spans="1:52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</row>
    <row r="455" spans="1:52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</row>
    <row r="456" spans="1:52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</row>
    <row r="457" spans="1:52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</row>
    <row r="458" spans="1:52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</row>
    <row r="459" spans="1:52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</row>
    <row r="460" spans="1:52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</row>
    <row r="461" spans="1:52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</row>
    <row r="462" spans="1:52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</row>
    <row r="463" spans="1:52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</row>
    <row r="464" spans="1:52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</row>
    <row r="465" spans="1:52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</row>
    <row r="466" spans="1:52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</row>
    <row r="467" spans="1:52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</row>
    <row r="468" spans="1:52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</row>
    <row r="469" spans="1:52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</row>
    <row r="470" spans="1:52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</row>
    <row r="471" spans="1:52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</row>
    <row r="472" spans="1:52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</row>
    <row r="473" spans="1:52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</row>
    <row r="474" spans="1:52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</row>
    <row r="475" spans="1:52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</row>
    <row r="476" spans="1:52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</row>
    <row r="477" spans="1:52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</row>
    <row r="478" spans="1:52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</row>
    <row r="479" spans="1:52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</row>
    <row r="480" spans="1:52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</row>
    <row r="481" spans="1:52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</row>
    <row r="482" spans="1:52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</row>
    <row r="483" spans="1:52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</row>
    <row r="484" spans="1:52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</row>
    <row r="485" spans="1:52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</row>
    <row r="486" spans="1:52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</row>
    <row r="487" spans="1:52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</row>
    <row r="488" spans="1:52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</row>
    <row r="489" spans="1:52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</row>
    <row r="490" spans="1:52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</row>
    <row r="491" spans="1:52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</row>
    <row r="492" spans="1:52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</row>
    <row r="493" spans="1:52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</row>
    <row r="494" spans="1:52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</row>
    <row r="495" spans="1:52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</row>
    <row r="496" spans="1:52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</row>
    <row r="497" spans="1:52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</row>
    <row r="498" spans="1:52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</row>
  </sheetData>
  <autoFilter ref="A3:AD132" xr:uid="{00000000-0009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2026-10-08T16:09:56Z</dcterms:created>
  <dcterms:modified xsi:type="dcterms:W3CDTF">2026-10-09T09:32:04Z</dcterms:modified>
</cp:coreProperties>
</file>